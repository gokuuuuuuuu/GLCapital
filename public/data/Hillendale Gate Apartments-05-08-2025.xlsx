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8.xml" ContentType="application/vnd.openxmlformats-officedocument.spreadsheetml.pivotTable+xml"/>
  <Override PartName="/xl/pivotTables/pivotTable2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9.xml" ContentType="application/vnd.openxmlformats-officedocument.spreadsheetml.table+xml"/>
  <Override PartName="/xl/tables/table10.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true" defaultThemeVersion="166925"/>
  <mc:AlternateContent xmlns:mc="http://schemas.openxmlformats.org/markup-compatibility/2006">
    <mc:Choice Requires="x15">
      <x15ac:absPath xmlns:x15ac="http://schemas.microsoft.com/office/spreadsheetml/2010/11/ac" url="C:\Users\mrutz\OneDrive\Desktop\"/>
    </mc:Choice>
  </mc:AlternateContent>
  <bookViews>
    <workbookView xWindow="-110" yWindow="-110" windowWidth="38620" windowHeight="21100" tabRatio="718"/>
  </bookViews>
  <sheets>
    <sheet name="Intro" sheetId="16" r:id="rId1"/>
    <sheet name="Weekly Market Updates" sheetId="31" r:id="rId2"/>
    <sheet name="30-Day Trends" sheetId="12" r:id="rId3"/>
    <sheet name="Data" sheetId="13" r:id="rId4" state="hidden"/>
    <sheet name="Data Analysis" sheetId="15" r:id="rId5"/>
    <sheet name="Leasing Trends" sheetId="29" r:id="rId6"/>
    <sheet name="Rent Comps" sheetId="2" r:id="rId7"/>
    <sheet name="Rent Comparison" sheetId="27" r:id="rId8"/>
    <sheet name="Unit-Level Data" sheetId="3" r:id="rId9"/>
    <sheet name="Unit Mix" sheetId="18" r:id="rId10"/>
    <sheet name="Fees &amp; Amenities" sheetId="8" r:id="rId11"/>
    <sheet name="Specials" sheetId="25" r:id="rId12"/>
    <sheet name="Financial Analysis" sheetId="4" r:id="rId13"/>
    <sheet name="Pro Forma Model" sheetId="24" r:id="rId14"/>
    <sheet name="Tables" sheetId="30" r:id="rId15" state="hidden"/>
  </sheets>
  <definedNames>
    <definedName name="NativeTimeline_Leased_Date">#N/A</definedName>
    <definedName localSheetId="14" name="Scenario">#REF!</definedName>
    <definedName name="Scenario">'Pro Forma Model'!#REF!</definedName>
    <definedName name="Slicer_Beds">#N/A</definedName>
    <definedName name="Slicer_Property_Name">#N/A</definedName>
  </definedNames>
  <calcPr calcId="191029"/>
  <pivotCaches>
    <pivotCache cacheId="35" r:id="rId16"/>
    <pivotCache cacheId="39"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1" l="true"/>
  <c r="G7" i="31" l="true"/>
  <c r="F7" i="31"/>
  <c r="F6" i="31"/>
  <c r="L9" i="31"/>
  <c r="I9" i="31"/>
  <c r="F8" i="31"/>
  <c r="L6" i="31"/>
  <c r="K6" i="31"/>
  <c r="I6" i="31"/>
  <c r="H6" i="31"/>
  <c r="K9" i="31"/>
  <c r="H9" i="31"/>
  <c r="G9" i="31"/>
  <c r="L8" i="31"/>
  <c r="G8" i="31"/>
  <c r="H7" i="31"/>
  <c r="G6" i="31"/>
  <c r="F9" i="31"/>
  <c r="K8" i="31"/>
  <c r="I8" i="31"/>
  <c r="H8" i="31"/>
  <c r="K7" i="31"/>
  <c r="I7" i="31"/>
  <c r="L7" i="31"/>
  <c r="AE6" i="18"/>
  <c r="AB6" i="18"/>
  <c r="X6" i="18"/>
  <c r="W6" i="18"/>
  <c r="U6" i="18"/>
  <c r="T6" i="18"/>
  <c r="R6" i="18"/>
  <c r="Q6" i="18"/>
  <c r="O6" i="18"/>
  <c r="N6" i="18"/>
  <c r="AD5" i="18"/>
  <c r="AA5" i="18"/>
  <c r="O16" i="15" l="true"/>
  <c r="R16" i="15" s="true"/>
  <c r="O15" i="15"/>
  <c r="R15" i="15" s="true"/>
  <c r="O14" i="15"/>
  <c r="R14" i="15" s="true"/>
  <c r="O13" i="15"/>
  <c r="R13" i="15" s="true"/>
  <c r="O12" i="15"/>
  <c r="R12" i="15" s="true"/>
  <c r="U457" i="18" a="true"/>
  <c r="Y348" i="18" a="true"/>
  <c r="T250" i="18" a="true"/>
  <c r="R210" i="18" a="true"/>
  <c r="Y449" i="18" a="true"/>
  <c r="T360" i="18" a="true"/>
  <c r="Y500" i="18" a="true"/>
  <c r="Q436" i="18" a="true"/>
  <c r="W33" i="18" a="true"/>
  <c r="T271" i="18" a="true"/>
  <c r="S499" i="18" a="true"/>
  <c r="T193" i="18" a="true"/>
  <c r="W483" i="18" a="true"/>
  <c r="R378" i="18" a="true"/>
  <c r="X431" i="18" a="true"/>
  <c r="Q32" i="18" a="true"/>
  <c r="W48" i="18" a="true"/>
  <c r="T190" i="18" a="true"/>
  <c r="X348" i="18" a="true"/>
  <c r="S341" i="18" a="true"/>
  <c r="Y344" i="18" a="true"/>
  <c r="Y216" i="18" a="true"/>
  <c r="V253" i="18" a="true"/>
  <c r="R370" i="18" a="true"/>
  <c r="R296" i="18" a="true"/>
  <c r="R11" i="18" a="true"/>
  <c r="W202" i="18" a="true"/>
  <c r="Y341" i="18" a="true"/>
  <c r="U264" i="18" a="true"/>
  <c r="W57" i="18" a="true"/>
  <c r="X54" i="18" a="true"/>
  <c r="R411" i="18" a="true"/>
  <c r="X371" i="18" a="true"/>
  <c r="X135" i="18" a="true"/>
  <c r="V28" i="18" a="true"/>
  <c r="Q347" i="18" a="true"/>
  <c r="Y16" i="18" a="true"/>
  <c r="V100" i="18" a="true"/>
  <c r="Q222" i="18" a="true"/>
  <c r="Y261" i="18" a="true"/>
  <c r="Y250" i="18" a="true"/>
  <c r="T162" i="18" a="true"/>
  <c r="Q413" i="18" a="true"/>
  <c r="X347" i="18" a="true"/>
  <c r="V120" i="18" a="true"/>
  <c r="T192" i="18" a="true"/>
  <c r="S274" i="18" a="true"/>
  <c r="R130" i="18" a="true"/>
  <c r="V30" i="18" a="true"/>
  <c r="I15" i="25" a="true"/>
  <c r="V438" i="18" a="true"/>
  <c r="Y482" i="18" a="true"/>
  <c r="T490" i="18" a="true"/>
  <c r="W337" i="18" a="true"/>
  <c r="Q273" i="18" a="true"/>
  <c r="R349" i="18" a="true"/>
  <c r="U485" i="18" a="true"/>
  <c r="W463" i="18" a="true"/>
  <c r="Q56" i="18" a="true"/>
  <c r="Y164" i="18" a="true"/>
  <c r="V237" i="18" a="true"/>
  <c r="R479" i="18" a="true"/>
  <c r="W267" i="18" a="true"/>
  <c r="J116" i="25" a="true"/>
  <c r="Q432" i="18" a="true"/>
  <c r="U87" i="18" a="true"/>
  <c r="Y426" i="18" a="true"/>
  <c r="J117" i="25" a="true"/>
  <c r="S149" i="18" a="true"/>
  <c r="U369" i="18" a="true"/>
  <c r="Y355" i="18" a="true"/>
  <c r="J91" i="25" a="true"/>
  <c r="U277" i="18" a="true"/>
  <c r="W492" i="18" a="true"/>
  <c r="W389" i="18" a="true"/>
  <c r="J70" i="25" a="true"/>
  <c r="V400" i="18" a="true"/>
  <c r="V112" i="18" a="true"/>
  <c r="V199" i="18" a="true"/>
  <c r="J120" i="25" a="true"/>
  <c r="Q251" i="18" a="true"/>
  <c r="T429" i="18" a="true"/>
  <c r="W134" i="18" a="true"/>
  <c r="X154" i="18" a="true"/>
  <c r="Q93" i="18" a="true"/>
  <c r="Q238" i="18" a="true"/>
  <c r="W20" i="18" a="true"/>
  <c r="I48" i="25" a="true"/>
  <c r="U406" i="18" a="true"/>
  <c r="W283" i="18" a="true"/>
  <c r="U465" i="18" a="true"/>
  <c r="J319" i="25" a="true"/>
  <c r="Q376" i="18" a="true"/>
  <c r="R344" i="18" a="true"/>
  <c r="I160" i="25" a="true"/>
  <c r="J86" i="25" a="true"/>
  <c r="T475" i="18" a="true"/>
  <c r="U52" i="18" a="true"/>
  <c r="I263" i="25" a="true"/>
  <c r="W469" i="18" a="true"/>
  <c r="R335" i="18" a="true"/>
  <c r="J323" i="25" a="true"/>
  <c r="U452" i="18" a="true"/>
  <c r="S175" i="18" a="true"/>
  <c r="Q405" i="18" a="true"/>
  <c r="Q406" i="18" a="true"/>
  <c r="U348" i="18" a="true"/>
  <c r="U216" i="18" a="true"/>
  <c r="J21" i="25" a="true"/>
  <c r="V372" i="18" a="true"/>
  <c r="Y471" i="18" a="true"/>
  <c r="Q168" i="18" a="true"/>
  <c r="W112" i="18" a="true"/>
  <c r="V440" i="18" a="true"/>
  <c r="S442" i="18" a="true"/>
  <c r="V137" i="18" a="true"/>
  <c r="X377" i="18" a="true"/>
  <c r="S298" i="18" a="true"/>
  <c r="Q433" i="18" a="true"/>
  <c r="S209" i="18" a="true"/>
  <c r="J222" i="25" a="true"/>
  <c r="T144" i="18" a="true"/>
  <c r="Q300" i="18" a="true"/>
  <c r="W42" i="18" a="true"/>
  <c r="U38" i="18" a="true"/>
  <c r="I325" i="25" a="true"/>
  <c r="T200" i="18" a="true"/>
  <c r="R494" i="18" a="true"/>
  <c r="W296" i="18" a="true"/>
  <c r="S279" i="18" a="true"/>
  <c r="R64" i="18" a="true"/>
  <c r="R264" i="18" a="true"/>
  <c r="Q70" i="18" a="true"/>
  <c r="T366" i="18" a="true"/>
  <c r="T182" i="18" a="true"/>
  <c r="U233" i="18" a="true"/>
  <c r="X454" i="18" a="true"/>
  <c r="U147" i="18" a="true"/>
  <c r="V210" i="18" a="true"/>
  <c r="R487" i="18" a="true"/>
  <c r="S144" i="18" a="true"/>
  <c r="Y343" i="18" a="true"/>
  <c r="X415" i="18" a="true"/>
  <c r="W121" i="18" a="true"/>
  <c r="U345" i="18" a="true"/>
  <c r="U477" i="18" a="true"/>
  <c r="V365" i="18" a="true"/>
  <c r="R379" i="18" a="true"/>
  <c r="U83" i="18" a="true"/>
  <c r="R345" i="18" a="true"/>
  <c r="Q263" i="18" a="true"/>
  <c r="Q435" i="18" a="true"/>
  <c r="Y190" i="18" a="true"/>
  <c r="U242" i="18" a="true"/>
  <c r="V84" i="18" a="true"/>
  <c r="T297" i="18" a="true"/>
  <c r="Q269" i="18" a="true"/>
  <c r="X331" i="18" a="true"/>
  <c r="W25" i="18" a="true"/>
  <c r="Q357" i="18" a="true"/>
  <c r="R166" i="18" a="true"/>
  <c r="X345" i="18" a="true"/>
  <c r="V305" i="18" a="true"/>
  <c r="R115" i="18" a="true"/>
  <c r="Q221" i="18" a="true"/>
  <c r="U343" i="18" a="true"/>
  <c r="U133" i="18" a="true"/>
  <c r="W95" i="18" a="true"/>
  <c r="T203" i="18" a="true"/>
  <c r="V318" i="18" a="true"/>
  <c r="U480" i="18" a="true"/>
  <c r="X277" i="18" a="true"/>
  <c r="V220" i="18" a="true"/>
  <c r="R176" i="18" a="true"/>
  <c r="W201" i="18" a="true"/>
  <c r="R489" i="18" a="true"/>
  <c r="I406" i="25" a="true"/>
  <c r="W484" i="18" a="true"/>
  <c r="Q167" i="18" a="true"/>
  <c r="Q22" i="18" a="true"/>
  <c r="X411" i="18" a="true"/>
  <c r="Y311" i="18" a="true"/>
  <c r="U174" i="18" a="true"/>
  <c r="U49" i="18" a="true"/>
  <c r="W295" i="18" a="true"/>
  <c r="S339" i="18" a="true"/>
  <c r="R346" i="18" a="true"/>
  <c r="R458" i="18" a="true"/>
  <c r="Q423" i="18" a="true"/>
  <c r="Q90" i="18" a="true"/>
  <c r="I375" i="25" a="true"/>
  <c r="X418" i="18" a="true"/>
  <c r="X447" i="18" a="true"/>
  <c r="V460" i="18" a="true"/>
  <c r="J406" i="25" a="true"/>
  <c r="V89" i="18" a="true"/>
  <c r="X263" i="18" a="true"/>
  <c r="U221" i="18" a="true"/>
  <c r="J347" i="25" a="true"/>
  <c r="T19" i="18" a="true"/>
  <c r="X479" i="18" a="true"/>
  <c r="T77" i="18" a="true"/>
  <c r="J372" i="25" a="true"/>
  <c r="S461" i="18" a="true"/>
  <c r="U32" i="18" a="true"/>
  <c r="Q402" i="18" a="true"/>
  <c r="I45" i="25" a="true"/>
  <c r="U469" i="18" a="true"/>
  <c r="Y48" i="18" a="true"/>
  <c r="X165" i="18" a="true"/>
  <c r="X456" i="18" a="true"/>
  <c r="U432" i="18" a="true"/>
  <c r="V106" i="18" a="true"/>
  <c r="R46" i="18" a="true"/>
  <c r="I387" i="25" a="true"/>
  <c r="R409" i="18" a="true"/>
  <c r="W228" i="18" a="true"/>
  <c r="V276" i="18" a="true"/>
  <c r="I184" i="25" a="true"/>
  <c r="W486" i="18" a="true"/>
  <c r="Q154" i="18" a="true"/>
  <c r="I417" i="25" a="true"/>
  <c r="U502" i="18" a="true"/>
  <c r="V368" i="18" a="true"/>
  <c r="V146" i="18" a="true"/>
  <c r="R322" i="18" a="true"/>
  <c r="X428" i="18" a="true"/>
  <c r="R119" i="18" a="true"/>
  <c r="J309" i="25" a="true"/>
  <c r="Y170" i="18" a="true"/>
  <c r="W125" i="18" a="true"/>
  <c r="T143" i="18" a="true"/>
  <c r="Q105" i="18" a="true"/>
  <c r="X333" i="18" a="true"/>
  <c r="U336" i="18" a="true"/>
  <c r="I439" i="25" a="true"/>
  <c r="I83" i="25" a="true"/>
  <c r="X376" i="18" a="true"/>
  <c r="V126" i="18" a="true"/>
  <c r="V225" i="18" a="true"/>
  <c r="S109" i="18" a="true"/>
  <c r="W302" i="18" a="true"/>
  <c r="Q375" i="18" a="true"/>
  <c r="W158" i="18" a="true"/>
  <c r="U68" i="18" a="true"/>
  <c r="Q290" i="18" a="true"/>
  <c r="S409" i="18" a="true"/>
  <c r="J447" i="25" a="true"/>
  <c r="U82" i="18" a="true"/>
  <c r="Q124" i="18" a="true"/>
  <c r="U92" i="18" a="true"/>
  <c r="R347" i="18" a="true"/>
  <c r="V170" i="18" a="true"/>
  <c r="R384" i="18" a="true"/>
  <c r="V449" i="18" a="true"/>
  <c r="W263" i="18" a="true"/>
  <c r="Q484" i="18" a="true"/>
  <c r="X153" i="18" a="true"/>
  <c r="R452" i="18" a="true"/>
  <c r="Q480" i="18" a="true"/>
  <c r="T259" i="18" a="true"/>
  <c r="U267" i="18" a="true"/>
  <c r="U389" i="18" a="true"/>
  <c r="Y198" i="18" a="true"/>
  <c r="Y375" i="18" a="true"/>
  <c r="W108" i="18" a="true"/>
  <c r="T392" i="18" a="true"/>
  <c r="X444" i="18" a="true"/>
  <c r="U494" i="18" a="true"/>
  <c r="V308" i="18" a="true"/>
  <c r="X98" i="18" a="true"/>
  <c r="Q487" i="18" a="true"/>
  <c r="V136" i="18" a="true"/>
  <c r="U236" i="18" a="true"/>
  <c r="S208" i="18" a="true"/>
  <c r="R276" i="18" a="true"/>
  <c r="Y385" i="18" a="true"/>
  <c r="Y213" i="18" a="true"/>
  <c r="S44" i="18" a="true"/>
  <c r="R245" i="18" a="true"/>
  <c r="S69" i="18" a="true"/>
  <c r="S287" i="18" a="true"/>
  <c r="X382" i="18" a="true"/>
  <c r="Q408" i="18" a="true"/>
  <c r="X66" i="18" a="true"/>
  <c r="T306" i="18" a="true"/>
  <c r="Q414" i="18" a="true"/>
  <c r="X495" i="18" a="true"/>
  <c r="U251" i="18" a="true"/>
  <c r="T267" i="18" a="true"/>
  <c r="Y178" i="18" a="true"/>
  <c r="U56" i="18" a="true"/>
  <c r="T32" i="18" a="true"/>
  <c r="T187" i="18" a="true"/>
  <c r="S384" i="18" a="true"/>
  <c r="X10" i="18" a="true"/>
  <c r="W160" i="18" a="true"/>
  <c r="V69" i="18" a="true"/>
  <c r="Y416" i="18" a="true"/>
  <c r="V298" i="18" a="true"/>
  <c r="J452" i="25" a="true"/>
  <c r="V447" i="18" a="true"/>
  <c r="W487" i="18" a="true"/>
  <c r="T102" i="18" a="true"/>
  <c r="W292" i="18" a="true"/>
  <c r="W98" i="18" a="true"/>
  <c r="T310" i="18" a="true"/>
  <c r="U166" i="18" a="true"/>
  <c r="S9" i="18" a="true"/>
  <c r="V500" i="18" a="true"/>
  <c r="Q503" i="18" a="true"/>
  <c r="V396" i="18" a="true"/>
  <c r="W446" i="18" a="true"/>
  <c r="Q211" i="18" a="true"/>
  <c r="I370" i="25" a="true"/>
  <c r="R371" i="18" a="true"/>
  <c r="Q162" i="18" a="true"/>
  <c r="T405" i="18" a="true"/>
  <c r="J190" i="25" a="true"/>
  <c r="Q444" i="18" a="true"/>
  <c r="R135" i="18" a="true"/>
  <c r="Y366" i="18" a="true"/>
  <c r="J286" i="25" a="true"/>
  <c r="W303" i="18" a="true"/>
  <c r="S93" i="18" a="true"/>
  <c r="U48" i="18" a="true"/>
  <c r="J225" i="25" a="true"/>
  <c r="U456" i="18" a="true"/>
  <c r="V102" i="18" a="true"/>
  <c r="X162" i="18" a="true"/>
  <c r="I254" i="25" a="true"/>
  <c r="U490" i="18" a="true"/>
  <c r="S300" i="18" a="true"/>
  <c r="T412" i="18" a="true"/>
  <c r="V403" i="18" a="true"/>
  <c r="Y392" i="18" a="true"/>
  <c r="S283" i="18" a="true"/>
  <c r="Y420" i="18" a="true"/>
  <c r="I32" i="25" a="true"/>
  <c r="S394" i="18" a="true"/>
  <c r="U220" i="18" a="true"/>
  <c r="V104" i="18" a="true"/>
  <c r="J203" i="25" a="true"/>
  <c r="R485" i="18" a="true"/>
  <c r="W233" i="18" a="true"/>
  <c r="I207" i="25" a="true"/>
  <c r="S224" i="18" a="true"/>
  <c r="Y480" i="18" a="true"/>
  <c r="T496" i="18" a="true"/>
  <c r="Q34" i="18" a="true"/>
  <c r="R242" i="18" a="true"/>
  <c r="Q72" i="18" a="true"/>
  <c r="J431" i="25" a="true"/>
  <c r="V200" i="18" a="true"/>
  <c r="R495" i="18" a="true"/>
  <c r="Y141" i="18" a="true"/>
  <c r="T328" i="18" a="true"/>
  <c r="Y328" i="18" a="true"/>
  <c r="X85" i="18" a="true"/>
  <c r="J85" i="25" a="true"/>
  <c r="J128" i="25" a="true"/>
  <c r="U466" i="18" a="true"/>
  <c r="Q68" i="18" a="true"/>
  <c r="R212" i="18" a="true"/>
  <c r="Y177" i="18" a="true"/>
  <c r="T342" i="18" a="true"/>
  <c r="T66" i="18" a="true"/>
  <c r="T383" i="18" a="true"/>
  <c r="X115" i="18" a="true"/>
  <c r="Q287" i="18" a="true"/>
  <c r="U194" i="18" a="true"/>
  <c r="I131" i="25" a="true"/>
  <c r="J454" i="25" a="true"/>
  <c r="X114" i="18" a="true"/>
  <c r="Q356" i="18" a="true"/>
  <c r="R356" i="18" a="true"/>
  <c r="V16" i="18" a="true"/>
  <c r="T274" i="18" a="true"/>
  <c r="U413" i="18" a="true"/>
  <c r="U86" i="18" a="true"/>
  <c r="V162" i="18" a="true"/>
  <c r="Y506" i="18" a="true"/>
  <c r="X219" i="18" a="true"/>
  <c r="U108" i="18" a="true"/>
  <c r="S62" i="18" a="true"/>
  <c r="Q418" i="18" a="true"/>
  <c r="W459" i="18" a="true"/>
  <c r="W131" i="18" a="true"/>
  <c r="Q175" i="18" a="true"/>
  <c r="V153" i="18" a="true"/>
  <c r="Y497" i="18" a="true"/>
  <c r="U270" i="18" a="true"/>
  <c r="Y350" i="18" a="true"/>
  <c r="S316" i="18" a="true"/>
  <c r="Y405" i="18" a="true"/>
  <c r="Q296" i="18" a="true"/>
  <c r="R493" i="18" a="true"/>
  <c r="Q81" i="18" a="true"/>
  <c r="Y44" i="18" a="true"/>
  <c r="R488" i="18" a="true"/>
  <c r="T445" i="18" a="true"/>
  <c r="R204" i="18" a="true"/>
  <c r="T198" i="18" a="true"/>
  <c r="R37" i="18" a="true"/>
  <c r="U287" i="18" a="true"/>
  <c r="Y346" i="18" a="true"/>
  <c r="X151" i="18" a="true"/>
  <c r="X262" i="18" a="true"/>
  <c r="T483" i="18" a="true"/>
  <c r="R168" i="18" a="true"/>
  <c r="S256" i="18" a="true"/>
  <c r="X84" i="18" a="true"/>
  <c r="U338" i="18" a="true"/>
  <c r="U76" i="18" a="true"/>
  <c r="W245" i="18" a="true"/>
  <c r="W360" i="18" a="true"/>
  <c r="U414" i="18" a="true"/>
  <c r="V395" i="18" a="true"/>
  <c r="X131" i="18" a="true"/>
  <c r="Q42" i="18" a="true"/>
  <c r="V426" i="18" a="true"/>
  <c r="V476" i="18" a="true"/>
  <c r="R403" i="18" a="true"/>
  <c r="Y354" i="18" a="true"/>
  <c r="T133" i="18" a="true"/>
  <c r="Y258" i="18" a="true"/>
  <c r="Q119" i="18" a="true"/>
  <c r="J268" i="25" a="true"/>
  <c r="Q225" i="18" a="true"/>
  <c r="W498" i="18" a="true"/>
  <c r="Q164" i="18" a="true"/>
  <c r="Y46" i="18" a="true"/>
  <c r="X449" i="18" a="true"/>
  <c r="V423" i="18" a="true"/>
  <c r="S463" i="18" a="true"/>
  <c r="R125" i="18" a="true"/>
  <c r="Y320" i="18" a="true"/>
  <c r="S67" i="18" a="true"/>
  <c r="S440" i="18" a="true"/>
  <c r="U19" i="18" a="true"/>
  <c r="U89" i="18" a="true"/>
  <c r="J155" i="25" a="true"/>
  <c r="S500" i="18" a="true"/>
  <c r="X359" i="18" a="true"/>
  <c r="Y206" i="18" a="true"/>
  <c r="I425" i="25" a="true"/>
  <c r="U421" i="18" a="true"/>
  <c r="Q494" i="18" a="true"/>
  <c r="V81" i="18" a="true"/>
  <c r="J330" i="25" a="true"/>
  <c r="S328" i="18" a="true"/>
  <c r="W192" i="18" a="true"/>
  <c r="S263" i="18" a="true"/>
  <c r="J96" i="25" a="true"/>
  <c r="W136" i="18" a="true"/>
  <c r="R393" i="18" a="true"/>
  <c r="R277" i="18" a="true"/>
  <c r="J7" i="25" a="true"/>
  <c r="Q262" i="18" a="true"/>
  <c r="Y377" i="18" a="true"/>
  <c r="T58" i="18" a="true"/>
  <c r="R424" i="18" a="true"/>
  <c r="Y202" i="18" a="true"/>
  <c r="W414" i="18" a="true"/>
  <c r="R281" i="18" a="true"/>
  <c r="I327" i="25" a="true"/>
  <c r="V228" i="18" a="true"/>
  <c r="V332" i="18" a="true"/>
  <c r="X100" i="18" a="true"/>
  <c r="J460" i="25" a="true"/>
  <c r="T450" i="18" a="true"/>
  <c r="Y236" i="18" a="true"/>
  <c r="J453" i="25" a="true"/>
  <c r="X424" i="18" a="true"/>
  <c r="W126" i="18" a="true"/>
  <c r="S82" i="18" a="true"/>
  <c r="T7" i="18" a="true"/>
  <c r="W448" i="18" a="true"/>
  <c r="Q488" i="18" a="true"/>
  <c r="J487" i="25" a="true"/>
  <c r="R173" i="18" a="true"/>
  <c r="T279" i="18" a="true"/>
  <c r="X75" i="18" a="true"/>
  <c r="Y411" i="18" a="true"/>
  <c r="U482" i="18" a="true"/>
  <c r="T41" i="18" a="true"/>
  <c r="I253" i="25" a="true"/>
  <c r="W129" i="18" a="true"/>
  <c r="X8" i="18" a="true"/>
  <c r="W60" i="18" a="true"/>
  <c r="X391" i="18" a="true"/>
  <c r="U59" i="18" a="true"/>
  <c r="R368" i="18" a="true"/>
  <c r="T92" i="18" a="true"/>
  <c r="Y498" i="18" a="true"/>
  <c r="Y393" i="18" a="true"/>
  <c r="W241" i="18" a="true"/>
  <c r="Y286" i="18" a="true"/>
  <c r="I279" i="25" a="true"/>
  <c r="I212" i="25" a="true"/>
  <c r="Q27" i="18" a="true"/>
  <c r="R80" i="18" a="true"/>
  <c r="I359" i="25" a="true"/>
  <c r="V8" i="18" a="true"/>
  <c r="S218" i="18" a="true"/>
  <c r="X366" i="18" a="true"/>
  <c r="X242" i="18" a="true"/>
  <c r="V314" i="18" a="true"/>
  <c r="W396" i="18" a="true"/>
  <c r="R477" i="18" a="true"/>
  <c r="V386" i="18" a="true"/>
  <c r="Q280" i="18" a="true"/>
  <c r="Q84" i="18" a="true"/>
  <c r="T204" i="18" a="true"/>
  <c r="X12" i="18" a="true"/>
  <c r="V103" i="18" a="true"/>
  <c r="V307" i="18" a="true"/>
  <c r="V379" i="18" a="true"/>
  <c r="V185" i="18" a="true"/>
  <c r="S459" i="18" a="true"/>
  <c r="U402" i="18" a="true"/>
  <c r="U299" i="18" a="true"/>
  <c r="Q447" i="18" a="true"/>
  <c r="W319" i="18" a="true"/>
  <c r="V453" i="18" a="true"/>
  <c r="X473" i="18" a="true"/>
  <c r="T501" i="18" a="true"/>
  <c r="Y111" i="18" a="true"/>
  <c r="V380" i="18" a="true"/>
  <c r="Y432" i="18" a="true"/>
  <c r="U95" i="18" a="true"/>
  <c r="X90" i="18" a="true"/>
  <c r="Y194" i="18" a="true"/>
  <c r="W430" i="18" a="true"/>
  <c r="Q44" i="18" a="true"/>
  <c r="Q138" i="18" a="true"/>
  <c r="W297" i="18" a="true"/>
  <c r="T137" i="18" a="true"/>
  <c r="V492" i="18" a="true"/>
  <c r="S171" i="18" a="true"/>
  <c r="V217" i="18" a="true"/>
  <c r="U105" i="18" a="true"/>
  <c r="Y273" i="18" a="true"/>
  <c r="T206" i="18" a="true"/>
  <c r="V161" i="18" a="true"/>
  <c r="T338" i="18" a="true"/>
  <c r="T11" i="18" a="true"/>
  <c r="Q281" i="18" a="true"/>
  <c r="R83" i="18" a="true"/>
  <c r="S48" i="18" a="true"/>
  <c r="Y140" i="18" a="true"/>
  <c r="Y340" i="18" a="true"/>
  <c r="T201" i="18" a="true"/>
  <c r="V186" i="18" a="true"/>
  <c r="Y109" i="18" a="true"/>
  <c r="I238" i="25" a="true"/>
  <c r="Y66" i="18" a="true"/>
  <c r="W365" i="18" a="true"/>
  <c r="U88" i="18" a="true"/>
  <c r="X471" i="18" a="true"/>
  <c r="X435" i="18" a="true"/>
  <c r="S96" i="18" a="true"/>
  <c r="Y374" i="18" a="true"/>
  <c r="S16" i="18" a="true"/>
  <c r="S17" i="18" a="true"/>
  <c r="U278" i="18" a="true"/>
  <c r="W493" i="18" a="true"/>
  <c r="W362" i="18" a="true"/>
  <c r="V107" i="18" a="true"/>
  <c r="X147" i="18" a="true"/>
  <c r="T220" i="18" a="true"/>
  <c r="T156" i="18" a="true"/>
  <c r="T382" i="18" a="true"/>
  <c r="W178" i="18" a="true"/>
  <c r="W428" i="18" a="true"/>
  <c r="R389" i="18" a="true"/>
  <c r="S436" i="18" a="true"/>
  <c r="V504" i="18" a="true"/>
  <c r="Y226" i="18" a="true"/>
  <c r="Q374" i="18" a="true"/>
  <c r="V339" i="18" a="true"/>
  <c r="T175" i="18" a="true"/>
  <c r="R297" i="18" a="true"/>
  <c r="S40" i="18" a="true"/>
  <c r="Y490" i="18" a="true"/>
  <c r="R413" i="18" a="true"/>
  <c r="R272" i="18" a="true"/>
  <c r="T284" i="18" a="true"/>
  <c r="Y244" i="18" a="true"/>
  <c r="V353" i="18" a="true"/>
  <c r="X220" i="18" a="true"/>
  <c r="T86" i="18" a="true"/>
  <c r="S135" i="18" a="true"/>
  <c r="Y100" i="18" a="true"/>
  <c r="Y428" i="18" a="true"/>
  <c r="Y304" i="18" a="true"/>
  <c r="U218" i="18" a="true"/>
  <c r="T471" i="18" a="true"/>
  <c r="U123" i="18" a="true"/>
  <c r="S261" i="18" a="true"/>
  <c r="T378" i="18" a="true"/>
  <c r="V147" i="18" a="true"/>
  <c r="X78" i="18" a="true"/>
  <c r="W78" i="18" a="true"/>
  <c r="U175" i="18" a="true"/>
  <c r="U420" i="18" a="true"/>
  <c r="U448" i="18" a="true"/>
  <c r="R117" i="18" a="true"/>
  <c r="S24" i="18" a="true"/>
  <c r="R163" i="18" a="true"/>
  <c r="R43" i="18" a="true"/>
  <c r="T495" i="18" a="true"/>
  <c r="Q91" i="18" a="true"/>
  <c r="S380" i="18" a="true"/>
  <c r="V36" i="18" a="true"/>
  <c r="S388" i="18" a="true"/>
  <c r="X461" i="18" a="true"/>
  <c r="T184" i="18" a="true"/>
  <c r="U462" i="18" a="true"/>
  <c r="R205" i="18" a="true"/>
  <c r="W193" i="18" a="true"/>
  <c r="Y409" i="18" a="true"/>
  <c r="W474" i="18" a="true"/>
  <c r="T273" i="18" a="true"/>
  <c r="V382" i="18" a="true"/>
  <c r="I408" i="25" a="true"/>
  <c r="X443" i="18" a="true"/>
  <c r="S276" i="18" a="true"/>
  <c r="S229" i="18" a="true"/>
  <c r="J273" i="25" a="true"/>
  <c r="V448" i="18" a="true"/>
  <c r="S497" i="18" a="true"/>
  <c r="W55" i="18" a="true"/>
  <c r="I392" i="25" a="true"/>
  <c r="X274" i="18" a="true"/>
  <c r="V411" i="18" a="true"/>
  <c r="Q354" i="18" a="true"/>
  <c r="I338" i="25" a="true"/>
  <c r="T460" i="18" a="true"/>
  <c r="U269" i="18" a="true"/>
  <c r="W167" i="18" a="true"/>
  <c r="J163" i="25" a="true"/>
  <c r="X88" i="18" a="true"/>
  <c r="S189" i="18" a="true"/>
  <c r="T91" i="18" a="true"/>
  <c r="T423" i="18" a="true"/>
  <c r="U497" i="18" a="true"/>
  <c r="U243" i="18" a="true"/>
  <c r="R7" i="18" a="true"/>
  <c r="J331" i="25" a="true"/>
  <c r="S73" i="18" a="true"/>
  <c r="V131" i="18" a="true"/>
  <c r="Q18" i="18" a="true"/>
  <c r="J485" i="25" a="true"/>
  <c r="Q253" i="18" a="true"/>
  <c r="R270" i="18" a="true"/>
  <c r="J463" i="25" a="true"/>
  <c r="U110" i="18" a="true"/>
  <c r="V11" i="18" a="true"/>
  <c r="S184" i="18" a="true"/>
  <c r="S377" i="18" a="true"/>
  <c r="X244" i="18" a="true"/>
  <c r="Q351" i="18" a="true"/>
  <c r="I307" i="25" a="true"/>
  <c r="W35" i="18" a="true"/>
  <c r="S233" i="18" a="true"/>
  <c r="Y119" i="18" a="true"/>
  <c r="S227" i="18" a="true"/>
  <c r="T243" i="18" a="true"/>
  <c r="Y74" i="18" a="true"/>
  <c r="I379" i="25" a="true"/>
  <c r="R397" i="18" a="true"/>
  <c r="T189" i="18" a="true"/>
  <c r="Y322" i="18" a="true"/>
  <c r="Y26" i="18" a="true"/>
  <c r="R57" i="18" a="true"/>
  <c r="U359" i="18" a="true"/>
  <c r="V196" i="18" a="true"/>
  <c r="T45" i="18" a="true"/>
  <c r="Y338" i="18" a="true"/>
  <c r="V279" i="18" a="true"/>
  <c r="T461" i="18" a="true"/>
  <c r="J165" i="25" a="true"/>
  <c r="V87" i="18" a="true"/>
  <c r="W66" i="18" a="true"/>
  <c r="T268" i="18" a="true"/>
  <c r="R255" i="18" a="true"/>
  <c r="S373" i="18" a="true"/>
  <c r="T408" i="18" a="true"/>
  <c r="W19" i="18" a="true"/>
  <c r="U146" i="18" a="true"/>
  <c r="U201" i="18" a="true"/>
  <c r="R463" i="18" a="true"/>
  <c r="W450" i="18" a="true"/>
  <c r="Y11" i="18" a="true"/>
  <c r="Y406" i="18" a="true"/>
  <c r="X446" i="18" a="true"/>
  <c r="R129" i="18" a="true"/>
  <c r="U392" i="18" a="true"/>
  <c r="X491" i="18" a="true"/>
  <c r="T323" i="18" a="true"/>
  <c r="T354" i="18" a="true"/>
  <c r="T325" i="18" a="true"/>
  <c r="T505" i="18" a="true"/>
  <c r="S63" i="18" a="true"/>
  <c r="Y186" i="18" a="true"/>
  <c r="S325" i="18" a="true"/>
  <c r="X137" i="18" a="true"/>
  <c r="V90" i="18" a="true"/>
  <c r="S498" i="18" a="true"/>
  <c r="S173" i="18" a="true"/>
  <c r="Q352" i="18" a="true"/>
  <c r="Q425" i="18" a="true"/>
  <c r="U415" i="18" a="true"/>
  <c r="T61" i="18" a="true"/>
  <c r="U451" i="18" a="true"/>
  <c r="T491" i="18" a="true"/>
  <c r="S10" i="18" a="true"/>
  <c r="V376" i="18" a="true"/>
  <c r="S480" i="18" a="true"/>
  <c r="U58" i="18" a="true"/>
  <c r="Y77" i="18" a="true"/>
  <c r="W82" i="18" a="true"/>
  <c r="S240" i="18" a="true"/>
  <c r="X299" i="18" a="true"/>
  <c r="U422" i="18" a="true"/>
  <c r="V245" i="18" a="true"/>
  <c r="R318" i="18" a="true"/>
  <c r="X360" i="18" a="true"/>
  <c r="Q301" i="18" a="true"/>
  <c r="S103" i="18" a="true"/>
  <c r="W472" i="18" a="true"/>
  <c r="Y431" i="18" a="true"/>
  <c r="R66" i="18" a="true"/>
  <c r="V194" i="18" a="true"/>
  <c r="U355" i="18" a="true"/>
  <c r="Q342" i="18" a="true"/>
  <c r="T161" i="18" a="true"/>
  <c r="W153" i="18" a="true"/>
  <c r="Y138" i="18" a="true"/>
  <c r="X328" i="18" a="true"/>
  <c r="W494" i="18" a="true"/>
  <c r="Y295" i="18" a="true"/>
  <c r="Y158" i="18" a="true"/>
  <c r="X322" i="18" a="true"/>
  <c r="U351" i="18" a="true"/>
  <c r="W179" i="18" a="true"/>
  <c r="Q53" i="18" a="true"/>
  <c r="W251" i="18" a="true"/>
  <c r="W278" i="18" a="true"/>
  <c r="X204" i="18" a="true"/>
  <c r="S336" i="18" a="true"/>
  <c r="R376" i="18" a="true"/>
  <c r="Q228" i="18" a="true"/>
  <c r="Q431" i="18" a="true"/>
  <c r="Q353" i="18" a="true"/>
  <c r="W288" i="18" a="true"/>
  <c r="T370" i="18" a="true"/>
  <c r="Y256" i="18" a="true"/>
  <c r="Q261" i="18" a="true"/>
  <c r="T62" i="18" a="true"/>
  <c r="Q395" i="18" a="true"/>
  <c r="V18" i="18" a="true"/>
  <c r="V424" i="18" a="true"/>
  <c r="T208" i="18" a="true"/>
  <c r="W191" i="18" a="true"/>
  <c r="W441" i="18" a="true"/>
  <c r="R374" i="18" a="true"/>
  <c r="X215" i="18" a="true"/>
  <c r="X116" i="18" a="true"/>
  <c r="X45" i="18" a="true"/>
  <c r="U368" i="18" a="true"/>
  <c r="S308" i="18" a="true"/>
  <c r="T436" i="18" a="true"/>
  <c r="S86" i="18" a="true"/>
  <c r="W416" i="18" a="true"/>
  <c r="V66" i="18" a="true"/>
  <c r="T211" i="18" a="true"/>
  <c r="T388" i="18" a="true"/>
  <c r="R147" i="18" a="true"/>
  <c r="Y10" i="18" a="true"/>
  <c r="S249" i="18" a="true"/>
  <c r="U407" i="18" a="true"/>
  <c r="R330" i="18" a="true"/>
  <c r="V189" i="18" a="true"/>
  <c r="V91" i="18" a="true"/>
  <c r="U489" i="18" a="true"/>
  <c r="S466" i="18" a="true"/>
  <c r="R78" i="18" a="true"/>
  <c r="R87" i="18" a="true"/>
  <c r="W176" i="18" a="true"/>
  <c r="S53" i="18" a="true"/>
  <c r="W186" i="18" a="true"/>
  <c r="X341" i="18" a="true"/>
  <c r="V304" i="18" a="true"/>
  <c r="Y39" i="18" a="true"/>
  <c r="R61" i="18" a="true"/>
  <c r="S81" i="18" a="true"/>
  <c r="T478" i="18" a="true"/>
  <c r="R412" i="18" a="true"/>
  <c r="T339" i="18" a="true"/>
  <c r="Y468" i="18" a="true"/>
  <c r="Q278" i="18" a="true"/>
  <c r="Q319" i="18" a="true"/>
  <c r="S278" i="18" a="true"/>
  <c r="S102" i="18" a="true"/>
  <c r="W206" i="18" a="true"/>
  <c r="Y504" i="18" a="true"/>
  <c r="Q386" i="18" a="true"/>
  <c r="R138" i="18" a="true"/>
  <c r="W101" i="18" a="true"/>
  <c r="U475" i="18" a="true"/>
  <c r="X483" i="18" a="true"/>
  <c r="S268" i="18" a="true"/>
  <c r="R468" i="18" a="true"/>
  <c r="V244" i="18" a="true"/>
  <c r="R91" i="18" a="true"/>
  <c r="W335" i="18" a="true"/>
  <c r="W150" i="18" a="true"/>
  <c r="Q264" i="18" a="true"/>
  <c r="U254" i="18" a="true"/>
  <c r="Q407" i="18" a="true"/>
  <c r="V85" i="18" a="true"/>
  <c r="T118" i="18" a="true"/>
  <c r="U424" i="18" a="true"/>
  <c r="W114" i="18" a="true"/>
  <c r="V323" i="18" a="true"/>
  <c r="U273" i="18" a="true"/>
  <c r="S482" i="18" a="true"/>
  <c r="W477" i="18" a="true"/>
  <c r="V201" i="18" a="true"/>
  <c r="S202" i="18" a="true"/>
  <c r="W156" i="18" a="true"/>
  <c r="W356" i="18" a="true"/>
  <c r="V409" i="18" a="true"/>
  <c r="Q250" i="18" a="true"/>
  <c r="Y285" i="18" a="true"/>
  <c r="U204" i="18" a="true"/>
  <c r="U60" i="18" a="true"/>
  <c r="T246" i="18" a="true"/>
  <c r="S21" i="18" a="true"/>
  <c r="V419" i="18" a="true"/>
  <c r="X338" i="18" a="true"/>
  <c r="W505" i="18" a="true"/>
  <c r="T232" i="18" a="true"/>
  <c r="Y378" i="18" a="true"/>
  <c r="T326" i="18" a="true"/>
  <c r="X145" i="18" a="true"/>
  <c r="X351" i="18" a="true"/>
  <c r="R302" i="18" a="true"/>
  <c r="V506" i="18" a="true"/>
  <c r="T499" i="18" a="true"/>
  <c r="X295" i="18" a="true"/>
  <c r="S57" i="18" a="true"/>
  <c r="Y106" i="18" a="true"/>
  <c r="V390" i="18" a="true"/>
  <c r="R399" i="18" a="true"/>
  <c r="Y349" i="18" a="true"/>
  <c r="W151" i="18" a="true"/>
  <c r="V33" i="18" a="true"/>
  <c r="U437" i="18" a="true"/>
  <c r="X196" i="18" a="true"/>
  <c r="S154" i="18" a="true"/>
  <c r="U94" i="18" a="true"/>
  <c r="T504" i="18" a="true"/>
  <c r="U488" i="18" a="true"/>
  <c r="T440" i="18" a="true"/>
  <c r="T340" i="18" a="true"/>
  <c r="V385" i="18" a="true"/>
  <c r="Y445" i="18" a="true"/>
  <c r="U468" i="18" a="true"/>
  <c r="Q209" i="18" a="true"/>
  <c r="W67" i="18" a="true"/>
  <c r="Q95" i="18" a="true"/>
  <c r="W97" i="18" a="true"/>
  <c r="Q125" i="18" a="true"/>
  <c r="X482" i="18" a="true"/>
  <c r="V439" i="18" a="true"/>
  <c r="R362" i="18" a="true"/>
  <c r="Q254" i="18" a="true"/>
  <c r="X426" i="18" a="true"/>
  <c r="Y502" i="18" a="true"/>
  <c r="U445" i="18" a="true"/>
  <c r="R123" i="18" a="true"/>
  <c r="W89" i="18" a="true"/>
  <c r="S122" i="18" a="true"/>
  <c r="Q401" i="18" a="true"/>
  <c r="W220" i="18" a="true"/>
  <c r="Y274" i="18" a="true"/>
  <c r="S160" i="18" a="true"/>
  <c r="R249" i="18" a="true"/>
  <c r="J25" i="25" a="true"/>
  <c r="Q443" i="18" a="true"/>
  <c r="R341" i="18" a="true"/>
  <c r="Q126" i="18" a="true"/>
  <c r="J456" i="25" a="true"/>
  <c r="Q501" i="18" a="true"/>
  <c r="S31" i="18" a="true"/>
  <c r="U24" i="18" a="true"/>
  <c r="J495" i="25" a="true"/>
  <c r="U330" i="18" a="true"/>
  <c r="U62" i="18" a="true"/>
  <c r="Q235" i="18" a="true"/>
  <c r="Y52" i="18" a="true"/>
  <c r="Y128" i="18" a="true"/>
  <c r="U383" i="18" a="true"/>
  <c r="I215" i="25" a="true"/>
  <c r="T367" i="18" a="true"/>
  <c r="T341" i="18" a="true"/>
  <c r="W105" i="18" a="true"/>
  <c r="Q172" i="18" a="true"/>
  <c r="V486" i="18" a="true"/>
  <c r="W470" i="18" a="true"/>
  <c r="U365" i="18" a="true"/>
  <c r="W200" i="18" a="true"/>
  <c r="X288" i="18" a="true"/>
  <c r="J381" i="25" a="true"/>
  <c r="S467" i="18" a="true"/>
  <c r="X452" i="18" a="true"/>
  <c r="U11" i="18" a="true"/>
  <c r="I436" i="25" a="true"/>
  <c r="U239" i="18" a="true"/>
  <c r="V354" i="18" a="true"/>
  <c r="Y376" i="18" a="true"/>
  <c r="J82" i="25" a="true"/>
  <c r="U404" i="18" a="true"/>
  <c r="Q199" i="18" a="true"/>
  <c r="U372" i="18" a="true"/>
  <c r="J72" i="25" a="true"/>
  <c r="X112" i="18" a="true"/>
  <c r="U333" i="18" a="true"/>
  <c r="X390" i="18" a="true"/>
  <c r="J198" i="25" a="true"/>
  <c r="R300" i="18" a="true"/>
  <c r="X93" i="18" a="true"/>
  <c r="S13" i="18" a="true"/>
  <c r="J258" i="25" a="true"/>
  <c r="I41" i="25" a="true"/>
  <c r="T385" i="18" a="true"/>
  <c r="W49" i="18" a="true"/>
  <c r="Q185" i="18" a="true"/>
  <c r="W417" i="18" a="true"/>
  <c r="Q39" i="18" a="true"/>
  <c r="U74" i="18" a="true"/>
  <c r="I290" i="25" a="true"/>
  <c r="Y386" i="18" a="true"/>
  <c r="W408" i="18" a="true"/>
  <c r="T282" i="18" a="true"/>
  <c r="R13" i="18" a="true"/>
  <c r="J51" i="25" a="true"/>
  <c r="X422" i="18" a="true"/>
  <c r="I444" i="25" a="true"/>
  <c r="I500" i="25" a="true"/>
  <c r="S315" i="18" a="true"/>
  <c r="S350" i="18" a="true"/>
  <c r="I251" i="25" a="true"/>
  <c r="Y18" i="18" a="true"/>
  <c r="S115" i="18" a="true"/>
  <c r="R254" i="18" a="true"/>
  <c r="Q35" i="18" a="true"/>
  <c r="T403" i="18" a="true"/>
  <c r="Y156" i="18" a="true"/>
  <c r="J449" i="25" a="true"/>
  <c r="V505" i="18" a="true"/>
  <c r="V218" i="18" a="true"/>
  <c r="I381" i="25" a="true"/>
  <c r="J443" i="25" a="true"/>
  <c r="Y207" i="18" a="true"/>
  <c r="W30" i="18" a="true"/>
  <c r="T313" i="18" a="true"/>
  <c r="S495" i="18" a="true"/>
  <c r="J265" i="25" a="true"/>
  <c r="S28" i="18" a="true"/>
  <c r="Y249" i="18" a="true"/>
  <c r="S207" i="18" a="true"/>
  <c r="J400" i="25" a="true"/>
  <c r="R73" i="18" a="true"/>
  <c r="X189" i="18" a="true"/>
  <c r="I142" i="25" a="true"/>
  <c r="V370" i="18" a="true"/>
  <c r="R446" i="18" a="true"/>
  <c r="I398" i="25" a="true"/>
  <c r="T93" i="18" a="true"/>
  <c r="Q55" i="18" a="true"/>
  <c r="R305" i="18" a="true"/>
  <c r="X321" i="18" a="true"/>
  <c r="W437" i="18" a="true"/>
  <c r="Q496" i="18" a="true"/>
  <c r="X207" i="18" a="true"/>
  <c r="U256" i="18" a="true"/>
  <c r="S238" i="18" a="true"/>
  <c r="S405" i="18" a="true"/>
  <c r="X94" i="18" a="true"/>
  <c r="V291" i="18" a="true"/>
  <c r="V184" i="18" a="true"/>
  <c r="T441" i="18" a="true"/>
  <c r="Y159" i="18" a="true"/>
  <c r="Q464" i="18" a="true"/>
  <c r="R177" i="18" a="true"/>
  <c r="T101" i="18" a="true"/>
  <c r="X412" i="18" a="true"/>
  <c r="U262" i="18" a="true"/>
  <c r="W77" i="18" a="true"/>
  <c r="Y422" i="18" a="true"/>
  <c r="V346" i="18" a="true"/>
  <c r="T223" i="18" a="true"/>
  <c r="T336" i="18" a="true"/>
  <c r="U205" i="18" a="true"/>
  <c r="Q275" i="18" a="true"/>
  <c r="T356" i="18" a="true"/>
  <c r="X39" i="18" a="true"/>
  <c r="W398" i="18" a="true"/>
  <c r="W214" i="18" a="true"/>
  <c r="R398" i="18" a="true"/>
  <c r="Y314" i="18" a="true"/>
  <c r="R41" i="18" a="true"/>
  <c r="S108" i="18" a="true"/>
  <c r="V242" i="18" a="true"/>
  <c r="I23" i="25" a="true"/>
  <c r="U209" i="18" a="true"/>
  <c r="U474" i="18" a="true"/>
  <c r="Y306" i="18" a="true"/>
  <c r="J440" i="25" a="true"/>
  <c r="X414" i="18" a="true"/>
  <c r="W242" i="18" a="true"/>
  <c r="V436" i="18" a="true"/>
  <c r="J275" i="25" a="true"/>
  <c r="S458" i="18" a="true"/>
  <c r="S140" i="18" a="true"/>
  <c r="U90" i="18" a="true"/>
  <c r="Y450" i="18" a="true"/>
  <c r="S83" i="18" a="true"/>
  <c r="R52" i="18" a="true"/>
  <c r="I40" i="25" a="true"/>
  <c r="T330" i="18" a="true"/>
  <c r="Y443" i="18" a="true"/>
  <c r="U280" i="18" a="true"/>
  <c r="W351" i="18" a="true"/>
  <c r="S353" i="18" a="true"/>
  <c r="X76" i="18" a="true"/>
  <c r="W279" i="18" a="true"/>
  <c r="Y189" i="18" a="true"/>
  <c r="X393" i="18" a="true"/>
  <c r="Y352" i="18" a="true"/>
  <c r="V402" i="18" a="true"/>
  <c r="X59" i="18" a="true"/>
  <c r="U211" i="18" a="true"/>
  <c r="Q212" i="18" a="true"/>
  <c r="R395" i="18" a="true"/>
  <c r="Q122" i="18" a="true"/>
  <c r="V243" i="18" a="true"/>
  <c r="U39" i="18" a="true"/>
  <c r="W475" i="18" a="true"/>
  <c r="V475" i="18" a="true"/>
  <c r="Q202" i="18" a="true"/>
  <c r="U231" i="18" a="true"/>
  <c r="R18" i="18" a="true"/>
  <c r="Y75" i="18" a="true"/>
  <c r="R51" i="18" a="true"/>
  <c r="R237" i="18" a="true"/>
  <c r="Q439" i="18" a="true"/>
  <c r="Y371" i="18" a="true"/>
  <c r="R213" i="18" a="true"/>
  <c r="T314" i="18" a="true"/>
  <c r="V293" i="18" a="true"/>
  <c r="T15" i="18" a="true"/>
  <c r="S331" i="18" a="true"/>
  <c r="I21" i="25" a="true"/>
  <c r="Q324" i="18" a="true"/>
  <c r="U157" i="18" a="true"/>
  <c r="S444" i="18" a="true"/>
  <c r="W80" i="18" a="true"/>
  <c r="Q268" i="18" a="true"/>
  <c r="Y113" i="18" a="true"/>
  <c r="S334" i="18" a="true"/>
  <c r="S397" i="18" a="true"/>
  <c r="Q415" i="18" a="true"/>
  <c r="V286" i="18" a="true"/>
  <c r="Y362" i="18" a="true"/>
  <c r="Q113" i="18" a="true"/>
  <c r="Q453" i="18" a="true"/>
  <c r="V383" i="18" a="true"/>
  <c r="U84" i="18" a="true"/>
  <c r="Y137" i="18" a="true"/>
  <c r="X208" i="18" a="true"/>
  <c r="R269" i="18" a="true"/>
  <c r="J352" i="25" a="true"/>
  <c r="R445" i="18" a="true"/>
  <c r="W68" i="18" a="true"/>
  <c r="J322" i="25" a="true"/>
  <c r="R471" i="18" a="true"/>
  <c r="X108" i="18" a="true"/>
  <c r="Q310" i="18" a="true"/>
  <c r="S346" i="18" a="true"/>
  <c r="R480" i="18" a="true"/>
  <c r="V144" i="18" a="true"/>
  <c r="Y336" i="18" a="true"/>
  <c r="Y429" i="18" a="true"/>
  <c r="S29" i="18" a="true"/>
  <c r="W152" i="18" a="true"/>
  <c r="Y292" i="18" a="true"/>
  <c r="T448" i="18" a="true"/>
  <c r="J405" i="25" a="true"/>
  <c r="X296" i="18" a="true"/>
  <c r="X281" i="18" a="true"/>
  <c r="R17" i="18" a="true"/>
  <c r="I382" i="25" a="true"/>
  <c r="V52" i="18" a="true"/>
  <c r="I10" i="25" a="true"/>
  <c r="S206" i="18" a="true"/>
  <c r="T168" i="18" a="true"/>
  <c r="I297" i="25" a="true"/>
  <c r="S270" i="18" a="true"/>
  <c r="T444" i="18" a="true"/>
  <c r="U504" i="18" a="true"/>
  <c r="R442" i="18" a="true"/>
  <c r="W137" i="18" a="true"/>
  <c r="I416" i="25" a="true"/>
  <c r="S89" i="18" a="true"/>
  <c r="I121" i="25" a="true"/>
  <c r="U339" i="18" a="true"/>
  <c r="X494" i="18" a="true"/>
  <c r="Q99" i="18" a="true"/>
  <c r="V95" i="18" a="true"/>
  <c r="J240" i="25" a="true"/>
  <c r="W221" i="18" a="true"/>
  <c r="X389" i="18" a="true"/>
  <c r="J230" i="25" a="true"/>
  <c r="T52" i="18" a="true"/>
  <c r="Q213" i="18" a="true"/>
  <c r="W349" i="18" a="true"/>
  <c r="S258" i="18" a="true"/>
  <c r="J396" i="25" a="true"/>
  <c r="S70" i="18" a="true"/>
  <c r="Y361" i="18" a="true"/>
  <c r="J287" i="25" a="true"/>
  <c r="Q237" i="18" a="true"/>
  <c r="J366" i="25" a="true"/>
  <c r="U292" i="18" a="true"/>
  <c r="S142" i="18" a="true"/>
  <c r="S391" i="18" a="true"/>
  <c r="V483" i="18" a="true"/>
  <c r="J184" i="25" a="true"/>
  <c r="R137" i="18" a="true"/>
  <c r="V444" i="18" a="true"/>
  <c r="I329" i="25" a="true"/>
  <c r="V503" i="18" a="true"/>
  <c r="Q322" i="18" a="true"/>
  <c r="U427" i="18" a="true"/>
  <c r="I303" i="25" a="true"/>
  <c r="V21" i="18" a="true"/>
  <c r="I285" i="25" a="true"/>
  <c r="R227" i="18" a="true"/>
  <c r="I126" i="25" a="true"/>
  <c r="W21" i="18" a="true"/>
  <c r="I227" i="25" a="true"/>
  <c r="S210" i="18" a="true"/>
  <c r="X166" i="18" a="true"/>
  <c r="J67" i="25" a="true"/>
  <c r="J54" i="25" a="true"/>
  <c r="T29" i="18" a="true"/>
  <c r="V50" i="18" a="true"/>
  <c r="R288" i="18" a="true"/>
  <c r="X260" i="18" a="true"/>
  <c r="S120" i="18" a="true"/>
  <c r="Q29" i="18" a="true"/>
  <c r="Y262" i="18" a="true"/>
  <c r="T113" i="18" a="true"/>
  <c r="X202" i="18" a="true"/>
  <c r="Y167" i="18" a="true"/>
  <c r="W133" i="18" a="true"/>
  <c r="X386" i="18" a="true"/>
  <c r="W345" i="18" a="true"/>
  <c r="S200" i="18" a="true"/>
  <c r="Y419" i="18" a="true"/>
  <c r="T415" i="18" a="true"/>
  <c r="R195" i="18" a="true"/>
  <c r="T224" i="18" a="true"/>
  <c r="R457" i="18" a="true"/>
  <c r="Q114" i="18" a="true"/>
  <c r="Y34" i="18" a="true"/>
  <c r="Y279" i="18" a="true"/>
  <c r="X149" i="18" a="true"/>
  <c r="R55" i="18" a="true"/>
  <c r="Y238" i="18" a="true"/>
  <c r="W399" i="18" a="true"/>
  <c r="Q257" i="18" a="true"/>
  <c r="I9" i="25" a="true"/>
  <c r="V223" i="18" a="true"/>
  <c r="T427" i="18" a="true"/>
  <c r="J446" i="25" a="true"/>
  <c r="Q96" i="18" a="true"/>
  <c r="U172" i="18" a="true"/>
  <c r="T431" i="18" a="true"/>
  <c r="S376" i="18" a="true"/>
  <c r="Y270" i="18" a="true"/>
  <c r="R501" i="18" a="true"/>
  <c r="X407" i="18" a="true"/>
  <c r="U367" i="18" a="true"/>
  <c r="W120" i="18" a="true"/>
  <c r="R222" i="18" a="true"/>
  <c r="Q31" i="18" a="true"/>
  <c r="J10" i="25" a="true"/>
  <c r="T373" i="18" a="true"/>
  <c r="X15" i="18" a="true"/>
  <c r="U119" i="18" a="true"/>
  <c r="S327" i="18" a="true"/>
  <c r="W411" i="18" a="true"/>
  <c r="T307" i="18" a="true"/>
  <c r="J332" i="25" a="true"/>
  <c r="W333" i="18" a="true"/>
  <c r="Q54" i="18" a="true"/>
  <c r="I283" i="25" a="true"/>
  <c r="T76" i="18" a="true"/>
  <c r="X302" i="18" a="true"/>
  <c r="Q61" i="18" a="true"/>
  <c r="I479" i="25" a="true"/>
  <c r="W311" i="18" a="true"/>
  <c r="V212" i="18" a="true"/>
  <c r="Y88" i="18" a="true"/>
  <c r="Q463" i="18" a="true"/>
  <c r="W86" i="18" a="true"/>
  <c r="S361" i="18" a="true"/>
  <c r="Y474" i="18" a="true"/>
  <c r="T351" i="18" a="true"/>
  <c r="I286" i="25" a="true"/>
  <c r="Y414" i="18" a="true"/>
  <c r="Y240" i="18" a="true"/>
  <c r="R214" i="18" a="true"/>
  <c r="I117" i="25" a="true"/>
  <c r="Q108" i="18" a="true"/>
  <c r="I58" i="25" a="true"/>
  <c r="V367" i="18" a="true"/>
  <c r="T36" i="18" a="true"/>
  <c r="I475" i="25" a="true"/>
  <c r="S421" i="18" a="true"/>
  <c r="S309" i="18" a="true"/>
  <c r="T132" i="18" a="true"/>
  <c r="R136" i="18" a="true"/>
  <c r="S448" i="18" a="true"/>
  <c r="J399" i="25" a="true"/>
  <c r="T219" i="18" a="true"/>
  <c r="I27" i="25" a="true"/>
  <c r="X324" i="18" a="true"/>
  <c r="R430" i="18" a="true"/>
  <c r="T46" i="18" a="true"/>
  <c r="V127" i="18" a="true"/>
  <c r="I169" i="25" a="true"/>
  <c r="V188" i="18" a="true"/>
  <c r="U386" i="18" a="true"/>
  <c r="I410" i="25" a="true"/>
  <c r="V38" i="18" a="true"/>
  <c r="J4" i="25" a="true"/>
  <c r="Y62" i="18" a="true"/>
  <c r="V272" i="18" a="true"/>
  <c r="J288" i="25" a="true"/>
  <c r="T124" i="18" a="true"/>
  <c r="Q267" i="18" a="true"/>
  <c r="I81" i="25" a="true"/>
  <c r="I401" i="25" a="true"/>
  <c r="I76" i="25" a="true"/>
  <c r="R192" i="18" a="true"/>
  <c r="T256" i="18" a="true"/>
  <c r="Y412" i="18" a="true"/>
  <c r="R211" i="18" a="true"/>
  <c r="I314" i="25" a="true"/>
  <c r="V358" i="18" a="true"/>
  <c r="S505" i="18" a="true"/>
  <c r="I400" i="25" a="true"/>
  <c r="X130" i="18" a="true"/>
  <c r="Y126" i="18" a="true"/>
  <c r="X290" i="18" a="true"/>
  <c r="I157" i="25" a="true"/>
  <c r="U22" i="18" a="true"/>
  <c r="J210" i="25" a="true"/>
  <c r="Y296" i="18" a="true"/>
  <c r="J28" i="25" a="true"/>
  <c r="I336" i="25" a="true"/>
  <c r="I353" i="25" a="true"/>
  <c r="R30" i="18" a="true"/>
  <c r="R313" i="18" a="true"/>
  <c r="J295" i="25" a="true"/>
  <c r="J233" i="25" a="true"/>
  <c r="W260" i="18" a="true"/>
  <c r="W110" i="18" a="true"/>
  <c r="Y470" i="18" a="true"/>
  <c r="I49" i="25" a="true"/>
  <c r="Y155" i="18" a="true"/>
  <c r="X367" i="18" a="true"/>
  <c r="X44" i="18" a="true"/>
  <c r="S450" i="18" a="true"/>
  <c r="V454" i="18" a="true"/>
  <c r="X392" i="18" a="true"/>
  <c r="W496" i="18" a="true"/>
  <c r="W139" i="18" a="true"/>
  <c r="X420" i="18" a="true"/>
  <c r="S400" i="18" a="true"/>
  <c r="W401" i="18" a="true"/>
  <c r="S275" i="18" a="true"/>
  <c r="S286" i="18" a="true"/>
  <c r="U467" i="18" a="true"/>
  <c r="R206" i="18" a="true"/>
  <c r="Y407" i="18" a="true"/>
  <c r="Q30" i="18" a="true"/>
  <c r="Y435" i="18" a="true"/>
  <c r="R461" i="18" a="true"/>
  <c r="T37" i="18" a="true"/>
  <c r="W235" i="18" a="true"/>
  <c r="R190" i="18" a="true"/>
  <c r="V53" i="18" a="true"/>
  <c r="W314" i="18" a="true"/>
  <c r="X74" i="18" a="true"/>
  <c r="U65" i="18" a="true"/>
  <c r="T135" i="18" a="true"/>
  <c r="I485" i="25" a="true"/>
  <c r="X438" i="18" a="true"/>
  <c r="V392" i="18" a="true"/>
  <c r="I328" i="25" a="true"/>
  <c r="Y7" i="18" a="true"/>
  <c r="U374" i="18" a="true"/>
  <c r="S392" i="18" a="true"/>
  <c r="W207" i="18" a="true"/>
  <c r="X122" i="18" a="true"/>
  <c r="T419" i="18" a="true"/>
  <c r="S123" i="18" a="true"/>
  <c r="Q471" i="18" a="true"/>
  <c r="S26" i="18" a="true"/>
  <c r="R31" i="18" a="true"/>
  <c r="R116" i="18" a="true"/>
  <c r="J147" i="25" a="true"/>
  <c r="X191" i="18" a="true"/>
  <c r="V247" i="18" a="true"/>
  <c r="Y49" i="18" a="true"/>
  <c r="X394" i="18" a="true"/>
  <c r="T300" i="18" a="true"/>
  <c r="W294" i="18" a="true"/>
  <c r="I205" i="25" a="true"/>
  <c r="W480" i="18" a="true"/>
  <c r="Y301" i="18" a="true"/>
  <c r="I174" i="25" a="true"/>
  <c r="X440" i="18" a="true"/>
  <c r="W74" i="18" a="true"/>
  <c r="J248" i="25" a="true"/>
  <c r="J379" i="25" a="true"/>
  <c r="S214" i="18" a="true"/>
  <c r="R202" i="18" a="true"/>
  <c r="S104" i="18" a="true"/>
  <c r="W300" i="18" a="true"/>
  <c r="Y45" i="18" a="true"/>
  <c r="T179" i="18" a="true"/>
  <c r="S255" i="18" a="true"/>
  <c r="Q359" i="18" a="true"/>
  <c r="J424" i="25" a="true"/>
  <c r="S188" i="18" a="true"/>
  <c r="T238" i="18" a="true"/>
  <c r="U314" i="18" a="true"/>
  <c r="X142" i="18" a="true"/>
  <c r="R289" i="18" a="true"/>
  <c r="I120" i="25" a="true"/>
  <c r="Q109" i="18" a="true"/>
  <c r="W166" i="18" a="true"/>
  <c r="I364" i="25" a="true"/>
  <c r="Y299" i="18" a="true"/>
  <c r="W268" i="18" a="true"/>
  <c r="S479" i="18" a="true"/>
  <c r="V446" i="18" a="true"/>
  <c r="T346" i="18" a="true"/>
  <c r="I182" i="25" a="true"/>
  <c r="U25" i="18" a="true"/>
  <c r="I219" i="25" a="true"/>
  <c r="V316" i="18" a="true"/>
  <c r="T421" i="18" a="true"/>
  <c r="I250" i="25" a="true"/>
  <c r="U331" i="18" a="true"/>
  <c r="I68" i="25" a="true"/>
  <c r="V54" i="18" a="true"/>
  <c r="Q219" i="18" a="true"/>
  <c r="I292" i="25" a="true"/>
  <c r="V219" i="18" a="true"/>
  <c r="I284" i="25" a="true"/>
  <c r="T22" i="18" a="true"/>
  <c r="W239" i="18" a="true"/>
  <c r="I146" i="25" a="true"/>
  <c r="U54" i="18" a="true"/>
  <c r="X498" i="18" a="true"/>
  <c r="I293" i="25" a="true"/>
  <c r="J50" i="25" a="true"/>
  <c r="J173" i="25" a="true"/>
  <c r="Y115" i="18" a="true"/>
  <c r="X330" i="18" a="true"/>
  <c r="X255" i="18" a="true"/>
  <c r="I97" i="25" a="true"/>
  <c r="I37" i="25" a="true"/>
  <c r="V443" i="18" a="true"/>
  <c r="R293" i="18" a="true"/>
  <c r="J102" i="25" a="true"/>
  <c r="S39" i="18" a="true"/>
  <c r="Y209" i="18" a="true"/>
  <c r="Y488" i="18" a="true"/>
  <c r="J289" i="25" a="true"/>
  <c r="W324" i="18" a="true"/>
  <c r="I291" i="25" a="true"/>
  <c r="T191" i="18" a="true"/>
  <c r="J389" i="25" a="true"/>
  <c r="J385" i="25" a="true"/>
  <c r="J280" i="25" a="true"/>
  <c r="J276" i="25" a="true"/>
  <c r="W358" i="18" a="true"/>
  <c r="W454" i="18" a="true"/>
  <c r="U449" i="18" a="true"/>
  <c r="Q410" i="18" a="true"/>
  <c r="X257" i="18" a="true"/>
  <c r="I461" i="25" a="true"/>
  <c r="J390" i="25" a="true"/>
  <c r="W327" i="18" a="true"/>
  <c r="X486" i="18" a="true"/>
  <c r="T381" i="18" a="true"/>
  <c r="Q292" i="18" a="true"/>
  <c r="W127" i="18" a="true"/>
  <c r="V313" i="18" a="true"/>
  <c r="V255" i="18" a="true"/>
  <c r="X217" i="18" a="true"/>
  <c r="X124" i="18" a="true"/>
  <c r="W323" i="18" a="true"/>
  <c r="S204" i="18" a="true"/>
  <c r="V177" i="18" a="true"/>
  <c r="W392" i="18" a="true"/>
  <c r="T122" i="18" a="true"/>
  <c r="U473" i="18" a="true"/>
  <c r="T434" i="18" a="true"/>
  <c r="T71" i="18" a="true"/>
  <c r="R408" i="18" a="true"/>
  <c r="U274" i="18" a="true"/>
  <c r="V417" i="18" a="true"/>
  <c r="S35" i="18" a="true"/>
  <c r="U350" i="18" a="true"/>
  <c r="W290" i="18" a="true"/>
  <c r="X279" i="18" a="true"/>
  <c r="X365" i="18" a="true"/>
  <c r="J376" i="25" a="true"/>
  <c r="S407" i="18" a="true"/>
  <c r="Y300" i="18" a="true"/>
  <c r="V345" i="18" a="true"/>
  <c r="T47" i="18" a="true"/>
  <c r="X214" i="18" a="true"/>
  <c r="S481" i="18" a="true"/>
  <c r="U73" i="18" a="true"/>
  <c r="T121" i="18" a="true"/>
  <c r="S141" i="18" a="true"/>
  <c r="R189" i="18" a="true"/>
  <c r="X362" i="18" a="true"/>
  <c r="Q497" i="18" a="true"/>
  <c r="W240" i="18" a="true"/>
  <c r="Y112" i="18" a="true"/>
  <c r="J160" i="25" a="true"/>
  <c r="S244" i="18" a="true"/>
  <c r="Y179" i="18" a="true"/>
  <c r="Y33" i="18" a="true"/>
  <c r="U187" i="18" a="true"/>
  <c r="Q233" i="18" a="true"/>
  <c r="V373" i="18" a="true"/>
  <c r="I443" i="25" a="true"/>
  <c r="X271" i="18" a="true"/>
  <c r="U258" i="18" a="true"/>
  <c r="I448" i="25" a="true"/>
  <c r="Y184" i="18" a="true"/>
  <c r="Y452" i="18" a="true"/>
  <c r="J383" i="25" a="true"/>
  <c r="I356" i="25" a="true"/>
  <c r="Y83" i="18" a="true"/>
  <c r="T149" i="18" a="true"/>
  <c r="R106" i="18" a="true"/>
  <c r="V334" i="18" a="true"/>
  <c r="Q369" i="18" a="true"/>
  <c r="X239" i="18" a="true"/>
  <c r="X269" i="18" a="true"/>
  <c r="Q74" i="18" a="true"/>
  <c r="I176" i="25" a="true"/>
  <c r="Q163" i="18" a="true"/>
  <c r="U70" i="18" a="true"/>
  <c r="R67" i="18" a="true"/>
  <c r="S265" i="18" a="true"/>
  <c r="S164" i="18" a="true"/>
  <c r="J292" i="25" a="true"/>
  <c r="J490" i="25" a="true"/>
  <c r="X33" i="18" a="true"/>
  <c r="I399" i="25" a="true"/>
  <c r="Y387" i="18" a="true"/>
  <c r="V61" i="18" a="true"/>
  <c r="Q288" i="18" a="true"/>
  <c r="V299" i="18" a="true"/>
  <c r="Q232" i="18" a="true"/>
  <c r="J124" i="25" a="true"/>
  <c r="T295" i="18" a="true"/>
  <c r="I393" i="25" a="true"/>
  <c r="X176" i="18" a="true"/>
  <c r="S345" i="18" a="true"/>
  <c r="V498" i="18" a="true"/>
  <c r="Y54" i="18" a="true"/>
  <c r="J438" i="25" a="true"/>
  <c r="T247" i="18" a="true"/>
  <c r="Q327" i="18" a="true"/>
  <c r="I186" i="25" a="true"/>
  <c r="V330" i="18" a="true"/>
  <c r="J351" i="25" a="true"/>
  <c r="I138" i="25" a="true"/>
  <c r="U114" i="18" a="true"/>
  <c r="I344" i="25" a="true"/>
  <c r="Q381" i="18" a="true"/>
  <c r="V174" i="18" a="true"/>
  <c r="I148" i="25" a="true"/>
  <c r="R328" i="18" a="true"/>
  <c r="U376" i="18" a="true"/>
  <c r="Y104" i="18" a="true"/>
  <c r="I497" i="25" a="true"/>
  <c r="Q76" i="18" a="true"/>
  <c r="J278" i="25" a="true"/>
  <c r="Q80" i="18" a="true"/>
  <c r="W473" i="18" a="true"/>
  <c r="S172" i="18" a="true"/>
  <c r="J423" i="25" a="true"/>
  <c r="T25" i="18" a="true"/>
  <c r="S23" i="18" a="true"/>
  <c r="R252" i="18" a="true"/>
  <c r="I255" i="25" a="true"/>
  <c r="R315" i="18" a="true"/>
  <c r="W102" i="18" a="true"/>
  <c r="X319" i="18" a="true"/>
  <c r="I447" i="25" a="true"/>
  <c r="J164" i="25" a="true"/>
  <c r="I323" i="25" a="true"/>
  <c r="I101" i="25" a="true"/>
  <c r="W93" i="18" a="true"/>
  <c r="Y275" i="18" a="true"/>
  <c r="Q45" i="18" a="true"/>
  <c r="R279" i="18" a="true"/>
  <c r="I465" i="25" a="true"/>
  <c r="J83" i="25" a="true"/>
  <c r="J205" i="25" a="true"/>
  <c r="Q194" i="18" a="true"/>
  <c r="I59" i="25" a="true"/>
  <c r="X201" i="18" a="true"/>
  <c r="Y475" i="18" a="true"/>
  <c r="T438" i="18" a="true"/>
  <c r="Y324" i="18" a="true"/>
  <c r="U380" i="18" a="true"/>
  <c r="S333" i="18" a="true"/>
  <c r="V302" i="18" a="true"/>
  <c r="U371" i="18" a="true"/>
  <c r="V165" i="18" a="true"/>
  <c r="Y444" i="18" a="true"/>
  <c r="T359" i="18" a="true"/>
  <c r="X425" i="18" a="true"/>
  <c r="V130" i="18" a="true"/>
  <c r="V202" i="18" a="true"/>
  <c r="X72" i="18" a="true"/>
  <c r="R169" i="18" a="true"/>
  <c r="Q397" i="18" a="true"/>
  <c r="Q205" i="18" a="true"/>
  <c r="V123" i="18" a="true"/>
  <c r="U493" i="18" a="true"/>
  <c r="X241" i="18" a="true"/>
  <c r="Q355" i="18" a="true"/>
  <c r="U202" i="18" a="true"/>
  <c r="U332" i="18" a="true"/>
  <c r="W471" i="18" a="true"/>
  <c r="Y210" i="18" a="true"/>
  <c r="J236" i="25" a="true"/>
  <c r="T464" i="18" a="true"/>
  <c r="T288" i="18" a="true"/>
  <c r="R165" i="18" a="true"/>
  <c r="U127" i="18" a="true"/>
  <c r="Q434" i="18" a="true"/>
  <c r="Y28" i="18" a="true"/>
  <c r="X97" i="18" a="true"/>
  <c r="T107" i="18" a="true"/>
  <c r="T368" i="18" a="true"/>
  <c r="S423" i="18" a="true"/>
  <c r="S220" i="18" a="true"/>
  <c r="W445" i="18" a="true"/>
  <c r="Y162" i="18" a="true"/>
  <c r="W164" i="18" a="true"/>
  <c r="J188" i="25" a="true"/>
  <c r="X332" i="18" a="true"/>
  <c r="X243" i="18" a="true"/>
  <c r="I358" i="25" a="true"/>
  <c r="S42" i="18" a="true"/>
  <c r="Q258" i="18" a="true"/>
  <c r="S329" i="18" a="true"/>
  <c r="J315" i="25" a="true"/>
  <c r="S68" i="18" a="true"/>
  <c r="W208" i="18" a="true"/>
  <c r="I133" i="25" a="true"/>
  <c r="Q440" i="18" a="true"/>
  <c r="T54" i="18" a="true"/>
  <c r="J354" i="25" a="true"/>
  <c r="S134" i="18" a="true"/>
  <c r="Y491" i="18" a="true"/>
  <c r="S92" i="18" a="true"/>
  <c r="S446" i="18" a="true"/>
  <c r="V65" i="18" a="true"/>
  <c r="W243" i="18" a="true"/>
  <c r="R500" i="18" a="true"/>
  <c r="Q450" i="18" a="true"/>
  <c r="R307" i="18" a="true"/>
  <c r="J123" i="25" a="true"/>
  <c r="S342" i="18" a="true"/>
  <c r="Y312" i="18" a="true"/>
  <c r="X103" i="18" a="true"/>
  <c r="T263" i="18" a="true"/>
  <c r="X238" i="18" a="true"/>
  <c r="Y56" i="18" a="true"/>
  <c r="J464" i="25" a="true"/>
  <c r="T160" i="18" a="true"/>
  <c r="J411" i="25" a="true"/>
  <c r="R108" i="18" a="true"/>
  <c r="T104" i="18" a="true"/>
  <c r="I488" i="25" a="true"/>
  <c r="X417" i="18" a="true"/>
  <c r="S374" i="18" a="true"/>
  <c r="R475" i="18" a="true"/>
  <c r="X300" i="18" a="true"/>
  <c r="J304" i="25" a="true"/>
  <c r="T355" i="18" a="true"/>
  <c r="W13" i="18" a="true"/>
  <c r="V303" i="18" a="true"/>
  <c r="Q192" i="18" a="true"/>
  <c r="W162" i="18" a="true"/>
  <c r="X197" i="18" a="true"/>
  <c r="T119" i="18" a="true"/>
  <c r="J80" i="25" a="true"/>
  <c r="V407" i="18" a="true"/>
  <c r="I220" i="25" a="true"/>
  <c r="J232" i="25" a="true"/>
  <c r="W140" i="18" a="true"/>
  <c r="I202" i="25" a="true"/>
  <c r="J30" i="25" a="true"/>
  <c r="S464" i="18" a="true"/>
  <c r="S74" i="18" a="true"/>
  <c r="Y501" i="18" a="true"/>
  <c r="X38" i="18" a="true"/>
  <c r="T174" i="18" a="true"/>
  <c r="W425" i="18" a="true"/>
  <c r="Q187" i="18" a="true"/>
  <c r="Q239" i="18" a="true"/>
  <c r="U289" i="18" a="true"/>
  <c r="J98" i="25" a="true"/>
  <c r="S496" i="18" a="true"/>
  <c r="J192" i="25" a="true"/>
  <c r="V357" i="18" a="true"/>
  <c r="W16" i="18" a="true"/>
  <c r="U503" i="18" a="true"/>
  <c r="I348" i="25" a="true"/>
  <c r="Y458" i="18" a="true"/>
  <c r="R101" i="18" a="true"/>
  <c r="Y252" i="18" a="true"/>
  <c r="I463" i="25" a="true"/>
  <c r="I494" i="25" a="true"/>
  <c r="Q458" i="18" a="true"/>
  <c r="Y264" i="18" a="true"/>
  <c r="V362" i="18" a="true"/>
  <c r="I466" i="25" a="true"/>
  <c r="W287" i="18" a="true"/>
  <c r="U136" i="18" a="true"/>
  <c r="R497" i="18" a="true"/>
  <c r="S153" i="18" a="true"/>
  <c r="S358" i="18" a="true"/>
  <c r="X121" i="18" a="true"/>
  <c r="Y440" i="18" a="true"/>
  <c r="V97" i="18" a="true"/>
  <c r="S181" i="18" a="true"/>
  <c r="S56" i="18" a="true"/>
  <c r="Q77" i="18" a="true"/>
  <c r="W336" i="18" a="true"/>
  <c r="U366" i="18" a="true"/>
  <c r="T498" i="18" a="true"/>
  <c r="S453" i="18" a="true"/>
  <c r="V233" i="18" a="true"/>
  <c r="X492" i="18" a="true"/>
  <c r="Y87" i="18" a="true"/>
  <c r="Q224" i="18" a="true"/>
  <c r="V406" i="18" a="true"/>
  <c r="Q198" i="18" a="true"/>
  <c r="X156" i="18" a="true"/>
  <c r="R162" i="18" a="true"/>
  <c r="R484" i="18" a="true"/>
  <c r="T264" i="18" a="true"/>
  <c r="Q360" i="18" a="true"/>
  <c r="T151" i="18" a="true"/>
  <c r="X410" i="18" a="true"/>
  <c r="W26" i="18" a="true"/>
  <c r="Q137" i="18" a="true"/>
  <c r="S386" i="18" a="true"/>
  <c r="Q20" i="18" a="true"/>
  <c r="Y441" i="18" a="true"/>
  <c r="V264" i="18" a="true"/>
  <c r="U352" i="18" a="true"/>
  <c r="Y86" i="18" a="true"/>
  <c r="R505" i="18" a="true"/>
  <c r="S415" i="18" a="true"/>
  <c r="Y121" i="18" a="true"/>
  <c r="Y212" i="18" a="true"/>
  <c r="V496" i="18" a="true"/>
  <c r="V43" i="18" a="true"/>
  <c r="Y122" i="18" a="true"/>
  <c r="Q479" i="18" a="true"/>
  <c r="Y64" i="18" a="true"/>
  <c r="T275" i="18" a="true"/>
  <c r="S424" i="18" a="true"/>
  <c r="J261" i="25" a="true"/>
  <c r="R265" i="18" a="true"/>
  <c r="S417" i="18" a="true"/>
  <c r="U395" i="18" a="true"/>
  <c r="V10" i="18" a="true"/>
  <c r="I357" i="25" a="true"/>
  <c r="U63" i="18" a="true"/>
  <c r="T229" i="18" a="true"/>
  <c r="Y298" i="18" a="true"/>
  <c r="Y173" i="18" a="true"/>
  <c r="V296" i="18" a="true"/>
  <c r="V289" i="18" a="true"/>
  <c r="U426" i="18" a="true"/>
  <c r="W464" i="18" a="true"/>
  <c r="T276" i="18" a="true"/>
  <c r="T226" i="18" a="true"/>
  <c r="U55" i="18" a="true"/>
  <c r="U135" i="18" a="true"/>
  <c r="Q118" i="18" a="true"/>
  <c r="S132" i="18" a="true"/>
  <c r="T146" i="18" a="true"/>
  <c r="J144" i="25" a="true"/>
  <c r="X453" i="18" a="true"/>
  <c r="R45" i="18" a="true"/>
  <c r="I473" i="25" a="true"/>
  <c r="I86" i="25" a="true"/>
  <c r="U212" i="18" a="true"/>
  <c r="X46" i="18" a="true"/>
  <c r="R207" i="18" a="true"/>
  <c r="W466" i="18" a="true"/>
  <c r="R179" i="18" a="true"/>
  <c r="J37" i="25" a="true"/>
  <c r="X209" i="18" a="true"/>
  <c r="U364" i="18" a="true"/>
  <c r="J168" i="25" a="true"/>
  <c r="V283" i="18" a="true"/>
  <c r="R301" i="18" a="true"/>
  <c r="R114" i="18" a="true"/>
  <c r="Q140" i="18" a="true"/>
  <c r="S443" i="18" a="true"/>
  <c r="W148" i="18" a="true"/>
  <c r="W361" i="18" a="true"/>
  <c r="R366" i="18" a="true"/>
  <c r="Y359" i="18" a="true"/>
  <c r="J202" i="25" a="true"/>
  <c r="V364" i="18" a="true"/>
  <c r="J209" i="25" a="true"/>
  <c r="J19" i="25" a="true"/>
  <c r="X343" i="18" a="true"/>
  <c r="T138" i="18" a="true"/>
  <c r="X47" i="18" a="true"/>
  <c r="W79" i="18" a="true"/>
  <c r="I332" i="25" a="true"/>
  <c r="J78" i="25" a="true"/>
  <c r="R491" i="18" a="true"/>
  <c r="I85" i="25" a="true"/>
  <c r="W402" i="18" a="true"/>
  <c r="Y351" i="18" a="true"/>
  <c r="Y107" i="18" a="true"/>
  <c r="X384" i="18" a="true"/>
  <c r="U263" i="18" a="true"/>
  <c r="X301" i="18" a="true"/>
  <c r="I335" i="25" a="true"/>
  <c r="Y63" i="18" a="true"/>
  <c r="V478" i="18" a="true"/>
  <c r="Q490" i="18" a="true"/>
  <c r="S36" i="18" a="true"/>
  <c r="V285" i="18" a="true"/>
  <c r="Q33" i="18" a="true"/>
  <c r="J269" i="25" a="true"/>
  <c r="T214" i="18" a="true"/>
  <c r="S158" i="18" a="true"/>
  <c r="J469" i="25" a="true"/>
  <c r="T199" i="18" a="true"/>
  <c r="W84" i="18" a="true"/>
  <c r="I100" i="25" a="true"/>
  <c r="V9" i="18" a="true"/>
  <c r="I53" i="25" a="true"/>
  <c r="R233" i="18" a="true"/>
  <c r="X404" i="18" a="true"/>
  <c r="Q203" i="18" a="true"/>
  <c r="W328" i="18" a="true"/>
  <c r="S312" i="18" a="true"/>
  <c r="Y150" i="18" a="true"/>
  <c r="S418" i="18" a="true"/>
  <c r="T10" i="18" a="true"/>
  <c r="X450" i="18" a="true"/>
  <c r="S99" i="18" a="true"/>
  <c r="Q297" i="18" a="true"/>
  <c r="Q171" i="18" a="true"/>
  <c r="W149" i="18" a="true"/>
  <c r="S372" i="18" a="true"/>
  <c r="R142" i="18" a="true"/>
  <c r="R351" i="18" a="true"/>
  <c r="S78" i="18" a="true"/>
  <c r="Q485" i="18" a="true"/>
  <c r="V429" i="18" a="true"/>
  <c r="W225" i="18" a="true"/>
  <c r="S321" i="18" a="true"/>
  <c r="X292" i="18" a="true"/>
  <c r="X65" i="18" a="true"/>
  <c r="U18" i="18" a="true"/>
  <c r="Y97" i="18" a="true"/>
  <c r="T343" i="18" a="true"/>
  <c r="X184" i="18" a="true"/>
  <c r="R75" i="18" a="true"/>
  <c r="U496" i="18" a="true"/>
  <c r="T60" i="18" a="true"/>
  <c r="V349" i="18" a="true"/>
  <c r="T165" i="18" a="true"/>
  <c r="Y215" i="18" a="true"/>
  <c r="I454" i="25" a="true"/>
  <c r="R25" i="18" a="true"/>
  <c r="Y143" i="18" a="true"/>
  <c r="S381" i="18" a="true"/>
  <c r="X172" i="18" a="true"/>
  <c r="J185" i="25" a="true"/>
  <c r="T194" i="18" a="true"/>
  <c r="R291" i="18" a="true"/>
  <c r="J418" i="25" a="true"/>
  <c r="S75" i="18" a="true"/>
  <c r="Y139" i="18" a="true"/>
  <c r="T34" i="18" a="true"/>
  <c r="U8" i="18" a="true"/>
  <c r="J336" i="25" a="true"/>
  <c r="T49" i="18" a="true"/>
  <c r="X467" i="18" a="true"/>
  <c r="V274" i="18" a="true"/>
  <c r="X337" i="18" a="true"/>
  <c r="Q92" i="18" a="true"/>
  <c r="X484" i="18" a="true"/>
  <c r="S159" i="18" a="true"/>
  <c r="T391" i="18" a="true"/>
  <c r="U222" i="18" a="true"/>
  <c r="J246" i="25" a="true"/>
  <c r="W70" i="18" a="true"/>
  <c r="R62" i="18" a="true"/>
  <c r="J414" i="25" a="true"/>
  <c r="W175" i="18" a="true"/>
  <c r="I423" i="25" a="true"/>
  <c r="V254" i="18" a="true"/>
  <c r="I430" i="25" a="true"/>
  <c r="R383" i="18" a="true"/>
  <c r="R98" i="18" a="true"/>
  <c r="U37" i="18" a="true"/>
  <c r="S32" i="18" a="true"/>
  <c r="X323" i="18" a="true"/>
  <c r="I87" i="25" a="true"/>
  <c r="W415" i="18" a="true"/>
  <c r="W262" i="18" a="true"/>
  <c r="X177" i="18" a="true"/>
  <c r="Y31" i="18" a="true"/>
  <c r="J136" i="25" a="true"/>
  <c r="X232" i="18" a="true"/>
  <c r="W264" i="18" a="true"/>
  <c r="Y472" i="18" a="true"/>
  <c r="J87" i="25" a="true"/>
  <c r="S245" i="18" a="true"/>
  <c r="Y40" i="18" a="true"/>
  <c r="I230" i="25" a="true"/>
  <c r="U319" i="18" a="true"/>
  <c r="Y460" i="18" a="true"/>
  <c r="T111" i="18" a="true"/>
  <c r="X397" i="18" a="true"/>
  <c r="T225" i="18" a="true"/>
  <c r="U334" i="18" a="true"/>
  <c r="T18" i="18" a="true"/>
  <c r="S259" i="18" a="true"/>
  <c r="J218" i="25" a="true"/>
  <c r="S369" i="18" a="true"/>
  <c r="Q60" i="18" a="true"/>
  <c r="Y13" i="18" a="true"/>
  <c r="S8" i="18" a="true"/>
  <c r="T316" i="18" a="true"/>
  <c r="R286" i="18" a="true"/>
  <c r="U358" i="18" a="true"/>
  <c r="Q52" i="18" a="true"/>
  <c r="S357" i="18" a="true"/>
  <c r="J166" i="25" a="true"/>
  <c r="X218" i="18" a="true"/>
  <c r="J53" i="25" a="true"/>
  <c r="I453" i="25" a="true"/>
  <c r="W285" i="18" a="true"/>
  <c r="I498" i="25" a="true"/>
  <c r="V322" i="18" a="true"/>
  <c r="X61" i="18" a="true"/>
  <c r="Y248" i="18" a="true"/>
  <c r="I427" i="25" a="true"/>
  <c r="V348" i="18" a="true"/>
  <c r="Y101" i="18" a="true"/>
  <c r="T81" i="18" a="true"/>
  <c r="X259" i="18" a="true"/>
  <c r="W367" i="18" a="true"/>
  <c r="V41" i="18" a="true"/>
  <c r="V195" i="18" a="true"/>
  <c r="Y469" i="18" a="true"/>
  <c r="AC131" i="18" a="true"/>
  <c r="AE321" i="18" a="true"/>
  <c r="O25" i="18" a="true"/>
  <c r="AA423" i="18" a="true"/>
  <c r="AA372" i="18" a="true"/>
  <c r="AB177" i="18" a="true"/>
  <c r="AB390" i="18" a="true"/>
  <c r="O28" i="18" a="true"/>
  <c r="P468" i="18" a="true"/>
  <c r="AF488" i="18" a="true"/>
  <c r="AF237" i="18" a="true"/>
  <c r="P319" i="18" a="true"/>
  <c r="V208" i="18" a="true"/>
  <c r="R236" i="18" a="true"/>
  <c r="T244" i="18" a="true"/>
  <c r="S470" i="18" a="true"/>
  <c r="V158" i="18" a="true"/>
  <c r="Y437" i="18" a="true"/>
  <c r="W490" i="18" a="true"/>
  <c r="X194" i="18" a="true"/>
  <c r="V328" i="18" a="true"/>
  <c r="R241" i="18" a="true"/>
  <c r="U261" i="18" a="true"/>
  <c r="S502" i="18" a="true"/>
  <c r="X403" i="18" a="true"/>
  <c r="R85" i="18" a="true"/>
  <c r="Y185" i="18" a="true"/>
  <c r="Y410" i="18" a="true"/>
  <c r="R170" i="18" a="true"/>
  <c r="T455" i="18" a="true"/>
  <c r="X261" i="18" a="true"/>
  <c r="S338" i="18" a="true"/>
  <c r="U156" i="18" a="true"/>
  <c r="W503" i="18" a="true"/>
  <c r="T446" i="18" a="true"/>
  <c r="R470" i="18" a="true"/>
  <c r="R410" i="18" a="true"/>
  <c r="T207" i="18" a="true"/>
  <c r="U309" i="18" a="true"/>
  <c r="W94" i="18" a="true"/>
  <c r="V14" i="18" a="true"/>
  <c r="R49" i="18" a="true"/>
  <c r="U185" i="18" a="true"/>
  <c r="J461" i="25" a="true"/>
  <c r="X236" i="18" a="true"/>
  <c r="U64" i="18" a="true"/>
  <c r="U169" i="18" a="true"/>
  <c r="S148" i="18" a="true"/>
  <c r="J12" i="25" a="true"/>
  <c r="R394" i="18" a="true"/>
  <c r="Y22" i="18" a="true"/>
  <c r="I177" i="25" a="true"/>
  <c r="T400" i="18" a="true"/>
  <c r="X380" i="18" a="true"/>
  <c r="X30" i="18" a="true"/>
  <c r="V434" i="18" a="true"/>
  <c r="I477" i="25" a="true"/>
  <c r="S267" i="18" a="true"/>
  <c r="U370" i="18" a="true"/>
  <c r="S304" i="18" a="true"/>
  <c r="U315" i="18" a="true"/>
  <c r="R68" i="18" a="true"/>
  <c r="Y330" i="18" a="true"/>
  <c r="S94" i="18" a="true"/>
  <c r="V83" i="18" a="true"/>
  <c r="W277" i="18" a="true"/>
  <c r="I402" i="25" a="true"/>
  <c r="V442" i="18" a="true"/>
  <c r="Y60" i="18" a="true"/>
  <c r="I188" i="25" a="true"/>
  <c r="T69" i="18" a="true"/>
  <c r="J199" i="25" a="true"/>
  <c r="T99" i="18" a="true"/>
  <c r="I457" i="25" a="true"/>
  <c r="W491" i="18" a="true"/>
  <c r="W170" i="18" a="true"/>
  <c r="W51" i="18" a="true"/>
  <c r="T468" i="18" a="true"/>
  <c r="X235" i="18" a="true"/>
  <c r="I442" i="25" a="true"/>
  <c r="V342" i="18" a="true"/>
  <c r="V125" i="18" a="true"/>
  <c r="U306" i="18" a="true"/>
  <c r="W12" i="18" a="true"/>
  <c r="V273" i="18" a="true"/>
  <c r="Q139" i="18" a="true"/>
  <c r="V250" i="18" a="true"/>
  <c r="Q102" i="18" a="true"/>
  <c r="J157" i="25" a="true"/>
  <c r="R220" i="18" a="true"/>
  <c r="Q8" i="18" a="true"/>
  <c r="J474" i="25" a="true"/>
  <c r="X222" i="18" a="true"/>
  <c r="I262" i="25" a="true"/>
  <c r="Q200" i="18" a="true"/>
  <c r="R414" i="18" a="true"/>
  <c r="V149" i="18" a="true"/>
  <c r="T299" i="18" a="true"/>
  <c r="V70" i="18" a="true"/>
  <c r="R260" i="18" a="true"/>
  <c r="J154" i="25" a="true"/>
  <c r="U12" i="18" a="true"/>
  <c r="X170" i="18" a="true"/>
  <c r="S47" i="18" a="true"/>
  <c r="T377" i="18" a="true"/>
  <c r="V270" i="18" a="true"/>
  <c r="Q197" i="18" a="true"/>
  <c r="V335" i="18" a="true"/>
  <c r="Y197" i="18" a="true"/>
  <c r="S201" i="18" a="true"/>
  <c r="W478" i="18" a="true"/>
  <c r="W326" i="18" a="true"/>
  <c r="X349" i="18" a="true"/>
  <c r="Q411" i="18" a="true"/>
  <c r="Q448" i="18" a="true"/>
  <c r="T245" i="18" a="true"/>
  <c r="I122" i="25" a="true"/>
  <c r="S368" i="18" a="true"/>
  <c r="Q160" i="18" a="true"/>
  <c r="S404" i="18" a="true"/>
  <c r="Q123" i="18" a="true"/>
  <c r="U398" i="18" a="true"/>
  <c r="Y303" i="18" a="true"/>
  <c r="J321" i="25" a="true"/>
  <c r="Q98" i="18" a="true"/>
  <c r="I70" i="25" a="true"/>
  <c r="R218" i="18" a="true"/>
  <c r="R191" i="18" a="true"/>
  <c r="N151" i="18" a="true"/>
  <c r="AF121" i="18" a="true"/>
  <c r="AE257" i="18" a="true"/>
  <c r="AF480" i="18" a="true"/>
  <c r="AD8" i="18" a="true"/>
  <c r="O70" i="18" a="true"/>
  <c r="V55" i="18" a="true"/>
  <c r="W53" i="18" a="true"/>
  <c r="W275" i="18" a="true"/>
  <c r="U429" i="18" a="true"/>
  <c r="T131" i="18" a="true"/>
  <c r="W75" i="18" a="true"/>
  <c r="Q446" i="18" a="true"/>
  <c r="S165" i="18" a="true"/>
  <c r="Q201" i="18" a="true"/>
  <c r="X466" i="18" a="true"/>
  <c r="S242" i="18" a="true"/>
  <c r="S390" i="18" a="true"/>
  <c r="X106" i="18" a="true"/>
  <c r="X101" i="18" a="true"/>
  <c r="U77" i="18" a="true"/>
  <c r="R72" i="18" a="true"/>
  <c r="Q21" i="18" a="true"/>
  <c r="V331" i="18" a="true"/>
  <c r="W145" i="18" a="true"/>
  <c r="R481" i="18" a="true"/>
  <c r="W465" i="18" a="true"/>
  <c r="V341" i="18" a="true"/>
  <c r="U137" i="18" a="true"/>
  <c r="R440" i="18" a="true"/>
  <c r="T142" i="18" a="true"/>
  <c r="T148" i="18" a="true"/>
  <c r="S460" i="18" a="true"/>
  <c r="Q184" i="18" a="true"/>
  <c r="U394" i="18" a="true"/>
  <c r="Y229" i="18" a="true"/>
  <c r="Y161" i="18" a="true"/>
  <c r="J207" i="25" a="true"/>
  <c r="X477" i="18" a="true"/>
  <c r="U283" i="18" a="true"/>
  <c r="U178" i="18" a="true"/>
  <c r="U327" i="18" a="true"/>
  <c r="J139" i="25" a="true"/>
  <c r="U217" i="18" a="true"/>
  <c r="V484" i="18" a="true"/>
  <c r="I363" i="25" a="true"/>
  <c r="Q240" i="18" a="true"/>
  <c r="U167" i="18" a="true"/>
  <c r="X210" i="18" a="true"/>
  <c r="S266" i="18" a="true"/>
  <c r="I312" i="25" a="true"/>
  <c r="W18" i="18" a="true"/>
  <c r="V45" i="18" a="true"/>
  <c r="S290" i="18" a="true"/>
  <c r="R15" i="18" a="true"/>
  <c r="Q117" i="18" a="true"/>
  <c r="R404" i="18" a="true"/>
  <c r="Y32" i="18" a="true"/>
  <c r="I226" i="25" a="true"/>
  <c r="V118" i="18" a="true"/>
  <c r="J369" i="25" a="true"/>
  <c r="R139" i="18" a="true"/>
  <c r="S241" i="18" a="true"/>
  <c r="T230" i="18" a="true"/>
  <c r="U446" i="18" a="true"/>
  <c r="I288" i="25" a="true"/>
  <c r="Y188" i="18" a="true"/>
  <c r="I99" i="25" a="true"/>
  <c r="S269" i="18" a="true"/>
  <c r="W249" i="18" a="true"/>
  <c r="V388" i="18" a="true"/>
  <c r="U197" i="18" a="true"/>
  <c r="T33" i="18" a="true"/>
  <c r="J417" i="25" a="true"/>
  <c r="W266" i="18" a="true"/>
  <c r="V258" i="18" a="true"/>
  <c r="T375" i="18" a="true"/>
  <c r="S231" i="18" a="true"/>
  <c r="Q189" i="18" a="true"/>
  <c r="W405" i="18" a="true"/>
  <c r="T125" i="18" a="true"/>
  <c r="I29" i="25" a="true"/>
  <c r="J208" i="25" a="true"/>
  <c r="U438" i="18" a="true"/>
  <c r="Y187" i="18" a="true"/>
  <c r="I221" i="25" a="true"/>
  <c r="R226" i="18" a="true"/>
  <c r="I456" i="25" a="true"/>
  <c r="V99" i="18" a="true"/>
  <c r="T500" i="18" a="true"/>
  <c r="T72" i="18" a="true"/>
  <c r="T254" i="18" a="true"/>
  <c r="W37" i="18" a="true"/>
  <c r="V163" i="18" a="true"/>
  <c r="I89" i="25" a="true"/>
  <c r="U85" i="18" a="true"/>
  <c r="T109" i="18" a="true"/>
  <c r="X110" i="18" a="true"/>
  <c r="V143" i="18" a="true"/>
  <c r="Y408" i="18" a="true"/>
  <c r="S340" i="18" a="true"/>
  <c r="S178" i="18" a="true"/>
  <c r="I339" i="25" a="true"/>
  <c r="U305" i="18" a="true"/>
  <c r="W273" i="18" a="true"/>
  <c r="Q460" i="18" a="true"/>
  <c r="U481" i="18" a="true"/>
  <c r="V340" i="18" a="true"/>
  <c r="J293" i="25" a="true"/>
  <c r="X289" i="18" a="true"/>
  <c r="Y268" i="18" a="true"/>
  <c r="W157" i="18" a="true"/>
  <c r="I124" i="25" a="true"/>
  <c r="V467" i="18" a="true"/>
  <c r="W107" i="18" a="true"/>
  <c r="T63" i="18" a="true"/>
  <c r="W380" i="18" a="true"/>
  <c r="X99" i="18" a="true"/>
  <c r="V77" i="18" a="true"/>
  <c r="X358" i="18" a="true"/>
  <c r="I474" i="25" a="true"/>
  <c r="J270" i="25" a="true"/>
  <c r="AB259" i="18" a="true"/>
  <c r="AA74" i="18" a="true"/>
  <c r="AD307" i="18" a="true"/>
  <c r="AB494" i="18" a="true"/>
  <c r="N269" i="18" a="true"/>
  <c r="O173" i="18" a="true"/>
  <c r="N364" i="18" a="true"/>
  <c r="N22" i="18" a="true"/>
  <c r="O481" i="18" a="true"/>
  <c r="AF176" i="18" a="true"/>
  <c r="AE356" i="18" a="true"/>
  <c r="AA265" i="18" a="true"/>
  <c r="X476" i="18" a="true"/>
  <c r="Y174" i="18" a="true"/>
  <c r="Q107" i="18" a="true"/>
  <c r="U458" i="18" a="true"/>
  <c r="T252" i="18" a="true"/>
  <c r="R65" i="18" a="true"/>
  <c r="T31" i="18" a="true"/>
  <c r="R180" i="18" a="true"/>
  <c r="T414" i="18" a="true"/>
  <c r="V26" i="18" a="true"/>
  <c r="S14" i="18" a="true"/>
  <c r="V24" i="18" a="true"/>
  <c r="Y401" i="18" a="true"/>
  <c r="Y243" i="18" a="true"/>
  <c r="T213" i="18" a="true"/>
  <c r="X118" i="18" a="true"/>
  <c r="Y278" i="18" a="true"/>
  <c r="S292" i="18" a="true"/>
  <c r="U321" i="18" a="true"/>
  <c r="R258" i="18" a="true"/>
  <c r="R24" i="18" a="true"/>
  <c r="Q502" i="18" a="true"/>
  <c r="Y326" i="18" a="true"/>
  <c r="Y245" i="18" a="true"/>
  <c r="Q412" i="18" a="true"/>
  <c r="X457" i="18" a="true"/>
  <c r="V222" i="18" a="true"/>
  <c r="U168" i="18" a="true"/>
  <c r="U26" i="18" a="true"/>
  <c r="R159" i="18" a="true"/>
  <c r="Y228" i="18" a="true"/>
  <c r="X223" i="18" a="true"/>
  <c r="V311" i="18" a="true"/>
  <c r="Q208" i="18" a="true"/>
  <c r="I405" i="25" a="true"/>
  <c r="Y357" i="18" a="true"/>
  <c r="I452" i="25" a="true"/>
  <c r="V487" i="18" a="true"/>
  <c r="X283" i="18" a="true"/>
  <c r="J342" i="25" a="true"/>
  <c r="X383" i="18" a="true"/>
  <c r="R453" i="18" a="true"/>
  <c r="J92" i="25" a="true"/>
  <c r="W163" i="18" a="true"/>
  <c r="I260" i="25" a="true"/>
  <c r="T384" i="18" a="true"/>
  <c r="Y136" i="18" a="true"/>
  <c r="W199" i="18" a="true"/>
  <c r="U33" i="18" a="true"/>
  <c r="X227" i="18" a="true"/>
  <c r="W154" i="18" a="true"/>
  <c r="Q498" i="18" a="true"/>
  <c r="J277" i="25" a="true"/>
  <c r="U300" i="18" a="true"/>
  <c r="J256" i="25" a="true"/>
  <c r="I96" i="25" a="true"/>
  <c r="Q64" i="18" a="true"/>
  <c r="W504" i="18" a="true"/>
  <c r="X273" i="18" a="true"/>
  <c r="Q451" i="18" a="true"/>
  <c r="Y455" i="18" a="true"/>
  <c r="I38" i="25" a="true"/>
  <c r="W452" i="18" a="true"/>
  <c r="Q329" i="18" a="true"/>
  <c r="X429" i="18" a="true"/>
  <c r="W224" i="18" a="true"/>
  <c r="T73" i="18" a="true"/>
  <c r="J201" i="25" a="true"/>
  <c r="S320" i="18" a="true"/>
  <c r="R504" i="18" a="true"/>
  <c r="S55" i="18" a="true"/>
  <c r="X14" i="18" a="true"/>
  <c r="R450" i="18" a="true"/>
  <c r="Y439" i="18" a="true"/>
  <c r="R334" i="18" a="true"/>
  <c r="Y124" i="18" a="true"/>
  <c r="I365" i="25" a="true"/>
  <c r="Q101" i="18" a="true"/>
  <c r="Q482" i="18" a="true"/>
  <c r="I256" i="25" a="true"/>
  <c r="I24" i="25" a="true"/>
  <c r="T390" i="18" a="true"/>
  <c r="W332" i="18" a="true"/>
  <c r="X488" i="18" a="true"/>
  <c r="X325" i="18" a="true"/>
  <c r="V499" i="18" a="true"/>
  <c r="U176" i="18" a="true"/>
  <c r="R391" i="18" a="true"/>
  <c r="I166" i="25" a="true"/>
  <c r="V359" i="18" a="true"/>
  <c r="S45" i="18" a="true"/>
  <c r="X504" i="18" a="true"/>
  <c r="J211" i="25" a="true"/>
  <c r="Q121" i="18" a="true"/>
  <c r="Y95" i="18" a="true"/>
  <c r="I446" i="25" a="true"/>
  <c r="I411" i="25" a="true"/>
  <c r="Q48" i="18" a="true"/>
  <c r="X25" i="18" a="true"/>
  <c r="T40" i="18" a="true"/>
  <c r="V278" i="18" a="true"/>
  <c r="R121" i="18" a="true"/>
  <c r="W418" i="18" a="true"/>
  <c r="Y195" i="18" a="true"/>
  <c r="J313" i="25" a="true"/>
  <c r="X500" i="18" a="true"/>
  <c r="J73" i="25" a="true"/>
  <c r="U50" i="18" a="true"/>
  <c r="V7" i="18" a="true"/>
  <c r="V465" i="18" a="true"/>
  <c r="V281" i="18" a="true"/>
  <c r="Q230" i="18" a="true"/>
  <c r="I26" i="25" a="true"/>
  <c r="R22" i="18" a="true"/>
  <c r="J99" i="25" a="true"/>
  <c r="X329" i="18" a="true"/>
  <c r="AB417" i="18" a="true"/>
  <c r="AC371" i="18" a="true"/>
  <c r="AB264" i="18" a="true"/>
  <c r="O172" i="18" a="true"/>
  <c r="AC31" i="18" a="true"/>
  <c r="AF298" i="18" a="true"/>
  <c r="P60" i="18" a="true"/>
  <c r="P273" i="18" a="true"/>
  <c r="AD162" i="18" a="true"/>
  <c r="AE100" i="18" a="true"/>
  <c r="O390" i="18" a="true"/>
  <c r="AE116" i="18" a="true"/>
  <c r="X334" i="18" a="true"/>
  <c r="S288" i="18" a="true"/>
  <c r="S228" i="18" a="true"/>
  <c r="U417" i="18" a="true"/>
  <c r="Y430" i="18" a="true"/>
  <c r="X234" i="18" a="true"/>
  <c r="S504" i="18" a="true"/>
  <c r="W92" i="18" a="true"/>
  <c r="T318" i="18" a="true"/>
  <c r="T228" i="18" a="true"/>
  <c r="X43" i="18" a="true"/>
  <c r="S471" i="18" a="true"/>
  <c r="X37" i="18" a="true"/>
  <c r="X268" i="18" a="true"/>
  <c r="Y247" i="18" a="true"/>
  <c r="X157" i="18" a="true"/>
  <c r="T153" i="18" a="true"/>
  <c r="T39" i="18" a="true"/>
  <c r="S447" i="18" a="true"/>
  <c r="X168" i="18" a="true"/>
  <c r="S145" i="18" a="true"/>
  <c r="S434" i="18" a="true"/>
  <c r="V39" i="18" a="true"/>
  <c r="U455" i="18" a="true"/>
  <c r="S272" i="18" a="true"/>
  <c r="U506" i="18" a="true"/>
  <c r="Q389" i="18" a="true"/>
  <c r="S457" i="18" a="true"/>
  <c r="S506" i="18" a="true"/>
  <c r="R150" i="18" a="true"/>
  <c r="T145" i="18" a="true"/>
  <c r="Y333" i="18" a="true"/>
  <c r="S246" i="18" a="true"/>
  <c r="R243" i="18" a="true"/>
  <c r="J52" i="25" a="true"/>
  <c r="X309" i="18" a="true"/>
  <c r="I264" i="25" a="true"/>
  <c r="V290" i="18" a="true"/>
  <c r="Q468" i="18" a="true"/>
  <c r="W307" i="18" a="true"/>
  <c r="V203" i="18" a="true"/>
  <c r="S180" i="18" a="true"/>
  <c r="W34" i="18" a="true"/>
  <c r="S215" i="18" a="true"/>
  <c r="J196" i="25" a="true"/>
  <c r="T167" i="18" a="true"/>
  <c r="Y24" i="18" a="true"/>
  <c r="T406" i="18" a="true"/>
  <c r="V338" i="18" a="true"/>
  <c r="T48" i="18" a="true"/>
  <c r="R181" i="18" a="true"/>
  <c r="T492" i="18" a="true"/>
  <c r="I245" i="25" a="true"/>
  <c r="R298" i="18" a="true"/>
  <c r="J47" i="25" a="true"/>
  <c r="S441" i="18" a="true"/>
  <c r="W254" i="18" a="true"/>
  <c r="T401" i="18" a="true"/>
  <c r="Y165" i="18" a="true"/>
  <c r="I362" i="25" a="true"/>
  <c r="S194" i="18" a="true"/>
  <c r="J66" i="25" a="true"/>
  <c r="T477" i="18" a="true"/>
  <c r="I11" i="25" a="true"/>
  <c r="T287" i="18" a="true"/>
  <c r="Y76" i="18" a="true"/>
  <c r="R247" i="18" a="true"/>
  <c r="J346" i="25" a="true"/>
  <c r="Y335" i="18" a="true"/>
  <c r="S80" i="18" a="true"/>
  <c r="V463" i="18" a="true"/>
  <c r="X441" i="18" a="true"/>
  <c r="I193" i="25" a="true"/>
  <c r="X19" i="18" a="true"/>
  <c r="T399" i="18" a="true"/>
  <c r="Y477" i="18" a="true"/>
  <c r="I28" i="25" a="true"/>
  <c r="I352" i="25" a="true"/>
  <c r="W377" i="18" a="true"/>
  <c r="J328" i="25" a="true"/>
  <c r="X102" i="18" a="true"/>
  <c r="T53" i="18" a="true"/>
  <c r="I200" i="25" a="true"/>
  <c r="R231" i="18" a="true"/>
  <c r="X294" i="18" a="true"/>
  <c r="S306" i="18" a="true"/>
  <c r="X160" i="18" a="true"/>
  <c r="X267" i="18" a="true"/>
  <c r="Q87" i="18" a="true"/>
  <c r="I143" i="25" a="true"/>
  <c r="S366" i="18" a="true"/>
  <c r="R365" i="18" a="true"/>
  <c r="I240" i="25" a="true"/>
  <c r="V92" i="18" a="true"/>
  <c r="S406" i="18" a="true"/>
  <c r="J436" i="25" a="true"/>
  <c r="Y82" i="18" a="true"/>
  <c r="W87" i="18" a="true"/>
  <c r="I340" i="25" a="true"/>
  <c r="Q159" i="18" a="true"/>
  <c r="I413" i="25" a="true"/>
  <c r="J320" i="25" a="true"/>
  <c r="J252" i="25" a="true"/>
  <c r="T88" i="18" a="true"/>
  <c r="Q302" i="18" a="true"/>
  <c r="Y302" i="18" a="true"/>
  <c r="I106" i="25" a="true"/>
  <c r="T473" i="18" a="true"/>
  <c r="J251" i="25" a="true"/>
  <c r="Q97" i="18" a="true"/>
  <c r="J114" i="25" a="true"/>
  <c r="I287" i="25" a="true"/>
  <c r="W500" i="18" a="true"/>
  <c r="J433" i="25" a="true"/>
  <c r="V206" i="18" a="true"/>
  <c r="R63" i="18" a="true"/>
  <c r="P265" i="18" a="true"/>
  <c r="AA214" i="18" a="true"/>
  <c r="O109" i="18" a="true"/>
  <c r="AB407" i="18" a="true"/>
  <c r="N154" i="18" a="true"/>
  <c r="AA394" i="18" a="true"/>
  <c r="O462" i="18" a="true"/>
  <c r="AB189" i="18" a="true"/>
  <c r="AE201" i="18" a="true"/>
  <c r="AF323" i="18" a="true"/>
  <c r="AC137" i="18" a="true"/>
  <c r="V490" i="18" a="true"/>
  <c r="X310" i="18" a="true"/>
  <c r="Q361" i="18" a="true"/>
  <c r="T126" i="18" a="true"/>
  <c r="W457" i="18" a="true"/>
  <c r="T394" i="18" a="true"/>
  <c r="T387" i="18" a="true"/>
  <c r="V47" i="18" a="true"/>
  <c r="V377" i="18" a="true"/>
  <c r="W284" i="18" a="true"/>
  <c r="R172" i="18" a="true"/>
  <c r="Q390" i="18" a="true"/>
  <c r="T357" i="18" a="true"/>
  <c r="S51" i="18" a="true"/>
  <c r="Y53" i="18" a="true"/>
  <c r="U294" i="18" a="true"/>
  <c r="R8" i="18" a="true"/>
  <c r="V67" i="18" a="true"/>
  <c r="Y334" i="18" a="true"/>
  <c r="Y481" i="18" a="true"/>
  <c r="S416" i="18" a="true"/>
  <c r="T315" i="18" a="true"/>
  <c r="W232" i="18" a="true"/>
  <c r="S174" i="18" a="true"/>
  <c r="X132" i="18" a="true"/>
  <c r="R282" i="18" a="true"/>
  <c r="U196" i="18" a="true"/>
  <c r="X485" i="18" a="true"/>
  <c r="X489" i="18" a="true"/>
  <c r="X346" i="18" a="true"/>
  <c r="V269" i="18" a="true"/>
  <c r="Q316" i="18" a="true"/>
  <c r="W432" i="18" a="true"/>
  <c r="U296" i="18" a="true"/>
  <c r="T417" i="18" a="true"/>
  <c r="T176" i="18" a="true"/>
  <c r="X478" i="18" a="true"/>
  <c r="T396" i="18" a="true"/>
  <c r="W424" i="18" a="true"/>
  <c r="X28" i="18" a="true"/>
  <c r="V191" i="18" a="true"/>
  <c r="T27" i="18" a="true"/>
  <c r="X503" i="18" a="true"/>
  <c r="W282" i="18" a="true"/>
  <c r="R178" i="18" a="true"/>
  <c r="R473" i="18" a="true"/>
  <c r="Q363" i="18" a="true"/>
  <c r="Q111" i="18" a="true"/>
  <c r="T90" i="18" a="true"/>
  <c r="Y494" i="18" a="true"/>
  <c r="Q132" i="18" a="true"/>
  <c r="W40" i="18" a="true"/>
  <c r="Y259" i="18" a="true"/>
  <c r="Y241" i="18" a="true"/>
  <c r="T103" i="18" a="true"/>
  <c r="W215" i="18" a="true"/>
  <c r="U373" i="18" a="true"/>
  <c r="T170" i="18" a="true"/>
  <c r="W141" i="18" a="true"/>
  <c r="S252" i="18" a="true"/>
  <c r="V154" i="18" a="true"/>
  <c r="T242" i="18" a="true"/>
  <c r="S143" i="18" a="true"/>
  <c r="R48" i="18" a="true"/>
  <c r="Y379" i="18" a="true"/>
  <c r="S253" i="18" a="true"/>
  <c r="X396" i="18" a="true"/>
  <c r="T319" i="18" a="true"/>
  <c r="W187" i="18" a="true"/>
  <c r="R406" i="18" a="true"/>
  <c r="X158" i="18" a="true"/>
  <c r="X459" i="18" a="true"/>
  <c r="V320" i="18" a="true"/>
  <c r="X458" i="18" a="true"/>
  <c r="R312" i="18" a="true"/>
  <c r="R111" i="18" a="true"/>
  <c r="U401" i="18" a="true"/>
  <c r="Q291" i="18" a="true"/>
  <c r="I109" i="25" a="true"/>
  <c r="Q252" i="18" a="true"/>
  <c r="J226" i="25" a="true"/>
  <c r="T234" i="18" a="true"/>
  <c r="I274" i="25" a="true"/>
  <c r="U354" i="18" a="true"/>
  <c r="U405" i="18" a="true"/>
  <c r="X40" i="18" a="true"/>
  <c r="Q46" i="18" a="true"/>
  <c r="U353" i="18" a="true"/>
  <c r="Y232" i="18" a="true"/>
  <c r="R280" i="18" a="true"/>
  <c r="W253" i="18" a="true"/>
  <c r="Q190" i="18" a="true"/>
  <c r="T212" i="18" a="true"/>
  <c r="T465" i="18" a="true"/>
  <c r="U130" i="18" a="true"/>
  <c r="J371" i="25" a="true"/>
  <c r="R161" i="18" a="true"/>
  <c r="V72" i="18" a="true"/>
  <c r="U341" i="18" a="true"/>
  <c r="Y360" i="18" a="true"/>
  <c r="R324" i="18" a="true"/>
  <c r="J282" i="25" a="true"/>
  <c r="U71" i="18" a="true"/>
  <c r="J303" i="25" a="true"/>
  <c r="T430" i="18" a="true"/>
  <c r="S91" i="18" a="true"/>
  <c r="I470" i="25" a="true"/>
  <c r="T443" i="18" a="true"/>
  <c r="U191" i="18" a="true"/>
  <c r="V78" i="18" a="true"/>
  <c r="U288" i="18" a="true"/>
  <c r="J244" i="25" a="true"/>
  <c r="W255" i="18" a="true"/>
  <c r="W172" i="18" a="true"/>
  <c r="J349" i="25" a="true"/>
  <c r="W69" i="18" a="true"/>
  <c r="J22" i="25" a="true"/>
  <c r="S235" i="18" a="true"/>
  <c r="J422" i="25" a="true"/>
  <c r="V58" i="18" a="true"/>
  <c r="J291" i="25" a="true"/>
  <c r="I158" i="25" a="true"/>
  <c r="V88" i="18" a="true"/>
  <c r="I469" i="25" a="true"/>
  <c r="Q130" i="18" a="true"/>
  <c r="W383" i="18" a="true"/>
  <c r="U150" i="18" a="true"/>
  <c r="T452" i="18" a="true"/>
  <c r="W58" i="18" a="true"/>
  <c r="U245" i="18" a="true"/>
  <c r="U431" i="18" a="true"/>
  <c r="J298" i="25" a="true"/>
  <c r="Q144" i="18" a="true"/>
  <c r="I46" i="25" a="true"/>
  <c r="I36" i="25" a="true"/>
  <c r="W329" i="18" a="true"/>
  <c r="Y396" i="18" a="true"/>
  <c r="W316" i="18" a="true"/>
  <c r="V175" i="18" a="true"/>
  <c r="V356" i="18" a="true"/>
  <c r="T303" i="18" a="true"/>
  <c r="W274" i="18" a="true"/>
  <c r="U384" i="18" a="true"/>
  <c r="T344" i="18" a="true"/>
  <c r="Q229" i="18" a="true"/>
  <c r="X284" i="18" a="true"/>
  <c r="I246" i="25" a="true"/>
  <c r="V108" i="18" a="true"/>
  <c r="J146" i="25" a="true"/>
  <c r="X136" i="18" a="true"/>
  <c r="U109" i="18" a="true"/>
  <c r="Q340" i="18" a="true"/>
  <c r="U43" i="18" a="true"/>
  <c r="T474" i="18" a="true"/>
  <c r="Y20" i="18" a="true"/>
  <c r="R428" i="18" a="true"/>
  <c r="V271" i="18" a="true"/>
  <c r="W394" i="18" a="true"/>
  <c r="R77" i="18" a="true"/>
  <c r="J410" i="25" a="true"/>
  <c r="U200" i="18" a="true"/>
  <c r="T13" i="18" a="true"/>
  <c r="X442" i="18" a="true"/>
  <c r="Q306" i="18" a="true"/>
  <c r="R316" i="18" a="true"/>
  <c r="V485" i="18" a="true"/>
  <c r="R257" i="18" a="true"/>
  <c r="W501" i="18" a="true"/>
  <c r="Q220" i="18" a="true"/>
  <c r="Q449" i="18" a="true"/>
  <c r="S12" i="18" a="true"/>
  <c r="Q492" i="18" a="true"/>
  <c r="W413" i="18" a="true"/>
  <c r="X95" i="18" a="true"/>
  <c r="J325" i="25" a="true"/>
  <c r="X272" i="18" a="true"/>
  <c r="R128" i="18" a="true"/>
  <c r="X17" i="18" a="true"/>
  <c r="T79" i="18" a="true"/>
  <c r="I404" i="25" a="true"/>
  <c r="R390" i="18" a="true"/>
  <c r="Y373" i="18" a="true"/>
  <c r="U450" i="18" a="true"/>
  <c r="X354" i="18" a="true"/>
  <c r="J76" i="25" a="true"/>
  <c r="R263" i="18" a="true"/>
  <c r="I397" i="25" a="true"/>
  <c r="T210" i="18" a="true"/>
  <c r="T96" i="18" a="true"/>
  <c r="U357" i="18" a="true"/>
  <c r="S313" i="18" a="true"/>
  <c r="I110" i="25" a="true"/>
  <c r="X182" i="18" a="true"/>
  <c r="R154" i="18" a="true"/>
  <c r="Y29" i="18" a="true"/>
  <c r="X183" i="18" a="true"/>
  <c r="T42" i="18" a="true"/>
  <c r="S152" i="18" a="true"/>
  <c r="S289" i="18" a="true"/>
  <c r="J181" i="25" a="true"/>
  <c r="R419" i="18" a="true"/>
  <c r="R109" i="18" a="true"/>
  <c r="Q493" i="18" a="true"/>
  <c r="Y389" i="18" a="true"/>
  <c r="Q207" i="18" a="true"/>
  <c r="I428" i="25" a="true"/>
  <c r="Q71" i="18" a="true"/>
  <c r="I289" i="25" a="true"/>
  <c r="U121" i="18" a="true"/>
  <c r="S484" i="18" a="true"/>
  <c r="V124" i="18" a="true"/>
  <c r="Y265" i="18" a="true"/>
  <c r="S61" i="18" a="true"/>
  <c r="T442" i="18" a="true"/>
  <c r="V44" i="18" a="true"/>
  <c r="U41" i="18" a="true"/>
  <c r="X26" i="18" a="true"/>
  <c r="J127" i="25" a="true"/>
  <c r="X50" i="18" a="true"/>
  <c r="Q25" i="18" a="true"/>
  <c r="W265" i="18" a="true"/>
  <c r="I60" i="25" a="true"/>
  <c r="Y415" i="18" a="true"/>
  <c r="I152" i="25" a="true"/>
  <c r="U495" i="18" a="true"/>
  <c r="R377" i="18" a="true"/>
  <c r="V324" i="18" a="true"/>
  <c r="U66" i="18" a="true"/>
  <c r="U361" i="18" a="true"/>
  <c r="T249" i="18" a="true"/>
  <c r="V262" i="18" a="true"/>
  <c r="S401" i="18" a="true"/>
  <c r="X69" i="18" a="true"/>
  <c r="J402" i="25" a="true"/>
  <c r="T188" i="18" a="true"/>
  <c r="U184" i="18" a="true"/>
  <c r="W198" i="18" a="true"/>
  <c r="Q489" i="18" a="true"/>
  <c r="I33" i="25" a="true"/>
  <c r="I239" i="25" a="true"/>
  <c r="I414" i="25" a="true"/>
  <c r="T139" i="18" a="true"/>
  <c r="S293" i="18" a="true"/>
  <c r="W456" i="18" a="true"/>
  <c r="S262" i="18" a="true"/>
  <c r="I418" i="25" a="true"/>
  <c r="X29" i="18" a="true"/>
  <c r="Y317" i="18" a="true"/>
  <c r="R28" i="18" a="true"/>
  <c r="U210" i="18" a="true"/>
  <c r="S398" i="18" a="true"/>
  <c r="X229" i="18" a="true"/>
  <c r="R97" i="18" a="true"/>
  <c r="AC447" i="18" a="true"/>
  <c r="AE184" i="18" a="true"/>
  <c r="AD81" i="18" a="true"/>
  <c r="AD136" i="18" a="true"/>
  <c r="AF35" i="18" a="true"/>
  <c r="AA194" i="18" a="true"/>
  <c r="O152" i="18" a="true"/>
  <c r="O397" i="18" a="true"/>
  <c r="P270" i="18" a="true"/>
  <c r="AD315" i="18" a="true"/>
  <c r="AA494" i="18" a="true"/>
  <c r="AF290" i="18" a="true"/>
  <c r="P399" i="18" a="true"/>
  <c r="AF97" i="18" a="true"/>
  <c r="O425" i="18" a="true"/>
  <c r="N384" i="18" a="true"/>
  <c r="AB72" i="18" a="true"/>
  <c r="AA369" i="18" a="true"/>
  <c r="AC263" i="18" a="true"/>
  <c r="AC337" i="18" a="true"/>
  <c r="AF183" i="18" a="true"/>
  <c r="AD143" i="18" a="true"/>
  <c r="AC160" i="18" a="true"/>
  <c r="AF22" i="18" a="true"/>
  <c r="AB253" i="18" a="true"/>
  <c r="AA22" i="18" a="true"/>
  <c r="AE168" i="18" a="true"/>
  <c r="AC501" i="18" a="true"/>
  <c r="AD365" i="18" a="true"/>
  <c r="AC94" i="18" a="true"/>
  <c r="AB355" i="18" a="true"/>
  <c r="AC201" i="18" a="true"/>
  <c r="N38" i="18" a="true"/>
  <c r="P66" i="18" a="true"/>
  <c r="AA157" i="18" a="true"/>
  <c r="P109" i="18" a="true"/>
  <c r="P289" i="18" a="true"/>
  <c r="AC261" i="18" a="true"/>
  <c r="AB12" i="18" a="true"/>
  <c r="O230" i="18" a="true"/>
  <c r="P338" i="18" a="true"/>
  <c r="AA69" i="18" a="true"/>
  <c r="O21" i="18" a="true"/>
  <c r="P423" i="18" a="true"/>
  <c r="P433" i="18" a="true"/>
  <c r="P474" i="18" a="true"/>
  <c r="O366" i="18" a="true"/>
  <c r="AD421" i="18" a="true"/>
  <c r="AC269" i="18" a="true"/>
  <c r="N149" i="18" a="true"/>
  <c r="P385" i="18" a="true"/>
  <c r="P237" i="18" a="true"/>
  <c r="AD435" i="18" a="true"/>
  <c r="AC429" i="18" a="true"/>
  <c r="AD358" i="18" a="true"/>
  <c r="AD277" i="18" a="true"/>
  <c r="AD460" i="18" a="true"/>
  <c r="AD302" i="18" a="true"/>
  <c r="P75" i="18" a="true"/>
  <c r="AA269" i="18" a="true"/>
  <c r="O11" i="18" a="true"/>
  <c r="AE467" i="18" a="true"/>
  <c r="AC162" i="18" a="true"/>
  <c r="AD165" i="18" a="true"/>
  <c r="AE8" i="18" a="true"/>
  <c r="N428" i="18" a="true"/>
  <c r="AF234" i="18" a="true"/>
  <c r="N349" i="18" a="true"/>
  <c r="AC458" i="18" a="true"/>
  <c r="AD298" i="18" a="true"/>
  <c r="AB104" i="18" a="true"/>
  <c r="AE247" i="18" a="true"/>
  <c r="AC130" i="18" a="true"/>
  <c r="AA190" i="18" a="true"/>
  <c r="AD292" i="18" a="true"/>
  <c r="P188" i="18" a="true"/>
  <c r="AD410" i="18" a="true"/>
  <c r="O270" i="18" a="true"/>
  <c r="P103" i="18" a="true"/>
  <c r="AC326" i="18" a="true"/>
  <c r="O78" i="18" a="true"/>
  <c r="O188" i="18" a="true"/>
  <c r="AF377" i="18" a="true"/>
  <c r="AF436" i="18" a="true"/>
  <c r="AD257" i="18" a="true"/>
  <c r="O116" i="18" a="true"/>
  <c r="AE402" i="18" a="true"/>
  <c r="AD255" i="18" a="true"/>
  <c r="AB121" i="18" a="true"/>
  <c r="AC255" i="18" a="true"/>
  <c r="AA218" i="18" a="true"/>
  <c r="AF482" i="18" a="true"/>
  <c r="AE366" i="18" a="true"/>
  <c r="AA435" i="18" a="true"/>
  <c r="O435" i="18" a="true"/>
  <c r="P34" i="18" a="true"/>
  <c r="N479" i="18" a="true"/>
  <c r="N59" i="18" a="true"/>
  <c r="P307" i="18" a="true"/>
  <c r="AF87" i="18" a="true"/>
  <c r="P54" i="18" a="true"/>
  <c r="N47" i="18" a="true"/>
  <c r="N43" i="18" a="true"/>
  <c r="P55" i="18" a="true"/>
  <c r="AF168" i="18" a="true"/>
  <c r="AF321" i="18" a="true"/>
  <c r="AA392" i="18" a="true"/>
  <c r="AB226" i="18" a="true"/>
  <c r="AD55" i="18" a="true"/>
  <c r="AF469" i="18" a="true"/>
  <c r="AA223" i="18" a="true"/>
  <c r="N456" i="18" a="true"/>
  <c r="AD484" i="18" a="true"/>
  <c r="AB64" i="18" a="true"/>
  <c r="AD401" i="18" a="true"/>
  <c r="AB258" i="18" a="true"/>
  <c r="AC53" i="18" a="true"/>
  <c r="P345" i="18" a="true"/>
  <c r="P416" i="18" a="true"/>
  <c r="AF382" i="18" a="true"/>
  <c r="AD313" i="18" a="true"/>
  <c r="AA34" i="18" a="true"/>
  <c r="AF138" i="18" a="true"/>
  <c r="O411" i="18" a="true"/>
  <c r="AE433" i="18" a="true"/>
  <c r="P158" i="18" a="true"/>
  <c r="AA478" i="18" a="true"/>
  <c r="O317" i="18" a="true"/>
  <c r="O170" i="18" a="true"/>
  <c r="AD482" i="18" a="true"/>
  <c r="O456" i="18" a="true"/>
  <c r="N177" i="18" a="true"/>
  <c r="AC145" i="18" a="true"/>
  <c r="AA62" i="18" a="true"/>
  <c r="N366" i="18" a="true"/>
  <c r="O100" i="18" a="true"/>
  <c r="AD84" i="18" a="true"/>
  <c r="AB489" i="18" a="true"/>
  <c r="AB194" i="18" a="true"/>
  <c r="V193" i="18" a="true"/>
  <c r="Q312" i="18" a="true"/>
  <c r="T227" i="18" a="true"/>
  <c r="I383" i="25" a="true"/>
  <c r="Q50" i="18" a="true"/>
  <c r="S280" i="18" a="true"/>
  <c r="R405" i="18" a="true"/>
  <c r="V19" i="18" a="true"/>
  <c r="W468" i="18" a="true"/>
  <c r="Y68" i="18" a="true"/>
  <c r="S437" i="18" a="true"/>
  <c r="R102" i="18" a="true"/>
  <c r="U28" i="18" a="true"/>
  <c r="Q419" i="18" a="true"/>
  <c r="S438" i="18" a="true"/>
  <c r="S349" i="18" a="true"/>
  <c r="S226" i="18" a="true"/>
  <c r="R96" i="18" a="true"/>
  <c r="I98" i="25" a="true"/>
  <c r="Q309" i="18" a="true"/>
  <c r="R238" i="18" a="true"/>
  <c r="U113" i="18" a="true"/>
  <c r="X150" i="18" a="true"/>
  <c r="I308" i="25" a="true"/>
  <c r="W404" i="18" a="true"/>
  <c r="Q385" i="18" a="true"/>
  <c r="W248" i="18" a="true"/>
  <c r="S239" i="18" a="true"/>
  <c r="J74" i="25" a="true"/>
  <c r="R492" i="18" a="true"/>
  <c r="J364" i="25" a="true"/>
  <c r="W427" i="18" a="true"/>
  <c r="Q145" i="18" a="true"/>
  <c r="R100" i="18" a="true"/>
  <c r="V230" i="18" a="true"/>
  <c r="I165" i="25" a="true"/>
  <c r="S37" i="18" a="true"/>
  <c r="R325" i="18" a="true"/>
  <c r="V474" i="18" a="true"/>
  <c r="U250" i="18" a="true"/>
  <c r="X313" i="18" a="true"/>
  <c r="V284" i="18" a="true"/>
  <c r="R54" i="18" a="true"/>
  <c r="J88" i="25" a="true"/>
  <c r="U112" i="18" a="true"/>
  <c r="R21" i="18" a="true"/>
  <c r="U51" i="18" a="true"/>
  <c r="V238" i="18" a="true"/>
  <c r="T433" i="18" a="true"/>
  <c r="Q311" i="18" a="true"/>
  <c r="U399" i="18" a="true"/>
  <c r="J94" i="25" a="true"/>
  <c r="R421" i="18" a="true"/>
  <c r="S449" i="18" a="true"/>
  <c r="W24" i="18" a="true"/>
  <c r="T349" i="18" a="true"/>
  <c r="R333" i="18" a="true"/>
  <c r="V20" i="18" a="true"/>
  <c r="Q10" i="18" a="true"/>
  <c r="T404" i="18" a="true"/>
  <c r="V404" i="18" a="true"/>
  <c r="J242" i="25" a="true"/>
  <c r="J18" i="25" a="true"/>
  <c r="Q348" i="18" a="true"/>
  <c r="Y142" i="18" a="true"/>
  <c r="J419" i="25" a="true"/>
  <c r="T308" i="18" a="true"/>
  <c r="I25" i="25" a="true"/>
  <c r="Y23" i="18" a="true"/>
  <c r="R12" i="18" a="true"/>
  <c r="S487" i="18" a="true"/>
  <c r="R402" i="18" a="true"/>
  <c r="S403" i="18" a="true"/>
  <c r="J403" i="25" a="true"/>
  <c r="V213" i="18" a="true"/>
  <c r="W299" i="18" a="true"/>
  <c r="V287" i="18" a="true"/>
  <c r="I197" i="25" a="true"/>
  <c r="Q391" i="18" a="true"/>
  <c r="U198" i="18" a="true"/>
  <c r="U293" i="18" a="true"/>
  <c r="Y398" i="18" a="true"/>
  <c r="I320" i="25" a="true"/>
  <c r="Y263" i="18" a="true"/>
  <c r="T100" i="18" a="true"/>
  <c r="R184" i="18" a="true"/>
  <c r="W109" i="18" a="true"/>
  <c r="J318" i="25" a="true"/>
  <c r="J468" i="25" a="true"/>
  <c r="J122" i="25" a="true"/>
  <c r="V179" i="18" a="true"/>
  <c r="I261" i="25" a="true"/>
  <c r="Q178" i="18" a="true"/>
  <c r="U303" i="18" a="true"/>
  <c r="J111" i="25" a="true"/>
  <c r="J326" i="25" a="true"/>
  <c r="V456" i="18" a="true"/>
  <c r="AB389" i="18" a="true"/>
  <c r="AC192" i="18" a="true"/>
  <c r="AE280" i="18" a="true"/>
  <c r="AC175" i="18" a="true"/>
  <c r="AD102" i="18" a="true"/>
  <c r="O199" i="18" a="true"/>
  <c r="AC453" i="18" a="true"/>
  <c r="N39" i="18" a="true"/>
  <c r="AC314" i="18" a="true"/>
  <c r="AB312" i="18" a="true"/>
  <c r="AB123" i="18" a="true"/>
  <c r="AF175" i="18" a="true"/>
  <c r="AE382" i="18" a="true"/>
  <c r="AF450" i="18" a="true"/>
  <c r="O208" i="18" a="true"/>
  <c r="AC286" i="18" a="true"/>
  <c r="AE36" i="18" a="true"/>
  <c r="AF158" i="18" a="true"/>
  <c r="O48" i="18" a="true"/>
  <c r="O104" i="18" a="true"/>
  <c r="AA98" i="18" a="true"/>
  <c r="AF293" i="18" a="true"/>
  <c r="AA353" i="18" a="true"/>
  <c r="O283" i="18" a="true"/>
  <c r="N64" i="18" a="true"/>
  <c r="O19" i="18" a="true"/>
  <c r="AA261" i="18" a="true"/>
  <c r="O357" i="18" a="true"/>
  <c r="AA492" i="18" a="true"/>
  <c r="AF174" i="18" a="true"/>
  <c r="O59" i="18" a="true"/>
  <c r="N107" i="18" a="true"/>
  <c r="P350" i="18" a="true"/>
  <c r="N444" i="18" a="true"/>
  <c r="AA78" i="18" a="true"/>
  <c r="AA334" i="18" a="true"/>
  <c r="AE420" i="18" a="true"/>
  <c r="AE185" i="18" a="true"/>
  <c r="N374" i="18" a="true"/>
  <c r="P479" i="18" a="true"/>
  <c r="AF305" i="18" a="true"/>
  <c r="AF148" i="18" a="true"/>
  <c r="AE67" i="18" a="true"/>
  <c r="AF26" i="18" a="true"/>
  <c r="N82" i="18" a="true"/>
  <c r="P93" i="18" a="true"/>
  <c r="AC220" i="18" a="true"/>
  <c r="AF446" i="18" a="true"/>
  <c r="AB16" i="18" a="true"/>
  <c r="AC457" i="18" a="true"/>
  <c r="N51" i="18" a="true"/>
  <c r="AB455" i="18" a="true"/>
  <c r="N327" i="18" a="true"/>
  <c r="O222" i="18" a="true"/>
  <c r="P257" i="18" a="true"/>
  <c r="P266" i="18" a="true"/>
  <c r="AC317" i="18" a="true"/>
  <c r="O294" i="18" a="true"/>
  <c r="P249" i="18" a="true"/>
  <c r="AD191" i="18" a="true"/>
  <c r="AC313" i="18" a="true"/>
  <c r="N169" i="18" a="true"/>
  <c r="P382" i="18" a="true"/>
  <c r="AF447" i="18" a="true"/>
  <c r="AF289" i="18" a="true"/>
  <c r="P61" i="18" a="true"/>
  <c r="AC494" i="18" a="true"/>
  <c r="AF43" i="18" a="true"/>
  <c r="AD104" i="18" a="true"/>
  <c r="AD278" i="18" a="true"/>
  <c r="N317" i="18" a="true"/>
  <c r="AB31" i="18" a="true"/>
  <c r="AB156" i="18" a="true"/>
  <c r="N165" i="18" a="true"/>
  <c r="AA442" i="18" a="true"/>
  <c r="AF230" i="18" a="true"/>
  <c r="AE21" i="18" a="true"/>
  <c r="O162" i="18" a="true"/>
  <c r="P412" i="18" a="true"/>
  <c r="AF337" i="18" a="true"/>
  <c r="O192" i="18" a="true"/>
  <c r="AB463" i="18" a="true"/>
  <c r="P408" i="18" a="true"/>
  <c r="AC333" i="18" a="true"/>
  <c r="N36" i="18" a="true"/>
  <c r="N142" i="18" a="true"/>
  <c r="O39" i="18" a="true"/>
  <c r="AD366" i="18" a="true"/>
  <c r="AE394" i="18" a="true"/>
  <c r="AE31" i="18" a="true"/>
  <c r="N467" i="18" a="true"/>
  <c r="AB34" i="18" a="true"/>
  <c r="AC466" i="18" a="true"/>
  <c r="N299" i="18" a="true"/>
  <c r="O299" i="18" a="true"/>
  <c r="AF10" i="18" a="true"/>
  <c r="AC74" i="18" a="true"/>
  <c r="AB74" i="18" a="true"/>
  <c r="AA320" i="18" a="true"/>
  <c r="O233" i="18" a="true"/>
  <c r="O271" i="18" a="true"/>
  <c r="AF360" i="18" a="true"/>
  <c r="AC295" i="18" a="true"/>
  <c r="AE15" i="18" a="true"/>
  <c r="P261" i="18" a="true"/>
  <c r="P222" i="18" a="true"/>
  <c r="AB410" i="18" a="true"/>
  <c r="AA179" i="18" a="true"/>
  <c r="N175" i="18" a="true"/>
  <c r="AE490" i="18" a="true"/>
  <c r="AB304" i="18" a="true"/>
  <c r="AB50" i="18" a="true"/>
  <c r="AC387" i="18" a="true"/>
  <c r="AA331" i="18" a="true"/>
  <c r="AB322" i="18" a="true"/>
  <c r="AF271" i="18" a="true"/>
  <c r="N481" i="18" a="true"/>
  <c r="AE489" i="18" a="true"/>
  <c r="AC280" i="18" a="true"/>
  <c r="AF186" i="18" a="true"/>
  <c r="AB405" i="18" a="true"/>
  <c r="P141" i="18" a="true"/>
  <c r="AD452" i="18" a="true"/>
  <c r="AC425" i="18" a="true"/>
  <c r="O135" i="18" a="true"/>
  <c r="AC164" i="18" a="true"/>
  <c r="AD91" i="18" a="true"/>
  <c r="AD247" i="18" a="true"/>
  <c r="N443" i="18" a="true"/>
  <c r="AE287" i="18" a="true"/>
  <c r="AA107" i="18" a="true"/>
  <c r="AC243" i="18" a="true"/>
  <c r="AA400" i="18" a="true"/>
  <c r="N29" i="18" a="true"/>
  <c r="O196" i="18" a="true"/>
  <c r="AD72" i="18" a="true"/>
  <c r="N294" i="18" a="true"/>
  <c r="AF437" i="18" a="true"/>
  <c r="AF211" i="18" a="true"/>
  <c r="AF284" i="18" a="true"/>
  <c r="J135" i="25" a="true"/>
  <c r="Q403" i="18" a="true"/>
  <c r="Y447" i="18" a="true"/>
  <c r="I478" i="25" a="true"/>
  <c r="J142" i="25" a="true"/>
  <c r="U230" i="18" a="true"/>
  <c r="R158" i="18" a="true"/>
  <c r="S490" i="18" a="true"/>
  <c r="U257" i="18" a="true"/>
  <c r="S273" i="18" a="true"/>
  <c r="S234" i="18" a="true"/>
  <c r="X198" i="18" a="true"/>
  <c r="Y332" i="18" a="true"/>
  <c r="X87" i="18" a="true"/>
  <c r="S136" i="18" a="true"/>
  <c r="S34" i="18" a="true"/>
  <c r="Y425" i="18" a="true"/>
  <c r="X472" i="18" a="true"/>
  <c r="S462" i="18" a="true"/>
  <c r="U346" i="18" a="true"/>
  <c r="W422" i="18" a="true"/>
  <c r="I149" i="25" a="true"/>
  <c r="Y372" i="18" a="true"/>
  <c r="Y358" i="18" a="true"/>
  <c r="R271" i="18" a="true"/>
  <c r="Q226" i="18" a="true"/>
  <c r="J395" i="25" a="true"/>
  <c r="U375" i="18" a="true"/>
  <c r="W272" i="18" a="true"/>
  <c r="R434" i="18" a="true"/>
  <c r="W183" i="18" a="true"/>
  <c r="J27" i="25" a="true"/>
  <c r="S15" i="18" a="true"/>
  <c r="J29" i="25" a="true"/>
  <c r="R60" i="18" a="true"/>
  <c r="T281" i="18" a="true"/>
  <c r="U47" i="18" a="true"/>
  <c r="T298" i="18" a="true"/>
  <c r="Q293" i="18" a="true"/>
  <c r="Q318" i="18" a="true"/>
  <c r="R455" i="18" a="true"/>
  <c r="T439" i="18" a="true"/>
  <c r="Y116" i="18" a="true"/>
  <c r="Q166" i="18" a="true"/>
  <c r="T302" i="18" a="true"/>
  <c r="R69" i="18" a="true"/>
  <c r="I57" i="25" a="true"/>
  <c r="Q279" i="18" a="true"/>
  <c r="R153" i="18" a="true"/>
  <c r="X134" i="18" a="true"/>
  <c r="U298" i="18" a="true"/>
  <c r="U122" i="18" a="true"/>
  <c r="S147" i="18" a="true"/>
  <c r="U459" i="18" a="true"/>
  <c r="I5" i="25" a="true"/>
  <c r="S455" i="18" a="true"/>
  <c r="T84" i="18" a="true"/>
  <c r="X82" i="18" a="true"/>
  <c r="Y476" i="18" a="true"/>
  <c r="X437" i="18" a="true"/>
  <c r="V327" i="18" a="true"/>
  <c r="U129" i="18" a="true"/>
  <c r="W210" i="18" a="true"/>
  <c r="S232" i="18" a="true"/>
  <c r="J374" i="25" a="true"/>
  <c r="J156" i="25" a="true"/>
  <c r="V157" i="18" a="true"/>
  <c r="W342" i="18" a="true"/>
  <c r="J59" i="25" a="true"/>
  <c r="U227" i="18" a="true"/>
  <c r="I315" i="25" a="true"/>
  <c r="R39" i="18" a="true"/>
  <c r="I280" i="25" a="true"/>
  <c r="S324" i="18" a="true"/>
  <c r="T379" i="18" a="true"/>
  <c r="R209" i="18" a="true"/>
  <c r="J65" i="25" a="true"/>
  <c r="V109" i="18" a="true"/>
  <c r="Q330" i="18" a="true"/>
  <c r="W96" i="18" a="true"/>
  <c r="J13" i="25" a="true"/>
  <c r="V422" i="18" a="true"/>
  <c r="J69" i="25" a="true"/>
  <c r="Y218" i="18" a="true"/>
  <c r="T177" i="18" a="true"/>
  <c r="W165" i="18" a="true"/>
  <c r="S399" i="18" a="true"/>
  <c r="S264" i="18" a="true"/>
  <c r="X56" i="18" a="true"/>
  <c r="X225" i="18" a="true"/>
  <c r="Y14" i="18" a="true"/>
  <c r="R285" i="18" a="true"/>
  <c r="I450" i="25" a="true"/>
  <c r="Q83" i="18" a="true"/>
  <c r="I305" i="25" a="true"/>
  <c r="J110" i="25" a="true"/>
  <c r="R329" i="18" a="true"/>
  <c r="J338" i="25" a="true"/>
  <c r="U281" i="18" a="true"/>
  <c r="R122" i="18" a="true"/>
  <c r="AC93" i="18" a="true"/>
  <c r="AA143" i="18" a="true"/>
  <c r="AD327" i="18" a="true"/>
  <c r="AC268" i="18" a="true"/>
  <c r="O71" i="18" a="true"/>
  <c r="P78" i="18" a="true"/>
  <c r="AA128" i="18" a="true"/>
  <c r="N90" i="18" a="true"/>
  <c r="AB416" i="18" a="true"/>
  <c r="AB146" i="18" a="true"/>
  <c r="O177" i="18" a="true"/>
  <c r="AE361" i="18" a="true"/>
  <c r="N495" i="18" a="true"/>
  <c r="AD95" i="18" a="true"/>
  <c r="AE438" i="18" a="true"/>
  <c r="AB358" i="18" a="true"/>
  <c r="P318" i="18" a="true"/>
  <c r="AB351" i="18" a="true"/>
  <c r="O391" i="18" a="true"/>
  <c r="AC442" i="18" a="true"/>
  <c r="AE405" i="18" a="true"/>
  <c r="AC119" i="18" a="true"/>
  <c r="AD106" i="18" a="true"/>
  <c r="AD130" i="18" a="true"/>
  <c r="AB178" i="18" a="true"/>
  <c r="AF182" i="18" a="true"/>
  <c r="N18" i="18" a="true"/>
  <c r="AA76" i="18" a="true"/>
  <c r="P232" i="18" a="true"/>
  <c r="AB247" i="18" a="true"/>
  <c r="AA86" i="18" a="true"/>
  <c r="AC203" i="18" a="true"/>
  <c r="AC354" i="18" a="true"/>
  <c r="AD115" i="18" a="true"/>
  <c r="P502" i="18" a="true"/>
  <c r="AB422" i="18" a="true"/>
  <c r="N350" i="18" a="true"/>
  <c r="AA391" i="18" a="true"/>
  <c r="N376" i="18" a="true"/>
  <c r="N494" i="18" a="true"/>
  <c r="AB481" i="18" a="true"/>
  <c r="N310" i="18" a="true"/>
  <c r="N183" i="18" a="true"/>
  <c r="AA257" i="18" a="true"/>
  <c r="N14" i="18" a="true"/>
  <c r="AB316" i="18" a="true"/>
  <c r="AC245" i="18" a="true"/>
  <c r="AD200" i="18" a="true"/>
  <c r="P155" i="18" a="true"/>
  <c r="AE155" i="18" a="true"/>
  <c r="AA262" i="18" a="true"/>
  <c r="N283" i="18" a="true"/>
  <c r="AA95" i="18" a="true"/>
  <c r="AA459" i="18" a="true"/>
  <c r="O306" i="18" a="true"/>
  <c r="AD499" i="18" a="true"/>
  <c r="AD110" i="18" a="true"/>
  <c r="N445" i="18" a="true"/>
  <c r="AE186" i="18" a="true"/>
  <c r="AF262" i="18" a="true"/>
  <c r="AC325" i="18" a="true"/>
  <c r="AE177" i="18" a="true"/>
  <c r="AE446" i="18" a="true"/>
  <c r="P35" i="18" a="true"/>
  <c r="AE496" i="18" a="true"/>
  <c r="O86" i="18" a="true"/>
  <c r="AE19" i="18" a="true"/>
  <c r="AF164" i="18" a="true"/>
  <c r="AB139" i="18" a="true"/>
  <c r="P275" i="18" a="true"/>
  <c r="P256" i="18" a="true"/>
  <c r="O202" i="18" a="true"/>
  <c r="AA288" i="18" a="true"/>
  <c r="O396" i="18" a="true"/>
  <c r="AE439" i="18" a="true"/>
  <c r="AF260" i="18" a="true"/>
  <c r="AA253" i="18" a="true"/>
  <c r="AE198" i="18" a="true"/>
  <c r="P436" i="18" a="true"/>
  <c r="AB326" i="18" a="true"/>
  <c r="AE199" i="18" a="true"/>
  <c r="AF25" i="18" a="true"/>
  <c r="AE362" i="18" a="true"/>
  <c r="AF261" i="18" a="true"/>
  <c r="AB492" i="18" a="true"/>
  <c r="O117" i="18" a="true"/>
  <c r="N336" i="18" a="true"/>
  <c r="O501" i="18" a="true"/>
  <c r="N446" i="18" a="true"/>
  <c r="AA403" i="18" a="true"/>
  <c r="AD99" i="18" a="true"/>
  <c r="P421" i="18" a="true"/>
  <c r="O157" i="18" a="true"/>
  <c r="AA162" i="18" a="true"/>
  <c r="AB364" i="18" a="true"/>
  <c r="O227" i="18" a="true"/>
  <c r="AB336" i="18" a="true"/>
  <c r="O92" i="18" a="true"/>
  <c r="AB221" i="18" a="true"/>
  <c r="P242" i="18" a="true"/>
  <c r="AA482" i="18" a="true"/>
  <c r="N53" i="18" a="true"/>
  <c r="AD48" i="18" a="true"/>
  <c r="P352" i="18" a="true"/>
  <c r="AC63" i="18" a="true"/>
  <c r="AE256" i="18" a="true"/>
  <c r="AD324" i="18" a="true"/>
  <c r="N232" i="18" a="true"/>
  <c r="O360" i="18" a="true"/>
  <c r="N233" i="18" a="true"/>
  <c r="AE484" i="18" a="true"/>
  <c r="AF344" i="18" a="true"/>
  <c r="AE492" i="18" a="true"/>
  <c r="AD498" i="18" a="true"/>
  <c r="AF162" i="18" a="true"/>
  <c r="AD463" i="18" a="true"/>
  <c r="O281" i="18" a="true"/>
  <c r="AC312" i="18" a="true"/>
  <c r="AD37" i="18" a="true"/>
  <c r="P189" i="18" a="true"/>
  <c r="AB414" i="18" a="true"/>
  <c r="AD464" i="18" a="true"/>
  <c r="AA472" i="18" a="true"/>
  <c r="AD23" i="18" a="true"/>
  <c r="P489" i="18" a="true"/>
  <c r="AB142" i="18" a="true"/>
  <c r="N110" i="18" a="true"/>
  <c r="AB289" i="18" a="true"/>
  <c r="AD174" i="18" a="true"/>
  <c r="P500" i="18" a="true"/>
  <c r="N193" i="18" a="true"/>
  <c r="AD288" i="18" a="true"/>
  <c r="AE147" i="18" a="true"/>
  <c r="P83" i="18" a="true"/>
  <c r="N259" i="18" a="true"/>
  <c r="AF99" i="18" a="true"/>
  <c r="AE476" i="18" a="true"/>
  <c r="O365" i="18" a="true"/>
  <c r="Y205" i="18" a="true"/>
  <c r="Y182" i="18" a="true"/>
  <c r="Y152" i="18" a="true"/>
  <c r="V119" i="18" a="true"/>
  <c r="U165" i="18" a="true"/>
  <c r="X285" i="18" a="true"/>
  <c r="X185" i="18" a="true"/>
  <c r="S127" i="18" a="true"/>
  <c r="Y388" i="18" a="true"/>
  <c r="Y57" i="18" a="true"/>
  <c r="V17" i="18" a="true"/>
  <c r="V344" i="18" a="true"/>
  <c r="I433" i="25" a="true"/>
  <c r="R350" i="18" a="true"/>
  <c r="Y183" i="18" a="true"/>
  <c r="X361" i="18" a="true"/>
  <c r="X469" i="18" a="true"/>
  <c r="U491" i="18" a="true"/>
  <c r="R400" i="18" a="true"/>
  <c r="X256" i="18" a="true"/>
  <c r="V350" i="18" a="true"/>
  <c r="X286" i="18" a="true"/>
  <c r="U143" i="18" a="true"/>
  <c r="R103" i="18" a="true"/>
  <c r="W46" i="18" a="true"/>
  <c r="X463" i="18" a="true"/>
  <c r="V360" i="18" a="true"/>
  <c r="J479" i="25" a="true"/>
  <c r="S151" i="18" a="true"/>
  <c r="S365" i="18" a="true"/>
  <c r="U463" i="18" a="true"/>
  <c r="T106" i="18" a="true"/>
  <c r="J234" i="25" a="true"/>
  <c r="S355" i="18" a="true"/>
  <c r="S295" i="18" a="true"/>
  <c r="R502" i="18" a="true"/>
  <c r="Y231" i="18" a="true"/>
  <c r="W353" i="18" a="true"/>
  <c r="R42" i="18" a="true"/>
  <c r="I208" i="25" a="true"/>
  <c r="U219" i="18" a="true"/>
  <c r="X374" i="18" a="true"/>
  <c r="V73" i="18" a="true"/>
  <c r="X335" i="18" a="true"/>
  <c r="T59" i="18" a="true"/>
  <c r="I435" i="25" a="true"/>
  <c r="R433" i="18" a="true"/>
  <c r="R432" i="18" a="true"/>
  <c r="W71" i="18" a="true"/>
  <c r="J285" i="25" a="true"/>
  <c r="Q151" i="18" a="true"/>
  <c r="V481" i="18" a="true"/>
  <c r="I125" i="25" a="true"/>
  <c r="J373" i="25" a="true"/>
  <c r="U149" i="18" a="true"/>
  <c r="X141" i="18" a="true"/>
  <c r="S317" i="18" a="true"/>
  <c r="V445" i="18" a="true"/>
  <c r="W195" i="18" a="true"/>
  <c r="Q196" i="18" a="true"/>
  <c r="U349" i="18" a="true"/>
  <c r="Y50" i="18" a="true"/>
  <c r="W338" i="18" a="true"/>
  <c r="Y318" i="18" a="true"/>
  <c r="V198" i="18" a="true"/>
  <c r="I194" i="25" a="true"/>
  <c r="V214" i="18" a="true"/>
  <c r="I374" i="25" a="true"/>
  <c r="R29" i="18" a="true"/>
  <c r="W384" i="18" a="true"/>
  <c r="W90" i="18" a="true"/>
  <c r="Q214" i="18" a="true"/>
  <c r="J484" i="25" a="true"/>
  <c r="T50" i="18" a="true"/>
  <c r="T453" i="18" a="true"/>
  <c r="Y395" i="18" a="true"/>
  <c r="Q26" i="18" a="true"/>
  <c r="Y294" i="18" a="true"/>
  <c r="R451" i="18" a="true"/>
  <c r="J241" i="25" a="true"/>
  <c r="V488" i="18" a="true"/>
  <c r="J324" i="25" a="true"/>
  <c r="Y283" i="18" a="true"/>
  <c r="X62" i="18" a="true"/>
  <c r="S354" i="18" a="true"/>
  <c r="Q16" i="18" a="true"/>
  <c r="T409" i="18" a="true"/>
  <c r="Q176" i="18" a="true"/>
  <c r="J375" i="25" a="true"/>
  <c r="R141" i="18" a="true"/>
  <c r="Q409" i="18" a="true"/>
  <c r="T272" i="18" a="true"/>
  <c r="I429" i="25" a="true"/>
  <c r="X265" i="18" a="true"/>
  <c r="Y103" i="18" a="true"/>
  <c r="X439" i="18" a="true"/>
  <c r="W276" i="18" a="true"/>
  <c r="Y67" i="18" a="true"/>
  <c r="J121" i="25" a="true"/>
  <c r="X9" i="18" a="true"/>
  <c r="X342" i="18" a="true"/>
  <c r="X502" i="18" a="true"/>
  <c r="X174" i="18" a="true"/>
  <c r="J360" i="25" a="true"/>
  <c r="S503" i="18" a="true"/>
  <c r="X195" i="18" a="true"/>
  <c r="U27" i="18" a="true"/>
  <c r="Y369" i="18" a="true"/>
  <c r="S105" i="18" a="true"/>
  <c r="Q79" i="18" a="true"/>
  <c r="J115" i="25" a="true"/>
  <c r="W460" i="18" a="true"/>
  <c r="I119" i="25" a="true"/>
  <c r="T503" i="18" a="true"/>
  <c r="W495" i="18" a="true"/>
  <c r="S393" i="18" a="true"/>
  <c r="T154" i="18" a="true"/>
  <c r="R435" i="18" a="true"/>
  <c r="I276" i="25" a="true"/>
  <c r="R144" i="18" a="true"/>
  <c r="U10" i="18" a="true"/>
  <c r="W304" i="18" a="true"/>
  <c r="Y438" i="18" a="true"/>
  <c r="S343" i="18" a="true"/>
  <c r="Y266" i="18" a="true"/>
  <c r="U35" i="18" a="true"/>
  <c r="V74" i="18" a="true"/>
  <c r="W391" i="18" a="true"/>
  <c r="V176" i="18" a="true"/>
  <c r="W286" i="18" a="true"/>
  <c r="X224" i="18" a="true"/>
  <c r="I91" i="25" a="true"/>
  <c r="W449" i="18" a="true"/>
  <c r="J426" i="25" a="true"/>
  <c r="S489" i="18" a="true"/>
  <c r="R326" i="18" a="true"/>
  <c r="X36" i="18" a="true"/>
  <c r="R164" i="18" a="true"/>
  <c r="V413" i="18" a="true"/>
  <c r="W88" i="18" a="true"/>
  <c r="S203" i="18" a="true"/>
  <c r="V114" i="18" a="true"/>
  <c r="W132" i="18" a="true"/>
  <c r="T202" i="18" a="true"/>
  <c r="R14" i="18" a="true"/>
  <c r="X148" i="18" a="true"/>
  <c r="Q153" i="18" a="true"/>
  <c r="J329" i="25" a="true"/>
  <c r="Y227" i="18" a="true"/>
  <c r="I135" i="25" a="true"/>
  <c r="T241" i="18" a="true"/>
  <c r="T43" i="18" a="true"/>
  <c r="U381" i="18" a="true"/>
  <c r="U99" i="18" a="true"/>
  <c r="I147" i="25" a="true"/>
  <c r="X419" i="18" a="true"/>
  <c r="U410" i="18" a="true"/>
  <c r="T458" i="18" a="true"/>
  <c r="Y47" i="18" a="true"/>
  <c r="T301" i="18" a="true"/>
  <c r="Q364" i="18" a="true"/>
  <c r="J361" i="25" a="true"/>
  <c r="W340" i="18" a="true"/>
  <c r="I490" i="25" a="true"/>
  <c r="T14" i="18" a="true"/>
  <c r="R385" i="18" a="true"/>
  <c r="T258" i="18" a="true"/>
  <c r="W73" i="18" a="true"/>
  <c r="Q477" i="18" a="true"/>
  <c r="R387" i="18" a="true"/>
  <c r="Q505" i="18" a="true"/>
  <c r="Q129" i="18" a="true"/>
  <c r="Y380" i="18" a="true"/>
  <c r="W185" i="18" a="true"/>
  <c r="J356" i="25" a="true"/>
  <c r="Y434" i="18" a="true"/>
  <c r="J430" i="25" a="true"/>
  <c r="W393" i="18" a="true"/>
  <c r="W344" i="18" a="true"/>
  <c r="Y453" i="18" a="true"/>
  <c r="I420" i="25" a="true"/>
  <c r="T108" i="18" a="true"/>
  <c r="X470" i="18" a="true"/>
  <c r="R314" i="18" a="true"/>
  <c r="Y281" i="18" a="true"/>
  <c r="J197" i="25" a="true"/>
  <c r="T292" i="18" a="true"/>
  <c r="Q244" i="18" a="true"/>
  <c r="J421" i="25" a="true"/>
  <c r="Q343" i="18" a="true"/>
  <c r="X91" i="18" a="true"/>
  <c r="R482" i="18" a="true"/>
  <c r="J132" i="25" a="true"/>
  <c r="V128" i="18" a="true"/>
  <c r="J58" i="25" a="true"/>
  <c r="V56" i="18" a="true"/>
  <c r="J39" i="25" a="true"/>
  <c r="U320" i="18" a="true"/>
  <c r="J363" i="25" a="true"/>
  <c r="W453" i="18" a="true"/>
  <c r="T95" i="18" a="true"/>
  <c r="I394" i="25" a="true"/>
  <c r="Q344" i="18" a="true"/>
  <c r="W209" i="18" a="true"/>
  <c r="J341" i="25" a="true"/>
  <c r="W385" i="18" a="true"/>
  <c r="Q195" i="18" a="true"/>
  <c r="R506" i="18" a="true"/>
  <c r="I476" i="25" a="true"/>
  <c r="W375" i="18" a="true"/>
  <c r="R290" i="18" a="true"/>
  <c r="I127" i="25" a="true"/>
  <c r="W197" i="18" a="true"/>
  <c r="T374" i="18" a="true"/>
  <c r="I163" i="25" a="true"/>
  <c r="J81" i="25" a="true"/>
  <c r="U144" i="18" a="true"/>
  <c r="U17" i="18" a="true"/>
  <c r="I419" i="25" a="true"/>
  <c r="J9" i="25" a="true"/>
  <c r="Y135" i="18" a="true"/>
  <c r="W291" i="18" a="true"/>
  <c r="Q459" i="18" a="true"/>
  <c r="J178" i="25" a="true"/>
  <c r="S87" i="18" a="true"/>
  <c r="J140" i="25" a="true"/>
  <c r="U234" i="18" a="true"/>
  <c r="I424" i="25" a="true"/>
  <c r="AB311" i="18" a="true"/>
  <c r="AE117" i="18" a="true"/>
  <c r="AE193" i="18" a="true"/>
  <c r="AE491" i="18" a="true"/>
  <c r="AA333" i="18" a="true"/>
  <c r="AF190" i="18" a="true"/>
  <c r="O235" i="18" a="true"/>
  <c r="AF191" i="18" a="true"/>
  <c r="P25" i="18" a="true"/>
  <c r="AC367" i="18" a="true"/>
  <c r="AA59" i="18" a="true"/>
  <c r="AB379" i="18" a="true"/>
  <c r="N303" i="18" a="true"/>
  <c r="AD456" i="18" a="true"/>
  <c r="P71" i="18" a="true"/>
  <c r="O452" i="18" a="true"/>
  <c r="AD304" i="18" a="true"/>
  <c r="P224" i="18" a="true"/>
  <c r="P335" i="18" a="true"/>
  <c r="AA243" i="18" a="true"/>
  <c r="AE386" i="18" a="true"/>
  <c r="O432" i="18" a="true"/>
  <c r="AB457" i="18" a="true"/>
  <c r="AC256" i="18" a="true"/>
  <c r="AF19" i="18" a="true"/>
  <c r="AE121" i="18" a="true"/>
  <c r="P81" i="18" a="true"/>
  <c r="AE265" i="18" a="true"/>
  <c r="AD164" i="18" a="true"/>
  <c r="AA286" i="18" a="true"/>
  <c r="AC462" i="18" a="true"/>
  <c r="AB469" i="18" a="true"/>
  <c r="AD428" i="18" a="true"/>
  <c r="AE283" i="18" a="true"/>
  <c r="AF426" i="18" a="true"/>
  <c r="P96" i="18" a="true"/>
  <c r="AC15" i="18" a="true"/>
  <c r="AA37" i="18" a="true"/>
  <c r="AF317" i="18" a="true"/>
  <c r="AA416" i="18" a="true"/>
  <c r="N134" i="18" a="true"/>
  <c r="AB378" i="18" a="true"/>
  <c r="O503" i="18" a="true"/>
  <c r="AC392" i="18" a="true"/>
  <c r="AB160" i="18" a="true"/>
  <c r="AA397" i="18" a="true"/>
  <c r="N394" i="18" a="true"/>
  <c r="AA92" i="18" a="true"/>
  <c r="AB365" i="18" a="true"/>
  <c r="AE378" i="18" a="true"/>
  <c r="AE284" i="18" a="true"/>
  <c r="AE373" i="18" a="true"/>
  <c r="AC195" i="18" a="true"/>
  <c r="AB232" i="18" a="true"/>
  <c r="AE485" i="18" a="true"/>
  <c r="AD394" i="18" a="true"/>
  <c r="AF373" i="18" a="true"/>
  <c r="AD451" i="18" a="true"/>
  <c r="N73" i="18" a="true"/>
  <c r="AB233" i="18" a="true"/>
  <c r="P490" i="18" a="true"/>
  <c r="AD299" i="18" a="true"/>
  <c r="AB296" i="18" a="true"/>
  <c r="N465" i="18" a="true"/>
  <c r="AD332" i="18" a="true"/>
  <c r="AC259" i="18" a="true"/>
  <c r="N285" i="18" a="true"/>
  <c r="O181" i="18" a="true"/>
  <c r="AA230" i="18" a="true"/>
  <c r="P172" i="18" a="true"/>
  <c r="N179" i="18" a="true"/>
  <c r="O409" i="18" a="true"/>
  <c r="P496" i="18" a="true"/>
  <c r="P164" i="18" a="true"/>
  <c r="AF336" i="18" a="true"/>
  <c r="AD220" i="18" a="true"/>
  <c r="P104" i="18" a="true"/>
  <c r="AC26" i="18" a="true"/>
  <c r="P263" i="18" a="true"/>
  <c r="O372" i="18" a="true"/>
  <c r="AB425" i="18" a="true"/>
  <c r="AE388" i="18" a="true"/>
  <c r="AF294" i="18" a="true"/>
  <c r="AD25" i="18" a="true"/>
  <c r="N460" i="18" a="true"/>
  <c r="AC223" i="18" a="true"/>
  <c r="P118" i="18" a="true"/>
  <c r="AE95" i="18" a="true"/>
  <c r="AF221" i="18" a="true"/>
  <c r="AF86" i="18" a="true"/>
  <c r="AE399" i="18" a="true"/>
  <c r="O144" i="18" a="true"/>
  <c r="P163" i="18" a="true"/>
  <c r="AF204" i="18" a="true"/>
  <c r="AD86" i="18" a="true"/>
  <c r="AB491" i="18" a="true"/>
  <c r="AD453" i="18" a="true"/>
  <c r="O207" i="18" a="true"/>
  <c r="AB505" i="18" a="true"/>
  <c r="AC265" i="18" a="true"/>
  <c r="AD234" i="18" a="true"/>
  <c r="AB277" i="18" a="true"/>
  <c r="P234" i="18" a="true"/>
  <c r="AE396" i="18" a="true"/>
  <c r="AD333" i="18" a="true"/>
  <c r="AE105" i="18" a="true"/>
  <c r="AC109" i="18" a="true"/>
  <c r="AA139" i="18" a="true"/>
  <c r="AA301" i="18" a="true"/>
  <c r="AE195" i="18" a="true"/>
  <c r="AE499" i="18" a="true"/>
  <c r="AC7" i="18" a="true"/>
  <c r="AA327" i="18" a="true"/>
  <c r="AF429" i="18" a="true"/>
  <c r="AC230" i="18" a="true"/>
  <c r="P406" i="18" a="true"/>
  <c r="P297" i="18" a="true"/>
  <c r="AE494" i="18" a="true"/>
  <c r="AA343" i="18" a="true"/>
  <c r="AB73" i="18" a="true"/>
  <c r="AC445" i="18" a="true"/>
  <c r="AE71" i="18" a="true"/>
  <c r="AD430" i="18" a="true"/>
  <c r="AA106" i="18" a="true"/>
  <c r="O101" i="18" a="true"/>
  <c r="O369" i="18" a="true"/>
  <c r="AE55" i="18" a="true"/>
  <c r="AB348" i="18" a="true"/>
  <c r="N133" i="18" a="true"/>
  <c r="AD185" i="18" a="true"/>
  <c r="AA158" i="18" a="true"/>
  <c r="AF404" i="18" a="true"/>
  <c r="AF184" i="18" a="true"/>
  <c r="AA361" i="18" a="true"/>
  <c r="P44" i="18" a="true"/>
  <c r="N121" i="18" a="true"/>
  <c r="P262" i="18" a="true"/>
  <c r="AE214" i="18" a="true"/>
  <c r="P89" i="18" a="true"/>
  <c r="U444" i="18" a="true"/>
  <c r="Q305" i="18" a="true"/>
  <c r="S193" i="18" a="true"/>
  <c r="T386" i="18" a="true"/>
  <c r="I13" i="25" a="true"/>
  <c r="Y485" i="18" a="true"/>
  <c r="I455" i="25" a="true"/>
  <c r="Y199" i="18" a="true"/>
  <c r="Q23" i="18" a="true"/>
  <c r="X125" i="18" a="true"/>
  <c r="U36" i="18" a="true"/>
  <c r="Y424" i="18" a="true"/>
  <c r="Q242" i="18" a="true"/>
  <c r="R331" i="18" a="true"/>
  <c r="I179" i="25" a="true"/>
  <c r="J442" i="25" a="true"/>
  <c r="Y201" i="18" a="true"/>
  <c r="I499" i="25" a="true"/>
  <c r="I228" i="25" a="true"/>
  <c r="AA409" i="18" a="true"/>
  <c r="O259" i="18" a="true"/>
  <c r="AB84" i="18" a="true"/>
  <c r="AF506" i="18" a="true"/>
  <c r="AD489" i="18" a="true"/>
  <c r="Y394" i="18" a="true"/>
  <c r="S216" i="18" a="true"/>
  <c r="R418" i="18" a="true"/>
  <c r="Q462" i="18" a="true"/>
  <c r="R355" i="18" a="true"/>
  <c r="Q150" i="18" a="true"/>
  <c r="Q17" i="18" a="true"/>
  <c r="T197" i="18" a="true"/>
  <c r="W407" i="18" a="true"/>
  <c r="Q368" i="18" a="true"/>
  <c r="T358" i="18" a="true"/>
  <c r="J187" i="25" a="true"/>
  <c r="W72" i="18" a="true"/>
  <c r="T459" i="18" a="true"/>
  <c r="W147" i="18" a="true"/>
  <c r="W444" i="18" a="true"/>
  <c r="R456" i="18" a="true"/>
  <c r="R498" i="18" a="true"/>
  <c r="T334" i="18" a="true"/>
  <c r="R160" i="18" a="true"/>
  <c r="R225" i="18" a="true"/>
  <c r="T277" i="18" a="true"/>
  <c r="U117" i="18" a="true"/>
  <c r="T347" i="18" a="true"/>
  <c r="Y222" i="18" a="true"/>
  <c r="J257" i="25" a="true"/>
  <c r="Y499" i="18" a="true"/>
  <c r="J118" i="25" a="true"/>
  <c r="Y145" i="18" a="true"/>
  <c r="X42" i="18" a="true"/>
  <c r="V336" i="18" a="true"/>
  <c r="V98" i="18" a="true"/>
  <c r="Q466" i="18" a="true"/>
  <c r="U478" i="18" a="true"/>
  <c r="X427" i="18" a="true"/>
  <c r="S433" i="18" a="true"/>
  <c r="X186" i="18" a="true"/>
  <c r="X399" i="18" a="true"/>
  <c r="J377" i="25" a="true"/>
  <c r="Q7" i="18" a="true"/>
  <c r="J174" i="25" a="true"/>
  <c r="Y21" i="18" a="true"/>
  <c r="I115" i="25" a="true"/>
  <c r="Y96" i="18" a="true"/>
  <c r="V489" i="18" a="true"/>
  <c r="X171" i="18" a="true"/>
  <c r="R256" i="18" a="true"/>
  <c r="Q100" i="18" a="true"/>
  <c r="S319" i="18" a="true"/>
  <c r="J362" i="25" a="true"/>
  <c r="Y291" i="18" a="true"/>
  <c r="W216" i="18" a="true"/>
  <c r="J491" i="25" a="true"/>
  <c r="T83" i="18" a="true"/>
  <c r="Q321" i="18" a="true"/>
  <c r="U316" i="18" a="true"/>
  <c r="S169" i="18" a="true"/>
  <c r="T369" i="18" a="true"/>
  <c r="Q73" i="18" a="true"/>
  <c r="J344" i="25" a="true"/>
  <c r="S488" i="18" a="true"/>
  <c r="J77" i="25" a="true"/>
  <c r="Q206" i="18" a="true"/>
  <c r="S114" i="18" a="true"/>
  <c r="X490" i="18" a="true"/>
  <c r="U140" i="18" a="true"/>
  <c r="V215" i="18" a="true"/>
  <c r="I372" i="25" a="true"/>
  <c r="W27" i="18" a="true"/>
  <c r="T9" i="18" a="true"/>
  <c r="Q227" i="18" a="true"/>
  <c r="I67" i="25" a="true"/>
  <c r="R381" i="18" a="true"/>
  <c r="R93" i="18" a="true"/>
  <c r="U310" i="18" a="true"/>
  <c r="R171" i="18" a="true"/>
  <c r="Q295" i="18" a="true"/>
  <c r="Y38" i="18" a="true"/>
  <c r="X21" i="18" a="true"/>
  <c r="U93" i="18" a="true"/>
  <c r="W130" i="18" a="true"/>
  <c r="Y356" i="18" a="true"/>
  <c r="T51" i="18" a="true"/>
  <c r="I223" i="25" a="true"/>
  <c r="U340" i="18" a="true"/>
  <c r="X96" i="18" a="true"/>
  <c r="V333" i="18" a="true"/>
  <c r="Y172" i="18" a="true"/>
  <c r="Y153" i="18" a="true"/>
  <c r="W236" i="18" a="true"/>
  <c r="V375" i="18" a="true"/>
  <c r="S474" i="18" a="true"/>
  <c r="Q349" i="18" a="true"/>
  <c r="X388" i="18" a="true"/>
  <c r="R35" i="18" a="true"/>
  <c r="U195" i="18" a="true"/>
  <c r="U72" i="18" a="true"/>
  <c r="J119" i="25" a="true"/>
  <c r="R112" i="18" a="true"/>
  <c r="I412" i="25" a="true"/>
  <c r="R240" i="18" a="true"/>
  <c r="J437" i="25" a="true"/>
  <c r="Q315" i="18" a="true"/>
  <c r="T70" i="18" a="true"/>
  <c r="S371" i="18" a="true"/>
  <c r="W433" i="18" a="true"/>
  <c r="R56" i="18" a="true"/>
  <c r="Y345" i="18" a="true"/>
  <c r="Q143" i="18" a="true"/>
  <c r="W317" i="18" a="true"/>
  <c r="I190" i="25" a="true"/>
  <c r="S213" i="18" a="true"/>
  <c r="J499" i="25" a="true"/>
  <c r="Q120" i="18" a="true"/>
  <c r="J219" i="25" a="true"/>
  <c r="W488" i="18" a="true"/>
  <c r="Y464" i="18" a="true"/>
  <c r="R104" i="18" a="true"/>
  <c r="Q216" i="18" a="true"/>
  <c r="W174" i="18" a="true"/>
  <c r="S248" i="18" a="true"/>
  <c r="J141" i="25" a="true"/>
  <c r="X327" i="18" a="true"/>
  <c r="T67" i="18" a="true"/>
  <c r="J339" i="25" a="true"/>
  <c r="Y272" i="18" a="true"/>
  <c r="I296" i="25" a="true"/>
  <c r="W252" i="18" a="true"/>
  <c r="V428" i="18" a="true"/>
  <c r="U313" i="18" a="true"/>
  <c r="X344" i="18" a="true"/>
  <c r="W59" i="18" a="true"/>
  <c r="V363" i="18" a="true"/>
  <c r="W322" i="18" a="true"/>
  <c r="T285" i="18" a="true"/>
  <c r="X316" i="18" a="true"/>
  <c r="W381" i="18" a="true"/>
  <c r="J56" i="25" a="true"/>
  <c r="W462" i="18" a="true"/>
  <c r="T324" i="18" a="true"/>
  <c r="I151" i="25" a="true"/>
  <c r="Q58" i="18" a="true"/>
  <c r="T333" i="18" a="true"/>
  <c r="X340" i="18" a="true"/>
  <c r="S291" i="18" a="true"/>
  <c r="Y267" i="18" a="true"/>
  <c r="U16" i="18" a="true"/>
  <c r="R157" i="18" a="true"/>
  <c r="R364" i="18" a="true"/>
  <c r="S323" i="18" a="true"/>
  <c r="U235" i="18" a="true"/>
  <c r="S396" i="18" a="true"/>
  <c r="R259" i="18" a="true"/>
  <c r="T304" i="18" a="true"/>
  <c r="T361" i="18" a="true"/>
  <c r="V31" i="18" a="true"/>
  <c r="V468" i="18" a="true"/>
  <c r="U470" i="18" a="true"/>
  <c r="U244" i="18" a="true"/>
  <c r="J6" i="25" a="true"/>
  <c r="U460" i="18" a="true"/>
  <c r="Y237" i="18" a="true"/>
  <c r="W247" i="18" a="true"/>
  <c r="T155" i="18" a="true"/>
  <c r="U396" i="18" a="true"/>
  <c r="U301" i="18" a="true"/>
  <c r="X179" i="18" a="true"/>
  <c r="X113" i="18" a="true"/>
  <c r="Y85" i="18" a="true"/>
  <c r="T362" i="18" a="true"/>
  <c r="Y204" i="18" a="true"/>
  <c r="T494" i="18" a="true"/>
  <c r="Y353" i="18" a="true"/>
  <c r="I185" i="25" a="true"/>
  <c r="V75" i="18" a="true"/>
  <c r="I64" i="25" a="true"/>
  <c r="V280" i="18" a="true"/>
  <c r="J450" i="25" a="true"/>
  <c r="S43" i="18" a="true"/>
  <c r="R95" i="18" a="true"/>
  <c r="T289" i="18" a="true"/>
  <c r="Y70" i="18" a="true"/>
  <c r="Q478" i="18" a="true"/>
  <c r="V57" i="18" a="true"/>
  <c r="R266" i="18" a="true"/>
  <c r="W173" i="18" a="true"/>
  <c r="I195" i="25" a="true"/>
  <c r="X83" i="18" a="true"/>
  <c r="J340" i="25" a="true"/>
  <c r="R86" i="18" a="true"/>
  <c r="J492" i="25" a="true"/>
  <c r="S88" i="18" a="true"/>
  <c r="S335" i="18" a="true"/>
  <c r="Y381" i="18" a="true"/>
  <c r="X266" i="18" a="true"/>
  <c r="U152" i="18" a="true"/>
  <c r="U382" i="18" a="true"/>
  <c r="V378" i="18" a="true"/>
  <c r="Q394" i="18" a="true"/>
  <c r="X398" i="18" a="true"/>
  <c r="T44" i="18" a="true"/>
  <c r="X497" i="18" a="true"/>
  <c r="Q282" i="18" a="true"/>
  <c r="J306" i="25" a="true"/>
  <c r="W439" i="18" a="true"/>
  <c r="T215" i="18" a="true"/>
  <c r="R50" i="18" a="true"/>
  <c r="V227" i="18" a="true"/>
  <c r="T489" i="18" a="true"/>
  <c r="X169" i="18" a="true"/>
  <c r="W217" i="18" a="true"/>
  <c r="Q379" i="18" a="true"/>
  <c r="X199" i="18" a="true"/>
  <c r="U265" i="18" a="true"/>
  <c r="W212" i="18" a="true"/>
  <c r="W104" i="18" a="true"/>
  <c r="W352" i="18" a="true"/>
  <c r="I130" i="25" a="true"/>
  <c r="X48" i="18" a="true"/>
  <c r="I8" i="25" a="true"/>
  <c r="V405" i="18" a="true"/>
  <c r="J216" i="25" a="true"/>
  <c r="U276" i="18" a="true"/>
  <c r="U131" i="18" a="true"/>
  <c r="Y102" i="18" a="true"/>
  <c r="Q377" i="18" a="true"/>
  <c r="T159" i="18" a="true"/>
  <c r="Q284" i="18" a="true"/>
  <c r="R407" i="18" a="true"/>
  <c r="T257" i="18" a="true"/>
  <c r="J189" i="25" a="true"/>
  <c r="Q366" i="18" a="true"/>
  <c r="I409" i="25" a="true"/>
  <c r="Q337" i="18" a="true"/>
  <c r="J451" i="25" a="true"/>
  <c r="S176" i="18" a="true"/>
  <c r="S97" i="18" a="true"/>
  <c r="V156" i="18" a="true"/>
  <c r="I225" i="25" a="true"/>
  <c r="Y421" i="18" a="true"/>
  <c r="Q277" i="18" a="true"/>
  <c r="J231" i="25" a="true"/>
  <c r="R71" i="18" a="true"/>
  <c r="W64" i="18" a="true"/>
  <c r="S395" i="18" a="true"/>
  <c r="V168" i="18" a="true"/>
  <c r="W271" i="18" a="true"/>
  <c r="Q183" i="18" a="true"/>
  <c r="R343" i="18" a="true"/>
  <c r="Y479" i="18" a="true"/>
  <c r="T322" i="18" a="true"/>
  <c r="T345" i="18" a="true"/>
  <c r="W257" i="18" a="true"/>
  <c r="W143" i="18" a="true"/>
  <c r="I390" i="25" a="true"/>
  <c r="X293" i="18" a="true"/>
  <c r="V459" i="18" a="true"/>
  <c r="Q149" i="18" a="true"/>
  <c r="W135" i="18" a="true"/>
  <c r="R273" i="18" a="true"/>
  <c r="Y175" i="18" a="true"/>
  <c r="T348" i="18" a="true"/>
  <c r="V173" i="18" a="true"/>
  <c r="S197" i="18" a="true"/>
  <c r="W194" i="18" a="true"/>
  <c r="V160" i="18" a="true"/>
  <c r="S330" i="18" a="true"/>
  <c r="R367" i="18" a="true"/>
  <c r="I486" i="25" a="true"/>
  <c r="V260" i="18" a="true"/>
  <c r="J415" i="25" a="true"/>
  <c r="U282" i="18" a="true"/>
  <c r="I468" i="25" a="true"/>
  <c r="Y211" i="18" a="true"/>
  <c r="J260" i="25" a="true"/>
  <c r="U45" i="18" a="true"/>
  <c r="Y17" i="18" a="true"/>
  <c r="T449" i="18" a="true"/>
  <c r="X250" i="18" a="true"/>
  <c r="Q499" i="18" a="true"/>
  <c r="V151" i="18" a="true"/>
  <c r="J68" i="25" a="true"/>
  <c r="U363" i="18" a="true"/>
  <c r="I294" i="25" a="true"/>
  <c r="R216" i="18" a="true"/>
  <c r="J274" i="25" a="true"/>
  <c r="T221" i="18" a="true"/>
  <c r="X81" i="18" a="true"/>
  <c r="R464" i="18" a="true"/>
  <c r="J472" i="25" a="true"/>
  <c r="T480" i="18" a="true"/>
  <c r="V391" i="18" a="true"/>
  <c r="U391" i="18" a="true"/>
  <c r="V148" i="18" a="true"/>
  <c r="S219" i="18" a="true"/>
  <c r="U434" i="18" a="true"/>
  <c r="U9" i="18" a="true"/>
  <c r="Y168" i="18" a="true"/>
  <c r="R357" i="18" a="true"/>
  <c r="T172" i="18" a="true"/>
  <c r="W211" i="18" a="true"/>
  <c r="V79" i="18" a="true"/>
  <c r="S139" i="18" a="true"/>
  <c r="J496" i="25" a="true"/>
  <c r="U279" i="18" a="true"/>
  <c r="Y442" i="18" a="true"/>
  <c r="Y457" i="18" a="true"/>
  <c r="W479" i="18" a="true"/>
  <c r="T395" i="18" a="true"/>
  <c r="W371" i="18" a="true"/>
  <c r="Y217" i="18" a="true"/>
  <c r="W429" i="18" a="true"/>
  <c r="Y433" i="18" a="true"/>
  <c r="Q303" i="18" a="true"/>
  <c r="R447" i="18" a="true"/>
  <c r="S413" i="18" a="true"/>
  <c r="V197" i="18" a="true"/>
  <c r="I112" i="25" a="true"/>
  <c r="X60" i="18" a="true"/>
  <c r="J445" i="25" a="true"/>
  <c r="Q294" i="18" a="true"/>
  <c r="J357" i="25" a="true"/>
  <c r="W320" i="18" a="true"/>
  <c r="I451" i="25" a="true"/>
  <c r="V94" i="18" a="true"/>
  <c r="U225" i="18" a="true"/>
  <c r="W305" i="18" a="true"/>
  <c r="W489" i="18" a="true"/>
  <c r="U317" i="18" a="true"/>
  <c r="X63" i="18" a="true"/>
  <c r="I351" i="25" a="true"/>
  <c r="W76" i="18" a="true"/>
  <c r="I213" i="25" a="true"/>
  <c r="Q28" i="18" a="true"/>
  <c r="J224" i="25" a="true"/>
  <c r="S22" i="18" a="true"/>
  <c r="X460" i="18" a="true"/>
  <c r="U189" i="18" a="true"/>
  <c r="J267" i="25" a="true"/>
  <c r="U461" i="18" a="true"/>
  <c r="S305" i="18" a="true"/>
  <c r="T75" i="18" a="true"/>
  <c r="W434" i="18" a="true"/>
  <c r="U29" i="18" a="true"/>
  <c r="X152" i="18" a="true"/>
  <c r="Y402" i="18" a="true"/>
  <c r="Q332" i="18" a="true"/>
  <c r="R92" i="18" a="true"/>
  <c r="S370" i="18" a="true"/>
  <c r="Q504" i="18" a="true"/>
  <c r="R151" i="18" a="true"/>
  <c r="I275" i="25" a="true"/>
  <c r="V384" i="18" a="true"/>
  <c r="Y308" i="18" a="true"/>
  <c r="S25" i="18" a="true"/>
  <c r="X80" i="18" a="true"/>
  <c r="R299" i="18" a="true"/>
  <c r="Y41" i="18" a="true"/>
  <c r="W440" i="18" a="true"/>
  <c r="V393" i="18" a="true"/>
  <c r="T469" i="18" a="true"/>
  <c r="T389" i="18" a="true"/>
  <c r="X34" i="18" a="true"/>
  <c r="R174" i="18" a="true"/>
  <c r="V71" i="18" a="true"/>
  <c r="S347" i="18" a="true"/>
  <c r="X352" i="18" a="true"/>
  <c r="I113" i="25" a="true"/>
  <c r="V321" i="18" a="true"/>
  <c r="I484" i="25" a="true"/>
  <c r="U98" i="18" a="true"/>
  <c r="I209" i="25" a="true"/>
  <c r="U418" i="18" a="true"/>
  <c r="T130" i="18" a="true"/>
  <c r="R294" i="18" a="true"/>
  <c r="Q333" i="18" a="true"/>
  <c r="Y98" i="18" a="true"/>
  <c r="S192" i="18" a="true"/>
  <c r="X251" i="18" a="true"/>
  <c r="T371" i="18" a="true"/>
  <c r="I79" i="25" a="true"/>
  <c r="U158" i="18" a="true"/>
  <c r="J316" i="25" a="true"/>
  <c r="V470" i="18" a="true"/>
  <c r="W350" i="18" a="true"/>
  <c r="S66" i="18" a="true"/>
  <c r="I376" i="25" a="true"/>
  <c r="I324" i="25" a="true"/>
  <c r="R82" i="18" a="true"/>
  <c r="W346" i="18" a="true"/>
  <c r="Y223" i="18" a="true"/>
  <c r="X501" i="18" a="true"/>
  <c r="I132" i="25" a="true"/>
  <c r="S217" i="18" a="true"/>
  <c r="W506" i="18" a="true"/>
  <c r="U326" i="18" a="true"/>
  <c r="U425" i="18" a="true"/>
  <c r="Y466" i="18" a="true"/>
  <c r="Y397" i="18" a="true"/>
  <c r="X305" i="18" a="true"/>
  <c r="S156" i="18" a="true"/>
  <c r="Q454" i="18" a="true"/>
  <c r="V325" i="18" a="true"/>
  <c r="Y130" i="18" a="true"/>
  <c r="Q78" i="18" a="true"/>
  <c r="Q387" i="18" a="true"/>
  <c r="U186" i="18" a="true"/>
  <c r="W379" i="18" a="true"/>
  <c r="S191" i="18" a="true"/>
  <c r="U81" i="18" a="true"/>
  <c r="W409" i="18" a="true"/>
  <c r="V337" i="18" a="true"/>
  <c r="W467" i="18" a="true"/>
  <c r="Q104" i="18" a="true"/>
  <c r="U31" i="18" a="true"/>
  <c r="R415" i="18" a="true"/>
  <c r="V22" i="18" a="true"/>
  <c r="X143" i="18" a="true"/>
  <c r="T481" i="18" a="true"/>
  <c r="S131" i="18" a="true"/>
  <c r="W387" i="18" a="true"/>
  <c r="R200" i="18" a="true"/>
  <c r="Q416" i="18" a="true"/>
  <c r="V435" i="18" a="true"/>
  <c r="Y484" i="18" a="true"/>
  <c r="R74" i="18" a="true"/>
  <c r="X474" i="18" a="true"/>
  <c r="Y221" i="18" a="true"/>
  <c r="W205" i="18" a="true"/>
  <c r="W395" i="18" a="true"/>
  <c r="V251" i="18" a="true"/>
  <c r="T293" i="18" a="true"/>
  <c r="T422" i="18" a="true"/>
  <c r="Q157" i="18" a="true"/>
  <c r="V192" i="18" a="true"/>
  <c r="R375" i="18" a="true"/>
  <c r="V288" i="18" a="true"/>
  <c r="Q186" i="18" a="true"/>
  <c r="S190" i="18" a="true"/>
  <c r="R342" i="18" a="true"/>
  <c r="Y239" i="18" a="true"/>
  <c r="I355" i="25" a="true"/>
  <c r="X55" i="18" a="true"/>
  <c r="V51" i="18" a="true"/>
  <c r="U453" i="18" a="true"/>
  <c r="I434" i="25" a="true"/>
  <c r="X451" i="18" a="true"/>
  <c r="J169" i="25" a="true"/>
  <c r="T123" i="18" a="true"/>
  <c r="I72" i="25" a="true"/>
  <c r="X276" i="18" a="true"/>
  <c r="R20" i="18" a="true"/>
  <c r="U246" i="18" a="true"/>
  <c r="U148" i="18" a="true"/>
  <c r="X291" i="18" a="true"/>
  <c r="U356" i="18" a="true"/>
  <c r="J262" i="25" a="true"/>
  <c r="U161" i="18" a="true"/>
  <c r="Y146" i="18" a="true"/>
  <c r="X53" i="18" a="true"/>
  <c r="I108" i="25" a="true"/>
  <c r="I229" i="25" a="true"/>
  <c r="V48" i="18" a="true"/>
  <c r="J439" i="25" a="true"/>
  <c r="Y487" i="18" a="true"/>
  <c r="V369" i="18" a="true"/>
  <c r="Y367" i="18" a="true"/>
  <c r="W281" i="18" a="true"/>
  <c r="R311" i="18" a="true"/>
  <c r="T502" i="18" a="true"/>
  <c r="V415" i="18" a="true"/>
  <c r="W378" i="18" a="true"/>
  <c r="Y176" i="18" a="true"/>
  <c r="X356" i="18" a="true"/>
  <c r="W423" i="18" a="true"/>
  <c r="W23" i="18" a="true"/>
  <c r="Y423" i="18" a="true"/>
  <c r="Q424" i="18" a="true"/>
  <c r="S428" i="18" a="true"/>
  <c r="Y149" i="18" a="true"/>
  <c r="U23" i="18" a="true"/>
  <c r="S491" i="18" a="true"/>
  <c r="R198" i="18" a="true"/>
  <c r="U435" i="18" a="true"/>
  <c r="J60" i="25" a="true"/>
  <c r="T21" i="18" a="true"/>
  <c r="W419" i="18" a="true"/>
  <c r="S125" i="18" a="true"/>
  <c r="S501" i="18" a="true"/>
  <c r="S478" i="18" a="true"/>
  <c r="Y448" i="18" a="true"/>
  <c r="S297" i="18" a="true"/>
  <c r="S254" i="18" a="true"/>
  <c r="R372" i="18" a="true"/>
  <c r="S85" i="18" a="true"/>
  <c r="Y400" i="18" a="true"/>
  <c r="S364" i="18" a="true"/>
  <c r="T506" i="18" a="true"/>
  <c r="U34" i="18" a="true"/>
  <c r="I306" i="25" a="true"/>
  <c r="Y133" i="18" a="true"/>
  <c r="I242" i="25" a="true"/>
  <c r="R230" i="18" a="true"/>
  <c r="I369" i="25" a="true"/>
  <c r="Y166" i="18" a="true"/>
  <c r="V421" i="18" a="true"/>
  <c r="V355" i="18" a="true"/>
  <c r="W438" i="18" a="true"/>
  <c r="V101" i="18" a="true"/>
  <c r="U151" i="18" a="true"/>
  <c r="W308" i="18" a="true"/>
  <c r="Q146" i="18" a="true"/>
  <c r="X464" i="18" a="true"/>
  <c r="J152" i="25" a="true"/>
  <c r="V493" i="18" a="true"/>
  <c r="I168" i="25" a="true"/>
  <c r="R436" i="18" a="true"/>
  <c r="J263" i="25" a="true"/>
  <c r="T280" i="18" a="true"/>
  <c r="I252" i="25" a="true"/>
  <c r="T105" i="18" a="true"/>
  <c r="X379" i="18" a="true"/>
  <c r="V229" i="18" a="true"/>
  <c r="X104" i="18" a="true"/>
  <c r="I92" i="25" a="true"/>
  <c r="Q127" i="18" a="true"/>
  <c r="V473" i="18" a="true"/>
  <c r="V502" i="18" a="true"/>
  <c r="J179" i="25" a="true"/>
  <c r="J481" i="25" a="true"/>
  <c r="Q256" i="18" a="true"/>
  <c r="Q335" i="18" a="true"/>
  <c r="Q420" i="18" a="true"/>
  <c r="R88" i="18" a="true"/>
  <c r="I441" i="25" a="true"/>
  <c r="S221" i="18" a="true"/>
  <c r="J473" i="25" a="true"/>
  <c r="Q218" i="18" a="true"/>
  <c r="Q314" i="18" a="true"/>
  <c r="T305" i="18" a="true"/>
  <c r="Y461" i="18" a="true"/>
  <c r="Y127" i="18" a="true"/>
  <c r="U145" i="18" a="true"/>
  <c r="S133" i="18" a="true"/>
  <c r="R197" i="18" a="true"/>
  <c r="J175" i="25" a="true"/>
  <c r="W502" i="18" a="true"/>
  <c r="U423" i="18" a="true"/>
  <c r="Y117" i="18" a="true"/>
  <c r="Q181" i="18" a="true"/>
  <c r="Q404" i="18" a="true"/>
  <c r="W357" i="18" a="true"/>
  <c r="J300" i="25" a="true"/>
  <c r="W238" i="18" a="true"/>
  <c r="J137" i="25" a="true"/>
  <c r="X401" i="18" a="true"/>
  <c r="J255" i="25" a="true"/>
  <c r="Y368" i="18" a="true"/>
  <c r="R40" i="18" a="true"/>
  <c r="T350" i="18" a="true"/>
  <c r="Y287" i="18" a="true"/>
  <c r="I210" i="25" a="true"/>
  <c r="AA111" i="18" a="true"/>
  <c r="AF223" i="18" a="true"/>
  <c r="AE48" i="18" a="true"/>
  <c r="AC339" i="18" a="true"/>
  <c r="AC410" i="18" a="true"/>
  <c r="P227" i="18" a="true"/>
  <c r="P306" i="18" a="true"/>
  <c r="AE40" i="18" a="true"/>
  <c r="AC19" i="18" a="true"/>
  <c r="P294" i="18" a="true"/>
  <c r="AD120" i="18" a="true"/>
  <c r="N276" i="18" a="true"/>
  <c r="AA502" i="18" a="true"/>
  <c r="AA469" i="18" a="true"/>
  <c r="AD49" i="18" a="true"/>
  <c r="AA80" i="18" a="true"/>
  <c r="AA379" i="18" a="true"/>
  <c r="AF409" i="18" a="true"/>
  <c r="AC408" i="18" a="true"/>
  <c r="AB82" i="18" a="true"/>
  <c r="AF225" i="18" a="true"/>
  <c r="AA67" i="18" a="true"/>
  <c r="AD237" i="18" a="true"/>
  <c r="AF238" i="18" a="true"/>
  <c r="AE146" i="18" a="true"/>
  <c r="AE448" i="18" a="true"/>
  <c r="P204" i="18" a="true"/>
  <c r="P30" i="18" a="true"/>
  <c r="AC147" i="18" a="true"/>
  <c r="N450" i="18" a="true"/>
  <c r="AB186" i="18" a="true"/>
  <c r="AC116" i="18" a="true"/>
  <c r="AA96" i="18" a="true"/>
  <c r="AA266" i="18" a="true"/>
  <c r="AD413" i="18" a="true"/>
  <c r="AA457" i="18" a="true"/>
  <c r="AC407" i="18" a="true"/>
  <c r="AF33" i="18" a="true"/>
  <c r="P497" i="18" a="true"/>
  <c r="O355" i="18" a="true"/>
  <c r="AE191" i="18" a="true"/>
  <c r="AE22" i="18" a="true"/>
  <c r="AB255" i="18" a="true"/>
  <c r="AB268" i="18" a="true"/>
  <c r="N85" i="18" a="true"/>
  <c r="AF355" i="18" a="true"/>
  <c r="AB197" i="18" a="true"/>
  <c r="AE142" i="18" a="true"/>
  <c r="O180" i="18" a="true"/>
  <c r="AB238" i="18" a="true"/>
  <c r="P341" i="18" a="true"/>
  <c r="P384" i="18" a="true"/>
  <c r="AF236" i="18" a="true"/>
  <c r="AE404" i="18" a="true"/>
  <c r="AB30" i="18" a="true"/>
  <c r="P133" i="18" a="true"/>
  <c r="AB357" i="18" a="true"/>
  <c r="P94" i="18" a="true"/>
  <c r="AC258" i="18" a="true"/>
  <c r="AA134" i="18" a="true"/>
  <c r="AD306" i="18" a="true"/>
  <c r="N401" i="18" a="true"/>
  <c r="AF92" i="18" a="true"/>
  <c r="AF20" i="18" a="true"/>
  <c r="AA177" i="18" a="true"/>
  <c r="AE13" i="18" a="true"/>
  <c r="AF267" i="18" a="true"/>
  <c r="N170" i="18" a="true"/>
  <c r="P365" i="18" a="true"/>
  <c r="P177" i="18" a="true"/>
  <c r="AB242" i="18" a="true"/>
  <c r="P452" i="18" a="true"/>
  <c r="AB47" i="18" a="true"/>
  <c r="O240" i="18" a="true"/>
  <c r="AB374" i="18" a="true"/>
  <c r="AA359" i="18" a="true"/>
  <c r="AB341" i="18" a="true"/>
  <c r="AB66" i="18" a="true"/>
  <c r="AE379" i="18" a="true"/>
  <c r="AC397" i="18" a="true"/>
  <c r="O506" i="18" a="true"/>
  <c r="AE34" i="18" a="true"/>
  <c r="AA358" i="18" a="true"/>
  <c r="AF216" i="18" a="true"/>
  <c r="AA187" i="18" a="true"/>
  <c r="P92" i="18" a="true"/>
  <c r="AF320" i="18" a="true"/>
  <c r="O74" i="18" a="true"/>
  <c r="N219" i="18" a="true"/>
  <c r="O348" i="18" a="true"/>
  <c r="N499" i="18" a="true"/>
  <c r="N253" i="18" a="true"/>
  <c r="AD80" i="18" a="true"/>
  <c r="P372" i="18" a="true"/>
  <c r="AD414" i="18" a="true"/>
  <c r="AB185" i="18" a="true"/>
  <c r="O210" i="18" a="true"/>
  <c r="AB452" i="18" a="true"/>
  <c r="O399" i="18" a="true"/>
  <c r="AF141" i="18" a="true"/>
  <c r="AE207" i="18" a="true"/>
  <c r="AD170" i="18" a="true"/>
  <c r="P296" i="18" a="true"/>
  <c r="AB69" i="18" a="true"/>
  <c r="AD100" i="18" a="true"/>
  <c r="N432" i="18" a="true"/>
  <c r="AD349" i="18" a="true"/>
  <c r="AB286" i="18" a="true"/>
  <c r="AC344" i="18" a="true"/>
  <c r="AB308" i="18" a="true"/>
  <c r="AC287" i="18" a="true"/>
  <c r="AA490" i="18" a="true"/>
  <c r="AE317" i="18" a="true"/>
  <c r="AB380" i="18" a="true"/>
  <c r="AE178" i="18" a="true"/>
  <c r="AE56" i="18" a="true"/>
  <c r="AB474" i="18" a="true"/>
  <c r="O404" i="18" a="true"/>
  <c r="AC18" i="18" a="true"/>
  <c r="N157" i="18" a="true"/>
  <c r="AE407" i="18" a="true"/>
  <c r="AE326" i="18" a="true"/>
  <c r="AB466" i="18" a="true"/>
  <c r="AB218" i="18" a="true"/>
  <c r="AA407" i="18" a="true"/>
  <c r="AF300" i="18" a="true"/>
  <c r="AF45" i="18" a="true"/>
  <c r="AB79" i="18" a="true"/>
  <c r="P300" i="18" a="true"/>
  <c r="P196" i="18" a="true"/>
  <c r="AB439" i="18" a="true"/>
  <c r="AE130" i="18" a="true"/>
  <c r="N250" i="18" a="true"/>
  <c r="AA470" i="18" a="true"/>
  <c r="AC197" i="18" a="true"/>
  <c r="AB447" i="18" a="true"/>
  <c r="AF479" i="18" a="true"/>
  <c r="AB126" i="18" a="true"/>
  <c r="AD201" i="18" a="true"/>
  <c r="Y19" i="18" a="true"/>
  <c r="V216" i="18" a="true"/>
  <c r="U154" i="18" a="true"/>
  <c r="U40" i="18" a="true"/>
  <c r="X67" i="18" a="true"/>
  <c r="Y342" i="18" a="true"/>
  <c r="Y118" i="18" a="true"/>
  <c r="R426" i="18" a="true"/>
  <c r="T485" i="18" a="true"/>
  <c r="T141" i="18" a="true"/>
  <c r="Y169" i="18" a="true"/>
  <c r="Y383" i="18" a="true"/>
  <c r="R327" i="18" a="true"/>
  <c r="S485" i="18" a="true"/>
  <c r="W50" i="18" a="true"/>
  <c r="R215" i="18" a="true"/>
  <c r="Q313" i="18" a="true"/>
  <c r="J308" i="25" a="true"/>
  <c r="Q289" i="18" a="true"/>
  <c r="Y391" i="18" a="true"/>
  <c r="Q298" i="18" a="true"/>
  <c r="R358" i="18" a="true"/>
  <c r="R120" i="18" a="true"/>
  <c r="U443" i="18" a="true"/>
  <c r="U163" i="18" a="true"/>
  <c r="S157" i="18" a="true"/>
  <c r="T127" i="18" a="true"/>
  <c r="X369" i="18" a="true"/>
  <c r="V294" i="18" a="true"/>
  <c r="U124" i="18" a="true"/>
  <c r="Y134" i="18" a="true"/>
  <c r="V374" i="18" a="true"/>
  <c r="Y120" i="18" a="true"/>
  <c r="W119" i="18" a="true"/>
  <c r="J343" i="25" a="true"/>
  <c r="U107" i="18" a="true"/>
  <c r="J193" i="25" a="true"/>
  <c r="X493" i="18" a="true"/>
  <c r="S425" i="18" a="true"/>
  <c r="U272" i="18" a="true"/>
  <c r="S185" i="18" a="true"/>
  <c r="X159" i="18" a="true"/>
  <c r="Q442" i="18" a="true"/>
  <c r="X240" i="18" a="true"/>
  <c r="J170" i="25" a="true"/>
  <c r="R396" i="18" a="true"/>
  <c r="J158" i="25" a="true"/>
  <c r="T376" i="18" a="true"/>
  <c r="I154" i="25" a="true"/>
  <c r="R295" i="18" a="true"/>
  <c r="Y35" i="18" a="true"/>
  <c r="Y290" i="18" a="true"/>
  <c r="U447" i="18" a="true"/>
  <c r="R228" i="18" a="true"/>
  <c r="X363" i="18" a="true"/>
  <c r="X41" i="18" a="true"/>
  <c r="W41" i="18" a="true"/>
  <c r="S332" i="18" a="true"/>
  <c r="Q399" i="18" a="true"/>
  <c r="R234" i="18" a="true"/>
  <c r="V183" i="18" a="true"/>
  <c r="U428" i="18" a="true"/>
  <c r="T466" i="18" a="true"/>
  <c r="S285" i="18" a="true"/>
  <c r="J162" i="25" a="true"/>
  <c r="J420" i="25" a="true"/>
  <c r="W17" i="18" a="true"/>
  <c r="T147" i="18" a="true"/>
  <c r="W180" i="18" a="true"/>
  <c r="I145" i="25" a="true"/>
  <c r="I295" i="25" a="true"/>
  <c r="I281" i="25" a="true"/>
  <c r="J176" i="25" a="true"/>
  <c r="X475" i="18" a="true"/>
  <c r="V169" i="18" a="true"/>
  <c r="I4" i="25" a="true"/>
  <c r="U180" i="18" a="true"/>
  <c r="R145" i="18" a="true"/>
  <c r="J133" i="25" a="true"/>
  <c r="I224" i="25" a="true"/>
  <c r="X73" i="18" a="true"/>
  <c r="S223" i="18" a="true"/>
  <c r="I440" i="25" a="true"/>
  <c r="Q421" i="18" a="true"/>
  <c r="Y242" i="18" a="true"/>
  <c r="X173" i="18" a="true"/>
  <c r="Q249" i="18" a="true"/>
  <c r="X7" i="18" a="true"/>
  <c r="S59" i="18" a="true"/>
  <c r="Y492" i="18" a="true"/>
  <c r="V204" i="18" a="true"/>
  <c r="Q174" i="18" a="true"/>
  <c r="J486" i="25" a="true"/>
  <c r="Y79" i="18" a="true"/>
  <c r="I107" i="25" a="true"/>
  <c r="J435" i="25" a="true"/>
  <c r="S205" i="18" a="true"/>
  <c r="T402" i="18" a="true"/>
  <c r="I73" i="25" a="true"/>
  <c r="Y246" i="18" a="true"/>
  <c r="S432" i="18" a="true"/>
  <c r="U387" i="18" a="true"/>
  <c r="J40" i="25" a="true"/>
  <c r="W313" i="18" a="true"/>
  <c r="Y73" i="18" a="true"/>
  <c r="S494" i="18" a="true"/>
  <c r="AD469" i="18" a="true"/>
  <c r="P203" i="18" a="true"/>
  <c r="AB437" i="18" a="true"/>
  <c r="N296" i="18" a="true"/>
  <c r="AD151" i="18" a="true"/>
  <c r="AC503" i="18" a="true"/>
  <c r="AD166" i="18" a="true"/>
  <c r="AB29" i="18" a="true"/>
  <c r="P193" i="18" a="true"/>
  <c r="AD348" i="18" a="true"/>
  <c r="O395" i="18" a="true"/>
  <c r="N469" i="18" a="true"/>
  <c r="N235" i="18" a="true"/>
  <c r="P447" i="18" a="true"/>
  <c r="AF152" i="18" a="true"/>
  <c r="N309" i="18" a="true"/>
  <c r="AD258" i="18" a="true"/>
  <c r="AC54" i="18" a="true"/>
  <c r="AA505" i="18" a="true"/>
  <c r="AA415" i="18" a="true"/>
  <c r="N263" i="18" a="true"/>
  <c r="P159" i="18" a="true"/>
  <c r="AD18" i="18" a="true"/>
  <c r="AE480" i="18" a="true"/>
  <c r="AF75" i="18" a="true"/>
  <c r="AF335" i="18" a="true"/>
  <c r="AC284" i="18" a="true"/>
  <c r="N222" i="18" a="true"/>
  <c r="AA170" i="18" a="true"/>
  <c r="AF385" i="18" a="true"/>
  <c r="P209" i="18" a="true"/>
  <c r="AF464" i="18" a="true"/>
  <c r="AC374" i="18" a="true"/>
  <c r="AE428" i="18" a="true"/>
  <c r="AE87" i="18" a="true"/>
  <c r="P175" i="18" a="true"/>
  <c r="AF268" i="18" a="true"/>
  <c r="O242" i="18" a="true"/>
  <c r="AD13" i="18" a="true"/>
  <c r="N322" i="18" a="true"/>
  <c r="AD242" i="18" a="true"/>
  <c r="O43" i="18" a="true"/>
  <c r="AF14" i="18" a="true"/>
  <c r="O416" i="18" a="true"/>
  <c r="AB235" i="18" a="true"/>
  <c r="O98" i="18" a="true"/>
  <c r="O298" i="18" a="true"/>
  <c r="AD90" i="18" a="true"/>
  <c r="AF439" i="18" a="true"/>
  <c r="AC188" i="18" a="true"/>
  <c r="N103" i="18" a="true"/>
  <c r="O504" i="18" a="true"/>
  <c r="AD74" i="18" a="true"/>
  <c r="AF375" i="18" a="true"/>
  <c r="N485" i="18" a="true"/>
  <c r="AC76" i="18" a="true"/>
  <c r="AC222" i="18" a="true"/>
  <c r="AE319" i="18" a="true"/>
  <c r="AF425" i="18" a="true"/>
  <c r="N471" i="18" a="true"/>
  <c r="N341" i="18" a="true"/>
  <c r="AE47" i="18" a="true"/>
  <c r="P137" i="18" a="true"/>
  <c r="AD10" i="18" a="true"/>
  <c r="N342" i="18" a="true"/>
  <c r="AD433" i="18" a="true"/>
  <c r="AE77" i="18" a="true"/>
  <c r="AC16" i="18" a="true"/>
  <c r="O458" i="18" a="true"/>
  <c r="P310" i="18" a="true"/>
  <c r="AF458" i="18" a="true"/>
  <c r="O418" i="18" a="true"/>
  <c r="AF137" i="18" a="true"/>
  <c r="O312" i="18" a="true"/>
  <c r="O475" i="18" a="true"/>
  <c r="AB113" i="18" a="true"/>
  <c r="AB81" i="18" a="true"/>
  <c r="AC225" i="18" a="true"/>
  <c r="AF353" i="18" a="true"/>
  <c r="AE434" i="18" a="true"/>
  <c r="AB68" i="18" a="true"/>
  <c r="AC484" i="18" a="true"/>
  <c r="AF427" i="18" a="true"/>
  <c r="AD481" i="18" a="true"/>
  <c r="AA347" i="18" a="true"/>
  <c r="AF310" i="18" a="true"/>
  <c r="AB91" i="18" a="true"/>
  <c r="AF123" i="18" a="true"/>
  <c r="AD438" i="18" a="true"/>
  <c r="AF83" i="18" a="true"/>
  <c r="AD457" i="18" a="true"/>
  <c r="O439" i="18" a="true"/>
  <c r="AC308" i="18" a="true"/>
  <c r="AB399" i="18" a="true"/>
  <c r="P498" i="18" a="true"/>
  <c r="AC166" i="18" a="true"/>
  <c r="AC215" i="18" a="true"/>
  <c r="O14" i="18" a="true"/>
  <c r="AF399" i="18" a="true"/>
  <c r="N346" i="18" a="true"/>
  <c r="AE452" i="18" a="true"/>
  <c r="O64" i="18" a="true"/>
  <c r="AA264" i="18" a="true"/>
  <c r="AF313" i="18" a="true"/>
  <c r="AF361" i="18" a="true"/>
  <c r="P494" i="18" a="true"/>
  <c r="P200" i="18" a="true"/>
  <c r="X409" i="18" a="true"/>
  <c r="S465" i="18" a="true"/>
  <c r="X318" i="18" a="true"/>
  <c r="Q265" i="18" a="true"/>
  <c r="Y42" i="18" a="true"/>
  <c r="S472" i="18" a="true"/>
  <c r="R196" i="18" a="true"/>
  <c r="V117" i="18" a="true"/>
  <c r="R34" i="18" a="true"/>
  <c r="V32" i="18" a="true"/>
  <c r="R182" i="18" a="true"/>
  <c r="T397" i="18" a="true"/>
  <c r="Q392" i="18" a="true"/>
  <c r="J131" i="25" a="true"/>
  <c r="W219" i="18" a="true"/>
  <c r="I54" i="25" a="true"/>
  <c r="J182" i="25" a="true"/>
  <c r="V399" i="18" a="true"/>
  <c r="U238" i="18" a="true"/>
  <c r="U132" i="18" a="true"/>
  <c r="I360" i="25" a="true"/>
  <c r="J249" i="25" a="true"/>
  <c r="I361" i="25" a="true"/>
  <c r="J229" i="25" a="true"/>
  <c r="S64" i="18" a="true"/>
  <c r="R496" i="18" a="true"/>
  <c r="I35" i="25" a="true"/>
  <c r="U153" i="18" a="true"/>
  <c r="Q358" i="18" a="true"/>
  <c r="T365" i="18" a="true"/>
  <c r="J425" i="25" a="true"/>
  <c r="X436" i="18" a="true"/>
  <c r="X146" i="18" a="true"/>
  <c r="J186" i="25" a="true"/>
  <c r="V180" i="18" a="true"/>
  <c r="R392" i="18" a="true"/>
  <c r="X52" i="18" a="true"/>
  <c r="W451" i="18" a="true"/>
  <c r="T253" i="18" a="true"/>
  <c r="T447" i="18" a="true"/>
  <c r="U116" i="18" a="true"/>
  <c r="Q339" i="18" a="true"/>
  <c r="S20" i="18" a="true"/>
  <c r="I438" i="25" a="true"/>
  <c r="I278" i="25" a="true"/>
  <c r="J253" i="25" a="true"/>
  <c r="I464" i="25" a="true"/>
  <c r="J148" i="25" a="true"/>
  <c r="J483" i="25" a="true"/>
  <c r="V25" i="18" a="true"/>
  <c r="I431" i="25" a="true"/>
  <c r="S162" i="18" a="true"/>
  <c r="U307" i="18" a="true"/>
  <c r="J151" i="25" a="true"/>
  <c r="W142" i="18" a="true"/>
  <c r="W65" i="18" a="true"/>
  <c r="R235" i="18" a="true"/>
  <c r="AF154" i="18" a="true"/>
  <c r="AE10" i="18" a="true"/>
  <c r="AE297" i="18" a="true"/>
  <c r="AA89" i="18" a="true"/>
  <c r="P211" i="18" a="true"/>
  <c r="AF249" i="18" a="true"/>
  <c r="AD11" i="18" a="true"/>
  <c r="AC82" i="18" a="true"/>
  <c r="AA18" i="18" a="true"/>
  <c r="AE136" i="18" a="true"/>
  <c r="AF143" i="18" a="true"/>
  <c r="O163" i="18" a="true"/>
  <c r="AD52" i="18" a="true"/>
  <c r="AF405" i="18" a="true"/>
  <c r="AE482" i="18" a="true"/>
  <c r="N332" i="18" a="true"/>
  <c r="AC492" i="18" a="true"/>
  <c r="N484" i="18" a="true"/>
  <c r="AC321" i="18" a="true"/>
  <c r="AF91" i="18" a="true"/>
  <c r="AC306" i="18" a="true"/>
  <c r="AC294" i="18" a="true"/>
  <c r="P143" i="18" a="true"/>
  <c r="O58" i="18" a="true"/>
  <c r="AE75" i="18" a="true"/>
  <c r="O69" i="18" a="true"/>
  <c r="AA259" i="18" a="true"/>
  <c r="AE50" i="18" a="true"/>
  <c r="O267" i="18" a="true"/>
  <c r="AA60" i="18" a="true"/>
  <c r="AD239" i="18" a="true"/>
  <c r="P13" i="18" a="true"/>
  <c r="O123" i="18" a="true"/>
  <c r="N102" i="18" a="true"/>
  <c r="AF68" i="18" a="true"/>
  <c r="AF213" i="18" a="true"/>
  <c r="P176" i="18" a="true"/>
  <c r="N316" i="18" a="true"/>
  <c r="N244" i="18" a="true"/>
  <c r="AD326" i="18" a="true"/>
  <c r="AE69" i="18" a="true"/>
  <c r="AD404" i="18" a="true"/>
  <c r="N68" i="18" a="true"/>
  <c r="AD450" i="18" a="true"/>
  <c r="AC214" i="18" a="true"/>
  <c r="AA203" i="18" a="true"/>
  <c r="O466" i="18" a="true"/>
  <c r="AE200" i="18" a="true"/>
  <c r="P485" i="18" a="true"/>
  <c r="O111" i="18" a="true"/>
  <c r="P57" i="18" a="true"/>
  <c r="AC415" i="18" a="true"/>
  <c r="AD310" i="18" a="true"/>
  <c r="O97" i="18" a="true"/>
  <c r="AE125" i="18" a="true"/>
  <c r="O434" i="18" a="true"/>
  <c r="AA276" i="18" a="true"/>
  <c r="AB77" i="18" a="true"/>
  <c r="N101" i="18" a="true"/>
  <c r="AD240" i="18" a="true"/>
  <c r="AE206" i="18" a="true"/>
  <c r="O213" i="18" a="true"/>
  <c r="N373" i="18" a="true"/>
  <c r="P162" i="18" a="true"/>
  <c r="P348" i="18" a="true"/>
  <c r="N74" i="18" a="true"/>
  <c r="AA19" i="18" a="true"/>
  <c r="AB428" i="18" a="true"/>
  <c r="P326" i="18" a="true"/>
  <c r="P353" i="18" a="true"/>
  <c r="N252" i="18" a="true"/>
  <c r="P427" i="18" a="true"/>
  <c r="N393" i="18" a="true"/>
  <c r="AD403" i="18" a="true"/>
  <c r="P214" i="18" a="true"/>
  <c r="AB397" i="18" a="true"/>
  <c r="N174" i="18" a="true"/>
  <c r="AC111" i="18" a="true"/>
  <c r="AA330" i="18" a="true"/>
  <c r="O284" i="18" a="true"/>
  <c r="AE222" i="18" a="true"/>
  <c r="N35" i="18" a="true"/>
  <c r="AF283" i="18" a="true"/>
  <c r="N120" i="18" a="true"/>
  <c r="P125" i="18" a="true"/>
  <c r="AF292" i="18" a="true"/>
  <c r="N273" i="18" a="true"/>
  <c r="AD83" i="18" a="true"/>
  <c r="N258" i="18" a="true"/>
  <c r="AC251" i="18" a="true"/>
  <c r="AC62" i="18" a="true"/>
  <c r="AF60" i="18" a="true"/>
  <c r="AC47" i="18" a="true"/>
  <c r="O160" i="18" a="true"/>
  <c r="N395" i="18" a="true"/>
  <c r="AC241" i="18" a="true"/>
  <c r="AF432" i="18" a="true"/>
  <c r="AC465" i="18" a="true"/>
  <c r="AD502" i="18" a="true"/>
  <c r="AA453" i="18" a="true"/>
  <c r="AC221" i="18" a="true"/>
  <c r="O42" i="18" a="true"/>
  <c r="X258" i="18" a="true"/>
  <c r="Q370" i="18" a="true"/>
  <c r="Q247" i="18" a="true"/>
  <c r="S429" i="18" a="true"/>
  <c r="X282" i="18" a="true"/>
  <c r="R132" i="18" a="true"/>
  <c r="X395" i="18" a="true"/>
  <c r="R360" i="18" a="true"/>
  <c r="R53" i="18" a="true"/>
  <c r="S408" i="18" a="true"/>
  <c r="X226" i="18" a="true"/>
  <c r="Y495" i="18" a="true"/>
  <c r="Y454" i="18" a="true"/>
  <c r="I30" i="25" a="true"/>
  <c r="W32" i="18" a="true"/>
  <c r="J279" i="25" a="true"/>
  <c r="J161" i="25" a="true"/>
  <c r="S222" i="18" a="true"/>
  <c r="R127" i="18" a="true"/>
  <c r="X167" i="18" a="true"/>
  <c r="I231" i="25" a="true"/>
  <c r="J62" i="25" a="true"/>
  <c r="I164" i="25" a="true"/>
  <c r="J391" i="25" a="true"/>
  <c r="J38" i="25" a="true"/>
  <c r="U224" i="18" a="true"/>
  <c r="I445" i="25" a="true"/>
  <c r="R373" i="18" a="true"/>
  <c r="Q134" i="18" a="true"/>
  <c r="Y365" i="18" a="true"/>
  <c r="J498" i="25" a="true"/>
  <c r="T462" i="18" a="true"/>
  <c r="Y253" i="18" a="true"/>
  <c r="I282" i="25" a="true"/>
  <c r="Q350" i="18" a="true"/>
  <c r="W363" i="18" a="true"/>
  <c r="Y313" i="18" a="true"/>
  <c r="Q276" i="18" a="true"/>
  <c r="T56" i="18" a="true"/>
  <c r="R417" i="18" a="true"/>
  <c r="Q255" i="18" a="true"/>
  <c r="X31" i="18" a="true"/>
  <c r="X107" i="18" a="true"/>
  <c r="I301" i="25" a="true"/>
  <c r="V319" i="18" a="true"/>
  <c r="Q245" i="18" a="true"/>
  <c r="I492" i="25" a="true"/>
  <c r="U476" i="18" a="true"/>
  <c r="Y93" i="18" a="true"/>
  <c r="V457" i="18" a="true"/>
  <c r="I187" i="25" a="true"/>
  <c r="V145" i="18" a="true"/>
  <c r="X432" i="18" a="true"/>
  <c r="I172" i="25" a="true"/>
  <c r="T218" i="18" a="true"/>
  <c r="W280" i="18" a="true"/>
  <c r="T231" i="18" a="true"/>
  <c r="X181" i="18" a="true"/>
  <c r="U472" i="18" a="true"/>
  <c r="V86" i="18" a="true"/>
  <c r="V427" i="18" a="true"/>
  <c r="Y27" i="18" a="true"/>
  <c r="R89" i="18" a="true"/>
  <c r="X138" i="18" a="true"/>
  <c r="I82" i="25" a="true"/>
  <c r="U342" i="18" a="true"/>
  <c r="Q15" i="18" a="true"/>
  <c r="Y456" i="18" a="true"/>
  <c r="Y478" i="18" a="true"/>
  <c r="S411" i="18" a="true"/>
  <c r="J478" i="25" a="true"/>
  <c r="Q11" i="18" a="true"/>
  <c r="Y297" i="18" a="true"/>
  <c r="V113" i="18" a="true"/>
  <c r="J239" i="25" a="true"/>
  <c r="V187" i="18" a="true"/>
  <c r="U324" i="18" a="true"/>
  <c r="J404" i="25" a="true"/>
  <c r="U44" i="18" a="true"/>
  <c r="I66" i="25" a="true"/>
  <c r="J432" i="25" a="true"/>
  <c r="T12" i="18" a="true"/>
  <c r="J5" i="25" a="true"/>
  <c r="S121" i="18" a="true"/>
  <c r="Q57" i="18" a="true"/>
  <c r="X126" i="18" a="true"/>
  <c r="W458" i="18" a="true"/>
  <c r="V132" i="18" a="true"/>
  <c r="I47" i="25" a="true"/>
  <c r="W146" i="18" a="true"/>
  <c r="W100" i="18" a="true"/>
  <c r="U285" i="18" a="true"/>
  <c r="X315" i="18" a="true"/>
  <c r="Q82" i="18" a="true"/>
  <c r="W481" i="18" a="true"/>
  <c r="S187" i="18" a="true"/>
  <c r="T26" i="18" a="true"/>
  <c r="J237" i="25" a="true"/>
  <c r="V412" i="18" a="true"/>
  <c r="I189" i="25" a="true"/>
  <c r="I141" i="25" a="true"/>
  <c r="J90" i="25" a="true"/>
  <c r="J401" i="25" a="true"/>
  <c r="V257" i="18" a="true"/>
  <c r="R133" i="18" a="true"/>
  <c r="X372" i="18" a="true"/>
  <c r="J100" i="25" a="true"/>
  <c r="Q304" i="18" a="true"/>
  <c r="S112" i="18" a="true"/>
  <c r="V472" i="18" a="true"/>
  <c r="U486" i="18" a="true"/>
  <c r="T337" i="18" a="true"/>
  <c r="S110" i="18" a="true"/>
  <c r="O238" i="18" a="true"/>
  <c r="N404" i="18" a="true"/>
  <c r="N453" i="18" a="true"/>
  <c r="AC187" i="18" a="true"/>
  <c r="N144" i="18" a="true"/>
  <c r="P368" i="18" a="true"/>
  <c r="O280" i="18" a="true"/>
  <c r="P288" i="18" a="true"/>
  <c r="AB415" i="18" a="true"/>
  <c r="N400" i="18" a="true"/>
  <c r="AE432" i="18" a="true"/>
  <c r="AD123" i="18" a="true"/>
  <c r="AD280" i="18" a="true"/>
  <c r="AA246" i="18" a="true"/>
  <c r="AB467" i="18" a="true"/>
  <c r="AF505" i="18" a="true"/>
  <c r="AD395" i="18" a="true"/>
  <c r="AF369" i="18" a="true"/>
  <c r="N188" i="18" a="true"/>
  <c r="N439" i="18" a="true"/>
  <c r="AD161" i="18" a="true"/>
  <c r="AF386" i="18" a="true"/>
  <c r="AD389" i="18" a="true"/>
  <c r="AE53" i="18" a="true"/>
  <c r="P446" i="18" a="true"/>
  <c r="AD144" i="18" a="true"/>
  <c r="AD338" i="18" a="true"/>
  <c r="AA105" i="18" a="true"/>
  <c r="P260" i="18" a="true"/>
  <c r="P315" i="18" a="true"/>
  <c r="AC207" i="18" a="true"/>
  <c r="O385" i="18" a="true"/>
  <c r="AC11" i="18" a="true"/>
  <c r="AC323" i="18" a="true"/>
  <c r="AA54" i="18" a="true"/>
  <c r="AE170" i="18" a="true"/>
  <c r="AF54" i="18" a="true"/>
  <c r="N80" i="18" a="true"/>
  <c r="P116" i="18" a="true"/>
  <c r="AA213" i="18" a="true"/>
  <c r="AE375" i="18" a="true"/>
  <c r="P126" i="18" a="true"/>
  <c r="AB482" i="18" a="true"/>
  <c r="AF159" i="18" a="true"/>
  <c r="AB136" i="18" a="true"/>
  <c r="AC178" i="18" a="true"/>
  <c r="AD477" i="18" a="true"/>
  <c r="AE293" i="18" a="true"/>
  <c r="O402" i="18" a="true"/>
  <c r="P250" i="18" a="true"/>
  <c r="AD407" i="18" a="true"/>
  <c r="AC417" i="18" a="true"/>
  <c r="AB200" i="18" a="true"/>
  <c r="AC154" i="18" a="true"/>
  <c r="AE461" i="18" a="true"/>
  <c r="AE129" i="18" a="true"/>
  <c r="AF443" i="18" a="true"/>
  <c r="AA116" i="18" a="true"/>
  <c r="AD60" i="18" a="true"/>
  <c r="AD224" i="18" a="true"/>
  <c r="P50" i="18" a="true"/>
  <c r="O262" i="18" a="true"/>
  <c r="AE500" i="18" a="true"/>
  <c r="AD266" i="18" a="true"/>
  <c r="N344" i="18" a="true"/>
  <c r="AE12" i="18" a="true"/>
  <c r="AA234" i="18" a="true"/>
  <c r="AA399" i="18" a="true"/>
  <c r="AC83" i="18" a="true"/>
  <c r="AC267" i="18" a="true"/>
  <c r="AF73" i="18" a="true"/>
  <c r="AE49" i="18" a="true"/>
  <c r="AD223" i="18" a="true"/>
  <c r="AC184" i="18" a="true"/>
  <c r="O293" i="18" a="true"/>
  <c r="AF476" i="18" a="true"/>
  <c r="AD192" i="18" a="true"/>
  <c r="AE86" i="18" a="true"/>
  <c r="AB117" i="18" a="true"/>
  <c r="AB352" i="18" a="true"/>
  <c r="N412" i="18" a="true"/>
  <c r="AA167" i="18" a="true"/>
  <c r="AA349" i="18" a="true"/>
  <c r="P9" i="18" a="true"/>
  <c r="AB263" i="18" a="true"/>
  <c r="AE392" i="18" a="true"/>
  <c r="AA136" i="18" a="true"/>
  <c r="O79" i="18" a="true"/>
  <c r="N398" i="18" a="true"/>
  <c r="AE122" i="18" a="true"/>
  <c r="O351" i="18" a="true"/>
  <c r="O453" i="18" a="true"/>
  <c r="O115" i="18" a="true"/>
  <c r="P305" i="18" a="true"/>
  <c r="AD212" i="18" a="true"/>
  <c r="P466" i="18" a="true"/>
  <c r="AF210" i="18" a="true"/>
  <c r="N410" i="18" a="true"/>
  <c r="N452" i="18" a="true"/>
  <c r="AE336" i="18" a="true"/>
  <c r="Y110" i="18" a="true"/>
  <c r="X506" i="18" a="true"/>
  <c r="U499" i="18" a="true"/>
  <c r="W270" i="18" a="true"/>
  <c r="Y80" i="18" a="true"/>
  <c r="V129" i="18" a="true"/>
  <c r="S101" i="18" a="true"/>
  <c r="R155" i="18" a="true"/>
  <c r="J359" i="25" a="true"/>
  <c r="R303" i="18" a="true"/>
  <c r="W482" i="18" a="true"/>
  <c r="R19" i="18" a="true"/>
  <c r="U291" i="18" a="true"/>
  <c r="T270" i="18" a="true"/>
  <c r="I317" i="25" a="true"/>
  <c r="X381" i="18" a="true"/>
  <c r="S107" i="18" a="true"/>
  <c r="U335" i="18" a="true"/>
  <c r="J382" i="25" a="true"/>
  <c r="W85" i="18" a="true"/>
  <c r="R284" i="18" a="true"/>
  <c r="I396" i="25" a="true"/>
  <c r="I267" i="25" a="true"/>
  <c r="J17" i="25" a="true"/>
  <c r="Y160" i="18" a="true"/>
  <c r="R321" i="18" a="true"/>
  <c r="I52" i="25" a="true"/>
  <c r="X245" i="18" a="true"/>
  <c r="X468" i="18" a="true"/>
  <c r="I156" i="25" a="true"/>
  <c r="I153" i="25" a="true"/>
  <c r="V49" i="18" a="true"/>
  <c r="I236" i="25" a="true"/>
  <c r="U182" i="18" a="true"/>
  <c r="X111" i="18" a="true"/>
  <c r="U416" i="18" a="true"/>
  <c r="X188" i="18" a="true"/>
  <c r="X180" i="18" a="true"/>
  <c r="V13" i="18" a="true"/>
  <c r="I134" i="25" a="true"/>
  <c r="R47" i="18" a="true"/>
  <c r="J71" i="25" a="true"/>
  <c r="S435" i="18" a="true"/>
  <c r="V134" i="18" a="true"/>
  <c r="I342" i="25" a="true"/>
  <c r="J49" i="25" a="true"/>
  <c r="I330" i="25" a="true"/>
  <c r="U13" i="18" a="true"/>
  <c r="Y192" i="18" a="true"/>
  <c r="W31" i="18" a="true"/>
  <c r="I322" i="25" a="true"/>
  <c r="Q326" i="18" a="true"/>
  <c r="X86" i="18" a="true"/>
  <c r="J105" i="25" a="true"/>
  <c r="X350" i="18" a="true"/>
  <c r="S117" i="18" a="true"/>
  <c r="I350" i="25" a="true"/>
  <c r="AB453" i="18" a="true"/>
  <c r="O216" i="18" a="true"/>
  <c r="AA292" i="18" a="true"/>
  <c r="AA52" i="18" a="true"/>
  <c r="AB459" i="18" a="true"/>
  <c r="P366" i="18" a="true"/>
  <c r="AD140" i="18" a="true"/>
  <c r="N498" i="18" a="true"/>
  <c r="AB58" i="18" a="true"/>
  <c r="AE248" i="18" a="true"/>
  <c r="AD370" i="18" a="true"/>
  <c r="P42" i="18" a="true"/>
  <c r="AE246" i="18" a="true"/>
  <c r="AD76" i="18" a="true"/>
  <c r="O52" i="18" a="true"/>
  <c r="O491" i="18" a="true"/>
  <c r="AE190" i="18" a="true"/>
  <c r="P269" i="18" a="true"/>
  <c r="AF47" i="18" a="true"/>
  <c r="N158" i="18" a="true"/>
  <c r="Q455" i="18" a="true"/>
  <c r="W382" i="18" a="true"/>
  <c r="X364" i="18" a="true"/>
  <c r="X434" i="18" a="true"/>
  <c r="V326" i="18" a="true"/>
  <c r="T217" i="18" a="true"/>
  <c r="U487" i="18" a="true"/>
  <c r="S451" i="18" a="true"/>
  <c r="I422" i="25" a="true"/>
  <c r="X375" i="18" a="true"/>
  <c r="U192" i="18" a="true"/>
  <c r="W61" i="18" a="true"/>
  <c r="J42" i="25" a="true"/>
  <c r="J294" i="25" a="true"/>
  <c r="Y151" i="18" a="true"/>
  <c r="W36" i="18" a="true"/>
  <c r="R94" i="18" a="true"/>
  <c r="V60" i="18" a="true"/>
  <c r="X278" i="18" a="true"/>
  <c r="Y331" i="18" a="true"/>
  <c r="W390" i="18" a="true"/>
  <c r="Y277" i="18" a="true"/>
  <c r="R310" i="18" a="true"/>
  <c r="W231" i="18" a="true"/>
  <c r="Q47" i="18" a="true"/>
  <c r="W122" i="18" a="true"/>
  <c r="X355" i="18" a="true"/>
  <c r="S243" i="18" a="true"/>
  <c r="T493" i="18" a="true"/>
  <c r="I232" i="25" a="true"/>
  <c r="X155" i="18" a="true"/>
  <c r="W400" i="18" a="true"/>
  <c r="W138" i="18" a="true"/>
  <c r="J333" i="25" a="true"/>
  <c r="Y505" i="18" a="true"/>
  <c r="I341" i="25" a="true"/>
  <c r="S337" i="18" a="true"/>
  <c r="W309" i="18" a="true"/>
  <c r="S473" i="18" a="true"/>
  <c r="I472" i="25" a="true"/>
  <c r="J36" i="25" a="true"/>
  <c r="U106" i="18" a="true"/>
  <c r="T140" i="18" a="true"/>
  <c r="V159" i="18" a="true"/>
  <c r="U214" i="18" a="true"/>
  <c r="U207" i="18" a="true"/>
  <c r="I421" i="25" a="true"/>
  <c r="V480" i="18" a="true"/>
  <c r="J212" i="25" a="true"/>
  <c r="X254" i="18" a="true"/>
  <c r="Y92" i="18" a="true"/>
  <c r="X32" i="18" a="true"/>
  <c r="U249" i="18" a="true"/>
  <c r="T17" i="18" a="true"/>
  <c r="Y503" i="18" a="true"/>
  <c r="T30" i="18" a="true"/>
  <c r="I326" i="25" a="true"/>
  <c r="S52" i="18" a="true"/>
  <c r="J272" i="25" a="true"/>
  <c r="AF475" i="18" a="true"/>
  <c r="AC238" i="18" a="true"/>
  <c r="P17" i="18" a="true"/>
  <c r="O471" i="18" a="true"/>
  <c r="AB464" i="18" a="true"/>
  <c r="O430" i="18" a="true"/>
  <c r="AB347" i="18" a="true"/>
  <c r="O99" i="18" a="true"/>
  <c r="AF367" i="18" a="true"/>
  <c r="AC157" i="18" a="true"/>
  <c r="AD16" i="18" a="true"/>
  <c r="N189" i="18" a="true"/>
  <c r="AA87" i="18" a="true"/>
  <c r="AA220" i="18" a="true"/>
  <c r="AA161" i="18" a="true"/>
  <c r="AC153" i="18" a="true"/>
  <c r="AE387" i="18" a="true"/>
  <c r="O31" i="18" a="true"/>
  <c r="O301" i="18" a="true"/>
  <c r="AA27" i="18" a="true"/>
  <c r="P238" i="18" a="true"/>
  <c r="AA228" i="18" a="true"/>
  <c r="P160" i="18" a="true"/>
  <c r="AE469" i="18" a="true"/>
  <c r="AE235" i="18" a="true"/>
  <c r="P481" i="18" a="true"/>
  <c r="AA68" i="18" a="true"/>
  <c r="AF120" i="18" a="true"/>
  <c r="P317" i="18" a="true"/>
  <c r="O288" i="18" a="true"/>
  <c r="AC449" i="18" a="true"/>
  <c r="N478" i="18" a="true"/>
  <c r="AD133" i="18" a="true"/>
  <c r="AB174" i="18" a="true"/>
  <c r="N251" i="18" a="true"/>
  <c r="P136" i="18" a="true"/>
  <c r="P281" i="18" a="true"/>
  <c r="AB59" i="18" a="true"/>
  <c r="O67" i="18" a="true"/>
  <c r="AB444" i="18" a="true"/>
  <c r="N287" i="18" a="true"/>
  <c r="AB269" i="18" a="true"/>
  <c r="AC246" i="18" a="true"/>
  <c r="AC72" i="18" a="true"/>
  <c r="AF112" i="18" a="true"/>
  <c r="AA207" i="18" a="true"/>
  <c r="AA237" i="18" a="true"/>
  <c r="P323" i="18" a="true"/>
  <c r="AD323" i="18" a="true"/>
  <c r="N458" i="18" a="true"/>
  <c r="O374" i="18" a="true"/>
  <c r="P41" i="18" a="true"/>
  <c r="O168" i="18" a="true"/>
  <c r="O63" i="18" a="true"/>
  <c r="AA145" i="18" a="true"/>
  <c r="AD233" i="18" a="true"/>
  <c r="O201" i="18" a="true"/>
  <c r="AF501" i="18" a="true"/>
  <c r="P311" i="18" a="true"/>
  <c r="P56" i="18" a="true"/>
  <c r="O485" i="18" a="true"/>
  <c r="AF325" i="18" a="true"/>
  <c r="AF368" i="18" a="true"/>
  <c r="AA50" i="18" a="true"/>
  <c r="AA360" i="18" a="true"/>
  <c r="AA312" i="18" a="true"/>
  <c r="AE24" i="18" a="true"/>
  <c r="N468" i="18" a="true"/>
  <c r="AD501" i="18" a="true"/>
  <c r="P437" i="18" a="true"/>
  <c r="Q13" i="18" a="true"/>
  <c r="S95" i="18" a="true"/>
  <c r="W343" i="18" a="true"/>
  <c r="W443" i="18" a="true"/>
  <c r="Q173" i="18" a="true"/>
  <c r="W39" i="18" a="true"/>
  <c r="I378" i="25" a="true"/>
  <c r="T487" i="18" a="true"/>
  <c r="S167" i="18" a="true"/>
  <c r="S492" i="18" a="true"/>
  <c r="I458" i="25" a="true"/>
  <c r="J64" i="25" a="true"/>
  <c r="U100" i="18" a="true"/>
  <c r="T115" i="18" a="true"/>
  <c r="V482" i="18" a="true"/>
  <c r="Q217" i="18" a="true"/>
  <c r="S126" i="18" a="true"/>
  <c r="X161" i="18" a="true"/>
  <c r="Q388" i="18" a="true"/>
  <c r="Q380" i="18" a="true"/>
  <c r="V282" i="18" a="true"/>
  <c r="S179" i="18" a="true"/>
  <c r="Q223" i="18" a="true"/>
  <c r="R443" i="18" a="true"/>
  <c r="Q500" i="18" a="true"/>
  <c r="V34" i="18" a="true"/>
  <c r="T38" i="18" a="true"/>
  <c r="J334" i="25" a="true"/>
  <c r="I144" i="25" a="true"/>
  <c r="T24" i="18" a="true"/>
  <c r="S389" i="18" a="true"/>
  <c r="Q112" i="18" a="true"/>
  <c r="V452" i="18" a="true"/>
  <c r="W184" i="18" a="true"/>
  <c r="I302" i="25" a="true"/>
  <c r="J307" i="25" a="true"/>
  <c r="U483" i="18" a="true"/>
  <c r="J223" i="25" a="true"/>
  <c r="U69" i="18" a="true"/>
  <c r="I20" i="25" a="true"/>
  <c r="I203" i="25" a="true"/>
  <c r="J238" i="25" a="true"/>
  <c r="Y123" i="18" a="true"/>
  <c r="V343" i="18" a="true"/>
  <c r="J266" i="25" a="true"/>
  <c r="V62" i="18" a="true"/>
  <c r="W420" i="18" a="true"/>
  <c r="S113" i="18" a="true"/>
  <c r="I14" i="25" a="true"/>
  <c r="X246" i="18" a="true"/>
  <c r="J301" i="25" a="true"/>
  <c r="X144" i="18" a="true"/>
  <c r="V182" i="18" a="true"/>
  <c r="I222" i="25" a="true"/>
  <c r="Q417" i="18" a="true"/>
  <c r="U21" i="18" a="true"/>
  <c r="S230" i="18" a="true"/>
  <c r="AE325" i="18" a="true"/>
  <c r="AE80" i="18" a="true"/>
  <c r="O323" i="18" a="true"/>
  <c r="AD7" i="18" a="true"/>
  <c r="AA396" i="18" a="true"/>
  <c r="P454" i="18" a="true"/>
  <c r="AF295" i="18" a="true"/>
  <c r="AA97" i="18" a="true"/>
  <c r="Q272" i="18" a="true"/>
  <c r="T294" i="18" a="true"/>
  <c r="Y489" i="18" a="true"/>
  <c r="U328" i="18" a="true"/>
  <c r="U248" i="18" a="true"/>
  <c r="J386" i="25" a="true"/>
  <c r="U97" i="18" a="true"/>
  <c r="U322" i="18" a="true"/>
  <c r="T173" i="18" a="true"/>
  <c r="J23" i="25" a="true"/>
  <c r="Y284" i="18" a="true"/>
  <c r="Y132" i="18" a="true"/>
  <c r="V96" i="18" a="true"/>
  <c r="R267" i="18" a="true"/>
  <c r="R431" i="18" a="true"/>
  <c r="I346" i="25" a="true"/>
  <c r="V63" i="18" a="true"/>
  <c r="J444" i="25" a="true"/>
  <c r="U208" i="18" a="true"/>
  <c r="I116" i="25" a="true"/>
  <c r="X405" i="18" a="true"/>
  <c r="V235" i="18" a="true"/>
  <c r="U229" i="18" a="true"/>
  <c r="Y390" i="18" a="true"/>
  <c r="S128" i="18" a="true"/>
  <c r="Q246" i="18" a="true"/>
  <c r="Q188" i="18" a="true"/>
  <c r="R292" i="18" a="true"/>
  <c r="Y280" i="18" a="true"/>
  <c r="V167" i="18" a="true"/>
  <c r="I162" i="25" a="true"/>
  <c r="V469" i="18" a="true"/>
  <c r="J61" i="25" a="true"/>
  <c r="J180" i="25" a="true"/>
  <c r="W118" i="18" a="true"/>
  <c r="Y58" i="18" a="true"/>
  <c r="T117" i="18" a="true"/>
  <c r="Q438" i="18" a="true"/>
  <c r="W435" i="18" a="true"/>
  <c r="I304" i="25" a="true"/>
  <c r="I491" i="25" a="true"/>
  <c r="Y71" i="18" a="true"/>
  <c r="I487" i="25" a="true"/>
  <c r="V59" i="18" a="true"/>
  <c r="W113" i="18" a="true"/>
  <c r="AA488" i="18" a="true"/>
  <c r="AE486" i="18" a="true"/>
  <c r="AA328" i="18" a="true"/>
  <c r="AF150" i="18" a="true"/>
  <c r="AE360" i="18" a="true"/>
  <c r="N391" i="18" a="true"/>
  <c r="AD268" i="18" a="true"/>
  <c r="AF136" i="18" a="true"/>
  <c r="O375" i="18" a="true"/>
  <c r="AD331" i="18" a="true"/>
  <c r="O147" i="18" a="true"/>
  <c r="AB423" i="18" a="true"/>
  <c r="P174" i="18" a="true"/>
  <c r="AB131" i="18" a="true"/>
  <c r="AF416" i="18" a="true"/>
  <c r="AF179" i="18" a="true"/>
  <c r="O200" i="18" a="true"/>
  <c r="AD9" i="18" a="true"/>
  <c r="AB11" i="18" a="true"/>
  <c r="AF93" i="18" a="true"/>
  <c r="N290" i="18" a="true"/>
  <c r="AB285" i="18" a="true"/>
  <c r="AA308" i="18" a="true"/>
  <c r="AF245" i="18" a="true"/>
  <c r="P429" i="18" a="true"/>
  <c r="AE144" i="18" a="true"/>
  <c r="O255" i="18" a="true"/>
  <c r="AA268" i="18" a="true"/>
  <c r="AA461" i="18" a="true"/>
  <c r="AE458" i="18" a="true"/>
  <c r="AC296" i="18" a="true"/>
  <c r="AB403" i="18" a="true"/>
  <c r="AD385" i="18" a="true"/>
  <c r="AE430" i="18" a="true"/>
  <c r="AF299" i="18" a="true"/>
  <c r="AF52" i="18" a="true"/>
  <c r="AF442" i="18" a="true"/>
  <c r="N119" i="18" a="true"/>
  <c r="O451" i="18" a="true"/>
  <c r="AD454" i="18" a="true"/>
  <c r="AD286" i="18" a="true"/>
  <c r="AE415" i="18" a="true"/>
  <c r="AC482" i="18" a="true"/>
  <c r="AC84" i="18" a="true"/>
  <c r="P477" i="18" a="true"/>
  <c r="AE298" i="18" a="true"/>
  <c r="P105" i="18" a="true"/>
  <c r="AC206" i="18" a="true"/>
  <c r="AD153" i="18" a="true"/>
  <c r="AD360" i="18" a="true"/>
  <c r="AB17" i="18" a="true"/>
  <c r="AD352" i="18" a="true"/>
  <c r="AD276" i="18" a="true"/>
  <c r="O243" i="18" a="true"/>
  <c r="O297" i="18" a="true"/>
  <c r="AD43" i="18" a="true"/>
  <c r="N67" i="18" a="true"/>
  <c r="AF144" i="18" a="true"/>
  <c r="AD505" i="18" a="true"/>
  <c r="AC388" i="18" a="true"/>
  <c r="AE16" i="18" a="true"/>
  <c r="AB377" i="18" a="true"/>
  <c r="AA172" i="18" a="true"/>
  <c r="N304" i="18" a="true"/>
  <c r="O220" i="18" a="true"/>
  <c r="AC87" i="18" a="true"/>
  <c r="AE252" i="18" a="true"/>
  <c r="P80" i="18" a="true"/>
  <c r="AF196" i="18" a="true"/>
  <c r="N321" i="18" a="true"/>
  <c r="O303" i="18" a="true"/>
  <c r="P324" i="18" a="true"/>
  <c r="AE357" i="18" a="true"/>
  <c r="P72" i="18" a="true"/>
  <c r="AB288" i="18" a="true"/>
  <c r="AF117" i="18" a="true"/>
  <c r="O13" i="18" a="true"/>
  <c r="AB184" i="18" a="true"/>
  <c r="N65" i="18" a="true"/>
  <c r="N203" i="18" a="true"/>
  <c r="AF125" i="18" a="true"/>
  <c r="AA81" i="18" a="true"/>
  <c r="AC36" i="18" a="true"/>
  <c r="AC64" i="18" a="true"/>
  <c r="N477" i="18" a="true"/>
  <c r="AA297" i="18" a="true"/>
  <c r="O499" i="18" a="true"/>
  <c r="AF7" i="18" a="true"/>
  <c r="AA439" i="18" a="true"/>
  <c r="AB421" i="18" a="true"/>
  <c r="AD243" i="18" a="true"/>
  <c r="AD236" i="18" a="true"/>
  <c r="AC35" i="18" a="true"/>
  <c r="P286" i="18" a="true"/>
  <c r="N407" i="18" a="true"/>
  <c r="AF113" i="18" a="true"/>
  <c r="AC320" i="18" a="true"/>
  <c r="N54" i="18" a="true"/>
  <c r="N403" i="18" a="true"/>
  <c r="P79" i="18" a="true"/>
  <c r="N231" i="18" a="true"/>
  <c r="AA100" i="18" a="true"/>
  <c r="P221" i="18" a="true"/>
  <c r="AA417" i="18" a="true"/>
  <c r="U160" i="18" a="true"/>
  <c r="R193" i="18" a="true"/>
  <c r="X406" i="18" a="true"/>
  <c r="R476" i="18" a="true"/>
  <c r="X71" i="18" a="true"/>
  <c r="J407" i="25" a="true"/>
  <c r="U471" i="18" a="true"/>
  <c r="W341" i="18" a="true"/>
  <c r="X77" i="18" a="true"/>
  <c r="J93" i="25" a="true"/>
  <c r="W426" i="18" a="true"/>
  <c r="U171" i="18" a="true"/>
  <c r="T476" i="18" a="true"/>
  <c r="R131" i="18" a="true"/>
  <c r="J109" i="25" a="true"/>
  <c r="Y337" i="18" a="true"/>
  <c r="Y224" i="18" a="true"/>
  <c r="I385" i="25" a="true"/>
  <c r="Y321" i="18" a="true"/>
  <c r="U111" i="18" a="true"/>
  <c r="W83" i="18" a="true"/>
  <c r="R483" i="18" a="true"/>
  <c r="Q148" i="18" a="true"/>
  <c r="S65" i="18" a="true"/>
  <c r="T424" i="18" a="true"/>
  <c r="S476" i="18" a="true"/>
  <c r="U360" i="18" a="true"/>
  <c r="W347" i="18" a="true"/>
  <c r="S271" i="18" a="true"/>
  <c r="W372" i="18" a="true"/>
  <c r="W256" i="18" a="true"/>
  <c r="V394" i="18" a="true"/>
  <c r="I298" i="25" a="true"/>
  <c r="J429" i="25" a="true"/>
  <c r="R70" i="18" a="true"/>
  <c r="V408" i="18" a="true"/>
  <c r="I277" i="25" a="true"/>
  <c r="W189" i="18" a="true"/>
  <c r="I199" i="25" a="true"/>
  <c r="I347" i="25" a="true"/>
  <c r="J353" i="25" a="true"/>
  <c r="Y114" i="18" a="true"/>
  <c r="J311" i="25" a="true"/>
  <c r="R244" i="18" a="true"/>
  <c r="I206" i="25" a="true"/>
  <c r="P308" i="18" a="true"/>
  <c r="O437" i="18" a="true"/>
  <c r="AC441" i="18" a="true"/>
  <c r="N125" i="18" a="true"/>
  <c r="AF398" i="18" a="true"/>
  <c r="AF307" i="18" a="true"/>
  <c r="N37" i="18" a="true"/>
  <c r="N218" i="18" a="true"/>
  <c r="O431" i="18" a="true"/>
  <c r="AA362" i="18" a="true"/>
  <c r="AA104" i="18" a="true"/>
  <c r="O433" i="18" a="true"/>
  <c r="P147" i="18" a="true"/>
  <c r="R58" i="18" a="true"/>
  <c r="V266" i="18" a="true"/>
  <c r="R425" i="18" a="true"/>
  <c r="U57" i="18" a="true"/>
  <c r="R110" i="18" a="true"/>
  <c r="J129" i="25" a="true"/>
  <c r="R287" i="18" a="true"/>
  <c r="T195" i="18" a="true"/>
  <c r="U295" i="18" a="true"/>
  <c r="S90" i="18" a="true"/>
  <c r="T23" i="18" a="true"/>
  <c r="W376" i="18" a="true"/>
  <c r="V433" i="18" a="true"/>
  <c r="Q169" i="18" a="true"/>
  <c r="I311" i="25" a="true"/>
  <c r="R460" i="18" a="true"/>
  <c r="S225" i="18" a="true"/>
  <c r="J191" i="25" a="true"/>
  <c r="S322" i="18" a="true"/>
  <c r="X211" i="18" a="true"/>
  <c r="Q243" i="18" a="true"/>
  <c r="S54" i="18" a="true"/>
  <c r="S352" i="18" a="true"/>
  <c r="T68" i="18" a="true"/>
  <c r="U266" i="18" a="true"/>
  <c r="S19" i="18" a="true"/>
  <c r="I90" i="25" a="true"/>
  <c r="I300" i="25" a="true"/>
  <c r="Q103" i="18" a="true"/>
  <c r="V42" i="18" a="true"/>
  <c r="T321" i="18" a="true"/>
  <c r="Q428" i="18" a="true"/>
  <c r="I69" i="25" a="true"/>
  <c r="I55" i="25" a="true"/>
  <c r="Y325" i="18" a="true"/>
  <c r="T196" i="18" a="true"/>
  <c r="J317" i="25" a="true"/>
  <c r="V116" i="18" a="true"/>
  <c r="X487" i="18" a="true"/>
  <c r="I42" i="25" a="true"/>
  <c r="I318" i="25" a="true"/>
  <c r="J335" i="25" a="true"/>
  <c r="Q506" i="18" a="true"/>
  <c r="U388" i="18" a="true"/>
  <c r="I128" i="25" a="true"/>
  <c r="AC97" i="18" a="true"/>
  <c r="P228" i="18" a="true"/>
  <c r="P39" i="18" a="true"/>
  <c r="AE51" i="18" a="true"/>
  <c r="P183" i="18" a="true"/>
  <c r="AF251" i="18" a="true"/>
  <c r="AA267" i="18" a="true"/>
  <c r="O17" i="18" a="true"/>
  <c r="P114" i="18" a="true"/>
  <c r="N314" i="18" a="true"/>
  <c r="P239" i="18" a="true"/>
  <c r="AC219" i="18" a="true"/>
  <c r="AB498" i="18" a="true"/>
  <c r="AB387" i="18" a="true"/>
  <c r="AB276" i="18" a="true"/>
  <c r="AB502" i="18" a="true"/>
  <c r="AF177" i="18" a="true"/>
  <c r="AB155" i="18" a="true"/>
  <c r="AD357" i="18" a="true"/>
  <c r="AD295" i="18" a="true"/>
  <c r="P264" i="18" a="true"/>
  <c r="N361" i="18" a="true"/>
  <c r="AC45" i="18" a="true"/>
  <c r="AE300" i="18" a="true"/>
  <c r="AD50" i="18" a="true"/>
  <c r="N93" i="18" a="true"/>
  <c r="N312" i="18" a="true"/>
  <c r="AD386" i="18" a="true"/>
  <c r="AF50" i="18" a="true"/>
  <c r="P371" i="18" a="true"/>
  <c r="O379" i="18" a="true"/>
  <c r="AE249" i="18" a="true"/>
  <c r="O149" i="18" a="true"/>
  <c r="AB127" i="18" a="true"/>
  <c r="O66" i="18" a="true"/>
  <c r="O41" i="18" a="true"/>
  <c r="AD252" i="18" a="true"/>
  <c r="P407" i="18" a="true"/>
  <c r="P292" i="18" a="true"/>
  <c r="O264" i="18" a="true"/>
  <c r="AC481" i="18" a="true"/>
  <c r="AD15" i="18" a="true"/>
  <c r="AE107" i="18" a="true"/>
  <c r="AB164" i="18" a="true"/>
  <c r="O218" i="18" a="true"/>
  <c r="AC41" i="18" a="true"/>
  <c r="O282" i="18" a="true"/>
  <c r="AA231" i="18" a="true"/>
  <c r="AA35" i="18" a="true"/>
  <c r="P99" i="18" a="true"/>
  <c r="AB485" i="18" a="true"/>
  <c r="O236" i="18" a="true"/>
  <c r="AA429" i="18" a="true"/>
  <c r="P280" i="18" a="true"/>
  <c r="AB57" i="18" a="true"/>
  <c r="AB371" i="18" a="true"/>
  <c r="AE437" i="18" a="true"/>
  <c r="AB23" i="18" a="true"/>
  <c r="O51" i="18" a="true"/>
  <c r="AB15" i="18" a="true"/>
  <c r="P254" i="18" a="true"/>
  <c r="AE291" i="18" a="true"/>
  <c r="AF430" i="18" a="true"/>
  <c r="AA419" i="18" a="true"/>
  <c r="AD226" i="18" a="true"/>
  <c r="N191" i="18" a="true"/>
  <c r="AB159" i="18" a="true"/>
  <c r="AF58" i="18" a="true"/>
  <c r="AE354" i="18" a="true"/>
  <c r="AA101" i="18" a="true"/>
  <c r="AA114" i="18" a="true"/>
  <c r="N320" i="18" a="true"/>
  <c r="N19" i="18" a="true"/>
  <c r="AC340" i="18" a="true"/>
  <c r="AD194" i="18" a="true"/>
  <c r="O37" i="18" a="true"/>
  <c r="P394" i="18" a="true"/>
  <c r="O167" i="18" a="true"/>
  <c r="AF165" i="18" a="true"/>
  <c r="P171" i="18" a="true"/>
  <c r="N328" i="18" a="true"/>
  <c r="O10" i="18" a="true"/>
  <c r="AB95" i="18" a="true"/>
  <c r="AE182" i="18" a="true"/>
  <c r="AA9" i="18" a="true"/>
  <c r="AA72" i="18" a="true"/>
  <c r="AA357" i="18" a="true"/>
  <c r="AF417" i="18" a="true"/>
  <c r="AD494" i="18" a="true"/>
  <c r="AB456" i="18" a="true"/>
  <c r="N106" i="18" a="true"/>
  <c r="AF333" i="18" a="true"/>
  <c r="P393" i="18" a="true"/>
  <c r="AC382" i="18" a="true"/>
  <c r="AF135" i="18" a="true"/>
  <c r="AE267" i="18" a="true"/>
  <c r="AA427" i="18" a="true"/>
  <c r="AE348" i="18" a="true"/>
  <c r="AF51" i="18" a="true"/>
  <c r="AF32" i="18" a="true"/>
  <c r="AE465" i="18" a="true"/>
  <c r="AA272" i="18" a="true"/>
  <c r="N369" i="18" a="true"/>
  <c r="P379" i="18" a="true"/>
  <c r="R420" i="18" a="true"/>
  <c r="Y219" i="18" a="true"/>
  <c r="T418" i="18" a="true"/>
  <c r="R194" i="18" a="true"/>
  <c r="U91" i="18" a="true"/>
  <c r="V361" i="18" a="true"/>
  <c r="S236" i="18" a="true"/>
  <c r="Q338" i="18" a="true"/>
  <c r="Q141" i="18" a="true"/>
  <c r="X385" i="18" a="true"/>
  <c r="J489" i="25" a="true"/>
  <c r="Y12" i="18" a="true"/>
  <c r="R152" i="18" a="true"/>
  <c r="V155" i="18" a="true"/>
  <c r="W373" i="18" a="true"/>
  <c r="X192" i="18" a="true"/>
  <c r="U199" i="18" a="true"/>
  <c r="J290" i="25" a="true"/>
  <c r="J380" i="25" a="true"/>
  <c r="S375" i="18" a="true"/>
  <c r="U118" i="18" a="true"/>
  <c r="S170" i="18" a="true"/>
  <c r="R340" i="18" a="true"/>
  <c r="W43" i="18" a="true"/>
  <c r="U125" i="18" a="true"/>
  <c r="R36" i="18" a="true"/>
  <c r="X378" i="18" a="true"/>
  <c r="U15" i="18" a="true"/>
  <c r="Y25" i="18" a="true"/>
  <c r="Q152" i="18" a="true"/>
  <c r="S379" i="18" a="true"/>
  <c r="S310" i="18" a="true"/>
  <c r="W315" i="18" a="true"/>
  <c r="J457" i="25" a="true"/>
  <c r="R148" i="18" a="true"/>
  <c r="J130" i="25" a="true"/>
  <c r="S281" i="18" a="true"/>
  <c r="R363" i="18" a="true"/>
  <c r="W196" i="18" a="true"/>
  <c r="Y148" i="18" a="true"/>
  <c r="I17" i="25" a="true"/>
  <c r="I482" i="25" a="true"/>
  <c r="R354" i="18" a="true"/>
  <c r="T110" i="18" a="true"/>
  <c r="V209" i="18" a="true"/>
  <c r="P122" i="18" a="true"/>
  <c r="P52" i="18" a="true"/>
  <c r="AD245" i="18" a="true"/>
  <c r="AB391" i="18" a="true"/>
  <c r="P199" i="18" a="true"/>
  <c r="P248" i="18" a="true"/>
  <c r="AF303" i="18" a="true"/>
  <c r="AC104" i="18" a="true"/>
  <c r="AB237" i="18" a="true"/>
  <c r="AF400" i="18" a="true"/>
  <c r="O258" i="18" a="true"/>
  <c r="AA204" i="18" a="true"/>
  <c r="AA371" i="18" a="true"/>
  <c r="AE320" i="18" a="true"/>
  <c r="AE101" i="18" a="true"/>
  <c r="AB395" i="18" a="true"/>
  <c r="AC420" i="18" a="true"/>
  <c r="AC329" i="18" a="true"/>
  <c r="AC406" i="18" a="true"/>
  <c r="O464" i="18" a="true"/>
  <c r="O190" i="18" a="true"/>
  <c r="AC469" i="18" a="true"/>
  <c r="AE212" i="18" a="true"/>
  <c r="AA471" i="18" a="true"/>
  <c r="AD71" i="18" a="true"/>
  <c r="AD98" i="18" a="true"/>
  <c r="O110" i="18" a="true"/>
  <c r="U120" i="18" a="true"/>
  <c r="X205" i="18" a="true"/>
  <c r="T363" i="18" a="true"/>
  <c r="W244" i="18" a="true"/>
  <c r="Q147" i="18" a="true"/>
  <c r="X455" i="18" a="true"/>
  <c r="T28" i="18" a="true"/>
  <c r="V479" i="18" a="true"/>
  <c r="J482" i="25" a="true"/>
  <c r="X480" i="18" a="true"/>
  <c r="T116" i="18" a="true"/>
  <c r="Y257" i="18" a="true"/>
  <c r="T463" i="18" a="true"/>
  <c r="U286" i="18" a="true"/>
  <c r="U308" i="18" a="true"/>
  <c r="Q63" i="18" a="true"/>
  <c r="V171" i="18" a="true"/>
  <c r="I171" i="25" a="true"/>
  <c r="I367" i="25" a="true"/>
  <c r="U102" i="18" a="true"/>
  <c r="W306" i="18" a="true"/>
  <c r="Q400" i="18" a="true"/>
  <c r="Y193" i="18" a="true"/>
  <c r="Q325" i="18" a="true"/>
  <c r="X129" i="18" a="true"/>
  <c r="Y125" i="18" a="true"/>
  <c r="U193" i="18" a="true"/>
  <c r="S294" i="18" a="true"/>
  <c r="U441" i="18" a="true"/>
  <c r="U141" i="18" a="true"/>
  <c r="Y81" i="18" a="true"/>
  <c r="X127" i="18" a="true"/>
  <c r="U213" i="18" a="true"/>
  <c r="W227" i="18" a="true"/>
  <c r="R317" i="18" a="true"/>
  <c r="Q271" i="18" a="true"/>
  <c r="J41" i="25" a="true"/>
  <c r="R454" i="18" a="true"/>
  <c r="Y154" i="18" a="true"/>
  <c r="Q393" i="18" a="true"/>
  <c r="T432" i="18" a="true"/>
  <c r="S124" i="18" a="true"/>
  <c r="U419" i="18" a="true"/>
  <c r="S412" i="18" a="true"/>
  <c r="U311" i="18" a="true"/>
  <c r="Q191" i="18" a="true"/>
  <c r="W447" i="18" a="true"/>
  <c r="I269" i="25" a="true"/>
  <c r="X16" i="18" a="true"/>
  <c r="S182" i="18" a="true"/>
  <c r="J113" i="25" a="true"/>
  <c r="V231" i="18" a="true"/>
  <c r="U362" i="18" a="true"/>
  <c r="Y43" i="18" a="true"/>
  <c r="AD436" i="18" a="true"/>
  <c r="AA375" i="18" a="true"/>
  <c r="O187" i="18" a="true"/>
  <c r="P33" i="18" a="true"/>
  <c r="AA395" i="18" a="true"/>
  <c r="N97" i="18" a="true"/>
  <c r="AE120" i="18" a="true"/>
  <c r="AF456" i="18" a="true"/>
  <c r="AA465" i="18" a="true"/>
  <c r="AA338" i="18" a="true"/>
  <c r="N279" i="18" a="true"/>
  <c r="AD189" i="18" a="true"/>
  <c r="AA458" i="18" a="true"/>
  <c r="N457" i="18" a="true"/>
  <c r="O470" i="18" a="true"/>
  <c r="AF74" i="18" a="true"/>
  <c r="P285" i="18" a="true"/>
  <c r="AF423" i="18" a="true"/>
  <c r="AB83" i="18" a="true"/>
  <c r="P424" i="18" a="true"/>
  <c r="AB216" i="18" a="true"/>
  <c r="AD57" i="18" a="true"/>
  <c r="AB254" i="18" a="true"/>
  <c r="AF492" i="18" a="true"/>
  <c r="AB180" i="18" a="true"/>
  <c r="AC438" i="18" a="true"/>
  <c r="AA45" i="18" a="true"/>
  <c r="AD325" i="18" a="true"/>
  <c r="AF403" i="18" a="true"/>
  <c r="AE202" i="18" a="true"/>
  <c r="AE253" i="18" a="true"/>
  <c r="AC28" i="18" a="true"/>
  <c r="AE197" i="18" a="true"/>
  <c r="O239" i="18" a="true"/>
  <c r="AE435" i="18" a="true"/>
  <c r="AF413" i="18" a="true"/>
  <c r="AD46" i="18" a="true"/>
  <c r="O103" i="18" a="true"/>
  <c r="AE410" i="18" a="true"/>
  <c r="AD87" i="18" a="true"/>
  <c r="AF195" i="18" a="true"/>
  <c r="AE38" i="18" a="true"/>
  <c r="AE264" i="18" a="true"/>
  <c r="AF149" i="18" a="true"/>
  <c r="AF259" i="18" a="true"/>
  <c r="AC122" i="18" a="true"/>
  <c r="N112" i="18" a="true"/>
  <c r="P480" i="18" a="true"/>
  <c r="AB118" i="18" a="true"/>
  <c r="O353" i="18" a="true"/>
  <c r="N86" i="18" a="true"/>
  <c r="AE11" i="18" a="true"/>
  <c r="AF358" i="18" a="true"/>
  <c r="AB192" i="18" a="true"/>
  <c r="AE90" i="18" a="true"/>
  <c r="AD79" i="18" a="true"/>
  <c r="AD303" i="18" a="true"/>
  <c r="AF402" i="18" a="true"/>
  <c r="AA73" i="18" a="true"/>
  <c r="AA406" i="18" a="true"/>
  <c r="AA212" i="18" a="true"/>
  <c r="AC138" i="18" a="true"/>
  <c r="AA344" i="18" a="true"/>
  <c r="O315" i="18" a="true"/>
  <c r="O165" i="18" a="true"/>
  <c r="AD202" i="18" a="true"/>
  <c r="P303" i="18" a="true"/>
  <c r="AD387" i="18" a="true"/>
  <c r="O186" i="18" a="true"/>
  <c r="N127" i="18" a="true"/>
  <c r="O410" i="18" a="true"/>
  <c r="N104" i="18" a="true"/>
  <c r="P251" i="18" a="true"/>
  <c r="AB301" i="18" a="true"/>
  <c r="AF487" i="18" a="true"/>
  <c r="AD119" i="18" a="true"/>
  <c r="AB38" i="18" a="true"/>
  <c r="AC427" i="18" a="true"/>
  <c r="AD465" i="18" a="true"/>
  <c r="AD424" i="18" a="true"/>
  <c r="AA251" i="18" a="true"/>
  <c r="P180" i="18" a="true"/>
  <c r="AD146" i="18" a="true"/>
  <c r="AE400" i="18" a="true"/>
  <c r="O322" i="18" a="true"/>
  <c r="AB25" i="18" a="true"/>
  <c r="AB321" i="18" a="true"/>
  <c r="AB22" i="18" a="true"/>
  <c r="AF496" i="18" a="true"/>
  <c r="AC273" i="18" a="true"/>
  <c r="AB44" i="18" a="true"/>
  <c r="P445" i="18" a="true"/>
  <c r="AC483" i="18" a="true"/>
  <c r="AC324" i="18" a="true"/>
  <c r="AF349" i="18" a="true"/>
  <c r="AA232" i="18" a="true"/>
  <c r="P295" i="18" a="true"/>
  <c r="N482" i="18" a="true"/>
  <c r="AB222" i="18" a="true"/>
  <c r="N501" i="18" a="true"/>
  <c r="AE62" i="18" a="true"/>
  <c r="AE328" i="18" a="true"/>
  <c r="AD181" i="18" a="true"/>
  <c r="W369" i="18" a="true"/>
  <c r="W124" i="18" a="true"/>
  <c r="R439" i="18" a="true"/>
  <c r="W54" i="18" a="true"/>
  <c r="X233" i="18" a="true"/>
  <c r="S146" i="18" a="true"/>
  <c r="S277" i="18" a="true"/>
  <c r="W115" i="18" a="true"/>
  <c r="I18" i="25" a="true"/>
  <c r="J500" i="25" a="true"/>
  <c r="W366" i="18" a="true"/>
  <c r="V80" i="18" a="true"/>
  <c r="J476" i="25" a="true"/>
  <c r="Q12" i="18" a="true"/>
  <c r="R361" i="18" a="true"/>
  <c r="X193" i="18" a="true"/>
  <c r="R278" i="18" a="true"/>
  <c r="T488" i="18" a="true"/>
  <c r="X57" i="18" a="true"/>
  <c r="Q362" i="18" a="true"/>
  <c r="Q182" i="18" a="true"/>
  <c r="X11" i="18" a="true"/>
  <c r="Q49" i="18" a="true"/>
  <c r="I136" i="25" a="true"/>
  <c r="R369" i="18" a="true"/>
  <c r="J46" i="25" a="true"/>
  <c r="Q231" i="18" a="true"/>
  <c r="S84" i="18" a="true"/>
  <c r="Y191" i="18" a="true"/>
  <c r="J337" i="25" a="true"/>
  <c r="S486" i="18" a="true"/>
  <c r="T497" i="18" a="true"/>
  <c r="W188" i="18" a="true"/>
  <c r="Q135" i="18" a="true"/>
  <c r="I316" i="25" a="true"/>
  <c r="V414" i="18" a="true"/>
  <c r="X297" i="18" a="true"/>
  <c r="T467" i="18" a="true"/>
  <c r="Y108" i="18" a="true"/>
  <c r="I167" i="25" a="true"/>
  <c r="S129" i="18" a="true"/>
  <c r="U30" i="18" a="true"/>
  <c r="S7" i="18" a="true"/>
  <c r="R250" i="18" a="true"/>
  <c r="S427" i="18" a="true"/>
  <c r="J204" i="25" a="true"/>
  <c r="I462" i="25" a="true"/>
  <c r="V351" i="18" a="true"/>
  <c r="V207" i="18" a="true"/>
  <c r="Q204" i="18" a="true"/>
  <c r="R337" i="18" a="true"/>
  <c r="Q179" i="18" a="true"/>
  <c r="V234" i="18" a="true"/>
  <c r="J480" i="25" a="true"/>
  <c r="T266" i="18" a="true"/>
  <c r="X187" i="18" a="true"/>
  <c r="S426" i="18" a="true"/>
  <c r="U498" i="18" a="true"/>
  <c r="Q334" i="18" a="true"/>
  <c r="W321" i="18" a="true"/>
  <c r="R306" i="18" a="true"/>
  <c r="J378" i="25" a="true"/>
  <c r="Q427" i="18" a="true"/>
  <c r="X423" i="18" a="true"/>
  <c r="Q378" i="18" a="true"/>
  <c r="S326" i="18" a="true"/>
  <c r="V221" i="18" a="true"/>
  <c r="S49" i="18" a="true"/>
  <c r="X206" i="18" a="true"/>
  <c r="X298" i="18" a="true"/>
  <c r="S362" i="18" a="true"/>
  <c r="V252" i="18" a="true"/>
  <c r="T353" i="18" a="true"/>
  <c r="X370" i="18" a="true"/>
  <c r="R348" i="18" a="true"/>
  <c r="T150" i="18" a="true"/>
  <c r="Y203" i="18" a="true"/>
  <c r="U67" i="18" a="true"/>
  <c r="Y309" i="18" a="true"/>
  <c r="R134" i="18" a="true"/>
  <c r="W62" i="18" a="true"/>
  <c r="T78" i="18" a="true"/>
  <c r="I244" i="25" a="true"/>
  <c r="S46" i="18" a="true"/>
  <c r="W47" i="18" a="true"/>
  <c r="U215" i="18" a="true"/>
  <c r="S314" i="18" a="true"/>
  <c r="V256" i="18" a="true"/>
  <c r="Y89" i="18" a="true"/>
  <c r="T98" i="18" a="true"/>
  <c r="I214" i="25" a="true"/>
  <c r="U203" i="18" a="true"/>
  <c r="Y473" i="18" a="true"/>
  <c r="Q320" i="18" a="true"/>
  <c r="J243" i="25" a="true"/>
  <c r="Q384" i="18" a="true"/>
  <c r="W45" i="18" a="true"/>
  <c r="S452" i="18" a="true"/>
  <c r="R382" i="18" a="true"/>
  <c r="J150" i="25" a="true"/>
  <c r="J79" i="25" a="true"/>
  <c r="I266" i="25" a="true"/>
  <c r="I170" i="25" a="true"/>
  <c r="X408" i="18" a="true"/>
  <c r="T331" i="18" a="true"/>
  <c r="S100" i="18" a="true"/>
  <c r="J348" i="25" a="true"/>
  <c r="I403" i="25" a="true"/>
  <c r="V437" i="18" a="true"/>
  <c r="X402" i="18" a="true"/>
  <c r="S422" i="18" a="true"/>
  <c r="R183" i="18" a="true"/>
  <c r="Q372" i="18" a="true"/>
  <c r="J194" i="25" a="true"/>
  <c r="X51" i="18" a="true"/>
  <c r="Y30" i="18" a="true"/>
  <c r="Y271" i="18" a="true"/>
  <c r="W169" i="18" a="true"/>
  <c r="U80" i="18" a="true"/>
  <c r="J172" i="25" a="true"/>
  <c r="I449" i="25" a="true"/>
  <c r="S483" i="18" a="true"/>
  <c r="AD474" i="18" a="true"/>
  <c r="AF240" i="18" a="true"/>
  <c r="AF100" i="18" a="true"/>
  <c r="AC422" i="18" a="true"/>
  <c r="AB24" i="18" a="true"/>
  <c r="AB461" i="18" a="true"/>
  <c r="AF345" i="18" a="true"/>
  <c r="AC173" i="18" a="true"/>
  <c r="AA108" i="18" a="true"/>
  <c r="O131" i="18" a="true"/>
  <c r="AA316" i="18" a="true"/>
  <c r="AC91" i="18" a="true"/>
  <c r="AD12" i="18" a="true"/>
  <c r="AC454" i="18" a="true"/>
  <c r="O45" i="18" a="true"/>
  <c r="AA380" i="18" a="true"/>
  <c r="AA387" i="18" a="true"/>
  <c r="O436" i="18" a="true"/>
  <c r="N352" i="18" a="true"/>
  <c r="AC212" i="18" a="true"/>
  <c r="AF503" i="18" a="true"/>
  <c r="AA295" i="18" a="true"/>
  <c r="AE450" i="18" a="true"/>
  <c r="AC264" i="18" a="true"/>
  <c r="AB350" i="18" a="true"/>
  <c r="AF329" i="18" a="true"/>
  <c r="AA382" i="18" a="true"/>
  <c r="AA449" i="18" a="true"/>
  <c r="AF408" i="18" a="true"/>
  <c r="AC115" i="18" a="true"/>
  <c r="AE140" i="18" a="true"/>
  <c r="AF242" i="18" a="true"/>
  <c r="O254" i="18" a="true"/>
  <c r="N308" i="18" a="true"/>
  <c r="N13" i="18" a="true"/>
  <c r="AB476" i="18" a="true"/>
  <c r="AE384" i="18" a="true"/>
  <c r="AE148" i="18" a="true"/>
  <c r="N225" i="18" a="true"/>
  <c r="AC81" i="18" a="true"/>
  <c r="AC353" i="18" a="true"/>
  <c r="AD59" i="18" a="true"/>
  <c r="AA221" i="18" a="true"/>
  <c r="AC452" i="18" a="true"/>
  <c r="AA77" i="18" a="true"/>
  <c r="P471" i="18" a="true"/>
  <c r="AD36" i="18" a="true"/>
  <c r="P53" i="18" a="true"/>
  <c r="N272" i="18" a="true"/>
  <c r="AB448" i="18" a="true"/>
  <c r="AD495" i="18" a="true"/>
  <c r="P48" i="18" a="true"/>
  <c r="P420" i="18" a="true"/>
  <c r="O226" i="18" a="true"/>
  <c r="AD264" i="18" a="true"/>
  <c r="AD283" i="18" a="true"/>
  <c r="AD479" i="18" a="true"/>
  <c r="AE58" i="18" a="true"/>
  <c r="AB343" i="18" a="true"/>
  <c r="N113" i="18" a="true"/>
  <c r="AF483" i="18" a="true"/>
  <c r="AD188" i="18" a="true"/>
  <c r="N295" i="18" a="true"/>
  <c r="AC121" i="18" a="true"/>
  <c r="O91" i="18" a="true"/>
  <c r="AA318" i="18" a="true"/>
  <c r="AC285" i="18" a="true"/>
  <c r="O40" i="18" a="true"/>
  <c r="N266" i="18" a="true"/>
  <c r="AB115" i="18" a="true"/>
  <c r="AE273" i="18" a="true"/>
  <c r="AF167" i="18" a="true"/>
  <c r="N207" i="18" a="true"/>
  <c r="AA398" i="18" a="true"/>
  <c r="N156" i="18" a="true"/>
  <c r="AD78" i="18" a="true"/>
  <c r="O335" i="18" a="true"/>
  <c r="AB99" i="18" a="true"/>
  <c r="AC124" i="18" a="true"/>
  <c r="P77" i="18" a="true"/>
  <c r="O84" i="18" a="true"/>
  <c r="AC100" i="18" a="true"/>
  <c r="AB167" i="18" a="true"/>
  <c r="S363" i="18" a="true"/>
  <c r="U347" i="18" a="true"/>
  <c r="S420" i="18" a="true"/>
  <c r="X175" i="18" a="true"/>
  <c r="I12" i="25" a="true"/>
  <c r="R466" i="18" a="true"/>
  <c r="T163" i="18" a="true"/>
  <c r="R499" i="18" a="true"/>
  <c r="Y370" i="18" a="true"/>
  <c r="J367" i="25" a="true"/>
  <c r="X252" i="18" a="true"/>
  <c r="Q266" i="18" a="true"/>
  <c r="W38" i="18" a="true"/>
  <c r="Y94" i="18" a="true"/>
  <c r="V306" i="18" a="true"/>
  <c r="W226" i="18" a="true"/>
  <c r="R44" i="18" a="true"/>
  <c r="S469" i="18" a="true"/>
  <c r="Y157" i="18" a="true"/>
  <c r="S296" i="18" a="true"/>
  <c r="S76" i="18" a="true"/>
  <c r="T16" i="18" a="true"/>
  <c r="V29" i="18" a="true"/>
  <c r="X64" i="18" a="true"/>
  <c r="R248" i="18" a="true"/>
  <c r="Q473" i="18" a="true"/>
  <c r="T479" i="18" a="true"/>
  <c r="T20" i="18" a="true"/>
  <c r="T420" i="18" a="true"/>
  <c r="J475" i="25" a="true"/>
  <c r="I61" i="25" a="true"/>
  <c r="T129" i="18" a="true"/>
  <c r="W116" i="18" a="true"/>
  <c r="X314" i="18" a="true"/>
  <c r="T216" i="18" a="true"/>
  <c r="V312" i="18" a="true"/>
  <c r="T484" i="18" a="true"/>
  <c r="T411" i="18" a="true"/>
  <c r="Y69" i="18" a="true"/>
  <c r="Y91" i="18" a="true"/>
  <c r="Y233" i="18" a="true"/>
  <c r="S402" i="18" a="true"/>
  <c r="I198" i="25" a="true"/>
  <c r="W99" i="18" a="true"/>
  <c r="V76" i="18" a="true"/>
  <c r="X307" i="18" a="true"/>
  <c r="W28" i="18" a="true"/>
  <c r="Q270" i="18" a="true"/>
  <c r="R309" i="18" a="true"/>
  <c r="I354" i="25" a="true"/>
  <c r="I118" i="25" a="true"/>
  <c r="Q323" i="18" a="true"/>
  <c r="Q65" i="18" a="true"/>
  <c r="J44" i="25" a="true"/>
  <c r="W177" i="18" a="true"/>
  <c r="W397" i="18" a="true"/>
  <c r="U403" i="18" a="true"/>
  <c r="T8" i="18" a="true"/>
  <c r="X119" i="18" a="true"/>
  <c r="T470" i="18" a="true"/>
  <c r="J34" i="25" a="true"/>
  <c r="R283" i="18" a="true"/>
  <c r="V133" i="18" a="true"/>
  <c r="AF77" i="18" a="true"/>
  <c r="P117" i="18" a="true"/>
  <c r="AE457" i="18" a="true"/>
  <c r="AE479" i="18" a="true"/>
  <c r="AE245" i="18" a="true"/>
  <c r="P27" i="18" a="true"/>
  <c r="AD251" i="18" a="true"/>
  <c r="AC191" i="18" a="true"/>
  <c r="P259" i="18" a="true"/>
  <c r="AA133" i="18" a="true"/>
  <c r="AE239" i="18" a="true"/>
  <c r="AA410" i="18" a="true"/>
  <c r="O174" i="18" a="true"/>
  <c r="AC172" i="18" a="true"/>
  <c r="AF495" i="18" a="true"/>
  <c r="AE483" i="18" a="true"/>
  <c r="AA155" i="18" a="true"/>
  <c r="AC262" i="18" a="true"/>
  <c r="AA321" i="18" a="true"/>
  <c r="AC152" i="18" a="true"/>
  <c r="P473" i="18" a="true"/>
  <c r="AC156" i="18" a="true"/>
  <c r="O448" i="18" a="true"/>
  <c r="P461" i="18" a="true"/>
  <c r="AC431" i="18" a="true"/>
  <c r="AF342" i="18" a="true"/>
  <c r="P236" i="18" a="true"/>
  <c r="N311" i="18" a="true"/>
  <c r="AD160" i="18" a="true"/>
  <c r="AE108" i="18" a="true"/>
  <c r="AC231" i="18" a="true"/>
  <c r="P144" i="18" a="true"/>
  <c r="AF222" i="18" a="true"/>
  <c r="P134" i="18" a="true"/>
  <c r="AC80" i="18" a="true"/>
  <c r="N264" i="18" a="true"/>
  <c r="AE43" i="18" a="true"/>
  <c r="AE226" i="18" a="true"/>
  <c r="P229" i="18" a="true"/>
  <c r="AD24" i="18" a="true"/>
  <c r="O502" i="18" a="true"/>
  <c r="AD301" i="18" a="true"/>
  <c r="O313" i="18" a="true"/>
  <c r="O446" i="18" a="true"/>
  <c r="AD75" i="18" a="true"/>
  <c r="AD448" i="18" a="true"/>
  <c r="AF241" i="18" a="true"/>
  <c r="P233" i="18" a="true"/>
  <c r="AE447" i="18" a="true"/>
  <c r="P349" i="18" a="true"/>
  <c r="N33" i="18" a="true"/>
  <c r="AE258" i="18" a="true"/>
  <c r="AD420" i="18" a="true"/>
  <c r="AA296" i="18" a="true"/>
  <c r="AD33" i="18" a="true"/>
  <c r="AA336" i="18" a="true"/>
  <c r="AC176" i="18" a="true"/>
  <c r="AC471" i="18" a="true"/>
  <c r="AF133" i="18" a="true"/>
  <c r="AD199" i="18" a="true"/>
  <c r="AD461" i="18" a="true"/>
  <c r="AA317" i="18" a="true"/>
  <c r="AF145" i="18" a="true"/>
  <c r="AE330" i="18" a="true"/>
  <c r="AE228" i="18" a="true"/>
  <c r="AA278" i="18" a="true"/>
  <c r="X237" i="18" a="true"/>
  <c r="Q286" i="18" a="true"/>
  <c r="V477" i="18" a="true"/>
  <c r="R208" i="18" a="true"/>
  <c r="Q19" i="18" a="true"/>
  <c r="Q193" i="18" a="true"/>
  <c r="T255" i="18" a="true"/>
  <c r="U226" i="18" a="true"/>
  <c r="X400" i="18" a="true"/>
  <c r="U323" i="18" a="true"/>
  <c r="V366" i="18" a="true"/>
  <c r="X68" i="18" a="true"/>
  <c r="Q136" i="18" a="true"/>
  <c r="V261" i="18" a="true"/>
  <c r="I257" i="25" a="true"/>
  <c r="X368" i="18" a="true"/>
  <c r="Q491" i="18" a="true"/>
  <c r="J16" i="25" a="true"/>
  <c r="I78" i="25" a="true"/>
  <c r="Q89" i="18" a="true"/>
  <c r="U188" i="18" a="true"/>
  <c r="T407" i="18" a="true"/>
  <c r="R239" i="18" a="true"/>
  <c r="W144" i="18" a="true"/>
  <c r="I103" i="25" a="true"/>
  <c r="R253" i="18" a="true"/>
  <c r="R332" i="18" a="true"/>
  <c r="U247" i="18" a="true"/>
  <c r="R223" i="18" a="true"/>
  <c r="R221" i="18" a="true"/>
  <c r="Q142" i="18" a="true"/>
  <c r="U408" i="18" a="true"/>
  <c r="J75" i="25" a="true"/>
  <c r="W455" i="18" a="true"/>
  <c r="Q234" i="18" a="true"/>
  <c r="I493" i="25" a="true"/>
  <c r="U177" i="18" a="true"/>
  <c r="Y384" i="18" a="true"/>
  <c r="AF61" i="18" a="true"/>
  <c r="N277" i="18" a="true"/>
  <c r="O113" i="18" a="true"/>
  <c r="N375" i="18" a="true"/>
  <c r="AA345" i="18" a="true"/>
  <c r="AA13" i="18" a="true"/>
  <c r="AE344" i="18" a="true"/>
  <c r="N307" i="18" a="true"/>
  <c r="O287" i="18" a="true"/>
  <c r="O345" i="18" a="true"/>
  <c r="O125" i="18" a="true"/>
  <c r="AA408" i="18" a="true"/>
  <c r="O329" i="18" a="true"/>
  <c r="N353" i="18" a="true"/>
  <c r="AE149" i="18" a="true"/>
  <c r="AE141" i="18" a="true"/>
  <c r="P43" i="18" a="true"/>
  <c r="O191" i="18" a="true"/>
  <c r="N372" i="18" a="true"/>
  <c r="AF15" i="18" a="true"/>
  <c r="AB361" i="18" a="true"/>
  <c r="AE403" i="18" a="true"/>
  <c r="P226" i="18" a="true"/>
  <c r="AF499" i="18" a="true"/>
  <c r="AC135" i="18" a="true"/>
  <c r="AE290" i="18" a="true"/>
  <c r="N274" i="18" a="true"/>
  <c r="AC218" i="18" a="true"/>
  <c r="AD381" i="18" a="true"/>
  <c r="AA287" i="18" a="true"/>
  <c r="AC383" i="18" a="true"/>
  <c r="O118" i="18" a="true"/>
  <c r="O461" i="18" a="true"/>
  <c r="AB506" i="18" a="true"/>
  <c r="AB119" i="18" a="true"/>
  <c r="O80" i="18" a="true"/>
  <c r="AC139" i="18" a="true"/>
  <c r="P287" i="18" a="true"/>
  <c r="AF308" i="18" a="true"/>
  <c r="AE188" i="18" a="true"/>
  <c r="AF21" i="18" a="true"/>
  <c r="AC305" i="18" a="true"/>
  <c r="AB420" i="18" a="true"/>
  <c r="AA127" i="18" a="true"/>
  <c r="AC75" i="18" a="true"/>
  <c r="N390" i="18" a="true"/>
  <c r="AF201" i="18" a="true"/>
  <c r="AA479" i="18" a="true"/>
  <c r="AE470" i="18" a="true"/>
  <c r="AF462" i="18" a="true"/>
  <c r="AC127" i="18" a="true"/>
  <c r="O290" i="18" a="true"/>
  <c r="AA224" i="18" a="true"/>
  <c r="P328" i="18" a="true"/>
  <c r="AA200" i="18" a="true"/>
  <c r="P440" i="18" a="true"/>
  <c r="AC437" i="18" a="true"/>
  <c r="P417" i="18" a="true"/>
  <c r="AE7" i="18" a="true"/>
  <c r="N195" i="18" a="true"/>
  <c r="AD178" i="18" a="true"/>
  <c r="AD384" i="18" a="true"/>
  <c r="AB147" i="18" a="true"/>
  <c r="P290" i="18" a="true"/>
  <c r="AD107" i="18" a="true"/>
  <c r="AF146" i="18" a="true"/>
  <c r="AD503" i="18" a="true"/>
  <c r="AA38" i="18" a="true"/>
  <c r="AE32" i="18" a="true"/>
  <c r="AE315" i="18" a="true"/>
  <c r="AA83" i="18" a="true"/>
  <c r="AB273" i="18" a="true"/>
  <c r="AD67" i="18" a="true"/>
  <c r="AA191" i="18" a="true"/>
  <c r="N55" i="18" a="true"/>
  <c r="N137" i="18" a="true"/>
  <c r="P465" i="18" a="true"/>
  <c r="AA227" i="18" a="true"/>
  <c r="AF500" i="18" a="true"/>
  <c r="AC473" i="18" a="true"/>
  <c r="AF252" i="18" a="true"/>
  <c r="O307" i="18" a="true"/>
  <c r="AF273" i="18" a="true"/>
  <c r="AD437" i="18" a="true"/>
  <c r="AB318" i="18" a="true"/>
  <c r="AA41" i="18" a="true"/>
  <c r="O29" i="18" a="true"/>
  <c r="AE464" i="18" a="true"/>
  <c r="AF155" i="18" a="true"/>
  <c r="Q341" i="18" a="true"/>
  <c r="V172" i="18" a="true"/>
  <c r="W354" i="18" a="true"/>
  <c r="X89" i="18" a="true"/>
  <c r="V387" i="18" a="true"/>
  <c r="W348" i="18" a="true"/>
  <c r="V418" i="18" a="true"/>
  <c r="X275" i="18" a="true"/>
  <c r="Y364" i="18" a="true"/>
  <c r="Q495" i="18" a="true"/>
  <c r="AC506" i="18" a="true"/>
  <c r="AE254" i="18" a="true"/>
  <c r="AA217" i="18" a="true"/>
  <c r="AF114" i="18" a="true"/>
  <c r="AA291" i="18" a="true"/>
  <c r="O344" i="18" a="true"/>
  <c r="AD475" i="18" a="true"/>
  <c r="AA325" i="18" a="true"/>
  <c r="AD260" i="18" a="true"/>
  <c r="AE459" i="18" a="true"/>
  <c r="AE349" i="18" a="true"/>
  <c r="AF173" i="18" a="true"/>
  <c r="O155" i="18" a="true"/>
  <c r="AC58" i="18" a="true"/>
  <c r="P464" i="18" a="true"/>
  <c r="N300" i="18" a="true"/>
  <c r="AF497" i="18" a="true"/>
  <c r="N360" i="18" a="true"/>
  <c r="AE385" i="18" a="true"/>
  <c r="AB339" i="18" a="true"/>
  <c r="AC46" i="18" a="true"/>
  <c r="AC210" i="18" a="true"/>
  <c r="P150" i="18" a="true"/>
  <c r="AA208" i="18" a="true"/>
  <c r="AF376" i="18" a="true"/>
  <c r="AC373" i="18" a="true"/>
  <c r="N230" i="18" a="true"/>
  <c r="AF256" i="18" a="true"/>
  <c r="P119" i="18" a="true"/>
  <c r="AC302" i="18" a="true"/>
  <c r="N163" i="18" a="true"/>
  <c r="AA460" i="18" a="true"/>
  <c r="AF185" i="18" a="true"/>
  <c r="N95" i="18" a="true"/>
  <c r="AD196" i="18" a="true"/>
  <c r="P278" i="18" a="true"/>
  <c r="AB90" i="18" a="true"/>
  <c r="P488" i="18" a="true"/>
  <c r="AC167" i="18" a="true"/>
  <c r="AB241" i="18" a="true"/>
  <c r="AB19" i="18" a="true"/>
  <c r="AC25" i="18" a="true"/>
  <c r="AE98" i="18" a="true"/>
  <c r="P413" i="18" a="true"/>
  <c r="AB105" i="18" a="true"/>
  <c r="AC461" i="18" a="true"/>
  <c r="P179" i="18" a="true"/>
  <c r="AE64" i="18" a="true"/>
  <c r="AF207" i="18" a="true"/>
  <c r="AE17" i="18" a="true"/>
  <c r="AE327" i="18" a="true"/>
  <c r="AD337" i="18" a="true"/>
  <c r="AA91" i="18" a="true"/>
  <c r="N434" i="18" a="true"/>
  <c r="AC181" i="18" a="true"/>
  <c r="AD51" i="18" a="true"/>
  <c r="P506" i="18" a="true"/>
  <c r="O450" i="18" a="true"/>
  <c r="AF418" i="18" a="true"/>
  <c r="AC257" i="18" a="true"/>
  <c r="AD308" i="18" a="true"/>
  <c r="P111" i="18" a="true"/>
  <c r="P400" i="18" a="true"/>
  <c r="N56" i="18" a="true"/>
  <c r="P45" i="18" a="true"/>
  <c r="U290" i="18" a="true"/>
  <c r="S163" i="18" a="true"/>
  <c r="T82" i="18" a="true"/>
  <c r="T233" i="18" a="true"/>
  <c r="U232" i="18" a="true"/>
  <c r="R246" i="18" a="true"/>
  <c r="T183" i="18" a="true"/>
  <c r="J14" i="25" a="true"/>
  <c r="T327" i="18" a="true"/>
  <c r="X433" i="18" a="true"/>
  <c r="Q465" i="18" a="true"/>
  <c r="T283" i="18" a="true"/>
  <c r="Q472" i="18" a="true"/>
  <c r="P309" i="18" a="true"/>
  <c r="AD291" i="18" a="true"/>
  <c r="AC394" i="18" a="true"/>
  <c r="AE126" i="18" a="true"/>
  <c r="N260" i="18" a="true"/>
  <c r="AD342" i="18" a="true"/>
  <c r="P277" i="18" a="true"/>
  <c r="AE28" i="18" a="true"/>
  <c r="AF229" i="18" a="true"/>
  <c r="AF255" i="18" a="true"/>
  <c r="AE455" i="18" a="true"/>
  <c r="AA244" i="18" a="true"/>
  <c r="AD267" i="18" a="true"/>
  <c r="AE365" i="18" a="true"/>
  <c r="AD485" i="18" a="true"/>
  <c r="AE128" i="18" a="true"/>
  <c r="N105" i="18" a="true"/>
  <c r="AD227" i="18" a="true"/>
  <c r="AA367" i="18" a="true"/>
  <c r="O193" i="18" a="true"/>
  <c r="P153" i="18" a="true"/>
  <c r="AF80" i="18" a="true"/>
  <c r="AE411" i="18" a="true"/>
  <c r="AC21" i="18" a="true"/>
  <c r="P59" i="18" a="true"/>
  <c r="P252" i="18" a="true"/>
  <c r="O16" i="18" a="true"/>
  <c r="AE323" i="18" a="true"/>
  <c r="N221" i="18" a="true"/>
  <c r="AF108" i="18" a="true"/>
  <c r="AB40" i="18" a="true"/>
  <c r="AE270" i="18" a="true"/>
  <c r="P389" i="18" a="true"/>
  <c r="O146" i="18" a="true"/>
  <c r="AC399" i="18" a="true"/>
  <c r="N66" i="18" a="true"/>
  <c r="AB431" i="18" a="true"/>
  <c r="AD22" i="18" a="true"/>
  <c r="AE333" i="18" a="true"/>
  <c r="AC390" i="18" a="true"/>
  <c r="AB39" i="18" a="true"/>
  <c r="O35" i="18" a="true"/>
  <c r="AA110" i="18" a="true"/>
  <c r="AB384" i="18" a="true"/>
  <c r="AA201" i="18" a="true"/>
  <c r="N217" i="18" a="true"/>
  <c r="P49" i="18" a="true"/>
  <c r="W334" i="18" a="true"/>
  <c r="V249" i="18" a="true"/>
  <c r="V275" i="18" a="true"/>
  <c r="V401" i="18" a="true"/>
  <c r="U325" i="18" a="true"/>
  <c r="V23" i="18" a="true"/>
  <c r="W431" i="18" a="true"/>
  <c r="J393" i="25" a="true"/>
  <c r="R9" i="18" a="true"/>
  <c r="W386" i="18" a="true"/>
  <c r="R261" i="18" a="true"/>
  <c r="J95" i="25" a="true"/>
  <c r="Y462" i="18" a="true"/>
  <c r="S237" i="18" a="true"/>
  <c r="U61" i="18" a="true"/>
  <c r="T205" i="18" a="true"/>
  <c r="R167" i="18" a="true"/>
  <c r="I377" i="25" a="true"/>
  <c r="W222" i="18" a="true"/>
  <c r="Q115" i="18" a="true"/>
  <c r="J195" i="25" a="true"/>
  <c r="Q59" i="18" a="true"/>
  <c r="S211" i="18" a="true"/>
  <c r="R156" i="18" a="true"/>
  <c r="J477" i="25" a="true"/>
  <c r="Y289" i="18" a="true"/>
  <c r="I6" i="25" a="true"/>
  <c r="I95" i="25" a="true"/>
  <c r="J458" i="25" a="true"/>
  <c r="S387" i="18" a="true"/>
  <c r="I50" i="25" a="true"/>
  <c r="AC90" i="18" a="true"/>
  <c r="AD449" i="18" a="true"/>
  <c r="AE161" i="18" a="true"/>
  <c r="O381" i="18" a="true"/>
  <c r="AA173" i="18" a="true"/>
  <c r="P439" i="18" a="true"/>
  <c r="AF98" i="18" a="true"/>
  <c r="AB165" i="18" a="true"/>
  <c r="AF346" i="18" a="true"/>
  <c r="AA462" i="18" a="true"/>
  <c r="AB53" i="18" a="true"/>
  <c r="O246" i="18" a="true"/>
  <c r="AE487" i="18" a="true"/>
  <c r="AC491" i="18" a="true"/>
  <c r="N50" i="18" a="true"/>
  <c r="AB151" i="18" a="true"/>
  <c r="AE426" i="18" a="true"/>
  <c r="AF354" i="18" a="true"/>
  <c r="P113" i="18" a="true"/>
  <c r="AC148" i="18" a="true"/>
  <c r="AF202" i="18" a="true"/>
  <c r="O304" i="18" a="true"/>
  <c r="AF253" i="18" a="true"/>
  <c r="AF327" i="18" a="true"/>
  <c r="AC400" i="18" a="true"/>
  <c r="O247" i="18" a="true"/>
  <c r="AB176" i="18" a="true"/>
  <c r="AB240" i="18" a="true"/>
  <c r="AB163" i="18" a="true"/>
  <c r="AF215" i="18" a="true"/>
  <c r="AB404" i="18" a="true"/>
  <c r="AB231" i="18" a="true"/>
  <c r="AF471" i="18" a="true"/>
  <c r="AB325" i="18" a="true"/>
  <c r="AF254" i="18" a="true"/>
  <c r="AB62" i="18" a="true"/>
  <c r="N433" i="18" a="true"/>
  <c r="AB26" i="18" a="true"/>
  <c r="AF472" i="18" a="true"/>
  <c r="AD17" i="18" a="true"/>
  <c r="AD235" i="18" a="true"/>
  <c r="AF67" i="18" a="true"/>
  <c r="AD373" i="18" a="true"/>
  <c r="AE230" i="18" a="true"/>
  <c r="AE163" i="18" a="true"/>
  <c r="P453" i="18" a="true"/>
  <c r="AC106" i="18" a="true"/>
  <c r="AA150" i="18" a="true"/>
  <c r="AE204" i="18" a="true"/>
  <c r="AC395" i="18" a="true"/>
  <c r="AC24" i="18" a="true"/>
  <c r="N489" i="18" a="true"/>
  <c r="AE463" i="18" a="true"/>
  <c r="AB430" i="18" a="true"/>
  <c r="P241" i="18" a="true"/>
  <c r="AC451" i="18" a="true"/>
  <c r="AA273" i="18" a="true"/>
  <c r="O198" i="18" a="true"/>
  <c r="AF412" i="18" a="true"/>
  <c r="AC73" i="18" a="true"/>
  <c r="AF28" i="18" a="true"/>
  <c r="N160" i="18" a="true"/>
  <c r="AB433" i="18" a="true"/>
  <c r="AE72" i="18" a="true"/>
  <c r="AD197" i="18" a="true"/>
  <c r="N491" i="18" a="true"/>
  <c r="O83" i="18" a="true"/>
  <c r="AD261" i="18" a="true"/>
  <c r="AE208" i="18" a="true"/>
  <c r="AE367" i="18" a="true"/>
  <c r="AE285" i="18" a="true"/>
  <c r="AA238" i="18" a="true"/>
  <c r="AC244" i="18" a="true"/>
  <c r="AD262" i="18" a="true"/>
  <c r="AE462" i="18" a="true"/>
  <c r="AF276" i="18" a="true"/>
  <c r="AC189" i="18" a="true"/>
  <c r="AC233" i="18" a="true"/>
  <c r="AD314" i="18" a="true"/>
  <c r="N436" i="18" a="true"/>
  <c r="AC402" i="18" a="true"/>
  <c r="AE423" i="18" a="true"/>
  <c r="AD206" i="18" a="true"/>
  <c r="AA448" i="18" a="true"/>
  <c r="O361" i="18" a="true"/>
  <c r="AD34" i="18" a="true"/>
  <c r="AB228" i="18" a="true"/>
  <c r="AB284" i="18" a="true"/>
  <c r="AB153" i="18" a="true"/>
  <c r="V430" i="18" a="true"/>
  <c r="S27" i="18" a="true"/>
  <c r="T35" i="18" a="true"/>
  <c r="J247" i="25" a="true"/>
  <c r="AD409" i="18" a="true"/>
  <c r="AA290" i="18" a="true"/>
  <c r="AC310" i="18" a="true"/>
  <c r="N406" i="18" a="true"/>
  <c r="AE236" i="18" a="true"/>
  <c r="AD322" i="18" a="true"/>
  <c r="AD294" i="18" a="true"/>
  <c r="AC380" i="18" a="true"/>
  <c r="AE132" i="18" a="true"/>
  <c r="AC342" i="18" a="true"/>
  <c r="Q43" i="18" a="true"/>
  <c r="N487" i="18" a="true"/>
  <c r="P362" i="18" a="true"/>
  <c r="AF433" i="18" a="true"/>
  <c r="N438" i="18" a="true"/>
  <c r="AE306" i="18" a="true"/>
  <c r="AC472" i="18" a="true"/>
  <c r="AF419" i="18" a="true"/>
  <c r="N448" i="18" a="true"/>
  <c r="AF332" i="18" a="true"/>
  <c r="AF449" i="18" a="true"/>
  <c r="Y214" i="18" a="true"/>
  <c r="R199" i="18" a="true"/>
  <c r="R140" i="18" a="true"/>
  <c r="W410" i="18" a="true"/>
  <c r="Y399" i="18" a="true"/>
  <c r="S137" i="18" a="true"/>
  <c r="S382" i="18" a="true"/>
  <c r="T312" i="18" a="true"/>
  <c r="R388" i="18" a="true"/>
  <c r="W204" i="18" a="true"/>
  <c r="V35" i="18" a="true"/>
  <c r="I88" i="25" a="true"/>
  <c r="R185" i="18" a="true"/>
  <c r="U329" i="18" a="true"/>
  <c r="T278" i="18" a="true"/>
  <c r="I137" i="25" a="true"/>
  <c r="T57" i="18" a="true"/>
  <c r="R474" i="18" a="true"/>
  <c r="Y382" i="18" a="true"/>
  <c r="Q85" i="18" a="true"/>
  <c r="J312" i="25" a="true"/>
  <c r="U501" i="18" a="true"/>
  <c r="Q336" i="18" a="true"/>
  <c r="U312" i="18" a="true"/>
  <c r="T311" i="18" a="true"/>
  <c r="X496" i="18" a="true"/>
  <c r="Q158" i="18" a="true"/>
  <c r="J284" i="25" a="true"/>
  <c r="J63" i="25" a="true"/>
  <c r="I104" i="25" a="true"/>
  <c r="Y467" i="18" a="true"/>
  <c r="AB112" i="18" a="true"/>
  <c r="O126" i="18" a="true"/>
  <c r="O309" i="18" a="true"/>
  <c r="AF415" i="18" a="true"/>
  <c r="N152" i="18" a="true"/>
  <c r="AA142" i="18" a="true"/>
  <c r="AA160" i="18" a="true"/>
  <c r="AB60" i="18" a="true"/>
  <c r="AF489" i="18" a="true"/>
  <c r="AF79" i="18" a="true"/>
  <c r="AB495" i="18" a="true"/>
  <c r="AF64" i="18" a="true"/>
  <c r="AE266" i="18" a="true"/>
  <c r="AB78" i="18" a="true"/>
  <c r="N224" i="18" a="true"/>
  <c r="AE112" i="18" a="true"/>
  <c r="AB462" i="18" a="true"/>
  <c r="O142" i="18" a="true"/>
  <c r="AB293" i="18" a="true"/>
  <c r="N306" i="18" a="true"/>
  <c r="AB324" i="18" a="true"/>
  <c r="AA418" i="18" a="true"/>
  <c r="AB207" i="18" a="true"/>
  <c r="AB450" i="18" a="true"/>
  <c r="AE35" i="18" a="true"/>
  <c r="AA480" i="18" a="true"/>
  <c r="P82" i="18" a="true"/>
  <c r="AC278" i="18" a="true"/>
  <c r="AE145" i="18" a="true"/>
  <c r="AB418" i="18" a="true"/>
  <c r="AF78" i="18" a="true"/>
  <c r="AB225" i="18" a="true"/>
  <c r="O486" i="18" a="true"/>
  <c r="O493" i="18" a="true"/>
  <c r="AF244" i="18" a="true"/>
  <c r="N63" i="18" a="true"/>
  <c r="AA85" i="18" a="true"/>
  <c r="N21" i="18" a="true"/>
  <c r="AB490" i="18" a="true"/>
  <c r="P90" i="18" a="true"/>
  <c r="AA233" i="18" a="true"/>
  <c r="P334" i="18" a="true"/>
  <c r="AF57" i="18" a="true"/>
  <c r="AE445" i="18" a="true"/>
  <c r="AB504" i="18" a="true"/>
  <c r="AB46" i="18" a="true"/>
  <c r="AE26" i="18" a="true"/>
  <c r="O496" i="18" a="true"/>
  <c r="O272" i="18" a="true"/>
  <c r="P395" i="18" a="true"/>
  <c r="O276" i="18" a="true"/>
  <c r="AA300" i="18" a="true"/>
  <c r="AB87" i="18" a="true"/>
  <c r="AE153" i="18" a="true"/>
  <c r="O134" i="18" a="true"/>
  <c r="AB128" i="18" a="true"/>
  <c r="O474" i="18" a="true"/>
  <c r="AC464" i="18" a="true"/>
  <c r="N69" i="18" a="true"/>
  <c r="P398" i="18" a="true"/>
  <c r="AB267" i="18" a="true"/>
  <c r="O161" i="18" a="true"/>
  <c r="N216" i="18" a="true"/>
  <c r="AB111" i="18" a="true"/>
  <c r="AE505" i="18" a="true"/>
  <c r="P91" i="18" a="true"/>
  <c r="AF435" i="18" a="true"/>
  <c r="AB244" i="18" a="true"/>
  <c r="AF263" i="18" a="true"/>
  <c r="N338" i="18" a="true"/>
  <c r="AB479" i="18" a="true"/>
  <c r="O331" i="18" a="true"/>
  <c r="AD138" i="18" a="true"/>
  <c r="N497" i="18" a="true"/>
  <c r="AA12" i="18" a="true"/>
  <c r="N506" i="18" a="true"/>
  <c r="AC358" i="18" a="true"/>
  <c r="N122" i="18" a="true"/>
  <c r="N415" i="18" a="true"/>
  <c r="AE160" i="18" a="true"/>
  <c r="AF55" i="18" a="true"/>
  <c r="N262" i="18" a="true"/>
  <c r="AC250" i="18" a="true"/>
  <c r="O54" i="18" a="true"/>
  <c r="P187" i="18" a="true"/>
  <c r="AA169" i="18" a="true"/>
  <c r="O467" i="18" a="true"/>
  <c r="N26" i="18" a="true"/>
  <c r="AD208" i="18" a="true"/>
  <c r="AC67" i="18" a="true"/>
  <c r="S161" i="18" a="true"/>
  <c r="W44" i="18" a="true"/>
  <c r="Q110" i="18" a="true"/>
  <c r="T164" i="18" a="true"/>
  <c r="S119" i="18" a="true"/>
  <c r="T454" i="18" a="true"/>
  <c r="J213" i="25" a="true"/>
  <c r="W103" i="18" a="true"/>
  <c r="AE41" i="18" a="true"/>
  <c r="AF287" i="18" a="true"/>
  <c r="AE376" i="18" a="true"/>
  <c r="AA21" i="18" a="true"/>
  <c r="P378" i="18" a="true"/>
  <c r="AD88" i="18" a="true"/>
  <c r="AD347" i="18" a="true"/>
  <c r="P283" i="18" a="true"/>
  <c r="AE282" i="18" a="true"/>
  <c r="AD82" i="18" a="true"/>
  <c r="AC391" i="18" a="true"/>
  <c r="V248" i="18" a="true"/>
  <c r="S493" i="18" a="true"/>
  <c r="S356" i="18" a="true"/>
  <c r="T437" i="18" a="true"/>
  <c r="V451" i="18" a="true"/>
  <c r="Q486" i="18" a="true"/>
  <c r="R79" i="18" a="true"/>
  <c r="J228" i="25" a="true"/>
  <c r="Q461" i="18" a="true"/>
  <c r="R352" i="18" a="true"/>
  <c r="X481" i="18" a="true"/>
  <c r="J126" i="25" a="true"/>
  <c r="I384" i="25" a="true"/>
  <c r="R441" i="18" a="true"/>
  <c r="T136" i="18" a="true"/>
  <c r="V431" i="18" a="true"/>
  <c r="AB149" i="18" a="true"/>
  <c r="N96" i="18" a="true"/>
  <c r="P380" i="18" a="true"/>
  <c r="AA205" i="18" a="true"/>
  <c r="AD218" i="18" a="true"/>
  <c r="AD312" i="18" a="true"/>
  <c r="AA199" i="18" a="true"/>
  <c r="AA138" i="18" a="true"/>
  <c r="O455" i="18" a="true"/>
  <c r="AA66" i="18" a="true"/>
  <c r="AC14" i="18" a="true"/>
  <c r="O406" i="18" a="true"/>
  <c r="AB388" i="18" a="true"/>
  <c r="AB408" i="18" a="true"/>
  <c r="AF485" i="18" a="true"/>
  <c r="P279" i="18" a="true"/>
  <c r="AA24" i="18" a="true"/>
  <c r="AB76" i="18" a="true"/>
  <c r="AA119" i="18" a="true"/>
  <c r="AA283" i="18" a="true"/>
  <c r="N176" i="18" a="true"/>
  <c r="AE471" i="18" a="true"/>
  <c r="AB406" i="18" a="true"/>
  <c r="AA39" i="18" a="true"/>
  <c r="AD354" i="18" a="true"/>
  <c r="AB133" i="18" a="true"/>
  <c r="O389" i="18" a="true"/>
  <c r="AA432" i="18" a="true"/>
  <c r="N473" i="18" a="true"/>
  <c r="P151" i="18" a="true"/>
  <c r="AF235" i="18" a="true"/>
  <c r="O27" i="18" a="true"/>
  <c r="AB487" i="18" a="true"/>
  <c r="AE81" i="18" a="true"/>
  <c r="N418" i="18" a="true"/>
  <c r="P405" i="18" a="true"/>
  <c r="AE372" i="18" a="true"/>
  <c r="O388" i="18" a="true"/>
  <c r="AC149" i="18" a="true"/>
  <c r="AC365" i="18" a="true"/>
  <c r="P377" i="18" a="true"/>
  <c r="AB97" i="18" a="true"/>
  <c r="P202" i="18" a="true"/>
  <c r="AA374" i="18" a="true"/>
  <c r="O320" i="18" a="true"/>
  <c r="AC475" i="18" a="true"/>
  <c r="N11" i="18" a="true"/>
  <c r="AA306" i="18" a="true"/>
  <c r="W161" i="18" a="true"/>
  <c r="U397" i="18" a="true"/>
  <c r="Q116" i="18" a="true"/>
  <c r="V389" i="18" a="true"/>
  <c r="T97" i="18" a="true"/>
  <c r="U393" i="18" a="true"/>
  <c r="T166" i="18" a="true"/>
  <c r="S468" i="18" a="true"/>
  <c r="W359" i="18" a="true"/>
  <c r="Q51" i="18" a="true"/>
  <c r="W421" i="18" a="true"/>
  <c r="I216" i="25" a="true"/>
  <c r="T428" i="18" a="true"/>
  <c r="S38" i="18" a="true"/>
  <c r="X120" i="18" a="true"/>
  <c r="Y319" i="18" a="true"/>
  <c r="S79" i="18" a="true"/>
  <c r="V135" i="18" a="true"/>
  <c r="J104" i="25" a="true"/>
  <c r="R469" i="18" a="true"/>
  <c r="J57" i="25" a="true"/>
  <c r="R423" i="18" a="true"/>
  <c r="S77" i="18" a="true"/>
  <c r="J459" i="25" a="true"/>
  <c r="X109" i="18" a="true"/>
  <c r="I51" i="25" a="true"/>
  <c r="X228" i="18" a="true"/>
  <c r="Q452" i="18" a="true"/>
  <c r="V300" i="18" a="true"/>
  <c r="T425" i="18" a="true"/>
  <c r="V226" i="18" a="true"/>
  <c r="AC434" i="18" a="true"/>
  <c r="AD318" i="18" a="true"/>
  <c r="AE419" i="18" a="true"/>
  <c r="P359" i="18" a="true"/>
  <c r="AC364" i="18" a="true"/>
  <c r="AD156" i="18" a="true"/>
  <c r="P38" i="18" a="true"/>
  <c r="AB436" i="18" a="true"/>
  <c r="AB315" i="18" a="true"/>
  <c r="AD396" i="18" a="true"/>
  <c r="AD419" i="18" a="true"/>
  <c r="AC289" i="18" a="true"/>
  <c r="N40" i="18" a="true"/>
  <c r="P419" i="18" a="true"/>
  <c r="AB265" i="18" a="true"/>
  <c r="O354" i="18" a="true"/>
  <c r="N455" i="18" a="true"/>
  <c r="AF334" i="18" a="true"/>
  <c r="AC352" i="18" a="true"/>
  <c r="AA206" i="18" a="true"/>
  <c r="O444" i="18" a="true"/>
  <c r="AE481" i="18" a="true"/>
  <c r="O206" i="18" a="true"/>
  <c r="AE218" i="18" a="true"/>
  <c r="AA148" i="18" a="true"/>
  <c r="AA373" i="18" a="true"/>
  <c r="N60" i="18" a="true"/>
  <c r="O121" i="18" a="true"/>
  <c r="AA275" i="18" a="true"/>
  <c r="AB486" i="18" a="true"/>
  <c r="AA425" i="18" a="true"/>
  <c r="AC49" i="18" a="true"/>
  <c r="AF218" i="18" a="true"/>
  <c r="AD316" i="18" a="true"/>
  <c r="AD408" i="18" a="true"/>
  <c r="AA195" i="18" a="true"/>
  <c r="O143" i="18" a="true"/>
  <c r="AE429" i="18" a="true"/>
  <c r="AF224" i="18" a="true"/>
  <c r="AD343" i="18" a="true"/>
  <c r="O341" i="18" a="true"/>
  <c r="AF410" i="18" a="true"/>
  <c r="AD350" i="18" a="true"/>
  <c r="N223" i="18" a="true"/>
  <c r="AB493" i="18" a="true"/>
  <c r="AF139" i="18" a="true"/>
  <c r="P223" i="18" a="true"/>
  <c r="AB98" i="18" a="true"/>
  <c r="AC355" i="18" a="true"/>
  <c r="AA411" i="18" a="true"/>
  <c r="AB154" i="18" a="true"/>
  <c r="AE234" i="18" a="true"/>
  <c r="N81" i="18" a="true"/>
  <c r="AC133" i="18" a="true"/>
  <c r="AD85" i="18" a="true"/>
  <c r="O120" i="18" a="true"/>
  <c r="AE221" i="18" a="true"/>
  <c r="AE358" i="18" a="true"/>
  <c r="O8" i="18" a="true"/>
  <c r="AD229" i="18" a="true"/>
  <c r="AB381" i="18" a="true"/>
  <c r="AD121" i="18" a="true"/>
  <c r="AC489" i="18" a="true"/>
  <c r="O405" i="18" a="true"/>
  <c r="P123" i="18" a="true"/>
  <c r="N502" i="18" a="true"/>
  <c r="P451" i="18" a="true"/>
  <c r="AB349" i="18" a="true"/>
  <c r="AF62" i="18" a="true"/>
  <c r="AF391" i="18" a="true"/>
  <c r="AB327" i="18" a="true"/>
  <c r="AC129" i="18" a="true"/>
  <c r="AC151" i="18" a="true"/>
  <c r="O90" i="18" a="true"/>
  <c r="O338" i="18" a="true"/>
  <c r="AE444" i="18" a="true"/>
  <c r="O300" i="18" a="true"/>
  <c r="AA377" i="18" a="true"/>
  <c r="AD269" i="18" a="true"/>
  <c r="O211" i="18" a="true"/>
  <c r="AC39" i="18" a="true"/>
  <c r="AF364" i="18" a="true"/>
  <c r="AB335" i="18" a="true"/>
  <c r="P167" i="18" a="true"/>
  <c r="N78" i="18" a="true"/>
  <c r="O400" i="18" a="true"/>
  <c r="AB122" i="18" a="true"/>
  <c r="N200" i="18" a="true"/>
  <c r="Y181" i="18" a="true"/>
  <c r="U379" i="18" a="true"/>
  <c r="R124" i="18" a="true"/>
  <c r="I217" i="25" a="true"/>
  <c r="R59" i="18" a="true"/>
  <c r="W234" i="18" a="true"/>
  <c r="Q367" i="18" a="true"/>
  <c r="Y347" i="18" a="true"/>
  <c r="I309" i="25" a="true"/>
  <c r="AC98" i="18" a="true"/>
  <c r="AE497" i="18" a="true"/>
  <c r="T398" i="18" a="true"/>
  <c r="AD141" i="18" a="true"/>
  <c r="T482" i="18" a="true"/>
  <c r="S351" i="18" a="true"/>
  <c r="V236" i="18" a="true"/>
  <c r="S30" i="18" a="true"/>
  <c r="R336" i="18" a="true"/>
  <c r="I371" i="25" a="true"/>
  <c r="V329" i="18" a="true"/>
  <c r="W310" i="18" a="true"/>
  <c r="Y282" i="18" a="true"/>
  <c r="Q317" i="18" a="true"/>
  <c r="X311" i="18" a="true"/>
  <c r="Q283" i="18" a="true"/>
  <c r="V239" i="18" a="true"/>
  <c r="X505" i="18" a="true"/>
  <c r="V398" i="18" a="true"/>
  <c r="R201" i="18" a="true"/>
  <c r="W269" i="18" a="true"/>
  <c r="T152" i="18" a="true"/>
  <c r="U479" i="18" a="true"/>
  <c r="U442" i="18" a="true"/>
  <c r="R251" i="18" a="true"/>
  <c r="Y339" i="18" a="true"/>
  <c r="V122" i="18" a="true"/>
  <c r="Q215" i="18" a="true"/>
  <c r="V205" i="18" a="true"/>
  <c r="W9" i="18" a="true"/>
  <c r="S116" i="18" a="true"/>
  <c r="I191" i="25" a="true"/>
  <c r="Y220" i="18" a="true"/>
  <c r="W364" i="18" a="true"/>
  <c r="Q274" i="18" a="true"/>
  <c r="AD392" i="18" a="true"/>
  <c r="AB109" i="18" a="true"/>
  <c r="P495" i="18" a="true"/>
  <c r="AA245" i="18" a="true"/>
  <c r="O148" i="18" a="true"/>
  <c r="AE275" i="18" a="true"/>
  <c r="N313" i="18" a="true"/>
  <c r="AE30" i="18" a="true"/>
  <c r="AA422" i="18" a="true"/>
  <c r="AB475" i="18" a="true"/>
  <c r="AF470" i="18" a="true"/>
  <c r="P97" i="18" a="true"/>
  <c r="AF69" i="18" a="true"/>
  <c r="O49" i="18" a="true"/>
  <c r="O171" i="18" a="true"/>
  <c r="N425" i="18" a="true"/>
  <c r="P156" i="18" a="true"/>
  <c r="AD492" i="18" a="true"/>
  <c r="AA130" i="18" a="true"/>
  <c r="O302" i="18" a="true"/>
  <c r="O333" i="18" a="true"/>
  <c r="N492" i="18" a="true"/>
  <c r="O57" i="18" a="true"/>
  <c r="AE88" i="18" a="true"/>
  <c r="AF440" i="18" a="true"/>
  <c r="O296" i="18" a="true"/>
  <c r="AC335" i="18" a="true"/>
  <c r="O159" i="18" a="true"/>
  <c r="AA185" i="18" a="true"/>
  <c r="P432" i="18" a="true"/>
  <c r="O342" i="18" a="true"/>
  <c r="P455" i="18" a="true"/>
  <c r="O285" i="18" a="true"/>
  <c r="AB220" i="18" a="true"/>
  <c r="P139" i="18" a="true"/>
  <c r="AB446" i="18" a="true"/>
  <c r="AC293" i="18" a="true"/>
  <c r="AE292" i="18" a="true"/>
  <c r="AB67" i="18" a="true"/>
  <c r="N187" i="18" a="true"/>
  <c r="AD473" i="18" a="true"/>
  <c r="AA126" i="18" a="true"/>
  <c r="AE271" i="18" a="true"/>
  <c r="AC186" i="18" a="true"/>
  <c r="P130" i="18" a="true"/>
  <c r="AB354" i="18" a="true"/>
  <c r="O393" i="18" a="true"/>
  <c r="AB227" i="18" a="true"/>
  <c r="AF217" i="18" a="true"/>
  <c r="O214" i="18" a="true"/>
  <c r="AE311" i="18" a="true"/>
  <c r="AE397" i="18" a="true"/>
  <c r="AF30" i="18" a="true"/>
  <c r="AB473" i="18" a="true"/>
  <c r="AD150" i="18" a="true"/>
  <c r="AA314" i="18" a="true"/>
  <c r="AE194" i="18" a="true"/>
  <c r="N459" i="18" a="true"/>
  <c r="AA242" i="18" a="true"/>
  <c r="AC61" i="18" a="true"/>
  <c r="AF281" i="18" a="true"/>
  <c r="O93" i="18" a="true"/>
  <c r="AF140" i="18" a="true"/>
  <c r="AA55" i="18" a="true"/>
  <c r="AF243" i="18" a="true"/>
  <c r="AD198" i="18" a="true"/>
  <c r="N358" i="18" a="true"/>
  <c r="AE260" i="18" a="true"/>
  <c r="AA346" i="18" a="true"/>
  <c r="AA43" i="18" a="true"/>
  <c r="P459" i="18" a="true"/>
  <c r="O386" i="18" a="true"/>
  <c r="AC433" i="18" a="true"/>
  <c r="N20" i="18" a="true"/>
  <c r="AD375" i="18" a="true"/>
  <c r="AE166" i="18" a="true"/>
  <c r="AB373" i="18" a="true"/>
  <c r="AE45" i="18" a="true"/>
  <c r="AA351" i="18" a="true"/>
  <c r="AB483" i="18" a="true"/>
  <c r="P434" i="18" a="true"/>
  <c r="N88" i="18" a="true"/>
  <c r="N34" i="18" a="true"/>
  <c r="AC66" i="18" a="true"/>
  <c r="O250" i="18" a="true"/>
  <c r="N190" i="18" a="true"/>
  <c r="O252" i="18" a="true"/>
  <c r="AE371" i="18" a="true"/>
  <c r="AA313" i="18" a="true"/>
  <c r="P492" i="18" a="true"/>
  <c r="AC65" i="18" a="true"/>
  <c r="AE416" i="18" a="true"/>
  <c r="AC389" i="18" a="true"/>
  <c r="O500" i="18" a="true"/>
  <c r="AE189" i="18" a="true"/>
  <c r="P244" i="18" a="true"/>
  <c r="N472" i="18" a="true"/>
  <c r="AE456" i="18" a="true"/>
  <c r="AD434" i="18" a="true"/>
  <c r="O340" i="18" a="true"/>
  <c r="AA23" i="18" a="true"/>
  <c r="AD203" i="18" a="true"/>
  <c r="O370" i="18" a="true"/>
  <c r="AC242" i="18" a="true"/>
  <c r="AF459" i="18" a="true"/>
  <c r="AC488" i="18" a="true"/>
  <c r="AC134" i="18" a="true"/>
  <c r="AA438" i="18" a="true"/>
  <c r="N198" i="18" a="true"/>
  <c r="AB138" i="18" a="true"/>
  <c r="AE169" i="18" a="true"/>
  <c r="AC443" i="18" a="true"/>
  <c r="AA182" i="18" a="true"/>
  <c r="AD256" i="18" a="true"/>
  <c r="AA121" i="18" a="true"/>
  <c r="AF119" i="18" a="true"/>
  <c r="AF266" i="18" a="true"/>
  <c r="AD398" i="18" a="true"/>
  <c r="AC126" i="18" a="true"/>
  <c r="AC171" i="18" a="true"/>
  <c r="AA414" i="18" a="true"/>
  <c r="P472" i="18" a="true"/>
  <c r="AA165" i="18" a="true"/>
  <c r="N335" i="18" a="true"/>
  <c r="AE409" i="18" a="true"/>
  <c r="N281" i="18" a="true"/>
  <c r="AD270" i="18" a="true"/>
  <c r="P331" i="18" a="true"/>
  <c r="O195" i="18" a="true"/>
  <c r="AF387" i="18" a="true"/>
  <c r="AF147" i="18" a="true"/>
  <c r="P207" i="18" a="true"/>
  <c r="AF455" i="18" a="true"/>
  <c r="P148" i="18" a="true"/>
  <c r="AB497" i="18" a="true"/>
  <c r="AA122" i="18" a="true"/>
  <c r="T239" i="18" a="true"/>
  <c r="Y403" i="18" a="true"/>
  <c r="J281" i="25" a="true"/>
  <c r="T269" i="18" a="true"/>
  <c r="I22" i="25" a="true"/>
  <c r="X462" i="18" a="true"/>
  <c r="J43" i="25" a="true"/>
  <c r="S183" i="18" a="true"/>
  <c r="I235" i="25" a="true"/>
  <c r="J125" i="25" a="true"/>
  <c r="J470" i="25" a="true"/>
  <c r="R386" i="18" a="true"/>
  <c r="W22" i="18" a="true"/>
  <c r="V224" i="18" a="true"/>
  <c r="AD287" i="18" a="true"/>
  <c r="N261" i="18" a="true"/>
  <c r="AC379" i="18" a="true"/>
  <c r="N408" i="18" a="true"/>
  <c r="AE406" i="18" a="true"/>
  <c r="AF11" i="18" a="true"/>
  <c r="AA446" i="18" a="true"/>
  <c r="AE383" i="18" a="true"/>
  <c r="AB243" i="18" a="true"/>
  <c r="AA323" i="18" a="true"/>
  <c r="AD214" i="18" a="true"/>
  <c r="AD476" i="18" a="true"/>
  <c r="P110" i="18" a="true"/>
  <c r="O34" i="18" a="true"/>
  <c r="AC247" i="18" a="true"/>
  <c r="AE342" i="18" a="true"/>
  <c r="AE441" i="18" a="true"/>
  <c r="P487" i="18" a="true"/>
  <c r="N386" i="18" a="true"/>
  <c r="AA247" i="18" a="true"/>
  <c r="AA103" i="18" a="true"/>
  <c r="AD158" i="18" a="true"/>
  <c r="AD405" i="18" a="true"/>
  <c r="AA15" i="18" a="true"/>
  <c r="P414" i="18" a="true"/>
  <c r="AA298" i="18" a="true"/>
  <c r="N420" i="18" a="true"/>
  <c r="AF275" i="18" a="true"/>
  <c r="P486" i="18" a="true"/>
  <c r="AD177" i="18" a="true"/>
  <c r="AA48" i="18" a="true"/>
  <c r="P354" i="18" a="true"/>
  <c r="O260" i="18" a="true"/>
  <c r="O403" i="18" a="true"/>
  <c r="AA393" i="18" a="true"/>
  <c r="N178" i="18" a="true"/>
  <c r="O265" i="18" a="true"/>
  <c r="O237" i="18" a="true"/>
  <c r="O278" i="18" a="true"/>
  <c r="AB8" i="18" a="true"/>
  <c r="P483" i="18" a="true"/>
  <c r="P230" i="18" a="true"/>
  <c r="AB262" i="18" a="true"/>
  <c r="N138" i="18" a="true"/>
  <c r="AC470" i="18" a="true"/>
  <c r="N397" i="18" a="true"/>
  <c r="AC168" i="18" a="true"/>
  <c r="N57" i="18" a="true"/>
  <c r="N284" i="18" a="true"/>
  <c r="O441" i="18" a="true"/>
  <c r="AB134" i="18" a="true"/>
  <c r="AE268" i="18" a="true"/>
  <c r="AC459" i="18" a="true"/>
  <c r="AE310" i="18" a="true"/>
  <c r="AA483" i="18" a="true"/>
  <c r="AA188" i="18" a="true"/>
  <c r="AD362" i="18" a="true"/>
  <c r="P358" i="18" a="true"/>
  <c r="AA450" i="18" a="true"/>
  <c r="O234" i="18" a="true"/>
  <c r="AF104" i="18" a="true"/>
  <c r="AF474" i="18" a="true"/>
  <c r="P351" i="18" a="true"/>
  <c r="O15" i="18" a="true"/>
  <c r="AE164" i="18" a="true"/>
  <c r="AD145" i="18" a="true"/>
  <c r="AF414" i="18" a="true"/>
  <c r="P36" i="18" a="true"/>
  <c r="AF194" i="18" a="true"/>
  <c r="AD491" i="18" a="true"/>
  <c r="AD300" i="18" a="true"/>
  <c r="AA129" i="18" a="true"/>
  <c r="P347" i="18" a="true"/>
  <c r="AB191" i="18" a="true"/>
  <c r="AA109" i="18" a="true"/>
  <c r="AA376" i="18" a="true"/>
  <c r="AD402" i="18" a="true"/>
  <c r="AC298" i="18" a="true"/>
  <c r="AF248" i="18" a="true"/>
  <c r="AF72" i="18" a="true"/>
  <c r="AD152" i="18" a="true"/>
  <c r="AD364" i="18" a="true"/>
  <c r="AC405" i="18" a="true"/>
  <c r="O56" i="18" a="true"/>
  <c r="AF401" i="18" a="true"/>
  <c r="AE352" i="18" a="true"/>
  <c r="O383" i="18" a="true"/>
  <c r="O328" i="18" a="true"/>
  <c r="AC338" i="18" a="true"/>
  <c r="AF389" i="18" a="true"/>
  <c r="O225" i="18" a="true"/>
  <c r="O257" i="18" a="true"/>
  <c r="AF381" i="18" a="true"/>
  <c r="AC44" i="18" a="true"/>
  <c r="N271" i="18" a="true"/>
  <c r="N7" i="18" a="true"/>
  <c r="AA495" i="18" a="true"/>
  <c r="AF66" i="18" a="true"/>
  <c r="O36" i="18" a="true"/>
  <c r="AE313" i="18" a="true"/>
  <c r="AD289" i="18" a="true"/>
  <c r="AD168" i="18" a="true"/>
  <c r="P458" i="18" a="true"/>
  <c r="AF124" i="18" a="true"/>
  <c r="AC356" i="18" a="true"/>
  <c r="P67" i="18" a="true"/>
  <c r="AB334" i="18" a="true"/>
  <c r="AF481" i="18" a="true"/>
  <c r="AC227" i="18" a="true"/>
  <c r="AC9" i="18" a="true"/>
  <c r="AA255" i="18" a="true"/>
  <c r="AA124" i="18" a="true"/>
  <c r="AE29" i="18" a="true"/>
  <c r="AB306" i="18" a="true"/>
  <c r="AF406" i="18" a="true"/>
  <c r="O81" i="18" a="true"/>
  <c r="AF181" i="18" a="true"/>
  <c r="AC336" i="18" a="true"/>
  <c r="P386" i="18" a="true"/>
  <c r="AB340" i="18" a="true"/>
  <c r="AA436" i="18" a="true"/>
  <c r="AD272" i="18" a="true"/>
  <c r="T352" i="18" a="true"/>
  <c r="Q241" i="18" a="true"/>
  <c r="U162" i="18" a="true"/>
  <c r="R472" i="18" a="true"/>
  <c r="Y293" i="18" a="true"/>
  <c r="I233" i="25" a="true"/>
  <c r="Y404" i="18" a="true"/>
  <c r="U385" i="18" a="true"/>
  <c r="V121" i="18" a="true"/>
  <c r="S303" i="18" a="true"/>
  <c r="S60" i="18" a="true"/>
  <c r="T329" i="18" a="true"/>
  <c r="Q177" i="18" a="true"/>
  <c r="Q371" i="18" a="true"/>
  <c r="J466" i="25" a="true"/>
  <c r="X58" i="18" a="true"/>
  <c r="Y316" i="18" a="true"/>
  <c r="J145" i="25" a="true"/>
  <c r="Q345" i="18" a="true"/>
  <c r="Y427" i="18" a="true"/>
  <c r="S311" i="18" a="true"/>
  <c r="S33" i="18" a="true"/>
  <c r="S456" i="18" a="true"/>
  <c r="U46" i="18" a="true"/>
  <c r="T426" i="18" a="true"/>
  <c r="Q236" i="18" a="true"/>
  <c r="T296" i="18" a="true"/>
  <c r="I273" i="25" a="true"/>
  <c r="U7" i="18" a="true"/>
  <c r="R23" i="18" a="true"/>
  <c r="X445" i="18" a="true"/>
  <c r="AE79" i="18" a="true"/>
  <c r="AE134" i="18" a="true"/>
  <c r="AD355" i="18" a="true"/>
  <c r="AE209" i="18" a="true"/>
  <c r="P428" i="18" a="true"/>
  <c r="AB7" i="18" a="true"/>
  <c r="O60" i="18" a="true"/>
  <c r="AC381" i="18" a="true"/>
  <c r="N422" i="18" a="true"/>
  <c r="O443" i="18" a="true"/>
  <c r="AA484" i="18" a="true"/>
  <c r="O112" i="18" a="true"/>
  <c r="N363" i="18" a="true"/>
  <c r="AD94" i="18" a="true"/>
  <c r="AA151" i="18" a="true"/>
  <c r="AA456" i="18" a="true"/>
  <c r="AF490" i="18" a="true"/>
  <c r="AB411" i="18" a="true"/>
  <c r="AD45" i="18" a="true"/>
  <c r="AE288" i="18" a="true"/>
  <c r="AD368" i="18" a="true"/>
  <c r="AF192" i="18" a="true"/>
  <c r="AE102" i="18" a="true"/>
  <c r="AE381" i="18" a="true"/>
  <c r="AA355" i="18" a="true"/>
  <c r="AA326" i="18" a="true"/>
  <c r="AC446" i="18" a="true"/>
  <c r="AB56" i="18" a="true"/>
  <c r="AA340" i="18" a="true"/>
  <c r="O61" i="18" a="true"/>
  <c r="AA20" i="18" a="true"/>
  <c r="P70" i="18" a="true"/>
  <c r="AF37" i="18" a="true"/>
  <c r="AD480" i="18" a="true"/>
  <c r="O476" i="18" a="true"/>
  <c r="P12" i="18" a="true"/>
  <c r="AC232" i="18" a="true"/>
  <c r="O244" i="18" a="true"/>
  <c r="N136" i="18" a="true"/>
  <c r="AA401" i="18" a="true"/>
  <c r="AD282" i="18" a="true"/>
  <c r="AC378" i="18" a="true"/>
  <c r="X465" i="18" a="true"/>
  <c r="S198" i="18" a="true"/>
  <c r="Y327" i="18" a="true"/>
  <c r="I380" i="25" a="true"/>
  <c r="V64" i="18" a="true"/>
  <c r="R90" i="18" a="true"/>
  <c r="R486" i="18" a="true"/>
  <c r="J384" i="25" a="true"/>
  <c r="Y9" i="18" a="true"/>
  <c r="I192" i="25" a="true"/>
  <c r="W52" i="18" a="true"/>
  <c r="X413" i="18" a="true"/>
  <c r="Q285" i="18" a="true"/>
  <c r="U271" i="18" a="true"/>
  <c r="I310" i="25" a="true"/>
  <c r="Y65" i="18" a="true"/>
  <c r="V181" i="18" a="true"/>
  <c r="AF171" i="18" a="true"/>
  <c r="AB370" i="18" a="true"/>
  <c r="AD254" i="18" a="true"/>
  <c r="AA215" i="18" a="true"/>
  <c r="P240" i="18" a="true"/>
  <c r="P381" i="18" a="true"/>
  <c r="Y90" i="18" a="true"/>
  <c r="S431" i="18" a="true"/>
  <c r="I319" i="25" a="true"/>
  <c r="Y144" i="18" a="true"/>
  <c r="R444" i="18" a="true"/>
  <c r="R149" i="18" a="true"/>
  <c r="J245" i="25" a="true"/>
  <c r="U138" i="18" a="true"/>
  <c r="Y363" i="18" a="true"/>
  <c r="I247" i="25" a="true"/>
  <c r="T64" i="18" a="true"/>
  <c r="Q396" i="18" a="true"/>
  <c r="W128" i="18" a="true"/>
  <c r="Y276" i="18" a="true"/>
  <c r="J413" i="25" a="true"/>
  <c r="J254" i="25" a="true"/>
  <c r="I62" i="25" a="true"/>
  <c r="U390" i="18" a="true"/>
  <c r="V416" i="18" a="true"/>
  <c r="U101" i="18" a="true"/>
  <c r="V15" i="18" a="true"/>
  <c r="I432" i="25" a="true"/>
  <c r="Q131" i="18" a="true"/>
  <c r="S454" i="18" a="true"/>
  <c r="V115" i="18" a="true"/>
  <c r="W370" i="18" a="true"/>
  <c r="W111" i="18" a="true"/>
  <c r="J215" i="25" a="true"/>
  <c r="I299" i="25" a="true"/>
  <c r="S430" i="18" a="true"/>
  <c r="I459" i="25" a="true"/>
  <c r="AB275" i="18" a="true"/>
  <c r="AF396" i="18" a="true"/>
  <c r="AE501" i="18" a="true"/>
  <c r="AE162" i="18" a="true"/>
  <c r="AA166" i="18" a="true"/>
  <c r="P361" i="18" a="true"/>
  <c r="AD175" i="18" a="true"/>
  <c r="N15" i="18" a="true"/>
  <c r="AD193" i="18" a="true"/>
  <c r="AE472" i="18" a="true"/>
  <c r="AE137" i="18" a="true"/>
  <c r="AE304" i="18" a="true"/>
  <c r="AA455" i="18" a="true"/>
  <c r="AF288" i="18" a="true"/>
  <c r="AC401" i="18" a="true"/>
  <c r="AF438" i="18" a="true"/>
  <c r="AB9" i="18" a="true"/>
  <c r="N180" i="18" a="true"/>
  <c r="AA497" i="18" a="true"/>
  <c r="AB500" i="18" a="true"/>
  <c r="AE89" i="18" a="true"/>
  <c r="P441" i="18" a="true"/>
  <c r="N337" i="18" a="true"/>
  <c r="AB272" i="18" a="true"/>
  <c r="AA350" i="18" a="true"/>
  <c r="N427" i="18" a="true"/>
  <c r="AD14" i="18" a="true"/>
  <c r="AE353" i="18" a="true"/>
  <c r="P16" i="18" a="true"/>
  <c r="AA477" i="18" a="true"/>
  <c r="N135" i="18" a="true"/>
  <c r="AE418" i="18" a="true"/>
  <c r="AD281" i="18" a="true"/>
  <c r="P206" i="18" a="true"/>
  <c r="AB501" i="18" a="true"/>
  <c r="AD113" i="18" a="true"/>
  <c r="AE468" i="18" a="true"/>
  <c r="AA386" i="18" a="true"/>
  <c r="P314" i="18" a="true"/>
  <c r="AA65" i="18" a="true"/>
  <c r="O480" i="18" a="true"/>
  <c r="AE65" i="18" a="true"/>
  <c r="N282" i="18" a="true"/>
  <c r="N129" i="18" a="true"/>
  <c r="N141" i="18" a="true"/>
  <c r="AF53" i="18" a="true"/>
  <c r="AF362" i="18" a="true"/>
  <c r="O422" i="18" a="true"/>
  <c r="N131" i="18" a="true"/>
  <c r="AC96" i="18" a="true"/>
  <c r="AA342" i="18" a="true"/>
  <c r="N248" i="18" a="true"/>
  <c r="N329" i="18" a="true"/>
  <c r="AD447" i="18" a="true"/>
  <c r="AF388" i="18" a="true"/>
  <c r="P391" i="18" a="true"/>
  <c r="S378" i="18" a="true"/>
  <c r="T290" i="18" a="true"/>
  <c r="J355" i="25" a="true"/>
  <c r="Q259" i="18" a="true"/>
  <c r="Q456" i="18" a="true"/>
  <c r="U75" i="18" a="true"/>
  <c r="I334" i="25" a="true"/>
  <c r="X270" i="18" a="true"/>
  <c r="R353" i="18" a="true"/>
  <c r="W497" i="18" a="true"/>
  <c r="X79" i="18" a="true"/>
  <c r="W171" i="18" a="true"/>
  <c r="V37" i="18" a="true"/>
  <c r="X304" i="18" a="true"/>
  <c r="I159" i="25" a="true"/>
  <c r="Y329" i="18" a="true"/>
  <c r="J89" i="25" a="true"/>
  <c r="U164" i="18" a="true"/>
  <c r="W442" i="18" a="true"/>
  <c r="Q165" i="18" a="true"/>
  <c r="S307" i="18" a="true"/>
  <c r="J327" i="25" a="true"/>
  <c r="T181" i="18" a="true"/>
  <c r="I389" i="25" a="true"/>
  <c r="R32" i="18" a="true"/>
  <c r="U412" i="18" a="true"/>
  <c r="J45" i="25" a="true"/>
  <c r="W298" i="18" a="true"/>
  <c r="J310" i="25" a="true"/>
  <c r="V142" i="18" a="true"/>
  <c r="J221" i="25" a="true"/>
  <c r="AC110" i="18" a="true"/>
  <c r="AF314" i="18" a="true"/>
  <c r="AD285" i="18" a="true"/>
  <c r="AB299" i="18" a="true"/>
  <c r="AA63" i="18" a="true"/>
  <c r="N411" i="18" a="true"/>
  <c r="AE263" i="18" a="true"/>
  <c r="AF452" i="18" a="true"/>
  <c r="AD418" i="18" a="true"/>
  <c r="O327" i="18" a="true"/>
  <c r="P325" i="18" a="true"/>
  <c r="AE259" i="18" a="true"/>
  <c r="P367" i="18" a="true"/>
  <c r="AA466" i="18" a="true"/>
  <c r="P442" i="18" a="true"/>
  <c r="AA216" i="18" a="true"/>
  <c r="AE196" i="18" a="true"/>
  <c r="N201" i="18" a="true"/>
  <c r="AF339" i="18" a="true"/>
  <c r="AC159" i="18" a="true"/>
  <c r="P8" i="18" a="true"/>
  <c r="O229" i="18" a="true"/>
  <c r="AE42" i="18" a="true"/>
  <c r="AC266" i="18" a="true"/>
  <c r="O321" i="18" a="true"/>
  <c r="AF13" i="18" a="true"/>
  <c r="AA388" i="18" a="true"/>
  <c r="AD122" i="18" a="true"/>
  <c r="AB432" i="18" a="true"/>
  <c r="O38" i="18" a="true"/>
  <c r="AD139" i="18" a="true"/>
  <c r="N204" i="18" a="true"/>
  <c r="AF59" i="18" a="true"/>
  <c r="O377" i="18" a="true"/>
  <c r="AA26" i="18" a="true"/>
  <c r="AF247" i="18" a="true"/>
  <c r="N236" i="18" a="true"/>
  <c r="AC165" i="18" a="true"/>
  <c r="P346" i="18" a="true"/>
  <c r="AC69" i="18" a="true"/>
  <c r="AB419" i="18" a="true"/>
  <c r="AB386" i="18" a="true"/>
  <c r="AE61" i="18" a="true"/>
  <c r="AD382" i="18" a="true"/>
  <c r="AB314" i="18" a="true"/>
  <c r="AB313" i="18" a="true"/>
  <c r="S50" i="18" a="true"/>
  <c r="U206" i="18" a="true"/>
  <c r="Y288" i="18" a="true"/>
  <c r="Y163" i="18" a="true"/>
  <c r="U104" i="18" a="true"/>
  <c r="T169" i="18" a="true"/>
  <c r="I373" i="25" a="true"/>
  <c r="X336" i="18" a="true"/>
  <c r="X448" i="18" a="true"/>
  <c r="I467" i="25" a="true"/>
  <c r="V138" i="18" a="true"/>
  <c r="X20" i="18" a="true"/>
  <c r="R465" i="18" a="true"/>
  <c r="V310" i="18" a="true"/>
  <c r="V140" i="18" a="true"/>
  <c r="U439" i="18" a="true"/>
  <c r="X27" i="18" a="true"/>
  <c r="V178" i="18" a="true"/>
  <c r="W8" i="18" a="true"/>
  <c r="Y463" i="18" a="true"/>
  <c r="X312" i="18" a="true"/>
  <c r="I155" i="25" a="true"/>
  <c r="R304" i="18" a="true"/>
  <c r="R467" i="18" a="true"/>
  <c r="U79" i="18" a="true"/>
  <c r="X140" i="18" a="true"/>
  <c r="J283" i="25" a="true"/>
  <c r="Q156" i="18" a="true"/>
  <c r="X280" i="18" a="true"/>
  <c r="Q476" i="18" a="true"/>
  <c r="I178" i="25" a="true"/>
  <c r="AE70" i="18" a="true"/>
  <c r="AA141" i="18" a="true"/>
  <c r="AB14" i="18" a="true"/>
  <c r="AF90" i="18" a="true"/>
  <c r="O413" i="18" a="true"/>
  <c r="AD341" i="18" a="true"/>
  <c r="AD183" i="18" a="true"/>
  <c r="AC301" i="18" a="true"/>
  <c r="O50" i="18" a="true"/>
  <c r="AC334" i="18" a="true"/>
  <c r="AB283" i="18" a="true"/>
  <c r="AD423" i="18" a="true"/>
  <c r="AA274" i="18" a="true"/>
  <c r="N405" i="18" a="true"/>
  <c r="AD406" i="18" a="true"/>
  <c r="N334" i="18" a="true"/>
  <c r="AE172" i="18" a="true"/>
  <c r="AB440" i="18" a="true"/>
  <c r="AB234" i="18" a="true"/>
  <c r="AF343" i="18" a="true"/>
  <c r="AA202" i="18" a="true"/>
  <c r="AF441" i="18" a="true"/>
  <c r="AB310" i="18" a="true"/>
  <c r="N348" i="18" a="true"/>
  <c r="AA32" i="18" a="true"/>
  <c r="P450" i="18" a="true"/>
  <c r="AB70" i="18" a="true"/>
  <c r="P282" i="18" a="true"/>
  <c r="AC274" i="18" a="true"/>
  <c r="N71" i="18" a="true"/>
  <c r="AC240" i="18" a="true"/>
  <c r="N292" i="18" a="true"/>
  <c r="AE213" i="18" a="true"/>
  <c r="P337" i="18" a="true"/>
  <c r="AE380" i="18" a="true"/>
  <c r="O215" i="18" a="true"/>
  <c r="N161" i="18" a="true"/>
  <c r="AD265" i="18" a="true"/>
  <c r="AD112" i="18" a="true"/>
  <c r="AE314" i="18" a="true"/>
  <c r="P107" i="18" a="true"/>
  <c r="AE118" i="18" a="true"/>
  <c r="AC235" i="18" a="true"/>
  <c r="AF465" i="18" a="true"/>
  <c r="AD217" i="18" a="true"/>
  <c r="AD149" i="18" a="true"/>
  <c r="AB332" i="18" a="true"/>
  <c r="N197" i="18" a="true"/>
  <c r="N44" i="18" a="true"/>
  <c r="O469" i="18" a="true"/>
  <c r="AC33" i="18" a="true"/>
  <c r="AB261" i="18" a="true"/>
  <c r="AA93" i="18" a="true"/>
  <c r="N378" i="18" a="true"/>
  <c r="O419" i="18" a="true"/>
  <c r="AB172" i="18" a="true"/>
  <c r="AA420" i="18" a="true"/>
  <c r="AA506" i="18" a="true"/>
  <c r="AB331" i="18" a="true"/>
  <c r="AA424" i="18" a="true"/>
  <c r="AE175" i="18" a="true"/>
  <c r="N128" i="18" a="true"/>
  <c r="AB413" i="18" a="true"/>
  <c r="AE171" i="18" a="true"/>
  <c r="AC328" i="18" a="true"/>
  <c r="AB367" i="18" a="true"/>
  <c r="O249" i="18" a="true"/>
  <c r="O445" i="18" a="true"/>
  <c r="O105" i="18" a="true"/>
  <c r="AE393" i="18" a="true"/>
  <c r="AD422" i="18" a="true"/>
  <c r="AD163" i="18" a="true"/>
  <c r="AB465" i="18" a="true"/>
  <c r="AD439" i="18" a="true"/>
  <c r="AD363" i="18" a="true"/>
  <c r="T236" i="18" a="true"/>
  <c r="Y315" i="18" a="true"/>
  <c r="Y129" i="18" a="true"/>
  <c r="Y8" i="18" a="true"/>
  <c r="W261" i="18" a="true"/>
  <c r="J153" i="25" a="true"/>
  <c r="I39" i="25" a="true"/>
  <c r="Q474" i="18" a="true"/>
  <c r="V40" i="18" a="true"/>
  <c r="J250" i="25" a="true"/>
  <c r="X306" i="18" a="true"/>
  <c r="V295" i="18" a="true"/>
  <c r="V458" i="18" a="true"/>
  <c r="R217" i="18" a="true"/>
  <c r="I483" i="25" a="true"/>
  <c r="I272" i="25" a="true"/>
  <c r="I331" i="25" a="true"/>
  <c r="R438" i="18" a="true"/>
  <c r="S318" i="18" a="true"/>
  <c r="X13" i="18" a="true"/>
  <c r="V425" i="18" a="true"/>
  <c r="V164" i="18" a="true"/>
  <c r="I337" i="25" a="true"/>
  <c r="U337" i="18" a="true"/>
  <c r="T74" i="18" a="true"/>
  <c r="V267" i="18" a="true"/>
  <c r="Q469" i="18" a="true"/>
  <c r="X163" i="18" a="true"/>
  <c r="Q445" i="18" a="true"/>
  <c r="W123" i="18" a="true"/>
  <c r="Q38" i="18" a="true"/>
  <c r="AC386" i="18" a="true"/>
  <c r="AC303" i="18" a="true"/>
  <c r="N340" i="18" a="true"/>
  <c r="AB157" i="18" a="true"/>
  <c r="AA10" i="18" a="true"/>
  <c r="AD458" i="18" a="true"/>
  <c r="AC316" i="18" a="true"/>
  <c r="AB88" i="18" a="true"/>
  <c r="AA364" i="18" a="true"/>
  <c r="P166" i="18" a="true"/>
  <c r="AE115" i="18" a="true"/>
  <c r="AA475" i="18" a="true"/>
  <c r="P47" i="18" a="true"/>
  <c r="AB212" i="18" a="true"/>
  <c r="AD417" i="18" a="true"/>
  <c r="AA225" i="18" a="true"/>
  <c r="O88" i="18" a="true"/>
  <c r="AA56" i="18" a="true"/>
  <c r="N326" i="18" a="true"/>
  <c r="O33" i="18" a="true"/>
  <c r="AD400" i="18" a="true"/>
  <c r="AC476" i="18" a="true"/>
  <c r="P462" i="18" a="true"/>
  <c r="AA175" i="18" a="true"/>
  <c r="AB359" i="18" a="true"/>
  <c r="AF198" i="18" a="true"/>
  <c r="P356" i="18" a="true"/>
  <c r="AE417" i="18" a="true"/>
  <c r="AD305" i="18" a="true"/>
  <c r="AD159" i="18" a="true"/>
  <c r="AB196" i="18" a="true"/>
  <c r="AC297" i="18" a="true"/>
  <c r="AF134" i="18" a="true"/>
  <c r="AE338" i="18" a="true"/>
  <c r="AC319" i="18" a="true"/>
  <c r="AE350" i="18" a="true"/>
  <c r="AE340" i="18" a="true"/>
  <c r="AD63" i="18" a="true"/>
  <c r="AB454" i="18" a="true"/>
  <c r="AA222" i="18" a="true"/>
  <c r="O32" i="18" a="true"/>
  <c r="N246" i="18" a="true"/>
  <c r="P291" i="18" a="true"/>
  <c r="AD68" i="18" a="true"/>
  <c r="P131" i="18" a="true"/>
  <c r="AF468" i="18" a="true"/>
  <c r="AD167" i="18" a="true"/>
  <c r="AF94" i="18" a="true"/>
  <c r="P482" i="18" a="true"/>
  <c r="AE33" i="18" a="true"/>
  <c r="AD44" i="18" a="true"/>
  <c r="O20" i="18" a="true"/>
  <c r="AE318" i="18" a="true"/>
  <c r="P375" i="18" a="true"/>
  <c r="AF257" i="18" a="true"/>
  <c r="AA454" i="18" a="true"/>
  <c r="AB214" i="18" a="true"/>
  <c r="AF466" i="18" a="true"/>
  <c r="O217" i="18" a="true"/>
  <c r="AF76" i="18" a="true"/>
  <c r="AF56" i="18" a="true"/>
  <c r="AE91" i="18" a="true"/>
  <c r="AF393" i="18" a="true"/>
  <c r="P255" i="18" a="true"/>
  <c r="AB125" i="18" a="true"/>
  <c r="AA381" i="18" a="true"/>
  <c r="P191" i="18" a="true"/>
  <c r="AA189" i="18" a="true"/>
  <c r="AD442" i="18" a="true"/>
  <c r="AC13" i="18" a="true"/>
  <c r="AB443" i="18" a="true"/>
  <c r="AA88" i="18" a="true"/>
  <c r="N139" i="18" a="true"/>
  <c r="AB80" i="18" a="true"/>
  <c r="AE414" i="18" a="true"/>
  <c r="AE449" i="18" a="true"/>
  <c r="AC456" i="18" a="true"/>
  <c r="AB96" i="18" a="true"/>
  <c r="AC27" i="18" a="true"/>
  <c r="N377" i="18" a="true"/>
  <c r="P320" i="18" a="true"/>
  <c r="AC180" i="18" a="true"/>
  <c r="AB33" i="18" a="true"/>
  <c r="AC376" i="18" a="true"/>
  <c r="AD248" i="18" a="true"/>
  <c r="AB224" i="18" a="true"/>
  <c r="AE244" i="18" a="true"/>
  <c r="AB499" i="18" a="true"/>
  <c r="AB280" i="18" a="true"/>
  <c r="S385" i="18" a="true"/>
  <c r="U53" i="18" a="true"/>
  <c r="X49" i="18" a="true"/>
  <c r="T320" i="18" a="true"/>
  <c r="V494" i="18" a="true"/>
  <c r="S199" i="18" a="true"/>
  <c r="I270" i="25" a="true"/>
  <c r="Y418" i="18" a="true"/>
  <c r="U400" i="18" a="true"/>
  <c r="T158" i="18" a="true"/>
  <c r="I65" i="25" a="true"/>
  <c r="U260" i="18" a="true"/>
  <c r="R478" i="18" a="true"/>
  <c r="W289" i="18" a="true"/>
  <c r="I150" i="25" a="true"/>
  <c r="I489" i="25" a="true"/>
  <c r="Y15" i="18" a="true"/>
  <c r="S360" i="18" a="true"/>
  <c r="R323" i="18" a="true"/>
  <c r="X24" i="18" a="true"/>
  <c r="I161" i="25" a="true"/>
  <c r="Q37" i="18" a="true"/>
  <c r="Q180" i="18" a="true"/>
  <c r="Q40" i="18" a="true"/>
  <c r="R449" i="18" a="true"/>
  <c r="W159" i="18" a="true"/>
  <c r="I34" i="25" a="true"/>
  <c r="J227" i="25" a="true"/>
  <c r="Q429" i="18" a="true"/>
  <c r="Q365" i="18" a="true"/>
  <c r="Q373" i="18" a="true"/>
  <c r="O414" i="18" a="true"/>
  <c r="AE232" i="18" a="true"/>
  <c r="N172" i="18" a="true"/>
  <c r="AF34" i="18" a="true"/>
  <c r="AC497" i="18" a="true"/>
  <c r="AC346" i="18" a="true"/>
  <c r="AC276" i="18" a="true"/>
  <c r="AB252" i="18" a="true"/>
  <c r="AE295" i="18" a="true"/>
  <c r="AB61" i="18" a="true"/>
  <c r="AD126" i="18" a="true"/>
  <c r="AA447" i="18" a="true"/>
  <c r="P11" i="18" a="true"/>
  <c r="AC79" i="18" a="true"/>
  <c r="N451" i="18" a="true"/>
  <c r="P298" i="18" a="true"/>
  <c r="AD297" i="18" a="true"/>
  <c r="AB135" i="18" a="true"/>
  <c r="AD344" i="18" a="true"/>
  <c r="AB402" i="18" a="true"/>
  <c r="AD108" i="18" a="true"/>
  <c r="AB256" i="18" a="true"/>
  <c r="AB496" i="18" a="true"/>
  <c r="AC348" i="18" a="true"/>
  <c r="P342" i="18" a="true"/>
  <c r="O429" i="18" a="true"/>
  <c r="N166" i="18" a="true"/>
  <c r="AF111" i="18" a="true"/>
  <c r="AC29" i="18" a="true"/>
  <c r="AE391" i="18" a="true"/>
  <c r="AC385" i="18" a="true"/>
  <c r="AE27" i="18" a="true"/>
  <c r="N186" i="18" a="true"/>
  <c r="AB290" i="18" a="true"/>
  <c r="P212" i="18" a="true"/>
  <c r="AC125" i="18" a="true"/>
  <c r="O438" i="18" a="true"/>
  <c r="AB300" i="18" a="true"/>
  <c r="N297" i="18" a="true"/>
  <c r="N255" i="18" a="true"/>
  <c r="O275" i="18" a="true"/>
  <c r="N167" i="18" a="true"/>
  <c r="O505" i="18" a="true"/>
  <c r="AF384" i="18" a="true"/>
  <c r="AE124" i="18" a="true"/>
  <c r="AE286" i="18" a="true"/>
  <c r="O232" i="18" a="true"/>
  <c r="AD147" i="18" a="true"/>
  <c r="N441" i="18" a="true"/>
  <c r="AB356" i="18" a="true"/>
  <c r="O447" i="18" a="true"/>
  <c r="AB129" i="18" a="true"/>
  <c r="AD127" i="18" a="true"/>
  <c r="S72" i="18" a="true"/>
  <c r="I407" i="25" a="true"/>
  <c r="Q481" i="18" a="true"/>
  <c r="V432" i="18" a="true"/>
  <c r="J8" i="25" a="true"/>
  <c r="R143" i="18" a="true"/>
  <c r="T317" i="18" a="true"/>
  <c r="R203" i="18" a="true"/>
  <c r="W182" i="18" a="true"/>
  <c r="T451" i="18" a="true"/>
  <c r="U302" i="18" a="true"/>
  <c r="I111" i="25" a="true"/>
  <c r="Y208" i="18" a="true"/>
  <c r="I271" i="25" a="true"/>
  <c r="J97" i="25" a="true"/>
  <c r="W181" i="18" a="true"/>
  <c r="X308" i="18" a="true"/>
  <c r="J264" i="25" a="true"/>
  <c r="Q66" i="18" a="true"/>
  <c r="J143" i="25" a="true"/>
  <c r="I196" i="25" a="true"/>
  <c r="W168" i="18" a="true"/>
  <c r="S98" i="18" a="true"/>
  <c r="I237" i="25" a="true"/>
  <c r="Y180" i="18" a="true"/>
  <c r="U284" i="18" a="true"/>
  <c r="I415" i="25" a="true"/>
  <c r="S477" i="18" a="true"/>
  <c r="S251" i="18" a="true"/>
  <c r="R429" i="18" a="true"/>
  <c r="Q248" i="18" a="true"/>
  <c r="AA192" i="18" a="true"/>
  <c r="N173" i="18" a="true"/>
  <c r="AC112" i="18" a="true"/>
  <c r="AF301" i="18" a="true"/>
  <c r="O424" i="18" a="true"/>
  <c r="N130" i="18" a="true"/>
  <c r="AF451" i="18" a="true"/>
  <c r="AA500" i="18" a="true"/>
  <c r="AF29" i="18" a="true"/>
  <c r="N476" i="18" a="true"/>
  <c r="N424" i="18" a="true"/>
  <c r="AF101" i="18" a="true"/>
  <c r="AA481" i="18" a="true"/>
  <c r="N351" i="18" a="true"/>
  <c r="AB295" i="18" a="true"/>
  <c r="AF88" i="18" a="true"/>
  <c r="P357" i="18" a="true"/>
  <c r="N240" i="18" a="true"/>
  <c r="AD56" i="18" a="true"/>
  <c r="AE395" i="18" a="true"/>
  <c r="AE305" i="18" a="true"/>
  <c r="O46" i="18" a="true"/>
  <c r="N462" i="18" a="true"/>
  <c r="AB294" i="18" a="true"/>
  <c r="AA99" i="18" a="true"/>
  <c r="AF319" i="18" a="true"/>
  <c r="AB376" i="18" a="true"/>
  <c r="O412" i="18" a="true"/>
  <c r="P491" i="18" a="true"/>
  <c r="O463" i="18" a="true"/>
  <c r="AF227" i="18" a="true"/>
  <c r="AD222" i="18" a="true"/>
  <c r="AC283" i="18" a="true"/>
  <c r="AF291" i="18" a="true"/>
  <c r="AC102" i="18" a="true"/>
  <c r="AB338" i="18" a="true"/>
  <c r="AD359" i="18" a="true"/>
  <c r="N293" i="18" a="true"/>
  <c r="AE502" i="18" a="true"/>
  <c r="AC123" i="18" a="true"/>
  <c r="AA49" i="18" a="true"/>
  <c r="AC8" i="18" a="true"/>
  <c r="AB114" i="18" a="true"/>
  <c r="N108" i="18" a="true"/>
  <c r="AA402" i="18" a="true"/>
  <c r="AE389" i="18" a="true"/>
  <c r="AC200" i="18" a="true"/>
  <c r="AA7" i="18" a="true"/>
  <c r="AE454" i="18" a="true"/>
  <c r="AB223" i="18" a="true"/>
  <c r="AC198" i="18" a="true"/>
  <c r="AB438" i="18" a="true"/>
  <c r="AF277" i="18" a="true"/>
  <c r="P373" i="18" a="true"/>
  <c r="AA430" i="18" a="true"/>
  <c r="AF109" i="18" a="true"/>
  <c r="AE174" i="18" a="true"/>
  <c r="V110" i="18" a="true"/>
  <c r="J200" i="25" a="true"/>
  <c r="V501" i="18" a="true"/>
  <c r="X231" i="18" a="true"/>
  <c r="I345" i="25" a="true"/>
  <c r="V268" i="18" a="true"/>
  <c r="R268" i="18" a="true"/>
  <c r="U126" i="18" a="true"/>
  <c r="Q383" i="18" a="true"/>
  <c r="W331" i="18" a="true"/>
  <c r="V491" i="18" a="true"/>
  <c r="J217" i="25" a="true"/>
  <c r="Y147" i="18" a="true"/>
  <c r="I204" i="25" a="true"/>
  <c r="X216" i="18" a="true"/>
  <c r="V495" i="18" a="true"/>
  <c r="W230" i="18" a="true"/>
  <c r="J32" i="25" a="true"/>
  <c r="R274" i="18" a="true"/>
  <c r="V211" i="18" a="true"/>
  <c r="J235" i="25" a="true"/>
  <c r="J259" i="25" a="true"/>
  <c r="X178" i="18" a="true"/>
  <c r="I105" i="25" a="true"/>
  <c r="U181" i="18" a="true"/>
  <c r="R490" i="18" a="true"/>
  <c r="V461" i="18" a="true"/>
  <c r="Y37" i="18" a="true"/>
  <c r="S166" i="18" a="true"/>
  <c r="W7" i="18" a="true"/>
  <c r="J31" i="25" a="true"/>
  <c r="AC349" i="18" a="true"/>
  <c r="AD466" i="18" a="true"/>
  <c r="O308" i="18" a="true"/>
  <c r="P299" i="18" a="true"/>
  <c r="AA324" i="18" a="true"/>
  <c r="AB49" i="18" a="true"/>
  <c r="AD26" i="18" a="true"/>
  <c r="AB101" i="18" a="true"/>
  <c r="AA94" i="18" a="true"/>
  <c r="AC498" i="18" a="true"/>
  <c r="AA440" i="18" a="true"/>
  <c r="N466" i="18" a="true"/>
  <c r="O363" i="18" a="true"/>
  <c r="AA496" i="18" a="true"/>
  <c r="AC89" i="18" a="true"/>
  <c r="AA464" i="18" a="true"/>
  <c r="AA171" i="18" a="true"/>
  <c r="AC412" i="18" a="true"/>
  <c r="AE274" i="18" a="true"/>
  <c r="O212" i="18" a="true"/>
  <c r="AD356" i="18" a="true"/>
  <c r="AF31" i="18" a="true"/>
  <c r="AD455" i="18" a="true"/>
  <c r="N431" i="18" a="true"/>
  <c r="N461" i="18" a="true"/>
  <c r="AA258" i="18" a="true"/>
  <c r="AB179" i="18" a="true"/>
  <c r="AE427" i="18" a="true"/>
  <c r="AC418" i="18" a="true"/>
  <c r="AB305" i="18" a="true"/>
  <c r="P327" i="18" a="true"/>
  <c r="AF193" i="18" a="true"/>
  <c r="AA309" i="18" a="true"/>
  <c r="P505" i="18" a="true"/>
  <c r="N243" i="18" a="true"/>
  <c r="AE154" i="18" a="true"/>
  <c r="O459" i="18" a="true"/>
  <c r="AB329" i="18" a="true"/>
  <c r="AA44" i="18" a="true"/>
  <c r="AF478" i="18" a="true"/>
  <c r="AB10" i="18" a="true"/>
  <c r="P484" i="18" a="true"/>
  <c r="AA79" i="18" a="true"/>
  <c r="AD284" i="18" a="true"/>
  <c r="P387" i="18" a="true"/>
  <c r="AB199" i="18" a="true"/>
  <c r="AF338" i="18" a="true"/>
  <c r="AF378" i="18" a="true"/>
  <c r="AB120" i="18" a="true"/>
  <c r="AA120" i="18" a="true"/>
  <c r="AD500" i="18" a="true"/>
  <c r="N111" i="18" a="true"/>
  <c r="N318" i="18" a="true"/>
  <c r="P329" i="18" a="true"/>
  <c r="P304" i="18" a="true"/>
  <c r="AE203" i="18" a="true"/>
  <c r="AD486" i="18" a="true"/>
  <c r="O492" i="18" a="true"/>
  <c r="AD459" i="18" a="true"/>
  <c r="N117" i="18" a="true"/>
  <c r="O339" i="18" a="true"/>
  <c r="N413" i="18" a="true"/>
  <c r="N268" i="18" a="true"/>
  <c r="O319" i="18" a="true"/>
  <c r="AA235" i="18" a="true"/>
  <c r="O417" i="18" a="true"/>
  <c r="P31" i="18" a="true"/>
  <c r="AC495" i="18" a="true"/>
  <c r="AA210" i="18" a="true"/>
  <c r="AA241" i="18" a="true"/>
  <c r="AE215" i="18" a="true"/>
  <c r="AC307" i="18" a="true"/>
  <c r="O164" i="18" a="true"/>
  <c r="AF460" i="18" a="true"/>
  <c r="AA485" i="18" a="true"/>
  <c r="O401" i="18" a="true"/>
  <c r="AB472" i="18" a="true"/>
  <c r="P390" i="18" a="true"/>
  <c r="AD246" i="18" a="true"/>
  <c r="AC311" i="18" a="true"/>
  <c r="P435" i="18" a="true"/>
  <c r="N409" i="18" a="true"/>
  <c r="N145" i="18" a="true"/>
  <c r="N504" i="18" a="true"/>
  <c r="AE495" i="18" a="true"/>
  <c r="AC455" i="18" a="true"/>
  <c r="AF463" i="18" a="true"/>
  <c r="N500" i="18" a="true"/>
  <c r="AF420" i="18" a="true"/>
  <c r="V277" i="18" a="true"/>
  <c r="I241" i="25" a="true"/>
  <c r="V464" i="18" a="true"/>
  <c r="X70" i="18" a="true"/>
  <c r="J177" i="25" a="true"/>
  <c r="V371" i="18" a="true"/>
  <c r="S301" i="18" a="true"/>
  <c r="X247" i="18" a="true"/>
  <c r="V441" i="18" a="true"/>
  <c r="T291" i="18" a="true"/>
  <c r="U500" i="18" a="true"/>
  <c r="V246" i="18" a="true"/>
  <c r="R427" i="18" a="true"/>
  <c r="I74" i="25" a="true"/>
  <c r="S196" i="18" a="true"/>
  <c r="X303" i="18" a="true"/>
  <c r="U96" i="18" a="true"/>
  <c r="R416" i="18" a="true"/>
  <c r="U255" i="18" a="true"/>
  <c r="X253" i="18" a="true"/>
  <c r="I481" i="25" a="true"/>
  <c r="R186" i="18" a="true"/>
  <c r="R308" i="18" a="true"/>
  <c r="W213" i="18" a="true"/>
  <c r="V141" i="18" a="true"/>
  <c r="S419" i="18" a="true"/>
  <c r="Q470" i="18" a="true"/>
  <c r="S284" i="18" a="true"/>
  <c r="Y251" i="18" a="true"/>
  <c r="J455" i="25" a="true"/>
  <c r="T309" i="18" a="true"/>
  <c r="N392" i="18" a="true"/>
  <c r="AA115" i="18" a="true"/>
  <c r="AD109" i="18" a="true"/>
  <c r="AC209" i="18" a="true"/>
  <c r="AC236" i="18" a="true"/>
  <c r="O132" i="18" a="true"/>
  <c r="AB141" i="18" a="true"/>
  <c r="AD374" i="18" a="true"/>
  <c r="N211" i="18" a="true"/>
  <c r="AB317" i="18" a="true"/>
  <c r="O337" i="18" a="true"/>
  <c r="N239" i="18" a="true"/>
  <c r="O204" i="18" a="true"/>
  <c r="AF297" i="18" a="true"/>
  <c r="N241" i="18" a="true"/>
  <c r="AF363" i="18" a="true"/>
  <c r="AC85" i="18" a="true"/>
  <c r="AD204" i="18" a="true"/>
  <c r="AC143" i="18" a="true"/>
  <c r="N256" i="18" a="true"/>
  <c r="P46" i="18" a="true"/>
  <c r="AC424" i="18" a="true"/>
  <c r="O334" i="18" a="true"/>
  <c r="O127" i="18" a="true"/>
  <c r="AD69" i="18" a="true"/>
  <c r="AF324" i="18" a="true"/>
  <c r="AF106" i="18" a="true"/>
  <c r="AB187" i="18" a="true"/>
  <c r="AC217" i="18" a="true"/>
  <c r="AD231" i="18" a="true"/>
  <c r="AA29" i="18" a="true"/>
  <c r="AD179" i="18" a="true"/>
  <c r="AD142" i="18" a="true"/>
  <c r="AF40" i="18" a="true"/>
  <c r="AB412" i="18" a="true"/>
  <c r="AF302" i="18" a="true"/>
  <c r="P58" i="18" a="true"/>
  <c r="AB210" i="18" a="true"/>
  <c r="N387" i="18" a="true"/>
  <c r="P7" i="18" a="true"/>
  <c r="AF390" i="18" a="true"/>
  <c r="P274" i="18" a="true"/>
  <c r="P24" i="18" a="true"/>
  <c r="AD172" i="18" a="true"/>
  <c r="AD441" i="18" a="true"/>
  <c r="AE223" i="18" a="true"/>
  <c r="O427" i="18" a="true"/>
  <c r="O114" i="18" a="true"/>
  <c r="AC432" i="18" a="true"/>
  <c r="P467" i="18" a="true"/>
  <c r="N87" i="18" a="true"/>
  <c r="AA219" i="18" a="true"/>
  <c r="AF197" i="18" a="true"/>
  <c r="AB393" i="18" a="true"/>
  <c r="P121" i="18" a="true"/>
  <c r="AD244" i="18" a="true"/>
  <c r="P86" i="18" a="true"/>
  <c r="O479" i="18" a="true"/>
  <c r="S299" i="18" a="true"/>
  <c r="R448" i="18" a="true"/>
  <c r="Q260" i="18" a="true"/>
  <c r="T120" i="18" a="true"/>
  <c r="X317" i="18" a="true"/>
  <c r="R107" i="18" a="true"/>
  <c r="V352" i="18" a="true"/>
  <c r="W485" i="18" a="true"/>
  <c r="V139" i="18" a="true"/>
  <c r="V152" i="18" a="true"/>
  <c r="T157" i="18" a="true"/>
  <c r="U134" i="18" a="true"/>
  <c r="S302" i="18" a="true"/>
  <c r="J397" i="25" a="true"/>
  <c r="Q106" i="18" a="true"/>
  <c r="Y446" i="18" a="true"/>
  <c r="Y305" i="18" a="true"/>
  <c r="T180" i="18" a="true"/>
  <c r="J358" i="25" a="true"/>
  <c r="V190" i="18" a="true"/>
  <c r="J24" i="25" a="true"/>
  <c r="V466" i="18" a="true"/>
  <c r="X117" i="18" a="true"/>
  <c r="T261" i="18" a="true"/>
  <c r="Y171" i="18" a="true"/>
  <c r="X248" i="18" a="true"/>
  <c r="X221" i="18" a="true"/>
  <c r="X164" i="18" a="true"/>
  <c r="W293" i="18" a="true"/>
  <c r="Q161" i="18" a="true"/>
  <c r="Q467" i="18" a="true"/>
  <c r="N362" i="18" a="true"/>
  <c r="O44" i="18" a="true"/>
  <c r="AB103" i="18" a="true"/>
  <c r="AB319" i="18" a="true"/>
  <c r="N421" i="18" a="true"/>
  <c r="AA467" i="18" a="true"/>
  <c r="P330" i="18" a="true"/>
  <c r="AD483" i="18" a="true"/>
  <c r="P321" i="18" a="true"/>
  <c r="AF380" i="18" a="true"/>
  <c r="O398" i="18" a="true"/>
  <c r="AD221" i="18" a="true"/>
  <c r="AF454" i="18" a="true"/>
  <c r="AE114" i="18" a="true"/>
  <c r="O279" i="18" a="true"/>
  <c r="O145" i="18" a="true"/>
  <c r="AB92" i="18" a="true"/>
  <c r="N214" i="18" a="true"/>
  <c r="AE131" i="18" a="true"/>
  <c r="AA180" i="18" a="true"/>
  <c r="AB108" i="18" a="true"/>
  <c r="AF27" i="18" a="true"/>
  <c r="AE39" i="18" a="true"/>
  <c r="AC118" i="18" a="true"/>
  <c r="O454" i="18" a="true"/>
  <c r="AE133" i="18" a="true"/>
  <c r="N79" i="18" a="true"/>
  <c r="AC22" i="18" a="true"/>
  <c r="N417" i="18" a="true"/>
  <c r="P135" i="18" a="true"/>
  <c r="AD114" i="18" a="true"/>
  <c r="AA71" i="18" a="true"/>
  <c r="AC277" i="18" a="true"/>
  <c r="AD129" i="18" a="true"/>
  <c r="P504" i="18" a="true"/>
  <c r="O426" i="18" a="true"/>
  <c r="AD148" i="18" a="true"/>
  <c r="AE401" i="18" a="true"/>
  <c r="AB75" i="18" a="true"/>
  <c r="AE451" i="18" a="true"/>
  <c r="P152" i="18" a="true"/>
  <c r="AC460" i="18" a="true"/>
  <c r="AB342" i="18" a="true"/>
  <c r="N442" i="18" a="true"/>
  <c r="AA473" i="18" a="true"/>
  <c r="N385" i="18" a="true"/>
  <c r="AD157" i="18" a="true"/>
  <c r="AC141" i="18" a="true"/>
  <c r="AD340" i="18" a="true"/>
  <c r="AB375" i="18" a="true"/>
  <c r="AA431" i="18" a="true"/>
  <c r="AC202" i="18" a="true"/>
  <c r="N423" i="18" a="true"/>
  <c r="P217" i="18" a="true"/>
  <c r="N89" i="18" a="true"/>
  <c r="AA240" i="18" a="true"/>
  <c r="AE329" i="18" a="true"/>
  <c r="N370" i="18" a="true"/>
  <c r="P363" i="18" a="true"/>
  <c r="AD445" i="18" a="true"/>
  <c r="N493" i="18" a="true"/>
  <c r="AD468" i="18" a="true"/>
  <c r="AA493" i="18" a="true"/>
  <c r="O75" i="18" a="true"/>
  <c r="O89" i="18" a="true"/>
  <c r="AF156" i="18" a="true"/>
  <c r="AB143" i="18" a="true"/>
  <c r="O408" i="18" a="true"/>
  <c r="AD383" i="18" a="true"/>
  <c r="AC38" i="18" a="true"/>
  <c r="AE237" i="18" a="true"/>
  <c r="AF306" i="18" a="true"/>
  <c r="N388" i="18" a="true"/>
  <c r="AD66" i="18" a="true"/>
  <c r="AE110" i="18" a="true"/>
  <c r="AD116" i="18" a="true"/>
  <c r="AA197" i="18" a="true"/>
  <c r="AC440" i="18" a="true"/>
  <c r="P344" i="18" a="true"/>
  <c r="AF39" i="18" a="true"/>
  <c r="AE243" i="18" a="true"/>
  <c r="O128" i="18" a="true"/>
  <c r="AE109" i="18" a="true"/>
  <c r="AF473" i="18" a="true"/>
  <c r="P360" i="18" a="true"/>
  <c r="AA383" i="18" a="true"/>
  <c r="P268" i="18" a="true"/>
  <c r="AE307" i="18" a="true"/>
  <c r="AD180" i="18" a="true"/>
  <c r="T94" i="18" a="true"/>
  <c r="S11" i="18" a="true"/>
  <c r="S212" i="18" a="true"/>
  <c r="X249" i="18" a="true"/>
  <c r="Q422" i="18" a="true"/>
  <c r="I44" i="25" a="true"/>
  <c r="X373" i="18" a="true"/>
  <c r="W388" i="18" a="true"/>
  <c r="T171" i="18" a="true"/>
  <c r="J183" i="25" a="true"/>
  <c r="W106" i="18" a="true"/>
  <c r="S168" i="18" a="true"/>
  <c r="I265" i="25" a="true"/>
  <c r="J394" i="25" a="true"/>
  <c r="I495" i="25" a="true"/>
  <c r="Q69" i="18" a="true"/>
  <c r="U78" i="18" a="true"/>
  <c r="Q307" i="18" a="true"/>
  <c r="I16" i="25" a="true"/>
  <c r="S439" i="18" a="true"/>
  <c r="J101" i="25" a="true"/>
  <c r="U159" i="18" a="true"/>
  <c r="W406" i="18" a="true"/>
  <c r="R99" i="18" a="true"/>
  <c r="R10" i="18" a="true"/>
  <c r="X200" i="18" a="true"/>
  <c r="J107" i="25" a="true"/>
  <c r="W330" i="18" a="true"/>
  <c r="U155" i="18" a="true"/>
  <c r="T472" i="18" a="true"/>
  <c r="X18" i="18" a="true"/>
  <c r="S71" i="18" a="true"/>
  <c r="R175" i="18" a="true"/>
  <c r="S130" i="18" a="true"/>
  <c r="J15" i="25" a="true"/>
  <c r="P100" i="18" a="true"/>
  <c r="N355" i="18" a="true"/>
  <c r="P426" i="18" a="true"/>
  <c r="P201" i="18" a="true"/>
  <c r="AA463" i="18" a="true"/>
  <c r="AA503" i="18" a="true"/>
  <c r="AE473" i="18" a="true"/>
  <c r="AD31" i="18" a="true"/>
  <c r="N12" i="18" a="true"/>
  <c r="N249" i="18" a="true"/>
  <c r="AA33" i="18" a="true"/>
  <c r="AC414" i="18" a="true"/>
  <c r="AF270" i="18" a="true"/>
  <c r="P312" i="18" a="true"/>
  <c r="AB468" i="18" a="true"/>
  <c r="AD176" i="18" a="true"/>
  <c r="P128" i="18" a="true"/>
  <c r="P258" i="18" a="true"/>
  <c r="O488" i="18" a="true"/>
  <c r="AC177" i="18" a="true"/>
  <c r="AF457" i="18" a="true"/>
  <c r="AF374" i="18" a="true"/>
  <c r="AE477" i="18" a="true"/>
  <c r="O183" i="18" a="true"/>
  <c r="AF328" i="18" a="true"/>
  <c r="AC404" i="18" a="true"/>
  <c r="N42" i="18" a="true"/>
  <c r="AD213" i="18" a="true"/>
  <c r="AA504" i="18" a="true"/>
  <c r="P316" i="18" a="true"/>
  <c r="O151" i="18" a="true"/>
  <c r="AB110" i="18" a="true"/>
  <c r="O189" i="18" a="true"/>
  <c r="O310" i="18" a="true"/>
  <c r="N168" i="18" a="true"/>
  <c r="AE369" i="18" a="true"/>
  <c r="O484" i="18" a="true"/>
  <c r="AE165" i="18" a="true"/>
  <c r="P95" i="18" a="true"/>
  <c r="AC239" i="18" a="true"/>
  <c r="N449" i="18" a="true"/>
  <c r="AB116" i="18" a="true"/>
  <c r="P182" i="18" a="true"/>
  <c r="AC88" i="18" a="true"/>
  <c r="AF115" i="18" a="true"/>
  <c r="AF392" i="18" a="true"/>
  <c r="AE159" i="18" a="true"/>
  <c r="AA229" i="18" a="true"/>
  <c r="N265" i="18" a="true"/>
  <c r="O141" i="18" a="true"/>
  <c r="AC12" i="18" a="true"/>
  <c r="AE332" i="18" a="true"/>
  <c r="AA82" i="18" a="true"/>
  <c r="AD321" i="18" a="true"/>
  <c r="S359" i="18" a="true"/>
  <c r="U115" i="18" a="true"/>
  <c r="U240" i="18" a="true"/>
  <c r="AE18" i="18" a="true"/>
  <c r="AF126" i="18" a="true"/>
  <c r="AB145" i="18" a="true"/>
  <c r="O336" i="18" a="true"/>
  <c r="AC384" i="18" a="true"/>
  <c r="O150" i="18" a="true"/>
  <c r="P225" i="18" a="true"/>
  <c r="AA152" i="18" a="true"/>
  <c r="AC229" i="18" a="true"/>
  <c r="AF348" i="18" a="true"/>
  <c r="O457" i="18" a="true"/>
  <c r="AF16" i="18" a="true"/>
  <c r="AD411" i="18" a="true"/>
  <c r="P15" i="18" a="true"/>
  <c r="AB478" i="18" a="true"/>
  <c r="AD32" i="18" a="true"/>
  <c r="AB217" i="18" a="true"/>
  <c r="W237" i="18" a="true"/>
  <c r="S445" i="18" a="true"/>
  <c r="Q331" i="18" a="true"/>
  <c r="Y234" i="18" a="true"/>
  <c r="AF118" i="18" a="true"/>
  <c r="AC155" i="18" a="true"/>
  <c r="O122" i="18" a="true"/>
  <c r="AB400" i="18" a="true"/>
  <c r="AF326" i="18" a="true"/>
  <c r="AC113" i="18" a="true"/>
  <c r="N77" i="18" a="true"/>
  <c r="AA498" i="18" a="true"/>
  <c r="AE453" i="18" a="true"/>
  <c r="AF172" i="18" a="true"/>
  <c r="AE179" i="18" a="true"/>
  <c r="P444" i="18" a="true"/>
  <c r="AE97" i="18" a="true"/>
  <c r="AE181" i="18" a="true"/>
  <c r="AC403" i="18" a="true"/>
  <c r="AD432" i="18" a="true"/>
  <c r="AF258" i="18" a="true"/>
  <c r="AE355" i="18" a="true"/>
  <c r="P418" i="18" a="true"/>
  <c r="AF18" i="18" a="true"/>
  <c r="AC435" i="18" a="true"/>
  <c r="O378" i="18" a="true"/>
  <c r="O490" i="18" a="true"/>
  <c r="AD205" i="18" a="true"/>
  <c r="AC315" i="18" a="true"/>
  <c r="AF107" i="18" a="true"/>
  <c r="AD296" i="18" a="true"/>
  <c r="O387" i="18" a="true"/>
  <c r="P215" i="18" a="true"/>
  <c r="AD58" i="18" a="true"/>
  <c r="AA183" i="18" a="true"/>
  <c r="AC487" i="18" a="true"/>
  <c r="AA303" i="18" a="true"/>
  <c r="N339" i="18" a="true"/>
  <c r="AF341" i="18" a="true"/>
  <c r="N286" i="18" a="true"/>
  <c r="N220" i="18" a="true"/>
  <c r="AD471" i="18" a="true"/>
  <c r="Q41" i="18" a="true"/>
  <c r="AE303" i="18" a="true"/>
  <c r="AB394" i="18" a="true"/>
  <c r="O166" i="18" a="true"/>
  <c r="AD329" i="18" a="true"/>
  <c r="AE63" i="18" a="true"/>
  <c r="AB171" i="18" a="true"/>
  <c r="AE127" i="18" a="true"/>
  <c r="AC343" i="18" a="true"/>
  <c r="X287" i="18" a="true"/>
  <c r="R84" i="18" a="true"/>
  <c r="N162" i="18" a="true"/>
  <c r="AB230" i="18" a="true"/>
  <c r="N62" i="18" a="true"/>
  <c r="AE150" i="18" a="true"/>
  <c r="AC57" i="18" a="true"/>
  <c r="AC216" i="18" a="true"/>
  <c r="AE83" i="18" a="true"/>
  <c r="O68" i="18" a="true"/>
  <c r="S150" i="18" a="true"/>
  <c r="I129" i="25" a="true"/>
  <c r="AA8" i="18" a="true"/>
  <c r="AF312" i="18" a="true"/>
  <c r="AC377" i="18" a="true"/>
  <c r="O472" i="18" a="true"/>
  <c r="AD241" i="18" a="true"/>
  <c r="AF431" i="18" a="true"/>
  <c r="N16" i="18" a="true"/>
  <c r="AB209" i="18" a="true"/>
  <c r="AB353" i="18" a="true"/>
  <c r="AB206" i="18" a="true"/>
  <c r="AD210" i="18" a="true"/>
  <c r="AF444" i="18" a="true"/>
  <c r="T380" i="18" a="true"/>
  <c r="I218" i="25" a="true"/>
  <c r="R275" i="18" a="true"/>
  <c r="AE99" i="18" a="true"/>
  <c r="AE374" i="18" a="true"/>
  <c r="O228" i="18" a="true"/>
  <c r="AE216" i="18" a="true"/>
  <c r="N426" i="18" a="true"/>
  <c r="AE167" i="18" a="true"/>
  <c r="AD478" i="18" a="true"/>
  <c r="AC351" i="18" a="true"/>
  <c r="AB309" i="18" a="true"/>
  <c r="U14" i="18" a="true"/>
  <c r="W403" i="18" a="true"/>
  <c r="S41" i="18" a="true"/>
  <c r="R320" i="18" a="true"/>
  <c r="T237" i="18" a="true"/>
  <c r="J493" i="25" a="true"/>
  <c r="J462" i="25" a="true"/>
  <c r="U259" i="18" a="true"/>
  <c r="T260" i="18" a="true"/>
  <c r="X212" i="18" a="true"/>
  <c r="T457" i="18" a="true"/>
  <c r="U411" i="18" a="true"/>
  <c r="X35" i="18" a="true"/>
  <c r="I84" i="25" a="true"/>
  <c r="P208" i="18" a="true"/>
  <c r="AF226" i="18" a="true"/>
  <c r="AA125" i="18" a="true"/>
  <c r="AC486" i="18" a="true"/>
  <c r="AF453" i="18" a="true"/>
  <c r="O359" i="18" a="true"/>
  <c r="P457" i="18" a="true"/>
  <c r="AE255" i="18" a="true"/>
  <c r="AA137" i="18" a="true"/>
  <c r="AC52" i="18" a="true"/>
  <c r="AE331" i="18" a="true"/>
  <c r="P10" i="18" a="true"/>
  <c r="AC179" i="18" a="true"/>
  <c r="AB65" i="18" a="true"/>
  <c r="AE143" i="18" a="true"/>
  <c r="AE301" i="18" a="true"/>
  <c r="N323" i="18" a="true"/>
  <c r="P173" i="18" a="true"/>
  <c r="AD62" i="18" a="true"/>
  <c r="AD335" i="18" a="true"/>
  <c r="AB71" i="18" a="true"/>
  <c r="AC30" i="18" a="true"/>
  <c r="AC369" i="18" a="true"/>
  <c r="AB307" i="18" a="true"/>
  <c r="O194" i="18" a="true"/>
  <c r="AD371" i="18" a="true"/>
  <c r="AF24" i="18" a="true"/>
  <c r="AA282" i="18" a="true"/>
  <c r="N226" i="18" a="true"/>
  <c r="N381" i="18" a="true"/>
  <c r="AD274" i="18" a="true"/>
  <c r="AA112" i="18" a="true"/>
  <c r="AF318" i="18" a="true"/>
  <c r="AE269" i="18" a="true"/>
  <c r="P40" i="18" a="true"/>
  <c r="N24" i="18" a="true"/>
  <c r="P422" i="18" a="true"/>
  <c r="AE158" i="18" a="true"/>
  <c r="N382" i="18" a="true"/>
  <c r="AC117" i="18" a="true"/>
  <c r="N368" i="18" a="true"/>
  <c r="AA256" i="18" a="true"/>
  <c r="N480" i="18" a="true"/>
  <c r="AB249" i="18" a="true"/>
  <c r="P388" i="18" a="true"/>
  <c r="N8" i="18" a="true"/>
  <c r="P431" i="18" a="true"/>
  <c r="P313" i="18" a="true"/>
  <c r="AB148" i="18" a="true"/>
  <c r="O137" i="18" a="true"/>
  <c r="AB426" i="18" a="true"/>
  <c r="P503" i="18" a="true"/>
  <c r="AF71" i="18" a="true"/>
  <c r="AD330" i="18" a="true"/>
  <c r="R232" i="18" a="true"/>
  <c r="W258" i="18" a="true"/>
  <c r="J55" i="25" a="true"/>
  <c r="AA277" i="18" a="true"/>
  <c r="O497" i="18" a="true"/>
  <c r="U183" i="18" a="true"/>
  <c r="T240" i="18" a="true"/>
  <c r="AB281" i="18" a="true"/>
  <c r="AB132" i="18" a="true"/>
  <c r="AD416" i="18" a="true"/>
  <c r="AF282" i="18" a="true"/>
  <c r="N330" i="18" a="true"/>
  <c r="AB166" i="18" a="true"/>
  <c r="O205" i="18" a="true"/>
  <c r="AD39" i="18" a="true"/>
  <c r="O102" i="18" a="true"/>
  <c r="O256" i="18" a="true"/>
  <c r="AC478" i="18" a="true"/>
  <c r="AA144" i="18" a="true"/>
  <c r="AB320" i="18" a="true"/>
  <c r="AD497" i="18" a="true"/>
  <c r="AC71" i="18" a="true"/>
  <c r="AC170" i="18" a="true"/>
  <c r="AB368" i="18" a="true"/>
  <c r="O85" i="18" a="true"/>
  <c r="AE294" i="18" a="true"/>
  <c r="AB460" i="18" a="true"/>
  <c r="AD249" i="18" a="true"/>
  <c r="O423" i="18" a="true"/>
  <c r="AD271" i="18" a="true"/>
  <c r="AF70" i="18" a="true"/>
  <c r="O245" i="18" a="true"/>
  <c r="AA486" i="18" a="true"/>
  <c r="AD29" i="18" a="true"/>
  <c r="O494" i="18" a="true"/>
  <c r="AA123" i="18" a="true"/>
  <c r="AF366" i="18" a="true"/>
  <c r="AC345" i="18" a="true"/>
  <c r="AD96" i="18" a="true"/>
  <c r="AD135" i="18" a="true"/>
  <c r="AE262" i="18" a="true"/>
  <c r="AD275" i="18" a="true"/>
  <c r="AE506" i="18" a="true"/>
  <c r="P369" i="18" a="true"/>
  <c r="I471" i="25" a="true"/>
  <c r="V347" i="18" a="true"/>
  <c r="AC372" i="18" a="true"/>
  <c r="AE281" i="18" a="true"/>
  <c r="AD128" i="18" a="true"/>
  <c r="AE57" i="18" a="true"/>
  <c r="AC480" i="18" a="true"/>
  <c r="O289" i="18" a="true"/>
  <c r="AA263" i="18" a="true"/>
  <c r="P501" i="18" a="true"/>
  <c r="J370" i="25" a="true"/>
  <c r="W63" i="18" a="true"/>
  <c r="AC205" i="18" a="true"/>
  <c r="AF8" i="18" a="true"/>
  <c r="AF103" i="18" a="true"/>
  <c r="AF9" i="18" a="true"/>
  <c r="N503" i="18" a="true"/>
  <c r="AA226" i="18" a="true"/>
  <c r="AD225" i="18" a="true"/>
  <c r="O22" i="18" a="true"/>
  <c r="AE152" i="18" a="true"/>
  <c r="AD19" i="18" a="true"/>
  <c r="P192" i="18" a="true"/>
  <c r="W203" i="18" a="true"/>
  <c r="P69" i="18" a="true"/>
  <c r="AF445" i="18" a="true"/>
  <c r="J365" i="25" a="true"/>
  <c r="AC318" i="18" a="true"/>
  <c r="AB246" i="18" a="true"/>
  <c r="AA489" i="18" a="true"/>
  <c r="AE431" i="18" a="true"/>
  <c r="AC43" i="18" a="true"/>
  <c r="AB442" i="18" a="true"/>
  <c r="S18" i="18" a="true"/>
  <c r="Y200" i="18" a="true"/>
  <c r="U433" i="18" a="true"/>
  <c r="Y235" i="18" a="true"/>
  <c r="R380" i="18" a="true"/>
  <c r="I391" i="25" a="true"/>
  <c r="T364" i="18" a="true"/>
  <c r="S414" i="18" a="true"/>
  <c r="U190" i="18" a="true"/>
  <c r="T185" i="18" a="true"/>
  <c r="S260" i="18" a="true"/>
  <c r="J206" i="25" a="true"/>
  <c r="X105" i="18" a="true"/>
  <c r="I139" i="25" a="true"/>
  <c r="AB152" i="18" a="true"/>
  <c r="AF95" i="18" a="true"/>
  <c r="O18" i="18" a="true"/>
  <c r="AF131" i="18" a="true"/>
  <c r="AD440" i="18" a="true"/>
  <c r="P475" i="18" a="true"/>
  <c r="P402" i="18" a="true"/>
  <c r="AC359" i="18" a="true"/>
  <c r="O136" i="18" a="true"/>
  <c r="AF424" i="18" a="true"/>
  <c r="AA310" i="18" a="true"/>
  <c r="AC146" i="18" a="true"/>
  <c r="N150" i="18" a="true"/>
  <c r="AD376" i="18" a="true"/>
  <c r="AC51" i="18" a="true"/>
  <c r="AD28" i="18" a="true"/>
  <c r="AE368" i="18" a="true"/>
  <c r="N347" i="18" a="true"/>
  <c r="P140" i="18" a="true"/>
  <c r="N257" i="18" a="true"/>
  <c r="AA352" i="18" a="true"/>
  <c r="O179" i="18" a="true"/>
  <c r="O251" i="18" a="true"/>
  <c r="O12" i="18" a="true"/>
  <c r="AF370" i="18" a="true"/>
  <c r="AC330" i="18" a="true"/>
  <c r="AA332" i="18" a="true"/>
  <c r="AB32" i="18" a="true"/>
  <c r="AC99" i="18" a="true"/>
  <c r="AE250" i="18" a="true"/>
  <c r="O47" i="18" a="true"/>
  <c r="AA341" i="18" a="true"/>
  <c r="O53" i="18" a="true"/>
  <c r="AF352" i="18" a="true"/>
  <c r="P63" i="18" a="true"/>
  <c r="N143" i="18" a="true"/>
  <c r="AF365" i="18" a="true"/>
  <c r="AC248" i="18" a="true"/>
  <c r="AF228" i="18" a="true"/>
  <c r="O30" i="18" a="true"/>
  <c r="AE82" i="18" a="true"/>
  <c r="AC86" i="18" a="true"/>
  <c r="AB140" i="18" a="true"/>
  <c r="AF467" i="18" a="true"/>
  <c r="P132" i="18" a="true"/>
  <c r="AA476" i="18" a="true"/>
  <c r="N396" i="18" a="true"/>
  <c r="AE261" i="18" a="true"/>
  <c r="AE316" i="18" a="true"/>
  <c r="AC322" i="18" a="true"/>
  <c r="N242" i="18" a="true"/>
  <c r="N496" i="18" a="true"/>
  <c r="T332" i="18" a="true"/>
  <c r="I368" i="25" a="true"/>
  <c r="R459" i="18" a="true"/>
  <c r="I181" i="25" a="true"/>
  <c r="J441" i="25" a="true"/>
  <c r="T372" i="18" a="true"/>
  <c r="AA311" i="18" a="true"/>
  <c r="AA249" i="18" a="true"/>
  <c r="AD353" i="18" a="true"/>
  <c r="O55" i="18" a="true"/>
  <c r="O23" i="18" a="true"/>
  <c r="N9" i="18" a="true"/>
  <c r="AA40" i="18" a="true"/>
  <c r="AA284" i="18" a="true"/>
  <c r="AB245" i="18" a="true"/>
  <c r="AB392" i="18" a="true"/>
  <c r="N247" i="18" a="true"/>
  <c r="AF498" i="18" a="true"/>
  <c r="AC105" i="18" a="true"/>
  <c r="P85" i="18" a="true"/>
  <c r="P165" i="18" a="true"/>
  <c r="P194" i="18" a="true"/>
  <c r="U440" i="18" a="true"/>
  <c r="Y61" i="18" a="true"/>
  <c r="I496" i="25" a="true"/>
  <c r="P401" i="18" a="true"/>
  <c r="AB124" i="18" a="true"/>
  <c r="AE139" i="18" a="true"/>
  <c r="O415" i="18" a="true"/>
  <c r="O154" i="18" a="true"/>
  <c r="AC331" i="18" a="true"/>
  <c r="O269" i="18" a="true"/>
  <c r="AB107" i="18" a="true"/>
  <c r="AF269" i="18" a="true"/>
  <c r="P374" i="18" a="true"/>
  <c r="AF188" i="18" a="true"/>
  <c r="AC23" i="18" a="true"/>
  <c r="AF502" i="18" a="true"/>
  <c r="O263" i="18" a="true"/>
  <c r="AA405" i="18" a="true"/>
  <c r="AF232" i="18" a="true"/>
  <c r="N132" i="18" a="true"/>
  <c r="AD154" i="18" a="true"/>
  <c r="AB195" i="18" a="true"/>
  <c r="AC448" i="18" a="true"/>
  <c r="AC158" i="18" a="true"/>
  <c r="AF41" i="18" a="true"/>
  <c r="AD377" i="18" a="true"/>
  <c r="N280" i="18" a="true"/>
  <c r="AB471" i="18" a="true"/>
  <c r="O440" i="18" a="true"/>
  <c r="AA329" i="18" a="true"/>
  <c r="AC375" i="18" a="true"/>
  <c r="N124" i="18" a="true"/>
  <c r="AE364" i="18" a="true"/>
  <c r="O175" i="18" a="true"/>
  <c r="P355" i="18" a="true"/>
  <c r="AB85" i="18" a="true"/>
  <c r="P333" i="18" a="true"/>
  <c r="T65" i="18" a="true"/>
  <c r="U436" i="18" a="true"/>
  <c r="AB190" i="18" a="true"/>
  <c r="AB183" i="18" a="true"/>
  <c r="AC103" i="18" a="true"/>
  <c r="AE408" i="18" a="true"/>
  <c r="AB250" i="18" a="true"/>
  <c r="AE312" i="18" a="true"/>
  <c r="AC190" i="18" a="true"/>
  <c r="AA370" i="18" a="true"/>
  <c r="T251" i="18" a="true"/>
  <c r="AE488" i="18" a="true"/>
  <c r="AE279" i="18" a="true"/>
  <c r="O277" i="18" a="true"/>
  <c r="AF105" i="18" a="true"/>
  <c r="AD155" i="18" a="true"/>
  <c r="AB398" i="18" a="true"/>
  <c r="N32" i="18" a="true"/>
  <c r="AE238" i="18" a="true"/>
  <c r="P415" i="18" a="true"/>
  <c r="I366" i="25" a="true"/>
  <c r="U268" i="18" a="true"/>
  <c r="R219" i="18" a="true"/>
  <c r="AE106" i="18" a="true"/>
  <c r="O380" i="18" a="true"/>
  <c r="AC213" i="18" a="true"/>
  <c r="AA499" i="18" a="true"/>
  <c r="AB169" i="18" a="true"/>
  <c r="P470" i="18" a="true"/>
  <c r="AE335" i="18" a="true"/>
  <c r="N76" i="18" a="true"/>
  <c r="AC40" i="18" a="true"/>
  <c r="P106" i="18" a="true"/>
  <c r="AF36" i="18" a="true"/>
  <c r="W15" i="18" a="true"/>
  <c r="Y99" i="18" a="true"/>
  <c r="AD397" i="18" a="true"/>
  <c r="P29" i="18" a="true"/>
  <c r="P409" i="18" a="true"/>
  <c r="AD429" i="18" a="true"/>
  <c r="AF239" i="18" a="true"/>
  <c r="O428" i="18" a="true"/>
  <c r="N245" i="18" a="true"/>
  <c r="AB257" i="18" a="true"/>
  <c r="AD290" i="18" a="true"/>
  <c r="X230" i="18" a="true"/>
  <c r="J48" i="25" a="true"/>
  <c r="Y436" i="18" a="true"/>
  <c r="V265" i="18" a="true"/>
  <c r="W190" i="18" a="true"/>
  <c r="T80" i="18" a="true"/>
  <c r="X339" i="18" a="true"/>
  <c r="U253" i="18" a="true"/>
  <c r="J497" i="25" a="true"/>
  <c r="J416" i="25" a="true"/>
  <c r="Y486" i="18" a="true"/>
  <c r="V111" i="18" a="true"/>
  <c r="I31" i="25" a="true"/>
  <c r="Y72" i="18" a="true"/>
  <c r="X203" i="18" a="true"/>
  <c r="AA146" i="18" a="true"/>
  <c r="AC468" i="18" a="true"/>
  <c r="AB48" i="18" a="true"/>
  <c r="O119" i="18" a="true"/>
  <c r="O241" i="18" a="true"/>
  <c r="AF189" i="18" a="true"/>
  <c r="N270" i="18" a="true"/>
  <c r="AB360" i="18" a="true"/>
  <c r="AD399" i="18" a="true"/>
  <c r="AA390" i="18" a="true"/>
  <c r="N402" i="18" a="true"/>
  <c r="AA176" i="18" a="true"/>
  <c r="U237" i="18" a="true"/>
  <c r="P218" i="18" a="true"/>
  <c r="AD232" i="18" a="true"/>
  <c r="P190" i="18" a="true"/>
  <c r="AF220" i="18" a="true"/>
  <c r="AC416" i="18" a="true"/>
  <c r="N291" i="18" a="true"/>
  <c r="AD89" i="18" a="true"/>
  <c r="AA58" i="18" a="true"/>
  <c r="R27" i="18" a="true"/>
  <c r="I460" i="25" a="true"/>
  <c r="I243" i="25" a="true"/>
  <c r="T416" i="18" a="true"/>
  <c r="P478" i="18" a="true"/>
  <c r="AC500" i="18" a="true"/>
  <c r="AA305" i="18" a="true"/>
  <c r="N75" i="18" a="true"/>
  <c r="AD27" i="18" a="true"/>
  <c r="O349" i="18" a="true"/>
  <c r="O96" i="18" a="true"/>
  <c r="AF153" i="18" a="true"/>
  <c r="O261" i="18" a="true"/>
  <c r="P302" i="18" a="true"/>
  <c r="AE60" i="18" a="true"/>
  <c r="AF12" i="18" a="true"/>
  <c r="N490" i="18" a="true"/>
  <c r="P276" i="18" a="true"/>
  <c r="AB102" i="18" a="true"/>
  <c r="AA31" i="18" a="true"/>
  <c r="Y451" i="18" a="true"/>
  <c r="P340" i="18" a="true"/>
  <c r="AF96" i="18" a="true"/>
  <c r="AA16" i="18" a="true"/>
  <c r="Y465" i="18" a="true"/>
  <c r="Q88" i="18" a="true"/>
  <c r="W11" i="18" a="true"/>
  <c r="S155" i="18" a="true"/>
  <c r="U297" i="18" a="true"/>
  <c r="V397" i="18" a="true"/>
  <c r="Q430" i="18" a="true"/>
  <c r="R113" i="18" a="true"/>
  <c r="Y78" i="18" a="true"/>
  <c r="I19" i="25" a="true"/>
  <c r="J299" i="25" a="true"/>
  <c r="J392" i="25" a="true"/>
  <c r="Q382" i="18" a="true"/>
  <c r="I426" i="25" a="true"/>
  <c r="AE225" i="18" a="true"/>
  <c r="O108" i="18" a="true"/>
  <c r="AE370" i="18" a="true"/>
  <c r="AE436" i="18" a="true"/>
  <c r="AE289" i="18" a="true"/>
  <c r="P336" i="18" a="true"/>
  <c r="AC450" i="18" a="true"/>
  <c r="AD391" i="18" a="true"/>
  <c r="AC32" i="18" a="true"/>
  <c r="AD40" i="18" a="true"/>
  <c r="AC423" i="18" a="true"/>
  <c r="AB270" i="18" a="true"/>
  <c r="N206" i="18" a="true"/>
  <c r="AC428" i="18" a="true"/>
  <c r="N98" i="18" a="true"/>
  <c r="P186" i="18" a="true"/>
  <c r="O129" i="18" a="true"/>
  <c r="P64" i="18" a="true"/>
  <c r="AA174" i="18" a="true"/>
  <c r="AD134" i="18" a="true"/>
  <c r="AC260" i="18" a="true"/>
  <c r="AF178" i="18" a="true"/>
  <c r="AF17" i="18" a="true"/>
  <c r="AE176" i="18" a="true"/>
  <c r="AE363" i="18" a="true"/>
  <c r="AA354" i="18" a="true"/>
  <c r="AB18" i="18" a="true"/>
  <c r="AB205" i="18" a="true"/>
  <c r="AA434" i="18" a="true"/>
  <c r="AE359" i="18" a="true"/>
  <c r="AB435" i="18" a="true"/>
  <c r="AE104" i="18" a="true"/>
  <c r="P247" i="18" a="true"/>
  <c r="AB201" i="18" a="true"/>
  <c r="AC136" i="18" a="true"/>
  <c r="AF379" i="18" a="true"/>
  <c r="AB28" i="18" a="true"/>
  <c r="N213" i="18" a="true"/>
  <c r="AC493" i="18" a="true"/>
  <c r="AE229" i="18" a="true"/>
  <c r="AA51" i="18" a="true"/>
  <c r="AC144" i="18" a="true"/>
  <c r="O156" i="18" a="true"/>
  <c r="O394" i="18" a="true"/>
  <c r="P120" i="18" a="true"/>
  <c r="N140" i="18" a="true"/>
  <c r="O106" i="18" a="true"/>
  <c r="AA307" i="18" a="true"/>
  <c r="P23" i="18" a="true"/>
  <c r="AC347" i="18" a="true"/>
  <c r="AB328" i="18" a="true"/>
  <c r="P101" i="18" a="true"/>
  <c r="AF279" i="18" a="true"/>
  <c r="N437" i="18" a="true"/>
  <c r="AC234" i="18" a="true"/>
  <c r="AF383" i="18" a="true"/>
  <c r="AB363" i="18" a="true"/>
  <c r="AC411" i="18" a="true"/>
  <c r="S257" i="18" a="true"/>
  <c r="J26" i="25" a="true"/>
  <c r="W436" i="18" a="true"/>
  <c r="Y84" i="18" a="true"/>
  <c r="Y483" i="18" a="true"/>
  <c r="X499" i="18" a="true"/>
  <c r="J84" i="25" a="true"/>
  <c r="J106" i="25" a="true"/>
  <c r="S250" i="18" a="true"/>
  <c r="I248" i="25" a="true"/>
  <c r="Q346" i="18" a="true"/>
  <c r="P108" i="18" a="true"/>
  <c r="AF356" i="18" a="true"/>
  <c r="AE25" i="18" a="true"/>
  <c r="AC479" i="18" a="true"/>
  <c r="O318" i="18" a="true"/>
  <c r="AA57" i="18" a="true"/>
  <c r="AA153" i="18" a="true"/>
  <c r="P267" i="18" a="true"/>
  <c r="AE324" i="18" a="true"/>
  <c r="AB204" i="18" a="true"/>
  <c r="P397" i="18" a="true"/>
  <c r="AD137" i="18" a="true"/>
  <c r="N209" i="18" a="true"/>
  <c r="AA196" i="18" a="true"/>
  <c r="O495" i="18" a="true"/>
  <c r="AD216" i="18" a="true"/>
  <c r="AE424" i="18" a="true"/>
  <c r="O24" i="18" a="true"/>
  <c r="P364" i="18" a="true"/>
  <c r="AF46" i="18" a="true"/>
  <c r="AF504" i="18" a="true"/>
  <c r="N305" i="18" a="true"/>
  <c r="AE413" i="18" a="true"/>
  <c r="AC430" i="18" a="true"/>
  <c r="P246" i="18" a="true"/>
  <c r="AB372" i="18" a="true"/>
  <c r="N229" i="18" a="true"/>
  <c r="AF82" i="18" a="true"/>
  <c r="AC169" i="18" a="true"/>
  <c r="AD171" i="18" a="true"/>
  <c r="AB346" i="18" a="true"/>
  <c r="N454" i="18" a="true"/>
  <c r="P469" i="18" a="true"/>
  <c r="N228" i="18" a="true"/>
  <c r="AB362" i="18" a="true"/>
  <c r="AC279" i="18" a="true"/>
  <c r="AF330" i="18" a="true"/>
  <c r="P146" i="18" a="true"/>
  <c r="AA319" i="18" a="true"/>
  <c r="AD496" i="18" a="true"/>
  <c r="U505" i="18" a="true"/>
  <c r="AF128" i="18" a="true"/>
  <c r="AA363" i="18" a="true"/>
  <c r="AF250" i="18" a="true"/>
  <c r="AF233" i="18" a="true"/>
  <c r="AD124" i="18" a="true"/>
  <c r="P404" i="18" a="true"/>
  <c r="AE231" i="18" a="true"/>
  <c r="P170" i="18" a="true"/>
  <c r="N181" i="18" a="true"/>
  <c r="AA426" i="18" a="true"/>
  <c r="AF494" i="18" a="true"/>
  <c r="AE92" i="18" a="true"/>
  <c r="AB383" i="18" a="true"/>
  <c r="AB21" i="18" a="true"/>
  <c r="AC185" i="18" a="true"/>
  <c r="N234" i="18" a="true"/>
  <c r="AC270" i="18" a="true"/>
  <c r="AC48" i="18" a="true"/>
  <c r="P178" i="18" a="true"/>
  <c r="AA184" i="18" a="true"/>
  <c r="N463" i="18" a="true"/>
  <c r="N333" i="18" a="true"/>
  <c r="N319" i="18" a="true"/>
  <c r="AF477" i="18" a="true"/>
  <c r="AE351" i="18" a="true"/>
  <c r="AB424" i="18" a="true"/>
  <c r="AD446" i="18" a="true"/>
  <c r="AA36" i="18" a="true"/>
  <c r="AF278" i="18" a="true"/>
  <c r="AE46" i="18" a="true"/>
  <c r="AC196" i="18" a="true"/>
  <c r="O178" i="18" a="true"/>
  <c r="P26" i="18" a="true"/>
  <c r="O224" i="18" a="true"/>
  <c r="AB458" i="18" a="true"/>
  <c r="AA30" i="18" a="true"/>
  <c r="N48" i="18" a="true"/>
  <c r="AB188" i="18" a="true"/>
  <c r="O482" i="18" a="true"/>
  <c r="N155" i="18" a="true"/>
  <c r="AB36" i="18" a="true"/>
  <c r="AD378" i="18" a="true"/>
  <c r="AE227" i="18" a="true"/>
  <c r="AE242" i="18" a="true"/>
  <c r="AA53" i="18" a="true"/>
  <c r="J112" i="25" a="true"/>
  <c r="W476" i="18" a="true"/>
  <c r="AD273" i="18" a="true"/>
  <c r="AD207" i="18" a="true"/>
  <c r="AC20" i="18" a="true"/>
  <c r="N17" i="18" a="true"/>
  <c r="AD467" i="18" a="true"/>
  <c r="AD367" i="18" a="true"/>
  <c r="AB427" i="18" a="true"/>
  <c r="P443" i="18" a="true"/>
  <c r="AA378" i="18" a="true"/>
  <c r="T486" i="18" a="true"/>
  <c r="U103" i="18" a="true"/>
  <c r="AB130" i="18" a="true"/>
  <c r="O9" i="18" a="true"/>
  <c r="O274" i="18" a="true"/>
  <c r="AD184" i="18" a="true"/>
  <c r="AB86" i="18" a="true"/>
  <c r="P430" i="18" a="true"/>
  <c r="AD131" i="18" a="true"/>
  <c r="AE135" i="18" a="true"/>
  <c r="U179" i="18" a="true"/>
  <c r="S383" i="18" a="true"/>
  <c r="AF206" i="18" a="true"/>
  <c r="AF486" i="18" a="true"/>
  <c r="AE278" i="18" a="true"/>
  <c r="AF428" i="18" a="true"/>
  <c r="AD369" i="18" a="true"/>
  <c r="AA156" i="18" a="true"/>
  <c r="AA451" i="18" a="true"/>
  <c r="N356" i="18" a="true"/>
  <c r="AE308" i="18" a="true"/>
  <c r="P195" i="18" a="true"/>
  <c r="AF132" i="18" a="true"/>
  <c r="V420" i="18" a="true"/>
  <c r="X190" i="18" a="true"/>
  <c r="AF110" i="18" a="true"/>
  <c r="AF309" i="18" a="true"/>
  <c r="AC34" i="18" a="true"/>
  <c r="AE84" i="18" a="true"/>
  <c r="AD215" i="18" a="true"/>
  <c r="AB181" i="18" a="true"/>
  <c r="O95" i="18" a="true"/>
  <c r="AA70" i="18" a="true"/>
  <c r="AC120" i="18" a="true"/>
  <c r="J271" i="25" a="true"/>
  <c r="R319" i="18" a="true"/>
  <c r="Y105" i="18" a="true"/>
  <c r="V46" i="18" a="true"/>
  <c r="J448" i="25" a="true"/>
  <c r="W117" i="18" a="true"/>
  <c r="U378" i="18" a="true"/>
  <c r="T112" i="18" a="true"/>
  <c r="Y131" i="18" a="true"/>
  <c r="U42" i="18" a="true"/>
  <c r="I258" i="25" a="true"/>
  <c r="U492" i="18" a="true"/>
  <c r="I180" i="25" a="true"/>
  <c r="Y230" i="18" a="true"/>
  <c r="W10" i="18" a="true"/>
  <c r="AA198" i="18" a="true"/>
  <c r="AB168" i="18" a="true"/>
  <c r="AF448" i="18" a="true"/>
  <c r="O266" i="18" a="true"/>
  <c r="AA271" i="18" a="true"/>
  <c r="AD431" i="18" a="true"/>
  <c r="P157" i="18" a="true"/>
  <c r="O182" i="18" a="true"/>
  <c r="AC474" i="18" a="true"/>
  <c r="AA421" i="18" a="true"/>
  <c r="AD279" i="18" a="true"/>
  <c r="AC499" i="18" a="true"/>
  <c r="AA348" i="18" a="true"/>
  <c r="AF491" i="18" a="true"/>
  <c r="AF461" i="18" a="true"/>
  <c r="O203" i="18" a="true"/>
  <c r="N302" i="18" a="true"/>
  <c r="AE309" i="18" a="true"/>
  <c r="AF130" i="18" a="true"/>
  <c r="AB94" i="18" a="true"/>
  <c r="AC357" i="18" a="true"/>
  <c r="AD426" i="18" a="true"/>
  <c r="N447" i="18" a="true"/>
  <c r="AA239" i="18" a="true"/>
  <c r="AC505" i="18" a="true"/>
  <c r="P396" i="18" a="true"/>
  <c r="AE54" i="18" a="true"/>
  <c r="AB211" i="18" a="true"/>
  <c r="T262" i="18" a="true"/>
  <c r="AD388" i="18" a="true"/>
  <c r="O362" i="18" a="true"/>
  <c r="W355" i="18" a="true"/>
  <c r="AA299" i="18" a="true"/>
  <c r="O477" i="18" a="true"/>
  <c r="AB271" i="18" a="true"/>
  <c r="AE233" i="18" a="true"/>
  <c r="AB63" i="18" a="true"/>
  <c r="O133" i="18" a="true"/>
  <c r="S138" i="18" a="true"/>
  <c r="P198" i="18" a="true"/>
  <c r="S348" i="18" a="true"/>
  <c r="AC228" i="18" a="true"/>
  <c r="S475" i="18" a="true"/>
  <c r="V497" i="18" a="true"/>
  <c r="O343" i="18" a="true"/>
  <c r="V462" i="18" a="true"/>
  <c r="N146" i="18" a="true"/>
  <c r="P284" i="18" a="true"/>
  <c r="AE425" i="18" a="true"/>
  <c r="AE96" i="18" a="true"/>
  <c r="R105" i="18" a="true"/>
  <c r="P68" i="18" a="true"/>
  <c r="I349" i="25" a="true"/>
  <c r="P98" i="18" a="true"/>
  <c r="AF205" i="18" a="true"/>
  <c r="AE390" i="18" a="true"/>
  <c r="Q457" i="18" a="true"/>
  <c r="V150" i="18" a="true"/>
  <c r="R188" i="18" a="true"/>
  <c r="I259" i="25" a="true"/>
  <c r="U275" i="18" a="true"/>
  <c r="T114" i="18" a="true"/>
  <c r="Y459" i="18" a="true"/>
  <c r="R16" i="18" a="true"/>
  <c r="R437" i="18" a="true"/>
  <c r="I140" i="25" a="true"/>
  <c r="U252" i="18" a="true"/>
  <c r="Q128" i="18" a="true"/>
  <c r="N72" i="18" a="true"/>
  <c r="AF371" i="18" a="true"/>
  <c r="N238" i="18" a="true"/>
  <c r="AC304" i="18" a="true"/>
  <c r="AA163" i="18" a="true"/>
  <c r="AF316" i="18" a="true"/>
  <c r="P149" i="18" a="true"/>
  <c r="AE76" i="18" a="true"/>
  <c r="I313" i="25" a="true"/>
  <c r="P19" i="18" a="true"/>
  <c r="O371" i="18" a="true"/>
  <c r="S410" i="18" a="true"/>
  <c r="N254" i="18" a="true"/>
  <c r="R126" i="18" a="true"/>
  <c r="AC204" i="18" a="true"/>
  <c r="N126" i="18" a="true"/>
  <c r="N354" i="18" a="true"/>
  <c r="X123" i="18" a="true"/>
  <c r="R338" i="18" a="true"/>
  <c r="Y413" i="18" a="true"/>
  <c r="X421" i="18" a="true"/>
  <c r="W14" i="18" a="true"/>
  <c r="V27" i="18" a="true"/>
  <c r="J167" i="25" a="true"/>
  <c r="R359" i="18" a="true"/>
  <c r="I93" i="25" a="true"/>
  <c r="I63" i="25" a="true"/>
  <c r="W218" i="18" a="true"/>
  <c r="V12" i="18" a="true"/>
  <c r="I480" i="25" a="true"/>
  <c r="AA147" i="18" a="true"/>
  <c r="N267" i="18" a="true"/>
  <c r="N58" i="18" a="true"/>
  <c r="P253" i="18" a="true"/>
  <c r="N148" i="18" a="true"/>
  <c r="AB302" i="18" a="true"/>
  <c r="AF274" i="18" a="true"/>
  <c r="AB55" i="18" a="true"/>
  <c r="AF142" i="18" a="true"/>
  <c r="AA64" i="18" a="true"/>
  <c r="I175" i="25" a="true"/>
  <c r="P460" i="18" a="true"/>
  <c r="J388" i="25" a="true"/>
  <c r="J134" i="25" a="true"/>
  <c r="N215" i="18" a="true"/>
  <c r="Y254" i="18" a="true"/>
  <c r="R33" i="18" a="true"/>
  <c r="Y323" i="18" a="true"/>
  <c r="W318" i="18" a="true"/>
  <c r="R401" i="18" a="true"/>
  <c r="W259" i="18" a="true"/>
  <c r="J409" i="25" a="true"/>
  <c r="J159" i="25" a="true"/>
  <c r="S58" i="18" a="true"/>
  <c r="Q299" i="18" a="true"/>
  <c r="U484" i="18" a="true"/>
  <c r="W312" i="18" a="true"/>
  <c r="Q94" i="18" a="true"/>
  <c r="I268" i="25" a="true"/>
  <c r="N383" i="18" a="true"/>
  <c r="P138" i="18" a="true"/>
  <c r="AF265" i="18" a="true"/>
  <c r="AC350" i="18" a="true"/>
  <c r="N343" i="18" a="true"/>
  <c r="AF169" i="18" a="true"/>
  <c r="AE377" i="18" a="true"/>
  <c r="AD73" i="18" a="true"/>
  <c r="AB344" i="18" a="true"/>
  <c r="AD317" i="18" a="true"/>
  <c r="AE94" i="18" a="true"/>
  <c r="AC281" i="18" a="true"/>
  <c r="AB219" i="18" a="true"/>
  <c r="AC419" i="18" a="true"/>
  <c r="AA368" i="18" a="true"/>
  <c r="AF63" i="18" a="true"/>
  <c r="O268" i="18" a="true"/>
  <c r="AF285" i="18" a="true"/>
  <c r="AA279" i="18" a="true"/>
  <c r="AA302" i="18" a="true"/>
  <c r="N430" i="18" a="true"/>
  <c r="AC467" i="18" a="true"/>
  <c r="AF151" i="18" a="true"/>
  <c r="AB287" i="18" a="true"/>
  <c r="AA135" i="18" a="true"/>
  <c r="P145" i="18" a="true"/>
  <c r="AF199" i="18" a="true"/>
  <c r="Y260" i="18" a="true"/>
  <c r="AA46" i="18" a="true"/>
  <c r="AE151" i="18" a="true"/>
  <c r="I234" i="25" a="true"/>
  <c r="AF122" i="18" a="true"/>
  <c r="AE339" i="18" a="true"/>
  <c r="AC299" i="18" a="true"/>
  <c r="Q398" i="18" a="true"/>
  <c r="X326" i="18" a="true"/>
  <c r="V317" i="18" a="true"/>
  <c r="X353" i="18" a="true"/>
  <c r="V315" i="18" a="true"/>
  <c r="U223" i="18" a="true"/>
  <c r="J305" i="25" a="true"/>
  <c r="R76" i="18" a="true"/>
  <c r="Y493" i="18" a="true"/>
  <c r="X22" i="18" a="true"/>
  <c r="V297" i="18" a="true"/>
  <c r="J465" i="25" a="true"/>
  <c r="I395" i="25" a="true"/>
  <c r="Y307" i="18" a="true"/>
  <c r="AE85" i="18" a="true"/>
  <c r="AB182" i="18" a="true"/>
  <c r="AE37" i="18" a="true"/>
  <c r="AD186" i="18" a="true"/>
  <c r="AD372" i="18" a="true"/>
  <c r="N196" i="18" a="true"/>
  <c r="AD65" i="18" a="true"/>
  <c r="N435" i="18" a="true"/>
  <c r="U173" i="18" a="true"/>
  <c r="AD70" i="18" a="true"/>
  <c r="AA491" i="18" a="true"/>
  <c r="I183" i="25" a="true"/>
  <c r="P73" i="18" a="true"/>
  <c r="W301" i="18" a="true"/>
  <c r="AB248" i="18" a="true"/>
  <c r="N41" i="18" a="true"/>
  <c r="O185" i="18" a="true"/>
  <c r="U142" i="18" a="true"/>
  <c r="U464" i="18" a="true"/>
  <c r="Q308" i="18" a="true"/>
  <c r="Y269" i="18" a="true"/>
  <c r="S367" i="18" a="true"/>
  <c r="I249" i="25" a="true"/>
  <c r="I321" i="25" a="true"/>
  <c r="V166" i="18" a="true"/>
  <c r="V68" i="18" a="true"/>
  <c r="U304" i="18" a="true"/>
  <c r="S195" i="18" a="true"/>
  <c r="I343" i="25" a="true"/>
  <c r="V259" i="18" a="true"/>
  <c r="AA366" i="18" a="true"/>
  <c r="AF170" i="18" a="true"/>
  <c r="AC477" i="18" a="true"/>
  <c r="AA501" i="18" a="true"/>
  <c r="AC292" i="18" a="true"/>
  <c r="P243" i="18" a="true"/>
  <c r="N275" i="18" a="true"/>
  <c r="N84" i="18" a="true"/>
  <c r="AF350" i="18" a="true"/>
  <c r="O483" i="18" a="true"/>
  <c r="P65" i="18" a="true"/>
  <c r="AE217" i="18" a="true"/>
  <c r="AB477" i="18" a="true"/>
  <c r="O253" i="18" a="true"/>
  <c r="AA322" i="18" a="true"/>
  <c r="AB54" i="18" a="true"/>
  <c r="AE240" i="18" a="true"/>
  <c r="O158" i="18" a="true"/>
  <c r="P343" i="18" a="true"/>
  <c r="N91" i="18" a="true"/>
  <c r="AF397" i="18" a="true"/>
  <c r="AF407" i="18" a="true"/>
  <c r="AB41" i="18" a="true"/>
  <c r="AE219" i="18" a="true"/>
  <c r="P181" i="18" a="true"/>
  <c r="AA445" i="18" a="true"/>
  <c r="AA356" i="18" a="true"/>
  <c r="AE187" i="18" a="true"/>
  <c r="P411" i="18" a="true"/>
  <c r="X92" i="18" a="true"/>
  <c r="N212" i="18" a="true"/>
  <c r="AF116" i="18" a="true"/>
  <c r="X23" i="18" a="true"/>
  <c r="Q14" i="18" a="true"/>
  <c r="V301" i="18" a="true"/>
  <c r="J20" i="25" a="true"/>
  <c r="R118" i="18" a="true"/>
  <c r="W250" i="18" a="true"/>
  <c r="Q86" i="18" a="true"/>
  <c r="Q437" i="18" a="true"/>
  <c r="V410" i="18" a="true"/>
  <c r="I71" i="25" a="true"/>
  <c r="T235" i="18" a="true"/>
  <c r="T134" i="18" a="true"/>
  <c r="V292" i="18" a="true"/>
  <c r="AB330" i="18" a="true"/>
  <c r="AD472" i="18" a="true"/>
  <c r="AE343" i="18" a="true"/>
  <c r="AA181" i="18" a="true"/>
  <c r="AC426" i="18" a="true"/>
  <c r="P271" i="18" a="true"/>
  <c r="AA159" i="18" a="true"/>
  <c r="AC502" i="18" a="true"/>
  <c r="N301" i="18" a="true"/>
  <c r="AD339" i="18" a="true"/>
  <c r="N208" i="18" a="true"/>
  <c r="AA17" i="18" a="true"/>
  <c r="AA389" i="18" a="true"/>
  <c r="AE156" i="18" a="true"/>
  <c r="AD443" i="18" a="true"/>
  <c r="AE442" i="18" a="true"/>
  <c r="AD334" i="18" a="true"/>
  <c r="N486" i="18" a="true"/>
  <c r="AA164" i="18" a="true"/>
  <c r="P493" i="18" a="true"/>
  <c r="AF272" i="18" a="true"/>
  <c r="O197" i="18" a="true"/>
  <c r="AD345" i="18" a="true"/>
  <c r="P449" i="18" a="true"/>
  <c r="AF49" i="18" a="true"/>
  <c r="AF84" i="18" a="true"/>
  <c r="P332" i="18" a="true"/>
  <c r="AB279" i="18" a="true"/>
  <c r="AF166" i="18" a="true"/>
  <c r="AA211" i="18" a="true"/>
  <c r="P476" i="18" a="true"/>
  <c r="AA413" i="18" a="true"/>
  <c r="AB333" i="18" a="true"/>
  <c r="AF246" i="18" a="true"/>
  <c r="AA339" i="18" a="true"/>
  <c r="N325" i="18" a="true"/>
  <c r="O292" i="18" a="true"/>
  <c r="AC300" i="18" a="true"/>
  <c r="N171" i="18" a="true"/>
  <c r="AC107" i="18" a="true"/>
  <c r="AE421" i="18" a="true"/>
  <c r="AC10" i="18" a="true"/>
  <c r="AC182" i="18" a="true"/>
  <c r="T265" i="18" a="true"/>
  <c r="N416" i="18" a="true"/>
  <c r="N488" i="18" a="true"/>
  <c r="P410" i="18" a="true"/>
  <c r="AE52" i="18" a="true"/>
  <c r="AC142" i="18" a="true"/>
  <c r="P392" i="18" a="true"/>
  <c r="AC60" i="18" a="true"/>
  <c r="O94" i="18" a="true"/>
  <c r="J387" i="25" a="true"/>
  <c r="N115" i="18" a="true"/>
  <c r="AB345" i="18" a="true"/>
  <c r="X320" i="18" a="true"/>
  <c r="U454" i="18" a="true"/>
  <c r="U430" i="18" a="true"/>
  <c r="Q475" i="18" a="true"/>
  <c r="Q67" i="18" a="true"/>
  <c r="W368" i="18" a="true"/>
  <c r="X264" i="18" a="true"/>
  <c r="T286" i="18" a="true"/>
  <c r="U128" i="18" a="true"/>
  <c r="J412" i="25" a="true"/>
  <c r="I75" i="25" a="true"/>
  <c r="I114" i="25" a="true"/>
  <c r="V241" i="18" a="true"/>
  <c r="O138" i="18" a="true"/>
  <c r="P37" i="18" a="true"/>
  <c r="AB401" i="18" a="true"/>
  <c r="P51" i="18" a="true"/>
  <c r="AE493" i="18" a="true"/>
  <c r="N23" i="18" a="true"/>
  <c r="P20" i="18" a="true"/>
  <c r="AD390" i="18" a="true"/>
  <c r="AF219" i="18" a="true"/>
  <c r="AE119" i="18" a="true"/>
  <c r="AC288" i="18" a="true"/>
  <c r="AA252" i="18" a="true"/>
  <c r="P28" i="18" a="true"/>
  <c r="N483" i="18" a="true"/>
  <c r="AE14" i="18" a="true"/>
  <c r="O286" i="18" a="true"/>
  <c r="AF296" i="18" a="true"/>
  <c r="O140" i="18" a="true"/>
  <c r="P18" i="18" a="true"/>
  <c r="AF359" i="18" a="true"/>
  <c r="N227" i="18" a="true"/>
  <c r="O305" i="18" a="true"/>
  <c r="AA84" i="18" a="true"/>
  <c r="AB193" i="18" a="true"/>
  <c r="AC439" i="18" a="true"/>
  <c r="O356" i="18" a="true"/>
  <c r="AE346" i="18" a="true"/>
  <c r="AD444" i="18" a="true"/>
  <c r="AE241" i="18" a="true"/>
  <c r="N365" i="18" a="true"/>
  <c r="O248" i="18" a="true"/>
  <c r="O347" i="18" a="true"/>
  <c r="N357" i="18" a="true"/>
  <c r="AD470" i="18" a="true"/>
  <c r="N414" i="18" a="true"/>
  <c r="AD35" i="18" a="true"/>
  <c r="AA270" i="18" a="true"/>
  <c r="AD293" i="18" a="true"/>
  <c r="AC208" i="18" a="true"/>
  <c r="P127" i="18" a="true"/>
  <c r="AE272" i="18" a="true"/>
  <c r="AE211" i="18" a="true"/>
  <c r="AC254" i="18" a="true"/>
  <c r="Q483" i="18" a="true"/>
  <c r="Q155" i="18" a="true"/>
  <c r="X430" i="18" a="true"/>
  <c r="T87" i="18" a="true"/>
  <c r="J149" i="25" a="true"/>
  <c r="S186" i="18" a="true"/>
  <c r="U170" i="18" a="true"/>
  <c r="V471" i="18" a="true"/>
  <c r="Q24" i="18" a="true"/>
  <c r="T89" i="18" a="true"/>
  <c r="I80" i="25" a="true"/>
  <c r="R224" i="18" a="true"/>
  <c r="V240" i="18" a="true"/>
  <c r="AD53" i="18" a="true"/>
  <c r="P161" i="18" a="true"/>
  <c r="N399" i="18" a="true"/>
  <c r="O382" i="18" a="true"/>
  <c r="AA131" i="18" a="true"/>
  <c r="O169" i="18" a="true"/>
  <c r="AE503" i="18" a="true"/>
  <c r="N474" i="18" a="true"/>
  <c r="O332" i="18" a="true"/>
  <c r="O468" i="18" a="true"/>
  <c r="AE138" i="18" a="true"/>
  <c r="AA280" i="18" a="true"/>
  <c r="AC363" i="18" a="true"/>
  <c r="AB208" i="18" a="true"/>
  <c r="AA385" i="18" a="true"/>
  <c r="AD259" i="18" a="true"/>
  <c r="AD219" i="18" a="true"/>
  <c r="AD263" i="18" a="true"/>
  <c r="AD118" i="18" a="true"/>
  <c r="AC249" i="18" a="true"/>
  <c r="N30" i="18" a="true"/>
  <c r="AD311" i="18" a="true"/>
  <c r="AA47" i="18" a="true"/>
  <c r="O487" i="18" a="true"/>
  <c r="N45" i="18" a="true"/>
  <c r="AA102" i="18" a="true"/>
  <c r="P383" i="18" a="true"/>
  <c r="AC211" i="18" a="true"/>
  <c r="N92" i="18" a="true"/>
  <c r="N379" i="18" a="true"/>
  <c r="P339" i="18" a="true"/>
  <c r="AC504" i="18" a="true"/>
  <c r="AB100" i="18" a="true"/>
  <c r="AE73" i="18" a="true"/>
  <c r="O364" i="18" a="true"/>
  <c r="P88" i="18" a="true"/>
  <c r="AC253" i="18" a="true"/>
  <c r="AF163" i="18" a="true"/>
  <c r="AA304" i="18" a="true"/>
  <c r="AB337" i="18" a="true"/>
  <c r="O7" i="18" a="true"/>
  <c r="AE59" i="18" a="true"/>
  <c r="AF231" i="18" a="true"/>
  <c r="Q426" i="18" a="true"/>
  <c r="W246" i="18" a="true"/>
  <c r="J33" i="25" a="true"/>
  <c r="I43" i="25" a="true"/>
  <c r="J467" i="25" a="true"/>
  <c r="I173" i="25" a="true"/>
  <c r="U139" i="18" a="true"/>
  <c r="R422" i="18" a="true"/>
  <c r="W461" i="18" a="true"/>
  <c r="V93" i="18" a="true"/>
  <c r="Y51" i="18" a="true"/>
  <c r="S106" i="18" a="true"/>
  <c r="Y55" i="18" a="true"/>
  <c r="AA254" i="18" a="true"/>
  <c r="AA248" i="18" a="true"/>
  <c r="AF422" i="18" a="true"/>
  <c r="P168" i="18" a="true"/>
  <c r="AD412" i="18" a="true"/>
  <c r="AB488" i="18" a="true"/>
  <c r="P62" i="18" a="true"/>
  <c r="AC252" i="18" a="true"/>
  <c r="AB429" i="18" a="true"/>
  <c r="AE123" i="18" a="true"/>
  <c r="AD190" i="18" a="true"/>
  <c r="AB382" i="18" a="true"/>
  <c r="P245" i="18" a="true"/>
  <c r="AB297" i="18" a="true"/>
  <c r="AE474" i="18" a="true"/>
  <c r="N61" i="18" a="true"/>
  <c r="N49" i="18" a="true"/>
  <c r="AA468" i="18" a="true"/>
  <c r="P124" i="18" a="true"/>
  <c r="O324" i="18" a="true"/>
  <c r="N114" i="18" a="true"/>
  <c r="P115" i="18" a="true"/>
  <c r="AF484" i="18" a="true"/>
  <c r="AD320" i="18" a="true"/>
  <c r="AE220" i="18" a="true"/>
  <c r="AD209" i="18" a="true"/>
  <c r="AC114" i="18" a="true"/>
  <c r="AE440" i="18" a="true"/>
  <c r="AF187" i="18" a="true"/>
  <c r="O325" i="18" a="true"/>
  <c r="O420" i="18" a="true"/>
  <c r="AB503" i="18" a="true"/>
  <c r="AA75" i="18" a="true"/>
  <c r="P142" i="18" a="true"/>
  <c r="O465" i="18" a="true"/>
  <c r="AD228" i="18" a="true"/>
  <c r="N505" i="18" a="true"/>
  <c r="AE157" i="18" a="true"/>
  <c r="AC17" i="18" a="true"/>
  <c r="P272" i="18" a="true"/>
  <c r="AF212" i="18" a="true"/>
  <c r="AE78" i="18" a="true"/>
  <c r="N202" i="18" a="true"/>
  <c r="V455" i="18" a="true"/>
  <c r="R26" i="18" a="true"/>
  <c r="X133" i="18" a="true"/>
  <c r="J138" i="25" a="true"/>
  <c r="J35" i="25" a="true"/>
  <c r="Q170" i="18" a="true"/>
  <c r="I123" i="25" a="true"/>
  <c r="I56" i="25" a="true"/>
  <c r="S177" i="18" a="true"/>
  <c r="N28" i="18" a="true"/>
  <c r="P87" i="18" a="true"/>
  <c r="AF311" i="18" a="true"/>
  <c r="AE66" i="18" a="true"/>
  <c r="AE337" i="18" a="true"/>
  <c r="N380" i="18" a="true"/>
  <c r="O295" i="18" a="true"/>
  <c r="AC398" i="18" a="true"/>
  <c r="N10" i="18" a="true"/>
  <c r="O26" i="18" a="true"/>
  <c r="AA444" i="18" a="true"/>
  <c r="AD77" i="18" a="true"/>
  <c r="AD103" i="18" a="true"/>
  <c r="AC282" i="18" a="true"/>
  <c r="AD309" i="18" a="true"/>
  <c r="AB52" i="18" a="true"/>
  <c r="AB203" i="18" a="true"/>
  <c r="AC183" i="18" a="true"/>
  <c r="AC361" i="18" a="true"/>
  <c r="AA11" i="18" a="true"/>
  <c r="P219" i="18" a="true"/>
  <c r="N46" i="18" a="true"/>
  <c r="AB409" i="18" a="true"/>
  <c r="AC92" i="18" a="true"/>
  <c r="AC50" i="18" a="true"/>
  <c r="AF209" i="18" a="true"/>
  <c r="AC272" i="18" a="true"/>
  <c r="AC108" i="18" a="true"/>
  <c r="AB13" i="18" a="true"/>
  <c r="U318" i="18" a="true"/>
  <c r="AA25" i="18" a="true"/>
  <c r="AA437" i="18" a="true"/>
  <c r="AE398" i="18" a="true"/>
  <c r="AF394" i="18" a="true"/>
  <c r="AB291" i="18" a="true"/>
  <c r="AA90" i="18" a="true"/>
  <c r="AA260" i="18" a="true"/>
  <c r="O460" i="18" a="true"/>
  <c r="N70" i="18" a="true"/>
  <c r="O107" i="18" a="true"/>
  <c r="AB292" i="18" a="true"/>
  <c r="AC226" i="18" a="true"/>
  <c r="AC490" i="18" a="true"/>
  <c r="AA404" i="18" a="true"/>
  <c r="AC70" i="18" a="true"/>
  <c r="AE277" i="18" a="true"/>
  <c r="AC290" i="18" a="true"/>
  <c r="AA61" i="18" a="true"/>
  <c r="AA149" i="18" a="true"/>
  <c r="AC409" i="18" a="true"/>
  <c r="N153" i="18" a="true"/>
  <c r="W29" i="18" a="true"/>
  <c r="U409" i="18" a="true"/>
  <c r="J297" i="25" a="true"/>
  <c r="J427" i="25" a="true"/>
  <c r="I437" i="25" a="true"/>
  <c r="Y417" i="18" a="true"/>
  <c r="J494" i="25" a="true"/>
  <c r="R146" i="18" a="true"/>
  <c r="U20" i="18" a="true"/>
  <c r="I77" i="25" a="true"/>
  <c r="AC309" i="18" a="true"/>
  <c r="AF208" i="18" a="true"/>
  <c r="AF81" i="18" a="true"/>
  <c r="O73" i="18" a="true"/>
  <c r="AD487" i="18" a="true"/>
  <c r="N345" i="18" a="true"/>
  <c r="AD132" i="18" a="true"/>
  <c r="O384" i="18" a="true"/>
  <c r="N185" i="18" a="true"/>
  <c r="N147" i="18" a="true"/>
  <c r="AD101" i="18" a="true"/>
  <c r="O352" i="18" a="true"/>
  <c r="N116" i="18" a="true"/>
  <c r="P322" i="18" a="true"/>
  <c r="AB484" i="18" a="true"/>
  <c r="O392" i="18" a="true"/>
  <c r="P154" i="18" a="true"/>
  <c r="I333" i="25" a="true"/>
  <c r="W91" i="18" a="true"/>
  <c r="J296" i="25" a="true"/>
  <c r="AA428" i="18" a="true"/>
  <c r="AB35" i="18" a="true"/>
  <c r="AC77" i="18" a="true"/>
  <c r="AC224" i="18" a="true"/>
  <c r="AB20" i="18" a="true"/>
  <c r="AD328" i="18" a="true"/>
  <c r="AC42" i="18" a="true"/>
  <c r="AC161" i="18" a="true"/>
  <c r="N298" i="18" a="true"/>
  <c r="AB480" i="18" a="true"/>
  <c r="P197" i="18" a="true"/>
  <c r="AF89" i="18" a="true"/>
  <c r="Q210" i="18" a="true"/>
  <c r="AE44" i="18" a="true"/>
  <c r="W229" i="18" a="true"/>
  <c r="J434" i="25" a="true"/>
  <c r="J314" i="25" a="true"/>
  <c r="Q328" i="18" a="true"/>
  <c r="J108" i="25" a="true"/>
  <c r="X357" i="18" a="true"/>
  <c r="W56" i="18" a="true"/>
  <c r="J214" i="25" a="true"/>
  <c r="T85" i="18" a="true"/>
  <c r="X416" i="18" a="true"/>
  <c r="V309" i="18" a="true"/>
  <c r="X128" i="18" a="true"/>
  <c r="T410" i="18" a="true"/>
  <c r="AD211" i="18" a="true"/>
  <c r="P403" i="18" a="true"/>
  <c r="AE475" i="18" a="true"/>
  <c r="AF129" i="18" a="true"/>
  <c r="AD41" i="18" a="true"/>
  <c r="AB449" i="18" a="true"/>
  <c r="AC362" i="18" a="true"/>
  <c r="AD92" i="18" a="true"/>
  <c r="AB215" i="18" a="true"/>
  <c r="AB239" i="18" a="true"/>
  <c r="AA335" i="18" a="true"/>
  <c r="AC485" i="18" a="true"/>
  <c r="AB93" i="18" a="true"/>
  <c r="AF315" i="18" a="true"/>
  <c r="AC463" i="18" a="true"/>
  <c r="P32" i="18" a="true"/>
  <c r="AF304" i="18" a="true"/>
  <c r="AD20" i="18" a="true"/>
  <c r="AB278" i="18" a="true"/>
  <c r="AD93" i="18" a="true"/>
  <c r="O489" i="18" a="true"/>
  <c r="AA113" i="18" a="true"/>
  <c r="AB106" i="18" a="true"/>
  <c r="AC360" i="18" a="true"/>
  <c r="O358" i="18" a="true"/>
  <c r="AA337" i="18" a="true"/>
  <c r="AC444" i="18" a="true"/>
  <c r="AD393" i="18" a="true"/>
  <c r="O273" i="18" a="true"/>
  <c r="O209" i="18" a="true"/>
  <c r="AC396" i="18" a="true"/>
  <c r="AA250" i="18" a="true"/>
  <c r="AA281" i="18" a="true"/>
  <c r="AB170" i="18" a="true"/>
  <c r="AE334" i="18" a="true"/>
  <c r="N205" i="18" a="true"/>
  <c r="AB27" i="18" a="true"/>
  <c r="AD506" i="18" a="true"/>
  <c r="AC366" i="18" a="true"/>
  <c r="P184" i="18" a="true"/>
  <c r="AB323" i="18" a="true"/>
  <c r="P376" i="18" a="true"/>
  <c r="W155" i="18" a="true"/>
  <c r="R503" i="18" a="true"/>
  <c r="J171" i="25" a="true"/>
  <c r="U377" i="18" a="true"/>
  <c r="T209" i="18" a="true"/>
  <c r="S247" i="18" a="true"/>
  <c r="I388" i="25" a="true"/>
  <c r="I102" i="25" a="true"/>
  <c r="T435" i="18" a="true"/>
  <c r="R262" i="18" a="true"/>
  <c r="Q441" i="18" a="true"/>
  <c r="J471" i="25" a="true"/>
  <c r="O62" i="18" a="true"/>
  <c r="AE443" i="18" a="true"/>
  <c r="O77" i="18" a="true"/>
  <c r="P112" i="18" a="true"/>
  <c r="O442" i="18" a="true"/>
  <c r="AC370" i="18" a="true"/>
  <c r="AB298" i="18" a="true"/>
  <c r="AB366" i="18" a="true"/>
  <c r="AD38" i="18" a="true"/>
  <c r="AA474" i="18" a="true"/>
  <c r="AA441" i="18" a="true"/>
  <c r="O139" i="18" a="true"/>
  <c r="AA209" i="18" a="true"/>
  <c r="AB274" i="18" a="true"/>
  <c r="J398" i="25" a="true"/>
  <c r="AA140" i="18" a="true"/>
  <c r="AD169" i="18" a="true"/>
  <c r="R339" i="18" a="true"/>
  <c r="I7" i="25" a="true"/>
  <c r="R81" i="18" a="true"/>
  <c r="O368" i="18" a="true"/>
  <c r="N27" i="18" a="true"/>
  <c r="AB43" i="18" a="true"/>
  <c r="AF280" i="18" a="true"/>
  <c r="O176" i="18" a="true"/>
  <c r="AE251" i="18" a="true"/>
  <c r="AE113" i="18" a="true"/>
  <c r="AA168" i="18" a="true"/>
  <c r="V82" i="18" a="true"/>
  <c r="AF347" i="18" a="true"/>
  <c r="AD21" i="18" a="true"/>
  <c r="O124" i="18" a="true"/>
  <c r="AD54" i="18" a="true"/>
  <c r="P169" i="18" a="true"/>
  <c r="AA452" i="18" a="true"/>
  <c r="AC271" i="18" a="true"/>
  <c r="AE180" i="18" a="true"/>
  <c r="N324" i="18" a="true"/>
  <c r="AB445" i="18" a="true"/>
  <c r="AF286" i="18" a="true"/>
  <c r="AA14" i="18" a="true"/>
  <c r="AC327" i="18" a="true"/>
  <c r="AF351" i="18" a="true"/>
  <c r="AE111" i="18" a="true"/>
  <c r="AF493" i="18" a="true"/>
  <c r="T413" i="18" a="true"/>
  <c r="AF395" i="18" a="true"/>
  <c r="N199" i="18" a="true"/>
  <c r="P425" i="18" a="true"/>
  <c r="P456" i="18" a="true"/>
  <c r="N182" i="18" a="true"/>
  <c r="AE9" i="18" a="true"/>
  <c r="S344" i="18" a="true"/>
  <c r="AA154" i="18" a="true"/>
  <c r="J345" i="25" a="true"/>
  <c r="W325" i="18" a="true"/>
  <c r="X387" i="18" a="true"/>
  <c r="J488" i="25" a="true"/>
  <c r="AB162" i="18" a="true"/>
  <c r="AA193" i="18" a="true"/>
  <c r="AF48" i="18" a="true"/>
  <c r="N52" i="18" a="true"/>
  <c r="AB369" i="18" a="true"/>
  <c r="AC37" i="18" a="true"/>
  <c r="AA315" i="18" a="true"/>
  <c r="AD111" i="18" a="true"/>
  <c r="AE276" i="18" a="true"/>
  <c r="AE205" i="18" a="true"/>
  <c r="AC59" i="18" a="true"/>
  <c r="I211" i="25" a="true"/>
  <c r="T335" i="18" a="true"/>
  <c r="R187" i="18" a="true"/>
  <c r="AD182" i="18" a="true"/>
  <c r="AF102" i="18" a="true"/>
  <c r="AD504" i="18" a="true"/>
  <c r="O478" i="18" a="true"/>
  <c r="AF42" i="18" a="true"/>
  <c r="AB260" i="18" a="true"/>
  <c r="N367" i="18" a="true"/>
  <c r="AC413" i="18" a="true"/>
  <c r="AA285" i="18" a="true"/>
  <c r="Y496" i="18" a="true"/>
  <c r="O311" i="18" a="true"/>
  <c r="AD425" i="18" a="true"/>
  <c r="T222" i="18" a="true"/>
  <c r="AB251" i="18" a="true"/>
  <c r="O373" i="18" a="true"/>
  <c r="P220" i="18" a="true"/>
  <c r="AA236" i="18" a="true"/>
  <c r="AA294" i="18" a="true"/>
  <c r="V232" i="18" a="true"/>
  <c r="O314" i="18" a="true"/>
  <c r="AC95" i="18" a="true"/>
  <c r="AF357" i="18" a="true"/>
  <c r="AF411" i="18" a="true"/>
  <c r="Y59" i="18" a="true"/>
  <c r="AF157" i="18" a="true"/>
  <c r="O291" i="18" a="true"/>
  <c r="AF331" i="18" a="true"/>
  <c r="J11" i="25" a="true"/>
  <c r="AB202" i="18" a="true"/>
  <c r="AC56" i="18" a="true"/>
  <c r="N470" i="18" a="true"/>
  <c r="AD61" i="18" a="true"/>
  <c r="AA443" i="18" a="true"/>
  <c r="AE347" i="18" a="true"/>
  <c r="J368" i="25" a="true"/>
  <c r="V450" i="18" a="true"/>
  <c r="T178" i="18" a="true"/>
  <c r="AF23" i="18" a="true"/>
  <c r="AB213" i="18" a="true"/>
  <c r="AB137" i="18" a="true"/>
  <c r="AD195" i="18" a="true"/>
  <c r="AC421" i="18" a="true"/>
  <c r="AE504" i="18" a="true"/>
  <c r="AA132" i="18" a="true"/>
  <c r="N164" i="18" a="true"/>
  <c r="AD415" i="18" a="true"/>
  <c r="AB37" i="18" a="true"/>
  <c r="N99" i="18" a="true"/>
  <c r="AB282" i="18" a="true"/>
  <c r="AD250" i="18" a="true"/>
  <c r="N83" i="18" a="true"/>
  <c r="AC193" i="18" a="true"/>
  <c r="O326" i="18" a="true"/>
  <c r="AE412" i="18" a="true"/>
  <c r="O219" i="18" a="true"/>
  <c r="S111" i="18" a="true"/>
  <c r="AB434" i="18" a="true"/>
  <c r="AB161" i="18" a="true"/>
  <c r="AD361" i="18" a="true"/>
  <c r="AB173" i="18" a="true"/>
  <c r="AD117" i="18" a="true"/>
  <c r="V263" i="18" a="true"/>
  <c r="P14" i="18" a="true"/>
  <c r="AC101" i="18" a="true"/>
  <c r="AF214" i="18" a="true"/>
  <c r="T248" i="18" a="true"/>
  <c r="U228" i="18" a="true"/>
  <c r="J408" i="25" a="true"/>
  <c r="N359" i="18" a="true"/>
  <c r="N159" i="18" a="true"/>
  <c r="AC332" i="18" a="true"/>
  <c r="N331" i="18" a="true"/>
  <c r="P84" i="18" a="true"/>
  <c r="O498" i="18" a="true"/>
  <c r="N289" i="18" a="true"/>
  <c r="AA487" i="18" a="true"/>
  <c r="AE23" i="18" a="true"/>
  <c r="W499" i="18" a="true"/>
  <c r="AB42" i="18" a="true"/>
  <c r="AD380" i="18" a="true"/>
  <c r="P216" i="18" a="true"/>
  <c r="P213" i="18" a="true"/>
  <c r="AD238" i="18" a="true"/>
  <c r="AE210" i="18" a="true"/>
  <c r="AD346" i="18" a="true"/>
  <c r="AB175" i="18" a="true"/>
  <c r="T393" i="18" a="true"/>
  <c r="O376" i="18" a="true"/>
  <c r="AD47" i="18" a="true"/>
  <c r="N31" i="18" a="true"/>
  <c r="AB451" i="18" a="true"/>
  <c r="N109" i="18" a="true"/>
  <c r="T128" i="18" a="true"/>
  <c r="AE183" i="18" a="true"/>
  <c r="AE345" i="18" a="true"/>
  <c r="O473" i="18" a="true"/>
  <c r="AD42" i="18" a="true"/>
  <c r="AE20" i="18" a="true"/>
  <c r="O449" i="18" a="true"/>
  <c r="I201" i="25" a="true"/>
  <c r="N389" i="18" a="true"/>
  <c r="O316" i="18" a="true"/>
  <c r="N194" i="18" a="true"/>
  <c r="AB229" i="18" a="true"/>
  <c r="AF127" i="18" a="true"/>
  <c r="AD173" i="18" a="true"/>
  <c r="P301" i="18" a="true"/>
  <c r="AF340" i="18" a="true"/>
  <c r="AC128" i="18" a="true"/>
  <c r="AB441" i="18" a="true"/>
  <c r="R462" i="18" a="true"/>
  <c r="AD97" i="18" a="true"/>
  <c r="AB303" i="18" a="true"/>
  <c r="AF372" i="18" a="true"/>
  <c r="AE93" i="18" a="true"/>
  <c r="P76" i="18" a="true"/>
  <c r="J103" i="25" a="true"/>
  <c r="AA293" i="18" a="true"/>
  <c r="J428" i="25" a="true"/>
  <c r="Q62" i="18" a="true"/>
  <c r="Q9" i="18" a="true"/>
  <c r="N278" i="18" a="true"/>
  <c r="O76" i="18" a="true"/>
  <c r="AC78" i="18" a="true"/>
  <c r="AA365" i="18" a="true"/>
  <c r="AF65" i="18" a="true"/>
  <c r="AF160" i="18" a="true"/>
  <c r="N288" i="18" a="true"/>
  <c r="N315" i="18" a="true"/>
  <c r="O346" i="18" a="true"/>
  <c r="P438" i="18" a="true"/>
  <c r="P463" i="18" a="true"/>
  <c r="AD379" i="18" a="true"/>
  <c r="AE224" i="18" a="true"/>
  <c r="P102" i="18" a="true"/>
  <c r="AA117" i="18" a="true"/>
  <c r="AF203" i="18" a="true"/>
  <c r="X213" i="18" a="true"/>
  <c r="AC291" i="18" a="true"/>
  <c r="AD336" i="18" a="true"/>
  <c r="Y255" i="18" a="true"/>
  <c r="AE322" i="18" a="true"/>
  <c r="O72" i="18" a="true"/>
  <c r="P499" i="18" a="true"/>
  <c r="AA28" i="18" a="true"/>
  <c r="N237" i="18" a="true"/>
  <c r="AE341" i="18" a="true"/>
  <c r="AD125" i="18" a="true"/>
  <c r="AB89" i="18" a="true"/>
  <c r="J302" i="25" a="true"/>
  <c r="R229" i="18" a="true"/>
  <c r="V105" i="18" a="true"/>
  <c r="AB150" i="18" a="true"/>
  <c r="P205" i="18" a="true"/>
  <c r="AC199" i="18" a="true"/>
  <c r="W412" i="18" a="true"/>
  <c r="AA118" i="18" a="true"/>
  <c r="AC393" i="18" a="true"/>
  <c r="O330" i="18" a="true"/>
  <c r="N419" i="18" a="true"/>
  <c r="AE299" i="18" a="true"/>
  <c r="AB396" i="18" a="true"/>
  <c r="O231" i="18" a="true"/>
  <c r="AD187" i="18" a="true"/>
  <c r="N440" i="18" a="true"/>
  <c r="AE460" i="18" a="true"/>
  <c r="W81" i="18" a="true"/>
  <c r="O130" i="18" a="true"/>
  <c r="AC194" i="18" a="true"/>
  <c r="AE296" i="18" a="true"/>
  <c r="AB144" i="18" a="true"/>
  <c r="N192" i="18" a="true"/>
  <c r="AC496" i="18" a="true"/>
  <c r="AC341" i="18" a="true"/>
  <c r="AA42" i="18" a="true"/>
  <c r="AF434" i="18" a="true"/>
  <c r="AE498" i="18" a="true"/>
  <c r="AD490" i="18" a="true"/>
  <c r="P448" i="18" a="true"/>
  <c r="AF44" i="18" a="true"/>
  <c r="AB51" i="18" a="true"/>
  <c r="AC55" i="18" a="true"/>
  <c r="U241" i="18" a="true"/>
  <c r="P21" i="18" a="true"/>
  <c r="T186" i="18" a="true"/>
  <c r="S282" i="18" a="true"/>
  <c r="AB470" i="18" a="true"/>
  <c r="I94" i="25" a="true"/>
  <c r="AF85" i="18" a="true"/>
  <c r="AD493" i="18" a="true"/>
  <c r="AF180" i="18" a="true"/>
  <c r="AF38" i="18" a="true"/>
  <c r="AF322" i="18" a="true"/>
  <c r="AE68" i="18" a="true"/>
  <c r="P231" i="18" a="true"/>
  <c r="AD462" i="18" a="true"/>
  <c r="V381" i="18" a="true"/>
  <c r="AD351" i="18" a="true"/>
  <c r="AE478" i="18" a="true"/>
  <c r="N371" i="18" a="true"/>
  <c r="AE422" i="18" a="true"/>
  <c r="O350" i="18" a="true"/>
  <c r="W374" i="18" a="true"/>
  <c r="AE192" i="18" a="true"/>
  <c r="AD488" i="18" a="true"/>
  <c r="P235" i="18" a="true"/>
  <c r="AB45" i="18" a="true"/>
  <c r="AC132" i="18" a="true"/>
  <c r="AE103" i="18" a="true"/>
  <c r="AB198" i="18" a="true"/>
  <c r="N100" i="18" a="true"/>
  <c r="AF200" i="18" a="true"/>
  <c r="AC140" i="18" a="true"/>
  <c r="N25" i="18" a="true"/>
  <c r="Y225" i="18" a="true"/>
  <c r="O65" i="18" a="true"/>
  <c r="N429" i="18" a="true"/>
  <c r="O87" i="18" a="true"/>
  <c r="P370" i="18" a="true"/>
  <c r="AA178" i="18" a="true"/>
  <c r="Q133" i="18" a="true"/>
  <c r="P210" i="18" a="true"/>
  <c r="P22" i="18" a="true"/>
  <c r="N464" i="18" a="true"/>
  <c r="AD64" i="18" a="true"/>
  <c r="AF264" i="18" a="true"/>
  <c r="AF161" i="18" a="true"/>
  <c r="J220" i="25" a="true"/>
  <c r="AC163" i="18" a="true"/>
  <c r="W223" i="18" a="true"/>
  <c r="O221" i="18" a="true"/>
  <c r="AD253" i="18" a="true"/>
  <c r="AA384" i="18" a="true"/>
  <c r="AC368" i="18" a="true"/>
  <c r="T55" i="18" a="true"/>
  <c r="AC275" i="18" a="true"/>
  <c r="Q75" i="18" a="true"/>
  <c r="AC436" i="18" a="true"/>
  <c r="O184" i="18" a="true"/>
  <c r="Y310" i="18" a="true"/>
  <c r="AD230" i="18" a="true"/>
  <c r="N475" i="18" a="true"/>
  <c r="O153" i="18" a="true"/>
  <c r="P185" i="18" a="true"/>
  <c r="AC174" i="18" a="true"/>
  <c r="S118" i="18" a="true"/>
  <c r="N118" i="18" a="true"/>
  <c r="AB266" i="18" a="true"/>
  <c r="O367" i="18" a="true"/>
  <c r="AB236" i="18" a="true"/>
  <c r="AA289" i="18" a="true"/>
  <c r="AD30" i="18" a="true"/>
  <c r="R38" i="18" a="true"/>
  <c r="AB158" i="18" a="true"/>
  <c r="P129" i="18" a="true"/>
  <c r="Y36" i="18" a="true"/>
  <c r="AD427" i="18" a="true"/>
  <c r="AB385" i="18" a="true"/>
  <c r="AD105" i="18" a="true"/>
  <c r="AE466" i="18" a="true"/>
  <c r="AA412" i="18" a="true"/>
  <c r="P74" i="18" a="true"/>
  <c r="AC237" i="18" a="true"/>
  <c r="AE302" i="18" a="true"/>
  <c r="N123" i="18" a="true"/>
  <c r="Q36" i="18" a="true"/>
  <c r="AF421" i="18" a="true"/>
  <c r="AD319" i="18" a="true"/>
  <c r="AE74" i="18" a="true"/>
  <c r="P293" i="18" a="true"/>
  <c r="N210" i="18" a="true"/>
  <c r="AC150" i="18" a="true"/>
  <c r="AC68" i="18" a="true"/>
  <c r="AE173" i="18" a="true"/>
  <c r="Y196" i="18" a="true"/>
  <c r="N184" i="18" a="true"/>
  <c r="AA433" i="18" a="true"/>
  <c r="O421" i="18" a="true"/>
  <c r="I386" i="25" a="true"/>
  <c r="W339" i="18" a="true"/>
  <c r="AA186" i="18" a="true"/>
  <c r="X139" i="18" a="true"/>
  <c r="T456" i="18" a="true"/>
  <c r="O407" i="18" a="true"/>
  <c r="N94" i="18" a="true"/>
  <c r="O82" i="18" a="true"/>
  <c r="O223" i="18" a="true"/>
  <c r="U344" i="18" a="true"/>
  <c r="J350" i="25" a="true"/>
  <c r="J350" i="25" l="true"/>
  <c r="U344" i="18"/>
  <c r="O223" i="18"/>
  <c r="O82" i="18"/>
  <c r="N94" i="18"/>
  <c r="O407" i="18"/>
  <c r="T456" i="18"/>
  <c r="X139" i="18"/>
  <c r="AA186" i="18"/>
  <c r="W339" i="18"/>
  <c r="I386" i="25"/>
  <c r="O421" i="18"/>
  <c r="AA433" i="18"/>
  <c r="N184" i="18"/>
  <c r="Y196" i="18"/>
  <c r="AE173" i="18"/>
  <c r="AH173" i="18" s="true"/>
  <c r="AI173" i="18" s="true"/>
  <c r="AC68" i="18"/>
  <c r="AC150" i="18"/>
  <c r="N210" i="18"/>
  <c r="P293" i="18"/>
  <c r="AE74" i="18"/>
  <c r="AD319" i="18"/>
  <c r="AF421" i="18"/>
  <c r="Q36" i="18"/>
  <c r="N123" i="18"/>
  <c r="AE302" i="18"/>
  <c r="AC237" i="18"/>
  <c r="P74" i="18"/>
  <c r="AA412" i="18"/>
  <c r="AE466" i="18"/>
  <c r="AD105" i="18"/>
  <c r="AB385" i="18"/>
  <c r="AH385" i="18" s="true"/>
  <c r="AI385" i="18" s="true"/>
  <c r="AD427" i="18"/>
  <c r="Y36" i="18"/>
  <c r="P129" i="18"/>
  <c r="AB158" i="18"/>
  <c r="R38" i="18"/>
  <c r="AD30" i="18"/>
  <c r="AA289" i="18"/>
  <c r="AB236" i="18"/>
  <c r="O367" i="18"/>
  <c r="AB266" i="18"/>
  <c r="N118" i="18"/>
  <c r="S118" i="18"/>
  <c r="AC174" i="18"/>
  <c r="P185" i="18"/>
  <c r="O153" i="18"/>
  <c r="N475" i="18"/>
  <c r="AD230" i="18"/>
  <c r="Y310" i="18"/>
  <c r="O184" i="18"/>
  <c r="AC436" i="18"/>
  <c r="Q75" i="18"/>
  <c r="AC275" i="18"/>
  <c r="T55" i="18"/>
  <c r="AC368" i="18"/>
  <c r="AA384" i="18"/>
  <c r="AD253" i="18"/>
  <c r="O221" i="18"/>
  <c r="W223" i="18"/>
  <c r="AC163" i="18"/>
  <c r="J220" i="25"/>
  <c r="AF161" i="18"/>
  <c r="AF264" i="18"/>
  <c r="AD64" i="18"/>
  <c r="N464" i="18"/>
  <c r="P22" i="18"/>
  <c r="P210" i="18"/>
  <c r="Q133" i="18"/>
  <c r="AA178" i="18"/>
  <c r="P370" i="18"/>
  <c r="O87" i="18"/>
  <c r="N429" i="18"/>
  <c r="O65" i="18"/>
  <c r="Y225" i="18"/>
  <c r="N25" i="18"/>
  <c r="AC140" i="18"/>
  <c r="AF200" i="18"/>
  <c r="N100" i="18"/>
  <c r="AB198" i="18"/>
  <c r="AE103" i="18"/>
  <c r="AH103" i="18" s="true"/>
  <c r="AI103" i="18" s="true"/>
  <c r="AC132" i="18"/>
  <c r="AB45" i="18"/>
  <c r="P235" i="18"/>
  <c r="AD488" i="18"/>
  <c r="AE192" i="18"/>
  <c r="W374" i="18"/>
  <c r="O350" i="18"/>
  <c r="AE422" i="18"/>
  <c r="N371" i="18"/>
  <c r="AE478" i="18"/>
  <c r="AH478" i="18" s="true"/>
  <c r="AI478" i="18" s="true"/>
  <c r="AD351" i="18"/>
  <c r="V381" i="18"/>
  <c r="AD462" i="18"/>
  <c r="P231" i="18"/>
  <c r="AE68" i="18"/>
  <c r="AF322" i="18"/>
  <c r="AF38" i="18"/>
  <c r="AF180" i="18"/>
  <c r="AD493" i="18"/>
  <c r="AF85" i="18"/>
  <c r="I94" i="25"/>
  <c r="AB470" i="18"/>
  <c r="S282" i="18"/>
  <c r="T186" i="18"/>
  <c r="P21" i="18"/>
  <c r="U241" i="18"/>
  <c r="AC55" i="18"/>
  <c r="AB51" i="18"/>
  <c r="AF44" i="18"/>
  <c r="P448" i="18"/>
  <c r="AD490" i="18"/>
  <c r="AE498" i="18"/>
  <c r="AF434" i="18"/>
  <c r="AA42" i="18"/>
  <c r="AC341" i="18"/>
  <c r="AC496" i="18"/>
  <c r="N192" i="18"/>
  <c r="AB144" i="18"/>
  <c r="AE296" i="18"/>
  <c r="AC194" i="18"/>
  <c r="O130" i="18"/>
  <c r="W81" i="18"/>
  <c r="AE460" i="18"/>
  <c r="N440" i="18"/>
  <c r="AD187" i="18"/>
  <c r="O231" i="18"/>
  <c r="AB396" i="18"/>
  <c r="AE299" i="18"/>
  <c r="N419" i="18"/>
  <c r="O330" i="18"/>
  <c r="AC393" i="18"/>
  <c r="AA118" i="18"/>
  <c r="W412" i="18"/>
  <c r="AC199" i="18"/>
  <c r="P205" i="18"/>
  <c r="AB150" i="18"/>
  <c r="V105" i="18"/>
  <c r="R229" i="18"/>
  <c r="J302" i="25"/>
  <c r="AB89" i="18"/>
  <c r="AD125" i="18"/>
  <c r="AE341" i="18"/>
  <c r="N237" i="18"/>
  <c r="AA28" i="18"/>
  <c r="P499" i="18"/>
  <c r="O72" i="18"/>
  <c r="AE322" i="18"/>
  <c r="Y255" i="18"/>
  <c r="AD336" i="18"/>
  <c r="AC291" i="18"/>
  <c r="X213" i="18"/>
  <c r="AF203" i="18"/>
  <c r="AA117" i="18"/>
  <c r="P102" i="18"/>
  <c r="AE224" i="18"/>
  <c r="AD379" i="18"/>
  <c r="P463" i="18"/>
  <c r="P438" i="18"/>
  <c r="O346" i="18"/>
  <c r="N315" i="18"/>
  <c r="N288" i="18"/>
  <c r="AF160" i="18"/>
  <c r="AF65" i="18"/>
  <c r="AA365" i="18"/>
  <c r="AC78" i="18"/>
  <c r="O76" i="18"/>
  <c r="N278" i="18"/>
  <c r="Q9" i="18"/>
  <c r="Q62" i="18"/>
  <c r="J428" i="25"/>
  <c r="AA293" i="18"/>
  <c r="J103" i="25"/>
  <c r="P76" i="18"/>
  <c r="AE93" i="18"/>
  <c r="AF372" i="18"/>
  <c r="AB303" i="18"/>
  <c r="AH303" i="18" s="true"/>
  <c r="AI303" i="18" s="true"/>
  <c r="AD97" i="18"/>
  <c r="R462" i="18"/>
  <c r="AB441" i="18"/>
  <c r="AC128" i="18"/>
  <c r="AF340" i="18"/>
  <c r="P301" i="18"/>
  <c r="AD173" i="18"/>
  <c r="AF127" i="18"/>
  <c r="AB229" i="18"/>
  <c r="N194" i="18"/>
  <c r="O316" i="18"/>
  <c r="N389" i="18"/>
  <c r="I201" i="25"/>
  <c r="O449" i="18"/>
  <c r="AE20" i="18"/>
  <c r="AH20" i="18" s="true"/>
  <c r="AI20" i="18" s="true"/>
  <c r="AD42" i="18"/>
  <c r="O473" i="18"/>
  <c r="AE345" i="18"/>
  <c r="AE183" i="18"/>
  <c r="T128" i="18"/>
  <c r="N109" i="18"/>
  <c r="AB451" i="18"/>
  <c r="N31" i="18"/>
  <c r="AD47" i="18"/>
  <c r="O376" i="18"/>
  <c r="T393" i="18"/>
  <c r="AB175" i="18"/>
  <c r="AD346" i="18"/>
  <c r="AE210" i="18"/>
  <c r="AD238" i="18"/>
  <c r="P213" i="18"/>
  <c r="P216" i="18"/>
  <c r="AD380" i="18"/>
  <c r="AB42" i="18"/>
  <c r="W499" i="18"/>
  <c r="AE23" i="18"/>
  <c r="AA487" i="18"/>
  <c r="N289" i="18"/>
  <c r="O498" i="18"/>
  <c r="P84" i="18"/>
  <c r="N331" i="18"/>
  <c r="AC332" i="18"/>
  <c r="N159" i="18"/>
  <c r="N359" i="18"/>
  <c r="J408" i="25"/>
  <c r="U228" i="18"/>
  <c r="T248" i="18"/>
  <c r="AF214" i="18"/>
  <c r="AC101" i="18"/>
  <c r="P14" i="18"/>
  <c r="V263" i="18"/>
  <c r="AD117" i="18"/>
  <c r="AB173" i="18"/>
  <c r="AD361" i="18"/>
  <c r="AB161" i="18"/>
  <c r="AB434" i="18"/>
  <c r="S111" i="18"/>
  <c r="O219" i="18"/>
  <c r="AE412" i="18"/>
  <c r="O326" i="18"/>
  <c r="AC193" i="18"/>
  <c r="N83" i="18"/>
  <c r="AD250" i="18"/>
  <c r="AB282" i="18"/>
  <c r="N99" i="18"/>
  <c r="AB37" i="18"/>
  <c r="AD415" i="18"/>
  <c r="N164" i="18"/>
  <c r="AA132" i="18"/>
  <c r="AE504" i="18"/>
  <c r="AC421" i="18"/>
  <c r="AD195" i="18"/>
  <c r="AB137" i="18"/>
  <c r="AB213" i="18"/>
  <c r="AH213" i="18" s="true"/>
  <c r="AI213" i="18" s="true"/>
  <c r="AF23" i="18"/>
  <c r="T178" i="18"/>
  <c r="V450" i="18"/>
  <c r="J368" i="25"/>
  <c r="AE347" i="18"/>
  <c r="AA443" i="18"/>
  <c r="AD61" i="18"/>
  <c r="N470" i="18"/>
  <c r="AC56" i="18"/>
  <c r="AB202" i="18"/>
  <c r="J11" i="25"/>
  <c r="AF331" i="18"/>
  <c r="O291" i="18"/>
  <c r="AF157" i="18"/>
  <c r="Y59" i="18"/>
  <c r="AF411" i="18"/>
  <c r="AF357" i="18"/>
  <c r="AC95" i="18"/>
  <c r="O314" i="18"/>
  <c r="V232" i="18"/>
  <c r="AA294" i="18"/>
  <c r="AA236" i="18"/>
  <c r="P220" i="18"/>
  <c r="O373" i="18"/>
  <c r="AB251" i="18"/>
  <c r="T222" i="18"/>
  <c r="AD425" i="18"/>
  <c r="O311" i="18"/>
  <c r="Y496" i="18"/>
  <c r="AA285" i="18"/>
  <c r="AC413" i="18"/>
  <c r="N367" i="18"/>
  <c r="AB260" i="18"/>
  <c r="AF42" i="18"/>
  <c r="O478" i="18"/>
  <c r="AD504" i="18"/>
  <c r="AF102" i="18"/>
  <c r="AD182" i="18"/>
  <c r="R187" i="18"/>
  <c r="T335" i="18"/>
  <c r="I211" i="25"/>
  <c r="AC59" i="18"/>
  <c r="AE205" i="18"/>
  <c r="AE276" i="18"/>
  <c r="AD111" i="18"/>
  <c r="AA315" i="18"/>
  <c r="AC37" i="18"/>
  <c r="AB369" i="18"/>
  <c r="N52" i="18"/>
  <c r="AF48" i="18"/>
  <c r="AA193" i="18"/>
  <c r="AB162" i="18"/>
  <c r="J488" i="25"/>
  <c r="X387" i="18"/>
  <c r="W325" i="18"/>
  <c r="J345" i="25"/>
  <c r="AA154" i="18"/>
  <c r="S344" i="18"/>
  <c r="AE9" i="18"/>
  <c r="N182" i="18"/>
  <c r="P456" i="18"/>
  <c r="P425" i="18"/>
  <c r="N199" i="18"/>
  <c r="AF395" i="18"/>
  <c r="T413" i="18"/>
  <c r="AF493" i="18"/>
  <c r="AE111" i="18"/>
  <c r="AF351" i="18"/>
  <c r="AC327" i="18"/>
  <c r="AA14" i="18"/>
  <c r="AF286" i="18"/>
  <c r="AB445" i="18"/>
  <c r="N324" i="18"/>
  <c r="AE180" i="18"/>
  <c r="AC271" i="18"/>
  <c r="AA452" i="18"/>
  <c r="P169" i="18"/>
  <c r="AD54" i="18"/>
  <c r="O124" i="18"/>
  <c r="AD21" i="18"/>
  <c r="AF347" i="18"/>
  <c r="V82" i="18"/>
  <c r="AA168" i="18"/>
  <c r="AE113" i="18"/>
  <c r="AE251" i="18"/>
  <c r="O176" i="18"/>
  <c r="AF280" i="18"/>
  <c r="AB43" i="18"/>
  <c r="N27" i="18"/>
  <c r="O368" i="18"/>
  <c r="R81" i="18"/>
  <c r="I7" i="25"/>
  <c r="R339" i="18"/>
  <c r="AD169" i="18"/>
  <c r="AA140" i="18"/>
  <c r="J398" i="25"/>
  <c r="AB274" i="18"/>
  <c r="AA209" i="18"/>
  <c r="O139" i="18"/>
  <c r="AA441" i="18"/>
  <c r="AA474" i="18"/>
  <c r="AD38" i="18"/>
  <c r="AB366" i="18"/>
  <c r="AB298" i="18"/>
  <c r="AC370" i="18"/>
  <c r="O442" i="18"/>
  <c r="P112" i="18"/>
  <c r="O77" i="18"/>
  <c r="AE443" i="18"/>
  <c r="O62" i="18"/>
  <c r="J471" i="25"/>
  <c r="Q441" i="18"/>
  <c r="R262" i="18"/>
  <c r="T435" i="18"/>
  <c r="I102" i="25"/>
  <c r="I388" i="25"/>
  <c r="S247" i="18"/>
  <c r="T209" i="18"/>
  <c r="U377" i="18"/>
  <c r="J171" i="25"/>
  <c r="R503" i="18"/>
  <c r="W155" i="18"/>
  <c r="P376" i="18"/>
  <c r="AB323" i="18"/>
  <c r="P184" i="18"/>
  <c r="AC366" i="18"/>
  <c r="AD506" i="18"/>
  <c r="AB27" i="18"/>
  <c r="AH27" i="18" s="true"/>
  <c r="AI27" i="18" s="true"/>
  <c r="N205" i="18"/>
  <c r="AE334" i="18"/>
  <c r="AB170" i="18"/>
  <c r="AA281" i="18"/>
  <c r="AA250" i="18"/>
  <c r="AC396" i="18"/>
  <c r="O209" i="18"/>
  <c r="O273" i="18"/>
  <c r="AD393" i="18"/>
  <c r="AC444" i="18"/>
  <c r="AA337" i="18"/>
  <c r="O358" i="18"/>
  <c r="AC360" i="18"/>
  <c r="AB106" i="18"/>
  <c r="AA113" i="18"/>
  <c r="O489" i="18"/>
  <c r="AD93" i="18"/>
  <c r="AB278" i="18"/>
  <c r="AD20" i="18"/>
  <c r="AF304" i="18"/>
  <c r="P32" i="18"/>
  <c r="AC463" i="18"/>
  <c r="AF315" i="18"/>
  <c r="AB93" i="18"/>
  <c r="AC485" i="18"/>
  <c r="AA335" i="18"/>
  <c r="AB239" i="18"/>
  <c r="AB215" i="18"/>
  <c r="AD92" i="18"/>
  <c r="AC362" i="18"/>
  <c r="AB449" i="18"/>
  <c r="AD41" i="18"/>
  <c r="AF129" i="18"/>
  <c r="AE475" i="18"/>
  <c r="P403" i="18"/>
  <c r="AD211" i="18"/>
  <c r="T410" i="18"/>
  <c r="X128" i="18"/>
  <c r="V309" i="18"/>
  <c r="X416" i="18"/>
  <c r="T85" i="18"/>
  <c r="J214" i="25"/>
  <c r="W56" i="18"/>
  <c r="X357" i="18"/>
  <c r="J108" i="25"/>
  <c r="Q328" i="18"/>
  <c r="J314" i="25"/>
  <c r="J434" i="25"/>
  <c r="W229" i="18"/>
  <c r="AE44" i="18"/>
  <c r="Q210" i="18"/>
  <c r="AF89" i="18"/>
  <c r="P197" i="18"/>
  <c r="AB480" i="18"/>
  <c r="N298" i="18"/>
  <c r="AC161" i="18"/>
  <c r="AC42" i="18"/>
  <c r="AD328" i="18"/>
  <c r="AB20" i="18"/>
  <c r="AC224" i="18"/>
  <c r="AC77" i="18"/>
  <c r="AB35" i="18"/>
  <c r="AA428" i="18"/>
  <c r="J296" i="25"/>
  <c r="W91" i="18"/>
  <c r="I333" i="25"/>
  <c r="P154" i="18"/>
  <c r="O392" i="18"/>
  <c r="AB484" i="18"/>
  <c r="P322" i="18"/>
  <c r="N116" i="18"/>
  <c r="O352" i="18"/>
  <c r="AD101" i="18"/>
  <c r="N147" i="18"/>
  <c r="N185" i="18"/>
  <c r="O384" i="18"/>
  <c r="AD132" i="18"/>
  <c r="N345" i="18"/>
  <c r="AD487" i="18"/>
  <c r="O73" i="18"/>
  <c r="AF81" i="18"/>
  <c r="AF208" i="18"/>
  <c r="AC309" i="18"/>
  <c r="I77" i="25"/>
  <c r="U20" i="18"/>
  <c r="R146" i="18"/>
  <c r="J494" i="25"/>
  <c r="Y417" i="18"/>
  <c r="I437" i="25"/>
  <c r="J427" i="25"/>
  <c r="J297" i="25"/>
  <c r="U409" i="18"/>
  <c r="W29" i="18"/>
  <c r="N153" i="18"/>
  <c r="AC409" i="18"/>
  <c r="AA149" i="18"/>
  <c r="AA61" i="18"/>
  <c r="AC290" i="18"/>
  <c r="AE277" i="18"/>
  <c r="AC70" i="18"/>
  <c r="AA404" i="18"/>
  <c r="AC490" i="18"/>
  <c r="AC226" i="18"/>
  <c r="AB292" i="18"/>
  <c r="O107" i="18"/>
  <c r="N70" i="18"/>
  <c r="O460" i="18"/>
  <c r="AA260" i="18"/>
  <c r="AA90" i="18"/>
  <c r="AB291" i="18"/>
  <c r="AF394" i="18"/>
  <c r="AE398" i="18"/>
  <c r="AA437" i="18"/>
  <c r="AA25" i="18"/>
  <c r="U318" i="18"/>
  <c r="AB13" i="18"/>
  <c r="AC108" i="18"/>
  <c r="AC272" i="18"/>
  <c r="AF209" i="18"/>
  <c r="AC50" i="18"/>
  <c r="AC92" i="18"/>
  <c r="AB409" i="18"/>
  <c r="N46" i="18"/>
  <c r="P219" i="18"/>
  <c r="AA11" i="18"/>
  <c r="AC361" i="18"/>
  <c r="AC183" i="18"/>
  <c r="AB203" i="18"/>
  <c r="AB52" i="18"/>
  <c r="AH52" i="18" s="true"/>
  <c r="AI52" i="18" s="true"/>
  <c r="AD309" i="18"/>
  <c r="AC282" i="18"/>
  <c r="AD103" i="18"/>
  <c r="AD77" i="18"/>
  <c r="AA444" i="18"/>
  <c r="O26" i="18"/>
  <c r="N10" i="18"/>
  <c r="AC398" i="18"/>
  <c r="O295" i="18"/>
  <c r="N380" i="18"/>
  <c r="AE337" i="18"/>
  <c r="AE66" i="18"/>
  <c r="AF311" i="18"/>
  <c r="P87" i="18"/>
  <c r="N28" i="18"/>
  <c r="S177" i="18"/>
  <c r="I56" i="25"/>
  <c r="I123" i="25"/>
  <c r="Q170" i="18"/>
  <c r="J35" i="25"/>
  <c r="J138" i="25"/>
  <c r="X133" i="18"/>
  <c r="R26" i="18"/>
  <c r="V455" i="18"/>
  <c r="N202" i="18"/>
  <c r="AE78" i="18"/>
  <c r="AF212" i="18"/>
  <c r="P272" i="18"/>
  <c r="AC17" i="18"/>
  <c r="AE157" i="18"/>
  <c r="N505" i="18"/>
  <c r="AD228" i="18"/>
  <c r="O465" i="18"/>
  <c r="P142" i="18"/>
  <c r="AA75" i="18"/>
  <c r="AB503" i="18"/>
  <c r="O420" i="18"/>
  <c r="O325" i="18"/>
  <c r="AF187" i="18"/>
  <c r="AE440" i="18"/>
  <c r="AC114" i="18"/>
  <c r="AD209" i="18"/>
  <c r="AE220" i="18"/>
  <c r="AD320" i="18"/>
  <c r="AF484" i="18"/>
  <c r="P115" i="18"/>
  <c r="N114" i="18"/>
  <c r="O324" i="18"/>
  <c r="P124" i="18"/>
  <c r="AA468" i="18"/>
  <c r="N49" i="18"/>
  <c r="N61" i="18"/>
  <c r="AE474" i="18"/>
  <c r="AB297" i="18"/>
  <c r="P245" i="18"/>
  <c r="AB382" i="18"/>
  <c r="AD190" i="18"/>
  <c r="AE123" i="18"/>
  <c r="AB429" i="18"/>
  <c r="AC252" i="18"/>
  <c r="P62" i="18"/>
  <c r="AB488" i="18"/>
  <c r="AD412" i="18"/>
  <c r="P168" i="18"/>
  <c r="AF422" i="18"/>
  <c r="AA248" i="18"/>
  <c r="AA254" i="18"/>
  <c r="Y55" i="18"/>
  <c r="S106" i="18"/>
  <c r="Y51" i="18"/>
  <c r="V93" i="18"/>
  <c r="W461" i="18"/>
  <c r="R422" i="18"/>
  <c r="U139" i="18"/>
  <c r="I173" i="25"/>
  <c r="J467" i="25"/>
  <c r="I43" i="25"/>
  <c r="J33" i="25"/>
  <c r="W246" i="18"/>
  <c r="Q426" i="18"/>
  <c r="AF231" i="18"/>
  <c r="AE59" i="18"/>
  <c r="O7" i="18"/>
  <c r="AB337" i="18"/>
  <c r="AA304" i="18"/>
  <c r="AF163" i="18"/>
  <c r="AC253" i="18"/>
  <c r="P88" i="18"/>
  <c r="O364" i="18"/>
  <c r="AE73" i="18"/>
  <c r="AB100" i="18"/>
  <c r="AC504" i="18"/>
  <c r="P339" i="18"/>
  <c r="N379" i="18"/>
  <c r="N92" i="18"/>
  <c r="AC211" i="18"/>
  <c r="P383" i="18"/>
  <c r="AA102" i="18"/>
  <c r="N45" i="18"/>
  <c r="O487" i="18"/>
  <c r="AA47" i="18"/>
  <c r="AD311" i="18"/>
  <c r="N30" i="18"/>
  <c r="AC249" i="18"/>
  <c r="AD118" i="18"/>
  <c r="AD263" i="18"/>
  <c r="AD219" i="18"/>
  <c r="AD259" i="18"/>
  <c r="AA385" i="18"/>
  <c r="AB208" i="18"/>
  <c r="AH208" i="18" s="true"/>
  <c r="AI208" i="18" s="true"/>
  <c r="AC363" i="18"/>
  <c r="AA280" i="18"/>
  <c r="AE138" i="18"/>
  <c r="O468" i="18"/>
  <c r="O332" i="18"/>
  <c r="N474" i="18"/>
  <c r="AE503" i="18"/>
  <c r="O169" i="18"/>
  <c r="AA131" i="18"/>
  <c r="O382" i="18"/>
  <c r="N399" i="18"/>
  <c r="P161" i="18"/>
  <c r="AD53" i="18"/>
  <c r="V240" i="18"/>
  <c r="R224" i="18"/>
  <c r="I80" i="25"/>
  <c r="T89" i="18"/>
  <c r="Q24" i="18"/>
  <c r="V471" i="18"/>
  <c r="U170" i="18"/>
  <c r="S186" i="18"/>
  <c r="J149" i="25"/>
  <c r="T87" i="18"/>
  <c r="X430" i="18"/>
  <c r="Q155" i="18"/>
  <c r="Q483" i="18"/>
  <c r="AC254" i="18"/>
  <c r="AE211" i="18"/>
  <c r="AE272" i="18"/>
  <c r="P127" i="18"/>
  <c r="AC208" i="18"/>
  <c r="AD293" i="18"/>
  <c r="AA270" i="18"/>
  <c r="AD35" i="18"/>
  <c r="N414" i="18"/>
  <c r="AD470" i="18"/>
  <c r="N357" i="18"/>
  <c r="O347" i="18"/>
  <c r="O248" i="18"/>
  <c r="N365" i="18"/>
  <c r="AE241" i="18"/>
  <c r="AD444" i="18"/>
  <c r="AE346" i="18"/>
  <c r="O356" i="18"/>
  <c r="AC439" i="18"/>
  <c r="AB193" i="18"/>
  <c r="AA84" i="18"/>
  <c r="O305" i="18"/>
  <c r="N227" i="18"/>
  <c r="AF359" i="18"/>
  <c r="P18" i="18"/>
  <c r="O140" i="18"/>
  <c r="AF296" i="18"/>
  <c r="O286" i="18"/>
  <c r="AE14" i="18"/>
  <c r="N483" i="18"/>
  <c r="P28" i="18"/>
  <c r="AA252" i="18"/>
  <c r="AC288" i="18"/>
  <c r="AE119" i="18"/>
  <c r="AF219" i="18"/>
  <c r="AD390" i="18"/>
  <c r="P20" i="18"/>
  <c r="N23" i="18"/>
  <c r="AE493" i="18"/>
  <c r="P51" i="18"/>
  <c r="AB401" i="18"/>
  <c r="AH401" i="18" s="true"/>
  <c r="AI401" i="18" s="true"/>
  <c r="P37" i="18"/>
  <c r="O138" i="18"/>
  <c r="V241" i="18"/>
  <c r="I114" i="25"/>
  <c r="I75" i="25"/>
  <c r="J412" i="25"/>
  <c r="U128" i="18"/>
  <c r="T286" i="18"/>
  <c r="X264" i="18"/>
  <c r="W368" i="18"/>
  <c r="Q67" i="18"/>
  <c r="Q475" i="18"/>
  <c r="U430" i="18"/>
  <c r="U454" i="18"/>
  <c r="X320" i="18"/>
  <c r="AB345" i="18"/>
  <c r="AH345" i="18" s="true"/>
  <c r="AI345" i="18" s="true"/>
  <c r="N115" i="18"/>
  <c r="J387" i="25"/>
  <c r="O94" i="18"/>
  <c r="AC60" i="18"/>
  <c r="P392" i="18"/>
  <c r="AC142" i="18"/>
  <c r="AE52" i="18"/>
  <c r="P410" i="18"/>
  <c r="N488" i="18"/>
  <c r="N416" i="18"/>
  <c r="T265" i="18"/>
  <c r="AC182" i="18"/>
  <c r="AC10" i="18"/>
  <c r="AE421" i="18"/>
  <c r="AC107" i="18"/>
  <c r="N171" i="18"/>
  <c r="AC300" i="18"/>
  <c r="O292" i="18"/>
  <c r="N325" i="18"/>
  <c r="AA339" i="18"/>
  <c r="AF246" i="18"/>
  <c r="AB333" i="18"/>
  <c r="AH333" i="18" s="true"/>
  <c r="AI333" i="18" s="true"/>
  <c r="AA413" i="18"/>
  <c r="P476" i="18"/>
  <c r="AA211" i="18"/>
  <c r="AF166" i="18"/>
  <c r="AB279" i="18"/>
  <c r="P332" i="18"/>
  <c r="AF84" i="18"/>
  <c r="AF49" i="18"/>
  <c r="P449" i="18"/>
  <c r="AD345" i="18"/>
  <c r="O197" i="18"/>
  <c r="AF272" i="18"/>
  <c r="P493" i="18"/>
  <c r="AA164" i="18"/>
  <c r="N486" i="18"/>
  <c r="AD334" i="18"/>
  <c r="AE442" i="18"/>
  <c r="AD443" i="18"/>
  <c r="AE156" i="18"/>
  <c r="AA389" i="18"/>
  <c r="AA17" i="18"/>
  <c r="N208" i="18"/>
  <c r="AD339" i="18"/>
  <c r="N301" i="18"/>
  <c r="AC502" i="18"/>
  <c r="AA159" i="18"/>
  <c r="P271" i="18"/>
  <c r="AC426" i="18"/>
  <c r="AA181" i="18"/>
  <c r="AE343" i="18"/>
  <c r="AD472" i="18"/>
  <c r="AB330" i="18"/>
  <c r="AH330" i="18" s="true"/>
  <c r="AI330" i="18" s="true"/>
  <c r="V292" i="18"/>
  <c r="T134" i="18"/>
  <c r="T235" i="18"/>
  <c r="I71" i="25"/>
  <c r="V410" i="18"/>
  <c r="Q437" i="18"/>
  <c r="Q86" i="18"/>
  <c r="W250" i="18"/>
  <c r="R118" i="18"/>
  <c r="J20" i="25"/>
  <c r="V301" i="18"/>
  <c r="Q14" i="18"/>
  <c r="X23" i="18"/>
  <c r="AF116" i="18"/>
  <c r="N212" i="18"/>
  <c r="X92" i="18"/>
  <c r="P411" i="18"/>
  <c r="AE187" i="18"/>
  <c r="AA356" i="18"/>
  <c r="AA445" i="18"/>
  <c r="P181" i="18"/>
  <c r="AE219" i="18"/>
  <c r="AH219" i="18" s="true"/>
  <c r="AI219" i="18" s="true"/>
  <c r="AB41" i="18"/>
  <c r="AF407" i="18"/>
  <c r="AF397" i="18"/>
  <c r="N91" i="18"/>
  <c r="P343" i="18"/>
  <c r="O158" i="18"/>
  <c r="AE240" i="18"/>
  <c r="AB54" i="18"/>
  <c r="AA322" i="18"/>
  <c r="O253" i="18"/>
  <c r="AB477" i="18"/>
  <c r="AE217" i="18"/>
  <c r="P65" i="18"/>
  <c r="O483" i="18"/>
  <c r="AF350" i="18"/>
  <c r="N84" i="18"/>
  <c r="N275" i="18"/>
  <c r="P243" i="18"/>
  <c r="AC292" i="18"/>
  <c r="AA501" i="18"/>
  <c r="AC477" i="18"/>
  <c r="AF170" i="18"/>
  <c r="AA366" i="18"/>
  <c r="V259" i="18"/>
  <c r="I343" i="25"/>
  <c r="S195" i="18"/>
  <c r="U304" i="18"/>
  <c r="V68" i="18"/>
  <c r="V166" i="18"/>
  <c r="I321" i="25"/>
  <c r="I249" i="25"/>
  <c r="S367" i="18"/>
  <c r="Y269" i="18"/>
  <c r="Q308" i="18"/>
  <c r="U464" i="18"/>
  <c r="U142" i="18"/>
  <c r="O185" i="18"/>
  <c r="N41" i="18"/>
  <c r="AB248" i="18"/>
  <c r="W301" i="18"/>
  <c r="P73" i="18"/>
  <c r="I183" i="25"/>
  <c r="AA491" i="18"/>
  <c r="AD70" i="18"/>
  <c r="U173" i="18"/>
  <c r="N435" i="18"/>
  <c r="AD65" i="18"/>
  <c r="N196" i="18"/>
  <c r="AD372" i="18"/>
  <c r="AD186" i="18"/>
  <c r="AE37" i="18"/>
  <c r="AB182" i="18"/>
  <c r="AE85" i="18"/>
  <c r="Y307" i="18"/>
  <c r="I395" i="25"/>
  <c r="J465" i="25"/>
  <c r="V297" i="18"/>
  <c r="X22" i="18"/>
  <c r="Y493" i="18"/>
  <c r="R76" i="18"/>
  <c r="J305" i="25"/>
  <c r="U223" i="18"/>
  <c r="V315" i="18"/>
  <c r="X353" i="18"/>
  <c r="V317" i="18"/>
  <c r="X326" i="18"/>
  <c r="Q398" i="18"/>
  <c r="AC299" i="18"/>
  <c r="AE339" i="18"/>
  <c r="AF122" i="18"/>
  <c r="I234" i="25"/>
  <c r="AE151" i="18"/>
  <c r="AA46" i="18"/>
  <c r="Y260" i="18"/>
  <c r="AF199" i="18"/>
  <c r="P145" i="18"/>
  <c r="AA135" i="18"/>
  <c r="AB287" i="18"/>
  <c r="AF151" i="18"/>
  <c r="AC467" i="18"/>
  <c r="N430" i="18"/>
  <c r="AA302" i="18"/>
  <c r="AA279" i="18"/>
  <c r="AF285" i="18"/>
  <c r="O268" i="18"/>
  <c r="AF63" i="18"/>
  <c r="AA368" i="18"/>
  <c r="AC419" i="18"/>
  <c r="AB219" i="18"/>
  <c r="AC281" i="18"/>
  <c r="AE94" i="18"/>
  <c r="AD317" i="18"/>
  <c r="AB344" i="18"/>
  <c r="AD73" i="18"/>
  <c r="AE377" i="18"/>
  <c r="AF169" i="18"/>
  <c r="N343" i="18"/>
  <c r="AC350" i="18"/>
  <c r="AF265" i="18"/>
  <c r="P138" i="18"/>
  <c r="N383" i="18"/>
  <c r="I268" i="25"/>
  <c r="Q94" i="18"/>
  <c r="W312" i="18"/>
  <c r="U484" i="18"/>
  <c r="Q299" i="18"/>
  <c r="S58" i="18"/>
  <c r="J159" i="25"/>
  <c r="J409" i="25"/>
  <c r="W259" i="18"/>
  <c r="R401" i="18"/>
  <c r="W318" i="18"/>
  <c r="Y323" i="18"/>
  <c r="R33" i="18"/>
  <c r="Y254" i="18"/>
  <c r="N215" i="18"/>
  <c r="J134" i="25"/>
  <c r="J388" i="25"/>
  <c r="P460" i="18"/>
  <c r="I175" i="25"/>
  <c r="AA64" i="18"/>
  <c r="AF142" i="18"/>
  <c r="AB55" i="18"/>
  <c r="AF274" i="18"/>
  <c r="AB302" i="18"/>
  <c r="N148" i="18"/>
  <c r="P253" i="18"/>
  <c r="N58" i="18"/>
  <c r="N267" i="18"/>
  <c r="AA147" i="18"/>
  <c r="I480" i="25"/>
  <c r="V12" i="18"/>
  <c r="W218" i="18"/>
  <c r="I63" i="25"/>
  <c r="I93" i="25"/>
  <c r="R359" i="18"/>
  <c r="J167" i="25"/>
  <c r="V27" i="18"/>
  <c r="W14" i="18"/>
  <c r="X421" i="18"/>
  <c r="Y413" i="18"/>
  <c r="R338" i="18"/>
  <c r="X123" i="18"/>
  <c r="N354" i="18"/>
  <c r="N126" i="18"/>
  <c r="AC204" i="18"/>
  <c r="R126" i="18"/>
  <c r="N254" i="18"/>
  <c r="S410" i="18"/>
  <c r="O371" i="18"/>
  <c r="P19" i="18"/>
  <c r="I313" i="25"/>
  <c r="AE76" i="18"/>
  <c r="P149" i="18"/>
  <c r="AF316" i="18"/>
  <c r="AA163" i="18"/>
  <c r="AC304" i="18"/>
  <c r="N238" i="18"/>
  <c r="AF371" i="18"/>
  <c r="N72" i="18"/>
  <c r="Q128" i="18"/>
  <c r="U252" i="18"/>
  <c r="I140" i="25"/>
  <c r="R437" i="18"/>
  <c r="R16" i="18"/>
  <c r="Y459" i="18"/>
  <c r="T114" i="18"/>
  <c r="U275" i="18"/>
  <c r="I259" i="25"/>
  <c r="R188" i="18"/>
  <c r="V150" i="18"/>
  <c r="Q457" i="18"/>
  <c r="AE390" i="18"/>
  <c r="AF205" i="18"/>
  <c r="P98" i="18"/>
  <c r="I349" i="25"/>
  <c r="P68" i="18"/>
  <c r="R105" i="18"/>
  <c r="AE96" i="18"/>
  <c r="AE425" i="18"/>
  <c r="P284" i="18"/>
  <c r="N146" i="18"/>
  <c r="V462" i="18"/>
  <c r="O343" i="18"/>
  <c r="V497" i="18"/>
  <c r="S475" i="18"/>
  <c r="AC228" i="18"/>
  <c r="S348" i="18"/>
  <c r="P198" i="18"/>
  <c r="S138" i="18"/>
  <c r="O133" i="18"/>
  <c r="AB63" i="18"/>
  <c r="AE233" i="18"/>
  <c r="AB271" i="18"/>
  <c r="O477" i="18"/>
  <c r="AA299" i="18"/>
  <c r="W355" i="18"/>
  <c r="O362" i="18"/>
  <c r="AD388" i="18"/>
  <c r="T262" i="18"/>
  <c r="AB211" i="18"/>
  <c r="AH211" i="18" s="true"/>
  <c r="AI211" i="18" s="true"/>
  <c r="AE54" i="18"/>
  <c r="P396" i="18"/>
  <c r="AC505" i="18"/>
  <c r="AA239" i="18"/>
  <c r="N447" i="18"/>
  <c r="AD426" i="18"/>
  <c r="AC357" i="18"/>
  <c r="AB94" i="18"/>
  <c r="AH94" i="18" s="true"/>
  <c r="AI94" i="18" s="true"/>
  <c r="AF130" i="18"/>
  <c r="AE309" i="18"/>
  <c r="N302" i="18"/>
  <c r="O203" i="18"/>
  <c r="AF461" i="18"/>
  <c r="AF491" i="18"/>
  <c r="AA348" i="18"/>
  <c r="AC499" i="18"/>
  <c r="AD279" i="18"/>
  <c r="AA421" i="18"/>
  <c r="AC474" i="18"/>
  <c r="O182" i="18"/>
  <c r="P157" i="18"/>
  <c r="AD431" i="18"/>
  <c r="AA271" i="18"/>
  <c r="O266" i="18"/>
  <c r="AF448" i="18"/>
  <c r="AB168" i="18"/>
  <c r="AA198" i="18"/>
  <c r="W10" i="18"/>
  <c r="Y230" i="18"/>
  <c r="I180" i="25"/>
  <c r="U492" i="18"/>
  <c r="I258" i="25"/>
  <c r="U42" i="18"/>
  <c r="Y131" i="18"/>
  <c r="T112" i="18"/>
  <c r="U378" i="18"/>
  <c r="W117" i="18"/>
  <c r="J448" i="25"/>
  <c r="V46" i="18"/>
  <c r="Y105" i="18"/>
  <c r="R319" i="18"/>
  <c r="J271" i="25"/>
  <c r="AC120" i="18"/>
  <c r="AA70" i="18"/>
  <c r="O95" i="18"/>
  <c r="AB181" i="18"/>
  <c r="AD215" i="18"/>
  <c r="AE84" i="18"/>
  <c r="AC34" i="18"/>
  <c r="AF309" i="18"/>
  <c r="AF110" i="18"/>
  <c r="X190" i="18"/>
  <c r="V420" i="18"/>
  <c r="AF132" i="18"/>
  <c r="P195" i="18"/>
  <c r="AE308" i="18"/>
  <c r="N356" i="18"/>
  <c r="AA451" i="18"/>
  <c r="AA156" i="18"/>
  <c r="AD369" i="18"/>
  <c r="AF428" i="18"/>
  <c r="AE278" i="18"/>
  <c r="AF486" i="18"/>
  <c r="AF206" i="18"/>
  <c r="S383" i="18"/>
  <c r="U179" i="18"/>
  <c r="AE135" i="18"/>
  <c r="AD131" i="18"/>
  <c r="P430" i="18"/>
  <c r="AB86" i="18"/>
  <c r="AD184" i="18"/>
  <c r="O274" i="18"/>
  <c r="O9" i="18"/>
  <c r="AB130" i="18"/>
  <c r="U103" i="18"/>
  <c r="T486" i="18"/>
  <c r="AA378" i="18"/>
  <c r="P443" i="18"/>
  <c r="AB427" i="18"/>
  <c r="AD367" i="18"/>
  <c r="AD467" i="18"/>
  <c r="N17" i="18"/>
  <c r="AC20" i="18"/>
  <c r="AD207" i="18"/>
  <c r="AD273" i="18"/>
  <c r="W476" i="18"/>
  <c r="J112" i="25"/>
  <c r="AA53" i="18"/>
  <c r="AE242" i="18"/>
  <c r="AE227" i="18"/>
  <c r="AD378" i="18"/>
  <c r="AB36" i="18"/>
  <c r="N155" i="18"/>
  <c r="O482" i="18"/>
  <c r="AB188" i="18"/>
  <c r="N48" i="18"/>
  <c r="AA30" i="18"/>
  <c r="AB458" i="18"/>
  <c r="O224" i="18"/>
  <c r="P26" i="18"/>
  <c r="O178" i="18"/>
  <c r="AC196" i="18"/>
  <c r="AE46" i="18"/>
  <c r="AF278" i="18"/>
  <c r="AA36" i="18"/>
  <c r="AD446" i="18"/>
  <c r="AB424" i="18"/>
  <c r="AE351" i="18"/>
  <c r="AF477" i="18"/>
  <c r="N319" i="18"/>
  <c r="N333" i="18"/>
  <c r="N463" i="18"/>
  <c r="AA184" i="18"/>
  <c r="P178" i="18"/>
  <c r="AC48" i="18"/>
  <c r="AC270" i="18"/>
  <c r="N234" i="18"/>
  <c r="AC185" i="18"/>
  <c r="AB21" i="18"/>
  <c r="AB383" i="18"/>
  <c r="AE92" i="18"/>
  <c r="AF494" i="18"/>
  <c r="AA426" i="18"/>
  <c r="N181" i="18"/>
  <c r="P170" i="18"/>
  <c r="AE231" i="18"/>
  <c r="P404" i="18"/>
  <c r="AD124" i="18"/>
  <c r="AF233" i="18"/>
  <c r="AF250" i="18"/>
  <c r="AA363" i="18"/>
  <c r="AF128" i="18"/>
  <c r="U505" i="18"/>
  <c r="AD496" i="18"/>
  <c r="AA319" i="18"/>
  <c r="P146" i="18"/>
  <c r="AF330" i="18"/>
  <c r="AC279" i="18"/>
  <c r="AB362" i="18"/>
  <c r="N228" i="18"/>
  <c r="P469" i="18"/>
  <c r="N454" i="18"/>
  <c r="AB346" i="18"/>
  <c r="AD171" i="18"/>
  <c r="AC169" i="18"/>
  <c r="AF82" i="18"/>
  <c r="N229" i="18"/>
  <c r="AB372" i="18"/>
  <c r="P246" i="18"/>
  <c r="AC430" i="18"/>
  <c r="AE413" i="18"/>
  <c r="N305" i="18"/>
  <c r="AF504" i="18"/>
  <c r="AF46" i="18"/>
  <c r="P364" i="18"/>
  <c r="O24" i="18"/>
  <c r="AE424" i="18"/>
  <c r="AD216" i="18"/>
  <c r="O495" i="18"/>
  <c r="AA196" i="18"/>
  <c r="N209" i="18"/>
  <c r="AD137" i="18"/>
  <c r="P397" i="18"/>
  <c r="AB204" i="18"/>
  <c r="AE324" i="18"/>
  <c r="P267" i="18"/>
  <c r="AA153" i="18"/>
  <c r="AA57" i="18"/>
  <c r="O318" i="18"/>
  <c r="AC479" i="18"/>
  <c r="AE25" i="18"/>
  <c r="AF356" i="18"/>
  <c r="P108" i="18"/>
  <c r="Q346" i="18"/>
  <c r="I248" i="25"/>
  <c r="S250" i="18"/>
  <c r="J106" i="25"/>
  <c r="J84" i="25"/>
  <c r="X499" i="18"/>
  <c r="Y483" i="18"/>
  <c r="Y84" i="18"/>
  <c r="W436" i="18"/>
  <c r="J26" i="25"/>
  <c r="S257" i="18"/>
  <c r="AC411" i="18"/>
  <c r="AB363" i="18"/>
  <c r="AF383" i="18"/>
  <c r="AC234" i="18"/>
  <c r="N437" i="18"/>
  <c r="AF279" i="18"/>
  <c r="P101" i="18"/>
  <c r="AB328" i="18"/>
  <c r="AC347" i="18"/>
  <c r="P23" i="18"/>
  <c r="AA307" i="18"/>
  <c r="O106" i="18"/>
  <c r="N140" i="18"/>
  <c r="P120" i="18"/>
  <c r="O394" i="18"/>
  <c r="O156" i="18"/>
  <c r="AC144" i="18"/>
  <c r="AA51" i="18"/>
  <c r="AE229" i="18"/>
  <c r="AC493" i="18"/>
  <c r="N213" i="18"/>
  <c r="AB28" i="18"/>
  <c r="AF379" i="18"/>
  <c r="AC136" i="18"/>
  <c r="AB201" i="18"/>
  <c r="P247" i="18"/>
  <c r="AE104" i="18"/>
  <c r="AB435" i="18"/>
  <c r="AE359" i="18"/>
  <c r="AA434" i="18"/>
  <c r="AB205" i="18"/>
  <c r="AB18" i="18"/>
  <c r="AA354" i="18"/>
  <c r="AE363" i="18"/>
  <c r="AE176" i="18"/>
  <c r="AF17" i="18"/>
  <c r="AF178" i="18"/>
  <c r="AC260" i="18"/>
  <c r="AD134" i="18"/>
  <c r="AA174" i="18"/>
  <c r="P64" i="18"/>
  <c r="O129" i="18"/>
  <c r="P186" i="18"/>
  <c r="N98" i="18"/>
  <c r="AC428" i="18"/>
  <c r="N206" i="18"/>
  <c r="AB270" i="18"/>
  <c r="AC423" i="18"/>
  <c r="AD40" i="18"/>
  <c r="AC32" i="18"/>
  <c r="AD391" i="18"/>
  <c r="AC450" i="18"/>
  <c r="P336" i="18"/>
  <c r="AE289" i="18"/>
  <c r="AE436" i="18"/>
  <c r="AE370" i="18"/>
  <c r="O108" i="18"/>
  <c r="AE225" i="18"/>
  <c r="I426" i="25"/>
  <c r="Q382" i="18"/>
  <c r="J392" i="25"/>
  <c r="J299" i="25"/>
  <c r="I19" i="25"/>
  <c r="Y78" i="18"/>
  <c r="R113" i="18"/>
  <c r="Q430" i="18"/>
  <c r="V397" i="18"/>
  <c r="U297" i="18"/>
  <c r="S155" i="18"/>
  <c r="W11" i="18"/>
  <c r="Q88" i="18"/>
  <c r="Y465" i="18"/>
  <c r="AA16" i="18"/>
  <c r="AF96" i="18"/>
  <c r="P340" i="18"/>
  <c r="Y451" i="18"/>
  <c r="AA31" i="18"/>
  <c r="AB102" i="18"/>
  <c r="P276" i="18"/>
  <c r="N490" i="18"/>
  <c r="AF12" i="18"/>
  <c r="AE60" i="18"/>
  <c r="AH60" i="18" s="true"/>
  <c r="AI60" i="18" s="true"/>
  <c r="P302" i="18"/>
  <c r="O261" i="18"/>
  <c r="AF153" i="18"/>
  <c r="O96" i="18"/>
  <c r="O349" i="18"/>
  <c r="AD27" i="18"/>
  <c r="N75" i="18"/>
  <c r="AA305" i="18"/>
  <c r="AC500" i="18"/>
  <c r="P478" i="18"/>
  <c r="T416" i="18"/>
  <c r="I243" i="25"/>
  <c r="I460" i="25"/>
  <c r="R27" i="18"/>
  <c r="AA58" i="18"/>
  <c r="AD89" i="18"/>
  <c r="N291" i="18"/>
  <c r="AC416" i="18"/>
  <c r="AF220" i="18"/>
  <c r="P190" i="18"/>
  <c r="AD232" i="18"/>
  <c r="P218" i="18"/>
  <c r="U237" i="18"/>
  <c r="AA176" i="18"/>
  <c r="N402" i="18"/>
  <c r="AA390" i="18"/>
  <c r="AD399" i="18"/>
  <c r="AB360" i="18"/>
  <c r="AH360" i="18" s="true"/>
  <c r="AI360" i="18" s="true"/>
  <c r="N270" i="18"/>
  <c r="AF189" i="18"/>
  <c r="O241" i="18"/>
  <c r="O119" i="18"/>
  <c r="AB48" i="18"/>
  <c r="AC468" i="18"/>
  <c r="AA146" i="18"/>
  <c r="X203" i="18"/>
  <c r="Y72" i="18"/>
  <c r="I31" i="25"/>
  <c r="V111" i="18"/>
  <c r="Y486" i="18"/>
  <c r="J416" i="25"/>
  <c r="J497" i="25"/>
  <c r="U253" i="18"/>
  <c r="X339" i="18"/>
  <c r="T80" i="18"/>
  <c r="W190" i="18"/>
  <c r="V265" i="18"/>
  <c r="Y436" i="18"/>
  <c r="J48" i="25"/>
  <c r="X230" i="18"/>
  <c r="AD290" i="18"/>
  <c r="AB257" i="18"/>
  <c r="N245" i="18"/>
  <c r="O428" i="18"/>
  <c r="AF239" i="18"/>
  <c r="AD429" i="18"/>
  <c r="P409" i="18"/>
  <c r="P29" i="18"/>
  <c r="AD397" i="18"/>
  <c r="Y99" i="18"/>
  <c r="W15" i="18"/>
  <c r="AF36" i="18"/>
  <c r="P106" i="18"/>
  <c r="AC40" i="18"/>
  <c r="N76" i="18"/>
  <c r="AE335" i="18"/>
  <c r="P470" i="18"/>
  <c r="AB169" i="18"/>
  <c r="AA499" i="18"/>
  <c r="AC213" i="18"/>
  <c r="O380" i="18"/>
  <c r="AE106" i="18"/>
  <c r="R219" i="18"/>
  <c r="U268" i="18"/>
  <c r="I366" i="25"/>
  <c r="P415" i="18"/>
  <c r="AE238" i="18"/>
  <c r="N32" i="18"/>
  <c r="AB398" i="18"/>
  <c r="AH398" i="18" s="true"/>
  <c r="AI398" i="18" s="true"/>
  <c r="AD155" i="18"/>
  <c r="AF105" i="18"/>
  <c r="O277" i="18"/>
  <c r="AE279" i="18"/>
  <c r="AE488" i="18"/>
  <c r="T251" i="18"/>
  <c r="AA370" i="18"/>
  <c r="AC190" i="18"/>
  <c r="AE312" i="18"/>
  <c r="AB250" i="18"/>
  <c r="AE408" i="18"/>
  <c r="AC103" i="18"/>
  <c r="AB183" i="18"/>
  <c r="AB190" i="18"/>
  <c r="U436" i="18"/>
  <c r="T65" i="18"/>
  <c r="P333" i="18"/>
  <c r="AB85" i="18"/>
  <c r="P355" i="18"/>
  <c r="O175" i="18"/>
  <c r="AE364" i="18"/>
  <c r="N124" i="18"/>
  <c r="AC375" i="18"/>
  <c r="AA329" i="18"/>
  <c r="O440" i="18"/>
  <c r="AB471" i="18"/>
  <c r="N280" i="18"/>
  <c r="AD377" i="18"/>
  <c r="AF41" i="18"/>
  <c r="AC158" i="18"/>
  <c r="AC448" i="18"/>
  <c r="AB195" i="18"/>
  <c r="AD154" i="18"/>
  <c r="N132" i="18"/>
  <c r="AF232" i="18"/>
  <c r="AA405" i="18"/>
  <c r="O263" i="18"/>
  <c r="AF502" i="18"/>
  <c r="AC23" i="18"/>
  <c r="AF188" i="18"/>
  <c r="P374" i="18"/>
  <c r="AF269" i="18"/>
  <c r="AB107" i="18"/>
  <c r="O269" i="18"/>
  <c r="AC331" i="18"/>
  <c r="O154" i="18"/>
  <c r="O415" i="18"/>
  <c r="AE139" i="18"/>
  <c r="AB124" i="18"/>
  <c r="P401" i="18"/>
  <c r="I496" i="25"/>
  <c r="Y61" i="18"/>
  <c r="U440" i="18"/>
  <c r="P194" i="18"/>
  <c r="P165" i="18"/>
  <c r="P85" i="18"/>
  <c r="AC105" i="18"/>
  <c r="AF498" i="18"/>
  <c r="N247" i="18"/>
  <c r="AB392" i="18"/>
  <c r="AB245" i="18"/>
  <c r="AA284" i="18"/>
  <c r="AA40" i="18"/>
  <c r="N9" i="18"/>
  <c r="O23" i="18"/>
  <c r="O55" i="18"/>
  <c r="AD353" i="18"/>
  <c r="AA249" i="18"/>
  <c r="AA311" i="18"/>
  <c r="T372" i="18"/>
  <c r="J441" i="25"/>
  <c r="I181" i="25"/>
  <c r="R459" i="18"/>
  <c r="I368" i="25"/>
  <c r="T332" i="18"/>
  <c r="N496" i="18"/>
  <c r="N242" i="18"/>
  <c r="AC322" i="18"/>
  <c r="AE316" i="18"/>
  <c r="AE261" i="18"/>
  <c r="N396" i="18"/>
  <c r="AA476" i="18"/>
  <c r="P132" i="18"/>
  <c r="AF467" i="18"/>
  <c r="AB140" i="18"/>
  <c r="AC86" i="18"/>
  <c r="AE82" i="18"/>
  <c r="O30" i="18"/>
  <c r="AF228" i="18"/>
  <c r="AC248" i="18"/>
  <c r="AF365" i="18"/>
  <c r="N143" i="18"/>
  <c r="P63" i="18"/>
  <c r="AF352" i="18"/>
  <c r="O53" i="18"/>
  <c r="AA341" i="18"/>
  <c r="O47" i="18"/>
  <c r="AE250" i="18"/>
  <c r="AC99" i="18"/>
  <c r="AB32" i="18"/>
  <c r="AA332" i="18"/>
  <c r="AC330" i="18"/>
  <c r="AF370" i="18"/>
  <c r="O12" i="18"/>
  <c r="O251" i="18"/>
  <c r="O179" i="18"/>
  <c r="AA352" i="18"/>
  <c r="N257" i="18"/>
  <c r="P140" i="18"/>
  <c r="N347" i="18"/>
  <c r="AE368" i="18"/>
  <c r="AD28" i="18"/>
  <c r="AC51" i="18"/>
  <c r="AD376" i="18"/>
  <c r="N150" i="18"/>
  <c r="AC146" i="18"/>
  <c r="AA310" i="18"/>
  <c r="AF424" i="18"/>
  <c r="O136" i="18"/>
  <c r="AC359" i="18"/>
  <c r="P402" i="18"/>
  <c r="P475" i="18"/>
  <c r="AD440" i="18"/>
  <c r="AF131" i="18"/>
  <c r="O18" i="18"/>
  <c r="AF95" i="18"/>
  <c r="AB152" i="18"/>
  <c r="I139" i="25"/>
  <c r="X105" i="18"/>
  <c r="J206" i="25"/>
  <c r="S260" i="18"/>
  <c r="T185" i="18"/>
  <c r="U190" i="18"/>
  <c r="S414" i="18"/>
  <c r="T364" i="18"/>
  <c r="I391" i="25"/>
  <c r="R380" i="18"/>
  <c r="Y235" i="18"/>
  <c r="U433" i="18"/>
  <c r="Y200" i="18"/>
  <c r="S18" i="18"/>
  <c r="AB442" i="18"/>
  <c r="AC43" i="18"/>
  <c r="AE431" i="18"/>
  <c r="AH431" i="18" s="true"/>
  <c r="AI431" i="18" s="true"/>
  <c r="AA489" i="18"/>
  <c r="AB246" i="18"/>
  <c r="AC318" i="18"/>
  <c r="J365" i="25"/>
  <c r="AF445" i="18"/>
  <c r="P69" i="18"/>
  <c r="W203" i="18"/>
  <c r="P192" i="18"/>
  <c r="AD19" i="18"/>
  <c r="AE152" i="18"/>
  <c r="O22" i="18"/>
  <c r="AD225" i="18"/>
  <c r="AA226" i="18"/>
  <c r="N503" i="18"/>
  <c r="AF9" i="18"/>
  <c r="AF103" i="18"/>
  <c r="AF8" i="18"/>
  <c r="AC205" i="18"/>
  <c r="W63" i="18"/>
  <c r="J370" i="25"/>
  <c r="P501" i="18"/>
  <c r="AA263" i="18"/>
  <c r="O289" i="18"/>
  <c r="AC480" i="18"/>
  <c r="AE57" i="18"/>
  <c r="AD128" i="18"/>
  <c r="AE281" i="18"/>
  <c r="AC372" i="18"/>
  <c r="V347" i="18"/>
  <c r="I471" i="25"/>
  <c r="P369" i="18"/>
  <c r="AE506" i="18"/>
  <c r="AD275" i="18"/>
  <c r="AE262" i="18"/>
  <c r="AD135" i="18"/>
  <c r="AD96" i="18"/>
  <c r="AC345" i="18"/>
  <c r="AF366" i="18"/>
  <c r="AA123" i="18"/>
  <c r="O494" i="18"/>
  <c r="AD29" i="18"/>
  <c r="AA486" i="18"/>
  <c r="O245" i="18"/>
  <c r="AF70" i="18"/>
  <c r="AD271" i="18"/>
  <c r="O423" i="18"/>
  <c r="AD249" i="18"/>
  <c r="AB460" i="18"/>
  <c r="AE294" i="18"/>
  <c r="O85" i="18"/>
  <c r="AB368" i="18"/>
  <c r="AC170" i="18"/>
  <c r="AC71" i="18"/>
  <c r="AD497" i="18"/>
  <c r="AB320" i="18"/>
  <c r="AA144" i="18"/>
  <c r="AC478" i="18"/>
  <c r="O256" i="18"/>
  <c r="O102" i="18"/>
  <c r="AD39" i="18"/>
  <c r="O205" i="18"/>
  <c r="AB166" i="18"/>
  <c r="N330" i="18"/>
  <c r="AF282" i="18"/>
  <c r="AD416" i="18"/>
  <c r="AB132" i="18"/>
  <c r="AB281" i="18"/>
  <c r="T240" i="18"/>
  <c r="U183" i="18"/>
  <c r="O497" i="18"/>
  <c r="AA277" i="18"/>
  <c r="J55" i="25"/>
  <c r="W258" i="18"/>
  <c r="R232" i="18"/>
  <c r="AD330" i="18"/>
  <c r="AF71" i="18"/>
  <c r="P503" i="18"/>
  <c r="AB426" i="18"/>
  <c r="O137" i="18"/>
  <c r="AB148" i="18"/>
  <c r="P313" i="18"/>
  <c r="P431" i="18"/>
  <c r="N8" i="18"/>
  <c r="P388" i="18"/>
  <c r="AB249" i="18"/>
  <c r="N480" i="18"/>
  <c r="AA256" i="18"/>
  <c r="N368" i="18"/>
  <c r="AC117" i="18"/>
  <c r="N382" i="18"/>
  <c r="AE158" i="18"/>
  <c r="P422" i="18"/>
  <c r="N24" i="18"/>
  <c r="P40" i="18"/>
  <c r="AE269" i="18"/>
  <c r="AF318" i="18"/>
  <c r="AA112" i="18"/>
  <c r="AD274" i="18"/>
  <c r="N381" i="18"/>
  <c r="N226" i="18"/>
  <c r="AA282" i="18"/>
  <c r="AF24" i="18"/>
  <c r="AD371" i="18"/>
  <c r="O194" i="18"/>
  <c r="AB307" i="18"/>
  <c r="AC369" i="18"/>
  <c r="AC30" i="18"/>
  <c r="AB71" i="18"/>
  <c r="AD335" i="18"/>
  <c r="AD62" i="18"/>
  <c r="P173" i="18"/>
  <c r="N323" i="18"/>
  <c r="AE301" i="18"/>
  <c r="AE143" i="18"/>
  <c r="AH143" i="18" s="true"/>
  <c r="AI143" i="18" s="true"/>
  <c r="AB65" i="18"/>
  <c r="AC179" i="18"/>
  <c r="P10" i="18"/>
  <c r="AE331" i="18"/>
  <c r="AC52" i="18"/>
  <c r="AA137" i="18"/>
  <c r="AE255" i="18"/>
  <c r="P457" i="18"/>
  <c r="O359" i="18"/>
  <c r="AF453" i="18"/>
  <c r="AC486" i="18"/>
  <c r="AA125" i="18"/>
  <c r="AF226" i="18"/>
  <c r="P208" i="18"/>
  <c r="I84" i="25"/>
  <c r="X35" i="18"/>
  <c r="U411" i="18"/>
  <c r="T457" i="18"/>
  <c r="X212" i="18"/>
  <c r="T260" i="18"/>
  <c r="U259" i="18"/>
  <c r="J462" i="25"/>
  <c r="J493" i="25"/>
  <c r="T237" i="18"/>
  <c r="R320" i="18"/>
  <c r="S41" i="18"/>
  <c r="W403" i="18"/>
  <c r="U14" i="18"/>
  <c r="AB309" i="18"/>
  <c r="AC351" i="18"/>
  <c r="AD478" i="18"/>
  <c r="AE167" i="18"/>
  <c r="N426" i="18"/>
  <c r="AE216" i="18"/>
  <c r="O228" i="18"/>
  <c r="AE374" i="18"/>
  <c r="AE99" i="18"/>
  <c r="AH99" i="18" s="true"/>
  <c r="AI99" i="18" s="true"/>
  <c r="R275" i="18"/>
  <c r="I218" i="25"/>
  <c r="T380" i="18"/>
  <c r="AF444" i="18"/>
  <c r="AD210" i="18"/>
  <c r="AB206" i="18"/>
  <c r="AB353" i="18"/>
  <c r="AB209" i="18"/>
  <c r="N16" i="18"/>
  <c r="AF431" i="18"/>
  <c r="AD241" i="18"/>
  <c r="O472" i="18"/>
  <c r="AC377" i="18"/>
  <c r="AF312" i="18"/>
  <c r="AA8" i="18"/>
  <c r="I129" i="25"/>
  <c r="S150" i="18"/>
  <c r="O68" i="18"/>
  <c r="AE83" i="18"/>
  <c r="AC216" i="18"/>
  <c r="AC57" i="18"/>
  <c r="AE150" i="18"/>
  <c r="N62" i="18"/>
  <c r="AB230" i="18"/>
  <c r="N162" i="18"/>
  <c r="R84" i="18"/>
  <c r="X287" i="18"/>
  <c r="AC343" i="18"/>
  <c r="AE127" i="18"/>
  <c r="AB171" i="18"/>
  <c r="AE63" i="18"/>
  <c r="AD329" i="18"/>
  <c r="O166" i="18"/>
  <c r="AB394" i="18"/>
  <c r="AE303" i="18"/>
  <c r="Q41" i="18"/>
  <c r="AD471" i="18"/>
  <c r="N220" i="18"/>
  <c r="N286" i="18"/>
  <c r="AF341" i="18"/>
  <c r="N339" i="18"/>
  <c r="AA303" i="18"/>
  <c r="AC487" i="18"/>
  <c r="AA183" i="18"/>
  <c r="AD58" i="18"/>
  <c r="P215" i="18"/>
  <c r="O387" i="18"/>
  <c r="AD296" i="18"/>
  <c r="AF107" i="18"/>
  <c r="AC315" i="18"/>
  <c r="AD205" i="18"/>
  <c r="O490" i="18"/>
  <c r="O378" i="18"/>
  <c r="AC435" i="18"/>
  <c r="AF18" i="18"/>
  <c r="P418" i="18"/>
  <c r="AE355" i="18"/>
  <c r="AF258" i="18"/>
  <c r="AD432" i="18"/>
  <c r="AC403" i="18"/>
  <c r="AE181" i="18"/>
  <c r="AE97" i="18"/>
  <c r="AH97" i="18" s="true"/>
  <c r="AI97" i="18" s="true"/>
  <c r="P444" i="18"/>
  <c r="AE179" i="18"/>
  <c r="AF172" i="18"/>
  <c r="AE453" i="18"/>
  <c r="AA498" i="18"/>
  <c r="N77" i="18"/>
  <c r="AC113" i="18"/>
  <c r="AF326" i="18"/>
  <c r="AB400" i="18"/>
  <c r="O122" i="18"/>
  <c r="AC155" i="18"/>
  <c r="AF118" i="18"/>
  <c r="Y234" i="18"/>
  <c r="Q331" i="18"/>
  <c r="S445" i="18"/>
  <c r="W237" i="18"/>
  <c r="AB217" i="18"/>
  <c r="AD32" i="18"/>
  <c r="AB478" i="18"/>
  <c r="P15" i="18"/>
  <c r="AD411" i="18"/>
  <c r="AF16" i="18"/>
  <c r="O457" i="18"/>
  <c r="AF348" i="18"/>
  <c r="AC229" i="18"/>
  <c r="AA152" i="18"/>
  <c r="P225" i="18"/>
  <c r="O150" i="18"/>
  <c r="AC384" i="18"/>
  <c r="O336" i="18"/>
  <c r="AB145" i="18"/>
  <c r="AF126" i="18"/>
  <c r="AE18" i="18"/>
  <c r="U240" i="18"/>
  <c r="U115" i="18"/>
  <c r="S359" i="18"/>
  <c r="AD321" i="18"/>
  <c r="AA82" i="18"/>
  <c r="AE332" i="18"/>
  <c r="AC12" i="18"/>
  <c r="O141" i="18"/>
  <c r="N265" i="18"/>
  <c r="AA229" i="18"/>
  <c r="AE159" i="18"/>
  <c r="AF392" i="18"/>
  <c r="AF115" i="18"/>
  <c r="AC88" i="18"/>
  <c r="P182" i="18"/>
  <c r="AB116" i="18"/>
  <c r="N449" i="18"/>
  <c r="AC239" i="18"/>
  <c r="P95" i="18"/>
  <c r="AE165" i="18"/>
  <c r="O484" i="18"/>
  <c r="AE369" i="18"/>
  <c r="N168" i="18"/>
  <c r="O310" i="18"/>
  <c r="O189" i="18"/>
  <c r="AB110" i="18"/>
  <c r="O151" i="18"/>
  <c r="P316" i="18"/>
  <c r="AA504" i="18"/>
  <c r="AD213" i="18"/>
  <c r="N42" i="18"/>
  <c r="AC404" i="18"/>
  <c r="AF328" i="18"/>
  <c r="O183" i="18"/>
  <c r="AE477" i="18"/>
  <c r="AF374" i="18"/>
  <c r="AF457" i="18"/>
  <c r="AC177" i="18"/>
  <c r="O488" i="18"/>
  <c r="P258" i="18"/>
  <c r="P128" i="18"/>
  <c r="AD176" i="18"/>
  <c r="AB468" i="18"/>
  <c r="AH468" i="18" s="true"/>
  <c r="AI468" i="18" s="true"/>
  <c r="P312" i="18"/>
  <c r="AF270" i="18"/>
  <c r="AC414" i="18"/>
  <c r="AA33" i="18"/>
  <c r="N249" i="18"/>
  <c r="N12" i="18"/>
  <c r="AD31" i="18"/>
  <c r="AE473" i="18"/>
  <c r="AA503" i="18"/>
  <c r="AA463" i="18"/>
  <c r="P201" i="18"/>
  <c r="P426" i="18"/>
  <c r="N355" i="18"/>
  <c r="P100" i="18"/>
  <c r="J15" i="25"/>
  <c r="S130" i="18"/>
  <c r="R175" i="18"/>
  <c r="S71" i="18"/>
  <c r="X18" i="18"/>
  <c r="T472" i="18"/>
  <c r="U155" i="18"/>
  <c r="W330" i="18"/>
  <c r="J107" i="25"/>
  <c r="X200" i="18"/>
  <c r="R10" i="18"/>
  <c r="R99" i="18"/>
  <c r="W406" i="18"/>
  <c r="U159" i="18"/>
  <c r="J101" i="25"/>
  <c r="S439" i="18"/>
  <c r="I16" i="25"/>
  <c r="Q307" i="18"/>
  <c r="U78" i="18"/>
  <c r="Q69" i="18"/>
  <c r="I495" i="25"/>
  <c r="J394" i="25"/>
  <c r="I265" i="25"/>
  <c r="S168" i="18"/>
  <c r="W106" i="18"/>
  <c r="J183" i="25"/>
  <c r="T171" i="18"/>
  <c r="W388" i="18"/>
  <c r="X373" i="18"/>
  <c r="I44" i="25"/>
  <c r="Q422" i="18"/>
  <c r="X249" i="18"/>
  <c r="S212" i="18"/>
  <c r="S11" i="18"/>
  <c r="T94" i="18"/>
  <c r="AD180" i="18"/>
  <c r="AE307" i="18"/>
  <c r="AH307" i="18" s="true"/>
  <c r="AI307" i="18" s="true"/>
  <c r="P268" i="18"/>
  <c r="AA383" i="18"/>
  <c r="P360" i="18"/>
  <c r="AF473" i="18"/>
  <c r="AE109" i="18"/>
  <c r="O128" i="18"/>
  <c r="AE243" i="18"/>
  <c r="AF39" i="18"/>
  <c r="P344" i="18"/>
  <c r="AC440" i="18"/>
  <c r="AA197" i="18"/>
  <c r="AD116" i="18"/>
  <c r="AE110" i="18"/>
  <c r="AD66" i="18"/>
  <c r="N388" i="18"/>
  <c r="AF306" i="18"/>
  <c r="AE237" i="18"/>
  <c r="AC38" i="18"/>
  <c r="AD383" i="18"/>
  <c r="O408" i="18"/>
  <c r="AB143" i="18"/>
  <c r="AF156" i="18"/>
  <c r="O89" i="18"/>
  <c r="O75" i="18"/>
  <c r="AA493" i="18"/>
  <c r="AD468" i="18"/>
  <c r="N493" i="18"/>
  <c r="AD445" i="18"/>
  <c r="P363" i="18"/>
  <c r="N370" i="18"/>
  <c r="AE329" i="18"/>
  <c r="AA240" i="18"/>
  <c r="N89" i="18"/>
  <c r="P217" i="18"/>
  <c r="N423" i="18"/>
  <c r="AC202" i="18"/>
  <c r="AA431" i="18"/>
  <c r="AB375" i="18"/>
  <c r="AD340" i="18"/>
  <c r="AC141" i="18"/>
  <c r="AD157" i="18"/>
  <c r="N385" i="18"/>
  <c r="AA473" i="18"/>
  <c r="N442" i="18"/>
  <c r="AB342" i="18"/>
  <c r="AC460" i="18"/>
  <c r="P152" i="18"/>
  <c r="AE451" i="18"/>
  <c r="AB75" i="18"/>
  <c r="AE401" i="18"/>
  <c r="AD148" i="18"/>
  <c r="O426" i="18"/>
  <c r="P504" i="18"/>
  <c r="AD129" i="18"/>
  <c r="AC277" i="18"/>
  <c r="AA71" i="18"/>
  <c r="AD114" i="18"/>
  <c r="P135" i="18"/>
  <c r="N417" i="18"/>
  <c r="AC22" i="18"/>
  <c r="N79" i="18"/>
  <c r="AE133" i="18"/>
  <c r="O454" i="18"/>
  <c r="AC118" i="18"/>
  <c r="AE39" i="18"/>
  <c r="AF27" i="18"/>
  <c r="AB108" i="18"/>
  <c r="AH108" i="18" s="true"/>
  <c r="AI108" i="18" s="true"/>
  <c r="AA180" i="18"/>
  <c r="AE131" i="18"/>
  <c r="N214" i="18"/>
  <c r="AB92" i="18"/>
  <c r="O145" i="18"/>
  <c r="O279" i="18"/>
  <c r="AE114" i="18"/>
  <c r="AH114" i="18" s="true"/>
  <c r="AI114" i="18" s="true"/>
  <c r="AF454" i="18"/>
  <c r="AD221" i="18"/>
  <c r="O398" i="18"/>
  <c r="AF380" i="18"/>
  <c r="P321" i="18"/>
  <c r="AD483" i="18"/>
  <c r="P330" i="18"/>
  <c r="AA467" i="18"/>
  <c r="N421" i="18"/>
  <c r="AB319" i="18"/>
  <c r="AB103" i="18"/>
  <c r="O44" i="18"/>
  <c r="N362" i="18"/>
  <c r="Q467" i="18"/>
  <c r="Q161" i="18"/>
  <c r="W293" i="18"/>
  <c r="X164" i="18"/>
  <c r="X221" i="18"/>
  <c r="X248" i="18"/>
  <c r="Y171" i="18"/>
  <c r="T261" i="18"/>
  <c r="X117" i="18"/>
  <c r="V466" i="18"/>
  <c r="J24" i="25"/>
  <c r="V190" i="18"/>
  <c r="J358" i="25"/>
  <c r="T180" i="18"/>
  <c r="Y305" i="18"/>
  <c r="Y446" i="18"/>
  <c r="Q106" i="18"/>
  <c r="J397" i="25"/>
  <c r="S302" i="18"/>
  <c r="U134" i="18"/>
  <c r="T157" i="18"/>
  <c r="V152" i="18"/>
  <c r="V139" i="18"/>
  <c r="W485" i="18"/>
  <c r="V352" i="18"/>
  <c r="R107" i="18"/>
  <c r="X317" i="18"/>
  <c r="T120" i="18"/>
  <c r="Q260" i="18"/>
  <c r="R448" i="18"/>
  <c r="S299" i="18"/>
  <c r="O479" i="18"/>
  <c r="P86" i="18"/>
  <c r="AD244" i="18"/>
  <c r="P121" i="18"/>
  <c r="AB393" i="18"/>
  <c r="AF197" i="18"/>
  <c r="AA219" i="18"/>
  <c r="N87" i="18"/>
  <c r="P467" i="18"/>
  <c r="AC432" i="18"/>
  <c r="O114" i="18"/>
  <c r="O427" i="18"/>
  <c r="AE223" i="18"/>
  <c r="AD441" i="18"/>
  <c r="AD172" i="18"/>
  <c r="P24" i="18"/>
  <c r="P274" i="18"/>
  <c r="AF390" i="18"/>
  <c r="P7" i="18"/>
  <c r="N387" i="18"/>
  <c r="AB210" i="18"/>
  <c r="P58" i="18"/>
  <c r="AF302" i="18"/>
  <c r="AB412" i="18"/>
  <c r="AF40" i="18"/>
  <c r="AD142" i="18"/>
  <c r="AD179" i="18"/>
  <c r="AA29" i="18"/>
  <c r="AD231" i="18"/>
  <c r="AC217" i="18"/>
  <c r="AB187" i="18"/>
  <c r="AF106" i="18"/>
  <c r="AF324" i="18"/>
  <c r="AD69" i="18"/>
  <c r="O127" i="18"/>
  <c r="O334" i="18"/>
  <c r="AC424" i="18"/>
  <c r="P46" i="18"/>
  <c r="N256" i="18"/>
  <c r="AC143" i="18"/>
  <c r="AD204" i="18"/>
  <c r="AC85" i="18"/>
  <c r="AF363" i="18"/>
  <c r="N241" i="18"/>
  <c r="AF297" i="18"/>
  <c r="O204" i="18"/>
  <c r="N239" i="18"/>
  <c r="O337" i="18"/>
  <c r="AB317" i="18"/>
  <c r="N211" i="18"/>
  <c r="AD374" i="18"/>
  <c r="AB141" i="18"/>
  <c r="O132" i="18"/>
  <c r="AC236" i="18"/>
  <c r="AC209" i="18"/>
  <c r="AD109" i="18"/>
  <c r="AA115" i="18"/>
  <c r="N392" i="18"/>
  <c r="T309" i="18"/>
  <c r="J455" i="25"/>
  <c r="Y251" i="18"/>
  <c r="S284" i="18"/>
  <c r="Q470" i="18"/>
  <c r="S419" i="18"/>
  <c r="V141" i="18"/>
  <c r="W213" i="18"/>
  <c r="R308" i="18"/>
  <c r="R186" i="18"/>
  <c r="I481" i="25"/>
  <c r="X253" i="18"/>
  <c r="U255" i="18"/>
  <c r="R416" i="18"/>
  <c r="U96" i="18"/>
  <c r="X303" i="18"/>
  <c r="S196" i="18"/>
  <c r="I74" i="25"/>
  <c r="R427" i="18"/>
  <c r="V246" i="18"/>
  <c r="U500" i="18"/>
  <c r="T291" i="18"/>
  <c r="V441" i="18"/>
  <c r="X247" i="18"/>
  <c r="S301" i="18"/>
  <c r="V371" i="18"/>
  <c r="J177" i="25"/>
  <c r="X70" i="18"/>
  <c r="V464" i="18"/>
  <c r="I241" i="25"/>
  <c r="V277" i="18"/>
  <c r="AF420" i="18"/>
  <c r="N500" i="18"/>
  <c r="AF463" i="18"/>
  <c r="AC455" i="18"/>
  <c r="AE495" i="18"/>
  <c r="N504" i="18"/>
  <c r="N145" i="18"/>
  <c r="N409" i="18"/>
  <c r="P435" i="18"/>
  <c r="AC311" i="18"/>
  <c r="AD246" i="18"/>
  <c r="P390" i="18"/>
  <c r="AB472" i="18"/>
  <c r="O401" i="18"/>
  <c r="AA485" i="18"/>
  <c r="AF460" i="18"/>
  <c r="O164" i="18"/>
  <c r="AC307" i="18"/>
  <c r="AE215" i="18"/>
  <c r="AA241" i="18"/>
  <c r="AA210" i="18"/>
  <c r="AC495" i="18"/>
  <c r="P31" i="18"/>
  <c r="O417" i="18"/>
  <c r="AA235" i="18"/>
  <c r="O319" i="18"/>
  <c r="N268" i="18"/>
  <c r="N413" i="18"/>
  <c r="O339" i="18"/>
  <c r="N117" i="18"/>
  <c r="AD459" i="18"/>
  <c r="O492" i="18"/>
  <c r="AD486" i="18"/>
  <c r="AE203" i="18"/>
  <c r="P304" i="18"/>
  <c r="P329" i="18"/>
  <c r="N318" i="18"/>
  <c r="N111" i="18"/>
  <c r="AD500" i="18"/>
  <c r="AA120" i="18"/>
  <c r="AB120" i="18"/>
  <c r="AF378" i="18"/>
  <c r="AF338" i="18"/>
  <c r="AB199" i="18"/>
  <c r="P387" i="18"/>
  <c r="AD284" i="18"/>
  <c r="AA79" i="18"/>
  <c r="P484" i="18"/>
  <c r="AB10" i="18"/>
  <c r="AF478" i="18"/>
  <c r="AA44" i="18"/>
  <c r="AB329" i="18"/>
  <c r="O459" i="18"/>
  <c r="AE154" i="18"/>
  <c r="N243" i="18"/>
  <c r="P505" i="18"/>
  <c r="AA309" i="18"/>
  <c r="AF193" i="18"/>
  <c r="P327" i="18"/>
  <c r="AB305" i="18"/>
  <c r="AC418" i="18"/>
  <c r="AE427" i="18"/>
  <c r="AH427" i="18" s="true"/>
  <c r="AI427" i="18" s="true"/>
  <c r="AB179" i="18"/>
  <c r="AA258" i="18"/>
  <c r="N461" i="18"/>
  <c r="N431" i="18"/>
  <c r="AD455" i="18"/>
  <c r="AF31" i="18"/>
  <c r="AD356" i="18"/>
  <c r="O212" i="18"/>
  <c r="AE274" i="18"/>
  <c r="AC412" i="18"/>
  <c r="AA171" i="18"/>
  <c r="AA464" i="18"/>
  <c r="AC89" i="18"/>
  <c r="AA496" i="18"/>
  <c r="O363" i="18"/>
  <c r="N466" i="18"/>
  <c r="AA440" i="18"/>
  <c r="AC498" i="18"/>
  <c r="AA94" i="18"/>
  <c r="AB101" i="18"/>
  <c r="AH101" i="18" s="true"/>
  <c r="AI101" i="18" s="true"/>
  <c r="AD26" i="18"/>
  <c r="AB49" i="18"/>
  <c r="AH49" i="18" s="true"/>
  <c r="AI49" i="18" s="true"/>
  <c r="AA324" i="18"/>
  <c r="P299" i="18"/>
  <c r="O308" i="18"/>
  <c r="AD466" i="18"/>
  <c r="AC349" i="18"/>
  <c r="J31" i="25"/>
  <c r="W7" i="18"/>
  <c r="S166" i="18"/>
  <c r="Y37" i="18"/>
  <c r="V461" i="18"/>
  <c r="R490" i="18"/>
  <c r="U181" i="18"/>
  <c r="I105" i="25"/>
  <c r="X178" i="18"/>
  <c r="J259" i="25"/>
  <c r="J235" i="25"/>
  <c r="V211" i="18"/>
  <c r="R274" i="18"/>
  <c r="J32" i="25"/>
  <c r="W230" i="18"/>
  <c r="V495" i="18"/>
  <c r="X216" i="18"/>
  <c r="I204" i="25"/>
  <c r="Y147" i="18"/>
  <c r="J217" i="25"/>
  <c r="V491" i="18"/>
  <c r="W331" i="18"/>
  <c r="Q383" i="18"/>
  <c r="U126" i="18"/>
  <c r="R268" i="18"/>
  <c r="V268" i="18"/>
  <c r="I345" i="25"/>
  <c r="X231" i="18"/>
  <c r="V501" i="18"/>
  <c r="J200" i="25"/>
  <c r="V110" i="18"/>
  <c r="AE174" i="18"/>
  <c r="AF109" i="18"/>
  <c r="AA430" i="18"/>
  <c r="P373" i="18"/>
  <c r="AF277" i="18"/>
  <c r="AB438" i="18"/>
  <c r="AC198" i="18"/>
  <c r="AB223" i="18"/>
  <c r="AE454" i="18"/>
  <c r="AA7" i="18"/>
  <c r="AC200" i="18"/>
  <c r="AE389" i="18"/>
  <c r="AA402" i="18"/>
  <c r="N108" i="18"/>
  <c r="AB114" i="18"/>
  <c r="AC8" i="18"/>
  <c r="AA49" i="18"/>
  <c r="AC123" i="18"/>
  <c r="AE502" i="18"/>
  <c r="N293" i="18"/>
  <c r="AD359" i="18"/>
  <c r="AB338" i="18"/>
  <c r="AC102" i="18"/>
  <c r="AF291" i="18"/>
  <c r="AC283" i="18"/>
  <c r="AD222" i="18"/>
  <c r="AF227" i="18"/>
  <c r="O463" i="18"/>
  <c r="P491" i="18"/>
  <c r="O412" i="18"/>
  <c r="AB376" i="18"/>
  <c r="AF319" i="18"/>
  <c r="AA99" i="18"/>
  <c r="AB294" i="18"/>
  <c r="N462" i="18"/>
  <c r="O46" i="18"/>
  <c r="AE305" i="18"/>
  <c r="AE395" i="18"/>
  <c r="AD56" i="18"/>
  <c r="N240" i="18"/>
  <c r="P357" i="18"/>
  <c r="AF88" i="18"/>
  <c r="AB295" i="18"/>
  <c r="N351" i="18"/>
  <c r="AA481" i="18"/>
  <c r="AF101" i="18"/>
  <c r="N424" i="18"/>
  <c r="N476" i="18"/>
  <c r="AF29" i="18"/>
  <c r="AA500" i="18"/>
  <c r="AF451" i="18"/>
  <c r="N130" i="18"/>
  <c r="O424" i="18"/>
  <c r="AF301" i="18"/>
  <c r="AC112" i="18"/>
  <c r="N173" i="18"/>
  <c r="AA192" i="18"/>
  <c r="Q248" i="18"/>
  <c r="R429" i="18"/>
  <c r="S251" i="18"/>
  <c r="S477" i="18"/>
  <c r="I415" i="25"/>
  <c r="U284" i="18"/>
  <c r="Y180" i="18"/>
  <c r="I237" i="25"/>
  <c r="S98" i="18"/>
  <c r="W168" i="18"/>
  <c r="I196" i="25"/>
  <c r="J143" i="25"/>
  <c r="Q66" i="18"/>
  <c r="J264" i="25"/>
  <c r="X308" i="18"/>
  <c r="W181" i="18"/>
  <c r="J97" i="25"/>
  <c r="I271" i="25"/>
  <c r="Y208" i="18"/>
  <c r="I111" i="25"/>
  <c r="U302" i="18"/>
  <c r="T451" i="18"/>
  <c r="W182" i="18"/>
  <c r="R203" i="18"/>
  <c r="T317" i="18"/>
  <c r="R143" i="18"/>
  <c r="J8" i="25"/>
  <c r="V432" i="18"/>
  <c r="Q481" i="18"/>
  <c r="I407" i="25"/>
  <c r="S72" i="18"/>
  <c r="AD127" i="18"/>
  <c r="AB129" i="18"/>
  <c r="O447" i="18"/>
  <c r="AB356" i="18"/>
  <c r="N441" i="18"/>
  <c r="AD147" i="18"/>
  <c r="O232" i="18"/>
  <c r="AE286" i="18"/>
  <c r="AE124" i="18"/>
  <c r="AF384" i="18"/>
  <c r="O505" i="18"/>
  <c r="N167" i="18"/>
  <c r="O275" i="18"/>
  <c r="N255" i="18"/>
  <c r="N297" i="18"/>
  <c r="AB300" i="18"/>
  <c r="O438" i="18"/>
  <c r="AC125" i="18"/>
  <c r="P212" i="18"/>
  <c r="AB290" i="18"/>
  <c r="N186" i="18"/>
  <c r="AE27" i="18"/>
  <c r="AC385" i="18"/>
  <c r="AE391" i="18"/>
  <c r="AC29" i="18"/>
  <c r="AF111" i="18"/>
  <c r="N166" i="18"/>
  <c r="O429" i="18"/>
  <c r="P342" i="18"/>
  <c r="AC348" i="18"/>
  <c r="AB496" i="18"/>
  <c r="AB256" i="18"/>
  <c r="AD108" i="18"/>
  <c r="AB402" i="18"/>
  <c r="AD344" i="18"/>
  <c r="AB135" i="18"/>
  <c r="AH135" i="18" s="true"/>
  <c r="AI135" i="18" s="true"/>
  <c r="AD297" i="18"/>
  <c r="P298" i="18"/>
  <c r="N451" i="18"/>
  <c r="AC79" i="18"/>
  <c r="P11" i="18"/>
  <c r="AA447" i="18"/>
  <c r="AD126" i="18"/>
  <c r="AB61" i="18"/>
  <c r="AH61" i="18" s="true"/>
  <c r="AI61" i="18" s="true"/>
  <c r="AE295" i="18"/>
  <c r="AH295" i="18" s="true"/>
  <c r="AI295" i="18" s="true"/>
  <c r="AB252" i="18"/>
  <c r="AC276" i="18"/>
  <c r="AC346" i="18"/>
  <c r="AC497" i="18"/>
  <c r="AF34" i="18"/>
  <c r="N172" i="18"/>
  <c r="AE232" i="18"/>
  <c r="O414" i="18"/>
  <c r="Q373" i="18"/>
  <c r="Q365" i="18"/>
  <c r="Q429" i="18"/>
  <c r="J227" i="25"/>
  <c r="I34" i="25"/>
  <c r="W159" i="18"/>
  <c r="R449" i="18"/>
  <c r="Q40" i="18"/>
  <c r="Q180" i="18"/>
  <c r="Q37" i="18"/>
  <c r="I161" i="25"/>
  <c r="X24" i="18"/>
  <c r="R323" i="18"/>
  <c r="S360" i="18"/>
  <c r="Y15" i="18"/>
  <c r="I489" i="25"/>
  <c r="I150" i="25"/>
  <c r="W289" i="18"/>
  <c r="R478" i="18"/>
  <c r="U260" i="18"/>
  <c r="I65" i="25"/>
  <c r="T158" i="18"/>
  <c r="U400" i="18"/>
  <c r="Y418" i="18"/>
  <c r="I270" i="25"/>
  <c r="S199" i="18"/>
  <c r="V494" i="18"/>
  <c r="T320" i="18"/>
  <c r="X49" i="18"/>
  <c r="U53" i="18"/>
  <c r="S385" i="18"/>
  <c r="AB280" i="18"/>
  <c r="AB499" i="18"/>
  <c r="AE244" i="18"/>
  <c r="AB224" i="18"/>
  <c r="AD248" i="18"/>
  <c r="AC376" i="18"/>
  <c r="AB33" i="18"/>
  <c r="AC180" i="18"/>
  <c r="P320" i="18"/>
  <c r="N377" i="18"/>
  <c r="AC27" i="18"/>
  <c r="AB96" i="18"/>
  <c r="AC456" i="18"/>
  <c r="AE449" i="18"/>
  <c r="AE414" i="18"/>
  <c r="AB80" i="18"/>
  <c r="N139" i="18"/>
  <c r="AA88" i="18"/>
  <c r="AB443" i="18"/>
  <c r="AC13" i="18"/>
  <c r="AD442" i="18"/>
  <c r="AA189" i="18"/>
  <c r="P191" i="18"/>
  <c r="AA381" i="18"/>
  <c r="AB125" i="18"/>
  <c r="P255" i="18"/>
  <c r="AF393" i="18"/>
  <c r="AE91" i="18"/>
  <c r="AF56" i="18"/>
  <c r="AF76" i="18"/>
  <c r="O217" i="18"/>
  <c r="AF466" i="18"/>
  <c r="AB214" i="18"/>
  <c r="AA454" i="18"/>
  <c r="AF257" i="18"/>
  <c r="P375" i="18"/>
  <c r="AE318" i="18"/>
  <c r="O20" i="18"/>
  <c r="AD44" i="18"/>
  <c r="AE33" i="18"/>
  <c r="P482" i="18"/>
  <c r="AF94" i="18"/>
  <c r="AD167" i="18"/>
  <c r="AF468" i="18"/>
  <c r="P131" i="18"/>
  <c r="AD68" i="18"/>
  <c r="P291" i="18"/>
  <c r="N246" i="18"/>
  <c r="O32" i="18"/>
  <c r="AA222" i="18"/>
  <c r="AB454" i="18"/>
  <c r="AD63" i="18"/>
  <c r="AE340" i="18"/>
  <c r="AE350" i="18"/>
  <c r="AC319" i="18"/>
  <c r="AE338" i="18"/>
  <c r="AF134" i="18"/>
  <c r="AC297" i="18"/>
  <c r="AB196" i="18"/>
  <c r="AH196" i="18" s="true"/>
  <c r="AI196" i="18" s="true"/>
  <c r="AD159" i="18"/>
  <c r="AD305" i="18"/>
  <c r="AE417" i="18"/>
  <c r="P356" i="18"/>
  <c r="AF198" i="18"/>
  <c r="AB359" i="18"/>
  <c r="AA175" i="18"/>
  <c r="P462" i="18"/>
  <c r="AC476" i="18"/>
  <c r="AD400" i="18"/>
  <c r="O33" i="18"/>
  <c r="N326" i="18"/>
  <c r="AA56" i="18"/>
  <c r="O88" i="18"/>
  <c r="AA225" i="18"/>
  <c r="AD417" i="18"/>
  <c r="AB212" i="18"/>
  <c r="P47" i="18"/>
  <c r="AA475" i="18"/>
  <c r="AE115" i="18"/>
  <c r="P166" i="18"/>
  <c r="AA364" i="18"/>
  <c r="AB88" i="18"/>
  <c r="AH88" i="18" s="true"/>
  <c r="AI88" i="18" s="true"/>
  <c r="AC316" i="18"/>
  <c r="AD458" i="18"/>
  <c r="AA10" i="18"/>
  <c r="AB157" i="18"/>
  <c r="N340" i="18"/>
  <c r="AC303" i="18"/>
  <c r="AC386" i="18"/>
  <c r="Q38" i="18"/>
  <c r="W123" i="18"/>
  <c r="Q445" i="18"/>
  <c r="X163" i="18"/>
  <c r="Q469" i="18"/>
  <c r="V267" i="18"/>
  <c r="T74" i="18"/>
  <c r="U337" i="18"/>
  <c r="I337" i="25"/>
  <c r="V164" i="18"/>
  <c r="V425" i="18"/>
  <c r="X13" i="18"/>
  <c r="S318" i="18"/>
  <c r="R438" i="18"/>
  <c r="I331" i="25"/>
  <c r="I272" i="25"/>
  <c r="I483" i="25"/>
  <c r="R217" i="18"/>
  <c r="V458" i="18"/>
  <c r="V295" i="18"/>
  <c r="X306" i="18"/>
  <c r="J250" i="25"/>
  <c r="V40" i="18"/>
  <c r="Q474" i="18"/>
  <c r="I39" i="25"/>
  <c r="J153" i="25"/>
  <c r="W261" i="18"/>
  <c r="Y8" i="18"/>
  <c r="Y129" i="18"/>
  <c r="Y315" i="18"/>
  <c r="T236" i="18"/>
  <c r="AD363" i="18"/>
  <c r="AD439" i="18"/>
  <c r="AB465" i="18"/>
  <c r="AD163" i="18"/>
  <c r="AD422" i="18"/>
  <c r="AE393" i="18"/>
  <c r="O105" i="18"/>
  <c r="O445" i="18"/>
  <c r="O249" i="18"/>
  <c r="AB367" i="18"/>
  <c r="AC328" i="18"/>
  <c r="AE171" i="18"/>
  <c r="AB413" i="18"/>
  <c r="N128" i="18"/>
  <c r="AE175" i="18"/>
  <c r="AA424" i="18"/>
  <c r="AB331" i="18"/>
  <c r="AA506" i="18"/>
  <c r="AA420" i="18"/>
  <c r="AB172" i="18"/>
  <c r="O419" i="18"/>
  <c r="N378" i="18"/>
  <c r="AA93" i="18"/>
  <c r="AB261" i="18"/>
  <c r="AC33" i="18"/>
  <c r="O469" i="18"/>
  <c r="N44" i="18"/>
  <c r="N197" i="18"/>
  <c r="AB332" i="18"/>
  <c r="AH332" i="18" s="true"/>
  <c r="AI332" i="18" s="true"/>
  <c r="AD149" i="18"/>
  <c r="AD217" i="18"/>
  <c r="AF465" i="18"/>
  <c r="AC235" i="18"/>
  <c r="AE118" i="18"/>
  <c r="AH118" i="18" s="true"/>
  <c r="AI118" i="18" s="true"/>
  <c r="P107" i="18"/>
  <c r="AE314" i="18"/>
  <c r="AD112" i="18"/>
  <c r="AD265" i="18"/>
  <c r="N161" i="18"/>
  <c r="O215" i="18"/>
  <c r="AE380" i="18"/>
  <c r="P337" i="18"/>
  <c r="AE213" i="18"/>
  <c r="N292" i="18"/>
  <c r="AC240" i="18"/>
  <c r="N71" i="18"/>
  <c r="AC274" i="18"/>
  <c r="P282" i="18"/>
  <c r="AB70" i="18"/>
  <c r="P450" i="18"/>
  <c r="AA32" i="18"/>
  <c r="N348" i="18"/>
  <c r="AB310" i="18"/>
  <c r="AF441" i="18"/>
  <c r="AA202" i="18"/>
  <c r="AF343" i="18"/>
  <c r="AB234" i="18"/>
  <c r="AB440" i="18"/>
  <c r="AH440" i="18" s="true"/>
  <c r="AI440" i="18" s="true"/>
  <c r="AE172" i="18"/>
  <c r="N334" i="18"/>
  <c r="AD406" i="18"/>
  <c r="N405" i="18"/>
  <c r="AA274" i="18"/>
  <c r="AD423" i="18"/>
  <c r="AB283" i="18"/>
  <c r="AC334" i="18"/>
  <c r="O50" i="18"/>
  <c r="AC301" i="18"/>
  <c r="AD183" i="18"/>
  <c r="AD341" i="18"/>
  <c r="O413" i="18"/>
  <c r="AF90" i="18"/>
  <c r="AB14" i="18"/>
  <c r="AA141" i="18"/>
  <c r="AE70" i="18"/>
  <c r="I178" i="25"/>
  <c r="Q476" i="18"/>
  <c r="X280" i="18"/>
  <c r="Q156" i="18"/>
  <c r="J283" i="25"/>
  <c r="X140" i="18"/>
  <c r="U79" i="18"/>
  <c r="R467" i="18"/>
  <c r="R304" i="18"/>
  <c r="I155" i="25"/>
  <c r="X312" i="18"/>
  <c r="Y463" i="18"/>
  <c r="W8" i="18"/>
  <c r="V178" i="18"/>
  <c r="X27" i="18"/>
  <c r="U439" i="18"/>
  <c r="V140" i="18"/>
  <c r="V310" i="18"/>
  <c r="R465" i="18"/>
  <c r="X20" i="18"/>
  <c r="V138" i="18"/>
  <c r="I467" i="25"/>
  <c r="X448" i="18"/>
  <c r="X336" i="18"/>
  <c r="I373" i="25"/>
  <c r="T169" i="18"/>
  <c r="U104" i="18"/>
  <c r="Y163" i="18"/>
  <c r="Y288" i="18"/>
  <c r="U206" i="18"/>
  <c r="S50" i="18"/>
  <c r="AB313" i="18"/>
  <c r="AB314" i="18"/>
  <c r="AD382" i="18"/>
  <c r="AE61" i="18"/>
  <c r="AB386" i="18"/>
  <c r="AB419" i="18"/>
  <c r="AC69" i="18"/>
  <c r="P346" i="18"/>
  <c r="AC165" i="18"/>
  <c r="N236" i="18"/>
  <c r="AF247" i="18"/>
  <c r="AA26" i="18"/>
  <c r="O377" i="18"/>
  <c r="AF59" i="18"/>
  <c r="N204" i="18"/>
  <c r="AD139" i="18"/>
  <c r="O38" i="18"/>
  <c r="AB432" i="18"/>
  <c r="AD122" i="18"/>
  <c r="AA388" i="18"/>
  <c r="AF13" i="18"/>
  <c r="O321" i="18"/>
  <c r="AC266" i="18"/>
  <c r="AE42" i="18"/>
  <c r="O229" i="18"/>
  <c r="P8" i="18"/>
  <c r="AC159" i="18"/>
  <c r="AF339" i="18"/>
  <c r="N201" i="18"/>
  <c r="AE196" i="18"/>
  <c r="AA216" i="18"/>
  <c r="P442" i="18"/>
  <c r="AA466" i="18"/>
  <c r="P367" i="18"/>
  <c r="AE259" i="18"/>
  <c r="P325" i="18"/>
  <c r="O327" i="18"/>
  <c r="AD418" i="18"/>
  <c r="AF452" i="18"/>
  <c r="AE263" i="18"/>
  <c r="N411" i="18"/>
  <c r="AA63" i="18"/>
  <c r="AB299" i="18"/>
  <c r="AH299" i="18" s="true"/>
  <c r="AI299" i="18" s="true"/>
  <c r="AD285" i="18"/>
  <c r="AF314" i="18"/>
  <c r="AC110" i="18"/>
  <c r="J221" i="25"/>
  <c r="V142" i="18"/>
  <c r="J310" i="25"/>
  <c r="W298" i="18"/>
  <c r="J45" i="25"/>
  <c r="U412" i="18"/>
  <c r="R32" i="18"/>
  <c r="I389" i="25"/>
  <c r="T181" i="18"/>
  <c r="J327" i="25"/>
  <c r="S307" i="18"/>
  <c r="Q165" i="18"/>
  <c r="W442" i="18"/>
  <c r="U164" i="18"/>
  <c r="J89" i="25"/>
  <c r="Y329" i="18"/>
  <c r="I159" i="25"/>
  <c r="X304" i="18"/>
  <c r="V37" i="18"/>
  <c r="W171" i="18"/>
  <c r="X79" i="18"/>
  <c r="W497" i="18"/>
  <c r="R353" i="18"/>
  <c r="X270" i="18"/>
  <c r="I334" i="25"/>
  <c r="U75" i="18"/>
  <c r="Q456" i="18"/>
  <c r="Q259" i="18"/>
  <c r="J355" i="25"/>
  <c r="T290" i="18"/>
  <c r="S378" i="18"/>
  <c r="P391" i="18"/>
  <c r="AF388" i="18"/>
  <c r="AD447" i="18"/>
  <c r="N329" i="18"/>
  <c r="N248" i="18"/>
  <c r="AA342" i="18"/>
  <c r="AC96" i="18"/>
  <c r="N131" i="18"/>
  <c r="O422" i="18"/>
  <c r="AF362" i="18"/>
  <c r="AF53" i="18"/>
  <c r="N141" i="18"/>
  <c r="N129" i="18"/>
  <c r="N282" i="18"/>
  <c r="AE65" i="18"/>
  <c r="O480" i="18"/>
  <c r="AA65" i="18"/>
  <c r="P314" i="18"/>
  <c r="AA386" i="18"/>
  <c r="AE468" i="18"/>
  <c r="AD113" i="18"/>
  <c r="AB501" i="18"/>
  <c r="P206" i="18"/>
  <c r="AD281" i="18"/>
  <c r="AE418" i="18"/>
  <c r="N135" i="18"/>
  <c r="AA477" i="18"/>
  <c r="P16" i="18"/>
  <c r="AE353" i="18"/>
  <c r="AD14" i="18"/>
  <c r="N427" i="18"/>
  <c r="AA350" i="18"/>
  <c r="AB272" i="18"/>
  <c r="N337" i="18"/>
  <c r="P441" i="18"/>
  <c r="AE89" i="18"/>
  <c r="AB500" i="18"/>
  <c r="AA497" i="18"/>
  <c r="N180" i="18"/>
  <c r="AB9" i="18"/>
  <c r="AH9" i="18" s="true"/>
  <c r="AI9" i="18" s="true"/>
  <c r="AF438" i="18"/>
  <c r="AC401" i="18"/>
  <c r="AF288" i="18"/>
  <c r="AA455" i="18"/>
  <c r="AE304" i="18"/>
  <c r="AE137" i="18"/>
  <c r="AE472" i="18"/>
  <c r="AD193" i="18"/>
  <c r="N15" i="18"/>
  <c r="AD175" i="18"/>
  <c r="P361" i="18"/>
  <c r="AA166" i="18"/>
  <c r="AE162" i="18"/>
  <c r="AE501" i="18"/>
  <c r="AF396" i="18"/>
  <c r="AB275" i="18"/>
  <c r="I459" i="25"/>
  <c r="S430" i="18"/>
  <c r="I299" i="25"/>
  <c r="J215" i="25"/>
  <c r="W111" i="18"/>
  <c r="W370" i="18"/>
  <c r="V115" i="18"/>
  <c r="S454" i="18"/>
  <c r="Q131" i="18"/>
  <c r="I432" i="25"/>
  <c r="V15" i="18"/>
  <c r="U101" i="18"/>
  <c r="V416" i="18"/>
  <c r="U390" i="18"/>
  <c r="I62" i="25"/>
  <c r="J254" i="25"/>
  <c r="J413" i="25"/>
  <c r="Y276" i="18"/>
  <c r="W128" i="18"/>
  <c r="Q396" i="18"/>
  <c r="T64" i="18"/>
  <c r="I247" i="25"/>
  <c r="Y363" i="18"/>
  <c r="U138" i="18"/>
  <c r="J245" i="25"/>
  <c r="R149" i="18"/>
  <c r="R444" i="18"/>
  <c r="Y144" i="18"/>
  <c r="I319" i="25"/>
  <c r="S431" i="18"/>
  <c r="Y90" i="18"/>
  <c r="P381" i="18"/>
  <c r="P240" i="18"/>
  <c r="AA215" i="18"/>
  <c r="AD254" i="18"/>
  <c r="AB370" i="18"/>
  <c r="AH370" i="18" s="true"/>
  <c r="AI370" i="18" s="true"/>
  <c r="AF171" i="18"/>
  <c r="V181" i="18"/>
  <c r="Y65" i="18"/>
  <c r="I310" i="25"/>
  <c r="U271" i="18"/>
  <c r="Q285" i="18"/>
  <c r="X413" i="18"/>
  <c r="W52" i="18"/>
  <c r="I192" i="25"/>
  <c r="Y9" i="18"/>
  <c r="J384" i="25"/>
  <c r="R486" i="18"/>
  <c r="R90" i="18"/>
  <c r="V64" i="18"/>
  <c r="I380" i="25"/>
  <c r="Y327" i="18"/>
  <c r="S198" i="18"/>
  <c r="X465" i="18"/>
  <c r="AC378" i="18"/>
  <c r="AD282" i="18"/>
  <c r="AA401" i="18"/>
  <c r="N136" i="18"/>
  <c r="O244" i="18"/>
  <c r="AC232" i="18"/>
  <c r="P12" i="18"/>
  <c r="O476" i="18"/>
  <c r="AD480" i="18"/>
  <c r="AF37" i="18"/>
  <c r="P70" i="18"/>
  <c r="AA20" i="18"/>
  <c r="O61" i="18"/>
  <c r="AA340" i="18"/>
  <c r="AB56" i="18"/>
  <c r="AC446" i="18"/>
  <c r="AA326" i="18"/>
  <c r="AA355" i="18"/>
  <c r="AE381" i="18"/>
  <c r="AE102" i="18"/>
  <c r="AF192" i="18"/>
  <c r="AD368" i="18"/>
  <c r="AE288" i="18"/>
  <c r="AD45" i="18"/>
  <c r="AB411" i="18"/>
  <c r="AF490" i="18"/>
  <c r="AA456" i="18"/>
  <c r="AA151" i="18"/>
  <c r="AD94" i="18"/>
  <c r="N363" i="18"/>
  <c r="O112" i="18"/>
  <c r="AA484" i="18"/>
  <c r="O443" i="18"/>
  <c r="N422" i="18"/>
  <c r="AC381" i="18"/>
  <c r="O60" i="18"/>
  <c r="AB7" i="18"/>
  <c r="P428" i="18"/>
  <c r="AE209" i="18"/>
  <c r="AD355" i="18"/>
  <c r="AE134" i="18"/>
  <c r="AE79" i="18"/>
  <c r="X445" i="18"/>
  <c r="R23" i="18"/>
  <c r="U7" i="18"/>
  <c r="I273" i="25"/>
  <c r="T296" i="18"/>
  <c r="Q236" i="18"/>
  <c r="T426" i="18"/>
  <c r="U46" i="18"/>
  <c r="S456" i="18"/>
  <c r="S33" i="18"/>
  <c r="S311" i="18"/>
  <c r="Y427" i="18"/>
  <c r="Q345" i="18"/>
  <c r="J145" i="25"/>
  <c r="Y316" i="18"/>
  <c r="X58" i="18"/>
  <c r="J466" i="25"/>
  <c r="Q371" i="18"/>
  <c r="Q177" i="18"/>
  <c r="T329" i="18"/>
  <c r="S60" i="18"/>
  <c r="S303" i="18"/>
  <c r="V121" i="18"/>
  <c r="U385" i="18"/>
  <c r="Y404" i="18"/>
  <c r="I233" i="25"/>
  <c r="Y293" i="18"/>
  <c r="R472" i="18"/>
  <c r="U162" i="18"/>
  <c r="Q241" i="18"/>
  <c r="T352" i="18"/>
  <c r="AD272" i="18"/>
  <c r="AA436" i="18"/>
  <c r="AB340" i="18"/>
  <c r="P386" i="18"/>
  <c r="AC336" i="18"/>
  <c r="AF181" i="18"/>
  <c r="O81" i="18"/>
  <c r="AF406" i="18"/>
  <c r="AB306" i="18"/>
  <c r="AE29" i="18"/>
  <c r="AA124" i="18"/>
  <c r="AA255" i="18"/>
  <c r="AC9" i="18"/>
  <c r="AC227" i="18"/>
  <c r="AF481" i="18"/>
  <c r="AB334" i="18"/>
  <c r="P67" i="18"/>
  <c r="AC356" i="18"/>
  <c r="AF124" i="18"/>
  <c r="P458" i="18"/>
  <c r="AD168" i="18"/>
  <c r="AD289" i="18"/>
  <c r="AE313" i="18"/>
  <c r="O36" i="18"/>
  <c r="AF66" i="18"/>
  <c r="AA495" i="18"/>
  <c r="N7" i="18"/>
  <c r="N271" i="18"/>
  <c r="AC44" i="18"/>
  <c r="AF381" i="18"/>
  <c r="O257" i="18"/>
  <c r="O225" i="18"/>
  <c r="AF389" i="18"/>
  <c r="AC338" i="18"/>
  <c r="O328" i="18"/>
  <c r="O383" i="18"/>
  <c r="AE352" i="18"/>
  <c r="AF401" i="18"/>
  <c r="O56" i="18"/>
  <c r="AC405" i="18"/>
  <c r="AD364" i="18"/>
  <c r="AD152" i="18"/>
  <c r="AF72" i="18"/>
  <c r="AF248" i="18"/>
  <c r="AC298" i="18"/>
  <c r="AD402" i="18"/>
  <c r="AA376" i="18"/>
  <c r="AA109" i="18"/>
  <c r="AB191" i="18"/>
  <c r="P347" i="18"/>
  <c r="AA129" i="18"/>
  <c r="AD300" i="18"/>
  <c r="AD491" i="18"/>
  <c r="AF194" i="18"/>
  <c r="P36" i="18"/>
  <c r="AF414" i="18"/>
  <c r="AD145" i="18"/>
  <c r="AE164" i="18"/>
  <c r="O15" i="18"/>
  <c r="P351" i="18"/>
  <c r="AF474" i="18"/>
  <c r="AF104" i="18"/>
  <c r="O234" i="18"/>
  <c r="AA450" i="18"/>
  <c r="P358" i="18"/>
  <c r="AD362" i="18"/>
  <c r="AA188" i="18"/>
  <c r="AA483" i="18"/>
  <c r="AE310" i="18"/>
  <c r="AC459" i="18"/>
  <c r="AE268" i="18"/>
  <c r="AB134" i="18"/>
  <c r="AH134" i="18" s="true"/>
  <c r="AI134" i="18" s="true"/>
  <c r="O441" i="18"/>
  <c r="N284" i="18"/>
  <c r="N57" i="18"/>
  <c r="AC168" i="18"/>
  <c r="N397" i="18"/>
  <c r="AC470" i="18"/>
  <c r="N138" i="18"/>
  <c r="AB262" i="18"/>
  <c r="P230" i="18"/>
  <c r="P483" i="18"/>
  <c r="AB8" i="18"/>
  <c r="O278" i="18"/>
  <c r="O237" i="18"/>
  <c r="O265" i="18"/>
  <c r="N178" i="18"/>
  <c r="AA393" i="18"/>
  <c r="O403" i="18"/>
  <c r="O260" i="18"/>
  <c r="P354" i="18"/>
  <c r="AA48" i="18"/>
  <c r="AD177" i="18"/>
  <c r="P486" i="18"/>
  <c r="AF275" i="18"/>
  <c r="N420" i="18"/>
  <c r="AA298" i="18"/>
  <c r="P414" i="18"/>
  <c r="AA15" i="18"/>
  <c r="AD405" i="18"/>
  <c r="AD158" i="18"/>
  <c r="AA103" i="18"/>
  <c r="AA247" i="18"/>
  <c r="N386" i="18"/>
  <c r="P487" i="18"/>
  <c r="AE441" i="18"/>
  <c r="AE342" i="18"/>
  <c r="AC247" i="18"/>
  <c r="O34" i="18"/>
  <c r="P110" i="18"/>
  <c r="AD476" i="18"/>
  <c r="AD214" i="18"/>
  <c r="AA323" i="18"/>
  <c r="AB243" i="18"/>
  <c r="AH243" i="18" s="true"/>
  <c r="AI243" i="18" s="true"/>
  <c r="AE383" i="18"/>
  <c r="AA446" i="18"/>
  <c r="AF11" i="18"/>
  <c r="AE406" i="18"/>
  <c r="N408" i="18"/>
  <c r="AC379" i="18"/>
  <c r="N261" i="18"/>
  <c r="AD287" i="18"/>
  <c r="V224" i="18"/>
  <c r="W22" i="18"/>
  <c r="R386" i="18"/>
  <c r="J470" i="25"/>
  <c r="J125" i="25"/>
  <c r="I235" i="25"/>
  <c r="S183" i="18"/>
  <c r="J43" i="25"/>
  <c r="X462" i="18"/>
  <c r="I22" i="25"/>
  <c r="T269" i="18"/>
  <c r="J281" i="25"/>
  <c r="Y403" i="18"/>
  <c r="T239" i="18"/>
  <c r="AA122" i="18"/>
  <c r="AB497" i="18"/>
  <c r="P148" i="18"/>
  <c r="AF455" i="18"/>
  <c r="P207" i="18"/>
  <c r="AF147" i="18"/>
  <c r="AF387" i="18"/>
  <c r="O195" i="18"/>
  <c r="P331" i="18"/>
  <c r="AD270" i="18"/>
  <c r="N281" i="18"/>
  <c r="AE409" i="18"/>
  <c r="AH409" i="18" s="true"/>
  <c r="AI409" i="18" s="true"/>
  <c r="N335" i="18"/>
  <c r="AA165" i="18"/>
  <c r="P472" i="18"/>
  <c r="AA414" i="18"/>
  <c r="AC171" i="18"/>
  <c r="AC126" i="18"/>
  <c r="AD398" i="18"/>
  <c r="AF266" i="18"/>
  <c r="AF119" i="18"/>
  <c r="AA121" i="18"/>
  <c r="AD256" i="18"/>
  <c r="AA182" i="18"/>
  <c r="AC443" i="18"/>
  <c r="AE169" i="18"/>
  <c r="AB138" i="18"/>
  <c r="N198" i="18"/>
  <c r="AA438" i="18"/>
  <c r="AC134" i="18"/>
  <c r="AC488" i="18"/>
  <c r="AF459" i="18"/>
  <c r="AC242" i="18"/>
  <c r="O370" i="18"/>
  <c r="AD203" i="18"/>
  <c r="AA23" i="18"/>
  <c r="O340" i="18"/>
  <c r="AD434" i="18"/>
  <c r="AE456" i="18"/>
  <c r="N472" i="18"/>
  <c r="P244" i="18"/>
  <c r="AE189" i="18"/>
  <c r="O500" i="18"/>
  <c r="AC389" i="18"/>
  <c r="AE416" i="18"/>
  <c r="AC65" i="18"/>
  <c r="P492" i="18"/>
  <c r="AA313" i="18"/>
  <c r="AE371" i="18"/>
  <c r="O252" i="18"/>
  <c r="N190" i="18"/>
  <c r="O250" i="18"/>
  <c r="AC66" i="18"/>
  <c r="N34" i="18"/>
  <c r="N88" i="18"/>
  <c r="P434" i="18"/>
  <c r="AB483" i="18"/>
  <c r="AA351" i="18"/>
  <c r="AE45" i="18"/>
  <c r="AB373" i="18"/>
  <c r="AE166" i="18"/>
  <c r="AD375" i="18"/>
  <c r="N20" i="18"/>
  <c r="AC433" i="18"/>
  <c r="O386" i="18"/>
  <c r="P459" i="18"/>
  <c r="AA43" i="18"/>
  <c r="AA346" i="18"/>
  <c r="AE260" i="18"/>
  <c r="N358" i="18"/>
  <c r="AD198" i="18"/>
  <c r="AF243" i="18"/>
  <c r="AA55" i="18"/>
  <c r="AF140" i="18"/>
  <c r="O93" i="18"/>
  <c r="AF281" i="18"/>
  <c r="AC61" i="18"/>
  <c r="AA242" i="18"/>
  <c r="N459" i="18"/>
  <c r="AE194" i="18"/>
  <c r="AA314" i="18"/>
  <c r="AD150" i="18"/>
  <c r="AB473" i="18"/>
  <c r="AF30" i="18"/>
  <c r="AE397" i="18"/>
  <c r="AE311" i="18"/>
  <c r="O214" i="18"/>
  <c r="AF217" i="18"/>
  <c r="AB227" i="18"/>
  <c r="O393" i="18"/>
  <c r="AB354" i="18"/>
  <c r="P130" i="18"/>
  <c r="AC186" i="18"/>
  <c r="AE271" i="18"/>
  <c r="AA126" i="18"/>
  <c r="AD473" i="18"/>
  <c r="N187" i="18"/>
  <c r="AB67" i="18"/>
  <c r="AH67" i="18" s="true"/>
  <c r="AI67" i="18" s="true"/>
  <c r="AE292" i="18"/>
  <c r="AH292" i="18" s="true"/>
  <c r="AI292" i="18" s="true"/>
  <c r="AC293" i="18"/>
  <c r="AB446" i="18"/>
  <c r="P139" i="18"/>
  <c r="AB220" i="18"/>
  <c r="O285" i="18"/>
  <c r="P455" i="18"/>
  <c r="O342" i="18"/>
  <c r="P432" i="18"/>
  <c r="AA185" i="18"/>
  <c r="O159" i="18"/>
  <c r="AC335" i="18"/>
  <c r="O296" i="18"/>
  <c r="AF440" i="18"/>
  <c r="AE88" i="18"/>
  <c r="O57" i="18"/>
  <c r="N492" i="18"/>
  <c r="O333" i="18"/>
  <c r="O302" i="18"/>
  <c r="AA130" i="18"/>
  <c r="AD492" i="18"/>
  <c r="P156" i="18"/>
  <c r="N425" i="18"/>
  <c r="O171" i="18"/>
  <c r="O49" i="18"/>
  <c r="AF69" i="18"/>
  <c r="P97" i="18"/>
  <c r="AF470" i="18"/>
  <c r="AB475" i="18"/>
  <c r="AA422" i="18"/>
  <c r="AE30" i="18"/>
  <c r="N313" i="18"/>
  <c r="AE275" i="18"/>
  <c r="O148" i="18"/>
  <c r="AA245" i="18"/>
  <c r="P495" i="18"/>
  <c r="AB109" i="18"/>
  <c r="AD392" i="18"/>
  <c r="Q274" i="18"/>
  <c r="W364" i="18"/>
  <c r="Y220" i="18"/>
  <c r="I191" i="25"/>
  <c r="S116" i="18"/>
  <c r="W9" i="18"/>
  <c r="V205" i="18"/>
  <c r="Q215" i="18"/>
  <c r="V122" i="18"/>
  <c r="Y339" i="18"/>
  <c r="R251" i="18"/>
  <c r="U442" i="18"/>
  <c r="U479" i="18"/>
  <c r="T152" i="18"/>
  <c r="W269" i="18"/>
  <c r="R201" i="18"/>
  <c r="V398" i="18"/>
  <c r="X505" i="18"/>
  <c r="V239" i="18"/>
  <c r="Q283" i="18"/>
  <c r="X311" i="18"/>
  <c r="Q317" i="18"/>
  <c r="Y282" i="18"/>
  <c r="W310" i="18"/>
  <c r="V329" i="18"/>
  <c r="I371" i="25"/>
  <c r="R336" i="18"/>
  <c r="S30" i="18"/>
  <c r="V236" i="18"/>
  <c r="S351" i="18"/>
  <c r="T482" i="18"/>
  <c r="AD141" i="18"/>
  <c r="T398" i="18"/>
  <c r="AE497" i="18"/>
  <c r="AC98" i="18"/>
  <c r="I309" i="25"/>
  <c r="Y347" i="18"/>
  <c r="Q367" i="18"/>
  <c r="W234" i="18"/>
  <c r="R59" i="18"/>
  <c r="I217" i="25"/>
  <c r="R124" i="18"/>
  <c r="U379" i="18"/>
  <c r="Y181" i="18"/>
  <c r="N200" i="18"/>
  <c r="AB122" i="18"/>
  <c r="O400" i="18"/>
  <c r="N78" i="18"/>
  <c r="P167" i="18"/>
  <c r="AB335" i="18"/>
  <c r="AF364" i="18"/>
  <c r="AC39" i="18"/>
  <c r="O211" i="18"/>
  <c r="AD269" i="18"/>
  <c r="AA377" i="18"/>
  <c r="O300" i="18"/>
  <c r="AE444" i="18"/>
  <c r="O338" i="18"/>
  <c r="O90" i="18"/>
  <c r="AC151" i="18"/>
  <c r="AC129" i="18"/>
  <c r="AB327" i="18"/>
  <c r="AF391" i="18"/>
  <c r="AF62" i="18"/>
  <c r="AB349" i="18"/>
  <c r="P451" i="18"/>
  <c r="N502" i="18"/>
  <c r="P123" i="18"/>
  <c r="O405" i="18"/>
  <c r="AC489" i="18"/>
  <c r="AD121" i="18"/>
  <c r="AB381" i="18"/>
  <c r="AD229" i="18"/>
  <c r="O8" i="18"/>
  <c r="AE358" i="18"/>
  <c r="AE221" i="18"/>
  <c r="O120" i="18"/>
  <c r="AD85" i="18"/>
  <c r="AC133" i="18"/>
  <c r="N81" i="18"/>
  <c r="AE234" i="18"/>
  <c r="AB154" i="18"/>
  <c r="AA411" i="18"/>
  <c r="AC355" i="18"/>
  <c r="AB98" i="18"/>
  <c r="P223" i="18"/>
  <c r="AF139" i="18"/>
  <c r="AB493" i="18"/>
  <c r="N223" i="18"/>
  <c r="AD350" i="18"/>
  <c r="AF410" i="18"/>
  <c r="O341" i="18"/>
  <c r="AD343" i="18"/>
  <c r="AF224" i="18"/>
  <c r="AE429" i="18"/>
  <c r="O143" i="18"/>
  <c r="AA195" i="18"/>
  <c r="AD408" i="18"/>
  <c r="AD316" i="18"/>
  <c r="AF218" i="18"/>
  <c r="AC49" i="18"/>
  <c r="AA425" i="18"/>
  <c r="AB486" i="18"/>
  <c r="AA275" i="18"/>
  <c r="O121" i="18"/>
  <c r="N60" i="18"/>
  <c r="AA373" i="18"/>
  <c r="AA148" i="18"/>
  <c r="AE218" i="18"/>
  <c r="O206" i="18"/>
  <c r="AE481" i="18"/>
  <c r="O444" i="18"/>
  <c r="AA206" i="18"/>
  <c r="AC352" i="18"/>
  <c r="AF334" i="18"/>
  <c r="N455" i="18"/>
  <c r="O354" i="18"/>
  <c r="AB265" i="18"/>
  <c r="P419" i="18"/>
  <c r="N40" i="18"/>
  <c r="AC289" i="18"/>
  <c r="AD419" i="18"/>
  <c r="AD396" i="18"/>
  <c r="AB315" i="18"/>
  <c r="AB436" i="18"/>
  <c r="P38" i="18"/>
  <c r="AD156" i="18"/>
  <c r="AC364" i="18"/>
  <c r="P359" i="18"/>
  <c r="AE419" i="18"/>
  <c r="AD318" i="18"/>
  <c r="AC434" i="18"/>
  <c r="V226" i="18"/>
  <c r="T425" i="18"/>
  <c r="V300" i="18"/>
  <c r="Q452" i="18"/>
  <c r="X228" i="18"/>
  <c r="I51" i="25"/>
  <c r="X109" i="18"/>
  <c r="J459" i="25"/>
  <c r="S77" i="18"/>
  <c r="R423" i="18"/>
  <c r="J57" i="25"/>
  <c r="R469" i="18"/>
  <c r="J104" i="25"/>
  <c r="V135" i="18"/>
  <c r="S79" i="18"/>
  <c r="Y319" i="18"/>
  <c r="X120" i="18"/>
  <c r="S38" i="18"/>
  <c r="T428" i="18"/>
  <c r="I216" i="25"/>
  <c r="W421" i="18"/>
  <c r="Q51" i="18"/>
  <c r="W359" i="18"/>
  <c r="S468" i="18"/>
  <c r="T166" i="18"/>
  <c r="U393" i="18"/>
  <c r="T97" i="18"/>
  <c r="V389" i="18"/>
  <c r="Q116" i="18"/>
  <c r="U397" i="18"/>
  <c r="W161" i="18"/>
  <c r="AA306" i="18"/>
  <c r="N11" i="18"/>
  <c r="AC475" i="18"/>
  <c r="O320" i="18"/>
  <c r="AA374" i="18"/>
  <c r="P202" i="18"/>
  <c r="AB97" i="18"/>
  <c r="P377" i="18"/>
  <c r="AC365" i="18"/>
  <c r="AC149" i="18"/>
  <c r="O388" i="18"/>
  <c r="AE372" i="18"/>
  <c r="AH372" i="18" s="true"/>
  <c r="AI372" i="18" s="true"/>
  <c r="P405" i="18"/>
  <c r="N418" i="18"/>
  <c r="AE81" i="18"/>
  <c r="AB487" i="18"/>
  <c r="O27" i="18"/>
  <c r="AF235" i="18"/>
  <c r="P151" i="18"/>
  <c r="N473" i="18"/>
  <c r="AA432" i="18"/>
  <c r="O389" i="18"/>
  <c r="AB133" i="18"/>
  <c r="AD354" i="18"/>
  <c r="AA39" i="18"/>
  <c r="AB406" i="18"/>
  <c r="AE471" i="18"/>
  <c r="N176" i="18"/>
  <c r="AA283" i="18"/>
  <c r="AA119" i="18"/>
  <c r="AB76" i="18"/>
  <c r="AH76" i="18" s="true"/>
  <c r="AI76" i="18" s="true"/>
  <c r="AA24" i="18"/>
  <c r="P279" i="18"/>
  <c r="AF485" i="18"/>
  <c r="AB408" i="18"/>
  <c r="AH408" i="18" s="true"/>
  <c r="AI408" i="18" s="true"/>
  <c r="AB388" i="18"/>
  <c r="O406" i="18"/>
  <c r="AC14" i="18"/>
  <c r="AA66" i="18"/>
  <c r="O455" i="18"/>
  <c r="AA138" i="18"/>
  <c r="AA199" i="18"/>
  <c r="AD312" i="18"/>
  <c r="AD218" i="18"/>
  <c r="AA205" i="18"/>
  <c r="P380" i="18"/>
  <c r="N96" i="18"/>
  <c r="AB149" i="18"/>
  <c r="V431" i="18"/>
  <c r="T136" i="18"/>
  <c r="R441" i="18"/>
  <c r="I384" i="25"/>
  <c r="J126" i="25"/>
  <c r="X481" i="18"/>
  <c r="R352" i="18"/>
  <c r="Q461" i="18"/>
  <c r="J228" i="25"/>
  <c r="R79" i="18"/>
  <c r="Q486" i="18"/>
  <c r="V451" i="18"/>
  <c r="T437" i="18"/>
  <c r="S356" i="18"/>
  <c r="S493" i="18"/>
  <c r="V248" i="18"/>
  <c r="AC391" i="18"/>
  <c r="AD82" i="18"/>
  <c r="AE282" i="18"/>
  <c r="P283" i="18"/>
  <c r="AD347" i="18"/>
  <c r="AD88" i="18"/>
  <c r="P378" i="18"/>
  <c r="AA21" i="18"/>
  <c r="AE376" i="18"/>
  <c r="AF287" i="18"/>
  <c r="AE41" i="18"/>
  <c r="W103" i="18"/>
  <c r="J213" i="25"/>
  <c r="T454" i="18"/>
  <c r="S119" i="18"/>
  <c r="T164" i="18"/>
  <c r="Q110" i="18"/>
  <c r="W44" i="18"/>
  <c r="S161" i="18"/>
  <c r="AC67" i="18"/>
  <c r="AD208" i="18"/>
  <c r="N26" i="18"/>
  <c r="O467" i="18"/>
  <c r="AA169" i="18"/>
  <c r="P187" i="18"/>
  <c r="O54" i="18"/>
  <c r="AC250" i="18"/>
  <c r="N262" i="18"/>
  <c r="AF55" i="18"/>
  <c r="AE160" i="18"/>
  <c r="N415" i="18"/>
  <c r="N122" i="18"/>
  <c r="AC358" i="18"/>
  <c r="N506" i="18"/>
  <c r="AA12" i="18"/>
  <c r="N497" i="18"/>
  <c r="AD138" i="18"/>
  <c r="O331" i="18"/>
  <c r="AB479" i="18"/>
  <c r="N338" i="18"/>
  <c r="AF263" i="18"/>
  <c r="AB244" i="18"/>
  <c r="AF435" i="18"/>
  <c r="P91" i="18"/>
  <c r="AE505" i="18"/>
  <c r="AB111" i="18"/>
  <c r="N216" i="18"/>
  <c r="O161" i="18"/>
  <c r="AB267" i="18"/>
  <c r="P398" i="18"/>
  <c r="N69" i="18"/>
  <c r="AC464" i="18"/>
  <c r="O474" i="18"/>
  <c r="AB128" i="18"/>
  <c r="O134" i="18"/>
  <c r="AE153" i="18"/>
  <c r="AH153" i="18" s="true"/>
  <c r="AI153" i="18" s="true"/>
  <c r="AB87" i="18"/>
  <c r="AH87" i="18" s="true"/>
  <c r="AI87" i="18" s="true"/>
  <c r="AA300" i="18"/>
  <c r="O276" i="18"/>
  <c r="P395" i="18"/>
  <c r="O272" i="18"/>
  <c r="O496" i="18"/>
  <c r="AE26" i="18"/>
  <c r="AB46" i="18"/>
  <c r="AH46" i="18" s="true"/>
  <c r="AI46" i="18" s="true"/>
  <c r="AB504" i="18"/>
  <c r="AE445" i="18"/>
  <c r="AH445" i="18" s="true"/>
  <c r="AI445" i="18" s="true"/>
  <c r="AF57" i="18"/>
  <c r="P334" i="18"/>
  <c r="AA233" i="18"/>
  <c r="P90" i="18"/>
  <c r="AB490" i="18"/>
  <c r="N21" i="18"/>
  <c r="AA85" i="18"/>
  <c r="N63" i="18"/>
  <c r="AF244" i="18"/>
  <c r="O493" i="18"/>
  <c r="O486" i="18"/>
  <c r="AB225" i="18"/>
  <c r="AF78" i="18"/>
  <c r="AB418" i="18"/>
  <c r="AE145" i="18"/>
  <c r="AC278" i="18"/>
  <c r="P82" i="18"/>
  <c r="AA480" i="18"/>
  <c r="AE35" i="18"/>
  <c r="AB450" i="18"/>
  <c r="AB207" i="18"/>
  <c r="AA418" i="18"/>
  <c r="AB324" i="18"/>
  <c r="N306" i="18"/>
  <c r="AB293" i="18"/>
  <c r="O142" i="18"/>
  <c r="AB462" i="18"/>
  <c r="AE112" i="18"/>
  <c r="N224" i="18"/>
  <c r="AB78" i="18"/>
  <c r="AH78" i="18" s="true"/>
  <c r="AI78" i="18" s="true"/>
  <c r="AE266" i="18"/>
  <c r="AF64" i="18"/>
  <c r="AB495" i="18"/>
  <c r="AH495" i="18" s="true"/>
  <c r="AI495" i="18" s="true"/>
  <c r="AF79" i="18"/>
  <c r="AF489" i="18"/>
  <c r="AB60" i="18"/>
  <c r="AA160" i="18"/>
  <c r="AA142" i="18"/>
  <c r="N152" i="18"/>
  <c r="AF415" i="18"/>
  <c r="O309" i="18"/>
  <c r="O126" i="18"/>
  <c r="AB112" i="18"/>
  <c r="Y467" i="18"/>
  <c r="I104" i="25"/>
  <c r="J63" i="25"/>
  <c r="J284" i="25"/>
  <c r="Q158" i="18"/>
  <c r="X496" i="18"/>
  <c r="T311" i="18"/>
  <c r="U312" i="18"/>
  <c r="Q336" i="18"/>
  <c r="U501" i="18"/>
  <c r="J312" i="25"/>
  <c r="Q85" i="18"/>
  <c r="Y382" i="18"/>
  <c r="R474" i="18"/>
  <c r="T57" i="18"/>
  <c r="I137" i="25"/>
  <c r="T278" i="18"/>
  <c r="U329" i="18"/>
  <c r="R185" i="18"/>
  <c r="I88" i="25"/>
  <c r="V35" i="18"/>
  <c r="W204" i="18"/>
  <c r="R388" i="18"/>
  <c r="T312" i="18"/>
  <c r="S382" i="18"/>
  <c r="S137" i="18"/>
  <c r="Y399" i="18"/>
  <c r="W410" i="18"/>
  <c r="R140" i="18"/>
  <c r="R199" i="18"/>
  <c r="Y214" i="18"/>
  <c r="AF449" i="18"/>
  <c r="AF332" i="18"/>
  <c r="N448" i="18"/>
  <c r="AF419" i="18"/>
  <c r="AC472" i="18"/>
  <c r="AE306" i="18"/>
  <c r="N438" i="18"/>
  <c r="AF433" i="18"/>
  <c r="P362" i="18"/>
  <c r="N487" i="18"/>
  <c r="Q43" i="18"/>
  <c r="AC342" i="18"/>
  <c r="AE132" i="18"/>
  <c r="AC380" i="18"/>
  <c r="AD294" i="18"/>
  <c r="AD322" i="18"/>
  <c r="AE236" i="18"/>
  <c r="N406" i="18"/>
  <c r="AC310" i="18"/>
  <c r="AA290" i="18"/>
  <c r="AD409" i="18"/>
  <c r="J247" i="25"/>
  <c r="T35" i="18"/>
  <c r="S27" i="18"/>
  <c r="V430" i="18"/>
  <c r="AB153" i="18"/>
  <c r="AB284" i="18"/>
  <c r="AB228" i="18"/>
  <c r="AD34" i="18"/>
  <c r="O361" i="18"/>
  <c r="AA448" i="18"/>
  <c r="AD206" i="18"/>
  <c r="AE423" i="18"/>
  <c r="AC402" i="18"/>
  <c r="N436" i="18"/>
  <c r="AD314" i="18"/>
  <c r="AC233" i="18"/>
  <c r="AC189" i="18"/>
  <c r="AF276" i="18"/>
  <c r="AE462" i="18"/>
  <c r="AD262" i="18"/>
  <c r="AC244" i="18"/>
  <c r="AA238" i="18"/>
  <c r="AE285" i="18"/>
  <c r="AE367" i="18"/>
  <c r="AH367" i="18" s="true"/>
  <c r="AI367" i="18" s="true"/>
  <c r="AE208" i="18"/>
  <c r="AD261" i="18"/>
  <c r="O83" i="18"/>
  <c r="N491" i="18"/>
  <c r="AD197" i="18"/>
  <c r="AE72" i="18"/>
  <c r="AB433" i="18"/>
  <c r="N160" i="18"/>
  <c r="AF28" i="18"/>
  <c r="AC73" i="18"/>
  <c r="AF412" i="18"/>
  <c r="O198" i="18"/>
  <c r="AA273" i="18"/>
  <c r="AC451" i="18"/>
  <c r="P241" i="18"/>
  <c r="AB430" i="18"/>
  <c r="AE463" i="18"/>
  <c r="N489" i="18"/>
  <c r="AC24" i="18"/>
  <c r="AC395" i="18"/>
  <c r="AE204" i="18"/>
  <c r="AH204" i="18" s="true"/>
  <c r="AI204" i="18" s="true"/>
  <c r="AA150" i="18"/>
  <c r="AC106" i="18"/>
  <c r="P453" i="18"/>
  <c r="AE163" i="18"/>
  <c r="AE230" i="18"/>
  <c r="AD373" i="18"/>
  <c r="AF67" i="18"/>
  <c r="AD235" i="18"/>
  <c r="AD17" i="18"/>
  <c r="AF472" i="18"/>
  <c r="AB26" i="18"/>
  <c r="N433" i="18"/>
  <c r="AB62" i="18"/>
  <c r="AF254" i="18"/>
  <c r="AB325" i="18"/>
  <c r="AF471" i="18"/>
  <c r="AB231" i="18"/>
  <c r="AB404" i="18"/>
  <c r="AH404" i="18" s="true"/>
  <c r="AI404" i="18" s="true"/>
  <c r="AF215" i="18"/>
  <c r="AB163" i="18"/>
  <c r="AB240" i="18"/>
  <c r="AB176" i="18"/>
  <c r="O247" i="18"/>
  <c r="AC400" i="18"/>
  <c r="AF327" i="18"/>
  <c r="AF253" i="18"/>
  <c r="O304" i="18"/>
  <c r="AF202" i="18"/>
  <c r="AC148" i="18"/>
  <c r="P113" i="18"/>
  <c r="AF354" i="18"/>
  <c r="AE426" i="18"/>
  <c r="AB151" i="18"/>
  <c r="N50" i="18"/>
  <c r="AC491" i="18"/>
  <c r="AE487" i="18"/>
  <c r="O246" i="18"/>
  <c r="AB53" i="18"/>
  <c r="AA462" i="18"/>
  <c r="AF346" i="18"/>
  <c r="AB165" i="18"/>
  <c r="AH165" i="18" s="true"/>
  <c r="AI165" i="18" s="true"/>
  <c r="AF98" i="18"/>
  <c r="P439" i="18"/>
  <c r="AA173" i="18"/>
  <c r="O381" i="18"/>
  <c r="AE161" i="18"/>
  <c r="AD449" i="18"/>
  <c r="AC90" i="18"/>
  <c r="I50" i="25"/>
  <c r="S387" i="18"/>
  <c r="J458" i="25"/>
  <c r="I95" i="25"/>
  <c r="I6" i="25"/>
  <c r="Y289" i="18"/>
  <c r="J477" i="25"/>
  <c r="R156" i="18"/>
  <c r="S211" i="18"/>
  <c r="Q59" i="18"/>
  <c r="J195" i="25"/>
  <c r="Q115" i="18"/>
  <c r="W222" i="18"/>
  <c r="I377" i="25"/>
  <c r="R167" i="18"/>
  <c r="T205" i="18"/>
  <c r="U61" i="18"/>
  <c r="S237" i="18"/>
  <c r="Y462" i="18"/>
  <c r="J95" i="25"/>
  <c r="R261" i="18"/>
  <c r="W386" i="18"/>
  <c r="R9" i="18"/>
  <c r="J393" i="25"/>
  <c r="W431" i="18"/>
  <c r="V23" i="18"/>
  <c r="U325" i="18"/>
  <c r="V401" i="18"/>
  <c r="V275" i="18"/>
  <c r="V249" i="18"/>
  <c r="W334" i="18"/>
  <c r="P49" i="18"/>
  <c r="N217" i="18"/>
  <c r="AA201" i="18"/>
  <c r="AB384" i="18"/>
  <c r="AA110" i="18"/>
  <c r="O35" i="18"/>
  <c r="AB39" i="18"/>
  <c r="AC390" i="18"/>
  <c r="AE333" i="18"/>
  <c r="AD22" i="18"/>
  <c r="AB431" i="18"/>
  <c r="N66" i="18"/>
  <c r="AC399" i="18"/>
  <c r="O146" i="18"/>
  <c r="P389" i="18"/>
  <c r="AE270" i="18"/>
  <c r="AB40" i="18"/>
  <c r="AF108" i="18"/>
  <c r="N221" i="18"/>
  <c r="AE323" i="18"/>
  <c r="AH323" i="18" s="true"/>
  <c r="AI323" i="18" s="true"/>
  <c r="O16" i="18"/>
  <c r="P252" i="18"/>
  <c r="P59" i="18"/>
  <c r="AC21" i="18"/>
  <c r="AE411" i="18"/>
  <c r="AF80" i="18"/>
  <c r="P153" i="18"/>
  <c r="O193" i="18"/>
  <c r="AA367" i="18"/>
  <c r="AD227" i="18"/>
  <c r="N105" i="18"/>
  <c r="AE128" i="18"/>
  <c r="AD485" i="18"/>
  <c r="AE365" i="18"/>
  <c r="AD267" i="18"/>
  <c r="AA244" i="18"/>
  <c r="AE455" i="18"/>
  <c r="AF255" i="18"/>
  <c r="AF229" i="18"/>
  <c r="AE28" i="18"/>
  <c r="AH28" i="18" s="true"/>
  <c r="AI28" i="18" s="true"/>
  <c r="P277" i="18"/>
  <c r="AD342" i="18"/>
  <c r="N260" i="18"/>
  <c r="AE126" i="18"/>
  <c r="AC394" i="18"/>
  <c r="AD291" i="18"/>
  <c r="P309" i="18"/>
  <c r="Q472" i="18"/>
  <c r="T283" i="18"/>
  <c r="Q465" i="18"/>
  <c r="X433" i="18"/>
  <c r="T327" i="18"/>
  <c r="J14" i="25"/>
  <c r="T183" i="18"/>
  <c r="R246" i="18"/>
  <c r="U232" i="18"/>
  <c r="T233" i="18"/>
  <c r="T82" i="18"/>
  <c r="S163" i="18"/>
  <c r="U290" i="18"/>
  <c r="P45" i="18"/>
  <c r="N56" i="18"/>
  <c r="P400" i="18"/>
  <c r="P111" i="18"/>
  <c r="AD308" i="18"/>
  <c r="AC257" i="18"/>
  <c r="AF418" i="18"/>
  <c r="O450" i="18"/>
  <c r="P506" i="18"/>
  <c r="AD51" i="18"/>
  <c r="AC181" i="18"/>
  <c r="N434" i="18"/>
  <c r="AA91" i="18"/>
  <c r="AD337" i="18"/>
  <c r="AE327" i="18"/>
  <c r="AE17" i="18"/>
  <c r="AF207" i="18"/>
  <c r="AE64" i="18"/>
  <c r="P179" i="18"/>
  <c r="AC461" i="18"/>
  <c r="AB105" i="18"/>
  <c r="P413" i="18"/>
  <c r="AE98" i="18"/>
  <c r="AC25" i="18"/>
  <c r="AB19" i="18"/>
  <c r="AB241" i="18"/>
  <c r="AC167" i="18"/>
  <c r="P488" i="18"/>
  <c r="AB90" i="18"/>
  <c r="P278" i="18"/>
  <c r="AD196" i="18"/>
  <c r="N95" i="18"/>
  <c r="AF185" i="18"/>
  <c r="AA460" i="18"/>
  <c r="N163" i="18"/>
  <c r="AC302" i="18"/>
  <c r="P119" i="18"/>
  <c r="AF256" i="18"/>
  <c r="N230" i="18"/>
  <c r="AC373" i="18"/>
  <c r="AF376" i="18"/>
  <c r="AA208" i="18"/>
  <c r="P150" i="18"/>
  <c r="AC210" i="18"/>
  <c r="AC46" i="18"/>
  <c r="AB339" i="18"/>
  <c r="AE385" i="18"/>
  <c r="N360" i="18"/>
  <c r="AF497" i="18"/>
  <c r="N300" i="18"/>
  <c r="P464" i="18"/>
  <c r="AC58" i="18"/>
  <c r="O155" i="18"/>
  <c r="AF173" i="18"/>
  <c r="AE349" i="18"/>
  <c r="AE459" i="18"/>
  <c r="AD260" i="18"/>
  <c r="AA325" i="18"/>
  <c r="AD475" i="18"/>
  <c r="O344" i="18"/>
  <c r="AA291" i="18"/>
  <c r="AF114" i="18"/>
  <c r="AA217" i="18"/>
  <c r="AE254" i="18"/>
  <c r="AC506" i="18"/>
  <c r="Q495" i="18"/>
  <c r="Y364" i="18"/>
  <c r="X275" i="18"/>
  <c r="V418" i="18"/>
  <c r="W348" i="18"/>
  <c r="V387" i="18"/>
  <c r="X89" i="18"/>
  <c r="W354" i="18"/>
  <c r="V172" i="18"/>
  <c r="Q341" i="18"/>
  <c r="AF155" i="18"/>
  <c r="AE464" i="18"/>
  <c r="O29" i="18"/>
  <c r="AA41" i="18"/>
  <c r="AB318" i="18"/>
  <c r="AD437" i="18"/>
  <c r="AF273" i="18"/>
  <c r="O307" i="18"/>
  <c r="AF252" i="18"/>
  <c r="AC473" i="18"/>
  <c r="AF500" i="18"/>
  <c r="AA227" i="18"/>
  <c r="P465" i="18"/>
  <c r="N137" i="18"/>
  <c r="N55" i="18"/>
  <c r="AA191" i="18"/>
  <c r="AD67" i="18"/>
  <c r="AB273" i="18"/>
  <c r="AA83" i="18"/>
  <c r="AE315" i="18"/>
  <c r="AE32" i="18"/>
  <c r="AA38" i="18"/>
  <c r="AD503" i="18"/>
  <c r="AF146" i="18"/>
  <c r="AD107" i="18"/>
  <c r="P290" i="18"/>
  <c r="AB147" i="18"/>
  <c r="AD384" i="18"/>
  <c r="AD178" i="18"/>
  <c r="N195" i="18"/>
  <c r="AE7" i="18"/>
  <c r="AH7" i="18" s="true"/>
  <c r="AI7" i="18" s="true"/>
  <c r="P417" i="18"/>
  <c r="AC437" i="18"/>
  <c r="P440" i="18"/>
  <c r="AA200" i="18"/>
  <c r="P328" i="18"/>
  <c r="AA224" i="18"/>
  <c r="O290" i="18"/>
  <c r="AC127" i="18"/>
  <c r="AF462" i="18"/>
  <c r="AE470" i="18"/>
  <c r="AA479" i="18"/>
  <c r="AF201" i="18"/>
  <c r="N390" i="18"/>
  <c r="AC75" i="18"/>
  <c r="AA127" i="18"/>
  <c r="AB420" i="18"/>
  <c r="AC305" i="18"/>
  <c r="AF21" i="18"/>
  <c r="AE188" i="18"/>
  <c r="AF308" i="18"/>
  <c r="P287" i="18"/>
  <c r="AC139" i="18"/>
  <c r="O80" i="18"/>
  <c r="AB119" i="18"/>
  <c r="AB506" i="18"/>
  <c r="O461" i="18"/>
  <c r="O118" i="18"/>
  <c r="AC383" i="18"/>
  <c r="AA287" i="18"/>
  <c r="AD381" i="18"/>
  <c r="AC218" i="18"/>
  <c r="N274" i="18"/>
  <c r="AE290" i="18"/>
  <c r="AH290" i="18" s="true"/>
  <c r="AI290" i="18" s="true"/>
  <c r="AC135" i="18"/>
  <c r="AF499" i="18"/>
  <c r="P226" i="18"/>
  <c r="AE403" i="18"/>
  <c r="AB361" i="18"/>
  <c r="AF15" i="18"/>
  <c r="N372" i="18"/>
  <c r="O191" i="18"/>
  <c r="P43" i="18"/>
  <c r="AE141" i="18"/>
  <c r="AE149" i="18"/>
  <c r="N353" i="18"/>
  <c r="O329" i="18"/>
  <c r="AA408" i="18"/>
  <c r="O125" i="18"/>
  <c r="O345" i="18"/>
  <c r="O287" i="18"/>
  <c r="N307" i="18"/>
  <c r="AE344" i="18"/>
  <c r="AH344" i="18" s="true"/>
  <c r="AI344" i="18" s="true"/>
  <c r="AA13" i="18"/>
  <c r="AA345" i="18"/>
  <c r="N375" i="18"/>
  <c r="O113" i="18"/>
  <c r="N277" i="18"/>
  <c r="AF61" i="18"/>
  <c r="Y384" i="18"/>
  <c r="U177" i="18"/>
  <c r="I493" i="25"/>
  <c r="Q234" i="18"/>
  <c r="W455" i="18"/>
  <c r="J75" i="25"/>
  <c r="U408" i="18"/>
  <c r="Q142" i="18"/>
  <c r="R221" i="18"/>
  <c r="R223" i="18"/>
  <c r="U247" i="18"/>
  <c r="R332" i="18"/>
  <c r="R253" i="18"/>
  <c r="I103" i="25"/>
  <c r="W144" i="18"/>
  <c r="R239" i="18"/>
  <c r="T407" i="18"/>
  <c r="U188" i="18"/>
  <c r="Q89" i="18"/>
  <c r="I78" i="25"/>
  <c r="J16" i="25"/>
  <c r="Q491" i="18"/>
  <c r="X368" i="18"/>
  <c r="I257" i="25"/>
  <c r="V261" i="18"/>
  <c r="Q136" i="18"/>
  <c r="X68" i="18"/>
  <c r="V366" i="18"/>
  <c r="U323" i="18"/>
  <c r="X400" i="18"/>
  <c r="U226" i="18"/>
  <c r="T255" i="18"/>
  <c r="Q193" i="18"/>
  <c r="Q19" i="18"/>
  <c r="R208" i="18"/>
  <c r="V477" i="18"/>
  <c r="Q286" i="18"/>
  <c r="X237" i="18"/>
  <c r="AA278" i="18"/>
  <c r="AE228" i="18"/>
  <c r="AH228" i="18" s="true"/>
  <c r="AI228" i="18" s="true"/>
  <c r="AE330" i="18"/>
  <c r="AF145" i="18"/>
  <c r="AA317" i="18"/>
  <c r="AD461" i="18"/>
  <c r="AD199" i="18"/>
  <c r="AF133" i="18"/>
  <c r="AC471" i="18"/>
  <c r="AC176" i="18"/>
  <c r="AA336" i="18"/>
  <c r="AD33" i="18"/>
  <c r="AA296" i="18"/>
  <c r="AD420" i="18"/>
  <c r="AE258" i="18"/>
  <c r="N33" i="18"/>
  <c r="P349" i="18"/>
  <c r="AE447" i="18"/>
  <c r="P233" i="18"/>
  <c r="AF241" i="18"/>
  <c r="AD448" i="18"/>
  <c r="AD75" i="18"/>
  <c r="O446" i="18"/>
  <c r="O313" i="18"/>
  <c r="AD301" i="18"/>
  <c r="O502" i="18"/>
  <c r="AD24" i="18"/>
  <c r="P229" i="18"/>
  <c r="AE226" i="18"/>
  <c r="AE43" i="18"/>
  <c r="N264" i="18"/>
  <c r="AC80" i="18"/>
  <c r="P134" i="18"/>
  <c r="AF222" i="18"/>
  <c r="P144" i="18"/>
  <c r="AC231" i="18"/>
  <c r="AE108" i="18"/>
  <c r="AD160" i="18"/>
  <c r="N311" i="18"/>
  <c r="P236" i="18"/>
  <c r="AF342" i="18"/>
  <c r="AC431" i="18"/>
  <c r="P461" i="18"/>
  <c r="O448" i="18"/>
  <c r="AC156" i="18"/>
  <c r="P473" i="18"/>
  <c r="AC152" i="18"/>
  <c r="AA321" i="18"/>
  <c r="AC262" i="18"/>
  <c r="AA155" i="18"/>
  <c r="AE483" i="18"/>
  <c r="AF495" i="18"/>
  <c r="AC172" i="18"/>
  <c r="O174" i="18"/>
  <c r="AA410" i="18"/>
  <c r="AE239" i="18"/>
  <c r="AA133" i="18"/>
  <c r="P259" i="18"/>
  <c r="AC191" i="18"/>
  <c r="AD251" i="18"/>
  <c r="P27" i="18"/>
  <c r="AE245" i="18"/>
  <c r="AE479" i="18"/>
  <c r="AH479" i="18" s="true"/>
  <c r="AI479" i="18" s="true"/>
  <c r="AE457" i="18"/>
  <c r="P117" i="18"/>
  <c r="AF77" i="18"/>
  <c r="V133" i="18"/>
  <c r="R283" i="18"/>
  <c r="J34" i="25"/>
  <c r="T470" i="18"/>
  <c r="X119" i="18"/>
  <c r="T8" i="18"/>
  <c r="U403" i="18"/>
  <c r="W397" i="18"/>
  <c r="W177" i="18"/>
  <c r="J44" i="25"/>
  <c r="Q65" i="18"/>
  <c r="Q323" i="18"/>
  <c r="I118" i="25"/>
  <c r="I354" i="25"/>
  <c r="R309" i="18"/>
  <c r="Q270" i="18"/>
  <c r="W28" i="18"/>
  <c r="X307" i="18"/>
  <c r="V76" i="18"/>
  <c r="W99" i="18"/>
  <c r="I198" i="25"/>
  <c r="S402" i="18"/>
  <c r="Y233" i="18"/>
  <c r="Y91" i="18"/>
  <c r="Y69" i="18"/>
  <c r="T411" i="18"/>
  <c r="T484" i="18"/>
  <c r="V312" i="18"/>
  <c r="T216" i="18"/>
  <c r="X314" i="18"/>
  <c r="W116" i="18"/>
  <c r="T129" i="18"/>
  <c r="I61" i="25"/>
  <c r="J475" i="25"/>
  <c r="T420" i="18"/>
  <c r="T20" i="18"/>
  <c r="T479" i="18"/>
  <c r="Q473" i="18"/>
  <c r="R248" i="18"/>
  <c r="X64" i="18"/>
  <c r="V29" i="18"/>
  <c r="T16" i="18"/>
  <c r="S76" i="18"/>
  <c r="S296" i="18"/>
  <c r="Y157" i="18"/>
  <c r="S469" i="18"/>
  <c r="R44" i="18"/>
  <c r="W226" i="18"/>
  <c r="V306" i="18"/>
  <c r="Y94" i="18"/>
  <c r="W38" i="18"/>
  <c r="Q266" i="18"/>
  <c r="X252" i="18"/>
  <c r="J367" i="25"/>
  <c r="Y370" i="18"/>
  <c r="R499" i="18"/>
  <c r="T163" i="18"/>
  <c r="R466" i="18"/>
  <c r="I12" i="25"/>
  <c r="X175" i="18"/>
  <c r="S420" i="18"/>
  <c r="U347" i="18"/>
  <c r="S363" i="18"/>
  <c r="AB167" i="18"/>
  <c r="AC100" i="18"/>
  <c r="O84" i="18"/>
  <c r="P77" i="18"/>
  <c r="AC124" i="18"/>
  <c r="AB99" i="18"/>
  <c r="O335" i="18"/>
  <c r="AD78" i="18"/>
  <c r="N156" i="18"/>
  <c r="AA398" i="18"/>
  <c r="N207" i="18"/>
  <c r="AF167" i="18"/>
  <c r="AE273" i="18"/>
  <c r="AB115" i="18"/>
  <c r="N266" i="18"/>
  <c r="O40" i="18"/>
  <c r="AC285" i="18"/>
  <c r="AA318" i="18"/>
  <c r="O91" i="18"/>
  <c r="AC121" i="18"/>
  <c r="N295" i="18"/>
  <c r="AD188" i="18"/>
  <c r="AF483" i="18"/>
  <c r="N113" i="18"/>
  <c r="AB343" i="18"/>
  <c r="AE58" i="18"/>
  <c r="AH58" i="18" s="true"/>
  <c r="AI58" i="18" s="true"/>
  <c r="AD479" i="18"/>
  <c r="AD283" i="18"/>
  <c r="AD264" i="18"/>
  <c r="O226" i="18"/>
  <c r="P420" i="18"/>
  <c r="P48" i="18"/>
  <c r="AD495" i="18"/>
  <c r="AB448" i="18"/>
  <c r="N272" i="18"/>
  <c r="P53" i="18"/>
  <c r="AD36" i="18"/>
  <c r="P471" i="18"/>
  <c r="AA77" i="18"/>
  <c r="AC452" i="18"/>
  <c r="AA221" i="18"/>
  <c r="AD59" i="18"/>
  <c r="AC353" i="18"/>
  <c r="AC81" i="18"/>
  <c r="N225" i="18"/>
  <c r="AE148" i="18"/>
  <c r="AE384" i="18"/>
  <c r="AB476" i="18"/>
  <c r="N13" i="18"/>
  <c r="N308" i="18"/>
  <c r="O254" i="18"/>
  <c r="AF242" i="18"/>
  <c r="AE140" i="18"/>
  <c r="AC115" i="18"/>
  <c r="AF408" i="18"/>
  <c r="AA449" i="18"/>
  <c r="AA382" i="18"/>
  <c r="AF329" i="18"/>
  <c r="AB350" i="18"/>
  <c r="AH350" i="18" s="true"/>
  <c r="AI350" i="18" s="true"/>
  <c r="AC264" i="18"/>
  <c r="AE450" i="18"/>
  <c r="AA295" i="18"/>
  <c r="AF503" i="18"/>
  <c r="AC212" i="18"/>
  <c r="N352" i="18"/>
  <c r="O436" i="18"/>
  <c r="AA387" i="18"/>
  <c r="AA380" i="18"/>
  <c r="O45" i="18"/>
  <c r="AC454" i="18"/>
  <c r="AD12" i="18"/>
  <c r="AC91" i="18"/>
  <c r="AA316" i="18"/>
  <c r="O131" i="18"/>
  <c r="AA108" i="18"/>
  <c r="AC173" i="18"/>
  <c r="AF345" i="18"/>
  <c r="AB461" i="18"/>
  <c r="AB24" i="18"/>
  <c r="AC422" i="18"/>
  <c r="AF100" i="18"/>
  <c r="AF240" i="18"/>
  <c r="AD474" i="18"/>
  <c r="S483" i="18"/>
  <c r="I449" i="25"/>
  <c r="J172" i="25"/>
  <c r="U80" i="18"/>
  <c r="W169" i="18"/>
  <c r="Y271" i="18"/>
  <c r="Y30" i="18"/>
  <c r="X51" i="18"/>
  <c r="J194" i="25"/>
  <c r="Q372" i="18"/>
  <c r="R183" i="18"/>
  <c r="S422" i="18"/>
  <c r="X402" i="18"/>
  <c r="V437" i="18"/>
  <c r="I403" i="25"/>
  <c r="J348" i="25"/>
  <c r="S100" i="18"/>
  <c r="T331" i="18"/>
  <c r="X408" i="18"/>
  <c r="I170" i="25"/>
  <c r="I266" i="25"/>
  <c r="J79" i="25"/>
  <c r="J150" i="25"/>
  <c r="R382" i="18"/>
  <c r="S452" i="18"/>
  <c r="W45" i="18"/>
  <c r="Q384" i="18"/>
  <c r="J243" i="25"/>
  <c r="Q320" i="18"/>
  <c r="Y473" i="18"/>
  <c r="U203" i="18"/>
  <c r="I214" i="25"/>
  <c r="T98" i="18"/>
  <c r="Y89" i="18"/>
  <c r="V256" i="18"/>
  <c r="S314" i="18"/>
  <c r="U215" i="18"/>
  <c r="W47" i="18"/>
  <c r="S46" i="18"/>
  <c r="I244" i="25"/>
  <c r="T78" i="18"/>
  <c r="W62" i="18"/>
  <c r="R134" i="18"/>
  <c r="Y309" i="18"/>
  <c r="U67" i="18"/>
  <c r="Y203" i="18"/>
  <c r="T150" i="18"/>
  <c r="R348" i="18"/>
  <c r="X370" i="18"/>
  <c r="T353" i="18"/>
  <c r="V252" i="18"/>
  <c r="S362" i="18"/>
  <c r="X298" i="18"/>
  <c r="X206" i="18"/>
  <c r="S49" i="18"/>
  <c r="V221" i="18"/>
  <c r="S326" i="18"/>
  <c r="Q378" i="18"/>
  <c r="X423" i="18"/>
  <c r="Q427" i="18"/>
  <c r="J378" i="25"/>
  <c r="R306" i="18"/>
  <c r="W321" i="18"/>
  <c r="Q334" i="18"/>
  <c r="U498" i="18"/>
  <c r="S426" i="18"/>
  <c r="X187" i="18"/>
  <c r="T266" i="18"/>
  <c r="J480" i="25"/>
  <c r="V234" i="18"/>
  <c r="Q179" i="18"/>
  <c r="R337" i="18"/>
  <c r="Q204" i="18"/>
  <c r="V207" i="18"/>
  <c r="V351" i="18"/>
  <c r="I462" i="25"/>
  <c r="J204" i="25"/>
  <c r="S427" i="18"/>
  <c r="R250" i="18"/>
  <c r="S7" i="18"/>
  <c r="U30" i="18"/>
  <c r="S129" i="18"/>
  <c r="I167" i="25"/>
  <c r="Y108" i="18"/>
  <c r="T467" i="18"/>
  <c r="X297" i="18"/>
  <c r="V414" i="18"/>
  <c r="I316" i="25"/>
  <c r="Q135" i="18"/>
  <c r="W188" i="18"/>
  <c r="T497" i="18"/>
  <c r="S486" i="18"/>
  <c r="J337" i="25"/>
  <c r="Y191" i="18"/>
  <c r="S84" i="18"/>
  <c r="Q231" i="18"/>
  <c r="J46" i="25"/>
  <c r="R369" i="18"/>
  <c r="I136" i="25"/>
  <c r="Q49" i="18"/>
  <c r="X11" i="18"/>
  <c r="Q182" i="18"/>
  <c r="Q362" i="18"/>
  <c r="X57" i="18"/>
  <c r="T488" i="18"/>
  <c r="R278" i="18"/>
  <c r="X193" i="18"/>
  <c r="R361" i="18"/>
  <c r="Q12" i="18"/>
  <c r="J476" i="25"/>
  <c r="V80" i="18"/>
  <c r="W366" i="18"/>
  <c r="J500" i="25"/>
  <c r="I18" i="25"/>
  <c r="W115" i="18"/>
  <c r="S277" i="18"/>
  <c r="S146" i="18"/>
  <c r="X233" i="18"/>
  <c r="W54" i="18"/>
  <c r="R439" i="18"/>
  <c r="W124" i="18"/>
  <c r="W369" i="18"/>
  <c r="AD181" i="18"/>
  <c r="AE328" i="18"/>
  <c r="AE62" i="18"/>
  <c r="N501" i="18"/>
  <c r="AB222" i="18"/>
  <c r="N482" i="18"/>
  <c r="P295" i="18"/>
  <c r="AA232" i="18"/>
  <c r="AF349" i="18"/>
  <c r="AC324" i="18"/>
  <c r="AC483" i="18"/>
  <c r="P445" i="18"/>
  <c r="AB44" i="18"/>
  <c r="AC273" i="18"/>
  <c r="AF496" i="18"/>
  <c r="AB22" i="18"/>
  <c r="AB321" i="18"/>
  <c r="AB25" i="18"/>
  <c r="O322" i="18"/>
  <c r="AE400" i="18"/>
  <c r="AD146" i="18"/>
  <c r="P180" i="18"/>
  <c r="AA251" i="18"/>
  <c r="AD424" i="18"/>
  <c r="AD465" i="18"/>
  <c r="AC427" i="18"/>
  <c r="AB38" i="18"/>
  <c r="AD119" i="18"/>
  <c r="AF487" i="18"/>
  <c r="AB301" i="18"/>
  <c r="P251" i="18"/>
  <c r="N104" i="18"/>
  <c r="O410" i="18"/>
  <c r="N127" i="18"/>
  <c r="O186" i="18"/>
  <c r="AD387" i="18"/>
  <c r="P303" i="18"/>
  <c r="AD202" i="18"/>
  <c r="O165" i="18"/>
  <c r="O315" i="18"/>
  <c r="AA344" i="18"/>
  <c r="AC138" i="18"/>
  <c r="AA212" i="18"/>
  <c r="AA406" i="18"/>
  <c r="AA73" i="18"/>
  <c r="AF402" i="18"/>
  <c r="AD303" i="18"/>
  <c r="AD79" i="18"/>
  <c r="AE90" i="18"/>
  <c r="AB192" i="18"/>
  <c r="AH192" i="18" s="true"/>
  <c r="AI192" i="18" s="true"/>
  <c r="AF358" i="18"/>
  <c r="AE11" i="18"/>
  <c r="N86" i="18"/>
  <c r="O353" i="18"/>
  <c r="AB118" i="18"/>
  <c r="P480" i="18"/>
  <c r="N112" i="18"/>
  <c r="AC122" i="18"/>
  <c r="AF259" i="18"/>
  <c r="AF149" i="18"/>
  <c r="AE264" i="18"/>
  <c r="AE38" i="18"/>
  <c r="AH38" i="18" s="true"/>
  <c r="AI38" i="18" s="true"/>
  <c r="AF195" i="18"/>
  <c r="AD87" i="18"/>
  <c r="AE410" i="18"/>
  <c r="O103" i="18"/>
  <c r="AD46" i="18"/>
  <c r="AF413" i="18"/>
  <c r="AE435" i="18"/>
  <c r="O239" i="18"/>
  <c r="AE197" i="18"/>
  <c r="AC28" i="18"/>
  <c r="AE253" i="18"/>
  <c r="AE202" i="18"/>
  <c r="AH202" i="18" s="true"/>
  <c r="AI202" i="18" s="true"/>
  <c r="AF403" i="18"/>
  <c r="AD325" i="18"/>
  <c r="AA45" i="18"/>
  <c r="AC438" i="18"/>
  <c r="AB180" i="18"/>
  <c r="AH180" i="18" s="true"/>
  <c r="AI180" i="18" s="true"/>
  <c r="AF492" i="18"/>
  <c r="AB254" i="18"/>
  <c r="AD57" i="18"/>
  <c r="AB216" i="18"/>
  <c r="P424" i="18"/>
  <c r="AB83" i="18"/>
  <c r="AF423" i="18"/>
  <c r="P285" i="18"/>
  <c r="AF74" i="18"/>
  <c r="O470" i="18"/>
  <c r="N457" i="18"/>
  <c r="AA458" i="18"/>
  <c r="AD189" i="18"/>
  <c r="N279" i="18"/>
  <c r="AA338" i="18"/>
  <c r="AA465" i="18"/>
  <c r="AF456" i="18"/>
  <c r="AE120" i="18"/>
  <c r="N97" i="18"/>
  <c r="AA395" i="18"/>
  <c r="P33" i="18"/>
  <c r="O187" i="18"/>
  <c r="AA375" i="18"/>
  <c r="AD436" i="18"/>
  <c r="Y43" i="18"/>
  <c r="U362" i="18"/>
  <c r="V231" i="18"/>
  <c r="J113" i="25"/>
  <c r="S182" i="18"/>
  <c r="X16" i="18"/>
  <c r="I269" i="25"/>
  <c r="W447" i="18"/>
  <c r="Q191" i="18"/>
  <c r="U311" i="18"/>
  <c r="S412" i="18"/>
  <c r="U419" i="18"/>
  <c r="S124" i="18"/>
  <c r="T432" i="18"/>
  <c r="Q393" i="18"/>
  <c r="Y154" i="18"/>
  <c r="R454" i="18"/>
  <c r="J41" i="25"/>
  <c r="Q271" i="18"/>
  <c r="R317" i="18"/>
  <c r="W227" i="18"/>
  <c r="U213" i="18"/>
  <c r="X127" i="18"/>
  <c r="Y81" i="18"/>
  <c r="U141" i="18"/>
  <c r="U441" i="18"/>
  <c r="S294" i="18"/>
  <c r="U193" i="18"/>
  <c r="Y125" i="18"/>
  <c r="X129" i="18"/>
  <c r="Q325" i="18"/>
  <c r="Y193" i="18"/>
  <c r="Q400" i="18"/>
  <c r="W306" i="18"/>
  <c r="U102" i="18"/>
  <c r="I367" i="25"/>
  <c r="I171" i="25"/>
  <c r="V171" i="18"/>
  <c r="Q63" i="18"/>
  <c r="U308" i="18"/>
  <c r="U286" i="18"/>
  <c r="T463" i="18"/>
  <c r="Y257" i="18"/>
  <c r="T116" i="18"/>
  <c r="X480" i="18"/>
  <c r="J482" i="25"/>
  <c r="V479" i="18"/>
  <c r="T28" i="18"/>
  <c r="X455" i="18"/>
  <c r="Q147" i="18"/>
  <c r="W244" i="18"/>
  <c r="T363" i="18"/>
  <c r="X205" i="18"/>
  <c r="U120" i="18"/>
  <c r="O110" i="18"/>
  <c r="AD98" i="18"/>
  <c r="AD71" i="18"/>
  <c r="AA471" i="18"/>
  <c r="AE212" i="18"/>
  <c r="AC469" i="18"/>
  <c r="O190" i="18"/>
  <c r="O464" i="18"/>
  <c r="AC406" i="18"/>
  <c r="AC329" i="18"/>
  <c r="AC420" i="18"/>
  <c r="AB395" i="18"/>
  <c r="AE101" i="18"/>
  <c r="AE320" i="18"/>
  <c r="AA371" i="18"/>
  <c r="AA204" i="18"/>
  <c r="O258" i="18"/>
  <c r="AF400" i="18"/>
  <c r="AB237" i="18"/>
  <c r="AC104" i="18"/>
  <c r="AF303" i="18"/>
  <c r="P248" i="18"/>
  <c r="P199" i="18"/>
  <c r="AB391" i="18"/>
  <c r="AD245" i="18"/>
  <c r="P52" i="18"/>
  <c r="P122" i="18"/>
  <c r="V209" i="18"/>
  <c r="T110" i="18"/>
  <c r="R354" i="18"/>
  <c r="I482" i="25"/>
  <c r="I17" i="25"/>
  <c r="Y148" i="18"/>
  <c r="W196" i="18"/>
  <c r="R363" i="18"/>
  <c r="S281" i="18"/>
  <c r="J130" i="25"/>
  <c r="R148" i="18"/>
  <c r="J457" i="25"/>
  <c r="W315" i="18"/>
  <c r="S310" i="18"/>
  <c r="S379" i="18"/>
  <c r="Q152" i="18"/>
  <c r="Y25" i="18"/>
  <c r="U15" i="18"/>
  <c r="X378" i="18"/>
  <c r="R36" i="18"/>
  <c r="U125" i="18"/>
  <c r="W43" i="18"/>
  <c r="R340" i="18"/>
  <c r="S170" i="18"/>
  <c r="U118" i="18"/>
  <c r="S375" i="18"/>
  <c r="J380" i="25"/>
  <c r="J290" i="25"/>
  <c r="U199" i="18"/>
  <c r="X192" i="18"/>
  <c r="W373" i="18"/>
  <c r="V155" i="18"/>
  <c r="R152" i="18"/>
  <c r="Y12" i="18"/>
  <c r="J489" i="25"/>
  <c r="X385" i="18"/>
  <c r="Q141" i="18"/>
  <c r="Q338" i="18"/>
  <c r="S236" i="18"/>
  <c r="V361" i="18"/>
  <c r="U91" i="18"/>
  <c r="R194" i="18"/>
  <c r="T418" i="18"/>
  <c r="Y219" i="18"/>
  <c r="R420" i="18"/>
  <c r="P379" i="18"/>
  <c r="N369" i="18"/>
  <c r="AA272" i="18"/>
  <c r="AE465" i="18"/>
  <c r="AF32" i="18"/>
  <c r="AF51" i="18"/>
  <c r="AE348" i="18"/>
  <c r="AA427" i="18"/>
  <c r="AE267" i="18"/>
  <c r="AF135" i="18"/>
  <c r="AC382" i="18"/>
  <c r="P393" i="18"/>
  <c r="AF333" i="18"/>
  <c r="N106" i="18"/>
  <c r="AB456" i="18"/>
  <c r="AD494" i="18"/>
  <c r="AF417" i="18"/>
  <c r="AA357" i="18"/>
  <c r="AA72" i="18"/>
  <c r="AA9" i="18"/>
  <c r="AE182" i="18"/>
  <c r="AB95" i="18"/>
  <c r="O10" i="18"/>
  <c r="N328" i="18"/>
  <c r="P171" i="18"/>
  <c r="AF165" i="18"/>
  <c r="O167" i="18"/>
  <c r="P394" i="18"/>
  <c r="O37" i="18"/>
  <c r="AD194" i="18"/>
  <c r="AC340" i="18"/>
  <c r="N19" i="18"/>
  <c r="N320" i="18"/>
  <c r="AA114" i="18"/>
  <c r="AA101" i="18"/>
  <c r="AE354" i="18"/>
  <c r="AF58" i="18"/>
  <c r="AB159" i="18"/>
  <c r="N191" i="18"/>
  <c r="AD226" i="18"/>
  <c r="AA419" i="18"/>
  <c r="AF430" i="18"/>
  <c r="AE291" i="18"/>
  <c r="P254" i="18"/>
  <c r="AB15" i="18"/>
  <c r="O51" i="18"/>
  <c r="AB23" i="18"/>
  <c r="AH23" i="18" s="true"/>
  <c r="AI23" i="18" s="true"/>
  <c r="AE437" i="18"/>
  <c r="AB371" i="18"/>
  <c r="AB57" i="18"/>
  <c r="P280" i="18"/>
  <c r="AA429" i="18"/>
  <c r="O236" i="18"/>
  <c r="AB485" i="18"/>
  <c r="P99" i="18"/>
  <c r="AA35" i="18"/>
  <c r="AA231" i="18"/>
  <c r="O282" i="18"/>
  <c r="AC41" i="18"/>
  <c r="O218" i="18"/>
  <c r="AB164" i="18"/>
  <c r="AH164" i="18" s="true"/>
  <c r="AI164" i="18" s="true"/>
  <c r="AE107" i="18"/>
  <c r="AD15" i="18"/>
  <c r="AC481" i="18"/>
  <c r="O264" i="18"/>
  <c r="P292" i="18"/>
  <c r="P407" i="18"/>
  <c r="AD252" i="18"/>
  <c r="O41" i="18"/>
  <c r="O66" i="18"/>
  <c r="AB127" i="18"/>
  <c r="O149" i="18"/>
  <c r="AE249" i="18"/>
  <c r="O379" i="18"/>
  <c r="P371" i="18"/>
  <c r="AF50" i="18"/>
  <c r="AD386" i="18"/>
  <c r="N312" i="18"/>
  <c r="N93" i="18"/>
  <c r="AD50" i="18"/>
  <c r="AE300" i="18"/>
  <c r="AC45" i="18"/>
  <c r="N361" i="18"/>
  <c r="P264" i="18"/>
  <c r="AD295" i="18"/>
  <c r="AD357" i="18"/>
  <c r="AB155" i="18"/>
  <c r="AF177" i="18"/>
  <c r="AB502" i="18"/>
  <c r="AH502" i="18" s="true"/>
  <c r="AI502" i="18" s="true"/>
  <c r="AB276" i="18"/>
  <c r="AH276" i="18" s="true"/>
  <c r="AI276" i="18" s="true"/>
  <c r="AB387" i="18"/>
  <c r="AB498" i="18"/>
  <c r="AC219" i="18"/>
  <c r="P239" i="18"/>
  <c r="N314" i="18"/>
  <c r="P114" i="18"/>
  <c r="O17" i="18"/>
  <c r="AA267" i="18"/>
  <c r="AF251" i="18"/>
  <c r="P183" i="18"/>
  <c r="AE51" i="18"/>
  <c r="P39" i="18"/>
  <c r="P228" i="18"/>
  <c r="AC97" i="18"/>
  <c r="I128" i="25"/>
  <c r="U388" i="18"/>
  <c r="Q506" i="18"/>
  <c r="J335" i="25"/>
  <c r="I318" i="25"/>
  <c r="I42" i="25"/>
  <c r="X487" i="18"/>
  <c r="V116" i="18"/>
  <c r="J317" i="25"/>
  <c r="T196" i="18"/>
  <c r="Y325" i="18"/>
  <c r="I55" i="25"/>
  <c r="I69" i="25"/>
  <c r="Q428" i="18"/>
  <c r="T321" i="18"/>
  <c r="V42" i="18"/>
  <c r="Q103" i="18"/>
  <c r="I300" i="25"/>
  <c r="I90" i="25"/>
  <c r="S19" i="18"/>
  <c r="U266" i="18"/>
  <c r="T68" i="18"/>
  <c r="S352" i="18"/>
  <c r="S54" i="18"/>
  <c r="Q243" i="18"/>
  <c r="X211" i="18"/>
  <c r="S322" i="18"/>
  <c r="J191" i="25"/>
  <c r="S225" i="18"/>
  <c r="R460" i="18"/>
  <c r="I311" i="25"/>
  <c r="Q169" i="18"/>
  <c r="V433" i="18"/>
  <c r="W376" i="18"/>
  <c r="T23" i="18"/>
  <c r="S90" i="18"/>
  <c r="U295" i="18"/>
  <c r="T195" i="18"/>
  <c r="R287" i="18"/>
  <c r="J129" i="25"/>
  <c r="R110" i="18"/>
  <c r="U57" i="18"/>
  <c r="R425" i="18"/>
  <c r="V266" i="18"/>
  <c r="R58" i="18"/>
  <c r="P147" i="18"/>
  <c r="O433" i="18"/>
  <c r="AA104" i="18"/>
  <c r="AA362" i="18"/>
  <c r="O431" i="18"/>
  <c r="N218" i="18"/>
  <c r="N37" i="18"/>
  <c r="AF307" i="18"/>
  <c r="AF398" i="18"/>
  <c r="N125" i="18"/>
  <c r="AC441" i="18"/>
  <c r="O437" i="18"/>
  <c r="P308" i="18"/>
  <c r="I206" i="25"/>
  <c r="R244" i="18"/>
  <c r="J311" i="25"/>
  <c r="Y114" i="18"/>
  <c r="J353" i="25"/>
  <c r="I347" i="25"/>
  <c r="I199" i="25"/>
  <c r="W189" i="18"/>
  <c r="I277" i="25"/>
  <c r="V408" i="18"/>
  <c r="R70" i="18"/>
  <c r="J429" i="25"/>
  <c r="I298" i="25"/>
  <c r="V394" i="18"/>
  <c r="W256" i="18"/>
  <c r="W372" i="18"/>
  <c r="S271" i="18"/>
  <c r="W347" i="18"/>
  <c r="U360" i="18"/>
  <c r="S476" i="18"/>
  <c r="T424" i="18"/>
  <c r="S65" i="18"/>
  <c r="Q148" i="18"/>
  <c r="R483" i="18"/>
  <c r="W83" i="18"/>
  <c r="U111" i="18"/>
  <c r="Y321" i="18"/>
  <c r="I385" i="25"/>
  <c r="Y224" i="18"/>
  <c r="Y337" i="18"/>
  <c r="J109" i="25"/>
  <c r="R131" i="18"/>
  <c r="T476" i="18"/>
  <c r="U171" i="18"/>
  <c r="W426" i="18"/>
  <c r="J93" i="25"/>
  <c r="X77" i="18"/>
  <c r="W341" i="18"/>
  <c r="U471" i="18"/>
  <c r="J407" i="25"/>
  <c r="X71" i="18"/>
  <c r="R476" i="18"/>
  <c r="X406" i="18"/>
  <c r="R193" i="18"/>
  <c r="U160" i="18"/>
  <c r="AA417" i="18"/>
  <c r="P221" i="18"/>
  <c r="AA100" i="18"/>
  <c r="N231" i="18"/>
  <c r="P79" i="18"/>
  <c r="N403" i="18"/>
  <c r="N54" i="18"/>
  <c r="AC320" i="18"/>
  <c r="AF113" i="18"/>
  <c r="N407" i="18"/>
  <c r="P286" i="18"/>
  <c r="AC35" i="18"/>
  <c r="AD236" i="18"/>
  <c r="AD243" i="18"/>
  <c r="AB421" i="18"/>
  <c r="AA439" i="18"/>
  <c r="AF7" i="18"/>
  <c r="O499" i="18"/>
  <c r="AA297" i="18"/>
  <c r="N477" i="18"/>
  <c r="AC64" i="18"/>
  <c r="AC36" i="18"/>
  <c r="AA81" i="18"/>
  <c r="AF125" i="18"/>
  <c r="N203" i="18"/>
  <c r="N65" i="18"/>
  <c r="AB184" i="18"/>
  <c r="O13" i="18"/>
  <c r="AF117" i="18"/>
  <c r="AB288" i="18"/>
  <c r="AH288" i="18" s="true"/>
  <c r="AI288" i="18" s="true"/>
  <c r="P72" i="18"/>
  <c r="AE357" i="18"/>
  <c r="P324" i="18"/>
  <c r="O303" i="18"/>
  <c r="N321" i="18"/>
  <c r="AF196" i="18"/>
  <c r="P80" i="18"/>
  <c r="AE252" i="18"/>
  <c r="AC87" i="18"/>
  <c r="O220" i="18"/>
  <c r="N304" i="18"/>
  <c r="AA172" i="18"/>
  <c r="AB377" i="18"/>
  <c r="AH377" i="18" s="true"/>
  <c r="AI377" i="18" s="true"/>
  <c r="AE16" i="18"/>
  <c r="AC388" i="18"/>
  <c r="AD505" i="18"/>
  <c r="AF144" i="18"/>
  <c r="N67" i="18"/>
  <c r="AD43" i="18"/>
  <c r="O297" i="18"/>
  <c r="O243" i="18"/>
  <c r="AD276" i="18"/>
  <c r="AD352" i="18"/>
  <c r="AB17" i="18"/>
  <c r="AD360" i="18"/>
  <c r="AD153" i="18"/>
  <c r="AC206" i="18"/>
  <c r="P105" i="18"/>
  <c r="AE298" i="18"/>
  <c r="AH298" i="18" s="true"/>
  <c r="AI298" i="18" s="true"/>
  <c r="P477" i="18"/>
  <c r="AC84" i="18"/>
  <c r="AC482" i="18"/>
  <c r="AE415" i="18"/>
  <c r="AD286" i="18"/>
  <c r="AD454" i="18"/>
  <c r="O451" i="18"/>
  <c r="N119" i="18"/>
  <c r="AF442" i="18"/>
  <c r="AF52" i="18"/>
  <c r="AF299" i="18"/>
  <c r="AE430" i="18"/>
  <c r="AH430" i="18" s="true"/>
  <c r="AI430" i="18" s="true"/>
  <c r="AD385" i="18"/>
  <c r="AB403" i="18"/>
  <c r="AH403" i="18" s="true"/>
  <c r="AI403" i="18" s="true"/>
  <c r="AC296" i="18"/>
  <c r="AE458" i="18"/>
  <c r="AA461" i="18"/>
  <c r="AA268" i="18"/>
  <c r="O255" i="18"/>
  <c r="AE144" i="18"/>
  <c r="AH144" i="18" s="true"/>
  <c r="AI144" i="18" s="true"/>
  <c r="P429" i="18"/>
  <c r="AF245" i="18"/>
  <c r="AA308" i="18"/>
  <c r="AB285" i="18"/>
  <c r="AH285" i="18" s="true"/>
  <c r="AI285" i="18" s="true"/>
  <c r="N290" i="18"/>
  <c r="AF93" i="18"/>
  <c r="AB11" i="18"/>
  <c r="AD9" i="18"/>
  <c r="O200" i="18"/>
  <c r="AF179" i="18"/>
  <c r="AF416" i="18"/>
  <c r="AB131" i="18"/>
  <c r="P174" i="18"/>
  <c r="AB423" i="18"/>
  <c r="O147" i="18"/>
  <c r="AD331" i="18"/>
  <c r="O375" i="18"/>
  <c r="AF136" i="18"/>
  <c r="AD268" i="18"/>
  <c r="N391" i="18"/>
  <c r="AE360" i="18"/>
  <c r="AF150" i="18"/>
  <c r="AA328" i="18"/>
  <c r="AE486" i="18"/>
  <c r="AA488" i="18"/>
  <c r="W113" i="18"/>
  <c r="V59" i="18"/>
  <c r="I487" i="25"/>
  <c r="Y71" i="18"/>
  <c r="I491" i="25"/>
  <c r="I304" i="25"/>
  <c r="W435" i="18"/>
  <c r="Q438" i="18"/>
  <c r="T117" i="18"/>
  <c r="Y58" i="18"/>
  <c r="W118" i="18"/>
  <c r="J180" i="25"/>
  <c r="J61" i="25"/>
  <c r="V469" i="18"/>
  <c r="I162" i="25"/>
  <c r="V167" i="18"/>
  <c r="Y280" i="18"/>
  <c r="R292" i="18"/>
  <c r="Q188" i="18"/>
  <c r="Q246" i="18"/>
  <c r="S128" i="18"/>
  <c r="Y390" i="18"/>
  <c r="U229" i="18"/>
  <c r="V235" i="18"/>
  <c r="X405" i="18"/>
  <c r="I116" i="25"/>
  <c r="U208" i="18"/>
  <c r="J444" i="25"/>
  <c r="V63" i="18"/>
  <c r="I346" i="25"/>
  <c r="R431" i="18"/>
  <c r="R267" i="18"/>
  <c r="V96" i="18"/>
  <c r="Y132" i="18"/>
  <c r="Y284" i="18"/>
  <c r="J23" i="25"/>
  <c r="T173" i="18"/>
  <c r="U322" i="18"/>
  <c r="U97" i="18"/>
  <c r="J386" i="25"/>
  <c r="U248" i="18"/>
  <c r="U328" i="18"/>
  <c r="Y489" i="18"/>
  <c r="T294" i="18"/>
  <c r="Q272" i="18"/>
  <c r="AA97" i="18"/>
  <c r="AF295" i="18"/>
  <c r="P454" i="18"/>
  <c r="AA396" i="18"/>
  <c r="AD7" i="18"/>
  <c r="O323" i="18"/>
  <c r="AE80" i="18"/>
  <c r="AE325" i="18"/>
  <c r="S230" i="18"/>
  <c r="U21" i="18"/>
  <c r="Q417" i="18"/>
  <c r="I222" i="25"/>
  <c r="V182" i="18"/>
  <c r="X144" i="18"/>
  <c r="J301" i="25"/>
  <c r="X246" i="18"/>
  <c r="I14" i="25"/>
  <c r="S113" i="18"/>
  <c r="W420" i="18"/>
  <c r="V62" i="18"/>
  <c r="J266" i="25"/>
  <c r="V343" i="18"/>
  <c r="Y123" i="18"/>
  <c r="J238" i="25"/>
  <c r="I203" i="25"/>
  <c r="I20" i="25"/>
  <c r="U69" i="18"/>
  <c r="J223" i="25"/>
  <c r="U483" i="18"/>
  <c r="J307" i="25"/>
  <c r="I302" i="25"/>
  <c r="W184" i="18"/>
  <c r="V452" i="18"/>
  <c r="Q112" i="18"/>
  <c r="S389" i="18"/>
  <c r="T24" i="18"/>
  <c r="I144" i="25"/>
  <c r="J334" i="25"/>
  <c r="T38" i="18"/>
  <c r="V34" i="18"/>
  <c r="Q500" i="18"/>
  <c r="R443" i="18"/>
  <c r="Q223" i="18"/>
  <c r="S179" i="18"/>
  <c r="V282" i="18"/>
  <c r="Q380" i="18"/>
  <c r="Q388" i="18"/>
  <c r="X161" i="18"/>
  <c r="S126" i="18"/>
  <c r="Q217" i="18"/>
  <c r="V482" i="18"/>
  <c r="T115" i="18"/>
  <c r="U100" i="18"/>
  <c r="J64" i="25"/>
  <c r="I458" i="25"/>
  <c r="S492" i="18"/>
  <c r="S167" i="18"/>
  <c r="T487" i="18"/>
  <c r="I378" i="25"/>
  <c r="W39" i="18"/>
  <c r="Q173" i="18"/>
  <c r="W443" i="18"/>
  <c r="W343" i="18"/>
  <c r="S95" i="18"/>
  <c r="Q13" i="18"/>
  <c r="P437" i="18"/>
  <c r="AD501" i="18"/>
  <c r="N468" i="18"/>
  <c r="AE24" i="18"/>
  <c r="AA312" i="18"/>
  <c r="AA360" i="18"/>
  <c r="AA50" i="18"/>
  <c r="AF368" i="18"/>
  <c r="AF325" i="18"/>
  <c r="O485" i="18"/>
  <c r="P56" i="18"/>
  <c r="P311" i="18"/>
  <c r="AF501" i="18"/>
  <c r="O201" i="18"/>
  <c r="AD233" i="18"/>
  <c r="AA145" i="18"/>
  <c r="O63" i="18"/>
  <c r="O168" i="18"/>
  <c r="P41" i="18"/>
  <c r="O374" i="18"/>
  <c r="N458" i="18"/>
  <c r="AD323" i="18"/>
  <c r="P323" i="18"/>
  <c r="AA237" i="18"/>
  <c r="AA207" i="18"/>
  <c r="AF112" i="18"/>
  <c r="AC72" i="18"/>
  <c r="AC246" i="18"/>
  <c r="AB269" i="18"/>
  <c r="N287" i="18"/>
  <c r="AB444" i="18"/>
  <c r="O67" i="18"/>
  <c r="AB59" i="18"/>
  <c r="P281" i="18"/>
  <c r="P136" i="18"/>
  <c r="N251" i="18"/>
  <c r="AB174" i="18"/>
  <c r="AH174" i="18" s="true"/>
  <c r="AI174" i="18" s="true"/>
  <c r="AD133" i="18"/>
  <c r="N478" i="18"/>
  <c r="AC449" i="18"/>
  <c r="O288" i="18"/>
  <c r="P317" i="18"/>
  <c r="AF120" i="18"/>
  <c r="AA68" i="18"/>
  <c r="P481" i="18"/>
  <c r="AE235" i="18"/>
  <c r="AE469" i="18"/>
  <c r="P160" i="18"/>
  <c r="AA228" i="18"/>
  <c r="P238" i="18"/>
  <c r="AA27" i="18"/>
  <c r="O301" i="18"/>
  <c r="O31" i="18"/>
  <c r="AE387" i="18"/>
  <c r="AC153" i="18"/>
  <c r="AA161" i="18"/>
  <c r="AA220" i="18"/>
  <c r="AA87" i="18"/>
  <c r="N189" i="18"/>
  <c r="AD16" i="18"/>
  <c r="AC157" i="18"/>
  <c r="AF367" i="18"/>
  <c r="O99" i="18"/>
  <c r="AB347" i="18"/>
  <c r="O430" i="18"/>
  <c r="AB464" i="18"/>
  <c r="AH464" i="18" s="true"/>
  <c r="AI464" i="18" s="true"/>
  <c r="O471" i="18"/>
  <c r="P17" i="18"/>
  <c r="AC238" i="18"/>
  <c r="AF475" i="18"/>
  <c r="J272" i="25"/>
  <c r="S52" i="18"/>
  <c r="I326" i="25"/>
  <c r="T30" i="18"/>
  <c r="Y503" i="18"/>
  <c r="T17" i="18"/>
  <c r="U249" i="18"/>
  <c r="X32" i="18"/>
  <c r="Y92" i="18"/>
  <c r="X254" i="18"/>
  <c r="J212" i="25"/>
  <c r="V480" i="18"/>
  <c r="I421" i="25"/>
  <c r="U207" i="18"/>
  <c r="U214" i="18"/>
  <c r="V159" i="18"/>
  <c r="T140" i="18"/>
  <c r="U106" i="18"/>
  <c r="J36" i="25"/>
  <c r="I472" i="25"/>
  <c r="S473" i="18"/>
  <c r="W309" i="18"/>
  <c r="S337" i="18"/>
  <c r="I341" i="25"/>
  <c r="Y505" i="18"/>
  <c r="J333" i="25"/>
  <c r="W138" i="18"/>
  <c r="W400" i="18"/>
  <c r="X155" i="18"/>
  <c r="I232" i="25"/>
  <c r="T493" i="18"/>
  <c r="S243" i="18"/>
  <c r="X355" i="18"/>
  <c r="W122" i="18"/>
  <c r="Q47" i="18"/>
  <c r="W231" i="18"/>
  <c r="R310" i="18"/>
  <c r="Y277" i="18"/>
  <c r="W390" i="18"/>
  <c r="Y331" i="18"/>
  <c r="X278" i="18"/>
  <c r="V60" i="18"/>
  <c r="R94" i="18"/>
  <c r="W36" i="18"/>
  <c r="Y151" i="18"/>
  <c r="J294" i="25"/>
  <c r="J42" i="25"/>
  <c r="W61" i="18"/>
  <c r="U192" i="18"/>
  <c r="X375" i="18"/>
  <c r="I422" i="25"/>
  <c r="S451" i="18"/>
  <c r="U487" i="18"/>
  <c r="T217" i="18"/>
  <c r="V326" i="18"/>
  <c r="X434" i="18"/>
  <c r="X364" i="18"/>
  <c r="W382" i="18"/>
  <c r="Q455" i="18"/>
  <c r="N158" i="18"/>
  <c r="AF47" i="18"/>
  <c r="P269" i="18"/>
  <c r="AE190" i="18"/>
  <c r="O491" i="18"/>
  <c r="O52" i="18"/>
  <c r="AD76" i="18"/>
  <c r="AE246" i="18"/>
  <c r="P42" i="18"/>
  <c r="AD370" i="18"/>
  <c r="AE248" i="18"/>
  <c r="AB58" i="18"/>
  <c r="N498" i="18"/>
  <c r="AD140" i="18"/>
  <c r="P366" i="18"/>
  <c r="AB459" i="18"/>
  <c r="AA52" i="18"/>
  <c r="AA292" i="18"/>
  <c r="O216" i="18"/>
  <c r="AB453" i="18"/>
  <c r="I350" i="25"/>
  <c r="S117" i="18"/>
  <c r="X350" i="18"/>
  <c r="J105" i="25"/>
  <c r="X86" i="18"/>
  <c r="Q326" i="18"/>
  <c r="I322" i="25"/>
  <c r="W31" i="18"/>
  <c r="Y192" i="18"/>
  <c r="U13" i="18"/>
  <c r="I330" i="25"/>
  <c r="J49" i="25"/>
  <c r="I342" i="25"/>
  <c r="V134" i="18"/>
  <c r="S435" i="18"/>
  <c r="J71" i="25"/>
  <c r="R47" i="18"/>
  <c r="I134" i="25"/>
  <c r="V13" i="18"/>
  <c r="X180" i="18"/>
  <c r="X188" i="18"/>
  <c r="U416" i="18"/>
  <c r="X111" i="18"/>
  <c r="U182" i="18"/>
  <c r="I236" i="25"/>
  <c r="V49" i="18"/>
  <c r="I153" i="25"/>
  <c r="I156" i="25"/>
  <c r="X468" i="18"/>
  <c r="X245" i="18"/>
  <c r="I52" i="25"/>
  <c r="R321" i="18"/>
  <c r="Y160" i="18"/>
  <c r="J17" i="25"/>
  <c r="I267" i="25"/>
  <c r="I396" i="25"/>
  <c r="R284" i="18"/>
  <c r="W85" i="18"/>
  <c r="J382" i="25"/>
  <c r="U335" i="18"/>
  <c r="S107" i="18"/>
  <c r="X381" i="18"/>
  <c r="I317" i="25"/>
  <c r="T270" i="18"/>
  <c r="U291" i="18"/>
  <c r="R19" i="18"/>
  <c r="W482" i="18"/>
  <c r="R303" i="18"/>
  <c r="J359" i="25"/>
  <c r="R155" i="18"/>
  <c r="S101" i="18"/>
  <c r="V129" i="18"/>
  <c r="Y80" i="18"/>
  <c r="W270" i="18"/>
  <c r="U499" i="18"/>
  <c r="X506" i="18"/>
  <c r="Y110" i="18"/>
  <c r="AE336" i="18"/>
  <c r="N452" i="18"/>
  <c r="N410" i="18"/>
  <c r="AF210" i="18"/>
  <c r="P466" i="18"/>
  <c r="AD212" i="18"/>
  <c r="P305" i="18"/>
  <c r="O115" i="18"/>
  <c r="O453" i="18"/>
  <c r="O351" i="18"/>
  <c r="AE122" i="18"/>
  <c r="N398" i="18"/>
  <c r="O79" i="18"/>
  <c r="AA136" i="18"/>
  <c r="AE392" i="18"/>
  <c r="AB263" i="18"/>
  <c r="P9" i="18"/>
  <c r="AA349" i="18"/>
  <c r="AA167" i="18"/>
  <c r="N412" i="18"/>
  <c r="AB352" i="18"/>
  <c r="AB117" i="18"/>
  <c r="AE86" i="18"/>
  <c r="AH86" i="18" s="true"/>
  <c r="AI86" i="18" s="true"/>
  <c r="AD192" i="18"/>
  <c r="AF476" i="18"/>
  <c r="O293" i="18"/>
  <c r="AC184" i="18"/>
  <c r="AD223" i="18"/>
  <c r="AE49" i="18"/>
  <c r="AF73" i="18"/>
  <c r="AC267" i="18"/>
  <c r="AC83" i="18"/>
  <c r="AA399" i="18"/>
  <c r="AA234" i="18"/>
  <c r="AE12" i="18"/>
  <c r="N344" i="18"/>
  <c r="AD266" i="18"/>
  <c r="AE500" i="18"/>
  <c r="O262" i="18"/>
  <c r="P50" i="18"/>
  <c r="AD224" i="18"/>
  <c r="AD60" i="18"/>
  <c r="AA116" i="18"/>
  <c r="AF443" i="18"/>
  <c r="AE129" i="18"/>
  <c r="AE461" i="18"/>
  <c r="AC154" i="18"/>
  <c r="AB200" i="18"/>
  <c r="AC417" i="18"/>
  <c r="AD407" i="18"/>
  <c r="P250" i="18"/>
  <c r="O402" i="18"/>
  <c r="AE293" i="18"/>
  <c r="AD477" i="18"/>
  <c r="AC178" i="18"/>
  <c r="AB136" i="18"/>
  <c r="AF159" i="18"/>
  <c r="AB482" i="18"/>
  <c r="P126" i="18"/>
  <c r="AE375" i="18"/>
  <c r="AH375" i="18" s="true"/>
  <c r="AI375" i="18" s="true"/>
  <c r="AA213" i="18"/>
  <c r="P116" i="18"/>
  <c r="N80" i="18"/>
  <c r="AF54" i="18"/>
  <c r="AE170" i="18"/>
  <c r="AA54" i="18"/>
  <c r="AC323" i="18"/>
  <c r="AC11" i="18"/>
  <c r="O385" i="18"/>
  <c r="AC207" i="18"/>
  <c r="P315" i="18"/>
  <c r="P260" i="18"/>
  <c r="AA105" i="18"/>
  <c r="AD338" i="18"/>
  <c r="AD144" i="18"/>
  <c r="P446" i="18"/>
  <c r="AE53" i="18"/>
  <c r="AD389" i="18"/>
  <c r="AF386" i="18"/>
  <c r="AD161" i="18"/>
  <c r="N439" i="18"/>
  <c r="N188" i="18"/>
  <c r="AF369" i="18"/>
  <c r="AD395" i="18"/>
  <c r="AF505" i="18"/>
  <c r="AB467" i="18"/>
  <c r="AA246" i="18"/>
  <c r="AD280" i="18"/>
  <c r="AD123" i="18"/>
  <c r="AE432" i="18"/>
  <c r="AH432" i="18" s="true"/>
  <c r="AI432" i="18" s="true"/>
  <c r="N400" i="18"/>
  <c r="AB415" i="18"/>
  <c r="P288" i="18"/>
  <c r="O280" i="18"/>
  <c r="P368" i="18"/>
  <c r="N144" i="18"/>
  <c r="AC187" i="18"/>
  <c r="N453" i="18"/>
  <c r="N404" i="18"/>
  <c r="O238" i="18"/>
  <c r="S110" i="18"/>
  <c r="T337" i="18"/>
  <c r="U486" i="18"/>
  <c r="V472" i="18"/>
  <c r="S112" i="18"/>
  <c r="Q304" i="18"/>
  <c r="J100" i="25"/>
  <c r="X372" i="18"/>
  <c r="R133" i="18"/>
  <c r="V257" i="18"/>
  <c r="J401" i="25"/>
  <c r="J90" i="25"/>
  <c r="I141" i="25"/>
  <c r="I189" i="25"/>
  <c r="V412" i="18"/>
  <c r="J237" i="25"/>
  <c r="T26" i="18"/>
  <c r="S187" i="18"/>
  <c r="W481" i="18"/>
  <c r="Q82" i="18"/>
  <c r="X315" i="18"/>
  <c r="U285" i="18"/>
  <c r="W100" i="18"/>
  <c r="W146" i="18"/>
  <c r="I47" i="25"/>
  <c r="V132" i="18"/>
  <c r="W458" i="18"/>
  <c r="X126" i="18"/>
  <c r="Q57" i="18"/>
  <c r="S121" i="18"/>
  <c r="J5" i="25"/>
  <c r="T12" i="18"/>
  <c r="J432" i="25"/>
  <c r="I66" i="25"/>
  <c r="U44" i="18"/>
  <c r="J404" i="25"/>
  <c r="U324" i="18"/>
  <c r="V187" i="18"/>
  <c r="J239" i="25"/>
  <c r="V113" i="18"/>
  <c r="Y297" i="18"/>
  <c r="Q11" i="18"/>
  <c r="J478" i="25"/>
  <c r="S411" i="18"/>
  <c r="Y478" i="18"/>
  <c r="Y456" i="18"/>
  <c r="Q15" i="18"/>
  <c r="U342" i="18"/>
  <c r="I82" i="25"/>
  <c r="X138" i="18"/>
  <c r="R89" i="18"/>
  <c r="Y27" i="18"/>
  <c r="V427" i="18"/>
  <c r="V86" i="18"/>
  <c r="U472" i="18"/>
  <c r="X181" i="18"/>
  <c r="T231" i="18"/>
  <c r="W280" i="18"/>
  <c r="T218" i="18"/>
  <c r="I172" i="25"/>
  <c r="X432" i="18"/>
  <c r="V145" i="18"/>
  <c r="I187" i="25"/>
  <c r="V457" i="18"/>
  <c r="Y93" i="18"/>
  <c r="U476" i="18"/>
  <c r="I492" i="25"/>
  <c r="Q245" i="18"/>
  <c r="V319" i="18"/>
  <c r="I301" i="25"/>
  <c r="X107" i="18"/>
  <c r="X31" i="18"/>
  <c r="Q255" i="18"/>
  <c r="R417" i="18"/>
  <c r="T56" i="18"/>
  <c r="Q276" i="18"/>
  <c r="Y313" i="18"/>
  <c r="W363" i="18"/>
  <c r="Q350" i="18"/>
  <c r="I282" i="25"/>
  <c r="Y253" i="18"/>
  <c r="T462" i="18"/>
  <c r="J498" i="25"/>
  <c r="Y365" i="18"/>
  <c r="Q134" i="18"/>
  <c r="R373" i="18"/>
  <c r="I445" i="25"/>
  <c r="U224" i="18"/>
  <c r="J38" i="25"/>
  <c r="J391" i="25"/>
  <c r="I164" i="25"/>
  <c r="J62" i="25"/>
  <c r="I231" i="25"/>
  <c r="X167" i="18"/>
  <c r="R127" i="18"/>
  <c r="S222" i="18"/>
  <c r="J161" i="25"/>
  <c r="J279" i="25"/>
  <c r="W32" i="18"/>
  <c r="I30" i="25"/>
  <c r="Y454" i="18"/>
  <c r="Y495" i="18"/>
  <c r="X226" i="18"/>
  <c r="S408" i="18"/>
  <c r="R53" i="18"/>
  <c r="R360" i="18"/>
  <c r="X395" i="18"/>
  <c r="R132" i="18"/>
  <c r="X282" i="18"/>
  <c r="S429" i="18"/>
  <c r="Q247" i="18"/>
  <c r="Q370" i="18"/>
  <c r="X258" i="18"/>
  <c r="O42" i="18"/>
  <c r="AC221" i="18"/>
  <c r="AA453" i="18"/>
  <c r="AD502" i="18"/>
  <c r="AC465" i="18"/>
  <c r="AF432" i="18"/>
  <c r="AC241" i="18"/>
  <c r="N395" i="18"/>
  <c r="O160" i="18"/>
  <c r="AC47" i="18"/>
  <c r="AF60" i="18"/>
  <c r="AC62" i="18"/>
  <c r="AC251" i="18"/>
  <c r="N258" i="18"/>
  <c r="AD83" i="18"/>
  <c r="N273" i="18"/>
  <c r="AF292" i="18"/>
  <c r="P125" i="18"/>
  <c r="N120" i="18"/>
  <c r="AF283" i="18"/>
  <c r="N35" i="18"/>
  <c r="AE222" i="18"/>
  <c r="O284" i="18"/>
  <c r="AA330" i="18"/>
  <c r="AC111" i="18"/>
  <c r="N174" i="18"/>
  <c r="AB397" i="18"/>
  <c r="AH397" i="18" s="true"/>
  <c r="AI397" i="18" s="true"/>
  <c r="P214" i="18"/>
  <c r="AD403" i="18"/>
  <c r="N393" i="18"/>
  <c r="P427" i="18"/>
  <c r="N252" i="18"/>
  <c r="P353" i="18"/>
  <c r="P326" i="18"/>
  <c r="AB428" i="18"/>
  <c r="AH428" i="18" s="true"/>
  <c r="AI428" i="18" s="true"/>
  <c r="AA19" i="18"/>
  <c r="N74" i="18"/>
  <c r="P348" i="18"/>
  <c r="P162" i="18"/>
  <c r="N373" i="18"/>
  <c r="O213" i="18"/>
  <c r="AE206" i="18"/>
  <c r="AD240" i="18"/>
  <c r="N101" i="18"/>
  <c r="AB77" i="18"/>
  <c r="AH77" i="18" s="true"/>
  <c r="AI77" i="18" s="true"/>
  <c r="AA276" i="18"/>
  <c r="O434" i="18"/>
  <c r="AE125" i="18"/>
  <c r="O97" i="18"/>
  <c r="AD310" i="18"/>
  <c r="AC415" i="18"/>
  <c r="P57" i="18"/>
  <c r="O111" i="18"/>
  <c r="P485" i="18"/>
  <c r="AE200" i="18"/>
  <c r="O466" i="18"/>
  <c r="AA203" i="18"/>
  <c r="AC214" i="18"/>
  <c r="AD450" i="18"/>
  <c r="N68" i="18"/>
  <c r="AD404" i="18"/>
  <c r="AE69" i="18"/>
  <c r="AD326" i="18"/>
  <c r="N244" i="18"/>
  <c r="N316" i="18"/>
  <c r="P176" i="18"/>
  <c r="AF213" i="18"/>
  <c r="AF68" i="18"/>
  <c r="N102" i="18"/>
  <c r="O123" i="18"/>
  <c r="P13" i="18"/>
  <c r="AD239" i="18"/>
  <c r="AA60" i="18"/>
  <c r="O267" i="18"/>
  <c r="AE50" i="18"/>
  <c r="AA259" i="18"/>
  <c r="O69" i="18"/>
  <c r="AE75" i="18"/>
  <c r="O58" i="18"/>
  <c r="P143" i="18"/>
  <c r="AC294" i="18"/>
  <c r="AC306" i="18"/>
  <c r="AF91" i="18"/>
  <c r="AC321" i="18"/>
  <c r="N484" i="18"/>
  <c r="AC492" i="18"/>
  <c r="N332" i="18"/>
  <c r="AE482" i="18"/>
  <c r="AF405" i="18"/>
  <c r="AD52" i="18"/>
  <c r="O163" i="18"/>
  <c r="AF143" i="18"/>
  <c r="AE136" i="18"/>
  <c r="AA18" i="18"/>
  <c r="AC82" i="18"/>
  <c r="AD11" i="18"/>
  <c r="AF249" i="18"/>
  <c r="P211" i="18"/>
  <c r="AA89" i="18"/>
  <c r="AE297" i="18"/>
  <c r="AE10" i="18"/>
  <c r="AF154" i="18"/>
  <c r="R235" i="18"/>
  <c r="W65" i="18"/>
  <c r="W142" i="18"/>
  <c r="J151" i="25"/>
  <c r="U307" i="18"/>
  <c r="S162" i="18"/>
  <c r="I431" i="25"/>
  <c r="V25" i="18"/>
  <c r="J483" i="25"/>
  <c r="J148" i="25"/>
  <c r="I464" i="25"/>
  <c r="J253" i="25"/>
  <c r="I278" i="25"/>
  <c r="I438" i="25"/>
  <c r="S20" i="18"/>
  <c r="Q339" i="18"/>
  <c r="U116" i="18"/>
  <c r="T447" i="18"/>
  <c r="T253" i="18"/>
  <c r="W451" i="18"/>
  <c r="X52" i="18"/>
  <c r="R392" i="18"/>
  <c r="V180" i="18"/>
  <c r="J186" i="25"/>
  <c r="X146" i="18"/>
  <c r="X436" i="18"/>
  <c r="J425" i="25"/>
  <c r="T365" i="18"/>
  <c r="Q358" i="18"/>
  <c r="U153" i="18"/>
  <c r="I35" i="25"/>
  <c r="R496" i="18"/>
  <c r="S64" i="18"/>
  <c r="J229" i="25"/>
  <c r="I361" i="25"/>
  <c r="J249" i="25"/>
  <c r="I360" i="25"/>
  <c r="U132" i="18"/>
  <c r="U238" i="18"/>
  <c r="V399" i="18"/>
  <c r="J182" i="25"/>
  <c r="I54" i="25"/>
  <c r="W219" i="18"/>
  <c r="J131" i="25"/>
  <c r="Q392" i="18"/>
  <c r="T397" i="18"/>
  <c r="R182" i="18"/>
  <c r="V32" i="18"/>
  <c r="R34" i="18"/>
  <c r="V117" i="18"/>
  <c r="R196" i="18"/>
  <c r="S472" i="18"/>
  <c r="Y42" i="18"/>
  <c r="Q265" i="18"/>
  <c r="X318" i="18"/>
  <c r="S465" i="18"/>
  <c r="X409" i="18"/>
  <c r="P200" i="18"/>
  <c r="P494" i="18"/>
  <c r="AF361" i="18"/>
  <c r="AF313" i="18"/>
  <c r="AA264" i="18"/>
  <c r="O64" i="18"/>
  <c r="AE452" i="18"/>
  <c r="N346" i="18"/>
  <c r="AF399" i="18"/>
  <c r="O14" i="18"/>
  <c r="AC215" i="18"/>
  <c r="AC166" i="18"/>
  <c r="P498" i="18"/>
  <c r="AB399" i="18"/>
  <c r="AC308" i="18"/>
  <c r="O439" i="18"/>
  <c r="AD457" i="18"/>
  <c r="AF83" i="18"/>
  <c r="AD438" i="18"/>
  <c r="AF123" i="18"/>
  <c r="AB91" i="18"/>
  <c r="AF310" i="18"/>
  <c r="AA347" i="18"/>
  <c r="AD481" i="18"/>
  <c r="AF427" i="18"/>
  <c r="AC484" i="18"/>
  <c r="AB68" i="18"/>
  <c r="AE434" i="18"/>
  <c r="AF353" i="18"/>
  <c r="AC225" i="18"/>
  <c r="AB81" i="18"/>
  <c r="AB113" i="18"/>
  <c r="O475" i="18"/>
  <c r="O312" i="18"/>
  <c r="AF137" i="18"/>
  <c r="O418" i="18"/>
  <c r="AF458" i="18"/>
  <c r="P310" i="18"/>
  <c r="O458" i="18"/>
  <c r="AC16" i="18"/>
  <c r="AE77" i="18"/>
  <c r="AD433" i="18"/>
  <c r="N342" i="18"/>
  <c r="AD10" i="18"/>
  <c r="P137" i="18"/>
  <c r="AE47" i="18"/>
  <c r="N341" i="18"/>
  <c r="N471" i="18"/>
  <c r="AF425" i="18"/>
  <c r="AE319" i="18"/>
  <c r="AH319" i="18" s="true"/>
  <c r="AI319" i="18" s="true"/>
  <c r="AC222" i="18"/>
  <c r="AC76" i="18"/>
  <c r="N485" i="18"/>
  <c r="AF375" i="18"/>
  <c r="AD74" i="18"/>
  <c r="O504" i="18"/>
  <c r="N103" i="18"/>
  <c r="AC188" i="18"/>
  <c r="AF439" i="18"/>
  <c r="AD90" i="18"/>
  <c r="O298" i="18"/>
  <c r="O98" i="18"/>
  <c r="AB235" i="18"/>
  <c r="O416" i="18"/>
  <c r="AF14" i="18"/>
  <c r="O43" i="18"/>
  <c r="AD242" i="18"/>
  <c r="N322" i="18"/>
  <c r="AD13" i="18"/>
  <c r="O242" i="18"/>
  <c r="AF268" i="18"/>
  <c r="P175" i="18"/>
  <c r="AE87" i="18"/>
  <c r="AE428" i="18"/>
  <c r="AC374" i="18"/>
  <c r="AF464" i="18"/>
  <c r="P209" i="18"/>
  <c r="AF385" i="18"/>
  <c r="AA170" i="18"/>
  <c r="N222" i="18"/>
  <c r="AC284" i="18"/>
  <c r="AF335" i="18"/>
  <c r="AF75" i="18"/>
  <c r="AE480" i="18"/>
  <c r="AD18" i="18"/>
  <c r="P159" i="18"/>
  <c r="N263" i="18"/>
  <c r="AA415" i="18"/>
  <c r="AA505" i="18"/>
  <c r="AC54" i="18"/>
  <c r="AD258" i="18"/>
  <c r="N309" i="18"/>
  <c r="AF152" i="18"/>
  <c r="P447" i="18"/>
  <c r="N235" i="18"/>
  <c r="N469" i="18"/>
  <c r="O395" i="18"/>
  <c r="AD348" i="18"/>
  <c r="P193" i="18"/>
  <c r="AB29" i="18"/>
  <c r="AD166" i="18"/>
  <c r="AC503" i="18"/>
  <c r="AD151" i="18"/>
  <c r="N296" i="18"/>
  <c r="AB437" i="18"/>
  <c r="P203" i="18"/>
  <c r="AD469" i="18"/>
  <c r="S494" i="18"/>
  <c r="Y73" i="18"/>
  <c r="W313" i="18"/>
  <c r="J40" i="25"/>
  <c r="U387" i="18"/>
  <c r="S432" i="18"/>
  <c r="Y246" i="18"/>
  <c r="I73" i="25"/>
  <c r="T402" i="18"/>
  <c r="S205" i="18"/>
  <c r="J435" i="25"/>
  <c r="I107" i="25"/>
  <c r="Y79" i="18"/>
  <c r="J486" i="25"/>
  <c r="Q174" i="18"/>
  <c r="V204" i="18"/>
  <c r="Y492" i="18"/>
  <c r="S59" i="18"/>
  <c r="X7" i="18"/>
  <c r="Q249" i="18"/>
  <c r="X173" i="18"/>
  <c r="Y242" i="18"/>
  <c r="Q421" i="18"/>
  <c r="I440" i="25"/>
  <c r="S223" i="18"/>
  <c r="X73" i="18"/>
  <c r="I224" i="25"/>
  <c r="J133" i="25"/>
  <c r="R145" i="18"/>
  <c r="U180" i="18"/>
  <c r="I4" i="25"/>
  <c r="V169" i="18"/>
  <c r="X475" i="18"/>
  <c r="J176" i="25"/>
  <c r="I281" i="25"/>
  <c r="I295" i="25"/>
  <c r="I145" i="25"/>
  <c r="W180" i="18"/>
  <c r="T147" i="18"/>
  <c r="W17" i="18"/>
  <c r="J420" i="25"/>
  <c r="J162" i="25"/>
  <c r="S285" i="18"/>
  <c r="T466" i="18"/>
  <c r="U428" i="18"/>
  <c r="V183" i="18"/>
  <c r="R234" i="18"/>
  <c r="Q399" i="18"/>
  <c r="S332" i="18"/>
  <c r="W41" i="18"/>
  <c r="X41" i="18"/>
  <c r="X363" i="18"/>
  <c r="R228" i="18"/>
  <c r="U447" i="18"/>
  <c r="Y290" i="18"/>
  <c r="Y35" i="18"/>
  <c r="R295" i="18"/>
  <c r="I154" i="25"/>
  <c r="T376" i="18"/>
  <c r="J158" i="25"/>
  <c r="R396" i="18"/>
  <c r="J170" i="25"/>
  <c r="X240" i="18"/>
  <c r="Q442" i="18"/>
  <c r="X159" i="18"/>
  <c r="S185" i="18"/>
  <c r="U272" i="18"/>
  <c r="S425" i="18"/>
  <c r="X493" i="18"/>
  <c r="J193" i="25"/>
  <c r="U107" i="18"/>
  <c r="J343" i="25"/>
  <c r="W119" i="18"/>
  <c r="Y120" i="18"/>
  <c r="V374" i="18"/>
  <c r="Y134" i="18"/>
  <c r="U124" i="18"/>
  <c r="V294" i="18"/>
  <c r="X369" i="18"/>
  <c r="T127" i="18"/>
  <c r="S157" i="18"/>
  <c r="U163" i="18"/>
  <c r="U443" i="18"/>
  <c r="R120" i="18"/>
  <c r="R358" i="18"/>
  <c r="Q298" i="18"/>
  <c r="Y391" i="18"/>
  <c r="Q289" i="18"/>
  <c r="J308" i="25"/>
  <c r="Q313" i="18"/>
  <c r="R215" i="18"/>
  <c r="W50" i="18"/>
  <c r="S485" i="18"/>
  <c r="R327" i="18"/>
  <c r="Y383" i="18"/>
  <c r="Y169" i="18"/>
  <c r="T141" i="18"/>
  <c r="T485" i="18"/>
  <c r="R426" i="18"/>
  <c r="Y118" i="18"/>
  <c r="Y342" i="18"/>
  <c r="X67" i="18"/>
  <c r="U40" i="18"/>
  <c r="U154" i="18"/>
  <c r="V216" i="18"/>
  <c r="Y19" i="18"/>
  <c r="AD201" i="18"/>
  <c r="AB126" i="18"/>
  <c r="AH126" i="18" s="true"/>
  <c r="AI126" i="18" s="true"/>
  <c r="AF479" i="18"/>
  <c r="AB447" i="18"/>
  <c r="AC197" i="18"/>
  <c r="AA470" i="18"/>
  <c r="N250" i="18"/>
  <c r="AE130" i="18"/>
  <c r="AB439" i="18"/>
  <c r="P196" i="18"/>
  <c r="P300" i="18"/>
  <c r="AB79" i="18"/>
  <c r="AF45" i="18"/>
  <c r="AF300" i="18"/>
  <c r="AA407" i="18"/>
  <c r="AB218" i="18"/>
  <c r="AH218" i="18" s="true"/>
  <c r="AI218" i="18" s="true"/>
  <c r="AB466" i="18"/>
  <c r="AH466" i="18" s="true"/>
  <c r="AI466" i="18" s="true"/>
  <c r="AE326" i="18"/>
  <c r="AE407" i="18"/>
  <c r="N157" i="18"/>
  <c r="AC18" i="18"/>
  <c r="O404" i="18"/>
  <c r="AB474" i="18"/>
  <c r="AE56" i="18"/>
  <c r="AE178" i="18"/>
  <c r="AB380" i="18"/>
  <c r="AH380" i="18" s="true"/>
  <c r="AI380" i="18" s="true"/>
  <c r="AE317" i="18"/>
  <c r="AH317" i="18" s="true"/>
  <c r="AI317" i="18" s="true"/>
  <c r="AA490" i="18"/>
  <c r="AC287" i="18"/>
  <c r="AB308" i="18"/>
  <c r="AC344" i="18"/>
  <c r="AB286" i="18"/>
  <c r="AH286" i="18" s="true"/>
  <c r="AI286" i="18" s="true"/>
  <c r="AD349" i="18"/>
  <c r="N432" i="18"/>
  <c r="AD100" i="18"/>
  <c r="AB69" i="18"/>
  <c r="P296" i="18"/>
  <c r="AD170" i="18"/>
  <c r="AE207" i="18"/>
  <c r="AF141" i="18"/>
  <c r="O399" i="18"/>
  <c r="AB452" i="18"/>
  <c r="O210" i="18"/>
  <c r="AB185" i="18"/>
  <c r="AD414" i="18"/>
  <c r="P372" i="18"/>
  <c r="AD80" i="18"/>
  <c r="N253" i="18"/>
  <c r="N499" i="18"/>
  <c r="O348" i="18"/>
  <c r="N219" i="18"/>
  <c r="O74" i="18"/>
  <c r="AF320" i="18"/>
  <c r="P92" i="18"/>
  <c r="AA187" i="18"/>
  <c r="AF216" i="18"/>
  <c r="AA358" i="18"/>
  <c r="AE34" i="18"/>
  <c r="O506" i="18"/>
  <c r="AC397" i="18"/>
  <c r="AE379" i="18"/>
  <c r="AH379" i="18" s="true"/>
  <c r="AI379" i="18" s="true"/>
  <c r="AB66" i="18"/>
  <c r="AH66" i="18" s="true"/>
  <c r="AI66" i="18" s="true"/>
  <c r="AB341" i="18"/>
  <c r="AA359" i="18"/>
  <c r="AB374" i="18"/>
  <c r="O240" i="18"/>
  <c r="AB47" i="18"/>
  <c r="P452" i="18"/>
  <c r="AB242" i="18"/>
  <c r="P177" i="18"/>
  <c r="P365" i="18"/>
  <c r="N170" i="18"/>
  <c r="AF267" i="18"/>
  <c r="AE13" i="18"/>
  <c r="AA177" i="18"/>
  <c r="AF20" i="18"/>
  <c r="AF92" i="18"/>
  <c r="N401" i="18"/>
  <c r="AD306" i="18"/>
  <c r="AA134" i="18"/>
  <c r="AC258" i="18"/>
  <c r="P94" i="18"/>
  <c r="AB357" i="18"/>
  <c r="AH357" i="18" s="true"/>
  <c r="AI357" i="18" s="true"/>
  <c r="P133" i="18"/>
  <c r="AB30" i="18"/>
  <c r="AE404" i="18"/>
  <c r="AF236" i="18"/>
  <c r="P384" i="18"/>
  <c r="P341" i="18"/>
  <c r="AB238" i="18"/>
  <c r="O180" i="18"/>
  <c r="AE142" i="18"/>
  <c r="AB197" i="18"/>
  <c r="AF355" i="18"/>
  <c r="N85" i="18"/>
  <c r="AB268" i="18"/>
  <c r="AB255" i="18"/>
  <c r="AE22" i="18"/>
  <c r="AE191" i="18"/>
  <c r="O355" i="18"/>
  <c r="P497" i="18"/>
  <c r="AF33" i="18"/>
  <c r="AC407" i="18"/>
  <c r="AA457" i="18"/>
  <c r="AD413" i="18"/>
  <c r="AA266" i="18"/>
  <c r="AA96" i="18"/>
  <c r="AC116" i="18"/>
  <c r="AB186" i="18"/>
  <c r="AH186" i="18" s="true"/>
  <c r="AI186" i="18" s="true"/>
  <c r="N450" i="18"/>
  <c r="AC147" i="18"/>
  <c r="P30" i="18"/>
  <c r="P204" i="18"/>
  <c r="AE448" i="18"/>
  <c r="AH448" i="18" s="true"/>
  <c r="AI448" i="18" s="true"/>
  <c r="AE146" i="18"/>
  <c r="AF238" i="18"/>
  <c r="AD237" i="18"/>
  <c r="AA67" i="18"/>
  <c r="AF225" i="18"/>
  <c r="AB82" i="18"/>
  <c r="AC408" i="18"/>
  <c r="AF409" i="18"/>
  <c r="AA379" i="18"/>
  <c r="AA80" i="18"/>
  <c r="AD49" i="18"/>
  <c r="AA469" i="18"/>
  <c r="AA502" i="18"/>
  <c r="N276" i="18"/>
  <c r="AD120" i="18"/>
  <c r="P294" i="18"/>
  <c r="AC19" i="18"/>
  <c r="AE40" i="18"/>
  <c r="P306" i="18"/>
  <c r="P227" i="18"/>
  <c r="AC410" i="18"/>
  <c r="AC339" i="18"/>
  <c r="AE48" i="18"/>
  <c r="AF223" i="18"/>
  <c r="AA111" i="18"/>
  <c r="I210" i="25"/>
  <c r="Y287" i="18"/>
  <c r="T350" i="18"/>
  <c r="R40" i="18"/>
  <c r="Y368" i="18"/>
  <c r="J255" i="25"/>
  <c r="X401" i="18"/>
  <c r="J137" i="25"/>
  <c r="W238" i="18"/>
  <c r="J300" i="25"/>
  <c r="W357" i="18"/>
  <c r="Q404" i="18"/>
  <c r="Q181" i="18"/>
  <c r="Y117" i="18"/>
  <c r="U423" i="18"/>
  <c r="W502" i="18"/>
  <c r="J175" i="25"/>
  <c r="R197" i="18"/>
  <c r="S133" i="18"/>
  <c r="U145" i="18"/>
  <c r="Y127" i="18"/>
  <c r="Y461" i="18"/>
  <c r="T305" i="18"/>
  <c r="Q314" i="18"/>
  <c r="Q218" i="18"/>
  <c r="J473" i="25"/>
  <c r="S221" i="18"/>
  <c r="I441" i="25"/>
  <c r="R88" i="18"/>
  <c r="Q420" i="18"/>
  <c r="Q335" i="18"/>
  <c r="Q256" i="18"/>
  <c r="J481" i="25"/>
  <c r="J179" i="25"/>
  <c r="V502" i="18"/>
  <c r="V473" i="18"/>
  <c r="Q127" i="18"/>
  <c r="I92" i="25"/>
  <c r="X104" i="18"/>
  <c r="V229" i="18"/>
  <c r="X379" i="18"/>
  <c r="T105" i="18"/>
  <c r="I252" i="25"/>
  <c r="T280" i="18"/>
  <c r="J263" i="25"/>
  <c r="R436" i="18"/>
  <c r="I168" i="25"/>
  <c r="V493" i="18"/>
  <c r="J152" i="25"/>
  <c r="X464" i="18"/>
  <c r="Q146" i="18"/>
  <c r="W308" i="18"/>
  <c r="U151" i="18"/>
  <c r="V101" i="18"/>
  <c r="W438" i="18"/>
  <c r="V355" i="18"/>
  <c r="V421" i="18"/>
  <c r="Y166" i="18"/>
  <c r="I369" i="25"/>
  <c r="R230" i="18"/>
  <c r="I242" i="25"/>
  <c r="Y133" i="18"/>
  <c r="I306" i="25"/>
  <c r="U34" i="18"/>
  <c r="T506" i="18"/>
  <c r="S364" i="18"/>
  <c r="Y400" i="18"/>
  <c r="S85" i="18"/>
  <c r="R372" i="18"/>
  <c r="S254" i="18"/>
  <c r="S297" i="18"/>
  <c r="Y448" i="18"/>
  <c r="S478" i="18"/>
  <c r="S501" i="18"/>
  <c r="S125" i="18"/>
  <c r="W419" i="18"/>
  <c r="T21" i="18"/>
  <c r="J60" i="25"/>
  <c r="U435" i="18"/>
  <c r="R198" i="18"/>
  <c r="S491" i="18"/>
  <c r="U23" i="18"/>
  <c r="Y149" i="18"/>
  <c r="S428" i="18"/>
  <c r="Q424" i="18"/>
  <c r="Y423" i="18"/>
  <c r="W23" i="18"/>
  <c r="W423" i="18"/>
  <c r="X356" i="18"/>
  <c r="Y176" i="18"/>
  <c r="W378" i="18"/>
  <c r="V415" i="18"/>
  <c r="T502" i="18"/>
  <c r="R311" i="18"/>
  <c r="W281" i="18"/>
  <c r="Y367" i="18"/>
  <c r="V369" i="18"/>
  <c r="Y487" i="18"/>
  <c r="J439" i="25"/>
  <c r="V48" i="18"/>
  <c r="I229" i="25"/>
  <c r="I108" i="25"/>
  <c r="X53" i="18"/>
  <c r="Y146" i="18"/>
  <c r="U161" i="18"/>
  <c r="J262" i="25"/>
  <c r="U356" i="18"/>
  <c r="X291" i="18"/>
  <c r="U148" i="18"/>
  <c r="U246" i="18"/>
  <c r="R20" i="18"/>
  <c r="X276" i="18"/>
  <c r="I72" i="25"/>
  <c r="T123" i="18"/>
  <c r="J169" i="25"/>
  <c r="X451" i="18"/>
  <c r="I434" i="25"/>
  <c r="U453" i="18"/>
  <c r="V51" i="18"/>
  <c r="X55" i="18"/>
  <c r="I355" i="25"/>
  <c r="Y239" i="18"/>
  <c r="R342" i="18"/>
  <c r="S190" i="18"/>
  <c r="Q186" i="18"/>
  <c r="V288" i="18"/>
  <c r="R375" i="18"/>
  <c r="V192" i="18"/>
  <c r="Q157" i="18"/>
  <c r="T422" i="18"/>
  <c r="T293" i="18"/>
  <c r="V251" i="18"/>
  <c r="W395" i="18"/>
  <c r="W205" i="18"/>
  <c r="Y221" i="18"/>
  <c r="X474" i="18"/>
  <c r="R74" i="18"/>
  <c r="Y484" i="18"/>
  <c r="V435" i="18"/>
  <c r="Q416" i="18"/>
  <c r="R200" i="18"/>
  <c r="W387" i="18"/>
  <c r="S131" i="18"/>
  <c r="T481" i="18"/>
  <c r="X143" i="18"/>
  <c r="V22" i="18"/>
  <c r="R415" i="18"/>
  <c r="U31" i="18"/>
  <c r="Q104" i="18"/>
  <c r="W467" i="18"/>
  <c r="V337" i="18"/>
  <c r="W409" i="18"/>
  <c r="U81" i="18"/>
  <c r="S191" i="18"/>
  <c r="W379" i="18"/>
  <c r="U186" i="18"/>
  <c r="Q387" i="18"/>
  <c r="Q78" i="18"/>
  <c r="Y130" i="18"/>
  <c r="V325" i="18"/>
  <c r="Q454" i="18"/>
  <c r="S156" i="18"/>
  <c r="X305" i="18"/>
  <c r="Y397" i="18"/>
  <c r="Y466" i="18"/>
  <c r="U425" i="18"/>
  <c r="U326" i="18"/>
  <c r="W506" i="18"/>
  <c r="S217" i="18"/>
  <c r="I132" i="25"/>
  <c r="X501" i="18"/>
  <c r="Y223" i="18"/>
  <c r="W346" i="18"/>
  <c r="R82" i="18"/>
  <c r="I324" i="25"/>
  <c r="I376" i="25"/>
  <c r="S66" i="18"/>
  <c r="W350" i="18"/>
  <c r="V470" i="18"/>
  <c r="J316" i="25"/>
  <c r="U158" i="18"/>
  <c r="I79" i="25"/>
  <c r="T371" i="18"/>
  <c r="X251" i="18"/>
  <c r="S192" i="18"/>
  <c r="Y98" i="18"/>
  <c r="Q333" i="18"/>
  <c r="R294" i="18"/>
  <c r="T130" i="18"/>
  <c r="U418" i="18"/>
  <c r="I209" i="25"/>
  <c r="U98" i="18"/>
  <c r="I484" i="25"/>
  <c r="V321" i="18"/>
  <c r="I113" i="25"/>
  <c r="X352" i="18"/>
  <c r="S347" i="18"/>
  <c r="V71" i="18"/>
  <c r="R174" i="18"/>
  <c r="X34" i="18"/>
  <c r="T389" i="18"/>
  <c r="T469" i="18"/>
  <c r="V393" i="18"/>
  <c r="W440" i="18"/>
  <c r="Y41" i="18"/>
  <c r="R299" i="18"/>
  <c r="X80" i="18"/>
  <c r="S25" i="18"/>
  <c r="Y308" i="18"/>
  <c r="V384" i="18"/>
  <c r="I275" i="25"/>
  <c r="R151" i="18"/>
  <c r="Q504" i="18"/>
  <c r="S370" i="18"/>
  <c r="R92" i="18"/>
  <c r="Q332" i="18"/>
  <c r="Y402" i="18"/>
  <c r="X152" i="18"/>
  <c r="U29" i="18"/>
  <c r="W434" i="18"/>
  <c r="T75" i="18"/>
  <c r="S305" i="18"/>
  <c r="U461" i="18"/>
  <c r="J267" i="25"/>
  <c r="U189" i="18"/>
  <c r="X460" i="18"/>
  <c r="S22" i="18"/>
  <c r="J224" i="25"/>
  <c r="Q28" i="18"/>
  <c r="I213" i="25"/>
  <c r="W76" i="18"/>
  <c r="I351" i="25"/>
  <c r="X63" i="18"/>
  <c r="U317" i="18"/>
  <c r="W489" i="18"/>
  <c r="W305" i="18"/>
  <c r="U225" i="18"/>
  <c r="V94" i="18"/>
  <c r="I451" i="25"/>
  <c r="W320" i="18"/>
  <c r="J357" i="25"/>
  <c r="Q294" i="18"/>
  <c r="J445" i="25"/>
  <c r="X60" i="18"/>
  <c r="I112" i="25"/>
  <c r="V197" i="18"/>
  <c r="S413" i="18"/>
  <c r="R447" i="18"/>
  <c r="Q303" i="18"/>
  <c r="Y433" i="18"/>
  <c r="W429" i="18"/>
  <c r="Y217" i="18"/>
  <c r="W371" i="18"/>
  <c r="T395" i="18"/>
  <c r="W479" i="18"/>
  <c r="Y457" i="18"/>
  <c r="Y442" i="18"/>
  <c r="U279" i="18"/>
  <c r="J496" i="25"/>
  <c r="S139" i="18"/>
  <c r="V79" i="18"/>
  <c r="W211" i="18"/>
  <c r="T172" i="18"/>
  <c r="R357" i="18"/>
  <c r="Y168" i="18"/>
  <c r="U9" i="18"/>
  <c r="U434" i="18"/>
  <c r="S219" i="18"/>
  <c r="V148" i="18"/>
  <c r="U391" i="18"/>
  <c r="V391" i="18"/>
  <c r="T480" i="18"/>
  <c r="J472" i="25"/>
  <c r="R464" i="18"/>
  <c r="X81" i="18"/>
  <c r="T221" i="18"/>
  <c r="J274" i="25"/>
  <c r="R216" i="18"/>
  <c r="I294" i="25"/>
  <c r="U363" i="18"/>
  <c r="J68" i="25"/>
  <c r="V151" i="18"/>
  <c r="Q499" i="18"/>
  <c r="X250" i="18"/>
  <c r="T449" i="18"/>
  <c r="Y17" i="18"/>
  <c r="U45" i="18"/>
  <c r="J260" i="25"/>
  <c r="Y211" i="18"/>
  <c r="I468" i="25"/>
  <c r="U282" i="18"/>
  <c r="J415" i="25"/>
  <c r="V260" i="18"/>
  <c r="I486" i="25"/>
  <c r="R367" i="18"/>
  <c r="S330" i="18"/>
  <c r="V160" i="18"/>
  <c r="W194" i="18"/>
  <c r="S197" i="18"/>
  <c r="V173" i="18"/>
  <c r="T348" i="18"/>
  <c r="Y175" i="18"/>
  <c r="R273" i="18"/>
  <c r="W135" i="18"/>
  <c r="Q149" i="18"/>
  <c r="V459" i="18"/>
  <c r="X293" i="18"/>
  <c r="I390" i="25"/>
  <c r="W143" i="18"/>
  <c r="W257" i="18"/>
  <c r="T345" i="18"/>
  <c r="T322" i="18"/>
  <c r="Y479" i="18"/>
  <c r="R343" i="18"/>
  <c r="Q183" i="18"/>
  <c r="W271" i="18"/>
  <c r="V168" i="18"/>
  <c r="S395" i="18"/>
  <c r="W64" i="18"/>
  <c r="R71" i="18"/>
  <c r="J231" i="25"/>
  <c r="Q277" i="18"/>
  <c r="Y421" i="18"/>
  <c r="I225" i="25"/>
  <c r="V156" i="18"/>
  <c r="S97" i="18"/>
  <c r="S176" i="18"/>
  <c r="J451" i="25"/>
  <c r="Q337" i="18"/>
  <c r="I409" i="25"/>
  <c r="Q366" i="18"/>
  <c r="J189" i="25"/>
  <c r="T257" i="18"/>
  <c r="R407" i="18"/>
  <c r="Q284" i="18"/>
  <c r="T159" i="18"/>
  <c r="Q377" i="18"/>
  <c r="Y102" i="18"/>
  <c r="U131" i="18"/>
  <c r="U276" i="18"/>
  <c r="J216" i="25"/>
  <c r="V405" i="18"/>
  <c r="I8" i="25"/>
  <c r="X48" i="18"/>
  <c r="I130" i="25"/>
  <c r="W352" i="18"/>
  <c r="W104" i="18"/>
  <c r="W212" i="18"/>
  <c r="U265" i="18"/>
  <c r="X199" i="18"/>
  <c r="Q379" i="18"/>
  <c r="W217" i="18"/>
  <c r="X169" i="18"/>
  <c r="T489" i="18"/>
  <c r="V227" i="18"/>
  <c r="R50" i="18"/>
  <c r="T215" i="18"/>
  <c r="W439" i="18"/>
  <c r="J306" i="25"/>
  <c r="Q282" i="18"/>
  <c r="X497" i="18"/>
  <c r="T44" i="18"/>
  <c r="X398" i="18"/>
  <c r="Q394" i="18"/>
  <c r="V378" i="18"/>
  <c r="U382" i="18"/>
  <c r="U152" i="18"/>
  <c r="X266" i="18"/>
  <c r="Y381" i="18"/>
  <c r="S335" i="18"/>
  <c r="S88" i="18"/>
  <c r="J492" i="25"/>
  <c r="R86" i="18"/>
  <c r="J340" i="25"/>
  <c r="X83" i="18"/>
  <c r="I195" i="25"/>
  <c r="W173" i="18"/>
  <c r="R266" i="18"/>
  <c r="V57" i="18"/>
  <c r="Q478" i="18"/>
  <c r="Y70" i="18"/>
  <c r="T289" i="18"/>
  <c r="R95" i="18"/>
  <c r="S43" i="18"/>
  <c r="J450" i="25"/>
  <c r="V280" i="18"/>
  <c r="I64" i="25"/>
  <c r="V75" i="18"/>
  <c r="I185" i="25"/>
  <c r="Y353" i="18"/>
  <c r="T494" i="18"/>
  <c r="Y204" i="18"/>
  <c r="T362" i="18"/>
  <c r="Y85" i="18"/>
  <c r="X113" i="18"/>
  <c r="X179" i="18"/>
  <c r="U301" i="18"/>
  <c r="U396" i="18"/>
  <c r="T155" i="18"/>
  <c r="W247" i="18"/>
  <c r="Y237" i="18"/>
  <c r="U460" i="18"/>
  <c r="J6" i="25"/>
  <c r="U244" i="18"/>
  <c r="U470" i="18"/>
  <c r="V468" i="18"/>
  <c r="V31" i="18"/>
  <c r="T361" i="18"/>
  <c r="T304" i="18"/>
  <c r="R259" i="18"/>
  <c r="S396" i="18"/>
  <c r="U235" i="18"/>
  <c r="S323" i="18"/>
  <c r="R364" i="18"/>
  <c r="R157" i="18"/>
  <c r="U16" i="18"/>
  <c r="Y267" i="18"/>
  <c r="S291" i="18"/>
  <c r="X340" i="18"/>
  <c r="T333" i="18"/>
  <c r="Q58" i="18"/>
  <c r="I151" i="25"/>
  <c r="T324" i="18"/>
  <c r="W462" i="18"/>
  <c r="J56" i="25"/>
  <c r="W381" i="18"/>
  <c r="X316" i="18"/>
  <c r="T285" i="18"/>
  <c r="W322" i="18"/>
  <c r="V363" i="18"/>
  <c r="W59" i="18"/>
  <c r="X344" i="18"/>
  <c r="U313" i="18"/>
  <c r="V428" i="18"/>
  <c r="W252" i="18"/>
  <c r="I296" i="25"/>
  <c r="Y272" i="18"/>
  <c r="J339" i="25"/>
  <c r="T67" i="18"/>
  <c r="X327" i="18"/>
  <c r="J141" i="25"/>
  <c r="S248" i="18"/>
  <c r="W174" i="18"/>
  <c r="Q216" i="18"/>
  <c r="R104" i="18"/>
  <c r="Y464" i="18"/>
  <c r="W488" i="18"/>
  <c r="J219" i="25"/>
  <c r="Q120" i="18"/>
  <c r="J499" i="25"/>
  <c r="S213" i="18"/>
  <c r="I190" i="25"/>
  <c r="W317" i="18"/>
  <c r="Q143" i="18"/>
  <c r="Y345" i="18"/>
  <c r="R56" i="18"/>
  <c r="W433" i="18"/>
  <c r="S371" i="18"/>
  <c r="T70" i="18"/>
  <c r="Q315" i="18"/>
  <c r="J437" i="25"/>
  <c r="R240" i="18"/>
  <c r="I412" i="25"/>
  <c r="R112" i="18"/>
  <c r="J119" i="25"/>
  <c r="U72" i="18"/>
  <c r="U195" i="18"/>
  <c r="R35" i="18"/>
  <c r="X388" i="18"/>
  <c r="Q349" i="18"/>
  <c r="S474" i="18"/>
  <c r="V375" i="18"/>
  <c r="W236" i="18"/>
  <c r="Y153" i="18"/>
  <c r="Y172" i="18"/>
  <c r="V333" i="18"/>
  <c r="X96" i="18"/>
  <c r="U340" i="18"/>
  <c r="I223" i="25"/>
  <c r="T51" i="18"/>
  <c r="Y356" i="18"/>
  <c r="W130" i="18"/>
  <c r="U93" i="18"/>
  <c r="X21" i="18"/>
  <c r="Y38" i="18"/>
  <c r="Q295" i="18"/>
  <c r="R171" i="18"/>
  <c r="U310" i="18"/>
  <c r="R93" i="18"/>
  <c r="R381" i="18"/>
  <c r="I67" i="25"/>
  <c r="Q227" i="18"/>
  <c r="T9" i="18"/>
  <c r="W27" i="18"/>
  <c r="I372" i="25"/>
  <c r="V215" i="18"/>
  <c r="U140" i="18"/>
  <c r="X490" i="18"/>
  <c r="S114" i="18"/>
  <c r="Q206" i="18"/>
  <c r="J77" i="25"/>
  <c r="S488" i="18"/>
  <c r="J344" i="25"/>
  <c r="Q73" i="18"/>
  <c r="T369" i="18"/>
  <c r="S169" i="18"/>
  <c r="U316" i="18"/>
  <c r="Q321" i="18"/>
  <c r="T83" i="18"/>
  <c r="J491" i="25"/>
  <c r="W216" i="18"/>
  <c r="Y291" i="18"/>
  <c r="J362" i="25"/>
  <c r="S319" i="18"/>
  <c r="Q100" i="18"/>
  <c r="R256" i="18"/>
  <c r="X171" i="18"/>
  <c r="V489" i="18"/>
  <c r="Y96" i="18"/>
  <c r="I115" i="25"/>
  <c r="Y21" i="18"/>
  <c r="J174" i="25"/>
  <c r="Q7" i="18"/>
  <c r="J377" i="25"/>
  <c r="X399" i="18"/>
  <c r="X186" i="18"/>
  <c r="S433" i="18"/>
  <c r="X427" i="18"/>
  <c r="U478" i="18"/>
  <c r="Q466" i="18"/>
  <c r="V98" i="18"/>
  <c r="V336" i="18"/>
  <c r="X42" i="18"/>
  <c r="Y145" i="18"/>
  <c r="J118" i="25"/>
  <c r="Y499" i="18"/>
  <c r="J257" i="25"/>
  <c r="Y222" i="18"/>
  <c r="T347" i="18"/>
  <c r="U117" i="18"/>
  <c r="T277" i="18"/>
  <c r="R225" i="18"/>
  <c r="R160" i="18"/>
  <c r="T334" i="18"/>
  <c r="R498" i="18"/>
  <c r="R456" i="18"/>
  <c r="W444" i="18"/>
  <c r="W147" i="18"/>
  <c r="T459" i="18"/>
  <c r="W72" i="18"/>
  <c r="J187" i="25"/>
  <c r="T358" i="18"/>
  <c r="Q368" i="18"/>
  <c r="W407" i="18"/>
  <c r="T197" i="18"/>
  <c r="Q17" i="18"/>
  <c r="Q150" i="18"/>
  <c r="R355" i="18"/>
  <c r="Q462" i="18"/>
  <c r="R418" i="18"/>
  <c r="S216" i="18"/>
  <c r="Y394" i="18"/>
  <c r="AD489" i="18"/>
  <c r="AF506" i="18"/>
  <c r="AB84" i="18"/>
  <c r="AH84" i="18" s="true"/>
  <c r="AI84" i="18" s="true"/>
  <c r="O259" i="18"/>
  <c r="AA409" i="18"/>
  <c r="I228" i="25"/>
  <c r="I499" i="25"/>
  <c r="Y201" i="18"/>
  <c r="J442" i="25"/>
  <c r="I179" i="25"/>
  <c r="R331" i="18"/>
  <c r="Q242" i="18"/>
  <c r="Y424" i="18"/>
  <c r="U36" i="18"/>
  <c r="X125" i="18"/>
  <c r="Q23" i="18"/>
  <c r="Y199" i="18"/>
  <c r="I455" i="25"/>
  <c r="Y485" i="18"/>
  <c r="I13" i="25"/>
  <c r="T386" i="18"/>
  <c r="S193" i="18"/>
  <c r="Q305" i="18"/>
  <c r="U444" i="18"/>
  <c r="P89" i="18"/>
  <c r="AE214" i="18"/>
  <c r="P262" i="18"/>
  <c r="N121" i="18"/>
  <c r="P44" i="18"/>
  <c r="AA361" i="18"/>
  <c r="AF184" i="18"/>
  <c r="AF404" i="18"/>
  <c r="AA158" i="18"/>
  <c r="AD185" i="18"/>
  <c r="N133" i="18"/>
  <c r="AB348" i="18"/>
  <c r="AE55" i="18"/>
  <c r="AH55" i="18" s="true"/>
  <c r="AI55" i="18" s="true"/>
  <c r="O369" i="18"/>
  <c r="O101" i="18"/>
  <c r="AA106" i="18"/>
  <c r="AD430" i="18"/>
  <c r="AE71" i="18"/>
  <c r="AC445" i="18"/>
  <c r="AB73" i="18"/>
  <c r="AH73" i="18" s="true"/>
  <c r="AI73" i="18" s="true"/>
  <c r="AA343" i="18"/>
  <c r="AE494" i="18"/>
  <c r="P297" i="18"/>
  <c r="P406" i="18"/>
  <c r="AC230" i="18"/>
  <c r="AF429" i="18"/>
  <c r="AA327" i="18"/>
  <c r="AC7" i="18"/>
  <c r="AE499" i="18"/>
  <c r="AH499" i="18" s="true"/>
  <c r="AI499" i="18" s="true"/>
  <c r="AE195" i="18"/>
  <c r="AA301" i="18"/>
  <c r="AA139" i="18"/>
  <c r="AC109" i="18"/>
  <c r="AE105" i="18"/>
  <c r="AD333" i="18"/>
  <c r="AE396" i="18"/>
  <c r="P234" i="18"/>
  <c r="AB277" i="18"/>
  <c r="AD234" i="18"/>
  <c r="AC265" i="18"/>
  <c r="AB505" i="18"/>
  <c r="AH505" i="18" s="true"/>
  <c r="AI505" i="18" s="true"/>
  <c r="O207" i="18"/>
  <c r="AD453" i="18"/>
  <c r="AB491" i="18"/>
  <c r="AD86" i="18"/>
  <c r="AF204" i="18"/>
  <c r="P163" i="18"/>
  <c r="O144" i="18"/>
  <c r="AE399" i="18"/>
  <c r="AF86" i="18"/>
  <c r="AF221" i="18"/>
  <c r="AE95" i="18"/>
  <c r="P118" i="18"/>
  <c r="AC223" i="18"/>
  <c r="N460" i="18"/>
  <c r="AD25" i="18"/>
  <c r="AF294" i="18"/>
  <c r="AE388" i="18"/>
  <c r="AB425" i="18"/>
  <c r="AH425" i="18" s="true"/>
  <c r="AI425" i="18" s="true"/>
  <c r="O372" i="18"/>
  <c r="P263" i="18"/>
  <c r="AC26" i="18"/>
  <c r="P104" i="18"/>
  <c r="AD220" i="18"/>
  <c r="AF336" i="18"/>
  <c r="P164" i="18"/>
  <c r="P496" i="18"/>
  <c r="O409" i="18"/>
  <c r="N179" i="18"/>
  <c r="P172" i="18"/>
  <c r="AA230" i="18"/>
  <c r="O181" i="18"/>
  <c r="N285" i="18"/>
  <c r="AC259" i="18"/>
  <c r="AD332" i="18"/>
  <c r="N465" i="18"/>
  <c r="AB296" i="18"/>
  <c r="AD299" i="18"/>
  <c r="P490" i="18"/>
  <c r="AB233" i="18"/>
  <c r="N73" i="18"/>
  <c r="AD451" i="18"/>
  <c r="AF373" i="18"/>
  <c r="AD394" i="18"/>
  <c r="AE485" i="18"/>
  <c r="AB232" i="18"/>
  <c r="AC195" i="18"/>
  <c r="AE373" i="18"/>
  <c r="AE284" i="18"/>
  <c r="AH284" i="18" s="true"/>
  <c r="AI284" i="18" s="true"/>
  <c r="AE378" i="18"/>
  <c r="AH378" i="18" s="true"/>
  <c r="AI378" i="18" s="true"/>
  <c r="AB365" i="18"/>
  <c r="AA92" i="18"/>
  <c r="N394" i="18"/>
  <c r="AA397" i="18"/>
  <c r="AB160" i="18"/>
  <c r="AC392" i="18"/>
  <c r="O503" i="18"/>
  <c r="AB378" i="18"/>
  <c r="N134" i="18"/>
  <c r="AA416" i="18"/>
  <c r="AF317" i="18"/>
  <c r="AA37" i="18"/>
  <c r="AC15" i="18"/>
  <c r="P96" i="18"/>
  <c r="AF426" i="18"/>
  <c r="AE283" i="18"/>
  <c r="AD428" i="18"/>
  <c r="AB469" i="18"/>
  <c r="AC462" i="18"/>
  <c r="AA286" i="18"/>
  <c r="AD164" i="18"/>
  <c r="AE265" i="18"/>
  <c r="P81" i="18"/>
  <c r="AE121" i="18"/>
  <c r="AF19" i="18"/>
  <c r="AC256" i="18"/>
  <c r="AB457" i="18"/>
  <c r="O432" i="18"/>
  <c r="AE386" i="18"/>
  <c r="AA243" i="18"/>
  <c r="P335" i="18"/>
  <c r="P224" i="18"/>
  <c r="AD304" i="18"/>
  <c r="O452" i="18"/>
  <c r="P71" i="18"/>
  <c r="AD456" i="18"/>
  <c r="N303" i="18"/>
  <c r="AB379" i="18"/>
  <c r="AA59" i="18"/>
  <c r="AC367" i="18"/>
  <c r="P25" i="18"/>
  <c r="AF191" i="18"/>
  <c r="O235" i="18"/>
  <c r="AF190" i="18"/>
  <c r="AA333" i="18"/>
  <c r="AE491" i="18"/>
  <c r="AE193" i="18"/>
  <c r="AE117" i="18"/>
  <c r="AB311" i="18"/>
  <c r="AH311" i="18" s="true"/>
  <c r="AI311" i="18" s="true"/>
  <c r="I424" i="25"/>
  <c r="U234" i="18"/>
  <c r="J140" i="25"/>
  <c r="S87" i="18"/>
  <c r="J178" i="25"/>
  <c r="Q459" i="18"/>
  <c r="W291" i="18"/>
  <c r="Y135" i="18"/>
  <c r="J9" i="25"/>
  <c r="I419" i="25"/>
  <c r="U17" i="18"/>
  <c r="U144" i="18"/>
  <c r="J81" i="25"/>
  <c r="I163" i="25"/>
  <c r="T374" i="18"/>
  <c r="W197" i="18"/>
  <c r="I127" i="25"/>
  <c r="R290" i="18"/>
  <c r="W375" i="18"/>
  <c r="I476" i="25"/>
  <c r="R506" i="18"/>
  <c r="Q195" i="18"/>
  <c r="W385" i="18"/>
  <c r="J341" i="25"/>
  <c r="W209" i="18"/>
  <c r="Q344" i="18"/>
  <c r="I394" i="25"/>
  <c r="T95" i="18"/>
  <c r="W453" i="18"/>
  <c r="J363" i="25"/>
  <c r="U320" i="18"/>
  <c r="J39" i="25"/>
  <c r="V56" i="18"/>
  <c r="J58" i="25"/>
  <c r="V128" i="18"/>
  <c r="J132" i="25"/>
  <c r="R482" i="18"/>
  <c r="X91" i="18"/>
  <c r="Q343" i="18"/>
  <c r="J421" i="25"/>
  <c r="Q244" i="18"/>
  <c r="T292" i="18"/>
  <c r="J197" i="25"/>
  <c r="Y281" i="18"/>
  <c r="R314" i="18"/>
  <c r="X470" i="18"/>
  <c r="T108" i="18"/>
  <c r="I420" i="25"/>
  <c r="Y453" i="18"/>
  <c r="W344" i="18"/>
  <c r="W393" i="18"/>
  <c r="J430" i="25"/>
  <c r="Y434" i="18"/>
  <c r="J356" i="25"/>
  <c r="W185" i="18"/>
  <c r="Y380" i="18"/>
  <c r="Q129" i="18"/>
  <c r="Q505" i="18"/>
  <c r="R387" i="18"/>
  <c r="Q477" i="18"/>
  <c r="W73" i="18"/>
  <c r="T258" i="18"/>
  <c r="R385" i="18"/>
  <c r="T14" i="18"/>
  <c r="I490" i="25"/>
  <c r="W340" i="18"/>
  <c r="J361" i="25"/>
  <c r="Q364" i="18"/>
  <c r="T301" i="18"/>
  <c r="Y47" i="18"/>
  <c r="T458" i="18"/>
  <c r="U410" i="18"/>
  <c r="X419" i="18"/>
  <c r="I147" i="25"/>
  <c r="U99" i="18"/>
  <c r="U381" i="18"/>
  <c r="T43" i="18"/>
  <c r="T241" i="18"/>
  <c r="I135" i="25"/>
  <c r="Y227" i="18"/>
  <c r="J329" i="25"/>
  <c r="Q153" i="18"/>
  <c r="X148" i="18"/>
  <c r="R14" i="18"/>
  <c r="T202" i="18"/>
  <c r="W132" i="18"/>
  <c r="V114" i="18"/>
  <c r="S203" i="18"/>
  <c r="W88" i="18"/>
  <c r="V413" i="18"/>
  <c r="R164" i="18"/>
  <c r="X36" i="18"/>
  <c r="R326" i="18"/>
  <c r="S489" i="18"/>
  <c r="J426" i="25"/>
  <c r="W449" i="18"/>
  <c r="I91" i="25"/>
  <c r="X224" i="18"/>
  <c r="W286" i="18"/>
  <c r="V176" i="18"/>
  <c r="W391" i="18"/>
  <c r="V74" i="18"/>
  <c r="U35" i="18"/>
  <c r="Y266" i="18"/>
  <c r="S343" i="18"/>
  <c r="Y438" i="18"/>
  <c r="W304" i="18"/>
  <c r="U10" i="18"/>
  <c r="R144" i="18"/>
  <c r="I276" i="25"/>
  <c r="R435" i="18"/>
  <c r="T154" i="18"/>
  <c r="S393" i="18"/>
  <c r="W495" i="18"/>
  <c r="T503" i="18"/>
  <c r="I119" i="25"/>
  <c r="W460" i="18"/>
  <c r="J115" i="25"/>
  <c r="Q79" i="18"/>
  <c r="S105" i="18"/>
  <c r="Y369" i="18"/>
  <c r="U27" i="18"/>
  <c r="X195" i="18"/>
  <c r="S503" i="18"/>
  <c r="J360" i="25"/>
  <c r="X174" i="18"/>
  <c r="X502" i="18"/>
  <c r="X342" i="18"/>
  <c r="X9" i="18"/>
  <c r="J121" i="25"/>
  <c r="Y67" i="18"/>
  <c r="W276" i="18"/>
  <c r="X439" i="18"/>
  <c r="Y103" i="18"/>
  <c r="X265" i="18"/>
  <c r="I429" i="25"/>
  <c r="T272" i="18"/>
  <c r="Q409" i="18"/>
  <c r="R141" i="18"/>
  <c r="J375" i="25"/>
  <c r="Q176" i="18"/>
  <c r="T409" i="18"/>
  <c r="Q16" i="18"/>
  <c r="S354" i="18"/>
  <c r="X62" i="18"/>
  <c r="Y283" i="18"/>
  <c r="J324" i="25"/>
  <c r="V488" i="18"/>
  <c r="J241" i="25"/>
  <c r="R451" i="18"/>
  <c r="Y294" i="18"/>
  <c r="Q26" i="18"/>
  <c r="Y395" i="18"/>
  <c r="T453" i="18"/>
  <c r="T50" i="18"/>
  <c r="J484" i="25"/>
  <c r="Q214" i="18"/>
  <c r="W90" i="18"/>
  <c r="W384" i="18"/>
  <c r="R29" i="18"/>
  <c r="I374" i="25"/>
  <c r="V214" i="18"/>
  <c r="I194" i="25"/>
  <c r="V198" i="18"/>
  <c r="Y318" i="18"/>
  <c r="W338" i="18"/>
  <c r="Y50" i="18"/>
  <c r="U349" i="18"/>
  <c r="Q196" i="18"/>
  <c r="W195" i="18"/>
  <c r="V445" i="18"/>
  <c r="S317" i="18"/>
  <c r="X141" i="18"/>
  <c r="U149" i="18"/>
  <c r="J373" i="25"/>
  <c r="I125" i="25"/>
  <c r="V481" i="18"/>
  <c r="Q151" i="18"/>
  <c r="J285" i="25"/>
  <c r="W71" i="18"/>
  <c r="R432" i="18"/>
  <c r="R433" i="18"/>
  <c r="I435" i="25"/>
  <c r="T59" i="18"/>
  <c r="X335" i="18"/>
  <c r="V73" i="18"/>
  <c r="X374" i="18"/>
  <c r="U219" i="18"/>
  <c r="I208" i="25"/>
  <c r="R42" i="18"/>
  <c r="W353" i="18"/>
  <c r="Y231" i="18"/>
  <c r="R502" i="18"/>
  <c r="S295" i="18"/>
  <c r="S355" i="18"/>
  <c r="J234" i="25"/>
  <c r="T106" i="18"/>
  <c r="U463" i="18"/>
  <c r="S365" i="18"/>
  <c r="S151" i="18"/>
  <c r="J479" i="25"/>
  <c r="V360" i="18"/>
  <c r="X463" i="18"/>
  <c r="W46" i="18"/>
  <c r="R103" i="18"/>
  <c r="U143" i="18"/>
  <c r="X286" i="18"/>
  <c r="V350" i="18"/>
  <c r="X256" i="18"/>
  <c r="R400" i="18"/>
  <c r="U491" i="18"/>
  <c r="X469" i="18"/>
  <c r="X361" i="18"/>
  <c r="Y183" i="18"/>
  <c r="R350" i="18"/>
  <c r="I433" i="25"/>
  <c r="V344" i="18"/>
  <c r="V17" i="18"/>
  <c r="Y57" i="18"/>
  <c r="Y388" i="18"/>
  <c r="S127" i="18"/>
  <c r="X185" i="18"/>
  <c r="X285" i="18"/>
  <c r="U165" i="18"/>
  <c r="V119" i="18"/>
  <c r="Y152" i="18"/>
  <c r="Y182" i="18"/>
  <c r="Y205" i="18"/>
  <c r="O365" i="18"/>
  <c r="AE476" i="18"/>
  <c r="AF99" i="18"/>
  <c r="N259" i="18"/>
  <c r="P83" i="18"/>
  <c r="AE147" i="18"/>
  <c r="AD288" i="18"/>
  <c r="N193" i="18"/>
  <c r="P500" i="18"/>
  <c r="AD174" i="18"/>
  <c r="AB289" i="18"/>
  <c r="N110" i="18"/>
  <c r="AB142" i="18"/>
  <c r="P489" i="18"/>
  <c r="AD23" i="18"/>
  <c r="AA472" i="18"/>
  <c r="AD464" i="18"/>
  <c r="AB414" i="18"/>
  <c r="P189" i="18"/>
  <c r="AD37" i="18"/>
  <c r="AC312" i="18"/>
  <c r="O281" i="18"/>
  <c r="AD463" i="18"/>
  <c r="AF162" i="18"/>
  <c r="AD498" i="18"/>
  <c r="AE492" i="18"/>
  <c r="AF344" i="18"/>
  <c r="AE484" i="18"/>
  <c r="N233" i="18"/>
  <c r="O360" i="18"/>
  <c r="N232" i="18"/>
  <c r="AD324" i="18"/>
  <c r="AE256" i="18"/>
  <c r="AC63" i="18"/>
  <c r="P352" i="18"/>
  <c r="AD48" i="18"/>
  <c r="N53" i="18"/>
  <c r="AA482" i="18"/>
  <c r="P242" i="18"/>
  <c r="AB221" i="18"/>
  <c r="AH221" i="18" s="true"/>
  <c r="AI221" i="18" s="true"/>
  <c r="O92" i="18"/>
  <c r="AB336" i="18"/>
  <c r="AH336" i="18" s="true"/>
  <c r="AI336" i="18" s="true"/>
  <c r="O227" i="18"/>
  <c r="AB364" i="18"/>
  <c r="AA162" i="18"/>
  <c r="O157" i="18"/>
  <c r="P421" i="18"/>
  <c r="AD99" i="18"/>
  <c r="AA403" i="18"/>
  <c r="N446" i="18"/>
  <c r="O501" i="18"/>
  <c r="N336" i="18"/>
  <c r="O117" i="18"/>
  <c r="AB492" i="18"/>
  <c r="AF261" i="18"/>
  <c r="AE362" i="18"/>
  <c r="AF25" i="18"/>
  <c r="AE199" i="18"/>
  <c r="AB326" i="18"/>
  <c r="P436" i="18"/>
  <c r="AE198" i="18"/>
  <c r="AA253" i="18"/>
  <c r="AF260" i="18"/>
  <c r="AE439" i="18"/>
  <c r="AH439" i="18" s="true"/>
  <c r="AI439" i="18" s="true"/>
  <c r="O396" i="18"/>
  <c r="AA288" i="18"/>
  <c r="O202" i="18"/>
  <c r="P256" i="18"/>
  <c r="P275" i="18"/>
  <c r="AB139" i="18"/>
  <c r="AF164" i="18"/>
  <c r="AE19" i="18"/>
  <c r="O86" i="18"/>
  <c r="AE496" i="18"/>
  <c r="P35" i="18"/>
  <c r="AE446" i="18"/>
  <c r="AH446" i="18" s="true"/>
  <c r="AI446" i="18" s="true"/>
  <c r="AE177" i="18"/>
  <c r="AC325" i="18"/>
  <c r="AF262" i="18"/>
  <c r="AE186" i="18"/>
  <c r="N445" i="18"/>
  <c r="AD110" i="18"/>
  <c r="AD499" i="18"/>
  <c r="O306" i="18"/>
  <c r="AA459" i="18"/>
  <c r="AA95" i="18"/>
  <c r="N283" i="18"/>
  <c r="AA262" i="18"/>
  <c r="AE155" i="18"/>
  <c r="AH155" i="18" s="true"/>
  <c r="AI155" i="18" s="true"/>
  <c r="P155" i="18"/>
  <c r="AD200" i="18"/>
  <c r="AC245" i="18"/>
  <c r="AB316" i="18"/>
  <c r="N14" i="18"/>
  <c r="AA257" i="18"/>
  <c r="N183" i="18"/>
  <c r="N310" i="18"/>
  <c r="AB481" i="18"/>
  <c r="N494" i="18"/>
  <c r="N376" i="18"/>
  <c r="AA391" i="18"/>
  <c r="N350" i="18"/>
  <c r="AB422" i="18"/>
  <c r="P502" i="18"/>
  <c r="AD115" i="18"/>
  <c r="AC354" i="18"/>
  <c r="AC203" i="18"/>
  <c r="AA86" i="18"/>
  <c r="AB247" i="18"/>
  <c r="P232" i="18"/>
  <c r="AA76" i="18"/>
  <c r="N18" i="18"/>
  <c r="AF182" i="18"/>
  <c r="AB178" i="18"/>
  <c r="AD130" i="18"/>
  <c r="AD106" i="18"/>
  <c r="AC119" i="18"/>
  <c r="AE405" i="18"/>
  <c r="AC442" i="18"/>
  <c r="O391" i="18"/>
  <c r="AB351" i="18"/>
  <c r="P318" i="18"/>
  <c r="AB358" i="18"/>
  <c r="AH358" i="18" s="true"/>
  <c r="AI358" i="18" s="true"/>
  <c r="AE438" i="18"/>
  <c r="AD95" i="18"/>
  <c r="N495" i="18"/>
  <c r="AE361" i="18"/>
  <c r="AH361" i="18" s="true"/>
  <c r="AI361" i="18" s="true"/>
  <c r="O177" i="18"/>
  <c r="AB146" i="18"/>
  <c r="AB416" i="18"/>
  <c r="N90" i="18"/>
  <c r="AA128" i="18"/>
  <c r="P78" i="18"/>
  <c r="O71" i="18"/>
  <c r="AC268" i="18"/>
  <c r="AD327" i="18"/>
  <c r="AA143" i="18"/>
  <c r="AC93" i="18"/>
  <c r="R122" i="18"/>
  <c r="U281" i="18"/>
  <c r="J338" i="25"/>
  <c r="R329" i="18"/>
  <c r="J110" i="25"/>
  <c r="I305" i="25"/>
  <c r="Q83" i="18"/>
  <c r="I450" i="25"/>
  <c r="R285" i="18"/>
  <c r="Y14" i="18"/>
  <c r="X225" i="18"/>
  <c r="X56" i="18"/>
  <c r="S264" i="18"/>
  <c r="S399" i="18"/>
  <c r="W165" i="18"/>
  <c r="T177" i="18"/>
  <c r="Y218" i="18"/>
  <c r="J69" i="25"/>
  <c r="V422" i="18"/>
  <c r="J13" i="25"/>
  <c r="W96" i="18"/>
  <c r="Q330" i="18"/>
  <c r="V109" i="18"/>
  <c r="J65" i="25"/>
  <c r="R209" i="18"/>
  <c r="T379" i="18"/>
  <c r="S324" i="18"/>
  <c r="I280" i="25"/>
  <c r="R39" i="18"/>
  <c r="I315" i="25"/>
  <c r="U227" i="18"/>
  <c r="J59" i="25"/>
  <c r="W342" i="18"/>
  <c r="V157" i="18"/>
  <c r="J156" i="25"/>
  <c r="J374" i="25"/>
  <c r="S232" i="18"/>
  <c r="W210" i="18"/>
  <c r="U129" i="18"/>
  <c r="V327" i="18"/>
  <c r="X437" i="18"/>
  <c r="Y476" i="18"/>
  <c r="X82" i="18"/>
  <c r="T84" i="18"/>
  <c r="S455" i="18"/>
  <c r="I5" i="25"/>
  <c r="U459" i="18"/>
  <c r="S147" i="18"/>
  <c r="U122" i="18"/>
  <c r="U298" i="18"/>
  <c r="X134" i="18"/>
  <c r="R153" i="18"/>
  <c r="Q279" i="18"/>
  <c r="I57" i="25"/>
  <c r="R69" i="18"/>
  <c r="T302" i="18"/>
  <c r="Q166" i="18"/>
  <c r="Y116" i="18"/>
  <c r="T439" i="18"/>
  <c r="R455" i="18"/>
  <c r="Q318" i="18"/>
  <c r="Q293" i="18"/>
  <c r="T298" i="18"/>
  <c r="U47" i="18"/>
  <c r="T281" i="18"/>
  <c r="R60" i="18"/>
  <c r="J29" i="25"/>
  <c r="S15" i="18"/>
  <c r="J27" i="25"/>
  <c r="W183" i="18"/>
  <c r="R434" i="18"/>
  <c r="W272" i="18"/>
  <c r="U375" i="18"/>
  <c r="J395" i="25"/>
  <c r="Q226" i="18"/>
  <c r="R271" i="18"/>
  <c r="Y358" i="18"/>
  <c r="Y372" i="18"/>
  <c r="I149" i="25"/>
  <c r="W422" i="18"/>
  <c r="U346" i="18"/>
  <c r="S462" i="18"/>
  <c r="X472" i="18"/>
  <c r="Y425" i="18"/>
  <c r="S34" i="18"/>
  <c r="S136" i="18"/>
  <c r="X87" i="18"/>
  <c r="Y332" i="18"/>
  <c r="X198" i="18"/>
  <c r="S234" i="18"/>
  <c r="S273" i="18"/>
  <c r="U257" i="18"/>
  <c r="S490" i="18"/>
  <c r="R158" i="18"/>
  <c r="U230" i="18"/>
  <c r="J142" i="25"/>
  <c r="I478" i="25"/>
  <c r="Y447" i="18"/>
  <c r="Q403" i="18"/>
  <c r="J135" i="25"/>
  <c r="AF284" i="18"/>
  <c r="AF211" i="18"/>
  <c r="AF437" i="18"/>
  <c r="N294" i="18"/>
  <c r="AD72" i="18"/>
  <c r="O196" i="18"/>
  <c r="N29" i="18"/>
  <c r="AA400" i="18"/>
  <c r="AC243" i="18"/>
  <c r="AA107" i="18"/>
  <c r="AE287" i="18"/>
  <c r="AH287" i="18" s="true"/>
  <c r="AI287" i="18" s="true"/>
  <c r="N443" i="18"/>
  <c r="AD247" i="18"/>
  <c r="AD91" i="18"/>
  <c r="AC164" i="18"/>
  <c r="O135" i="18"/>
  <c r="AC425" i="18"/>
  <c r="AD452" i="18"/>
  <c r="P141" i="18"/>
  <c r="AB405" i="18"/>
  <c r="AF186" i="18"/>
  <c r="AC280" i="18"/>
  <c r="AE489" i="18"/>
  <c r="N481" i="18"/>
  <c r="AF271" i="18"/>
  <c r="AB322" i="18"/>
  <c r="AA331" i="18"/>
  <c r="AC387" i="18"/>
  <c r="AB50" i="18"/>
  <c r="AH50" i="18" s="true"/>
  <c r="AI50" i="18" s="true"/>
  <c r="AB304" i="18"/>
  <c r="AE490" i="18"/>
  <c r="AH490" i="18" s="true"/>
  <c r="AI490" i="18" s="true"/>
  <c r="N175" i="18"/>
  <c r="AA179" i="18"/>
  <c r="AB410" i="18"/>
  <c r="P222" i="18"/>
  <c r="P261" i="18"/>
  <c r="AE15" i="18"/>
  <c r="AC295" i="18"/>
  <c r="AF360" i="18"/>
  <c r="O271" i="18"/>
  <c r="O233" i="18"/>
  <c r="AA320" i="18"/>
  <c r="AB74" i="18"/>
  <c r="AH74" i="18" s="true"/>
  <c r="AI74" i="18" s="true"/>
  <c r="AC74" i="18"/>
  <c r="AF10" i="18"/>
  <c r="O299" i="18"/>
  <c r="N299" i="18"/>
  <c r="AC466" i="18"/>
  <c r="AB34" i="18"/>
  <c r="AH34" i="18" s="true"/>
  <c r="AI34" i="18" s="true"/>
  <c r="N467" i="18"/>
  <c r="AE31" i="18"/>
  <c r="AH31" i="18" s="true"/>
  <c r="AI31" i="18" s="true"/>
  <c r="AE394" i="18"/>
  <c r="AD366" i="18"/>
  <c r="O39" i="18"/>
  <c r="N142" i="18"/>
  <c r="N36" i="18"/>
  <c r="AC333" i="18"/>
  <c r="P408" i="18"/>
  <c r="AB463" i="18"/>
  <c r="AH463" i="18" s="true"/>
  <c r="AI463" i="18" s="true"/>
  <c r="O192" i="18"/>
  <c r="AF337" i="18"/>
  <c r="P412" i="18"/>
  <c r="O162" i="18"/>
  <c r="AE21" i="18"/>
  <c r="AF230" i="18"/>
  <c r="AA442" i="18"/>
  <c r="N165" i="18"/>
  <c r="AB156" i="18"/>
  <c r="AB31" i="18"/>
  <c r="N317" i="18"/>
  <c r="AD278" i="18"/>
  <c r="AD104" i="18"/>
  <c r="AF43" i="18"/>
  <c r="AC494" i="18"/>
  <c r="P61" i="18"/>
  <c r="AF289" i="18"/>
  <c r="AF447" i="18"/>
  <c r="P382" i="18"/>
  <c r="N169" i="18"/>
  <c r="AC313" i="18"/>
  <c r="AD191" i="18"/>
  <c r="P249" i="18"/>
  <c r="O294" i="18"/>
  <c r="AC317" i="18"/>
  <c r="P266" i="18"/>
  <c r="P257" i="18"/>
  <c r="O222" i="18"/>
  <c r="N327" i="18"/>
  <c r="AB455" i="18"/>
  <c r="N51" i="18"/>
  <c r="AC457" i="18"/>
  <c r="AB16" i="18"/>
  <c r="AF446" i="18"/>
  <c r="AC220" i="18"/>
  <c r="P93" i="18"/>
  <c r="N82" i="18"/>
  <c r="AF26" i="18"/>
  <c r="AE67" i="18"/>
  <c r="AF148" i="18"/>
  <c r="AF305" i="18"/>
  <c r="P479" i="18"/>
  <c r="N374" i="18"/>
  <c r="AE185" i="18"/>
  <c r="AE420" i="18"/>
  <c r="AA334" i="18"/>
  <c r="AA78" i="18"/>
  <c r="N444" i="18"/>
  <c r="P350" i="18"/>
  <c r="N107" i="18"/>
  <c r="O59" i="18"/>
  <c r="AF174" i="18"/>
  <c r="AA492" i="18"/>
  <c r="O357" i="18"/>
  <c r="AA261" i="18"/>
  <c r="O19" i="18"/>
  <c r="N64" i="18"/>
  <c r="O283" i="18"/>
  <c r="AA353" i="18"/>
  <c r="AF293" i="18"/>
  <c r="AA98" i="18"/>
  <c r="O104" i="18"/>
  <c r="O48" i="18"/>
  <c r="AF158" i="18"/>
  <c r="AE36" i="18"/>
  <c r="AC286" i="18"/>
  <c r="O208" i="18"/>
  <c r="AF450" i="18"/>
  <c r="AE382" i="18"/>
  <c r="AF175" i="18"/>
  <c r="AB123" i="18"/>
  <c r="AB312" i="18"/>
  <c r="AC314" i="18"/>
  <c r="N39" i="18"/>
  <c r="AC453" i="18"/>
  <c r="O199" i="18"/>
  <c r="AD102" i="18"/>
  <c r="AC175" i="18"/>
  <c r="AE280" i="18"/>
  <c r="AH280" i="18" s="true"/>
  <c r="AI280" i="18" s="true"/>
  <c r="AC192" i="18"/>
  <c r="AB389" i="18"/>
  <c r="AH389" i="18" s="true"/>
  <c r="AI389" i="18" s="true"/>
  <c r="V456" i="18"/>
  <c r="J326" i="25"/>
  <c r="J111" i="25"/>
  <c r="U303" i="18"/>
  <c r="Q178" i="18"/>
  <c r="I261" i="25"/>
  <c r="V179" i="18"/>
  <c r="J122" i="25"/>
  <c r="J468" i="25"/>
  <c r="J318" i="25"/>
  <c r="W109" i="18"/>
  <c r="R184" i="18"/>
  <c r="T100" i="18"/>
  <c r="Y263" i="18"/>
  <c r="I320" i="25"/>
  <c r="Y398" i="18"/>
  <c r="U293" i="18"/>
  <c r="U198" i="18"/>
  <c r="Q391" i="18"/>
  <c r="I197" i="25"/>
  <c r="V287" i="18"/>
  <c r="W299" i="18"/>
  <c r="V213" i="18"/>
  <c r="J403" i="25"/>
  <c r="S403" i="18"/>
  <c r="R402" i="18"/>
  <c r="S487" i="18"/>
  <c r="R12" i="18"/>
  <c r="Y23" i="18"/>
  <c r="I25" i="25"/>
  <c r="T308" i="18"/>
  <c r="J419" i="25"/>
  <c r="Y142" i="18"/>
  <c r="Q348" i="18"/>
  <c r="J18" i="25"/>
  <c r="J242" i="25"/>
  <c r="V404" i="18"/>
  <c r="T404" i="18"/>
  <c r="Q10" i="18"/>
  <c r="V20" i="18"/>
  <c r="R333" i="18"/>
  <c r="T349" i="18"/>
  <c r="W24" i="18"/>
  <c r="S449" i="18"/>
  <c r="R421" i="18"/>
  <c r="J94" i="25"/>
  <c r="U399" i="18"/>
  <c r="Q311" i="18"/>
  <c r="T433" i="18"/>
  <c r="V238" i="18"/>
  <c r="U51" i="18"/>
  <c r="R21" i="18"/>
  <c r="U112" i="18"/>
  <c r="J88" i="25"/>
  <c r="R54" i="18"/>
  <c r="V284" i="18"/>
  <c r="X313" i="18"/>
  <c r="U250" i="18"/>
  <c r="V474" i="18"/>
  <c r="R325" i="18"/>
  <c r="S37" i="18"/>
  <c r="I165" i="25"/>
  <c r="V230" i="18"/>
  <c r="R100" i="18"/>
  <c r="Q145" i="18"/>
  <c r="W427" i="18"/>
  <c r="J364" i="25"/>
  <c r="R492" i="18"/>
  <c r="J74" i="25"/>
  <c r="S239" i="18"/>
  <c r="W248" i="18"/>
  <c r="Q385" i="18"/>
  <c r="W404" i="18"/>
  <c r="I308" i="25"/>
  <c r="X150" i="18"/>
  <c r="U113" i="18"/>
  <c r="R238" i="18"/>
  <c r="Q309" i="18"/>
  <c r="I98" i="25"/>
  <c r="R96" i="18"/>
  <c r="S226" i="18"/>
  <c r="S349" i="18"/>
  <c r="S438" i="18"/>
  <c r="Q419" i="18"/>
  <c r="U28" i="18"/>
  <c r="R102" i="18"/>
  <c r="S437" i="18"/>
  <c r="Y68" i="18"/>
  <c r="W468" i="18"/>
  <c r="V19" i="18"/>
  <c r="R405" i="18"/>
  <c r="S280" i="18"/>
  <c r="Q50" i="18"/>
  <c r="I383" i="25"/>
  <c r="T227" i="18"/>
  <c r="Q312" i="18"/>
  <c r="V193" i="18"/>
  <c r="AB194" i="18"/>
  <c r="AB489" i="18"/>
  <c r="AD84" i="18"/>
  <c r="O100" i="18"/>
  <c r="N366" i="18"/>
  <c r="AA62" i="18"/>
  <c r="AC145" i="18"/>
  <c r="N177" i="18"/>
  <c r="O456" i="18"/>
  <c r="AD482" i="18"/>
  <c r="O170" i="18"/>
  <c r="O317" i="18"/>
  <c r="AA478" i="18"/>
  <c r="P158" i="18"/>
  <c r="AE433" i="18"/>
  <c r="O411" i="18"/>
  <c r="AF138" i="18"/>
  <c r="AA34" i="18"/>
  <c r="AD313" i="18"/>
  <c r="AF382" i="18"/>
  <c r="P416" i="18"/>
  <c r="P345" i="18"/>
  <c r="AC53" i="18"/>
  <c r="AB258" i="18"/>
  <c r="AD401" i="18"/>
  <c r="AB64" i="18"/>
  <c r="AD484" i="18"/>
  <c r="N456" i="18"/>
  <c r="AA223" i="18"/>
  <c r="AF469" i="18"/>
  <c r="AD55" i="18"/>
  <c r="AB226" i="18"/>
  <c r="AA392" i="18"/>
  <c r="AF321" i="18"/>
  <c r="AF168" i="18"/>
  <c r="P55" i="18"/>
  <c r="N43" i="18"/>
  <c r="N47" i="18"/>
  <c r="P54" i="18"/>
  <c r="AF87" i="18"/>
  <c r="P307" i="18"/>
  <c r="N59" i="18"/>
  <c r="N479" i="18"/>
  <c r="P34" i="18"/>
  <c r="O435" i="18"/>
  <c r="AA435" i="18"/>
  <c r="AE366" i="18"/>
  <c r="AH366" i="18" s="true"/>
  <c r="AI366" i="18" s="true"/>
  <c r="AF482" i="18"/>
  <c r="AA218" i="18"/>
  <c r="AC255" i="18"/>
  <c r="AB121" i="18"/>
  <c r="AD255" i="18"/>
  <c r="AE402" i="18"/>
  <c r="O116" i="18"/>
  <c r="AD257" i="18"/>
  <c r="AF436" i="18"/>
  <c r="AF377" i="18"/>
  <c r="O188" i="18"/>
  <c r="O78" i="18"/>
  <c r="AC326" i="18"/>
  <c r="P103" i="18"/>
  <c r="O270" i="18"/>
  <c r="AD410" i="18"/>
  <c r="P188" i="18"/>
  <c r="AD292" i="18"/>
  <c r="AA190" i="18"/>
  <c r="AC130" i="18"/>
  <c r="AE247" i="18"/>
  <c r="AB104" i="18"/>
  <c r="AH104" i="18" s="true"/>
  <c r="AI104" i="18" s="true"/>
  <c r="AD298" i="18"/>
  <c r="AC458" i="18"/>
  <c r="N349" i="18"/>
  <c r="AF234" i="18"/>
  <c r="N428" i="18"/>
  <c r="AE8" i="18"/>
  <c r="AD165" i="18"/>
  <c r="AC162" i="18"/>
  <c r="AE467" i="18"/>
  <c r="O11" i="18"/>
  <c r="AA269" i="18"/>
  <c r="P75" i="18"/>
  <c r="AD302" i="18"/>
  <c r="AD460" i="18"/>
  <c r="AD277" i="18"/>
  <c r="AD358" i="18"/>
  <c r="AC429" i="18"/>
  <c r="AD435" i="18"/>
  <c r="P237" i="18"/>
  <c r="P385" i="18"/>
  <c r="N149" i="18"/>
  <c r="AC269" i="18"/>
  <c r="AD421" i="18"/>
  <c r="O366" i="18"/>
  <c r="P474" i="18"/>
  <c r="P433" i="18"/>
  <c r="P423" i="18"/>
  <c r="O21" i="18"/>
  <c r="AA69" i="18"/>
  <c r="P338" i="18"/>
  <c r="O230" i="18"/>
  <c r="AB12" i="18"/>
  <c r="AH12" i="18" s="true"/>
  <c r="AI12" i="18" s="true"/>
  <c r="AC261" i="18"/>
  <c r="P289" i="18"/>
  <c r="P109" i="18"/>
  <c r="AA157" i="18"/>
  <c r="P66" i="18"/>
  <c r="N38" i="18"/>
  <c r="AC201" i="18"/>
  <c r="AB355" i="18"/>
  <c r="AC94" i="18"/>
  <c r="AD365" i="18"/>
  <c r="AC501" i="18"/>
  <c r="AE168" i="18"/>
  <c r="AA22" i="18"/>
  <c r="AB253" i="18"/>
  <c r="AH253" i="18" s="true"/>
  <c r="AI253" i="18" s="true"/>
  <c r="AF22" i="18"/>
  <c r="AC160" i="18"/>
  <c r="AD143" i="18"/>
  <c r="AF183" i="18"/>
  <c r="AC337" i="18"/>
  <c r="AC263" i="18"/>
  <c r="AA369" i="18"/>
  <c r="AB72" i="18"/>
  <c r="N384" i="18"/>
  <c r="O425" i="18"/>
  <c r="AF97" i="18"/>
  <c r="P399" i="18"/>
  <c r="AF290" i="18"/>
  <c r="AA494" i="18"/>
  <c r="AD315" i="18"/>
  <c r="P270" i="18"/>
  <c r="O397" i="18"/>
  <c r="O152" i="18"/>
  <c r="AA194" i="18"/>
  <c r="AF35" i="18"/>
  <c r="AD136" i="18"/>
  <c r="AD81" i="18"/>
  <c r="AE184" i="18"/>
  <c r="AC447" i="18"/>
  <c r="R97" i="18"/>
  <c r="X229" i="18"/>
  <c r="S398" i="18"/>
  <c r="U210" i="18"/>
  <c r="R28" i="18"/>
  <c r="Y317" i="18"/>
  <c r="X29" i="18"/>
  <c r="I418" i="25"/>
  <c r="S262" i="18"/>
  <c r="W456" i="18"/>
  <c r="S293" i="18"/>
  <c r="T139" i="18"/>
  <c r="I414" i="25"/>
  <c r="I239" i="25"/>
  <c r="I33" i="25"/>
  <c r="Q489" i="18"/>
  <c r="W198" i="18"/>
  <c r="U184" i="18"/>
  <c r="T188" i="18"/>
  <c r="J402" i="25"/>
  <c r="X69" i="18"/>
  <c r="S401" i="18"/>
  <c r="V262" i="18"/>
  <c r="T249" i="18"/>
  <c r="U361" i="18"/>
  <c r="U66" i="18"/>
  <c r="V324" i="18"/>
  <c r="R377" i="18"/>
  <c r="U495" i="18"/>
  <c r="I152" i="25"/>
  <c r="Y415" i="18"/>
  <c r="I60" i="25"/>
  <c r="W265" i="18"/>
  <c r="Q25" i="18"/>
  <c r="X50" i="18"/>
  <c r="J127" i="25"/>
  <c r="X26" i="18"/>
  <c r="U41" i="18"/>
  <c r="V44" i="18"/>
  <c r="T442" i="18"/>
  <c r="S61" i="18"/>
  <c r="Y265" i="18"/>
  <c r="V124" i="18"/>
  <c r="S484" i="18"/>
  <c r="U121" i="18"/>
  <c r="I289" i="25"/>
  <c r="Q71" i="18"/>
  <c r="I428" i="25"/>
  <c r="Q207" i="18"/>
  <c r="Y389" i="18"/>
  <c r="Q493" i="18"/>
  <c r="R109" i="18"/>
  <c r="R419" i="18"/>
  <c r="J181" i="25"/>
  <c r="S289" i="18"/>
  <c r="S152" i="18"/>
  <c r="T42" i="18"/>
  <c r="X183" i="18"/>
  <c r="Y29" i="18"/>
  <c r="R154" i="18"/>
  <c r="X182" i="18"/>
  <c r="I110" i="25"/>
  <c r="S313" i="18"/>
  <c r="U357" i="18"/>
  <c r="T96" i="18"/>
  <c r="T210" i="18"/>
  <c r="I397" i="25"/>
  <c r="R263" i="18"/>
  <c r="J76" i="25"/>
  <c r="X354" i="18"/>
  <c r="U450" i="18"/>
  <c r="Y373" i="18"/>
  <c r="R390" i="18"/>
  <c r="I404" i="25"/>
  <c r="T79" i="18"/>
  <c r="X17" i="18"/>
  <c r="R128" i="18"/>
  <c r="X272" i="18"/>
  <c r="J325" i="25"/>
  <c r="X95" i="18"/>
  <c r="W413" i="18"/>
  <c r="Q492" i="18"/>
  <c r="S12" i="18"/>
  <c r="Q449" i="18"/>
  <c r="Q220" i="18"/>
  <c r="W501" i="18"/>
  <c r="R257" i="18"/>
  <c r="V485" i="18"/>
  <c r="R316" i="18"/>
  <c r="Q306" i="18"/>
  <c r="X442" i="18"/>
  <c r="T13" i="18"/>
  <c r="U200" i="18"/>
  <c r="J410" i="25"/>
  <c r="R77" i="18"/>
  <c r="W394" i="18"/>
  <c r="V271" i="18"/>
  <c r="R428" i="18"/>
  <c r="Y20" i="18"/>
  <c r="T474" i="18"/>
  <c r="U43" i="18"/>
  <c r="Q340" i="18"/>
  <c r="U109" i="18"/>
  <c r="X136" i="18"/>
  <c r="J146" i="25"/>
  <c r="V108" i="18"/>
  <c r="I246" i="25"/>
  <c r="X284" i="18"/>
  <c r="Q229" i="18"/>
  <c r="T344" i="18"/>
  <c r="U384" i="18"/>
  <c r="W274" i="18"/>
  <c r="T303" i="18"/>
  <c r="V356" i="18"/>
  <c r="V175" i="18"/>
  <c r="W316" i="18"/>
  <c r="Y396" i="18"/>
  <c r="W329" i="18"/>
  <c r="I36" i="25"/>
  <c r="I46" i="25"/>
  <c r="Q144" i="18"/>
  <c r="J298" i="25"/>
  <c r="U431" i="18"/>
  <c r="U245" i="18"/>
  <c r="W58" i="18"/>
  <c r="T452" i="18"/>
  <c r="U150" i="18"/>
  <c r="W383" i="18"/>
  <c r="Q130" i="18"/>
  <c r="I469" i="25"/>
  <c r="V88" i="18"/>
  <c r="I158" i="25"/>
  <c r="J291" i="25"/>
  <c r="V58" i="18"/>
  <c r="J422" i="25"/>
  <c r="S235" i="18"/>
  <c r="J22" i="25"/>
  <c r="W69" i="18"/>
  <c r="J349" i="25"/>
  <c r="W172" i="18"/>
  <c r="W255" i="18"/>
  <c r="J244" i="25"/>
  <c r="U288" i="18"/>
  <c r="V78" i="18"/>
  <c r="U191" i="18"/>
  <c r="T443" i="18"/>
  <c r="I470" i="25"/>
  <c r="S91" i="18"/>
  <c r="T430" i="18"/>
  <c r="J303" i="25"/>
  <c r="U71" i="18"/>
  <c r="J282" i="25"/>
  <c r="R324" i="18"/>
  <c r="Y360" i="18"/>
  <c r="U341" i="18"/>
  <c r="V72" i="18"/>
  <c r="R161" i="18"/>
  <c r="J371" i="25"/>
  <c r="U130" i="18"/>
  <c r="T465" i="18"/>
  <c r="T212" i="18"/>
  <c r="Q190" i="18"/>
  <c r="W253" i="18"/>
  <c r="R280" i="18"/>
  <c r="Y232" i="18"/>
  <c r="U353" i="18"/>
  <c r="Q46" i="18"/>
  <c r="X40" i="18"/>
  <c r="U405" i="18"/>
  <c r="U354" i="18"/>
  <c r="I274" i="25"/>
  <c r="T234" i="18"/>
  <c r="J226" i="25"/>
  <c r="Q252" i="18"/>
  <c r="I109" i="25"/>
  <c r="Q291" i="18"/>
  <c r="U401" i="18"/>
  <c r="R111" i="18"/>
  <c r="R312" i="18"/>
  <c r="X458" i="18"/>
  <c r="V320" i="18"/>
  <c r="X459" i="18"/>
  <c r="X158" i="18"/>
  <c r="R406" i="18"/>
  <c r="W187" i="18"/>
  <c r="T319" i="18"/>
  <c r="X396" i="18"/>
  <c r="S253" i="18"/>
  <c r="Y379" i="18"/>
  <c r="R48" i="18"/>
  <c r="S143" i="18"/>
  <c r="T242" i="18"/>
  <c r="V154" i="18"/>
  <c r="S252" i="18"/>
  <c r="W141" i="18"/>
  <c r="T170" i="18"/>
  <c r="U373" i="18"/>
  <c r="W215" i="18"/>
  <c r="T103" i="18"/>
  <c r="Y241" i="18"/>
  <c r="Y259" i="18"/>
  <c r="W40" i="18"/>
  <c r="Q132" i="18"/>
  <c r="Y494" i="18"/>
  <c r="T90" i="18"/>
  <c r="Q111" i="18"/>
  <c r="Q363" i="18"/>
  <c r="R473" i="18"/>
  <c r="R178" i="18"/>
  <c r="W282" i="18"/>
  <c r="X503" i="18"/>
  <c r="T27" i="18"/>
  <c r="V191" i="18"/>
  <c r="X28" i="18"/>
  <c r="W424" i="18"/>
  <c r="T396" i="18"/>
  <c r="X478" i="18"/>
  <c r="T176" i="18"/>
  <c r="T417" i="18"/>
  <c r="U296" i="18"/>
  <c r="W432" i="18"/>
  <c r="Q316" i="18"/>
  <c r="V269" i="18"/>
  <c r="X346" i="18"/>
  <c r="X489" i="18"/>
  <c r="X485" i="18"/>
  <c r="U196" i="18"/>
  <c r="R282" i="18"/>
  <c r="X132" i="18"/>
  <c r="S174" i="18"/>
  <c r="W232" i="18"/>
  <c r="T315" i="18"/>
  <c r="S416" i="18"/>
  <c r="Y481" i="18"/>
  <c r="Y334" i="18"/>
  <c r="V67" i="18"/>
  <c r="R8" i="18"/>
  <c r="U294" i="18"/>
  <c r="Y53" i="18"/>
  <c r="S51" i="18"/>
  <c r="T357" i="18"/>
  <c r="Q390" i="18"/>
  <c r="R172" i="18"/>
  <c r="W284" i="18"/>
  <c r="V377" i="18"/>
  <c r="V47" i="18"/>
  <c r="T387" i="18"/>
  <c r="T394" i="18"/>
  <c r="W457" i="18"/>
  <c r="T126" i="18"/>
  <c r="Q361" i="18"/>
  <c r="X310" i="18"/>
  <c r="V490" i="18"/>
  <c r="AC137" i="18"/>
  <c r="AF323" i="18"/>
  <c r="AE201" i="18"/>
  <c r="AH201" i="18" s="true"/>
  <c r="AI201" i="18" s="true"/>
  <c r="AB189" i="18"/>
  <c r="O462" i="18"/>
  <c r="AA394" i="18"/>
  <c r="N154" i="18"/>
  <c r="AB407" i="18"/>
  <c r="O109" i="18"/>
  <c r="AA214" i="18"/>
  <c r="P265" i="18"/>
  <c r="R63" i="18"/>
  <c r="V206" i="18"/>
  <c r="J433" i="25"/>
  <c r="W500" i="18"/>
  <c r="I287" i="25"/>
  <c r="J114" i="25"/>
  <c r="Q97" i="18"/>
  <c r="J251" i="25"/>
  <c r="T473" i="18"/>
  <c r="I106" i="25"/>
  <c r="Y302" i="18"/>
  <c r="Q302" i="18"/>
  <c r="T88" i="18"/>
  <c r="J252" i="25"/>
  <c r="J320" i="25"/>
  <c r="I413" i="25"/>
  <c r="Q159" i="18"/>
  <c r="I340" i="25"/>
  <c r="W87" i="18"/>
  <c r="Y82" i="18"/>
  <c r="J436" i="25"/>
  <c r="S406" i="18"/>
  <c r="V92" i="18"/>
  <c r="I240" i="25"/>
  <c r="R365" i="18"/>
  <c r="S366" i="18"/>
  <c r="I143" i="25"/>
  <c r="Q87" i="18"/>
  <c r="X267" i="18"/>
  <c r="X160" i="18"/>
  <c r="S306" i="18"/>
  <c r="X294" i="18"/>
  <c r="R231" i="18"/>
  <c r="I200" i="25"/>
  <c r="T53" i="18"/>
  <c r="X102" i="18"/>
  <c r="J328" i="25"/>
  <c r="W377" i="18"/>
  <c r="I352" i="25"/>
  <c r="I28" i="25"/>
  <c r="Y477" i="18"/>
  <c r="T399" i="18"/>
  <c r="X19" i="18"/>
  <c r="I193" i="25"/>
  <c r="X441" i="18"/>
  <c r="V463" i="18"/>
  <c r="S80" i="18"/>
  <c r="Y335" i="18"/>
  <c r="J346" i="25"/>
  <c r="R247" i="18"/>
  <c r="Y76" i="18"/>
  <c r="T287" i="18"/>
  <c r="I11" i="25"/>
  <c r="T477" i="18"/>
  <c r="J66" i="25"/>
  <c r="S194" i="18"/>
  <c r="I362" i="25"/>
  <c r="Y165" i="18"/>
  <c r="T401" i="18"/>
  <c r="W254" i="18"/>
  <c r="S441" i="18"/>
  <c r="J47" i="25"/>
  <c r="R298" i="18"/>
  <c r="I245" i="25"/>
  <c r="T492" i="18"/>
  <c r="R181" i="18"/>
  <c r="T48" i="18"/>
  <c r="V338" i="18"/>
  <c r="T406" i="18"/>
  <c r="Y24" i="18"/>
  <c r="T167" i="18"/>
  <c r="J196" i="25"/>
  <c r="S215" i="18"/>
  <c r="W34" i="18"/>
  <c r="S180" i="18"/>
  <c r="V203" i="18"/>
  <c r="W307" i="18"/>
  <c r="Q468" i="18"/>
  <c r="V290" i="18"/>
  <c r="I264" i="25"/>
  <c r="X309" i="18"/>
  <c r="J52" i="25"/>
  <c r="R243" i="18"/>
  <c r="S246" i="18"/>
  <c r="Y333" i="18"/>
  <c r="T145" i="18"/>
  <c r="R150" i="18"/>
  <c r="S506" i="18"/>
  <c r="S457" i="18"/>
  <c r="Q389" i="18"/>
  <c r="U506" i="18"/>
  <c r="S272" i="18"/>
  <c r="U455" i="18"/>
  <c r="V39" i="18"/>
  <c r="S434" i="18"/>
  <c r="S145" i="18"/>
  <c r="X168" i="18"/>
  <c r="S447" i="18"/>
  <c r="T39" i="18"/>
  <c r="T153" i="18"/>
  <c r="X157" i="18"/>
  <c r="Y247" i="18"/>
  <c r="X268" i="18"/>
  <c r="X37" i="18"/>
  <c r="S471" i="18"/>
  <c r="X43" i="18"/>
  <c r="T228" i="18"/>
  <c r="T318" i="18"/>
  <c r="W92" i="18"/>
  <c r="S504" i="18"/>
  <c r="X234" i="18"/>
  <c r="Y430" i="18"/>
  <c r="U417" i="18"/>
  <c r="S228" i="18"/>
  <c r="S288" i="18"/>
  <c r="X334" i="18"/>
  <c r="AE116" i="18"/>
  <c r="AH116" i="18" s="true"/>
  <c r="AI116" i="18" s="true"/>
  <c r="O390" i="18"/>
  <c r="AE100" i="18"/>
  <c r="AD162" i="18"/>
  <c r="P273" i="18"/>
  <c r="P60" i="18"/>
  <c r="AF298" i="18"/>
  <c r="AC31" i="18"/>
  <c r="O172" i="18"/>
  <c r="AB264" i="18"/>
  <c r="AC371" i="18"/>
  <c r="AB417" i="18"/>
  <c r="X329" i="18"/>
  <c r="J99" i="25"/>
  <c r="R22" i="18"/>
  <c r="I26" i="25"/>
  <c r="Q230" i="18"/>
  <c r="V281" i="18"/>
  <c r="V465" i="18"/>
  <c r="V7" i="18"/>
  <c r="U50" i="18"/>
  <c r="J73" i="25"/>
  <c r="X500" i="18"/>
  <c r="J313" i="25"/>
  <c r="Y195" i="18"/>
  <c r="W418" i="18"/>
  <c r="R121" i="18"/>
  <c r="V278" i="18"/>
  <c r="T40" i="18"/>
  <c r="X25" i="18"/>
  <c r="Q48" i="18"/>
  <c r="I411" i="25"/>
  <c r="I446" i="25"/>
  <c r="Y95" i="18"/>
  <c r="Q121" i="18"/>
  <c r="J211" i="25"/>
  <c r="X504" i="18"/>
  <c r="S45" i="18"/>
  <c r="V359" i="18"/>
  <c r="I166" i="25"/>
  <c r="R391" i="18"/>
  <c r="U176" i="18"/>
  <c r="V499" i="18"/>
  <c r="X325" i="18"/>
  <c r="X488" i="18"/>
  <c r="W332" i="18"/>
  <c r="T390" i="18"/>
  <c r="I24" i="25"/>
  <c r="I256" i="25"/>
  <c r="Q482" i="18"/>
  <c r="Q101" i="18"/>
  <c r="I365" i="25"/>
  <c r="Y124" i="18"/>
  <c r="R334" i="18"/>
  <c r="Y439" i="18"/>
  <c r="R450" i="18"/>
  <c r="X14" i="18"/>
  <c r="S55" i="18"/>
  <c r="R504" i="18"/>
  <c r="S320" i="18"/>
  <c r="J201" i="25"/>
  <c r="T73" i="18"/>
  <c r="W224" i="18"/>
  <c r="X429" i="18"/>
  <c r="Q329" i="18"/>
  <c r="W452" i="18"/>
  <c r="I38" i="25"/>
  <c r="Y455" i="18"/>
  <c r="Q451" i="18"/>
  <c r="X273" i="18"/>
  <c r="W504" i="18"/>
  <c r="Q64" i="18"/>
  <c r="I96" i="25"/>
  <c r="J256" i="25"/>
  <c r="U300" i="18"/>
  <c r="J277" i="25"/>
  <c r="Q498" i="18"/>
  <c r="W154" i="18"/>
  <c r="X227" i="18"/>
  <c r="U33" i="18"/>
  <c r="W199" i="18"/>
  <c r="Y136" i="18"/>
  <c r="T384" i="18"/>
  <c r="I260" i="25"/>
  <c r="W163" i="18"/>
  <c r="J92" i="25"/>
  <c r="R453" i="18"/>
  <c r="X383" i="18"/>
  <c r="J342" i="25"/>
  <c r="X283" i="18"/>
  <c r="V487" i="18"/>
  <c r="I452" i="25"/>
  <c r="Y357" i="18"/>
  <c r="I405" i="25"/>
  <c r="Q208" i="18"/>
  <c r="V311" i="18"/>
  <c r="X223" i="18"/>
  <c r="Y228" i="18"/>
  <c r="R159" i="18"/>
  <c r="U26" i="18"/>
  <c r="U168" i="18"/>
  <c r="V222" i="18"/>
  <c r="X457" i="18"/>
  <c r="Q412" i="18"/>
  <c r="Y245" i="18"/>
  <c r="Y326" i="18"/>
  <c r="Q502" i="18"/>
  <c r="R24" i="18"/>
  <c r="R258" i="18"/>
  <c r="U321" i="18"/>
  <c r="S292" i="18"/>
  <c r="Y278" i="18"/>
  <c r="X118" i="18"/>
  <c r="T213" i="18"/>
  <c r="Y243" i="18"/>
  <c r="Y401" i="18"/>
  <c r="V24" i="18"/>
  <c r="S14" i="18"/>
  <c r="V26" i="18"/>
  <c r="T414" i="18"/>
  <c r="R180" i="18"/>
  <c r="T31" i="18"/>
  <c r="R65" i="18"/>
  <c r="T252" i="18"/>
  <c r="U458" i="18"/>
  <c r="Q107" i="18"/>
  <c r="Y174" i="18"/>
  <c r="X476" i="18"/>
  <c r="AA265" i="18"/>
  <c r="AE356" i="18"/>
  <c r="AF176" i="18"/>
  <c r="O481" i="18"/>
  <c r="N22" i="18"/>
  <c r="N364" i="18"/>
  <c r="O173" i="18"/>
  <c r="N269" i="18"/>
  <c r="AB494" i="18"/>
  <c r="AD307" i="18"/>
  <c r="AA74" i="18"/>
  <c r="AB259" i="18"/>
  <c r="AH259" i="18" s="true"/>
  <c r="AI259" i="18" s="true"/>
  <c r="J270" i="25"/>
  <c r="I474" i="25"/>
  <c r="X358" i="18"/>
  <c r="V77" i="18"/>
  <c r="X99" i="18"/>
  <c r="W380" i="18"/>
  <c r="T63" i="18"/>
  <c r="W107" i="18"/>
  <c r="V467" i="18"/>
  <c r="I124" i="25"/>
  <c r="W157" i="18"/>
  <c r="Y268" i="18"/>
  <c r="X289" i="18"/>
  <c r="J293" i="25"/>
  <c r="V340" i="18"/>
  <c r="U481" i="18"/>
  <c r="Q460" i="18"/>
  <c r="W273" i="18"/>
  <c r="U305" i="18"/>
  <c r="I339" i="25"/>
  <c r="S178" i="18"/>
  <c r="S340" i="18"/>
  <c r="Y408" i="18"/>
  <c r="V143" i="18"/>
  <c r="X110" i="18"/>
  <c r="T109" i="18"/>
  <c r="U85" i="18"/>
  <c r="I89" i="25"/>
  <c r="V163" i="18"/>
  <c r="W37" i="18"/>
  <c r="T254" i="18"/>
  <c r="T72" i="18"/>
  <c r="T500" i="18"/>
  <c r="V99" i="18"/>
  <c r="I456" i="25"/>
  <c r="R226" i="18"/>
  <c r="I221" i="25"/>
  <c r="Y187" i="18"/>
  <c r="U438" i="18"/>
  <c r="J208" i="25"/>
  <c r="I29" i="25"/>
  <c r="T125" i="18"/>
  <c r="W405" i="18"/>
  <c r="Q189" i="18"/>
  <c r="S231" i="18"/>
  <c r="T375" i="18"/>
  <c r="V258" i="18"/>
  <c r="W266" i="18"/>
  <c r="J417" i="25"/>
  <c r="T33" i="18"/>
  <c r="U197" i="18"/>
  <c r="V388" i="18"/>
  <c r="W249" i="18"/>
  <c r="S269" i="18"/>
  <c r="I99" i="25"/>
  <c r="Y188" i="18"/>
  <c r="I288" i="25"/>
  <c r="U446" i="18"/>
  <c r="T230" i="18"/>
  <c r="S241" i="18"/>
  <c r="R139" i="18"/>
  <c r="J369" i="25"/>
  <c r="V118" i="18"/>
  <c r="I226" i="25"/>
  <c r="Y32" i="18"/>
  <c r="R404" i="18"/>
  <c r="Q117" i="18"/>
  <c r="R15" i="18"/>
  <c r="S290" i="18"/>
  <c r="V45" i="18"/>
  <c r="W18" i="18"/>
  <c r="I312" i="25"/>
  <c r="S266" i="18"/>
  <c r="X210" i="18"/>
  <c r="U167" i="18"/>
  <c r="Q240" i="18"/>
  <c r="I363" i="25"/>
  <c r="V484" i="18"/>
  <c r="U217" i="18"/>
  <c r="J139" i="25"/>
  <c r="U327" i="18"/>
  <c r="U178" i="18"/>
  <c r="U283" i="18"/>
  <c r="X477" i="18"/>
  <c r="J207" i="25"/>
  <c r="Y161" i="18"/>
  <c r="Y229" i="18"/>
  <c r="U394" i="18"/>
  <c r="Q184" i="18"/>
  <c r="S460" i="18"/>
  <c r="T148" i="18"/>
  <c r="T142" i="18"/>
  <c r="R440" i="18"/>
  <c r="U137" i="18"/>
  <c r="V341" i="18"/>
  <c r="W465" i="18"/>
  <c r="R481" i="18"/>
  <c r="W145" i="18"/>
  <c r="V331" i="18"/>
  <c r="Q21" i="18"/>
  <c r="R72" i="18"/>
  <c r="U77" i="18"/>
  <c r="X101" i="18"/>
  <c r="X106" i="18"/>
  <c r="S390" i="18"/>
  <c r="S242" i="18"/>
  <c r="X466" i="18"/>
  <c r="Q201" i="18"/>
  <c r="S165" i="18"/>
  <c r="Q446" i="18"/>
  <c r="W75" i="18"/>
  <c r="T131" i="18"/>
  <c r="U429" i="18"/>
  <c r="W275" i="18"/>
  <c r="W53" i="18"/>
  <c r="V55" i="18"/>
  <c r="O70" i="18"/>
  <c r="AD8" i="18"/>
  <c r="AF480" i="18"/>
  <c r="AE257" i="18"/>
  <c r="AF121" i="18"/>
  <c r="N151" i="18"/>
  <c r="R191" i="18"/>
  <c r="R218" i="18"/>
  <c r="I70" i="25"/>
  <c r="Q98" i="18"/>
  <c r="J321" i="25"/>
  <c r="Y303" i="18"/>
  <c r="U398" i="18"/>
  <c r="Q123" i="18"/>
  <c r="S404" i="18"/>
  <c r="Q160" i="18"/>
  <c r="S368" i="18"/>
  <c r="I122" i="25"/>
  <c r="T245" i="18"/>
  <c r="Q448" i="18"/>
  <c r="Q411" i="18"/>
  <c r="X349" i="18"/>
  <c r="W326" i="18"/>
  <c r="W478" i="18"/>
  <c r="S201" i="18"/>
  <c r="Y197" i="18"/>
  <c r="V335" i="18"/>
  <c r="Q197" i="18"/>
  <c r="V270" i="18"/>
  <c r="T377" i="18"/>
  <c r="S47" i="18"/>
  <c r="X170" i="18"/>
  <c r="U12" i="18"/>
  <c r="J154" i="25"/>
  <c r="R260" i="18"/>
  <c r="V70" i="18"/>
  <c r="T299" i="18"/>
  <c r="V149" i="18"/>
  <c r="R414" i="18"/>
  <c r="Q200" i="18"/>
  <c r="I262" i="25"/>
  <c r="X222" i="18"/>
  <c r="J474" i="25"/>
  <c r="Q8" i="18"/>
  <c r="R220" i="18"/>
  <c r="J157" i="25"/>
  <c r="Q102" i="18"/>
  <c r="V250" i="18"/>
  <c r="Q139" i="18"/>
  <c r="V273" i="18"/>
  <c r="W12" i="18"/>
  <c r="U306" i="18"/>
  <c r="V125" i="18"/>
  <c r="V342" i="18"/>
  <c r="I442" i="25"/>
  <c r="X235" i="18"/>
  <c r="T468" i="18"/>
  <c r="W51" i="18"/>
  <c r="W170" i="18"/>
  <c r="W491" i="18"/>
  <c r="I457" i="25"/>
  <c r="T99" i="18"/>
  <c r="J199" i="25"/>
  <c r="T69" i="18"/>
  <c r="I188" i="25"/>
  <c r="Y60" i="18"/>
  <c r="V442" i="18"/>
  <c r="I402" i="25"/>
  <c r="W277" i="18"/>
  <c r="V83" i="18"/>
  <c r="S94" i="18"/>
  <c r="Y330" i="18"/>
  <c r="R68" i="18"/>
  <c r="U315" i="18"/>
  <c r="S304" i="18"/>
  <c r="U370" i="18"/>
  <c r="S267" i="18"/>
  <c r="I477" i="25"/>
  <c r="V434" i="18"/>
  <c r="X30" i="18"/>
  <c r="X380" i="18"/>
  <c r="T400" i="18"/>
  <c r="I177" i="25"/>
  <c r="Y22" i="18"/>
  <c r="R394" i="18"/>
  <c r="J12" i="25"/>
  <c r="S148" i="18"/>
  <c r="U169" i="18"/>
  <c r="U64" i="18"/>
  <c r="X236" i="18"/>
  <c r="J461" i="25"/>
  <c r="U185" i="18"/>
  <c r="R49" i="18"/>
  <c r="V14" i="18"/>
  <c r="W94" i="18"/>
  <c r="U309" i="18"/>
  <c r="T207" i="18"/>
  <c r="R410" i="18"/>
  <c r="R470" i="18"/>
  <c r="T446" i="18"/>
  <c r="W503" i="18"/>
  <c r="U156" i="18"/>
  <c r="S338" i="18"/>
  <c r="X261" i="18"/>
  <c r="T455" i="18"/>
  <c r="R170" i="18"/>
  <c r="Y410" i="18"/>
  <c r="Y185" i="18"/>
  <c r="R85" i="18"/>
  <c r="X403" i="18"/>
  <c r="S502" i="18"/>
  <c r="U261" i="18"/>
  <c r="R241" i="18"/>
  <c r="V328" i="18"/>
  <c r="X194" i="18"/>
  <c r="W490" i="18"/>
  <c r="Y437" i="18"/>
  <c r="V158" i="18"/>
  <c r="S470" i="18"/>
  <c r="T244" i="18"/>
  <c r="R236" i="18"/>
  <c r="V208" i="18"/>
  <c r="P319" i="18"/>
  <c r="AF237" i="18"/>
  <c r="AF488" i="18"/>
  <c r="P468" i="18"/>
  <c r="O28" i="18"/>
  <c r="AB390" i="18"/>
  <c r="AB177" i="18"/>
  <c r="AA372" i="18"/>
  <c r="AA423" i="18"/>
  <c r="O25" i="18"/>
  <c r="AE321" i="18"/>
  <c r="AC131" i="18"/>
  <c r="Y469" i="18"/>
  <c r="V195" i="18"/>
  <c r="V41" i="18"/>
  <c r="W367" i="18"/>
  <c r="X259" i="18"/>
  <c r="T81" i="18"/>
  <c r="Y101" i="18"/>
  <c r="V348" i="18"/>
  <c r="I427" i="25"/>
  <c r="Y248" i="18"/>
  <c r="X61" i="18"/>
  <c r="V322" i="18"/>
  <c r="I498" i="25"/>
  <c r="W285" i="18"/>
  <c r="I453" i="25"/>
  <c r="J53" i="25"/>
  <c r="X218" i="18"/>
  <c r="J166" i="25"/>
  <c r="S357" i="18"/>
  <c r="Q52" i="18"/>
  <c r="U358" i="18"/>
  <c r="R286" i="18"/>
  <c r="T316" i="18"/>
  <c r="S8" i="18"/>
  <c r="Y13" i="18"/>
  <c r="Q60" i="18"/>
  <c r="S369" i="18"/>
  <c r="J218" i="25"/>
  <c r="S259" i="18"/>
  <c r="T18" i="18"/>
  <c r="U334" i="18"/>
  <c r="T225" i="18"/>
  <c r="X397" i="18"/>
  <c r="T111" i="18"/>
  <c r="Y460" i="18"/>
  <c r="U319" i="18"/>
  <c r="I230" i="25"/>
  <c r="Y40" i="18"/>
  <c r="S245" i="18"/>
  <c r="J87" i="25"/>
  <c r="Y472" i="18"/>
  <c r="W264" i="18"/>
  <c r="X232" i="18"/>
  <c r="J136" i="25"/>
  <c r="Y31" i="18"/>
  <c r="X177" i="18"/>
  <c r="W262" i="18"/>
  <c r="W415" i="18"/>
  <c r="I87" i="25"/>
  <c r="X323" i="18"/>
  <c r="S32" i="18"/>
  <c r="U37" i="18"/>
  <c r="R98" i="18"/>
  <c r="R383" i="18"/>
  <c r="I430" i="25"/>
  <c r="V254" i="18"/>
  <c r="I423" i="25"/>
  <c r="W175" i="18"/>
  <c r="J414" i="25"/>
  <c r="R62" i="18"/>
  <c r="W70" i="18"/>
  <c r="J246" i="25"/>
  <c r="U222" i="18"/>
  <c r="T391" i="18"/>
  <c r="S159" i="18"/>
  <c r="X484" i="18"/>
  <c r="Q92" i="18"/>
  <c r="X337" i="18"/>
  <c r="V274" i="18"/>
  <c r="X467" i="18"/>
  <c r="T49" i="18"/>
  <c r="J336" i="25"/>
  <c r="U8" i="18"/>
  <c r="T34" i="18"/>
  <c r="Y139" i="18"/>
  <c r="S75" i="18"/>
  <c r="J418" i="25"/>
  <c r="R291" i="18"/>
  <c r="T194" i="18"/>
  <c r="J185" i="25"/>
  <c r="X172" i="18"/>
  <c r="S381" i="18"/>
  <c r="Y143" i="18"/>
  <c r="R25" i="18"/>
  <c r="I454" i="25"/>
  <c r="Y215" i="18"/>
  <c r="T165" i="18"/>
  <c r="V349" i="18"/>
  <c r="T60" i="18"/>
  <c r="U496" i="18"/>
  <c r="R75" i="18"/>
  <c r="X184" i="18"/>
  <c r="T343" i="18"/>
  <c r="Y97" i="18"/>
  <c r="U18" i="18"/>
  <c r="X65" i="18"/>
  <c r="X292" i="18"/>
  <c r="S321" i="18"/>
  <c r="W225" i="18"/>
  <c r="V429" i="18"/>
  <c r="Q485" i="18"/>
  <c r="S78" i="18"/>
  <c r="R351" i="18"/>
  <c r="R142" i="18"/>
  <c r="S372" i="18"/>
  <c r="W149" i="18"/>
  <c r="Q171" i="18"/>
  <c r="Q297" i="18"/>
  <c r="S99" i="18"/>
  <c r="X450" i="18"/>
  <c r="T10" i="18"/>
  <c r="S418" i="18"/>
  <c r="Y150" i="18"/>
  <c r="S312" i="18"/>
  <c r="W328" i="18"/>
  <c r="Q203" i="18"/>
  <c r="X404" i="18"/>
  <c r="R233" i="18"/>
  <c r="I53" i="25"/>
  <c r="V9" i="18"/>
  <c r="I100" i="25"/>
  <c r="W84" i="18"/>
  <c r="T199" i="18"/>
  <c r="J469" i="25"/>
  <c r="S158" i="18"/>
  <c r="T214" i="18"/>
  <c r="J269" i="25"/>
  <c r="Q33" i="18"/>
  <c r="V285" i="18"/>
  <c r="S36" i="18"/>
  <c r="Q490" i="18"/>
  <c r="V478" i="18"/>
  <c r="Y63" i="18"/>
  <c r="I335" i="25"/>
  <c r="X301" i="18"/>
  <c r="U263" i="18"/>
  <c r="X384" i="18"/>
  <c r="Y107" i="18"/>
  <c r="Y351" i="18"/>
  <c r="W402" i="18"/>
  <c r="I85" i="25"/>
  <c r="R491" i="18"/>
  <c r="J78" i="25"/>
  <c r="I332" i="25"/>
  <c r="W79" i="18"/>
  <c r="X47" i="18"/>
  <c r="T138" i="18"/>
  <c r="X343" i="18"/>
  <c r="J19" i="25"/>
  <c r="J209" i="25"/>
  <c r="V364" i="18"/>
  <c r="J202" i="25"/>
  <c r="Y359" i="18"/>
  <c r="R366" i="18"/>
  <c r="W361" i="18"/>
  <c r="W148" i="18"/>
  <c r="S443" i="18"/>
  <c r="Q140" i="18"/>
  <c r="R114" i="18"/>
  <c r="R301" i="18"/>
  <c r="V283" i="18"/>
  <c r="J168" i="25"/>
  <c r="U364" i="18"/>
  <c r="X209" i="18"/>
  <c r="J37" i="25"/>
  <c r="R179" i="18"/>
  <c r="W466" i="18"/>
  <c r="R207" i="18"/>
  <c r="X46" i="18"/>
  <c r="U212" i="18"/>
  <c r="I86" i="25"/>
  <c r="I473" i="25"/>
  <c r="R45" i="18"/>
  <c r="X453" i="18"/>
  <c r="J144" i="25"/>
  <c r="T146" i="18"/>
  <c r="S132" i="18"/>
  <c r="Q118" i="18"/>
  <c r="U135" i="18"/>
  <c r="U55" i="18"/>
  <c r="T226" i="18"/>
  <c r="T276" i="18"/>
  <c r="W464" i="18"/>
  <c r="U426" i="18"/>
  <c r="V289" i="18"/>
  <c r="V296" i="18"/>
  <c r="Y173" i="18"/>
  <c r="Y298" i="18"/>
  <c r="T229" i="18"/>
  <c r="U63" i="18"/>
  <c r="I357" i="25"/>
  <c r="V10" i="18"/>
  <c r="U395" i="18"/>
  <c r="S417" i="18"/>
  <c r="R265" i="18"/>
  <c r="J261" i="25"/>
  <c r="S424" i="18"/>
  <c r="T275" i="18"/>
  <c r="Y64" i="18"/>
  <c r="Q479" i="18"/>
  <c r="Y122" i="18"/>
  <c r="V43" i="18"/>
  <c r="V496" i="18"/>
  <c r="Y212" i="18"/>
  <c r="Y121" i="18"/>
  <c r="S415" i="18"/>
  <c r="R505" i="18"/>
  <c r="Y86" i="18"/>
  <c r="U352" i="18"/>
  <c r="V264" i="18"/>
  <c r="Y441" i="18"/>
  <c r="Q20" i="18"/>
  <c r="S386" i="18"/>
  <c r="Q137" i="18"/>
  <c r="W26" i="18"/>
  <c r="X410" i="18"/>
  <c r="T151" i="18"/>
  <c r="Q360" i="18"/>
  <c r="T264" i="18"/>
  <c r="R484" i="18"/>
  <c r="R162" i="18"/>
  <c r="X156" i="18"/>
  <c r="Q198" i="18"/>
  <c r="V406" i="18"/>
  <c r="Q224" i="18"/>
  <c r="Y87" i="18"/>
  <c r="X492" i="18"/>
  <c r="V233" i="18"/>
  <c r="S453" i="18"/>
  <c r="T498" i="18"/>
  <c r="U366" i="18"/>
  <c r="W336" i="18"/>
  <c r="Q77" i="18"/>
  <c r="S56" i="18"/>
  <c r="S181" i="18"/>
  <c r="V97" i="18"/>
  <c r="Y440" i="18"/>
  <c r="X121" i="18"/>
  <c r="S358" i="18"/>
  <c r="S153" i="18"/>
  <c r="R497" i="18"/>
  <c r="U136" i="18"/>
  <c r="W287" i="18"/>
  <c r="I466" i="25"/>
  <c r="V362" i="18"/>
  <c r="Y264" i="18"/>
  <c r="Q458" i="18"/>
  <c r="I494" i="25"/>
  <c r="I463" i="25"/>
  <c r="Y252" i="18"/>
  <c r="R101" i="18"/>
  <c r="Y458" i="18"/>
  <c r="I348" i="25"/>
  <c r="U503" i="18"/>
  <c r="W16" i="18"/>
  <c r="V357" i="18"/>
  <c r="J192" i="25"/>
  <c r="S496" i="18"/>
  <c r="J98" i="25"/>
  <c r="U289" i="18"/>
  <c r="Q239" i="18"/>
  <c r="Q187" i="18"/>
  <c r="W425" i="18"/>
  <c r="T174" i="18"/>
  <c r="X38" i="18"/>
  <c r="Y501" i="18"/>
  <c r="S74" i="18"/>
  <c r="S464" i="18"/>
  <c r="J30" i="25"/>
  <c r="I202" i="25"/>
  <c r="W140" i="18"/>
  <c r="J232" i="25"/>
  <c r="I220" i="25"/>
  <c r="V407" i="18"/>
  <c r="J80" i="25"/>
  <c r="T119" i="18"/>
  <c r="X197" i="18"/>
  <c r="W162" i="18"/>
  <c r="Q192" i="18"/>
  <c r="V303" i="18"/>
  <c r="W13" i="18"/>
  <c r="T355" i="18"/>
  <c r="J304" i="25"/>
  <c r="X300" i="18"/>
  <c r="R475" i="18"/>
  <c r="S374" i="18"/>
  <c r="X417" i="18"/>
  <c r="I488" i="25"/>
  <c r="T104" i="18"/>
  <c r="R108" i="18"/>
  <c r="J411" i="25"/>
  <c r="T160" i="18"/>
  <c r="J464" i="25"/>
  <c r="Y56" i="18"/>
  <c r="X238" i="18"/>
  <c r="T263" i="18"/>
  <c r="X103" i="18"/>
  <c r="Y312" i="18"/>
  <c r="S342" i="18"/>
  <c r="J123" i="25"/>
  <c r="R307" i="18"/>
  <c r="Q450" i="18"/>
  <c r="R500" i="18"/>
  <c r="W243" i="18"/>
  <c r="V65" i="18"/>
  <c r="S446" i="18"/>
  <c r="S92" i="18"/>
  <c r="Y491" i="18"/>
  <c r="S134" i="18"/>
  <c r="J354" i="25"/>
  <c r="T54" i="18"/>
  <c r="Q440" i="18"/>
  <c r="I133" i="25"/>
  <c r="W208" i="18"/>
  <c r="S68" i="18"/>
  <c r="J315" i="25"/>
  <c r="S329" i="18"/>
  <c r="Q258" i="18"/>
  <c r="S42" i="18"/>
  <c r="I358" i="25"/>
  <c r="X243" i="18"/>
  <c r="X332" i="18"/>
  <c r="J188" i="25"/>
  <c r="W164" i="18"/>
  <c r="Y162" i="18"/>
  <c r="W445" i="18"/>
  <c r="S220" i="18"/>
  <c r="S423" i="18"/>
  <c r="T368" i="18"/>
  <c r="T107" i="18"/>
  <c r="X97" i="18"/>
  <c r="Y28" i="18"/>
  <c r="Q434" i="18"/>
  <c r="U127" i="18"/>
  <c r="R165" i="18"/>
  <c r="T288" i="18"/>
  <c r="T464" i="18"/>
  <c r="J236" i="25"/>
  <c r="Y210" i="18"/>
  <c r="W471" i="18"/>
  <c r="U332" i="18"/>
  <c r="U202" i="18"/>
  <c r="Q355" i="18"/>
  <c r="X241" i="18"/>
  <c r="U493" i="18"/>
  <c r="V123" i="18"/>
  <c r="Q205" i="18"/>
  <c r="Q397" i="18"/>
  <c r="R169" i="18"/>
  <c r="X72" i="18"/>
  <c r="V202" i="18"/>
  <c r="V130" i="18"/>
  <c r="X425" i="18"/>
  <c r="T359" i="18"/>
  <c r="Y444" i="18"/>
  <c r="V165" i="18"/>
  <c r="U371" i="18"/>
  <c r="V302" i="18"/>
  <c r="S333" i="18"/>
  <c r="U380" i="18"/>
  <c r="Y324" i="18"/>
  <c r="T438" i="18"/>
  <c r="Y475" i="18"/>
  <c r="X201" i="18"/>
  <c r="I59" i="25"/>
  <c r="Q194" i="18"/>
  <c r="J205" i="25"/>
  <c r="J83" i="25"/>
  <c r="I465" i="25"/>
  <c r="R279" i="18"/>
  <c r="Q45" i="18"/>
  <c r="Y275" i="18"/>
  <c r="W93" i="18"/>
  <c r="I101" i="25"/>
  <c r="I323" i="25"/>
  <c r="J164" i="25"/>
  <c r="I447" i="25"/>
  <c r="X319" i="18"/>
  <c r="W102" i="18"/>
  <c r="R315" i="18"/>
  <c r="I255" i="25"/>
  <c r="R252" i="18"/>
  <c r="S23" i="18"/>
  <c r="T25" i="18"/>
  <c r="J423" i="25"/>
  <c r="S172" i="18"/>
  <c r="W473" i="18"/>
  <c r="Q80" i="18"/>
  <c r="J278" i="25"/>
  <c r="Q76" i="18"/>
  <c r="I497" i="25"/>
  <c r="Y104" i="18"/>
  <c r="U376" i="18"/>
  <c r="R328" i="18"/>
  <c r="I148" i="25"/>
  <c r="V174" i="18"/>
  <c r="Q381" i="18"/>
  <c r="I344" i="25"/>
  <c r="U114" i="18"/>
  <c r="I138" i="25"/>
  <c r="J351" i="25"/>
  <c r="V330" i="18"/>
  <c r="I186" i="25"/>
  <c r="Q327" i="18"/>
  <c r="T247" i="18"/>
  <c r="J438" i="25"/>
  <c r="Y54" i="18"/>
  <c r="V498" i="18"/>
  <c r="S345" i="18"/>
  <c r="X176" i="18"/>
  <c r="I393" i="25"/>
  <c r="T295" i="18"/>
  <c r="J124" i="25"/>
  <c r="Q232" i="18"/>
  <c r="V299" i="18"/>
  <c r="Q288" i="18"/>
  <c r="V61" i="18"/>
  <c r="Y387" i="18"/>
  <c r="I399" i="25"/>
  <c r="X33" i="18"/>
  <c r="J490" i="25"/>
  <c r="J292" i="25"/>
  <c r="S164" i="18"/>
  <c r="S265" i="18"/>
  <c r="R67" i="18"/>
  <c r="U70" i="18"/>
  <c r="Q163" i="18"/>
  <c r="I176" i="25"/>
  <c r="Q74" i="18"/>
  <c r="X269" i="18"/>
  <c r="X239" i="18"/>
  <c r="Q369" i="18"/>
  <c r="V334" i="18"/>
  <c r="R106" i="18"/>
  <c r="T149" i="18"/>
  <c r="Y83" i="18"/>
  <c r="I356" i="25"/>
  <c r="J383" i="25"/>
  <c r="Y452" i="18"/>
  <c r="Y184" i="18"/>
  <c r="I448" i="25"/>
  <c r="U258" i="18"/>
  <c r="X271" i="18"/>
  <c r="I443" i="25"/>
  <c r="V373" i="18"/>
  <c r="Q233" i="18"/>
  <c r="U187" i="18"/>
  <c r="Y33" i="18"/>
  <c r="Y179" i="18"/>
  <c r="S244" i="18"/>
  <c r="J160" i="25"/>
  <c r="Y112" i="18"/>
  <c r="W240" i="18"/>
  <c r="Q497" i="18"/>
  <c r="X362" i="18"/>
  <c r="R189" i="18"/>
  <c r="S141" i="18"/>
  <c r="T121" i="18"/>
  <c r="U73" i="18"/>
  <c r="S481" i="18"/>
  <c r="X214" i="18"/>
  <c r="T47" i="18"/>
  <c r="V345" i="18"/>
  <c r="Y300" i="18"/>
  <c r="S407" i="18"/>
  <c r="J376" i="25"/>
  <c r="X365" i="18"/>
  <c r="X279" i="18"/>
  <c r="W290" i="18"/>
  <c r="U350" i="18"/>
  <c r="S35" i="18"/>
  <c r="V417" i="18"/>
  <c r="U274" i="18"/>
  <c r="R408" i="18"/>
  <c r="T71" i="18"/>
  <c r="T434" i="18"/>
  <c r="U473" i="18"/>
  <c r="T122" i="18"/>
  <c r="W392" i="18"/>
  <c r="V177" i="18"/>
  <c r="S204" i="18"/>
  <c r="W323" i="18"/>
  <c r="X124" i="18"/>
  <c r="X217" i="18"/>
  <c r="V255" i="18"/>
  <c r="V313" i="18"/>
  <c r="W127" i="18"/>
  <c r="Q292" i="18"/>
  <c r="T381" i="18"/>
  <c r="X486" i="18"/>
  <c r="W327" i="18"/>
  <c r="J390" i="25"/>
  <c r="I461" i="25"/>
  <c r="X257" i="18"/>
  <c r="Q410" i="18"/>
  <c r="U449" i="18"/>
  <c r="W454" i="18"/>
  <c r="W358" i="18"/>
  <c r="J276" i="25"/>
  <c r="J280" i="25"/>
  <c r="J385" i="25"/>
  <c r="J389" i="25"/>
  <c r="T191" i="18"/>
  <c r="I291" i="25"/>
  <c r="W324" i="18"/>
  <c r="J289" i="25"/>
  <c r="Y488" i="18"/>
  <c r="Y209" i="18"/>
  <c r="S39" i="18"/>
  <c r="J102" i="25"/>
  <c r="R293" i="18"/>
  <c r="V443" i="18"/>
  <c r="I37" i="25"/>
  <c r="I97" i="25"/>
  <c r="X255" i="18"/>
  <c r="X330" i="18"/>
  <c r="Y115" i="18"/>
  <c r="J173" i="25"/>
  <c r="J50" i="25"/>
  <c r="I293" i="25"/>
  <c r="X498" i="18"/>
  <c r="U54" i="18"/>
  <c r="I146" i="25"/>
  <c r="W239" i="18"/>
  <c r="T22" i="18"/>
  <c r="I284" i="25"/>
  <c r="V219" i="18"/>
  <c r="I292" i="25"/>
  <c r="Q219" i="18"/>
  <c r="V54" i="18"/>
  <c r="I68" i="25"/>
  <c r="U331" i="18"/>
  <c r="I250" i="25"/>
  <c r="T421" i="18"/>
  <c r="V316" i="18"/>
  <c r="I219" i="25"/>
  <c r="U25" i="18"/>
  <c r="I182" i="25"/>
  <c r="T346" i="18"/>
  <c r="V446" i="18"/>
  <c r="S479" i="18"/>
  <c r="W268" i="18"/>
  <c r="Y299" i="18"/>
  <c r="I364" i="25"/>
  <c r="W166" i="18"/>
  <c r="Q109" i="18"/>
  <c r="I120" i="25"/>
  <c r="R289" i="18"/>
  <c r="X142" i="18"/>
  <c r="U314" i="18"/>
  <c r="T238" i="18"/>
  <c r="S188" i="18"/>
  <c r="J424" i="25"/>
  <c r="Q359" i="18"/>
  <c r="S255" i="18"/>
  <c r="T179" i="18"/>
  <c r="Y45" i="18"/>
  <c r="W300" i="18"/>
  <c r="S104" i="18"/>
  <c r="R202" i="18"/>
  <c r="S214" i="18"/>
  <c r="J379" i="25"/>
  <c r="J248" i="25"/>
  <c r="W74" i="18"/>
  <c r="X440" i="18"/>
  <c r="I174" i="25"/>
  <c r="Y301" i="18"/>
  <c r="W480" i="18"/>
  <c r="I205" i="25"/>
  <c r="W294" i="18"/>
  <c r="T300" i="18"/>
  <c r="X394" i="18"/>
  <c r="Y49" i="18"/>
  <c r="V247" i="18"/>
  <c r="X191" i="18"/>
  <c r="J147" i="25"/>
  <c r="R116" i="18"/>
  <c r="R31" i="18"/>
  <c r="S26" i="18"/>
  <c r="Q471" i="18"/>
  <c r="S123" i="18"/>
  <c r="T419" i="18"/>
  <c r="X122" i="18"/>
  <c r="W207" i="18"/>
  <c r="S392" i="18"/>
  <c r="U374" i="18"/>
  <c r="Y7" i="18"/>
  <c r="I328" i="25"/>
  <c r="V392" i="18"/>
  <c r="X438" i="18"/>
  <c r="I485" i="25"/>
  <c r="T135" i="18"/>
  <c r="U65" i="18"/>
  <c r="X74" i="18"/>
  <c r="W314" i="18"/>
  <c r="V53" i="18"/>
  <c r="R190" i="18"/>
  <c r="W235" i="18"/>
  <c r="T37" i="18"/>
  <c r="R461" i="18"/>
  <c r="Y435" i="18"/>
  <c r="Q30" i="18"/>
  <c r="Y407" i="18"/>
  <c r="R206" i="18"/>
  <c r="U467" i="18"/>
  <c r="S286" i="18"/>
  <c r="S275" i="18"/>
  <c r="W401" i="18"/>
  <c r="S400" i="18"/>
  <c r="X420" i="18"/>
  <c r="W139" i="18"/>
  <c r="W496" i="18"/>
  <c r="X392" i="18"/>
  <c r="V454" i="18"/>
  <c r="S450" i="18"/>
  <c r="X44" i="18"/>
  <c r="X367" i="18"/>
  <c r="Y155" i="18"/>
  <c r="I49" i="25"/>
  <c r="Y470" i="18"/>
  <c r="W110" i="18"/>
  <c r="W260" i="18"/>
  <c r="J233" i="25"/>
  <c r="J295" i="25"/>
  <c r="R313" i="18"/>
  <c r="R30" i="18"/>
  <c r="I353" i="25"/>
  <c r="I336" i="25"/>
  <c r="J28" i="25"/>
  <c r="Y296" i="18"/>
  <c r="J210" i="25"/>
  <c r="U22" i="18"/>
  <c r="I157" i="25"/>
  <c r="X290" i="18"/>
  <c r="Y126" i="18"/>
  <c r="X130" i="18"/>
  <c r="I400" i="25"/>
  <c r="S505" i="18"/>
  <c r="V358" i="18"/>
  <c r="I314" i="25"/>
  <c r="R211" i="18"/>
  <c r="Y412" i="18"/>
  <c r="T256" i="18"/>
  <c r="R192" i="18"/>
  <c r="I76" i="25"/>
  <c r="I401" i="25"/>
  <c r="I81" i="25"/>
  <c r="Q267" i="18"/>
  <c r="T124" i="18"/>
  <c r="J288" i="25"/>
  <c r="V272" i="18"/>
  <c r="Y62" i="18"/>
  <c r="J4" i="25"/>
  <c r="V38" i="18"/>
  <c r="I410" i="25"/>
  <c r="U386" i="18"/>
  <c r="V188" i="18"/>
  <c r="I169" i="25"/>
  <c r="V127" i="18"/>
  <c r="T46" i="18"/>
  <c r="R430" i="18"/>
  <c r="X324" i="18"/>
  <c r="I27" i="25"/>
  <c r="T219" i="18"/>
  <c r="J399" i="25"/>
  <c r="S448" i="18"/>
  <c r="R136" i="18"/>
  <c r="T132" i="18"/>
  <c r="S309" i="18"/>
  <c r="S421" i="18"/>
  <c r="I475" i="25"/>
  <c r="T36" i="18"/>
  <c r="V367" i="18"/>
  <c r="I58" i="25"/>
  <c r="Q108" i="18"/>
  <c r="I117" i="25"/>
  <c r="R214" i="18"/>
  <c r="Y240" i="18"/>
  <c r="Y414" i="18"/>
  <c r="I286" i="25"/>
  <c r="T351" i="18"/>
  <c r="Y474" i="18"/>
  <c r="S361" i="18"/>
  <c r="W86" i="18"/>
  <c r="Q463" i="18"/>
  <c r="Y88" i="18"/>
  <c r="V212" i="18"/>
  <c r="W311" i="18"/>
  <c r="I479" i="25"/>
  <c r="Q61" i="18"/>
  <c r="X302" i="18"/>
  <c r="T76" i="18"/>
  <c r="I283" i="25"/>
  <c r="Q54" i="18"/>
  <c r="W333" i="18"/>
  <c r="J332" i="25"/>
  <c r="T307" i="18"/>
  <c r="W411" i="18"/>
  <c r="S327" i="18"/>
  <c r="U119" i="18"/>
  <c r="X15" i="18"/>
  <c r="T373" i="18"/>
  <c r="J10" i="25"/>
  <c r="Q31" i="18"/>
  <c r="R222" i="18"/>
  <c r="W120" i="18"/>
  <c r="U367" i="18"/>
  <c r="X407" i="18"/>
  <c r="R501" i="18"/>
  <c r="Y270" i="18"/>
  <c r="S376" i="18"/>
  <c r="T431" i="18"/>
  <c r="U172" i="18"/>
  <c r="Q96" i="18"/>
  <c r="J446" i="25"/>
  <c r="T427" i="18"/>
  <c r="V223" i="18"/>
  <c r="I9" i="25"/>
  <c r="Q257" i="18"/>
  <c r="W399" i="18"/>
  <c r="Y238" i="18"/>
  <c r="R55" i="18"/>
  <c r="X149" i="18"/>
  <c r="Y279" i="18"/>
  <c r="Y34" i="18"/>
  <c r="Q114" i="18"/>
  <c r="R457" i="18"/>
  <c r="T224" i="18"/>
  <c r="R195" i="18"/>
  <c r="T415" i="18"/>
  <c r="Y419" i="18"/>
  <c r="S200" i="18"/>
  <c r="W345" i="18"/>
  <c r="X386" i="18"/>
  <c r="W133" i="18"/>
  <c r="Y167" i="18"/>
  <c r="X202" i="18"/>
  <c r="T113" i="18"/>
  <c r="Y262" i="18"/>
  <c r="Q29" i="18"/>
  <c r="S120" i="18"/>
  <c r="X260" i="18"/>
  <c r="R288" i="18"/>
  <c r="V50" i="18"/>
  <c r="T29" i="18"/>
  <c r="J54" i="25"/>
  <c r="J67" i="25"/>
  <c r="X166" i="18"/>
  <c r="S210" i="18"/>
  <c r="I227" i="25"/>
  <c r="W21" i="18"/>
  <c r="I126" i="25"/>
  <c r="R227" i="18"/>
  <c r="I285" i="25"/>
  <c r="V21" i="18"/>
  <c r="I303" i="25"/>
  <c r="U427" i="18"/>
  <c r="Q322" i="18"/>
  <c r="V503" i="18"/>
  <c r="I329" i="25"/>
  <c r="V444" i="18"/>
  <c r="R137" i="18"/>
  <c r="J184" i="25"/>
  <c r="V483" i="18"/>
  <c r="S391" i="18"/>
  <c r="S142" i="18"/>
  <c r="U292" i="18"/>
  <c r="J366" i="25"/>
  <c r="Q237" i="18"/>
  <c r="J287" i="25"/>
  <c r="Y361" i="18"/>
  <c r="S70" i="18"/>
  <c r="J396" i="25"/>
  <c r="S258" i="18"/>
  <c r="W349" i="18"/>
  <c r="Q213" i="18"/>
  <c r="T52" i="18"/>
  <c r="J230" i="25"/>
  <c r="X389" i="18"/>
  <c r="W221" i="18"/>
  <c r="J240" i="25"/>
  <c r="V95" i="18"/>
  <c r="Q99" i="18"/>
  <c r="X494" i="18"/>
  <c r="U339" i="18"/>
  <c r="I121" i="25"/>
  <c r="S89" i="18"/>
  <c r="I416" i="25"/>
  <c r="W137" i="18"/>
  <c r="R442" i="18"/>
  <c r="U504" i="18"/>
  <c r="T444" i="18"/>
  <c r="S270" i="18"/>
  <c r="I297" i="25"/>
  <c r="T168" i="18"/>
  <c r="S206" i="18"/>
  <c r="I10" i="25"/>
  <c r="V52" i="18"/>
  <c r="I382" i="25"/>
  <c r="R17" i="18"/>
  <c r="X281" i="18"/>
  <c r="X296" i="18"/>
  <c r="J405" i="25"/>
  <c r="T448" i="18"/>
  <c r="Y292" i="18"/>
  <c r="W152" i="18"/>
  <c r="S29" i="18"/>
  <c r="Y429" i="18"/>
  <c r="Y336" i="18"/>
  <c r="V144" i="18"/>
  <c r="R480" i="18"/>
  <c r="S346" i="18"/>
  <c r="Q310" i="18"/>
  <c r="X108" i="18"/>
  <c r="R471" i="18"/>
  <c r="J322" i="25"/>
  <c r="W68" i="18"/>
  <c r="R445" i="18"/>
  <c r="J352" i="25"/>
  <c r="R269" i="18"/>
  <c r="X208" i="18"/>
  <c r="Y137" i="18"/>
  <c r="U84" i="18"/>
  <c r="V383" i="18"/>
  <c r="Q453" i="18"/>
  <c r="Q113" i="18"/>
  <c r="Y362" i="18"/>
  <c r="V286" i="18"/>
  <c r="Q415" i="18"/>
  <c r="S397" i="18"/>
  <c r="S334" i="18"/>
  <c r="Y113" i="18"/>
  <c r="Q268" i="18"/>
  <c r="W80" i="18"/>
  <c r="S444" i="18"/>
  <c r="U157" i="18"/>
  <c r="Q324" i="18"/>
  <c r="I21" i="25"/>
  <c r="S331" i="18"/>
  <c r="T15" i="18"/>
  <c r="V293" i="18"/>
  <c r="T314" i="18"/>
  <c r="R213" i="18"/>
  <c r="Y371" i="18"/>
  <c r="Q439" i="18"/>
  <c r="R237" i="18"/>
  <c r="R51" i="18"/>
  <c r="Y75" i="18"/>
  <c r="R18" i="18"/>
  <c r="U231" i="18"/>
  <c r="Q202" i="18"/>
  <c r="V475" i="18"/>
  <c r="W475" i="18"/>
  <c r="U39" i="18"/>
  <c r="V243" i="18"/>
  <c r="Q122" i="18"/>
  <c r="R395" i="18"/>
  <c r="Q212" i="18"/>
  <c r="U211" i="18"/>
  <c r="X59" i="18"/>
  <c r="V402" i="18"/>
  <c r="Y352" i="18"/>
  <c r="X393" i="18"/>
  <c r="Y189" i="18"/>
  <c r="W279" i="18"/>
  <c r="X76" i="18"/>
  <c r="S353" i="18"/>
  <c r="W351" i="18"/>
  <c r="U280" i="18"/>
  <c r="Y443" i="18"/>
  <c r="T330" i="18"/>
  <c r="I40" i="25"/>
  <c r="R52" i="18"/>
  <c r="S83" i="18"/>
  <c r="Y450" i="18"/>
  <c r="U90" i="18"/>
  <c r="S140" i="18"/>
  <c r="S458" i="18"/>
  <c r="J275" i="25"/>
  <c r="V436" i="18"/>
  <c r="W242" i="18"/>
  <c r="X414" i="18"/>
  <c r="J440" i="25"/>
  <c r="Y306" i="18"/>
  <c r="U474" i="18"/>
  <c r="U209" i="18"/>
  <c r="I23" i="25"/>
  <c r="V242" i="18"/>
  <c r="S108" i="18"/>
  <c r="R41" i="18"/>
  <c r="Y314" i="18"/>
  <c r="R398" i="18"/>
  <c r="W214" i="18"/>
  <c r="W398" i="18"/>
  <c r="X39" i="18"/>
  <c r="T356" i="18"/>
  <c r="Q275" i="18"/>
  <c r="U205" i="18"/>
  <c r="T336" i="18"/>
  <c r="T223" i="18"/>
  <c r="V346" i="18"/>
  <c r="Y422" i="18"/>
  <c r="W77" i="18"/>
  <c r="U262" i="18"/>
  <c r="X412" i="18"/>
  <c r="T101" i="18"/>
  <c r="R177" i="18"/>
  <c r="Q464" i="18"/>
  <c r="Y159" i="18"/>
  <c r="T441" i="18"/>
  <c r="V184" i="18"/>
  <c r="V291" i="18"/>
  <c r="X94" i="18"/>
  <c r="S405" i="18"/>
  <c r="S238" i="18"/>
  <c r="U256" i="18"/>
  <c r="X207" i="18"/>
  <c r="Q496" i="18"/>
  <c r="W437" i="18"/>
  <c r="X321" i="18"/>
  <c r="R305" i="18"/>
  <c r="Q55" i="18"/>
  <c r="T93" i="18"/>
  <c r="I398" i="25"/>
  <c r="R446" i="18"/>
  <c r="V370" i="18"/>
  <c r="I142" i="25"/>
  <c r="X189" i="18"/>
  <c r="R73" i="18"/>
  <c r="J400" i="25"/>
  <c r="S207" i="18"/>
  <c r="Y249" i="18"/>
  <c r="S28" i="18"/>
  <c r="J265" i="25"/>
  <c r="S495" i="18"/>
  <c r="T313" i="18"/>
  <c r="W30" i="18"/>
  <c r="Y207" i="18"/>
  <c r="J443" i="25"/>
  <c r="I381" i="25"/>
  <c r="V218" i="18"/>
  <c r="V505" i="18"/>
  <c r="J449" i="25"/>
  <c r="Y156" i="18"/>
  <c r="T403" i="18"/>
  <c r="Q35" i="18"/>
  <c r="R254" i="18"/>
  <c r="S115" i="18"/>
  <c r="Y18" i="18"/>
  <c r="I251" i="25"/>
  <c r="S350" i="18"/>
  <c r="S315" i="18"/>
  <c r="I500" i="25"/>
  <c r="I444" i="25"/>
  <c r="X422" i="18"/>
  <c r="J51" i="25"/>
  <c r="R13" i="18"/>
  <c r="T282" i="18"/>
  <c r="W408" i="18"/>
  <c r="Y386" i="18"/>
  <c r="I290" i="25"/>
  <c r="U74" i="18"/>
  <c r="Q39" i="18"/>
  <c r="W417" i="18"/>
  <c r="Q185" i="18"/>
  <c r="W49" i="18"/>
  <c r="T385" i="18"/>
  <c r="I41" i="25"/>
  <c r="J258" i="25"/>
  <c r="S13" i="18"/>
  <c r="X93" i="18"/>
  <c r="R300" i="18"/>
  <c r="J198" i="25"/>
  <c r="X390" i="18"/>
  <c r="U333" i="18"/>
  <c r="X112" i="18"/>
  <c r="J72" i="25"/>
  <c r="U372" i="18"/>
  <c r="Q199" i="18"/>
  <c r="U404" i="18"/>
  <c r="J82" i="25"/>
  <c r="Y376" i="18"/>
  <c r="V354" i="18"/>
  <c r="U239" i="18"/>
  <c r="I436" i="25"/>
  <c r="U11" i="18"/>
  <c r="X452" i="18"/>
  <c r="S467" i="18"/>
  <c r="J381" i="25"/>
  <c r="X288" i="18"/>
  <c r="W200" i="18"/>
  <c r="U365" i="18"/>
  <c r="W470" i="18"/>
  <c r="V486" i="18"/>
  <c r="Q172" i="18"/>
  <c r="W105" i="18"/>
  <c r="T341" i="18"/>
  <c r="T367" i="18"/>
  <c r="I215" i="25"/>
  <c r="U383" i="18"/>
  <c r="Y128" i="18"/>
  <c r="Y52" i="18"/>
  <c r="Q235" i="18"/>
  <c r="U62" i="18"/>
  <c r="U330" i="18"/>
  <c r="J495" i="25"/>
  <c r="U24" i="18"/>
  <c r="S31" i="18"/>
  <c r="Q501" i="18"/>
  <c r="J456" i="25"/>
  <c r="Q126" i="18"/>
  <c r="R341" i="18"/>
  <c r="Q443" i="18"/>
  <c r="J25" i="25"/>
  <c r="R249" i="18"/>
  <c r="S160" i="18"/>
  <c r="Y274" i="18"/>
  <c r="W220" i="18"/>
  <c r="Q401" i="18"/>
  <c r="S122" i="18"/>
  <c r="W89" i="18"/>
  <c r="R123" i="18"/>
  <c r="U445" i="18"/>
  <c r="Y502" i="18"/>
  <c r="X426" i="18"/>
  <c r="Q254" i="18"/>
  <c r="R362" i="18"/>
  <c r="V439" i="18"/>
  <c r="X482" i="18"/>
  <c r="Q125" i="18"/>
  <c r="W97" i="18"/>
  <c r="Q95" i="18"/>
  <c r="W67" i="18"/>
  <c r="Q209" i="18"/>
  <c r="U468" i="18"/>
  <c r="Y445" i="18"/>
  <c r="V385" i="18"/>
  <c r="T340" i="18"/>
  <c r="T440" i="18"/>
  <c r="U488" i="18"/>
  <c r="T504" i="18"/>
  <c r="U94" i="18"/>
  <c r="S154" i="18"/>
  <c r="X196" i="18"/>
  <c r="U437" i="18"/>
  <c r="V33" i="18"/>
  <c r="W151" i="18"/>
  <c r="Y349" i="18"/>
  <c r="R399" i="18"/>
  <c r="V390" i="18"/>
  <c r="Y106" i="18"/>
  <c r="S57" i="18"/>
  <c r="X295" i="18"/>
  <c r="T499" i="18"/>
  <c r="V506" i="18"/>
  <c r="R302" i="18"/>
  <c r="X351" i="18"/>
  <c r="X145" i="18"/>
  <c r="T326" i="18"/>
  <c r="Y378" i="18"/>
  <c r="T232" i="18"/>
  <c r="W505" i="18"/>
  <c r="X338" i="18"/>
  <c r="V419" i="18"/>
  <c r="S21" i="18"/>
  <c r="T246" i="18"/>
  <c r="U60" i="18"/>
  <c r="U204" i="18"/>
  <c r="Y285" i="18"/>
  <c r="Q250" i="18"/>
  <c r="V409" i="18"/>
  <c r="W356" i="18"/>
  <c r="W156" i="18"/>
  <c r="S202" i="18"/>
  <c r="V201" i="18"/>
  <c r="W477" i="18"/>
  <c r="S482" i="18"/>
  <c r="U273" i="18"/>
  <c r="V323" i="18"/>
  <c r="W114" i="18"/>
  <c r="U424" i="18"/>
  <c r="T118" i="18"/>
  <c r="V85" i="18"/>
  <c r="Q407" i="18"/>
  <c r="U254" i="18"/>
  <c r="Q264" i="18"/>
  <c r="W150" i="18"/>
  <c r="W335" i="18"/>
  <c r="R91" i="18"/>
  <c r="V244" i="18"/>
  <c r="R468" i="18"/>
  <c r="S268" i="18"/>
  <c r="X483" i="18"/>
  <c r="U475" i="18"/>
  <c r="W101" i="18"/>
  <c r="R138" i="18"/>
  <c r="Q386" i="18"/>
  <c r="Y504" i="18"/>
  <c r="W206" i="18"/>
  <c r="S102" i="18"/>
  <c r="S278" i="18"/>
  <c r="Q319" i="18"/>
  <c r="Q278" i="18"/>
  <c r="Y468" i="18"/>
  <c r="T339" i="18"/>
  <c r="R412" i="18"/>
  <c r="T478" i="18"/>
  <c r="S81" i="18"/>
  <c r="R61" i="18"/>
  <c r="Y39" i="18"/>
  <c r="V304" i="18"/>
  <c r="X341" i="18"/>
  <c r="W186" i="18"/>
  <c r="S53" i="18"/>
  <c r="W176" i="18"/>
  <c r="R87" i="18"/>
  <c r="R78" i="18"/>
  <c r="S466" i="18"/>
  <c r="U489" i="18"/>
  <c r="V91" i="18"/>
  <c r="V189" i="18"/>
  <c r="R330" i="18"/>
  <c r="U407" i="18"/>
  <c r="S249" i="18"/>
  <c r="Y10" i="18"/>
  <c r="R147" i="18"/>
  <c r="T388" i="18"/>
  <c r="T211" i="18"/>
  <c r="V66" i="18"/>
  <c r="W416" i="18"/>
  <c r="S86" i="18"/>
  <c r="T436" i="18"/>
  <c r="S308" i="18"/>
  <c r="U368" i="18"/>
  <c r="X45" i="18"/>
  <c r="X116" i="18"/>
  <c r="X215" i="18"/>
  <c r="R374" i="18"/>
  <c r="W441" i="18"/>
  <c r="W191" i="18"/>
  <c r="T208" i="18"/>
  <c r="V424" i="18"/>
  <c r="V18" i="18"/>
  <c r="Q395" i="18"/>
  <c r="T62" i="18"/>
  <c r="Q261" i="18"/>
  <c r="Y256" i="18"/>
  <c r="T370" i="18"/>
  <c r="W288" i="18"/>
  <c r="Q353" i="18"/>
  <c r="Q431" i="18"/>
  <c r="Q228" i="18"/>
  <c r="R376" i="18"/>
  <c r="S336" i="18"/>
  <c r="X204" i="18"/>
  <c r="W278" i="18"/>
  <c r="W251" i="18"/>
  <c r="Q53" i="18"/>
  <c r="W179" i="18"/>
  <c r="U351" i="18"/>
  <c r="X322" i="18"/>
  <c r="Y158" i="18"/>
  <c r="Y295" i="18"/>
  <c r="W494" i="18"/>
  <c r="X328" i="18"/>
  <c r="Y138" i="18"/>
  <c r="W153" i="18"/>
  <c r="T161" i="18"/>
  <c r="Q342" i="18"/>
  <c r="U355" i="18"/>
  <c r="V194" i="18"/>
  <c r="R66" i="18"/>
  <c r="Y431" i="18"/>
  <c r="W472" i="18"/>
  <c r="S103" i="18"/>
  <c r="Q301" i="18"/>
  <c r="X360" i="18"/>
  <c r="R318" i="18"/>
  <c r="V245" i="18"/>
  <c r="U422" i="18"/>
  <c r="X299" i="18"/>
  <c r="S240" i="18"/>
  <c r="W82" i="18"/>
  <c r="Y77" i="18"/>
  <c r="U58" i="18"/>
  <c r="S480" i="18"/>
  <c r="V376" i="18"/>
  <c r="S10" i="18"/>
  <c r="T491" i="18"/>
  <c r="U451" i="18"/>
  <c r="T61" i="18"/>
  <c r="U415" i="18"/>
  <c r="Q425" i="18"/>
  <c r="Q352" i="18"/>
  <c r="S173" i="18"/>
  <c r="S498" i="18"/>
  <c r="V90" i="18"/>
  <c r="X137" i="18"/>
  <c r="S325" i="18"/>
  <c r="Y186" i="18"/>
  <c r="S63" i="18"/>
  <c r="T505" i="18"/>
  <c r="T325" i="18"/>
  <c r="T354" i="18"/>
  <c r="T323" i="18"/>
  <c r="X491" i="18"/>
  <c r="U392" i="18"/>
  <c r="R129" i="18"/>
  <c r="X446" i="18"/>
  <c r="Y406" i="18"/>
  <c r="Y11" i="18"/>
  <c r="W450" i="18"/>
  <c r="R463" i="18"/>
  <c r="U201" i="18"/>
  <c r="U146" i="18"/>
  <c r="W19" i="18"/>
  <c r="T408" i="18"/>
  <c r="S373" i="18"/>
  <c r="R255" i="18"/>
  <c r="T268" i="18"/>
  <c r="W66" i="18"/>
  <c r="V87" i="18"/>
  <c r="J165" i="25"/>
  <c r="T461" i="18"/>
  <c r="V279" i="18"/>
  <c r="Y338" i="18"/>
  <c r="T45" i="18"/>
  <c r="V196" i="18"/>
  <c r="U359" i="18"/>
  <c r="R57" i="18"/>
  <c r="Y26" i="18"/>
  <c r="Y322" i="18"/>
  <c r="T189" i="18"/>
  <c r="R397" i="18"/>
  <c r="I379" i="25"/>
  <c r="Y74" i="18"/>
  <c r="T243" i="18"/>
  <c r="S227" i="18"/>
  <c r="Y119" i="18"/>
  <c r="S233" i="18"/>
  <c r="W35" i="18"/>
  <c r="I307" i="25"/>
  <c r="Q351" i="18"/>
  <c r="X244" i="18"/>
  <c r="S377" i="18"/>
  <c r="S184" i="18"/>
  <c r="V11" i="18"/>
  <c r="U110" i="18"/>
  <c r="J463" i="25"/>
  <c r="R270" i="18"/>
  <c r="Q253" i="18"/>
  <c r="J485" i="25"/>
  <c r="Q18" i="18"/>
  <c r="V131" i="18"/>
  <c r="S73" i="18"/>
  <c r="J331" i="25"/>
  <c r="R7" i="18"/>
  <c r="U243" i="18"/>
  <c r="U497" i="18"/>
  <c r="T423" i="18"/>
  <c r="T91" i="18"/>
  <c r="S189" i="18"/>
  <c r="X88" i="18"/>
  <c r="J163" i="25"/>
  <c r="W167" i="18"/>
  <c r="U269" i="18"/>
  <c r="T460" i="18"/>
  <c r="I338" i="25"/>
  <c r="Q354" i="18"/>
  <c r="V411" i="18"/>
  <c r="X274" i="18"/>
  <c r="I392" i="25"/>
  <c r="W55" i="18"/>
  <c r="S497" i="18"/>
  <c r="V448" i="18"/>
  <c r="J273" i="25"/>
  <c r="S229" i="18"/>
  <c r="S276" i="18"/>
  <c r="X443" i="18"/>
  <c r="I408" i="25"/>
  <c r="V382" i="18"/>
  <c r="T273" i="18"/>
  <c r="W474" i="18"/>
  <c r="Y409" i="18"/>
  <c r="W193" i="18"/>
  <c r="R205" i="18"/>
  <c r="U462" i="18"/>
  <c r="T184" i="18"/>
  <c r="X461" i="18"/>
  <c r="S388" i="18"/>
  <c r="V36" i="18"/>
  <c r="S380" i="18"/>
  <c r="Q91" i="18"/>
  <c r="T495" i="18"/>
  <c r="R43" i="18"/>
  <c r="R163" i="18"/>
  <c r="S24" i="18"/>
  <c r="R117" i="18"/>
  <c r="U448" i="18"/>
  <c r="U420" i="18"/>
  <c r="U175" i="18"/>
  <c r="W78" i="18"/>
  <c r="X78" i="18"/>
  <c r="V147" i="18"/>
  <c r="T378" i="18"/>
  <c r="S261" i="18"/>
  <c r="U123" i="18"/>
  <c r="T471" i="18"/>
  <c r="U218" i="18"/>
  <c r="Y304" i="18"/>
  <c r="Y428" i="18"/>
  <c r="Y100" i="18"/>
  <c r="S135" i="18"/>
  <c r="T86" i="18"/>
  <c r="X220" i="18"/>
  <c r="V353" i="18"/>
  <c r="Y244" i="18"/>
  <c r="T284" i="18"/>
  <c r="R272" i="18"/>
  <c r="R413" i="18"/>
  <c r="Y490" i="18"/>
  <c r="S40" i="18"/>
  <c r="R297" i="18"/>
  <c r="T175" i="18"/>
  <c r="V339" i="18"/>
  <c r="Q374" i="18"/>
  <c r="Y226" i="18"/>
  <c r="V504" i="18"/>
  <c r="S436" i="18"/>
  <c r="R389" i="18"/>
  <c r="W428" i="18"/>
  <c r="W178" i="18"/>
  <c r="T382" i="18"/>
  <c r="T156" i="18"/>
  <c r="T220" i="18"/>
  <c r="X147" i="18"/>
  <c r="V107" i="18"/>
  <c r="W362" i="18"/>
  <c r="W493" i="18"/>
  <c r="U278" i="18"/>
  <c r="S17" i="18"/>
  <c r="S16" i="18"/>
  <c r="Y374" i="18"/>
  <c r="S96" i="18"/>
  <c r="X435" i="18"/>
  <c r="X471" i="18"/>
  <c r="U88" i="18"/>
  <c r="W365" i="18"/>
  <c r="Y66" i="18"/>
  <c r="I238" i="25"/>
  <c r="Y109" i="18"/>
  <c r="V186" i="18"/>
  <c r="T201" i="18"/>
  <c r="Y340" i="18"/>
  <c r="Y140" i="18"/>
  <c r="S48" i="18"/>
  <c r="R83" i="18"/>
  <c r="Q281" i="18"/>
  <c r="T11" i="18"/>
  <c r="T338" i="18"/>
  <c r="V161" i="18"/>
  <c r="T206" i="18"/>
  <c r="Y273" i="18"/>
  <c r="U105" i="18"/>
  <c r="V217" i="18"/>
  <c r="S171" i="18"/>
  <c r="V492" i="18"/>
  <c r="T137" i="18"/>
  <c r="W297" i="18"/>
  <c r="Q138" i="18"/>
  <c r="Q44" i="18"/>
  <c r="W430" i="18"/>
  <c r="Y194" i="18"/>
  <c r="X90" i="18"/>
  <c r="U95" i="18"/>
  <c r="Y432" i="18"/>
  <c r="V380" i="18"/>
  <c r="Y111" i="18"/>
  <c r="T501" i="18"/>
  <c r="X473" i="18"/>
  <c r="V453" i="18"/>
  <c r="W319" i="18"/>
  <c r="Q447" i="18"/>
  <c r="U299" i="18"/>
  <c r="U402" i="18"/>
  <c r="S459" i="18"/>
  <c r="V185" i="18"/>
  <c r="V379" i="18"/>
  <c r="V307" i="18"/>
  <c r="V103" i="18"/>
  <c r="X12" i="18"/>
  <c r="T204" i="18"/>
  <c r="Q84" i="18"/>
  <c r="Q280" i="18"/>
  <c r="V386" i="18"/>
  <c r="R477" i="18"/>
  <c r="W396" i="18"/>
  <c r="V314" i="18"/>
  <c r="X242" i="18"/>
  <c r="X366" i="18"/>
  <c r="S218" i="18"/>
  <c r="V8" i="18"/>
  <c r="I359" i="25"/>
  <c r="R80" i="18"/>
  <c r="Q27" i="18"/>
  <c r="I212" i="25"/>
  <c r="I279" i="25"/>
  <c r="Y286" i="18"/>
  <c r="W241" i="18"/>
  <c r="Y393" i="18"/>
  <c r="Y498" i="18"/>
  <c r="T92" i="18"/>
  <c r="R368" i="18"/>
  <c r="U59" i="18"/>
  <c r="X391" i="18"/>
  <c r="W60" i="18"/>
  <c r="X8" i="18"/>
  <c r="W129" i="18"/>
  <c r="I253" i="25"/>
  <c r="T41" i="18"/>
  <c r="U482" i="18"/>
  <c r="Y411" i="18"/>
  <c r="X75" i="18"/>
  <c r="T279" i="18"/>
  <c r="R173" i="18"/>
  <c r="J487" i="25"/>
  <c r="Q488" i="18"/>
  <c r="W448" i="18"/>
  <c r="T7" i="18"/>
  <c r="S82" i="18"/>
  <c r="W126" i="18"/>
  <c r="X424" i="18"/>
  <c r="J453" i="25"/>
  <c r="Y236" i="18"/>
  <c r="T450" i="18"/>
  <c r="J460" i="25"/>
  <c r="X100" i="18"/>
  <c r="V332" i="18"/>
  <c r="V228" i="18"/>
  <c r="I327" i="25"/>
  <c r="R281" i="18"/>
  <c r="W414" i="18"/>
  <c r="Y202" i="18"/>
  <c r="R424" i="18"/>
  <c r="T58" i="18"/>
  <c r="Y377" i="18"/>
  <c r="Q262" i="18"/>
  <c r="J7" i="25"/>
  <c r="R277" i="18"/>
  <c r="R393" i="18"/>
  <c r="W136" i="18"/>
  <c r="J96" i="25"/>
  <c r="S263" i="18"/>
  <c r="W192" i="18"/>
  <c r="S328" i="18"/>
  <c r="J330" i="25"/>
  <c r="V81" i="18"/>
  <c r="Q494" i="18"/>
  <c r="U421" i="18"/>
  <c r="I425" i="25"/>
  <c r="Y206" i="18"/>
  <c r="X359" i="18"/>
  <c r="S500" i="18"/>
  <c r="J155" i="25"/>
  <c r="U89" i="18"/>
  <c r="U19" i="18"/>
  <c r="S440" i="18"/>
  <c r="S67" i="18"/>
  <c r="Y320" i="18"/>
  <c r="R125" i="18"/>
  <c r="S463" i="18"/>
  <c r="V423" i="18"/>
  <c r="X449" i="18"/>
  <c r="Y46" i="18"/>
  <c r="Q164" i="18"/>
  <c r="W498" i="18"/>
  <c r="Q225" i="18"/>
  <c r="J268" i="25"/>
  <c r="Q119" i="18"/>
  <c r="Y258" i="18"/>
  <c r="T133" i="18"/>
  <c r="Y354" i="18"/>
  <c r="R403" i="18"/>
  <c r="V476" i="18"/>
  <c r="V426" i="18"/>
  <c r="Q42" i="18"/>
  <c r="X131" i="18"/>
  <c r="V395" i="18"/>
  <c r="U414" i="18"/>
  <c r="W360" i="18"/>
  <c r="W245" i="18"/>
  <c r="U76" i="18"/>
  <c r="U338" i="18"/>
  <c r="X84" i="18"/>
  <c r="S256" i="18"/>
  <c r="R168" i="18"/>
  <c r="T483" i="18"/>
  <c r="X262" i="18"/>
  <c r="X151" i="18"/>
  <c r="Y346" i="18"/>
  <c r="U287" i="18"/>
  <c r="R37" i="18"/>
  <c r="T198" i="18"/>
  <c r="R204" i="18"/>
  <c r="T445" i="18"/>
  <c r="R488" i="18"/>
  <c r="Y44" i="18"/>
  <c r="Q81" i="18"/>
  <c r="R493" i="18"/>
  <c r="Q296" i="18"/>
  <c r="Y405" i="18"/>
  <c r="S316" i="18"/>
  <c r="Y350" i="18"/>
  <c r="U270" i="18"/>
  <c r="Y497" i="18"/>
  <c r="V153" i="18"/>
  <c r="Q175" i="18"/>
  <c r="W131" i="18"/>
  <c r="W459" i="18"/>
  <c r="Q418" i="18"/>
  <c r="S62" i="18"/>
  <c r="U108" i="18"/>
  <c r="X219" i="18"/>
  <c r="Y506" i="18"/>
  <c r="V162" i="18"/>
  <c r="U86" i="18"/>
  <c r="U413" i="18"/>
  <c r="T274" i="18"/>
  <c r="V16" i="18"/>
  <c r="R356" i="18"/>
  <c r="Q356" i="18"/>
  <c r="X114" i="18"/>
  <c r="J454" i="25"/>
  <c r="I131" i="25"/>
  <c r="U194" i="18"/>
  <c r="Q287" i="18"/>
  <c r="X115" i="18"/>
  <c r="T383" i="18"/>
  <c r="T66" i="18"/>
  <c r="T342" i="18"/>
  <c r="Y177" i="18"/>
  <c r="R212" i="18"/>
  <c r="Q68" i="18"/>
  <c r="U466" i="18"/>
  <c r="J128" i="25"/>
  <c r="J85" i="25"/>
  <c r="X85" i="18"/>
  <c r="Y328" i="18"/>
  <c r="T328" i="18"/>
  <c r="Y141" i="18"/>
  <c r="R495" i="18"/>
  <c r="V200" i="18"/>
  <c r="J431" i="25"/>
  <c r="Q72" i="18"/>
  <c r="R242" i="18"/>
  <c r="Q34" i="18"/>
  <c r="T496" i="18"/>
  <c r="Y480" i="18"/>
  <c r="S224" i="18"/>
  <c r="I207" i="25"/>
  <c r="W233" i="18"/>
  <c r="R485" i="18"/>
  <c r="J203" i="25"/>
  <c r="V104" i="18"/>
  <c r="U220" i="18"/>
  <c r="S394" i="18"/>
  <c r="I32" i="25"/>
  <c r="Y420" i="18"/>
  <c r="S283" i="18"/>
  <c r="Y392" i="18"/>
  <c r="V403" i="18"/>
  <c r="T412" i="18"/>
  <c r="S300" i="18"/>
  <c r="U490" i="18"/>
  <c r="I254" i="25"/>
  <c r="X162" i="18"/>
  <c r="V102" i="18"/>
  <c r="U456" i="18"/>
  <c r="J225" i="25"/>
  <c r="U48" i="18"/>
  <c r="S93" i="18"/>
  <c r="W303" i="18"/>
  <c r="J286" i="25"/>
  <c r="Y366" i="18"/>
  <c r="R135" i="18"/>
  <c r="Q444" i="18"/>
  <c r="J190" i="25"/>
  <c r="T405" i="18"/>
  <c r="Q162" i="18"/>
  <c r="R371" i="18"/>
  <c r="I370" i="25"/>
  <c r="Q211" i="18"/>
  <c r="W446" i="18"/>
  <c r="V396" i="18"/>
  <c r="Q503" i="18"/>
  <c r="V500" i="18"/>
  <c r="S9" i="18"/>
  <c r="U166" i="18"/>
  <c r="T310" i="18"/>
  <c r="W98" i="18"/>
  <c r="W292" i="18"/>
  <c r="T102" i="18"/>
  <c r="W487" i="18"/>
  <c r="V447" i="18"/>
  <c r="J452" i="25"/>
  <c r="V298" i="18"/>
  <c r="Y416" i="18"/>
  <c r="V69" i="18"/>
  <c r="W160" i="18"/>
  <c r="X10" i="18"/>
  <c r="S384" i="18"/>
  <c r="T187" i="18"/>
  <c r="T32" i="18"/>
  <c r="U56" i="18"/>
  <c r="Y178" i="18"/>
  <c r="T267" i="18"/>
  <c r="U251" i="18"/>
  <c r="X495" i="18"/>
  <c r="Q414" i="18"/>
  <c r="T306" i="18"/>
  <c r="X66" i="18"/>
  <c r="Q408" i="18"/>
  <c r="X382" i="18"/>
  <c r="S287" i="18"/>
  <c r="S69" i="18"/>
  <c r="R245" i="18"/>
  <c r="S44" i="18"/>
  <c r="Y213" i="18"/>
  <c r="Y385" i="18"/>
  <c r="R276" i="18"/>
  <c r="S208" i="18"/>
  <c r="U236" i="18"/>
  <c r="V136" i="18"/>
  <c r="Q487" i="18"/>
  <c r="X98" i="18"/>
  <c r="V308" i="18"/>
  <c r="U494" i="18"/>
  <c r="X444" i="18"/>
  <c r="T392" i="18"/>
  <c r="W108" i="18"/>
  <c r="Y375" i="18"/>
  <c r="Y198" i="18"/>
  <c r="U389" i="18"/>
  <c r="U267" i="18"/>
  <c r="T259" i="18"/>
  <c r="Q480" i="18"/>
  <c r="R452" i="18"/>
  <c r="X153" i="18"/>
  <c r="Q484" i="18"/>
  <c r="W263" i="18"/>
  <c r="V449" i="18"/>
  <c r="R384" i="18"/>
  <c r="V170" i="18"/>
  <c r="R347" i="18"/>
  <c r="U92" i="18"/>
  <c r="Q124" i="18"/>
  <c r="U82" i="18"/>
  <c r="J447" i="25"/>
  <c r="S409" i="18"/>
  <c r="Q290" i="18"/>
  <c r="U68" i="18"/>
  <c r="W158" i="18"/>
  <c r="Q375" i="18"/>
  <c r="W302" i="18"/>
  <c r="S109" i="18"/>
  <c r="V225" i="18"/>
  <c r="V126" i="18"/>
  <c r="X376" i="18"/>
  <c r="I83" i="25"/>
  <c r="I439" i="25"/>
  <c r="U336" i="18"/>
  <c r="X333" i="18"/>
  <c r="Q105" i="18"/>
  <c r="T143" i="18"/>
  <c r="W125" i="18"/>
  <c r="Y170" i="18"/>
  <c r="J309" i="25"/>
  <c r="R119" i="18"/>
  <c r="X428" i="18"/>
  <c r="R322" i="18"/>
  <c r="V146" i="18"/>
  <c r="V368" i="18"/>
  <c r="U502" i="18"/>
  <c r="I417" i="25"/>
  <c r="Q154" i="18"/>
  <c r="W486" i="18"/>
  <c r="I184" i="25"/>
  <c r="V276" i="18"/>
  <c r="W228" i="18"/>
  <c r="R409" i="18"/>
  <c r="I387" i="25"/>
  <c r="R46" i="18"/>
  <c r="V106" i="18"/>
  <c r="U432" i="18"/>
  <c r="X456" i="18"/>
  <c r="X165" i="18"/>
  <c r="Y48" i="18"/>
  <c r="U469" i="18"/>
  <c r="I45" i="25"/>
  <c r="Q402" i="18"/>
  <c r="U32" i="18"/>
  <c r="S461" i="18"/>
  <c r="J372" i="25"/>
  <c r="T77" i="18"/>
  <c r="X479" i="18"/>
  <c r="T19" i="18"/>
  <c r="J347" i="25"/>
  <c r="U221" i="18"/>
  <c r="X263" i="18"/>
  <c r="V89" i="18"/>
  <c r="J406" i="25"/>
  <c r="V460" i="18"/>
  <c r="X447" i="18"/>
  <c r="X418" i="18"/>
  <c r="I375" i="25"/>
  <c r="Q90" i="18"/>
  <c r="Q423" i="18"/>
  <c r="R458" i="18"/>
  <c r="R346" i="18"/>
  <c r="S339" i="18"/>
  <c r="W295" i="18"/>
  <c r="U49" i="18"/>
  <c r="U174" i="18"/>
  <c r="Y311" i="18"/>
  <c r="X411" i="18"/>
  <c r="Q22" i="18"/>
  <c r="Q167" i="18"/>
  <c r="W484" i="18"/>
  <c r="I406" i="25"/>
  <c r="R489" i="18"/>
  <c r="W201" i="18"/>
  <c r="R176" i="18"/>
  <c r="V220" i="18"/>
  <c r="X277" i="18"/>
  <c r="U480" i="18"/>
  <c r="V318" i="18"/>
  <c r="T203" i="18"/>
  <c r="W95" i="18"/>
  <c r="U133" i="18"/>
  <c r="U343" i="18"/>
  <c r="Q221" i="18"/>
  <c r="R115" i="18"/>
  <c r="V305" i="18"/>
  <c r="X345" i="18"/>
  <c r="R166" i="18"/>
  <c r="Q357" i="18"/>
  <c r="W25" i="18"/>
  <c r="X331" i="18"/>
  <c r="Q269" i="18"/>
  <c r="T297" i="18"/>
  <c r="V84" i="18"/>
  <c r="U242" i="18"/>
  <c r="Y190" i="18"/>
  <c r="Q435" i="18"/>
  <c r="Q263" i="18"/>
  <c r="R345" i="18"/>
  <c r="U83" i="18"/>
  <c r="R379" i="18"/>
  <c r="V365" i="18"/>
  <c r="U477" i="18"/>
  <c r="U345" i="18"/>
  <c r="W121" i="18"/>
  <c r="X415" i="18"/>
  <c r="Y343" i="18"/>
  <c r="S144" i="18"/>
  <c r="R487" i="18"/>
  <c r="V210" i="18"/>
  <c r="U147" i="18"/>
  <c r="X454" i="18"/>
  <c r="U233" i="18"/>
  <c r="T182" i="18"/>
  <c r="T366" i="18"/>
  <c r="Q70" i="18"/>
  <c r="R264" i="18"/>
  <c r="R64" i="18"/>
  <c r="S279" i="18"/>
  <c r="W296" i="18"/>
  <c r="R494" i="18"/>
  <c r="T200" i="18"/>
  <c r="I325" i="25"/>
  <c r="U38" i="18"/>
  <c r="W42" i="18"/>
  <c r="Q300" i="18"/>
  <c r="T144" i="18"/>
  <c r="J222" i="25"/>
  <c r="S209" i="18"/>
  <c r="Q433" i="18"/>
  <c r="S298" i="18"/>
  <c r="X377" i="18"/>
  <c r="V137" i="18"/>
  <c r="S442" i="18"/>
  <c r="V440" i="18"/>
  <c r="W112" i="18"/>
  <c r="Q168" i="18"/>
  <c r="Y471" i="18"/>
  <c r="V372" i="18"/>
  <c r="J21" i="25"/>
  <c r="U216" i="18"/>
  <c r="U348" i="18"/>
  <c r="Q406" i="18"/>
  <c r="Q405" i="18"/>
  <c r="S175" i="18"/>
  <c r="U452" i="18"/>
  <c r="J323" i="25"/>
  <c r="R335" i="18"/>
  <c r="W469" i="18"/>
  <c r="I263" i="25"/>
  <c r="U52" i="18"/>
  <c r="T475" i="18"/>
  <c r="J86" i="25"/>
  <c r="I160" i="25"/>
  <c r="R344" i="18"/>
  <c r="Q376" i="18"/>
  <c r="J319" i="25"/>
  <c r="U465" i="18"/>
  <c r="W283" i="18"/>
  <c r="U406" i="18"/>
  <c r="I48" i="25"/>
  <c r="W20" i="18"/>
  <c r="Q238" i="18"/>
  <c r="Q93" i="18"/>
  <c r="X154" i="18"/>
  <c r="W134" i="18"/>
  <c r="T429" i="18"/>
  <c r="Q251" i="18"/>
  <c r="J120" i="25"/>
  <c r="V199" i="18"/>
  <c r="V112" i="18"/>
  <c r="V400" i="18"/>
  <c r="J70" i="25"/>
  <c r="W389" i="18"/>
  <c r="W492" i="18"/>
  <c r="U277" i="18"/>
  <c r="J91" i="25"/>
  <c r="Y355" i="18"/>
  <c r="U369" i="18"/>
  <c r="S149" i="18"/>
  <c r="J117" i="25"/>
  <c r="Y426" i="18"/>
  <c r="U87" i="18"/>
  <c r="Q432" i="18"/>
  <c r="J116" i="25"/>
  <c r="W267" i="18"/>
  <c r="R479" i="18"/>
  <c r="V237" i="18"/>
  <c r="Y164" i="18"/>
  <c r="Q56" i="18"/>
  <c r="W463" i="18"/>
  <c r="U485" i="18"/>
  <c r="R349" i="18"/>
  <c r="Q273" i="18"/>
  <c r="W337" i="18"/>
  <c r="T490" i="18"/>
  <c r="Y482" i="18"/>
  <c r="V438" i="18"/>
  <c r="I15" i="25"/>
  <c r="V30" i="18"/>
  <c r="R130" i="18"/>
  <c r="S274" i="18"/>
  <c r="T192" i="18"/>
  <c r="V120" i="18"/>
  <c r="X347" i="18"/>
  <c r="Q413" i="18"/>
  <c r="T162" i="18"/>
  <c r="Y250" i="18"/>
  <c r="Y261" i="18"/>
  <c r="Q222" i="18"/>
  <c r="V100" i="18"/>
  <c r="Y16" i="18"/>
  <c r="Q347" i="18"/>
  <c r="V28" i="18"/>
  <c r="X135" i="18"/>
  <c r="X371" i="18"/>
  <c r="R411" i="18"/>
  <c r="X54" i="18"/>
  <c r="W57" i="18"/>
  <c r="U264" i="18"/>
  <c r="Y341" i="18"/>
  <c r="W202" i="18"/>
  <c r="R11" i="18"/>
  <c r="R296" i="18"/>
  <c r="R370" i="18"/>
  <c r="V253" i="18"/>
  <c r="Y216" i="18"/>
  <c r="Y344" i="18"/>
  <c r="S341" i="18"/>
  <c r="X348" i="18"/>
  <c r="T190" i="18"/>
  <c r="W48" i="18"/>
  <c r="Q32" i="18"/>
  <c r="X431" i="18"/>
  <c r="R378" i="18"/>
  <c r="W483" i="18"/>
  <c r="T193" i="18"/>
  <c r="S499" i="18"/>
  <c r="T271" i="18"/>
  <c r="W33" i="18"/>
  <c r="Q436" i="18"/>
  <c r="Y500" i="18"/>
  <c r="T360" i="18"/>
  <c r="Y449" i="18"/>
  <c r="R210" i="18"/>
  <c r="T250" i="18"/>
  <c r="Y348" i="18"/>
  <c r="U457" i="18"/>
  <c r="AH232" i="18"/>
  <c r="AI232" i="18" s="true"/>
  <c r="AH217" i="18"/>
  <c r="AI217" i="18" s="true"/>
  <c r="AH14" i="18"/>
  <c r="AI14" i="18" s="true"/>
  <c r="AH239" i="18"/>
  <c r="AI239" i="18" s="true"/>
  <c r="AH206" i="18"/>
  <c r="AI206" i="18" s="true"/>
  <c r="AH429" i="18"/>
  <c r="AI429" i="18" s="true"/>
  <c r="AH187" i="18"/>
  <c r="AI187" i="18" s="true"/>
  <c r="AH359" i="18"/>
  <c r="AI359" i="18" s="true"/>
  <c r="AH346" i="18"/>
  <c r="AI346" i="18" s="true"/>
  <c r="AH436" i="18"/>
  <c r="AI436" i="18" s="true"/>
  <c r="AH437" i="18"/>
  <c r="AI437" i="18" s="true"/>
  <c r="AH156" i="18"/>
  <c r="AI156" i="18" s="true"/>
  <c r="AH123" i="18"/>
  <c r="AI123" i="18" s="true"/>
  <c r="AH64" i="18"/>
  <c r="AI64" i="18" s="true"/>
  <c r="AH244" i="18"/>
  <c r="AI244" i="18" s="true"/>
  <c r="AH82" i="18"/>
  <c r="AI82" i="18" s="true"/>
  <c r="AH371" i="18"/>
  <c r="AI371" i="18" s="true"/>
  <c r="AH376" i="18"/>
  <c r="AI376" i="18" s="true"/>
  <c r="AH119" i="18"/>
  <c r="AI119" i="18" s="true"/>
  <c r="AH214" i="18"/>
  <c r="AI214" i="18" s="true"/>
  <c r="AH158" i="18"/>
  <c r="AI158" i="18" s="true"/>
  <c r="P16" i="15"/>
  <c r="S16" i="15" s="true"/>
  <c r="P15" i="15"/>
  <c r="S15" i="15" s="true"/>
  <c r="P14" i="15"/>
  <c r="S14" i="15" s="true"/>
  <c r="P13" i="15"/>
  <c r="S13" i="15" s="true"/>
  <c r="P12" i="15"/>
  <c r="N17" i="15"/>
  <c r="Q17" i="15" s="true"/>
  <c r="N16" i="15"/>
  <c r="Q16" i="15" s="true"/>
  <c r="N15" i="15"/>
  <c r="Q15" i="15" s="true"/>
  <c r="N14" i="15"/>
  <c r="Q14" i="15" s="true"/>
  <c r="N13" i="15"/>
  <c r="Q13" i="15" s="true"/>
  <c r="N12" i="15"/>
  <c r="Q12" i="15" s="true"/>
  <c r="AH313" i="18" l="true"/>
  <c r="AI313" i="18" s="true"/>
  <c r="AH454" i="18"/>
  <c r="AI454" i="18" s="true"/>
  <c r="AH15" i="18"/>
  <c r="AI15" i="18" s="true"/>
  <c r="AH406" i="18"/>
  <c r="AI406" i="18" s="true"/>
  <c r="AH300" i="18"/>
  <c r="AI300" i="18" s="true"/>
  <c r="AH170" i="18"/>
  <c r="AI170" i="18" s="true"/>
  <c r="AH465" i="18"/>
  <c r="AI465" i="18" s="true"/>
  <c r="AH395" i="18"/>
  <c r="AI395" i="18" s="true"/>
  <c r="AH130" i="18"/>
  <c r="AI130" i="18" s="true"/>
  <c r="AH260" i="18"/>
  <c r="AI260" i="18" s="true"/>
  <c r="AH209" i="18"/>
  <c r="AI209" i="18" s="true"/>
  <c r="AH302" i="18"/>
  <c r="AI302" i="18" s="true"/>
  <c r="AH312" i="18"/>
  <c r="AI312" i="18" s="true"/>
  <c r="AH356" i="18"/>
  <c r="AI356" i="18" s="true"/>
  <c r="AH444" i="18"/>
  <c r="AI444" i="18" s="true"/>
  <c r="AH30" i="18"/>
  <c r="AI30" i="18" s="true"/>
  <c r="AH402" i="18"/>
  <c r="AI402" i="18" s="true"/>
  <c r="AH171" i="18"/>
  <c r="AI171" i="18" s="true"/>
  <c r="AH162" i="18"/>
  <c r="AI162" i="18" s="true"/>
  <c r="AH469" i="18"/>
  <c r="AI469" i="18" s="true"/>
  <c r="AH172" i="18"/>
  <c r="AI172" i="18" s="true"/>
  <c r="AH250" i="18"/>
  <c r="AI250" i="18" s="true"/>
  <c r="AH89" i="18"/>
  <c r="AI89" i="18" s="true"/>
  <c r="AH175" i="18"/>
  <c r="AI175" i="18" s="true"/>
  <c r="AH354" i="18"/>
  <c r="AI354" i="18" s="true"/>
  <c r="AH83" i="18"/>
  <c r="AI83" i="18" s="true"/>
  <c r="AH456" i="18"/>
  <c r="AI456" i="18" s="true"/>
  <c r="AH265" i="18"/>
  <c r="AI265" i="18" s="true"/>
  <c r="AH242" i="18"/>
  <c r="AI242" i="18" s="true"/>
  <c r="AH272" i="18"/>
  <c r="AI272" i="18" s="true"/>
  <c r="AH142" i="18"/>
  <c r="AI142" i="18" s="true"/>
  <c r="AH157" i="18"/>
  <c r="AI157" i="18" s="true"/>
  <c r="AH233" i="18"/>
  <c r="AI233" i="18" s="true"/>
  <c r="AH215" i="18"/>
  <c r="AI215" i="18" s="true"/>
  <c r="AH474" i="18"/>
  <c r="AI474" i="18" s="true"/>
  <c r="AH98" i="18"/>
  <c r="AI98" i="18" s="true"/>
  <c r="AH51" i="18"/>
  <c r="AI51" i="18" s="true"/>
  <c r="AH112" i="18"/>
  <c r="AI112" i="18" s="true"/>
  <c r="AH318" i="18"/>
  <c r="AI318" i="18" s="true"/>
  <c r="AH216" i="18"/>
  <c r="AI216" i="18" s="true"/>
  <c r="AH39" i="18"/>
  <c r="AI39" i="18" s="true"/>
  <c r="AH10" i="18"/>
  <c r="AI10" i="18" s="true"/>
  <c r="AH327" i="18"/>
  <c r="AI327" i="18" s="true"/>
  <c r="AH57" i="18"/>
  <c r="AI57" i="18" s="true"/>
  <c r="AH178" i="18"/>
  <c r="AI178" i="18" s="true"/>
  <c r="AH473" i="18"/>
  <c r="AI473" i="18" s="true"/>
  <c r="AH264" i="18"/>
  <c r="AI264" i="18" s="true"/>
  <c r="AH168" i="18"/>
  <c r="AI168" i="18" s="true"/>
  <c r="AH365" i="18"/>
  <c r="AI365" i="18" s="true"/>
  <c r="AH325" i="18"/>
  <c r="AI325" i="18" s="true"/>
  <c r="AH423" i="18"/>
  <c r="AI423" i="18" s="true"/>
  <c r="AH163" i="18"/>
  <c r="AI163" i="18" s="true"/>
  <c r="AH412" i="18"/>
  <c r="AI412" i="18" s="true"/>
  <c r="AH229" i="18"/>
  <c r="AI229" i="18" s="true"/>
  <c r="AH245" i="18"/>
  <c r="AI245" i="18" s="true"/>
  <c r="AH504" i="18"/>
  <c r="AI504" i="18" s="true"/>
  <c r="AH274" i="18"/>
  <c r="AI274" i="18" s="true"/>
  <c r="AH79" i="18"/>
  <c r="AI79" i="18" s="true"/>
  <c r="AH167" i="18"/>
  <c r="AI167" i="18" s="true"/>
  <c r="AH383" i="18"/>
  <c r="AI383" i="18" s="true"/>
  <c r="AH71" i="18"/>
  <c r="AI71" i="18" s="true"/>
  <c r="AH263" i="18"/>
  <c r="AI263" i="18" s="true"/>
  <c r="AH324" i="18"/>
  <c r="AI324" i="18" s="true"/>
  <c r="AH109" i="18"/>
  <c r="AI109" i="18" s="true"/>
  <c r="AH382" i="18"/>
  <c r="AI382" i="18" s="true"/>
  <c r="AH251" i="18"/>
  <c r="AI251" i="18" s="true"/>
  <c r="AH390" i="18"/>
  <c r="AI390" i="18" s="true"/>
  <c r="AH405" i="18"/>
  <c r="AI405" i="18" s="true"/>
  <c r="AH481" i="18"/>
  <c r="AI481" i="18" s="true"/>
  <c r="AH476" i="18"/>
  <c r="AI476" i="18" s="true"/>
  <c r="AH399" i="18"/>
  <c r="AI399" i="18" s="true"/>
  <c r="AH392" i="18"/>
  <c r="AI392" i="18" s="true"/>
  <c r="AH269" i="18"/>
  <c r="AI269" i="18" s="true"/>
  <c r="AH102" i="18"/>
  <c r="AI102" i="18" s="true"/>
  <c r="AH234" i="18"/>
  <c r="AI234" i="18" s="true"/>
  <c r="AH45" i="18"/>
  <c r="AI45" i="18" s="true"/>
  <c r="AH461" i="18"/>
  <c r="AI461" i="18" s="true"/>
  <c r="AH133" i="18"/>
  <c r="AI133" i="18" s="true"/>
  <c r="AH339" i="18"/>
  <c r="AI339" i="18" s="true"/>
  <c r="AH210" i="18"/>
  <c r="AI210" i="18" s="true"/>
  <c r="AH470" i="18"/>
  <c r="AI470" i="18" s="true"/>
  <c r="AH501" i="18"/>
  <c r="AI501" i="18" s="true"/>
  <c r="AH363" i="18"/>
  <c r="AI363" i="18" s="true"/>
  <c r="AH353" i="18"/>
  <c r="AI353" i="18" s="true"/>
  <c r="AH442" i="18"/>
  <c r="AI442" i="18" s="true"/>
  <c r="AH183" i="18"/>
  <c r="AI183" i="18" s="true"/>
  <c r="AH203" i="18"/>
  <c r="AI203" i="18" s="true"/>
  <c r="AH235" i="18"/>
  <c r="AI235" i="18" s="true"/>
  <c r="AH220" i="18"/>
  <c r="AI220" i="18" s="true"/>
  <c r="AH100" i="18"/>
  <c r="AI100" i="18" s="true"/>
  <c r="AH17" i="18"/>
  <c r="AI17" i="18" s="true"/>
  <c r="AH471" i="18"/>
  <c r="AI471" i="18" s="true"/>
  <c r="AH146" i="18"/>
  <c r="AI146" i="18" s="true"/>
  <c r="AH329" i="18"/>
  <c r="AI329" i="18" s="true"/>
  <c r="AH222" i="18"/>
  <c r="AI222" i="18" s="true"/>
  <c r="AH306" i="18"/>
  <c r="AI306" i="18" s="true"/>
  <c r="AH248" i="18"/>
  <c r="AI248" i="18" s="true"/>
  <c r="AH337" i="18"/>
  <c r="AI337" i="18" s="true"/>
  <c r="AH477" i="18"/>
  <c r="AI477" i="18" s="true"/>
  <c r="AH68" i="18"/>
  <c r="AI68" i="18" s="true"/>
  <c r="AH65" i="18"/>
  <c r="AI65" i="18" s="true"/>
  <c r="AH326" i="18"/>
  <c r="AI326" i="18" s="true"/>
  <c r="AH225" i="18"/>
  <c r="AI225" i="18" s="true"/>
  <c r="AH106" i="18"/>
  <c r="AI106" i="18" s="true"/>
  <c r="AH443" i="18"/>
  <c r="AI443" i="18" s="true"/>
  <c r="AH422" i="18"/>
  <c r="AI422" i="18" s="true"/>
  <c r="AH113" i="18"/>
  <c r="AI113" i="18" s="true"/>
  <c r="AH457" i="18"/>
  <c r="AI457" i="18" s="true"/>
  <c r="AH452" i="18"/>
  <c r="AI452" i="18" s="true"/>
  <c r="AH59" i="18"/>
  <c r="AI59" i="18" s="true"/>
  <c r="AH161" i="18"/>
  <c r="AI161" i="18" s="true"/>
  <c r="AH417" i="18"/>
  <c r="AI417" i="18" s="true"/>
  <c r="AH304" i="18"/>
  <c r="AI304" i="18" s="true"/>
  <c r="AH364" i="18"/>
  <c r="AI364" i="18" s="true"/>
  <c r="AH297" i="18"/>
  <c r="AI297" i="18" s="true"/>
  <c r="AH254" i="18"/>
  <c r="AI254" i="18" s="true"/>
  <c r="AH85" i="18"/>
  <c r="AI85" i="18" s="true"/>
  <c r="AH424" i="18"/>
  <c r="AI424" i="18" s="true"/>
  <c r="AH407" i="18"/>
  <c r="AI407" i="18" s="true"/>
  <c r="AH289" i="18"/>
  <c r="AI289" i="18" s="true"/>
  <c r="AH36" i="18"/>
  <c r="AI36" i="18" s="true"/>
  <c r="AH16" i="18"/>
  <c r="AI16" i="18" s="true"/>
  <c r="AH373" i="18"/>
  <c r="AI373" i="18" s="true"/>
  <c r="AH117" i="18"/>
  <c r="AI117" i="18" s="true"/>
  <c r="AH24" i="18"/>
  <c r="AI24" i="18" s="true"/>
  <c r="AH249" i="18"/>
  <c r="AI249" i="18" s="true"/>
  <c r="AH267" i="18"/>
  <c r="AI267" i="18" s="true"/>
  <c r="AH231" i="18"/>
  <c r="AI231" i="18" s="true"/>
  <c r="AH338" i="18"/>
  <c r="AI338" i="18" s="true"/>
  <c r="AH488" i="18"/>
  <c r="AI488" i="18" s="true"/>
  <c r="AH137" i="18"/>
  <c r="AI137" i="18" s="true"/>
  <c r="AH355" i="18"/>
  <c r="AI355" i="18" s="true"/>
  <c r="AH19" i="18"/>
  <c r="AI19" i="18" s="true"/>
  <c r="AH352" i="18"/>
  <c r="AI352" i="18" s="true"/>
  <c r="AH44" i="18"/>
  <c r="AI44" i="18" s="true"/>
  <c r="AH198" i="18"/>
  <c r="AI198" i="18" s="true"/>
  <c r="AH374" i="18"/>
  <c r="AI374" i="18" s="true"/>
  <c r="AH194" i="18"/>
  <c r="AI194" i="18" s="true"/>
  <c r="AH268" i="18"/>
  <c r="AI268" i="18" s="true"/>
  <c r="AH351" i="18"/>
  <c r="AI351" i="18" s="true"/>
  <c r="AH169" i="18"/>
  <c r="AI169" i="18" s="true"/>
  <c r="AH227" i="18"/>
  <c r="AI227" i="18" s="true"/>
  <c r="AH341" i="18"/>
  <c r="AI341" i="18" s="true"/>
  <c r="AH138" i="18"/>
  <c r="AI138" i="18" s="true"/>
  <c r="AH414" i="18"/>
  <c r="AI414" i="18" s="true"/>
  <c r="AH301" i="18"/>
  <c r="AI301" i="18" s="true"/>
  <c r="AH335" i="18"/>
  <c r="AI335" i="18" s="true"/>
  <c r="AH255" i="18"/>
  <c r="AI255" i="18" s="true"/>
  <c r="AH121" i="18"/>
  <c r="AI121" i="18" s="true"/>
  <c r="AH475" i="18"/>
  <c r="AI475" i="18" s="true"/>
  <c r="AH72" i="18"/>
  <c r="AI72" i="18" s="true"/>
  <c r="AH419" i="18"/>
  <c r="AI419" i="18" s="true"/>
  <c r="AH62" i="18"/>
  <c r="AI62" i="18" s="true"/>
  <c r="AH199" i="18"/>
  <c r="AI199" i="18" s="true"/>
  <c r="AH308" i="18"/>
  <c r="AI308" i="18" s="true"/>
  <c r="AH160" i="18"/>
  <c r="AI160" i="18" s="true"/>
  <c r="AH391" i="18"/>
  <c r="AI391" i="18" s="true"/>
  <c r="AH503" i="18"/>
  <c r="AI503" i="18" s="true"/>
  <c r="AH247" i="18"/>
  <c r="AI247" i="18" s="true"/>
  <c r="AH482" i="18"/>
  <c r="AI482" i="18" s="true"/>
  <c r="AH240" i="18"/>
  <c r="AI240" i="18" s="true"/>
  <c r="AH314" i="18"/>
  <c r="AI314" i="18" s="true"/>
  <c r="AH91" i="18"/>
  <c r="AI91" i="18" s="true"/>
  <c r="AH223" i="18"/>
  <c r="AI223" i="18" s="true"/>
  <c r="AH281" i="18"/>
  <c r="AI281" i="18" s="true"/>
  <c r="AH179" i="18"/>
  <c r="AI179" i="18" s="true"/>
  <c r="AH48" i="18"/>
  <c r="AI48" i="18" s="true"/>
  <c r="AH362" i="18"/>
  <c r="AI362" i="18" s="true"/>
  <c r="AH182" i="18"/>
  <c r="AI182" i="18" s="true"/>
  <c r="AH184" i="18"/>
  <c r="AI184" i="18" s="true"/>
  <c r="AH226" i="18"/>
  <c r="AI226" i="18" s="true"/>
  <c r="AH125" i="18"/>
  <c r="AI125" i="18" s="true"/>
  <c r="AH147" i="18"/>
  <c r="AI147" i="18" s="true"/>
  <c r="AH497" i="18"/>
  <c r="AI497" i="18" s="true"/>
  <c r="AH449" i="18"/>
  <c r="AI449" i="18" s="true"/>
  <c r="AH455" i="18"/>
  <c r="AI455" i="18" s="true"/>
  <c r="AH127" i="18"/>
  <c r="AI127" i="18" s="true"/>
  <c r="AH128" i="18"/>
  <c r="AI128" i="18" s="true"/>
  <c r="AH462" i="18"/>
  <c r="AI462" i="18" s="true"/>
  <c r="AH262" i="18"/>
  <c r="AI262" i="18" s="true"/>
  <c r="AH334" i="18"/>
  <c r="AI334" i="18" s="true"/>
  <c r="AH411" i="18"/>
  <c r="AI411" i="18" s="true"/>
  <c r="AH294" i="18"/>
  <c r="AI294" i="18" s="true"/>
  <c r="AH279" i="18"/>
  <c r="AI279" i="18" s="true"/>
  <c r="AH441" i="18"/>
  <c r="AI441" i="18" s="true"/>
  <c r="AH93" i="18"/>
  <c r="AI93" i="18" s="true"/>
  <c r="AH43" i="18"/>
  <c r="AI43" i="18" s="true"/>
  <c r="AH37" i="18"/>
  <c r="AI37" i="18" s="true"/>
  <c r="AH42" i="18"/>
  <c r="AI42" i="18" s="true"/>
  <c r="AH47" i="18"/>
  <c r="AI47" i="18" s="true"/>
  <c r="AH129" i="18"/>
  <c r="AI129" i="18" s="true"/>
  <c r="AH122" i="18"/>
  <c r="AI122" i="18" s="true"/>
  <c r="AH145" i="18"/>
  <c r="AI145" i="18" s="true"/>
  <c r="AH13" i="18"/>
  <c r="AI13" i="18" s="true"/>
  <c r="AH489" i="18"/>
  <c r="AI489" i="18" s="true"/>
  <c r="AH56" i="18"/>
  <c r="AI56" i="18" s="true"/>
  <c r="AH96" i="18"/>
  <c r="AI96" i="18" s="true"/>
  <c r="AH410" i="18"/>
  <c r="AI410" i="18" s="true"/>
  <c r="AH458" i="18"/>
  <c r="AI458" i="18" s="true"/>
  <c r="AH349" i="18"/>
  <c r="AI349" i="18" s="true"/>
  <c r="AH340" i="18"/>
  <c r="AI340" i="18" s="true"/>
  <c r="AH70" i="18"/>
  <c r="AI70" i="18" s="true"/>
  <c r="AH331" i="18"/>
  <c r="AI331" i="18" s="true"/>
  <c r="AH110" i="18"/>
  <c r="AI110" i="18" s="true"/>
  <c r="AH148" i="18"/>
  <c r="AI148" i="18" s="true"/>
  <c r="AH271" i="18"/>
  <c r="AI271" i="18" s="true"/>
  <c r="AH151" i="18"/>
  <c r="AI151" i="18" s="true"/>
  <c r="AH393" i="18"/>
  <c r="AI393" i="18" s="true"/>
  <c r="AH230" i="18"/>
  <c r="AI230" i="18" s="true"/>
  <c r="AH152" i="18"/>
  <c r="AI152" i="18" s="true"/>
  <c r="AH18" i="18"/>
  <c r="AI18" i="18" s="true"/>
  <c r="AH41" i="18"/>
  <c r="AI41" i="18" s="true"/>
  <c r="AH266" i="18"/>
  <c r="AI266" i="18" s="true"/>
  <c r="AH459" i="18"/>
  <c r="AI459" i="18" s="true"/>
  <c r="AH486" i="18"/>
  <c r="AI486" i="18" s="true"/>
  <c r="AH485" i="18"/>
  <c r="AI485" i="18" s="true"/>
  <c r="AH95" i="18"/>
  <c r="AI95" i="18" s="true"/>
  <c r="AH413" i="18"/>
  <c r="AI413" i="18" s="true"/>
  <c r="AH451" i="18"/>
  <c r="AI451" i="18" s="true"/>
  <c r="AH415" i="18"/>
  <c r="AI415" i="18" s="true"/>
  <c r="AH75" i="18"/>
  <c r="AI75" i="18" s="true"/>
  <c r="AH140" i="18"/>
  <c r="AI140" i="18" s="true"/>
  <c r="AH181" i="18"/>
  <c r="AI181" i="18" s="true"/>
  <c r="AH484" i="18"/>
  <c r="AI484" i="18" s="true"/>
  <c r="AH396" i="18"/>
  <c r="AI396" i="18" s="true"/>
  <c r="AH25" i="18"/>
  <c r="AI25" i="18" s="true"/>
  <c r="AH132" i="18"/>
  <c r="AI132" i="18" s="true"/>
  <c r="AH494" i="18"/>
  <c r="AI494" i="18" s="true"/>
  <c r="AH388" i="18"/>
  <c r="AI388" i="18" s="true"/>
  <c r="AH29" i="18"/>
  <c r="AI29" i="18" s="true"/>
  <c r="AH136" i="18"/>
  <c r="AI136" i="18" s="true"/>
  <c r="AH80" i="18"/>
  <c r="AI80" i="18" s="true"/>
  <c r="AH237" i="18"/>
  <c r="AI237" i="18" s="true"/>
  <c r="AH22" i="18"/>
  <c r="AI22" i="18" s="true"/>
  <c r="AH384" i="18"/>
  <c r="AI384" i="18" s="true"/>
  <c r="AH252" i="18"/>
  <c r="AI252" i="18" s="true"/>
  <c r="AH159" i="18"/>
  <c r="AI159" i="18" s="true"/>
  <c r="AH124" i="18"/>
  <c r="AI124" i="18" s="true"/>
  <c r="AH309" i="18"/>
  <c r="AI309" i="18" s="true"/>
  <c r="AH224" i="18"/>
  <c r="AI224" i="18" s="true"/>
  <c r="AH460" i="18"/>
  <c r="AI460" i="18" s="true"/>
  <c r="AH131" i="18"/>
  <c r="AI131" i="18" s="true"/>
  <c r="AH433" i="18"/>
  <c r="AI433" i="18" s="true"/>
  <c r="AH8" i="18"/>
  <c r="AI8" i="18" s="true"/>
  <c r="AH506" i="18"/>
  <c r="AI506" i="18" s="true"/>
  <c r="AH139" i="18"/>
  <c r="AI139" i="18" s="true"/>
  <c r="AH26" i="18"/>
  <c r="AI26" i="18" s="true"/>
  <c r="AH322" i="18"/>
  <c r="AI322" i="18" s="true"/>
  <c r="AH185" i="18"/>
  <c r="AI185" i="18" s="true"/>
  <c r="AH293" i="18"/>
  <c r="AI293" i="18" s="true"/>
  <c r="AH191" i="18"/>
  <c r="AI191" i="18" s="true"/>
  <c r="AH400" i="18"/>
  <c r="AI400" i="18" s="true"/>
  <c r="AH190" i="18"/>
  <c r="AI190" i="18" s="true"/>
  <c r="AH35" i="18"/>
  <c r="AI35" i="18" s="true"/>
  <c r="AH193" i="18"/>
  <c r="AI193" i="18" s="true"/>
  <c r="AH500" i="18"/>
  <c r="AI500" i="18" s="true"/>
  <c r="AH92" i="18"/>
  <c r="AI92" i="18" s="true"/>
  <c r="AH394" i="18"/>
  <c r="AI394" i="18" s="true"/>
  <c r="AH197" i="18"/>
  <c r="AI197" i="18" s="true"/>
  <c r="AH261" i="18"/>
  <c r="AI261" i="18" s="true"/>
  <c r="AH320" i="18"/>
  <c r="AI320" i="18" s="true"/>
  <c r="AH328" i="18"/>
  <c r="AI328" i="18" s="true"/>
  <c r="AH69" i="18"/>
  <c r="AI69" i="18" s="true"/>
  <c r="AH447" i="18"/>
  <c r="AI447" i="18" s="true"/>
  <c r="AH435" i="18"/>
  <c r="AI435" i="18" s="true"/>
  <c r="AH273" i="18"/>
  <c r="AI273" i="18" s="true"/>
  <c r="AH115" i="18"/>
  <c r="AI115" i="18" s="true"/>
  <c r="AH188" i="18"/>
  <c r="AI188" i="18" s="true"/>
  <c r="AH54" i="18"/>
  <c r="AI54" i="18" s="true"/>
  <c r="AH343" i="18"/>
  <c r="AI343" i="18" s="true"/>
  <c r="AH282" i="18"/>
  <c r="AI282" i="18" s="true"/>
  <c r="AH32" i="18"/>
  <c r="AI32" i="18" s="true"/>
  <c r="AH491" i="18"/>
  <c r="AI491" i="18" s="true"/>
  <c r="AH348" i="18"/>
  <c r="AI348" i="18" s="true"/>
  <c r="AH241" i="18"/>
  <c r="AI241" i="18" s="true"/>
  <c r="AH212" i="18"/>
  <c r="AI212" i="18" s="true"/>
  <c r="AH256" i="18"/>
  <c r="AI256" i="18" s="true"/>
  <c r="AH368" i="18"/>
  <c r="AI368" i="18" s="true"/>
  <c r="AH120" i="18"/>
  <c r="AI120" i="18" s="true"/>
  <c r="AH258" i="18"/>
  <c r="AI258" i="18" s="true"/>
  <c r="AH310" i="18"/>
  <c r="AI310" i="18" s="true"/>
  <c r="AH176" i="18"/>
  <c r="AI176" i="18" s="true"/>
  <c r="AH278" i="18"/>
  <c r="AI278" i="18" s="true"/>
  <c r="AH453" i="18"/>
  <c r="AI453" i="18" s="true"/>
  <c r="AH418" i="18"/>
  <c r="AI418" i="18" s="true"/>
  <c r="AH149" i="18"/>
  <c r="AI149" i="18" s="true"/>
  <c r="AH493" i="18"/>
  <c r="AI493" i="18" s="true"/>
  <c r="AH369" i="18"/>
  <c r="AI369" i="18" s="true"/>
  <c r="AH105" i="18"/>
  <c r="AI105" i="18" s="true"/>
  <c r="AH40" i="18"/>
  <c r="AI40" i="18" s="true"/>
  <c r="AH111" i="18"/>
  <c r="AI111" i="18" s="true"/>
  <c r="AH483" i="18"/>
  <c r="AI483" i="18" s="true"/>
  <c r="AH275" i="18"/>
  <c r="AI275" i="18" s="true"/>
  <c r="AH386" i="18"/>
  <c r="AI386" i="18" s="true"/>
  <c r="AH33" i="18"/>
  <c r="AI33" i="18" s="true"/>
  <c r="AH426" i="18"/>
  <c r="AI426" i="18" s="true"/>
  <c r="AH238" i="18"/>
  <c r="AI238" i="18" s="true"/>
  <c r="AH205" i="18"/>
  <c r="AI205" i="18" s="true"/>
  <c r="AH291" i="18"/>
  <c r="AI291" i="18" s="true"/>
  <c r="AH434" i="18"/>
  <c r="AI434" i="18" s="true"/>
  <c r="AH150" i="18"/>
  <c r="AI150" i="18" s="true"/>
  <c r="AH236" i="18"/>
  <c r="AI236" i="18" s="true"/>
  <c r="AH492" i="18"/>
  <c r="AI492" i="18" s="true"/>
  <c r="AH195" i="18"/>
  <c r="AI195" i="18" s="true"/>
  <c r="AH381" i="18"/>
  <c r="AI381" i="18" s="true"/>
  <c r="AH472" i="18"/>
  <c r="AI472" i="18" s="true"/>
  <c r="AH21" i="18"/>
  <c r="AI21" i="18" s="true"/>
  <c r="AH246" i="18"/>
  <c r="AI246" i="18" s="true"/>
  <c r="AH257" i="18"/>
  <c r="AI257" i="18" s="true"/>
  <c r="AH81" i="18"/>
  <c r="AI81" i="18" s="true"/>
  <c r="AH467" i="18"/>
  <c r="AI467" i="18" s="true"/>
  <c r="AH305" i="18"/>
  <c r="AI305" i="18" s="true"/>
  <c r="AH321" i="18"/>
  <c r="AI321" i="18" s="true"/>
  <c r="AH189" i="18"/>
  <c r="AI189" i="18" s="true"/>
  <c r="AH347" i="18"/>
  <c r="AI347" i="18" s="true"/>
  <c r="AH11" i="18"/>
  <c r="AI11" i="18" s="true"/>
  <c r="AH177" i="18"/>
  <c r="AI177" i="18" s="true"/>
  <c r="AH207" i="18"/>
  <c r="AI207" i="18" s="true"/>
  <c r="AH200" i="18"/>
  <c r="AI200" i="18" s="true"/>
  <c r="AH315" i="18"/>
  <c r="AI315" i="18" s="true"/>
  <c r="AH154" i="18"/>
  <c r="AI154" i="18" s="true"/>
  <c r="AH416" i="18"/>
  <c r="AI416" i="18" s="true"/>
  <c r="AH342" i="18"/>
  <c r="AI342" i="18" s="true"/>
  <c r="AH90" i="18"/>
  <c r="AI90" i="18" s="true"/>
  <c r="AH450" i="18"/>
  <c r="AI450" i="18" s="true"/>
  <c r="AH63" i="18"/>
  <c r="AI63" i="18" s="true"/>
  <c r="AH296" i="18"/>
  <c r="AI296" i="18" s="true"/>
  <c r="AH421" i="18"/>
  <c r="AI421" i="18" s="true"/>
  <c r="AH107" i="18"/>
  <c r="AI107" i="18" s="true"/>
  <c r="AH53" i="18"/>
  <c r="AI53" i="18" s="true"/>
  <c r="AH316" i="18"/>
  <c r="AI316" i="18" s="true"/>
  <c r="AH438" i="18"/>
  <c r="AI438" i="18" s="true"/>
  <c r="AH498" i="18"/>
  <c r="AI498" i="18" s="true"/>
  <c r="AH487" i="18"/>
  <c r="AI487" i="18" s="true"/>
  <c r="AH166" i="18"/>
  <c r="AI166" i="18" s="true"/>
  <c r="AH496" i="18"/>
  <c r="AI496" i="18" s="true"/>
  <c r="AH283" i="18"/>
  <c r="AI283" i="18" s="true"/>
  <c r="AH480" i="18"/>
  <c r="AI480" i="18" s="true"/>
  <c r="AH387" i="18"/>
  <c r="AI387" i="18" s="true"/>
  <c r="AH420" i="18"/>
  <c r="AI420" i="18" s="true"/>
  <c r="AH141" i="18"/>
  <c r="AI141" i="18" s="true"/>
  <c r="AH270" i="18"/>
  <c r="AI270" i="18" s="true"/>
  <c r="AH277" i="18"/>
  <c r="AI277" i="18" s="true"/>
  <c r="P17" i="15"/>
  <c r="O17" i="15" s="true"/>
  <c r="S12" i="15"/>
  <c r="S17" i="15" s="true"/>
  <c r="R17" i="15" s="true"/>
  <c r="U16" i="15"/>
  <c r="V16" i="15" s="true"/>
  <c r="U15" i="15"/>
  <c r="V15" i="15" s="true"/>
  <c r="U14" i="15"/>
  <c r="V14" i="15" s="true"/>
  <c r="U13" i="15"/>
  <c r="V13" i="15" s="true"/>
  <c r="U12" i="15"/>
  <c r="V12" i="15" s="true"/>
  <c r="R11" i="15"/>
  <c r="O11" i="15"/>
  <c r="U17" i="15" l="true"/>
  <c r="V17" i="15" s="true"/>
  <c r="N10" i="15"/>
  <c r="Q10" i="15"/>
  <c r="P2" i="31" l="true"/>
  <c r="B45" i="31" l="true"/>
  <c r="B44" i="31"/>
  <c r="B42" i="31"/>
  <c r="B13" i="31"/>
  <c r="B12" i="31"/>
  <c r="B11" i="31"/>
  <c r="B10" i="31"/>
  <c r="B9" i="31"/>
  <c r="B8" i="31"/>
  <c r="B7" i="31"/>
  <c r="I12" i="31" l="true"/>
  <c r="J12" i="31" s="true"/>
  <c r="H12" i="31"/>
  <c r="L11" i="31"/>
  <c r="K10" i="31"/>
  <c r="I10" i="31"/>
  <c r="J10" i="31" s="true"/>
  <c r="H10" i="31"/>
  <c r="I13" i="31"/>
  <c r="J13" i="31" s="true"/>
  <c r="G12" i="31"/>
  <c r="F12" i="31"/>
  <c r="I11" i="31"/>
  <c r="J11" i="31" s="true"/>
  <c r="L13" i="31"/>
  <c r="H13" i="31"/>
  <c r="K12" i="31"/>
  <c r="K11" i="31"/>
  <c r="H11" i="31"/>
  <c r="G11" i="31"/>
  <c r="F11" i="31"/>
  <c r="L10" i="31"/>
  <c r="G10" i="31"/>
  <c r="F10" i="31"/>
  <c r="K13" i="31"/>
  <c r="G13" i="31"/>
  <c r="L12" i="31"/>
  <c r="F13" i="31"/>
  <c r="I44" i="31"/>
  <c r="J44" i="31" s="true"/>
  <c r="H44" i="31"/>
  <c r="I43" i="31"/>
  <c r="J43" i="31" s="true"/>
  <c r="K42" i="31"/>
  <c r="K45" i="31"/>
  <c r="G45" i="31"/>
  <c r="G44" i="31"/>
  <c r="F44" i="31"/>
  <c r="L43" i="31"/>
  <c r="K43" i="31"/>
  <c r="F43" i="31"/>
  <c r="L42" i="31"/>
  <c r="I42" i="31"/>
  <c r="J42" i="31" s="true"/>
  <c r="G42" i="31"/>
  <c r="L45" i="31"/>
  <c r="I45" i="31"/>
  <c r="J45" i="31" s="true"/>
  <c r="K44" i="31"/>
  <c r="H43" i="31"/>
  <c r="G43" i="31"/>
  <c r="H42" i="31"/>
  <c r="F42" i="31"/>
  <c r="H45" i="31"/>
  <c r="F45" i="31"/>
  <c r="L44" i="31"/>
  <c r="M45" i="31"/>
  <c r="M44" i="31"/>
  <c r="M43" i="31"/>
  <c r="M42" i="31"/>
  <c r="M9" i="31"/>
  <c r="M8" i="31"/>
  <c r="J9" i="31"/>
  <c r="J8" i="31"/>
  <c r="J7" i="31"/>
  <c r="M6" i="31"/>
  <c r="M7" i="31"/>
  <c r="J6" i="31"/>
  <c r="M13" i="31"/>
  <c r="M12" i="31"/>
  <c r="M10" i="31"/>
  <c r="M11" i="31"/>
  <c r="P6" i="31"/>
  <c r="P45" i="31"/>
  <c r="N45" i="31"/>
  <c r="P42" i="31"/>
  <c r="N42" i="31"/>
  <c r="P44" i="31"/>
  <c r="N44" i="31"/>
  <c r="P43" i="31"/>
  <c r="N43" i="31"/>
  <c r="P9" i="31"/>
  <c r="P8" i="31"/>
  <c r="P7" i="31"/>
  <c r="Q43" i="31" l="true"/>
  <c r="Q42" i="31"/>
  <c r="Q45" i="31"/>
  <c r="Q44" i="31"/>
  <c r="N9" i="31"/>
  <c r="N8" i="31"/>
  <c r="N7" i="31"/>
  <c r="N6" i="31"/>
  <c r="B47" i="31"/>
  <c r="B43" i="31"/>
  <c r="B39" i="31"/>
  <c r="B35" i="31"/>
  <c r="B31" i="31"/>
  <c r="B27" i="31"/>
  <c r="B23" i="31"/>
  <c r="B19" i="31"/>
  <c r="B15" i="31"/>
  <c r="B49" i="31"/>
  <c r="B48" i="31"/>
  <c r="B46" i="31"/>
  <c r="B41" i="31"/>
  <c r="B40" i="31"/>
  <c r="B38" i="31"/>
  <c r="B37" i="31"/>
  <c r="B36" i="31"/>
  <c r="B34" i="31"/>
  <c r="B33" i="31"/>
  <c r="B32" i="31"/>
  <c r="B30" i="31"/>
  <c r="B29" i="31"/>
  <c r="B28" i="31"/>
  <c r="B26" i="31"/>
  <c r="B25" i="31"/>
  <c r="B24" i="31"/>
  <c r="B22" i="31"/>
  <c r="B21" i="31"/>
  <c r="B20" i="31"/>
  <c r="B18" i="31"/>
  <c r="B17" i="31"/>
  <c r="B16" i="31"/>
  <c r="B14" i="31"/>
  <c r="E69" i="30"/>
  <c r="D69" i="30"/>
  <c r="C69" i="30"/>
  <c r="E68" i="30"/>
  <c r="D68" i="30"/>
  <c r="C68" i="30"/>
  <c r="E67" i="30"/>
  <c r="D67" i="30"/>
  <c r="C67" i="30"/>
  <c r="E66" i="30"/>
  <c r="D66" i="30"/>
  <c r="C66" i="30"/>
  <c r="E65" i="30"/>
  <c r="D65" i="30"/>
  <c r="C65" i="30"/>
  <c r="E64" i="30"/>
  <c r="D64" i="30"/>
  <c r="C64" i="30"/>
  <c r="E63" i="30"/>
  <c r="D63" i="30"/>
  <c r="C63" i="30"/>
  <c r="E62" i="30"/>
  <c r="D62" i="30"/>
  <c r="C62" i="30"/>
  <c r="E61" i="30"/>
  <c r="D61" i="30"/>
  <c r="C61" i="30"/>
  <c r="E60" i="30"/>
  <c r="D60" i="30"/>
  <c r="C60" i="30"/>
  <c r="E59" i="30"/>
  <c r="D59" i="30"/>
  <c r="C59" i="30"/>
  <c r="E58" i="30"/>
  <c r="D58" i="30"/>
  <c r="C58" i="30"/>
  <c r="E57" i="30"/>
  <c r="D57" i="30"/>
  <c r="C57" i="30"/>
  <c r="E56" i="30"/>
  <c r="D56" i="30"/>
  <c r="C56" i="30"/>
  <c r="E55" i="30"/>
  <c r="D55" i="30"/>
  <c r="C55" i="30"/>
  <c r="E54" i="30"/>
  <c r="D54" i="30"/>
  <c r="C54" i="30"/>
  <c r="E53" i="30"/>
  <c r="D53" i="30"/>
  <c r="C53" i="30"/>
  <c r="E52" i="30"/>
  <c r="D52" i="30"/>
  <c r="C52" i="30"/>
  <c r="F6" i="12"/>
  <c r="E6" i="12"/>
  <c r="D6" i="12"/>
  <c r="C6" i="12"/>
  <c r="H5" i="15"/>
  <c r="F5" i="15"/>
  <c r="K5" i="15"/>
  <c r="G5" i="15"/>
  <c r="E5" i="15"/>
  <c r="I5" i="15"/>
  <c r="J5" i="15"/>
  <c r="D5" i="15"/>
  <c r="D83" i="27"/>
  <c r="D97" i="27"/>
  <c r="D46" i="27"/>
  <c r="D47" i="27"/>
  <c r="D99" i="27"/>
  <c r="D53" i="27"/>
  <c r="D58" i="27"/>
  <c r="D102" i="27"/>
  <c r="D85" i="27"/>
  <c r="D74" i="27"/>
  <c r="D78" i="27"/>
  <c r="D9" i="27"/>
  <c r="D39" i="27"/>
  <c r="D34" i="27"/>
  <c r="D19" i="27"/>
  <c r="D90" i="27"/>
  <c r="D41" i="27"/>
  <c r="D54" i="27"/>
  <c r="D105" i="27"/>
  <c r="D21" i="27"/>
  <c r="D75" i="27"/>
  <c r="D70" i="27"/>
  <c r="D86" i="27"/>
  <c r="D77" i="27"/>
  <c r="D93" i="27"/>
  <c r="D94" i="27"/>
  <c r="D65" i="27"/>
  <c r="D71" i="27"/>
  <c r="D95" i="27"/>
  <c r="D38" i="27"/>
  <c r="D67" i="27"/>
  <c r="D5" i="27"/>
  <c r="D29" i="27"/>
  <c r="D43" i="27"/>
  <c r="D11" i="27"/>
  <c r="D45" i="27"/>
  <c r="D51" i="27"/>
  <c r="D89" i="27"/>
  <c r="D22" i="27"/>
  <c r="D33" i="27"/>
  <c r="D87" i="27"/>
  <c r="D82" i="27"/>
  <c r="D69" i="27"/>
  <c r="D27" i="27"/>
  <c r="D98" i="27"/>
  <c r="D66" i="27"/>
  <c r="D35" i="27"/>
  <c r="D31" i="27"/>
  <c r="D17" i="27"/>
  <c r="D61" i="27"/>
  <c r="D62" i="27"/>
  <c r="D30" i="27"/>
  <c r="D13" i="27"/>
  <c r="D81" i="27"/>
  <c r="D57" i="27"/>
  <c r="D63" i="27"/>
  <c r="D14" i="27"/>
  <c r="D42" i="27"/>
  <c r="D49" i="27"/>
  <c r="D15" i="27"/>
  <c r="D50" i="27"/>
  <c r="D91" i="27"/>
  <c r="D18" i="27"/>
  <c r="D79" i="27"/>
  <c r="D106" i="27"/>
  <c r="D37" i="27"/>
  <c r="D25" i="27"/>
  <c r="D23" i="27"/>
  <c r="D10" i="27"/>
  <c r="D8" i="27"/>
  <c r="D107" i="27"/>
  <c r="D26" i="27"/>
  <c r="D59" i="27"/>
  <c r="D55" i="27"/>
  <c r="D73" i="27"/>
  <c r="D101" i="27"/>
  <c r="D103" i="27"/>
  <c r="L49" i="31" l="true"/>
  <c r="K49" i="31"/>
  <c r="F49" i="31"/>
  <c r="K48" i="31"/>
  <c r="K47" i="31"/>
  <c r="H47" i="31"/>
  <c r="H46" i="31"/>
  <c r="F46" i="31"/>
  <c r="I49" i="31"/>
  <c r="J49" i="31" s="true"/>
  <c r="H49" i="31"/>
  <c r="G49" i="31"/>
  <c r="L48" i="31"/>
  <c r="I48" i="31"/>
  <c r="J48" i="31" s="true"/>
  <c r="F48" i="31"/>
  <c r="G47" i="31"/>
  <c r="L46" i="31"/>
  <c r="G46" i="31"/>
  <c r="H48" i="31"/>
  <c r="G48" i="31"/>
  <c r="L47" i="31"/>
  <c r="I47" i="31"/>
  <c r="J47" i="31" s="true"/>
  <c r="F47" i="31"/>
  <c r="K46" i="31"/>
  <c r="I46" i="31"/>
  <c r="J46" i="31" s="true"/>
  <c r="L17" i="31"/>
  <c r="K17" i="31"/>
  <c r="L16" i="31"/>
  <c r="I16" i="31"/>
  <c r="J16" i="31" s="true"/>
  <c r="H16" i="31"/>
  <c r="I15" i="31"/>
  <c r="J15" i="31" s="true"/>
  <c r="H15" i="31"/>
  <c r="L14" i="31"/>
  <c r="G14" i="31"/>
  <c r="F14" i="31"/>
  <c r="I17" i="31"/>
  <c r="J17" i="31" s="true"/>
  <c r="H17" i="31"/>
  <c r="G17" i="31"/>
  <c r="F17" i="31"/>
  <c r="K16" i="31"/>
  <c r="G16" i="31"/>
  <c r="L15" i="31"/>
  <c r="K15" i="31"/>
  <c r="H14" i="31"/>
  <c r="F16" i="31"/>
  <c r="G15" i="31"/>
  <c r="F15" i="31"/>
  <c r="K14" i="31"/>
  <c r="I14" i="31"/>
  <c r="J14" i="31" s="true"/>
  <c r="I28" i="31"/>
  <c r="J28" i="31" s="true"/>
  <c r="H28" i="31"/>
  <c r="K26" i="31"/>
  <c r="H26" i="31"/>
  <c r="G26" i="31"/>
  <c r="G28" i="31"/>
  <c r="F28" i="31"/>
  <c r="L27" i="31"/>
  <c r="K27" i="31"/>
  <c r="I27" i="31"/>
  <c r="J27" i="31" s="true"/>
  <c r="L29" i="31"/>
  <c r="I29" i="31"/>
  <c r="J29" i="31" s="true"/>
  <c r="H29" i="31"/>
  <c r="K28" i="31"/>
  <c r="H27" i="31"/>
  <c r="G27" i="31"/>
  <c r="F27" i="31"/>
  <c r="L26" i="31"/>
  <c r="I26" i="31"/>
  <c r="J26" i="31" s="true"/>
  <c r="F26" i="31"/>
  <c r="K29" i="31"/>
  <c r="G29" i="31"/>
  <c r="F29" i="31"/>
  <c r="L28" i="31"/>
  <c r="L33" i="31"/>
  <c r="K33" i="31"/>
  <c r="L32" i="31"/>
  <c r="K32" i="31"/>
  <c r="H32" i="31"/>
  <c r="H31" i="31"/>
  <c r="G31" i="31"/>
  <c r="L30" i="31"/>
  <c r="G30" i="31"/>
  <c r="F30" i="31"/>
  <c r="I33" i="31"/>
  <c r="J33" i="31" s="true"/>
  <c r="H33" i="31"/>
  <c r="G33" i="31"/>
  <c r="I32" i="31"/>
  <c r="J32" i="31" s="true"/>
  <c r="G32" i="31"/>
  <c r="L31" i="31"/>
  <c r="H30" i="31"/>
  <c r="F33" i="31"/>
  <c r="F32" i="31"/>
  <c r="K31" i="31"/>
  <c r="I31" i="31"/>
  <c r="J31" i="31" s="true"/>
  <c r="F31" i="31"/>
  <c r="K30" i="31"/>
  <c r="I30" i="31"/>
  <c r="J30" i="31" s="true"/>
  <c r="L37" i="31"/>
  <c r="K37" i="31"/>
  <c r="I37" i="31"/>
  <c r="J37" i="31" s="true"/>
  <c r="G37" i="31"/>
  <c r="L36" i="31"/>
  <c r="H36" i="31"/>
  <c r="G36" i="31"/>
  <c r="I35" i="31"/>
  <c r="J35" i="31" s="true"/>
  <c r="L34" i="31"/>
  <c r="K34" i="31"/>
  <c r="F37" i="31"/>
  <c r="K36" i="31"/>
  <c r="F36" i="31"/>
  <c r="L35" i="31"/>
  <c r="K35" i="31"/>
  <c r="H35" i="31"/>
  <c r="F34" i="31"/>
  <c r="H37" i="31"/>
  <c r="I36" i="31"/>
  <c r="J36" i="31" s="true"/>
  <c r="G35" i="31"/>
  <c r="F35" i="31"/>
  <c r="I34" i="31"/>
  <c r="J34" i="31" s="true"/>
  <c r="H34" i="31"/>
  <c r="G34" i="31"/>
  <c r="G39" i="31"/>
  <c r="F39" i="31"/>
  <c r="I38" i="31"/>
  <c r="J38" i="31" s="true"/>
  <c r="H38" i="31"/>
  <c r="L41" i="31"/>
  <c r="H41" i="31"/>
  <c r="G41" i="31"/>
  <c r="I40" i="31"/>
  <c r="J40" i="31" s="true"/>
  <c r="L38" i="31"/>
  <c r="K38" i="31"/>
  <c r="F38" i="31"/>
  <c r="K41" i="31"/>
  <c r="H40" i="31"/>
  <c r="F40" i="31"/>
  <c r="H39" i="31"/>
  <c r="G38" i="31"/>
  <c r="I41" i="31"/>
  <c r="J41" i="31" s="true"/>
  <c r="F41" i="31"/>
  <c r="L40" i="31"/>
  <c r="K40" i="31"/>
  <c r="G40" i="31"/>
  <c r="L39" i="31"/>
  <c r="K39" i="31"/>
  <c r="I39" i="31"/>
  <c r="J39" i="31" s="true"/>
  <c r="I21" i="31"/>
  <c r="J21" i="31" s="true"/>
  <c r="G21" i="31"/>
  <c r="H20" i="31"/>
  <c r="F20" i="31"/>
  <c r="K19" i="31"/>
  <c r="G19" i="31"/>
  <c r="L21" i="31"/>
  <c r="K21" i="31"/>
  <c r="H21" i="31"/>
  <c r="L20" i="31"/>
  <c r="K20" i="31"/>
  <c r="I20" i="31"/>
  <c r="J20" i="31" s="true"/>
  <c r="L19" i="31"/>
  <c r="H19" i="31"/>
  <c r="F19" i="31"/>
  <c r="F18" i="31"/>
  <c r="F21" i="31"/>
  <c r="G20" i="31"/>
  <c r="I19" i="31"/>
  <c r="J19" i="31" s="true"/>
  <c r="L18" i="31"/>
  <c r="K18" i="31"/>
  <c r="I18" i="31"/>
  <c r="J18" i="31" s="true"/>
  <c r="G18" i="31"/>
  <c r="H18" i="31"/>
  <c r="G23" i="31"/>
  <c r="F23" i="31"/>
  <c r="I22" i="31"/>
  <c r="J22" i="31" s="true"/>
  <c r="H22" i="31"/>
  <c r="G25" i="31"/>
  <c r="H24" i="31"/>
  <c r="G24" i="31"/>
  <c r="F24" i="31"/>
  <c r="L22" i="31"/>
  <c r="K22" i="31"/>
  <c r="F22" i="31"/>
  <c r="K25" i="31"/>
  <c r="I25" i="31"/>
  <c r="J25" i="31" s="true"/>
  <c r="H25" i="31"/>
  <c r="L24" i="31"/>
  <c r="H23" i="31"/>
  <c r="G22" i="31"/>
  <c r="L25" i="31"/>
  <c r="F25" i="31"/>
  <c r="K24" i="31"/>
  <c r="I24" i="31"/>
  <c r="J24" i="31" s="true"/>
  <c r="L23" i="31"/>
  <c r="K23" i="31"/>
  <c r="I23" i="31"/>
  <c r="J23" i="31" s="true"/>
  <c r="M33" i="31"/>
  <c r="M32" i="31"/>
  <c r="M31" i="31"/>
  <c r="M30" i="31"/>
  <c r="M37" i="31"/>
  <c r="M36" i="31"/>
  <c r="M34" i="31"/>
  <c r="M35" i="31"/>
  <c r="M41" i="31"/>
  <c r="M40" i="31"/>
  <c r="M38" i="31"/>
  <c r="M39" i="31"/>
  <c r="M17" i="31"/>
  <c r="M16" i="31"/>
  <c r="M15" i="31"/>
  <c r="M14" i="31"/>
  <c r="M49" i="31"/>
  <c r="M48" i="31"/>
  <c r="M46" i="31"/>
  <c r="M47" i="31"/>
  <c r="M21" i="31"/>
  <c r="M20" i="31"/>
  <c r="M19" i="31"/>
  <c r="M18" i="31"/>
  <c r="M25" i="31"/>
  <c r="M24" i="31"/>
  <c r="M22" i="31"/>
  <c r="M23" i="31"/>
  <c r="M29" i="31"/>
  <c r="M28" i="31"/>
  <c r="M27" i="31"/>
  <c r="M26" i="31"/>
  <c r="N49" i="31"/>
  <c r="P46" i="31"/>
  <c r="N46" i="31"/>
  <c r="P47" i="31"/>
  <c r="P49" i="31"/>
  <c r="P48" i="31"/>
  <c r="N48" i="31"/>
  <c r="N47" i="31"/>
  <c r="P41" i="31"/>
  <c r="N41" i="31"/>
  <c r="P38" i="31"/>
  <c r="N38" i="31"/>
  <c r="P40" i="31"/>
  <c r="N40" i="31"/>
  <c r="P39" i="31"/>
  <c r="N39" i="31"/>
  <c r="P37" i="31"/>
  <c r="N37" i="31"/>
  <c r="P34" i="31"/>
  <c r="N34" i="31"/>
  <c r="P36" i="31"/>
  <c r="N36" i="31"/>
  <c r="P35" i="31"/>
  <c r="N35" i="31"/>
  <c r="P33" i="31"/>
  <c r="N33" i="31"/>
  <c r="P30" i="31"/>
  <c r="N30" i="31"/>
  <c r="P32" i="31"/>
  <c r="N32" i="31"/>
  <c r="P31" i="31"/>
  <c r="N31" i="31"/>
  <c r="P29" i="31"/>
  <c r="N29" i="31"/>
  <c r="P26" i="31"/>
  <c r="P28" i="31"/>
  <c r="N28" i="31"/>
  <c r="P27" i="31"/>
  <c r="N27" i="31"/>
  <c r="N26" i="31"/>
  <c r="N25" i="31"/>
  <c r="N24" i="31"/>
  <c r="P25" i="31"/>
  <c r="P22" i="31"/>
  <c r="P23" i="31"/>
  <c r="N23" i="31"/>
  <c r="N22" i="31"/>
  <c r="P24" i="31"/>
  <c r="P21" i="31"/>
  <c r="P20" i="31"/>
  <c r="N20" i="31"/>
  <c r="P19" i="31"/>
  <c r="N19" i="31"/>
  <c r="N21" i="31"/>
  <c r="P18" i="31"/>
  <c r="N18" i="31"/>
  <c r="P17" i="31"/>
  <c r="N17" i="31"/>
  <c r="P14" i="31"/>
  <c r="N14" i="31"/>
  <c r="P16" i="31"/>
  <c r="N16" i="31"/>
  <c r="P15" i="31"/>
  <c r="N15" i="31"/>
  <c r="P13" i="31"/>
  <c r="N13" i="31"/>
  <c r="P10" i="31"/>
  <c r="P12" i="31"/>
  <c r="P11" i="31"/>
  <c r="N11" i="31"/>
  <c r="N10" i="31"/>
  <c r="N12" i="31"/>
  <c r="Q7" i="31"/>
  <c r="Q8" i="31"/>
  <c r="Q9" i="31"/>
  <c r="Q6" i="31"/>
  <c r="G6" i="12"/>
  <c r="O43" i="31" l="true"/>
  <c r="Q46" i="31"/>
  <c r="O46" i="31"/>
  <c r="Q49" i="31"/>
  <c r="O49" i="31"/>
  <c r="O45" i="31"/>
  <c r="Q47" i="31"/>
  <c r="O47" i="31"/>
  <c r="Q48" i="31"/>
  <c r="O48" i="31"/>
  <c r="O44" i="31"/>
  <c r="O42" i="31"/>
  <c r="Q38" i="31"/>
  <c r="O38" i="31"/>
  <c r="Q41" i="31"/>
  <c r="O41" i="31"/>
  <c r="Q39" i="31"/>
  <c r="O39" i="31"/>
  <c r="Q40" i="31"/>
  <c r="O40" i="31"/>
  <c r="Q34" i="31"/>
  <c r="O34" i="31"/>
  <c r="Q37" i="31"/>
  <c r="O37" i="31"/>
  <c r="Q35" i="31"/>
  <c r="O35" i="31"/>
  <c r="Q36" i="31"/>
  <c r="O36" i="31"/>
  <c r="Q31" i="31"/>
  <c r="O31" i="31"/>
  <c r="Q32" i="31"/>
  <c r="O32" i="31"/>
  <c r="Q30" i="31"/>
  <c r="O30" i="31"/>
  <c r="Q33" i="31"/>
  <c r="O33" i="31"/>
  <c r="O29" i="31"/>
  <c r="Q29" i="31"/>
  <c r="Q26" i="31"/>
  <c r="O26" i="31"/>
  <c r="Q27" i="31"/>
  <c r="O27" i="31"/>
  <c r="Q28" i="31"/>
  <c r="O28" i="31"/>
  <c r="Q24" i="31"/>
  <c r="O24" i="31"/>
  <c r="Q25" i="31"/>
  <c r="O25" i="31"/>
  <c r="Q22" i="31"/>
  <c r="O22" i="31"/>
  <c r="Q23" i="31"/>
  <c r="O23" i="31"/>
  <c r="Q18" i="31"/>
  <c r="O18" i="31"/>
  <c r="O21" i="31"/>
  <c r="Q21" i="31"/>
  <c r="Q19" i="31"/>
  <c r="O19" i="31"/>
  <c r="Q20" i="31"/>
  <c r="O20" i="31"/>
  <c r="Q15" i="31"/>
  <c r="O15" i="31"/>
  <c r="Q16" i="31"/>
  <c r="O16" i="31"/>
  <c r="Q14" i="31"/>
  <c r="O14" i="31"/>
  <c r="Q17" i="31"/>
  <c r="O17" i="31"/>
  <c r="O6" i="31"/>
  <c r="Q10" i="31"/>
  <c r="O10" i="31"/>
  <c r="O8" i="31"/>
  <c r="Q11" i="31"/>
  <c r="O11" i="31"/>
  <c r="O7" i="31"/>
  <c r="Q13" i="31"/>
  <c r="O13" i="31"/>
  <c r="Q12" i="31"/>
  <c r="O12" i="31"/>
  <c r="O9" i="31"/>
  <c r="B89" i="24"/>
  <c r="F86" i="24"/>
  <c r="G86" i="24" s="true"/>
  <c r="H86" i="24" s="true"/>
  <c r="I86" i="24" s="true"/>
  <c r="J86" i="24" s="true"/>
  <c r="K86" i="24" s="true"/>
  <c r="L86" i="24" s="true"/>
  <c r="M86" i="24" s="true"/>
  <c r="N86" i="24" s="true"/>
  <c r="F84" i="24"/>
  <c r="D84" i="24"/>
  <c r="F83" i="24"/>
  <c r="D83" i="24"/>
  <c r="B82" i="24"/>
  <c r="F81" i="24"/>
  <c r="F79" i="24"/>
  <c r="D78" i="24"/>
  <c r="E73" i="24"/>
  <c r="F71" i="24"/>
  <c r="G71" i="24" s="true"/>
  <c r="H71" i="24" s="true"/>
  <c r="E66" i="24"/>
  <c r="E65" i="24"/>
  <c r="E59" i="24" s="true"/>
  <c r="F57" i="24"/>
  <c r="G57" i="24" s="true"/>
  <c r="H57" i="24" s="true"/>
  <c r="I57" i="24" s="true"/>
  <c r="J57" i="24" s="true"/>
  <c r="K57" i="24" s="true"/>
  <c r="L57" i="24" s="true"/>
  <c r="M57" i="24" s="true"/>
  <c r="N57" i="24" s="true"/>
  <c r="E48" i="24"/>
  <c r="E47" i="24"/>
  <c r="E46" i="24"/>
  <c r="E45" i="24"/>
  <c r="E44" i="24"/>
  <c r="E43" i="24"/>
  <c r="E42" i="24"/>
  <c r="E41" i="24"/>
  <c r="E40" i="24"/>
  <c r="E39" i="24"/>
  <c r="E34" i="24"/>
  <c r="E33" i="24"/>
  <c r="D31" i="24"/>
  <c r="E51" i="24" l="true"/>
  <c r="I71" i="24"/>
  <c r="D29" i="24"/>
  <c r="D28" i="24"/>
  <c r="F24" i="24"/>
  <c r="F26" i="24" s="true"/>
  <c r="H20" i="24"/>
  <c r="D16" i="24"/>
  <c r="N15" i="24" s="true"/>
  <c r="D15" i="24"/>
  <c r="D14" i="24"/>
  <c r="E11" i="24"/>
  <c r="N3" i="24"/>
  <c r="M3" i="24"/>
  <c r="E28" i="24" l="true"/>
  <c r="E30" i="24" s="true"/>
  <c r="F45" i="24"/>
  <c r="F48" i="24"/>
  <c r="F47" i="24"/>
  <c r="F44" i="24"/>
  <c r="F73" i="24"/>
  <c r="F41" i="24"/>
  <c r="F65" i="24"/>
  <c r="F59" i="24" s="true"/>
  <c r="F40" i="24"/>
  <c r="F43" i="24"/>
  <c r="F42" i="24"/>
  <c r="F66" i="24"/>
  <c r="F46" i="24"/>
  <c r="F39" i="24"/>
  <c r="F50" i="24"/>
  <c r="F49" i="24"/>
  <c r="J71" i="24"/>
  <c r="G24" i="24"/>
  <c r="G65" i="24" s="true"/>
  <c r="G59" i="24" s="true"/>
  <c r="F25" i="24"/>
  <c r="F33" i="24" s="true"/>
  <c r="H7" i="12"/>
  <c r="J7" i="12"/>
  <c r="F36" i="24" l="true"/>
  <c r="F34" i="24"/>
  <c r="F35" i="24"/>
  <c r="F28" i="24"/>
  <c r="F30" i="24" s="true"/>
  <c r="E29" i="24"/>
  <c r="E31" i="24"/>
  <c r="K71" i="24"/>
  <c r="F51" i="24"/>
  <c r="H24" i="24"/>
  <c r="G26" i="24"/>
  <c r="G48" i="24" s="true"/>
  <c r="G25" i="24"/>
  <c r="G33" i="24" s="true"/>
  <c r="G36" i="24" l="true"/>
  <c r="G34" i="24"/>
  <c r="G35" i="24"/>
  <c r="F31" i="24"/>
  <c r="G28" i="24"/>
  <c r="F29" i="24"/>
  <c r="E32" i="24"/>
  <c r="E37" i="24" s="true"/>
  <c r="E52" i="24" s="true"/>
  <c r="H25" i="24"/>
  <c r="H33" i="24" s="true"/>
  <c r="I24" i="24"/>
  <c r="H26" i="24"/>
  <c r="I73" i="24"/>
  <c r="G40" i="24"/>
  <c r="G49" i="24"/>
  <c r="H49" i="24" s="true"/>
  <c r="G39" i="24"/>
  <c r="H39" i="24" s="true"/>
  <c r="H66" i="24"/>
  <c r="G43" i="24"/>
  <c r="H43" i="24" s="true"/>
  <c r="G47" i="24"/>
  <c r="H47" i="24" s="true"/>
  <c r="L71" i="24"/>
  <c r="H65" i="24"/>
  <c r="H59" i="24" s="true"/>
  <c r="G41" i="24"/>
  <c r="H73" i="24"/>
  <c r="G42" i="24"/>
  <c r="G45" i="24"/>
  <c r="G50" i="24"/>
  <c r="H50" i="24" s="true"/>
  <c r="G46" i="24"/>
  <c r="G44" i="24"/>
  <c r="H44" i="24" s="true"/>
  <c r="H40" i="24" l="true"/>
  <c r="H28" i="24"/>
  <c r="H31" i="24" s="true"/>
  <c r="H35" i="24"/>
  <c r="H36" i="24"/>
  <c r="G31" i="24"/>
  <c r="G29" i="24"/>
  <c r="G30" i="24"/>
  <c r="F32" i="24"/>
  <c r="F37" i="24" s="true"/>
  <c r="F54" i="24" s="true"/>
  <c r="E54" i="24"/>
  <c r="I14" i="24" s="true"/>
  <c r="I18" i="24" s="true"/>
  <c r="H41" i="24"/>
  <c r="I25" i="24"/>
  <c r="I26" i="24"/>
  <c r="I47" i="24" s="true"/>
  <c r="J24" i="24"/>
  <c r="J65" i="24" s="true"/>
  <c r="J59" i="24" s="true"/>
  <c r="H42" i="24"/>
  <c r="H34" i="24"/>
  <c r="M71" i="24"/>
  <c r="L93" i="24"/>
  <c r="L92" i="24" s="true"/>
  <c r="H48" i="24"/>
  <c r="H45" i="24"/>
  <c r="I65" i="24"/>
  <c r="I59" i="24" s="true"/>
  <c r="G51" i="24"/>
  <c r="I66" i="24"/>
  <c r="H46" i="24"/>
  <c r="I46" i="24" s="true"/>
  <c r="C51" i="30"/>
  <c r="E50" i="30" l="true"/>
  <c r="C10" i="31"/>
  <c r="C42" i="31"/>
  <c r="C6" i="31"/>
  <c r="C18" i="31"/>
  <c r="C30" i="31"/>
  <c r="C34" i="31"/>
  <c r="C38" i="31"/>
  <c r="C22" i="31"/>
  <c r="C46" i="31"/>
  <c r="C14" i="31"/>
  <c r="C26" i="31"/>
  <c r="D51" i="30"/>
  <c r="C50" i="30"/>
  <c r="D50" i="30"/>
  <c r="E51" i="30"/>
  <c r="J73" i="24"/>
  <c r="H30" i="24"/>
  <c r="H29" i="24"/>
  <c r="I15" i="24"/>
  <c r="I16" i="24" s="true"/>
  <c r="I19" i="24" s="true"/>
  <c r="I21" i="24" s="true"/>
  <c r="G32" i="24"/>
  <c r="G37" i="24" s="true"/>
  <c r="G52" i="24" s="true"/>
  <c r="E10" i="24"/>
  <c r="E8" i="24" s="true"/>
  <c r="F52" i="24"/>
  <c r="E63" i="24"/>
  <c r="F58" i="24"/>
  <c r="F60" i="24" s="true"/>
  <c r="F63" i="24"/>
  <c r="E58" i="24"/>
  <c r="E60" i="24" s="true"/>
  <c r="I34" i="24"/>
  <c r="H51" i="24"/>
  <c r="I49" i="24"/>
  <c r="I43" i="24"/>
  <c r="I40" i="24"/>
  <c r="I36" i="24"/>
  <c r="I28" i="24"/>
  <c r="I45" i="24"/>
  <c r="I39" i="24"/>
  <c r="I33" i="24"/>
  <c r="I50" i="24"/>
  <c r="I41" i="24"/>
  <c r="M93" i="24"/>
  <c r="M92" i="24" s="true"/>
  <c r="N71" i="24"/>
  <c r="K24" i="24"/>
  <c r="J25" i="24"/>
  <c r="J36" i="24" s="true"/>
  <c r="J26" i="24"/>
  <c r="J50" i="24" s="true"/>
  <c r="I35" i="24"/>
  <c r="I42" i="24"/>
  <c r="I44" i="24"/>
  <c r="J66" i="24"/>
  <c r="I48" i="24"/>
  <c r="J41" i="24" l="true"/>
  <c r="J45" i="24"/>
  <c r="J47" i="24"/>
  <c r="K47" i="24" s="true"/>
  <c r="J44" i="24"/>
  <c r="K44" i="24" s="true"/>
  <c r="J49" i="24"/>
  <c r="J39" i="24"/>
  <c r="J46" i="24"/>
  <c r="J40" i="24"/>
  <c r="K40" i="24" s="true"/>
  <c r="J48" i="24"/>
  <c r="H32" i="24"/>
  <c r="H37" i="24" s="true"/>
  <c r="H54" i="24" s="true"/>
  <c r="H63" i="24" s="true"/>
  <c r="J33" i="24"/>
  <c r="J35" i="24"/>
  <c r="J34" i="24"/>
  <c r="J42" i="24"/>
  <c r="I17" i="24"/>
  <c r="I22" i="24"/>
  <c r="J20" i="24" s="true"/>
  <c r="G54" i="24"/>
  <c r="G63" i="24" s="true"/>
  <c r="N13" i="24"/>
  <c r="N14" i="24"/>
  <c r="D73" i="24"/>
  <c r="J43" i="24"/>
  <c r="N93" i="24"/>
  <c r="N92" i="24" s="true"/>
  <c r="I30" i="24"/>
  <c r="I29" i="24"/>
  <c r="I31" i="24"/>
  <c r="D66" i="24"/>
  <c r="N8" i="24"/>
  <c r="J28" i="24"/>
  <c r="I51" i="24"/>
  <c r="K50" i="24"/>
  <c r="K25" i="24"/>
  <c r="K36" i="24" s="true"/>
  <c r="L24" i="24"/>
  <c r="L66" i="24" s="true"/>
  <c r="K26" i="24"/>
  <c r="J6" i="12"/>
  <c r="H6" i="12"/>
  <c r="K33" i="24" l="true"/>
  <c r="K35" i="24"/>
  <c r="L73" i="24"/>
  <c r="K45" i="24"/>
  <c r="L65" i="24"/>
  <c r="L59" i="24" s="true"/>
  <c r="K41" i="24"/>
  <c r="J14" i="24"/>
  <c r="J15" i="24"/>
  <c r="G58" i="24"/>
  <c r="G60" i="24" s="true"/>
  <c r="J51" i="24"/>
  <c r="H52" i="24"/>
  <c r="K34" i="24"/>
  <c r="K39" i="24"/>
  <c r="K46" i="24"/>
  <c r="K49" i="24"/>
  <c r="H58" i="24"/>
  <c r="H60" i="24" s="true"/>
  <c r="I32" i="24"/>
  <c r="I37" i="24" s="true"/>
  <c r="I54" i="24" s="true"/>
  <c r="I63" i="24" s="true"/>
  <c r="J29" i="24"/>
  <c r="J30" i="24"/>
  <c r="J31" i="24"/>
  <c r="L41" i="24"/>
  <c r="L47" i="24"/>
  <c r="L33" i="24"/>
  <c r="L40" i="24"/>
  <c r="L50" i="24"/>
  <c r="L44" i="24"/>
  <c r="L36" i="24"/>
  <c r="L49" i="24"/>
  <c r="L35" i="24"/>
  <c r="L46" i="24"/>
  <c r="L64" i="24"/>
  <c r="L43" i="24"/>
  <c r="L39" i="24"/>
  <c r="L45" i="24"/>
  <c r="L42" i="24"/>
  <c r="L48" i="24"/>
  <c r="L34" i="24"/>
  <c r="L28" i="24"/>
  <c r="L25" i="24"/>
  <c r="M24" i="24"/>
  <c r="L26" i="24"/>
  <c r="K48" i="24"/>
  <c r="K28" i="24"/>
  <c r="K43" i="24"/>
  <c r="K42" i="24"/>
  <c r="H9" i="12"/>
  <c r="J16" i="24" l="true"/>
  <c r="J19" i="24" s="true"/>
  <c r="J21" i="24" s="true"/>
  <c r="G66" i="24" s="true"/>
  <c r="I58" i="24"/>
  <c r="I60" i="24" s="true"/>
  <c r="I52" i="24"/>
  <c r="J32" i="24"/>
  <c r="J37" i="24" s="true"/>
  <c r="J52" i="24" s="true"/>
  <c r="K51" i="24"/>
  <c r="M41" i="24"/>
  <c r="M44" i="24"/>
  <c r="M33" i="24"/>
  <c r="M64" i="24"/>
  <c r="M47" i="24"/>
  <c r="M40" i="24"/>
  <c r="M50" i="24"/>
  <c r="M36" i="24"/>
  <c r="M43" i="24"/>
  <c r="M49" i="24"/>
  <c r="M35" i="24"/>
  <c r="M39" i="24"/>
  <c r="M46" i="24"/>
  <c r="M45" i="24"/>
  <c r="M42" i="24"/>
  <c r="M34" i="24"/>
  <c r="M48" i="24"/>
  <c r="M28" i="24"/>
  <c r="M26" i="24"/>
  <c r="N24" i="24"/>
  <c r="M25" i="24"/>
  <c r="N73" i="24"/>
  <c r="M73" i="24"/>
  <c r="M66" i="24"/>
  <c r="L29" i="24"/>
  <c r="L31" i="24"/>
  <c r="L30" i="24"/>
  <c r="L51" i="24"/>
  <c r="M65" i="24"/>
  <c r="M59" i="24" s="true"/>
  <c r="K31" i="24"/>
  <c r="K30" i="24"/>
  <c r="K29" i="24"/>
  <c r="H21" i="4"/>
  <c r="H20" i="4"/>
  <c r="H19" i="4"/>
  <c r="H18" i="4"/>
  <c r="H17" i="4"/>
  <c r="H16" i="4"/>
  <c r="H15" i="4"/>
  <c r="H14" i="4"/>
  <c r="H13" i="4"/>
  <c r="H12" i="4"/>
  <c r="H11" i="4"/>
  <c r="H10" i="4"/>
  <c r="H8" i="4"/>
  <c r="H6" i="4"/>
  <c r="H7" i="4"/>
  <c r="H5" i="4"/>
  <c r="F21" i="4"/>
  <c r="F20" i="4"/>
  <c r="F19" i="4"/>
  <c r="F18" i="4"/>
  <c r="F17" i="4"/>
  <c r="F16" i="4"/>
  <c r="F15" i="4"/>
  <c r="F14" i="4"/>
  <c r="F13" i="4"/>
  <c r="F12" i="4"/>
  <c r="F11" i="4"/>
  <c r="F10" i="4"/>
  <c r="F8" i="4"/>
  <c r="F6" i="4"/>
  <c r="F7" i="4"/>
  <c r="F5" i="4"/>
  <c r="H4" i="4"/>
  <c r="F4" i="4"/>
  <c r="G73" i="24" l="true"/>
  <c r="J17" i="24"/>
  <c r="J18" i="24"/>
  <c r="K64" i="24" s="true"/>
  <c r="K32" i="24"/>
  <c r="K37" i="24" s="true"/>
  <c r="K54" i="24" s="true"/>
  <c r="J54" i="24"/>
  <c r="J58" i="24" s="true"/>
  <c r="J60" i="24" s="true"/>
  <c r="L32" i="24"/>
  <c r="L37" i="24" s="true"/>
  <c r="L54" i="24" s="true"/>
  <c r="L63" i="24" s="true"/>
  <c r="M51" i="24"/>
  <c r="N41" i="24"/>
  <c r="N47" i="24"/>
  <c r="N40" i="24"/>
  <c r="N43" i="24"/>
  <c r="N64" i="24"/>
  <c r="N44" i="24"/>
  <c r="N33" i="24"/>
  <c r="N50" i="24"/>
  <c r="N36" i="24"/>
  <c r="N39" i="24"/>
  <c r="N45" i="24"/>
  <c r="N46" i="24"/>
  <c r="N42" i="24"/>
  <c r="N49" i="24"/>
  <c r="N34" i="24"/>
  <c r="N35" i="24"/>
  <c r="N48" i="24"/>
  <c r="N28" i="24"/>
  <c r="N26" i="24"/>
  <c r="N25" i="24"/>
  <c r="N66" i="24"/>
  <c r="N65" i="24"/>
  <c r="N59" i="24" s="true"/>
  <c r="M30" i="24"/>
  <c r="M31" i="24"/>
  <c r="M29" i="24"/>
  <c r="J9" i="12"/>
  <c r="H8" i="12"/>
  <c r="J8" i="12"/>
  <c r="K21" i="4"/>
  <c r="K20" i="4"/>
  <c r="K19" i="4"/>
  <c r="K18" i="4"/>
  <c r="K17" i="4"/>
  <c r="K16" i="4"/>
  <c r="K15" i="4"/>
  <c r="K14" i="4"/>
  <c r="K13" i="4"/>
  <c r="K12" i="4"/>
  <c r="K11" i="4"/>
  <c r="K10" i="4"/>
  <c r="H64" i="24" l="true"/>
  <c r="H67" i="24" s="true"/>
  <c r="H72" i="24" s="true"/>
  <c r="J22" i="24"/>
  <c r="K66" i="24" s="true"/>
  <c r="I64" i="24"/>
  <c r="I68" i="24" s="true"/>
  <c r="J64" i="24"/>
  <c r="G64" i="24"/>
  <c r="E64" i="24"/>
  <c r="F64" i="24"/>
  <c r="J63" i="24"/>
  <c r="K52" i="24"/>
  <c r="L52" i="24"/>
  <c r="M32" i="24"/>
  <c r="M37" i="24" s="true"/>
  <c r="M54" i="24" s="true"/>
  <c r="M58" i="24" s="true"/>
  <c r="M60" i="24" s="true"/>
  <c r="L58" i="24"/>
  <c r="L60" i="24" s="true"/>
  <c r="N31" i="24"/>
  <c r="N29" i="24"/>
  <c r="N30" i="24"/>
  <c r="N51" i="24"/>
  <c r="K63" i="24"/>
  <c r="K58" i="24"/>
  <c r="K65" i="24"/>
  <c r="L68" i="24"/>
  <c r="L74" i="24"/>
  <c r="L67" i="24"/>
  <c r="L72" i="24" s="true"/>
  <c r="W81" i="8"/>
  <c r="V81" i="8"/>
  <c r="U81" i="8"/>
  <c r="T81" i="8"/>
  <c r="S81" i="8"/>
  <c r="R81" i="8"/>
  <c r="Q81" i="8"/>
  <c r="P81" i="8"/>
  <c r="O81" i="8"/>
  <c r="N81" i="8"/>
  <c r="W80" i="8"/>
  <c r="V80" i="8"/>
  <c r="U80" i="8"/>
  <c r="T80" i="8"/>
  <c r="S80" i="8"/>
  <c r="R80" i="8"/>
  <c r="Q80" i="8"/>
  <c r="P80" i="8"/>
  <c r="O80" i="8"/>
  <c r="N80" i="8"/>
  <c r="W79" i="8"/>
  <c r="V79" i="8"/>
  <c r="U79" i="8"/>
  <c r="T79" i="8"/>
  <c r="S79" i="8"/>
  <c r="R79" i="8"/>
  <c r="Q79" i="8"/>
  <c r="P79" i="8"/>
  <c r="O79" i="8"/>
  <c r="N79" i="8"/>
  <c r="W78" i="8"/>
  <c r="V78" i="8"/>
  <c r="U78" i="8"/>
  <c r="T78" i="8"/>
  <c r="S78" i="8"/>
  <c r="R78" i="8"/>
  <c r="Q78" i="8"/>
  <c r="P78" i="8"/>
  <c r="O78" i="8"/>
  <c r="N78" i="8"/>
  <c r="W77" i="8"/>
  <c r="V77" i="8"/>
  <c r="U77" i="8"/>
  <c r="T77" i="8"/>
  <c r="S77" i="8"/>
  <c r="R77" i="8"/>
  <c r="Q77" i="8"/>
  <c r="P77" i="8"/>
  <c r="O77" i="8"/>
  <c r="N77" i="8"/>
  <c r="W76" i="8"/>
  <c r="V76" i="8"/>
  <c r="U76" i="8"/>
  <c r="T76" i="8"/>
  <c r="S76" i="8"/>
  <c r="R76" i="8"/>
  <c r="Q76" i="8"/>
  <c r="P76" i="8"/>
  <c r="O76" i="8"/>
  <c r="N76" i="8"/>
  <c r="W75" i="8"/>
  <c r="V75" i="8"/>
  <c r="U75" i="8"/>
  <c r="T75" i="8"/>
  <c r="S75" i="8"/>
  <c r="R75" i="8"/>
  <c r="Q75" i="8"/>
  <c r="P75" i="8"/>
  <c r="O75" i="8"/>
  <c r="N75" i="8"/>
  <c r="W73" i="8"/>
  <c r="V73" i="8"/>
  <c r="U73" i="8"/>
  <c r="T73" i="8"/>
  <c r="S73" i="8"/>
  <c r="R73" i="8"/>
  <c r="Q73" i="8"/>
  <c r="P73" i="8"/>
  <c r="O73" i="8"/>
  <c r="N73" i="8"/>
  <c r="W72" i="8"/>
  <c r="V72" i="8"/>
  <c r="U72" i="8"/>
  <c r="T72" i="8"/>
  <c r="S72" i="8"/>
  <c r="R72" i="8"/>
  <c r="Q72" i="8"/>
  <c r="P72" i="8"/>
  <c r="O72" i="8"/>
  <c r="N72" i="8"/>
  <c r="W71" i="8"/>
  <c r="V71" i="8"/>
  <c r="U71" i="8"/>
  <c r="T71" i="8"/>
  <c r="S71" i="8"/>
  <c r="R71" i="8"/>
  <c r="Q71" i="8"/>
  <c r="P71" i="8"/>
  <c r="O71" i="8"/>
  <c r="N71" i="8"/>
  <c r="W70" i="8"/>
  <c r="V70" i="8"/>
  <c r="U70" i="8"/>
  <c r="T70" i="8"/>
  <c r="S70" i="8"/>
  <c r="R70" i="8"/>
  <c r="Q70" i="8"/>
  <c r="P70" i="8"/>
  <c r="O70" i="8"/>
  <c r="N70" i="8"/>
  <c r="W69" i="8"/>
  <c r="V69" i="8"/>
  <c r="U69" i="8"/>
  <c r="T69" i="8"/>
  <c r="S69" i="8"/>
  <c r="R69" i="8"/>
  <c r="Q69" i="8"/>
  <c r="P69" i="8"/>
  <c r="O69" i="8"/>
  <c r="N69" i="8"/>
  <c r="W68" i="8"/>
  <c r="V68" i="8"/>
  <c r="U68" i="8"/>
  <c r="T68" i="8"/>
  <c r="S68" i="8"/>
  <c r="R68" i="8"/>
  <c r="Q68" i="8"/>
  <c r="P68" i="8"/>
  <c r="O68" i="8"/>
  <c r="N68" i="8"/>
  <c r="W67" i="8"/>
  <c r="V67" i="8"/>
  <c r="U67" i="8"/>
  <c r="T67" i="8"/>
  <c r="S67" i="8"/>
  <c r="R67" i="8"/>
  <c r="Q67" i="8"/>
  <c r="P67" i="8"/>
  <c r="O67" i="8"/>
  <c r="N67" i="8"/>
  <c r="W66" i="8"/>
  <c r="V66" i="8"/>
  <c r="U66" i="8"/>
  <c r="T66" i="8"/>
  <c r="S66" i="8"/>
  <c r="R66" i="8"/>
  <c r="Q66" i="8"/>
  <c r="P66" i="8"/>
  <c r="O66" i="8"/>
  <c r="N66" i="8"/>
  <c r="W65" i="8"/>
  <c r="V65" i="8"/>
  <c r="U65" i="8"/>
  <c r="T65" i="8"/>
  <c r="S65" i="8"/>
  <c r="R65" i="8"/>
  <c r="Q65" i="8"/>
  <c r="P65" i="8"/>
  <c r="O65" i="8"/>
  <c r="N65" i="8"/>
  <c r="W64" i="8"/>
  <c r="V64" i="8"/>
  <c r="U64" i="8"/>
  <c r="T64" i="8"/>
  <c r="S64" i="8"/>
  <c r="R64" i="8"/>
  <c r="Q64" i="8"/>
  <c r="P64" i="8"/>
  <c r="O64" i="8"/>
  <c r="N64" i="8"/>
  <c r="W63" i="8"/>
  <c r="V63" i="8"/>
  <c r="U63" i="8"/>
  <c r="T63" i="8"/>
  <c r="S63" i="8"/>
  <c r="R63" i="8"/>
  <c r="Q63" i="8"/>
  <c r="P63" i="8"/>
  <c r="O63" i="8"/>
  <c r="N63" i="8"/>
  <c r="W62" i="8"/>
  <c r="V62" i="8"/>
  <c r="U62" i="8"/>
  <c r="T62" i="8"/>
  <c r="S62" i="8"/>
  <c r="R62" i="8"/>
  <c r="Q62" i="8"/>
  <c r="P62" i="8"/>
  <c r="O62" i="8"/>
  <c r="N62" i="8"/>
  <c r="W52" i="8"/>
  <c r="V52" i="8"/>
  <c r="U52" i="8"/>
  <c r="T52" i="8"/>
  <c r="S52" i="8"/>
  <c r="R52" i="8"/>
  <c r="Q52" i="8"/>
  <c r="P52" i="8"/>
  <c r="O52" i="8"/>
  <c r="N52" i="8"/>
  <c r="W51" i="8"/>
  <c r="V51" i="8"/>
  <c r="U51" i="8"/>
  <c r="T51" i="8"/>
  <c r="S51" i="8"/>
  <c r="R51" i="8"/>
  <c r="Q51" i="8"/>
  <c r="P51" i="8"/>
  <c r="O51" i="8"/>
  <c r="N51" i="8"/>
  <c r="W50" i="8"/>
  <c r="V50" i="8"/>
  <c r="U50" i="8"/>
  <c r="T50" i="8"/>
  <c r="S50" i="8"/>
  <c r="R50" i="8"/>
  <c r="Q50" i="8"/>
  <c r="P50" i="8"/>
  <c r="O50" i="8"/>
  <c r="N50" i="8"/>
  <c r="W48" i="8"/>
  <c r="V48" i="8"/>
  <c r="U48" i="8"/>
  <c r="T48" i="8"/>
  <c r="S48" i="8"/>
  <c r="R48" i="8"/>
  <c r="Q48" i="8"/>
  <c r="P48" i="8"/>
  <c r="O48" i="8"/>
  <c r="N48" i="8"/>
  <c r="W47" i="8"/>
  <c r="V47" i="8"/>
  <c r="U47" i="8"/>
  <c r="T47" i="8"/>
  <c r="S47" i="8"/>
  <c r="R47" i="8"/>
  <c r="Q47" i="8"/>
  <c r="P47" i="8"/>
  <c r="O47" i="8"/>
  <c r="N47" i="8"/>
  <c r="W46" i="8"/>
  <c r="V46" i="8"/>
  <c r="U46" i="8"/>
  <c r="T46" i="8"/>
  <c r="S46" i="8"/>
  <c r="R46" i="8"/>
  <c r="Q46" i="8"/>
  <c r="P46" i="8"/>
  <c r="O46" i="8"/>
  <c r="N46" i="8"/>
  <c r="W45" i="8"/>
  <c r="V45" i="8"/>
  <c r="U45" i="8"/>
  <c r="T45" i="8"/>
  <c r="S45" i="8"/>
  <c r="R45" i="8"/>
  <c r="Q45" i="8"/>
  <c r="P45" i="8"/>
  <c r="O45" i="8"/>
  <c r="N45" i="8"/>
  <c r="W44" i="8"/>
  <c r="V44" i="8"/>
  <c r="U44" i="8"/>
  <c r="T44" i="8"/>
  <c r="S44" i="8"/>
  <c r="R44" i="8"/>
  <c r="Q44" i="8"/>
  <c r="P44" i="8"/>
  <c r="O44" i="8"/>
  <c r="N44" i="8"/>
  <c r="W43" i="8"/>
  <c r="V43" i="8"/>
  <c r="U43" i="8"/>
  <c r="T43" i="8"/>
  <c r="S43" i="8"/>
  <c r="R43" i="8"/>
  <c r="Q43" i="8"/>
  <c r="P43" i="8"/>
  <c r="O43" i="8"/>
  <c r="N43" i="8"/>
  <c r="W42" i="8"/>
  <c r="V42" i="8"/>
  <c r="U42" i="8"/>
  <c r="T42" i="8"/>
  <c r="S42" i="8"/>
  <c r="R42" i="8"/>
  <c r="Q42" i="8"/>
  <c r="P42" i="8"/>
  <c r="O42" i="8"/>
  <c r="N42" i="8"/>
  <c r="W41" i="8"/>
  <c r="V41" i="8"/>
  <c r="U41" i="8"/>
  <c r="T41" i="8"/>
  <c r="S41" i="8"/>
  <c r="R41" i="8"/>
  <c r="Q41" i="8"/>
  <c r="P41" i="8"/>
  <c r="O41" i="8"/>
  <c r="N41" i="8"/>
  <c r="W40" i="8"/>
  <c r="V40" i="8"/>
  <c r="U40" i="8"/>
  <c r="T40" i="8"/>
  <c r="S40" i="8"/>
  <c r="R40" i="8"/>
  <c r="Q40" i="8"/>
  <c r="P40" i="8"/>
  <c r="O40" i="8"/>
  <c r="N40" i="8"/>
  <c r="W39" i="8"/>
  <c r="V39" i="8"/>
  <c r="U39" i="8"/>
  <c r="T39" i="8"/>
  <c r="S39" i="8"/>
  <c r="R39" i="8"/>
  <c r="Q39" i="8"/>
  <c r="P39" i="8"/>
  <c r="O39" i="8"/>
  <c r="N39" i="8"/>
  <c r="W38" i="8"/>
  <c r="V38" i="8"/>
  <c r="U38" i="8"/>
  <c r="T38" i="8"/>
  <c r="S38" i="8"/>
  <c r="R38" i="8"/>
  <c r="Q38" i="8"/>
  <c r="P38" i="8"/>
  <c r="O38" i="8"/>
  <c r="N38" i="8"/>
  <c r="W37" i="8"/>
  <c r="V37" i="8"/>
  <c r="U37" i="8"/>
  <c r="T37" i="8"/>
  <c r="S37" i="8"/>
  <c r="R37" i="8"/>
  <c r="Q37" i="8"/>
  <c r="P37" i="8"/>
  <c r="O37" i="8"/>
  <c r="N37" i="8"/>
  <c r="W36" i="8"/>
  <c r="V36" i="8"/>
  <c r="U36" i="8"/>
  <c r="T36" i="8"/>
  <c r="S36" i="8"/>
  <c r="R36" i="8"/>
  <c r="Q36" i="8"/>
  <c r="P36" i="8"/>
  <c r="O36" i="8"/>
  <c r="N36" i="8"/>
  <c r="W35" i="8"/>
  <c r="V35" i="8"/>
  <c r="U35" i="8"/>
  <c r="T35" i="8"/>
  <c r="S35" i="8"/>
  <c r="R35" i="8"/>
  <c r="Q35" i="8"/>
  <c r="P35" i="8"/>
  <c r="O35" i="8"/>
  <c r="N35" i="8"/>
  <c r="W34" i="8"/>
  <c r="V34" i="8"/>
  <c r="U34" i="8"/>
  <c r="T34" i="8"/>
  <c r="S34" i="8"/>
  <c r="R34" i="8"/>
  <c r="Q34" i="8"/>
  <c r="P34" i="8"/>
  <c r="O34" i="8"/>
  <c r="N34" i="8"/>
  <c r="W33" i="8"/>
  <c r="V33" i="8"/>
  <c r="U33" i="8"/>
  <c r="T33" i="8"/>
  <c r="S33" i="8"/>
  <c r="R33" i="8"/>
  <c r="Q33" i="8"/>
  <c r="P33" i="8"/>
  <c r="O33" i="8"/>
  <c r="N33" i="8"/>
  <c r="W32" i="8"/>
  <c r="V32" i="8"/>
  <c r="U32" i="8"/>
  <c r="T32" i="8"/>
  <c r="S32" i="8"/>
  <c r="R32" i="8"/>
  <c r="Q32" i="8"/>
  <c r="P32" i="8"/>
  <c r="O32" i="8"/>
  <c r="N32" i="8"/>
  <c r="W31" i="8"/>
  <c r="V31" i="8"/>
  <c r="U31" i="8"/>
  <c r="T31" i="8"/>
  <c r="S31" i="8"/>
  <c r="R31" i="8"/>
  <c r="Q31" i="8"/>
  <c r="P31" i="8"/>
  <c r="O31" i="8"/>
  <c r="N31" i="8"/>
  <c r="W30" i="8"/>
  <c r="V30" i="8"/>
  <c r="U30" i="8"/>
  <c r="T30" i="8"/>
  <c r="S30" i="8"/>
  <c r="R30" i="8"/>
  <c r="Q30" i="8"/>
  <c r="P30" i="8"/>
  <c r="O30" i="8"/>
  <c r="N30" i="8"/>
  <c r="W29" i="8"/>
  <c r="V29" i="8"/>
  <c r="U29" i="8"/>
  <c r="T29" i="8"/>
  <c r="S29" i="8"/>
  <c r="R29" i="8"/>
  <c r="Q29" i="8"/>
  <c r="P29" i="8"/>
  <c r="O29" i="8"/>
  <c r="N29" i="8"/>
  <c r="D7" i="12"/>
  <c r="I74" i="24" l="true"/>
  <c r="I67" i="24"/>
  <c r="I72" i="24" s="true"/>
  <c r="J67" i="24"/>
  <c r="J72" i="24" s="true"/>
  <c r="M52" i="24"/>
  <c r="H74" i="24"/>
  <c r="H75" i="24" s="true"/>
  <c r="H88" i="24" s="true"/>
  <c r="H68" i="24"/>
  <c r="F67" i="24"/>
  <c r="F72" i="24" s="true"/>
  <c r="F74" i="24"/>
  <c r="F68" i="24"/>
  <c r="E67" i="24"/>
  <c r="E72" i="24" s="true"/>
  <c r="E68" i="24"/>
  <c r="E74" i="24"/>
  <c r="G68" i="24"/>
  <c r="G74" i="24"/>
  <c r="G67" i="24"/>
  <c r="G72" i="24" s="true"/>
  <c r="J68" i="24"/>
  <c r="J74" i="24"/>
  <c r="M63" i="24"/>
  <c r="M68" i="24" s="true"/>
  <c r="L75" i="24"/>
  <c r="L88" i="24" s="true"/>
  <c r="N32" i="24"/>
  <c r="N37" i="24" s="true"/>
  <c r="N54" i="24" s="true"/>
  <c r="N63" i="24" s="true"/>
  <c r="K68" i="24"/>
  <c r="K74" i="24"/>
  <c r="K67" i="24"/>
  <c r="K59" i="24"/>
  <c r="K60" i="24" s="true"/>
  <c r="K73" i="24"/>
  <c r="N16" i="24" s="true"/>
  <c r="N18" i="24" s="true"/>
  <c r="D9" i="12"/>
  <c r="D8" i="12"/>
  <c r="E7" i="12"/>
  <c r="F7" i="12"/>
  <c r="C7" i="12"/>
  <c r="I75" i="24" l="true"/>
  <c r="I88" i="24" s="true"/>
  <c r="J75" i="24"/>
  <c r="J88" i="24" s="true"/>
  <c r="G75" i="24"/>
  <c r="G88" i="24" s="true"/>
  <c r="E75" i="24"/>
  <c r="E88" i="24" s="true"/>
  <c r="F75" i="24"/>
  <c r="F88" i="24" s="true"/>
  <c r="M67" i="24"/>
  <c r="M72" i="24" s="true"/>
  <c r="M74" i="24"/>
  <c r="N52" i="24"/>
  <c r="N58" i="24"/>
  <c r="N60" i="24" s="true"/>
  <c r="K3" i="24" s="true"/>
  <c r="G7" i="12"/>
  <c r="D59" i="24"/>
  <c r="N9" i="24"/>
  <c r="N11" i="24" s="true"/>
  <c r="K72" i="24"/>
  <c r="K75" i="24" s="true"/>
  <c r="N67" i="24"/>
  <c r="N72" i="24" s="true"/>
  <c r="N68" i="24"/>
  <c r="N74" i="24"/>
  <c r="E9" i="12"/>
  <c r="F9" i="12"/>
  <c r="C9" i="12"/>
  <c r="E8" i="12"/>
  <c r="F8" i="12"/>
  <c r="C8" i="12"/>
  <c r="N17" i="24" l="true"/>
  <c r="M75" i="24"/>
  <c r="M88" i="24" s="true"/>
  <c r="G9" i="12"/>
  <c r="G8" i="12"/>
  <c r="N75" i="24"/>
  <c r="N88" i="24" s="true"/>
  <c r="K88" i="24"/>
  <c r="D60" i="24"/>
  <c r="D65" i="24"/>
  <c r="D67" i="24" s="true"/>
  <c r="I4" i="24" s="true"/>
  <c r="M50" i="8"/>
  <c r="L50" i="8"/>
  <c r="K50" i="8"/>
  <c r="J50" i="8"/>
  <c r="I50" i="8"/>
  <c r="H50" i="8"/>
  <c r="G50" i="8"/>
  <c r="F50" i="8"/>
  <c r="E50" i="8"/>
  <c r="D50" i="8"/>
  <c r="C50" i="8"/>
  <c r="M52" i="8"/>
  <c r="L52" i="8"/>
  <c r="K52" i="8"/>
  <c r="J52" i="8"/>
  <c r="I52" i="8"/>
  <c r="H52" i="8"/>
  <c r="G52" i="8"/>
  <c r="F52" i="8"/>
  <c r="E52" i="8"/>
  <c r="D52" i="8"/>
  <c r="C52" i="8"/>
  <c r="M51" i="8"/>
  <c r="L51" i="8"/>
  <c r="K51" i="8"/>
  <c r="J51" i="8"/>
  <c r="I51" i="8"/>
  <c r="H51" i="8"/>
  <c r="G51" i="8"/>
  <c r="F51" i="8"/>
  <c r="E51" i="8"/>
  <c r="D51" i="8"/>
  <c r="C51" i="8"/>
  <c r="M81" i="8"/>
  <c r="L81" i="8"/>
  <c r="K81" i="8"/>
  <c r="J81" i="8"/>
  <c r="I81" i="8"/>
  <c r="H81" i="8"/>
  <c r="G81" i="8"/>
  <c r="F81" i="8"/>
  <c r="E81" i="8"/>
  <c r="D81" i="8"/>
  <c r="C81" i="8"/>
  <c r="M80" i="8"/>
  <c r="L80" i="8"/>
  <c r="K80" i="8"/>
  <c r="J80" i="8"/>
  <c r="I80" i="8"/>
  <c r="H80" i="8"/>
  <c r="G80" i="8"/>
  <c r="F80" i="8"/>
  <c r="E80" i="8"/>
  <c r="D80" i="8"/>
  <c r="C80" i="8"/>
  <c r="M79" i="8"/>
  <c r="L79" i="8"/>
  <c r="K79" i="8"/>
  <c r="J79" i="8"/>
  <c r="I79" i="8"/>
  <c r="H79" i="8"/>
  <c r="G79" i="8"/>
  <c r="F79" i="8"/>
  <c r="E79" i="8"/>
  <c r="D79" i="8"/>
  <c r="C79" i="8"/>
  <c r="M78" i="8"/>
  <c r="L78" i="8"/>
  <c r="K78" i="8"/>
  <c r="J78" i="8"/>
  <c r="I78" i="8"/>
  <c r="H78" i="8"/>
  <c r="G78" i="8"/>
  <c r="F78" i="8"/>
  <c r="E78" i="8"/>
  <c r="D78" i="8"/>
  <c r="C78" i="8"/>
  <c r="M77" i="8"/>
  <c r="L77" i="8"/>
  <c r="K77" i="8"/>
  <c r="J77" i="8"/>
  <c r="I77" i="8"/>
  <c r="H77" i="8"/>
  <c r="G77" i="8"/>
  <c r="F77" i="8"/>
  <c r="E77" i="8"/>
  <c r="D77" i="8"/>
  <c r="C77" i="8"/>
  <c r="M76" i="8"/>
  <c r="L76" i="8"/>
  <c r="K76" i="8"/>
  <c r="J76" i="8"/>
  <c r="I76" i="8"/>
  <c r="H76" i="8"/>
  <c r="G76" i="8"/>
  <c r="F76" i="8"/>
  <c r="E76" i="8"/>
  <c r="D76" i="8"/>
  <c r="C76" i="8"/>
  <c r="M75" i="8"/>
  <c r="L75" i="8"/>
  <c r="K75" i="8"/>
  <c r="J75" i="8"/>
  <c r="I75" i="8"/>
  <c r="H75" i="8"/>
  <c r="G75" i="8"/>
  <c r="F75" i="8"/>
  <c r="E75" i="8"/>
  <c r="D75" i="8"/>
  <c r="C75" i="8"/>
  <c r="C74" i="8"/>
  <c r="M73" i="8"/>
  <c r="L73" i="8"/>
  <c r="K73" i="8"/>
  <c r="J73" i="8"/>
  <c r="I73" i="8"/>
  <c r="H73" i="8"/>
  <c r="G73" i="8"/>
  <c r="F73" i="8"/>
  <c r="E73" i="8"/>
  <c r="D73" i="8"/>
  <c r="C73" i="8"/>
  <c r="M72" i="8"/>
  <c r="L72" i="8"/>
  <c r="K72" i="8"/>
  <c r="J72" i="8"/>
  <c r="I72" i="8"/>
  <c r="H72" i="8"/>
  <c r="G72" i="8"/>
  <c r="F72" i="8"/>
  <c r="E72" i="8"/>
  <c r="D72" i="8"/>
  <c r="C72" i="8"/>
  <c r="M71" i="8"/>
  <c r="L71" i="8"/>
  <c r="K71" i="8"/>
  <c r="J71" i="8"/>
  <c r="I71" i="8"/>
  <c r="H71" i="8"/>
  <c r="G71" i="8"/>
  <c r="F71" i="8"/>
  <c r="E71" i="8"/>
  <c r="D71" i="8"/>
  <c r="C71" i="8"/>
  <c r="M70" i="8"/>
  <c r="L70" i="8"/>
  <c r="K70" i="8"/>
  <c r="J70" i="8"/>
  <c r="I70" i="8"/>
  <c r="H70" i="8"/>
  <c r="G70" i="8"/>
  <c r="F70" i="8"/>
  <c r="E70" i="8"/>
  <c r="D70" i="8"/>
  <c r="C70" i="8"/>
  <c r="M69" i="8"/>
  <c r="L69" i="8"/>
  <c r="K69" i="8"/>
  <c r="J69" i="8"/>
  <c r="I69" i="8"/>
  <c r="H69" i="8"/>
  <c r="G69" i="8"/>
  <c r="F69" i="8"/>
  <c r="E69" i="8"/>
  <c r="D69" i="8"/>
  <c r="C69" i="8"/>
  <c r="M68" i="8"/>
  <c r="L68" i="8"/>
  <c r="K68" i="8"/>
  <c r="J68" i="8"/>
  <c r="I68" i="8"/>
  <c r="H68" i="8"/>
  <c r="G68" i="8"/>
  <c r="F68" i="8"/>
  <c r="E68" i="8"/>
  <c r="D68" i="8"/>
  <c r="C68" i="8"/>
  <c r="M67" i="8"/>
  <c r="L67" i="8"/>
  <c r="K67" i="8"/>
  <c r="J67" i="8"/>
  <c r="I67" i="8"/>
  <c r="H67" i="8"/>
  <c r="G67" i="8"/>
  <c r="F67" i="8"/>
  <c r="E67" i="8"/>
  <c r="D67" i="8"/>
  <c r="C67" i="8"/>
  <c r="M66" i="8"/>
  <c r="L66" i="8"/>
  <c r="K66" i="8"/>
  <c r="J66" i="8"/>
  <c r="I66" i="8"/>
  <c r="H66" i="8"/>
  <c r="G66" i="8"/>
  <c r="F66" i="8"/>
  <c r="E66" i="8"/>
  <c r="D66" i="8"/>
  <c r="C66" i="8"/>
  <c r="M65" i="8"/>
  <c r="L65" i="8"/>
  <c r="K65" i="8"/>
  <c r="J65" i="8"/>
  <c r="I65" i="8"/>
  <c r="H65" i="8"/>
  <c r="G65" i="8"/>
  <c r="F65" i="8"/>
  <c r="E65" i="8"/>
  <c r="D65" i="8"/>
  <c r="C65" i="8"/>
  <c r="M64" i="8"/>
  <c r="L64" i="8"/>
  <c r="K64" i="8"/>
  <c r="J64" i="8"/>
  <c r="I64" i="8"/>
  <c r="H64" i="8"/>
  <c r="G64" i="8"/>
  <c r="F64" i="8"/>
  <c r="E64" i="8"/>
  <c r="D64" i="8"/>
  <c r="C64" i="8"/>
  <c r="M63" i="8"/>
  <c r="L63" i="8"/>
  <c r="K63" i="8"/>
  <c r="J63" i="8"/>
  <c r="I63" i="8"/>
  <c r="H63" i="8"/>
  <c r="G63" i="8"/>
  <c r="F63" i="8"/>
  <c r="E63" i="8"/>
  <c r="D63" i="8"/>
  <c r="C63" i="8"/>
  <c r="M62" i="8"/>
  <c r="L62" i="8"/>
  <c r="K62" i="8"/>
  <c r="J62" i="8"/>
  <c r="I62" i="8"/>
  <c r="H62" i="8"/>
  <c r="G62" i="8"/>
  <c r="F62" i="8"/>
  <c r="E62" i="8"/>
  <c r="D62" i="8"/>
  <c r="C62" i="8"/>
  <c r="M48" i="8"/>
  <c r="L48" i="8"/>
  <c r="K48" i="8"/>
  <c r="J48" i="8"/>
  <c r="I48" i="8"/>
  <c r="H48" i="8"/>
  <c r="G48" i="8"/>
  <c r="F48" i="8"/>
  <c r="E48" i="8"/>
  <c r="D48" i="8"/>
  <c r="C48" i="8"/>
  <c r="M47" i="8"/>
  <c r="L47" i="8"/>
  <c r="K47" i="8"/>
  <c r="J47" i="8"/>
  <c r="I47" i="8"/>
  <c r="H47" i="8"/>
  <c r="G47" i="8"/>
  <c r="F47" i="8"/>
  <c r="E47" i="8"/>
  <c r="D47" i="8"/>
  <c r="C47" i="8"/>
  <c r="M46" i="8"/>
  <c r="L46" i="8"/>
  <c r="K46" i="8"/>
  <c r="J46" i="8"/>
  <c r="I46" i="8"/>
  <c r="H46" i="8"/>
  <c r="G46" i="8"/>
  <c r="F46" i="8"/>
  <c r="E46" i="8"/>
  <c r="D46" i="8"/>
  <c r="C46" i="8"/>
  <c r="M45" i="8"/>
  <c r="L45" i="8"/>
  <c r="K45" i="8"/>
  <c r="J45" i="8"/>
  <c r="I45" i="8"/>
  <c r="H45" i="8"/>
  <c r="G45" i="8"/>
  <c r="F45" i="8"/>
  <c r="E45" i="8"/>
  <c r="D45" i="8"/>
  <c r="C45" i="8"/>
  <c r="M44" i="8"/>
  <c r="L44" i="8"/>
  <c r="K44" i="8"/>
  <c r="J44" i="8"/>
  <c r="I44" i="8"/>
  <c r="H44" i="8"/>
  <c r="G44" i="8"/>
  <c r="F44" i="8"/>
  <c r="E44" i="8"/>
  <c r="D44" i="8"/>
  <c r="C44" i="8"/>
  <c r="M43" i="8"/>
  <c r="L43" i="8"/>
  <c r="K43" i="8"/>
  <c r="J43" i="8"/>
  <c r="I43" i="8"/>
  <c r="H43" i="8"/>
  <c r="G43" i="8"/>
  <c r="F43" i="8"/>
  <c r="E43" i="8"/>
  <c r="D43" i="8"/>
  <c r="C43" i="8"/>
  <c r="M42" i="8"/>
  <c r="L42" i="8"/>
  <c r="K42" i="8"/>
  <c r="J42" i="8"/>
  <c r="I42" i="8"/>
  <c r="H42" i="8"/>
  <c r="G42" i="8"/>
  <c r="F42" i="8"/>
  <c r="E42" i="8"/>
  <c r="D42" i="8"/>
  <c r="C42" i="8"/>
  <c r="M41" i="8"/>
  <c r="L41" i="8"/>
  <c r="K41" i="8"/>
  <c r="J41" i="8"/>
  <c r="I41" i="8"/>
  <c r="H41" i="8"/>
  <c r="G41" i="8"/>
  <c r="F41" i="8"/>
  <c r="E41" i="8"/>
  <c r="D41" i="8"/>
  <c r="C41" i="8"/>
  <c r="M40" i="8"/>
  <c r="L40" i="8"/>
  <c r="K40" i="8"/>
  <c r="J40" i="8"/>
  <c r="I40" i="8"/>
  <c r="H40" i="8"/>
  <c r="G40" i="8"/>
  <c r="F40" i="8"/>
  <c r="E40" i="8"/>
  <c r="D40" i="8"/>
  <c r="C40" i="8"/>
  <c r="M39" i="8"/>
  <c r="L39" i="8"/>
  <c r="K39" i="8"/>
  <c r="J39" i="8"/>
  <c r="I39" i="8"/>
  <c r="H39" i="8"/>
  <c r="G39" i="8"/>
  <c r="F39" i="8"/>
  <c r="E39" i="8"/>
  <c r="D39" i="8"/>
  <c r="C39" i="8"/>
  <c r="M38" i="8"/>
  <c r="L38" i="8"/>
  <c r="K38" i="8"/>
  <c r="J38" i="8"/>
  <c r="I38" i="8"/>
  <c r="H38" i="8"/>
  <c r="G38" i="8"/>
  <c r="F38" i="8"/>
  <c r="E38" i="8"/>
  <c r="D38" i="8"/>
  <c r="C38" i="8"/>
  <c r="M37" i="8"/>
  <c r="L37" i="8"/>
  <c r="K37" i="8"/>
  <c r="J37" i="8"/>
  <c r="I37" i="8"/>
  <c r="H37" i="8"/>
  <c r="G37" i="8"/>
  <c r="F37" i="8"/>
  <c r="E37" i="8"/>
  <c r="D37" i="8"/>
  <c r="C37" i="8"/>
  <c r="M36" i="8"/>
  <c r="L36" i="8"/>
  <c r="K36" i="8"/>
  <c r="J36" i="8"/>
  <c r="I36" i="8"/>
  <c r="H36" i="8"/>
  <c r="G36" i="8"/>
  <c r="F36" i="8"/>
  <c r="E36" i="8"/>
  <c r="D36" i="8"/>
  <c r="C36" i="8"/>
  <c r="M35" i="8"/>
  <c r="L35" i="8"/>
  <c r="K35" i="8"/>
  <c r="J35" i="8"/>
  <c r="I35" i="8"/>
  <c r="H35" i="8"/>
  <c r="G35" i="8"/>
  <c r="F35" i="8"/>
  <c r="E35" i="8"/>
  <c r="D35" i="8"/>
  <c r="C35" i="8"/>
  <c r="M34" i="8"/>
  <c r="L34" i="8"/>
  <c r="K34" i="8"/>
  <c r="J34" i="8"/>
  <c r="I34" i="8"/>
  <c r="H34" i="8"/>
  <c r="G34" i="8"/>
  <c r="F34" i="8"/>
  <c r="E34" i="8"/>
  <c r="D34" i="8"/>
  <c r="C34" i="8"/>
  <c r="M33" i="8"/>
  <c r="L33" i="8"/>
  <c r="K33" i="8"/>
  <c r="J33" i="8"/>
  <c r="I33" i="8"/>
  <c r="H33" i="8"/>
  <c r="G33" i="8"/>
  <c r="F33" i="8"/>
  <c r="E33" i="8"/>
  <c r="D33" i="8"/>
  <c r="C33" i="8"/>
  <c r="M32" i="8"/>
  <c r="L32" i="8"/>
  <c r="K32" i="8"/>
  <c r="J32" i="8"/>
  <c r="I32" i="8"/>
  <c r="H32" i="8"/>
  <c r="G32" i="8"/>
  <c r="F32" i="8"/>
  <c r="E32" i="8"/>
  <c r="D32" i="8"/>
  <c r="C32" i="8"/>
  <c r="M31" i="8"/>
  <c r="L31" i="8"/>
  <c r="K31" i="8"/>
  <c r="J31" i="8"/>
  <c r="I31" i="8"/>
  <c r="H31" i="8"/>
  <c r="G31" i="8"/>
  <c r="F31" i="8"/>
  <c r="E31" i="8"/>
  <c r="D31" i="8"/>
  <c r="C31" i="8"/>
  <c r="M30" i="8"/>
  <c r="L30" i="8"/>
  <c r="K30" i="8"/>
  <c r="J30" i="8"/>
  <c r="I30" i="8"/>
  <c r="H30" i="8"/>
  <c r="G30" i="8"/>
  <c r="F30" i="8"/>
  <c r="E30" i="8"/>
  <c r="D30" i="8"/>
  <c r="C30" i="8"/>
  <c r="M29" i="8"/>
  <c r="L29" i="8"/>
  <c r="K29" i="8"/>
  <c r="J29" i="8"/>
  <c r="I29" i="8"/>
  <c r="H29" i="8"/>
  <c r="G29" i="8"/>
  <c r="F29" i="8"/>
  <c r="E29" i="8"/>
  <c r="D29" i="8"/>
  <c r="C29" i="8"/>
  <c r="D72" i="24" l="true"/>
  <c r="D75" i="24" s="true"/>
  <c r="J4" i="24"/>
  <c r="J3" i="24"/>
  <c r="I3" i="24"/>
  <c r="D97" i="24" l="true"/>
  <c r="D88" i="24"/>
  <c r="D98" i="24"/>
  <c r="E87" i="24"/>
  <c r="E93" i="24"/>
  <c r="E89" i="24" l="true"/>
  <c r="E90" i="24"/>
  <c r="D99" i="24"/>
  <c r="E91" i="24" l="true"/>
  <c r="F87" i="24" s="true"/>
  <c r="E92" i="24"/>
  <c r="F89" i="24" l="true"/>
  <c r="F90" i="24"/>
  <c r="E95" i="24"/>
  <c r="E98" i="24" s="true"/>
  <c r="E94" i="24"/>
  <c r="E97" i="24" s="true"/>
  <c r="F93" i="24"/>
  <c r="F92" i="24" l="true"/>
  <c r="E99" i="24"/>
  <c r="F91" i="24"/>
  <c r="G87" i="24" s="true"/>
  <c r="G89" i="24" l="true"/>
  <c r="G90" i="24"/>
  <c r="F95" i="24"/>
  <c r="F98" i="24" s="true"/>
  <c r="F94" i="24"/>
  <c r="F97" i="24" s="true"/>
  <c r="G93" i="24"/>
  <c r="F99" i="24" l="true"/>
  <c r="G92" i="24"/>
  <c r="G91" i="24"/>
  <c r="G94" i="24" l="true"/>
  <c r="G97" i="24" s="true"/>
  <c r="H93" i="24"/>
  <c r="G95" i="24"/>
  <c r="G98" i="24" s="true"/>
  <c r="H87" i="24"/>
  <c r="H89" i="24" l="true"/>
  <c r="H90" i="24"/>
  <c r="G99" i="24"/>
  <c r="H92" i="24" l="true"/>
  <c r="H91" i="24"/>
  <c r="H95" i="24" l="true"/>
  <c r="H98" i="24" s="true"/>
  <c r="H94" i="24"/>
  <c r="H97" i="24" s="true"/>
  <c r="I87" i="24"/>
  <c r="I93" i="24"/>
  <c r="H99" i="24" l="true"/>
  <c r="I89" i="24"/>
  <c r="I90" i="24"/>
  <c r="I91" i="24" l="true"/>
  <c r="J87" i="24" s="true"/>
  <c r="I92" i="24"/>
  <c r="J89" i="24" l="true"/>
  <c r="J90" i="24"/>
  <c r="J93" i="24"/>
  <c r="I95" i="24"/>
  <c r="I98" i="24" s="true"/>
  <c r="I94" i="24"/>
  <c r="I97" i="24" s="true"/>
  <c r="I99" i="24" l="true"/>
  <c r="J92" i="24"/>
  <c r="J91" i="24"/>
  <c r="K87" i="24" s="true"/>
  <c r="J94" i="24" l="true"/>
  <c r="J97" i="24" s="true"/>
  <c r="J95" i="24"/>
  <c r="J98" i="24" s="true"/>
  <c r="K89" i="24"/>
  <c r="K90" i="24"/>
  <c r="K93" i="24"/>
  <c r="J99" i="24" l="true"/>
  <c r="K92" i="24"/>
  <c r="K91" i="24"/>
  <c r="L87" i="24" s="true"/>
  <c r="K95" i="24" l="true"/>
  <c r="K98" i="24" s="true"/>
  <c r="L90" i="24"/>
  <c r="L89" i="24"/>
  <c r="K94" i="24"/>
  <c r="K97" i="24" s="true"/>
  <c r="K99" i="24" l="true"/>
  <c r="L91" i="24"/>
  <c r="M87" i="24" l="true"/>
  <c r="L94" i="24"/>
  <c r="L97" i="24" s="true"/>
  <c r="L95" i="24"/>
  <c r="L98" i="24" s="true"/>
  <c r="L99" i="24" l="true"/>
  <c r="M90" i="24"/>
  <c r="M89" i="24"/>
  <c r="M91" i="24" l="true"/>
  <c r="N87" i="24" s="true"/>
  <c r="N90" i="24" l="true"/>
  <c r="N89" i="24"/>
  <c r="M95" i="24"/>
  <c r="M98" i="24" s="true"/>
  <c r="M94" i="24"/>
  <c r="M97" i="24" s="true"/>
  <c r="M99" i="24" l="true"/>
  <c r="N91" i="24"/>
  <c r="N94" i="24" s="true"/>
  <c r="N95" i="24" l="true"/>
  <c r="N98" i="24" s="true"/>
  <c r="N97" i="24"/>
  <c r="N4" i="24" s="true"/>
  <c r="M4" i="24" l="true"/>
  <c r="N99" i="24"/>
  <c r="E49" i="27" l="true"/>
  <c r="F49" i="27" s="true"/>
  <c r="E61" i="27" l="true"/>
  <c r="F61" i="27" s="true"/>
  <c r="E29" i="27" l="true"/>
  <c r="F29" i="27" s="true"/>
  <c r="E31" i="27" l="true"/>
  <c r="F31" i="27" s="true"/>
  <c r="E10" i="27" l="true"/>
  <c r="F10" i="27" s="true"/>
  <c r="E34" i="27" l="true"/>
  <c r="F34" i="27" s="true"/>
  <c r="E11" i="27" l="true"/>
  <c r="F11" i="27" s="true"/>
  <c r="E47" i="27" l="true"/>
  <c r="F47" i="27" s="true"/>
  <c r="E50" i="27" l="true"/>
  <c r="F50" i="27" s="true"/>
  <c r="E82" i="27" l="true"/>
  <c r="F82" i="27" s="true"/>
  <c r="E62" i="27" l="true"/>
  <c r="F62" i="27" s="true"/>
  <c r="E65" i="27" l="true"/>
  <c r="F65" i="27" s="true"/>
  <c r="E67" i="27" l="true"/>
  <c r="F67" i="27" s="true"/>
  <c r="E78" i="27" l="true"/>
  <c r="F78" i="27" s="true"/>
  <c r="E19" i="27" l="true"/>
  <c r="F19" i="27" s="true"/>
  <c r="E30" i="27" l="true"/>
  <c r="F30" i="27" s="true"/>
  <c r="E35" i="27" l="true"/>
  <c r="F35" i="27" s="true"/>
  <c r="E79" i="27" l="true"/>
  <c r="F79" i="27" s="true"/>
  <c r="E66" i="27" l="true"/>
  <c r="F66" i="27" s="true"/>
  <c r="E13" i="27" l="true"/>
  <c r="F13" i="27" s="true"/>
  <c r="E18" i="27" l="true"/>
  <c r="F18" i="27" s="true"/>
  <c r="E27" i="27" l="true"/>
  <c r="F27" i="27" s="true"/>
  <c r="E26" i="27" l="true"/>
  <c r="F26" i="27" s="true"/>
  <c r="E45" i="27" l="true"/>
  <c r="F45" i="27" s="true"/>
  <c r="E83" i="27" l="true"/>
  <c r="F83" i="27" s="true"/>
  <c r="E93" i="27" l="true"/>
  <c r="F93" i="27" s="true"/>
  <c r="E95" i="27" l="true"/>
  <c r="F95" i="27" s="true"/>
  <c r="E22" i="27" l="true"/>
  <c r="F22" i="27" s="true"/>
  <c r="E99" i="27" l="true"/>
  <c r="F99" i="27" s="true"/>
  <c r="E81" i="27" l="true"/>
  <c r="F81" i="27" s="true"/>
  <c r="E21" i="27" l="true"/>
  <c r="F21" i="27" s="true"/>
  <c r="E98" i="27" l="true"/>
  <c r="F98" i="27" s="true"/>
  <c r="E9" i="27" l="true"/>
  <c r="F9" i="27" s="true"/>
  <c r="E51" i="27" l="true"/>
  <c r="F51" i="27" s="true"/>
  <c r="E94" i="27" l="true"/>
  <c r="F94" i="27" s="true"/>
  <c r="E25" i="27" l="true"/>
  <c r="F25" i="27" s="true"/>
  <c r="E15" i="27" l="true"/>
  <c r="F15" i="27" s="true"/>
  <c r="E97" i="27" l="true"/>
  <c r="F97" i="27" s="true"/>
  <c r="E33" i="27" l="true"/>
  <c r="F33" i="27" s="true"/>
  <c r="E14" i="27" l="true"/>
  <c r="F14" i="27" s="true"/>
  <c r="E77" i="27" l="true"/>
  <c r="F77" i="27" s="true"/>
  <c r="E17" i="27" l="true"/>
  <c r="F17" i="27" s="true"/>
  <c r="E23" i="27" l="true"/>
  <c r="F23" i="27" s="true"/>
  <c r="E46" i="27" l="true"/>
  <c r="F46" i="27" s="true"/>
  <c r="E63" i="27" l="true"/>
  <c r="F63" i="27" s="true"/>
  <c r="E38" i="27" l="true"/>
  <c r="F38" i="27" s="true"/>
  <c r="E42" i="27" l="true"/>
  <c r="F42" i="27" s="true"/>
  <c r="E85" i="27" l="true"/>
  <c r="F85" i="27" s="true"/>
  <c r="E89" i="27" l="true"/>
  <c r="F89" i="27" s="true"/>
  <c r="E73" i="27" l="true"/>
  <c r="F73" i="27" s="true"/>
  <c r="E41" i="27" l="true"/>
  <c r="F41" i="27" s="true"/>
  <c r="E103" i="27" l="true"/>
  <c r="F103" i="27" s="true"/>
  <c r="E55" i="27" l="true"/>
  <c r="F55" i="27" s="true"/>
  <c r="E106" i="27" l="true"/>
  <c r="F106" i="27" s="true"/>
  <c r="E86" i="27" l="true"/>
  <c r="F86" i="27" s="true"/>
  <c r="E71" i="27" l="true"/>
  <c r="F71" i="27" s="true"/>
  <c r="E57" i="27" l="true"/>
  <c r="F57" i="27" s="true"/>
  <c r="E102" i="27" l="true"/>
  <c r="F102" i="27" s="true"/>
  <c r="E107" i="27" l="true"/>
  <c r="F107" i="27" s="true"/>
  <c r="E91" i="27" l="true"/>
  <c r="F91" i="27" s="true"/>
  <c r="E70" i="27" l="true"/>
  <c r="F70" i="27" s="true"/>
  <c r="E37" i="27" l="true"/>
  <c r="F37" i="27" s="true"/>
  <c r="E105" i="27" l="true"/>
  <c r="F105" i="27" s="true"/>
  <c r="E74" i="27" l="true"/>
  <c r="F74" i="27" s="true"/>
  <c r="E69" i="27" l="true"/>
  <c r="F69" i="27" s="true"/>
  <c r="E58" i="27" l="true"/>
  <c r="F58" i="27" s="true"/>
  <c r="E39" i="27" l="true"/>
  <c r="F39" i="27" s="true"/>
  <c r="E43" i="27" l="true"/>
  <c r="F43" i="27" s="true"/>
  <c r="E90" i="27" l="true"/>
  <c r="F90" i="27" s="true"/>
  <c r="E59" i="27" l="true"/>
  <c r="F59" i="27" s="true"/>
  <c r="E101" i="27" l="true"/>
  <c r="F101" i="27" s="true"/>
  <c r="E75" i="27" l="true"/>
  <c r="F75" i="27" s="true"/>
  <c r="E53" i="27" l="true"/>
  <c r="F53" i="27" s="true"/>
  <c r="E87" i="27" l="true"/>
  <c r="F87" i="27" s="true"/>
  <c r="E54" i="27" l="true"/>
  <c r="F54" i="27" s="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<sst xmlns="http://schemas.openxmlformats.org/spreadsheetml/2006/main" count="3054" uniqueCount="3054">
  <si>
    <t>{{subject.building_name}}</t>
  </si>
  <si>
    <t>{{subject.full_address}}</t>
  </si>
  <si>
    <t>Yr Built</t>
  </si>
  <si>
    <t># Units</t>
  </si>
  <si>
    <t>Stories</t>
  </si>
  <si>
    <t>Quality</t>
  </si>
  <si>
    <t>{{subject.year_built}}</t>
  </si>
  <si>
    <t>{{subject.number_units}}</t>
  </si>
  <si>
    <t>{{subject.number_stories}}</t>
  </si>
  <si>
    <t>{{subject.overall_quality}}</t>
  </si>
  <si>
    <t>Rent Comps</t>
  </si>
  <si>
    <t>Property</t>
  </si>
  <si>
    <t>Similarity</t>
  </si>
  <si>
    <t>Studio</t>
  </si>
  <si>
    <t>--</t>
  </si>
  <si>
    <t>{{v:comparables.#.building_name}}</t>
  </si>
  <si>
    <t>{{v:comparables.#.overall_quality}}</t>
  </si>
  <si>
    <t>{{v:comparables.#.similarity}}</t>
  </si>
  <si>
    <t>{{v:comparables.#.year_built}}</t>
  </si>
  <si>
    <t>{{v:comparables.#.number_units}}</t>
  </si>
  <si>
    <t>{{v:comparables.#.number_stories}}</t>
  </si>
  <si>
    <t>Property Name</t>
  </si>
  <si>
    <t>Address</t>
  </si>
  <si>
    <t>QualityScore</t>
  </si>
  <si>
    <t>{{v:comparables.#.full_address}}</t>
  </si>
  <si>
    <t>Beds</t>
  </si>
  <si>
    <t>Baths</t>
  </si>
  <si>
    <t>First Listed</t>
  </si>
  <si>
    <t>Sqft</t>
  </si>
  <si>
    <t>{{v:units.#.building_name}}</t>
  </si>
  <si>
    <t>{{v:units.#.floorplan_name}}</t>
  </si>
  <si>
    <t>{{v:units.#.unit_name}}</t>
  </si>
  <si>
    <t>{{v:units.#.bed}}</t>
  </si>
  <si>
    <t>{{v:units.#.bath}}</t>
  </si>
  <si>
    <t>{{v:units.#.days_on_market}}</t>
  </si>
  <si>
    <t>{{v:units.#.sqft}}</t>
  </si>
  <si>
    <t>{{v:units.#.price}}</t>
  </si>
  <si>
    <t>{{v:units.#.effective_price}}</t>
  </si>
  <si>
    <t>Financial Analysis</t>
  </si>
  <si>
    <t>Per Unit Values</t>
  </si>
  <si>
    <t>Income</t>
  </si>
  <si>
    <t>Low</t>
  </si>
  <si>
    <t>Median</t>
  </si>
  <si>
    <t>High</t>
  </si>
  <si>
    <t>% of GPR</t>
  </si>
  <si>
    <t>% of EGI</t>
  </si>
  <si>
    <t>% of NOI</t>
  </si>
  <si>
    <t>Gross Potential Rent (GPR)</t>
  </si>
  <si>
    <t>{{financials.gross_potential_rent.lower}}</t>
  </si>
  <si>
    <t>{{financials.gross_potential_rent.amount}}</t>
  </si>
  <si>
    <t>{{financials.gross_potential_rent.upper}}</t>
  </si>
  <si>
    <t>{{financials.gross_potential_rent.per_unit}}</t>
  </si>
  <si>
    <t>{{financials.gross_potential_rent.percent_gpr}}</t>
  </si>
  <si>
    <t>{{financials.gross_potential_rent.percent_egi}}</t>
  </si>
  <si>
    <t>Vacancy Loss</t>
  </si>
  <si>
    <t>{{financials.vacancy_loss.lower}}</t>
  </si>
  <si>
    <t>{{financials.vacancy_loss.amount}}</t>
  </si>
  <si>
    <t>{{financials.vacancy_loss.upper}}</t>
  </si>
  <si>
    <t>{{financials.vacancy_loss.per_unit}}</t>
  </si>
  <si>
    <t>{{financials.vacancy_loss.percent_gpr}}</t>
  </si>
  <si>
    <t>{{financials.vacancy_loss.percent_egi}}</t>
  </si>
  <si>
    <t>Other Income</t>
  </si>
  <si>
    <t>{{financials.other_income.lower}}</t>
  </si>
  <si>
    <t>{{financials.other_income.amount}}</t>
  </si>
  <si>
    <t>{{financials.other_income.upper}}</t>
  </si>
  <si>
    <t>{{financials.other_income.per_unit}}</t>
  </si>
  <si>
    <t>{{financials.other_income.percent_gpr}}</t>
  </si>
  <si>
    <t>{{financials.other_income.percent_egi}}</t>
  </si>
  <si>
    <t>Parking Income</t>
  </si>
  <si>
    <t>{{financials.parking_income.lower}}</t>
  </si>
  <si>
    <t>{{financials.parking_income.amount}}</t>
  </si>
  <si>
    <t>{{financials.parking_income.upper}}</t>
  </si>
  <si>
    <t>{{financials.parking_income.per_unit}}</t>
  </si>
  <si>
    <t>{{financials.parking_income.percent_gpr}}</t>
  </si>
  <si>
    <t>{{financials.parking_income.percent_egi}}</t>
  </si>
  <si>
    <t>Effective Gross Income (EGI)</t>
  </si>
  <si>
    <t>{{financials.effective_gross_income.lower}}</t>
  </si>
  <si>
    <t>{{financials.effective_gross_income.amount}}</t>
  </si>
  <si>
    <t>{{financials.effective_gross_income.upper}}</t>
  </si>
  <si>
    <t>{{financials.effective_gross_income.per_unit}}</t>
  </si>
  <si>
    <t>{{financials.effective_gross_income.percent_gpr}}</t>
  </si>
  <si>
    <t>{{financials.effective_gross_income.percent_egi}}</t>
  </si>
  <si>
    <t>Operating Expenses</t>
  </si>
  <si>
    <t>Real Estate Taxes</t>
  </si>
  <si>
    <t>{{financials.real_estate_taxes.lower}}</t>
  </si>
  <si>
    <t>{{financials.real_estate_taxes.amount}}</t>
  </si>
  <si>
    <t>{{financials.real_estate_taxes.upper}}</t>
  </si>
  <si>
    <t>{{financials.real_estate_taxes.per_unit}}</t>
  </si>
  <si>
    <t>{{financials.real_estate_taxes.percent_gpr}}</t>
  </si>
  <si>
    <t>{{financials.real_estate_taxes.percent_egi}}</t>
  </si>
  <si>
    <t>Property Insurance</t>
  </si>
  <si>
    <t>{{financials.property_insurance.lower}}</t>
  </si>
  <si>
    <t>{{financials.property_insurance.amount}}</t>
  </si>
  <si>
    <t>{{financials.property_insurance.upper}}</t>
  </si>
  <si>
    <t>{{financials.property_insurance.per_unit}}</t>
  </si>
  <si>
    <t>{{financials.property_insurance.percent_gpr}}</t>
  </si>
  <si>
    <t>{{financials.property_insurance.percent_egi}}</t>
  </si>
  <si>
    <t>Utilities</t>
  </si>
  <si>
    <t>{{financials.utilities.lower}}</t>
  </si>
  <si>
    <t>{{financials.utilities.amount}}</t>
  </si>
  <si>
    <t>{{financials.utilities.upper}}</t>
  </si>
  <si>
    <t>{{financials.utilities.per_unit}}</t>
  </si>
  <si>
    <t>{{financials.utilities.percent_gpr}}</t>
  </si>
  <si>
    <t>{{financials.utilities.percent_egi}}</t>
  </si>
  <si>
    <t>Repair and Maintenance</t>
  </si>
  <si>
    <t>{{financials.repair_and_maintenance.lower}}</t>
  </si>
  <si>
    <t>{{financials.repair_and_maintenance.amount}}</t>
  </si>
  <si>
    <t>{{financials.repair_and_maintenance.upper}}</t>
  </si>
  <si>
    <t>{{financials.repair_and_maintenance.per_unit}}</t>
  </si>
  <si>
    <t>{{financials.repair_and_maintenance.percent_gpr}}</t>
  </si>
  <si>
    <t>{{financials.repair_and_maintenance.percent_egi}}</t>
  </si>
  <si>
    <t>Management Fees</t>
  </si>
  <si>
    <t>{{financials.management_fees.lower}}</t>
  </si>
  <si>
    <t>{{financials.management_fees.amount}}</t>
  </si>
  <si>
    <t>{{financials.management_fees.upper}}</t>
  </si>
  <si>
    <t>{{financials.management_fees.per_unit}}</t>
  </si>
  <si>
    <t>{{financials.management_fees.percent_gpr}}</t>
  </si>
  <si>
    <t>{{financials.management_fees.percent_egi}}</t>
  </si>
  <si>
    <t>Payroll and Benefits</t>
  </si>
  <si>
    <t>{{financials.payroll_and_benefits.lower}}</t>
  </si>
  <si>
    <t>{{financials.payroll_and_benefits.amount}}</t>
  </si>
  <si>
    <t>{{financials.payroll_and_benefits.upper}}</t>
  </si>
  <si>
    <t>{{financials.payroll_and_benefits.per_unit}}</t>
  </si>
  <si>
    <t>{{financials.payroll_and_benefits.percent_gpr}}</t>
  </si>
  <si>
    <t>{{financials.payroll_and_benefits.percent_egi}}</t>
  </si>
  <si>
    <t>Marketing</t>
  </si>
  <si>
    <t>{{financials.marketing.lower}}</t>
  </si>
  <si>
    <t>{{financials.marketing.amount}}</t>
  </si>
  <si>
    <t>{{financials.marketing.upper}}</t>
  </si>
  <si>
    <t>{{financials.marketing.per_unit}}</t>
  </si>
  <si>
    <t>{{financials.marketing.percent_gpr}}</t>
  </si>
  <si>
    <t>{{financials.marketing.percent_egi}}</t>
  </si>
  <si>
    <t>Professional Fees</t>
  </si>
  <si>
    <t>{{financials.professional_fees.lower}}</t>
  </si>
  <si>
    <t>{{financials.professional_fees.amount}}</t>
  </si>
  <si>
    <t>{{financials.professional_fees.upper}}</t>
  </si>
  <si>
    <t>{{financials.professional_fees.per_unit}}</t>
  </si>
  <si>
    <t>{{financials.professional_fees.percent_gpr}}</t>
  </si>
  <si>
    <t>{{financials.professional_fees.percent_egi}}</t>
  </si>
  <si>
    <t>General and Administrative</t>
  </si>
  <si>
    <t>{{financials.general_and_administrative.lower}}</t>
  </si>
  <si>
    <t>{{financials.general_and_administrative.amount}}</t>
  </si>
  <si>
    <t>{{financials.general_and_administrative.upper}}</t>
  </si>
  <si>
    <t>{{financials.general_and_administrative.per_unit}}</t>
  </si>
  <si>
    <t>{{financials.general_and_administrative.percent_gpr}}</t>
  </si>
  <si>
    <t>{{financials.general_and_administrative.percent_egi}}</t>
  </si>
  <si>
    <t>Other Expenses</t>
  </si>
  <si>
    <t>{{financials.other_expenses.lower}}</t>
  </si>
  <si>
    <t>{{financials.other_expenses.amount}}</t>
  </si>
  <si>
    <t>{{financials.other_expenses.upper}}</t>
  </si>
  <si>
    <t>{{financials.other_expenses.per_unit}}</t>
  </si>
  <si>
    <t>{{financials.other_expenses.percent_gpr}}</t>
  </si>
  <si>
    <t>{{financials.other_expenses.percent_egi}}</t>
  </si>
  <si>
    <t>Total Operating Expenses</t>
  </si>
  <si>
    <t>{{financials.total_operating_expenses.lower}}</t>
  </si>
  <si>
    <t>{{financials.total_operating_expenses.amount}}</t>
  </si>
  <si>
    <t>{{financials.total_operating_expenses.upper}}</t>
  </si>
  <si>
    <t>{{financials.total_operating_expenses.per_unit}}</t>
  </si>
  <si>
    <t>{{financials.total_operating_expenses.percent_gpr}}</t>
  </si>
  <si>
    <t>{{financials.total_operating_expenses.percent_egi}}</t>
  </si>
  <si>
    <t>Net Operating Income (NOI)</t>
  </si>
  <si>
    <t>{{financials.net_operating_income.lower}}</t>
  </si>
  <si>
    <t>{{financials.net_operating_income.amount}}</t>
  </si>
  <si>
    <t>{{financials.net_operating_income.upper}}</t>
  </si>
  <si>
    <t>{{financials.net_operating_income.per_unit}}</t>
  </si>
  <si>
    <t>{{financials.net_operating_income.percent_gpr}}</t>
  </si>
  <si>
    <t>{{financials.net_operating_income.percent_egi}}</t>
  </si>
  <si>
    <t>Finishes</t>
  </si>
  <si>
    <t>{{h:comparables.#.building_name}}</t>
  </si>
  <si>
    <t>Overall Quality</t>
  </si>
  <si>
    <t>{{h:comparables.#.overall_quality}}</t>
  </si>
  <si>
    <t>Unit Interiors</t>
  </si>
  <si>
    <t>Kitchens</t>
  </si>
  <si>
    <t>{{subject.finishes.kitchen}}</t>
  </si>
  <si>
    <t>Bathrooms</t>
  </si>
  <si>
    <t>{{subject.finishes.bathroom}}</t>
  </si>
  <si>
    <t>Living Rooms</t>
  </si>
  <si>
    <t>{{subject.finishes.living_room}}</t>
  </si>
  <si>
    <t>Dining Rooms</t>
  </si>
  <si>
    <t>{{subject.finishes.dining_room}}</t>
  </si>
  <si>
    <t>Bedrooms</t>
  </si>
  <si>
    <t>{{subject.finishes.bedroom}}</t>
  </si>
  <si>
    <t>Walk-in Closets</t>
  </si>
  <si>
    <t>{{subject.finishes.walk_in_closet}}</t>
  </si>
  <si>
    <t>Common Areas</t>
  </si>
  <si>
    <t>Fitness Center</t>
  </si>
  <si>
    <t>{{subject.finishes.fitness_center}}</t>
  </si>
  <si>
    <t>Swimming Pool</t>
  </si>
  <si>
    <t>{{subject.finishes.swimming_pool}}</t>
  </si>
  <si>
    <t>Laundry Room</t>
  </si>
  <si>
    <t>{{subject.finishes.laundry_room}}</t>
  </si>
  <si>
    <t>Other Common Areas</t>
  </si>
  <si>
    <t>{{subject.finishes.common_areas}}</t>
  </si>
  <si>
    <t>{{subject.building_amenities}}</t>
  </si>
  <si>
    <t>{{h:comparables.#.building_amenities}}</t>
  </si>
  <si>
    <t>24-Hour Maintenance</t>
  </si>
  <si>
    <t>Barbecue Area</t>
  </si>
  <si>
    <t>Bike Storage</t>
  </si>
  <si>
    <t>Business Center</t>
  </si>
  <si>
    <t>Community Wifi</t>
  </si>
  <si>
    <t>Concierge</t>
  </si>
  <si>
    <t>Controlled Access</t>
  </si>
  <si>
    <t>Electric Vehicle Charging Stations</t>
  </si>
  <si>
    <t>Extra Storage Space</t>
  </si>
  <si>
    <t>Firepit</t>
  </si>
  <si>
    <t>Laundry Facilities</t>
  </si>
  <si>
    <t>Laundry Service</t>
  </si>
  <si>
    <t>Online Payment Portal</t>
  </si>
  <si>
    <t>Clubhouse / Party Room</t>
  </si>
  <si>
    <t>Package Receiving</t>
  </si>
  <si>
    <t>Playground</t>
  </si>
  <si>
    <t>Pool</t>
  </si>
  <si>
    <t>Reserved Parking</t>
  </si>
  <si>
    <t>Rooftop Space</t>
  </si>
  <si>
    <t>Unit Amenities</t>
  </si>
  <si>
    <t>{{subject.unit_amenities}}</t>
  </si>
  <si>
    <t>{{h:comparables.#.unit_amenities}}</t>
  </si>
  <si>
    <t>Air Conditioning</t>
  </si>
  <si>
    <t>All Appliances Included</t>
  </si>
  <si>
    <t>All Utilities Included</t>
  </si>
  <si>
    <t>Breakfast Bar</t>
  </si>
  <si>
    <t>Ceiling Fan</t>
  </si>
  <si>
    <t>Dishwasher</t>
  </si>
  <si>
    <t>Energy Efficient Appliances</t>
  </si>
  <si>
    <t>Fireplace</t>
  </si>
  <si>
    <t>Floor-To-Ceiling Windows</t>
  </si>
  <si>
    <t>Hardwood Floors</t>
  </si>
  <si>
    <t>High Ceilings</t>
  </si>
  <si>
    <t>Internet Included</t>
  </si>
  <si>
    <t>Kitchen Island</t>
  </si>
  <si>
    <t>Patio / Balcony</t>
  </si>
  <si>
    <t>Recently Renovated</t>
  </si>
  <si>
    <t>Stainless Steel Appliances</t>
  </si>
  <si>
    <t>Stone Countertops (Marble, Quartz or Granite)</t>
  </si>
  <si>
    <t>View</t>
  </si>
  <si>
    <t>Walk-In Closets</t>
  </si>
  <si>
    <t>Washer / Dryer In-Unit</t>
  </si>
  <si>
    <t>Short Term Lease Options</t>
  </si>
  <si>
    <t>Accepts Housing Vouchers</t>
  </si>
  <si>
    <t>Percentage Values</t>
  </si>
  <si>
    <t>Property Management Policies</t>
  </si>
  <si>
    <t>Community Amenities</t>
  </si>
  <si>
    <t>Pets Allowed</t>
  </si>
  <si>
    <t>Avg</t>
  </si>
  <si>
    <t>Avg PSF</t>
  </si>
  <si>
    <t>Fees</t>
  </si>
  <si>
    <t>Application Fee</t>
  </si>
  <si>
    <t>Admin Fee</t>
  </si>
  <si>
    <t>Storage Fee</t>
  </si>
  <si>
    <t>{{subject.fees.admin_fee}}</t>
  </si>
  <si>
    <t>{{subject.fees.application_fee}}</t>
  </si>
  <si>
    <t>{{subject.fees.storage_fee}}</t>
  </si>
  <si>
    <t>Pet Fees</t>
  </si>
  <si>
    <t>Dogs: Monthly Rent</t>
  </si>
  <si>
    <t>Cats: Monthly Rent</t>
  </si>
  <si>
    <t>Dogs: One-Time Fee</t>
  </si>
  <si>
    <t>Cats: One-Time Fee</t>
  </si>
  <si>
    <t>Dogs: Deposit</t>
  </si>
  <si>
    <t>Cats: Deposit</t>
  </si>
  <si>
    <t>{{subject.fees.cats_monthly_rent}}</t>
  </si>
  <si>
    <t>{{subject.fees.dogs_monthly_rent}}</t>
  </si>
  <si>
    <t>{{subject.fees.dogs_one_time_fee}}</t>
  </si>
  <si>
    <t>{{subject.fees.cats_one_time_fee}}</t>
  </si>
  <si>
    <t>{{subject.fees.dogs_deposit}}</t>
  </si>
  <si>
    <t>{{subject.fees.cats_deposit}}</t>
  </si>
  <si>
    <t>{{subject.fees.parking_covered}}</t>
  </si>
  <si>
    <t>{{subject.fees.parking_garage}}</t>
  </si>
  <si>
    <t>{{subject.fees.parking_surface_lot}}</t>
  </si>
  <si>
    <t>Floorplan Name</t>
  </si>
  <si>
    <t>1BR</t>
  </si>
  <si>
    <t>2BR</t>
  </si>
  <si>
    <t>3BR</t>
  </si>
  <si>
    <t>Unit #</t>
  </si>
  <si>
    <t>Covered Parking</t>
  </si>
  <si>
    <t>Garage Parking</t>
  </si>
  <si>
    <t>Surface Lot Parking</t>
  </si>
  <si>
    <t>Parking Fees</t>
  </si>
  <si>
    <t>{{h:comparables.#.fees.application_fee}}</t>
  </si>
  <si>
    <t>{{h:comparables.#.fees.admin_fee}}</t>
  </si>
  <si>
    <t>{{h:comparables.#.fees.storage_fee}}</t>
  </si>
  <si>
    <t>{{h:comparables.#.fees.dogs_monthly_rent}}</t>
  </si>
  <si>
    <t>{{h:comparables.#.fees.cats_monthly_rent}}</t>
  </si>
  <si>
    <t>{{h:comparables.#.fees.dogs_one_time_fee}}</t>
  </si>
  <si>
    <t>{{h:comparables.#.fees.cats_one_time_fee}}</t>
  </si>
  <si>
    <t>{{h:comparables.#.fees.dogs_deposit}}</t>
  </si>
  <si>
    <t>{{h:comparables.#.fees.cats_deposit}}</t>
  </si>
  <si>
    <t>{{h:comparables.#.fees.parking_covered}}</t>
  </si>
  <si>
    <t>{{h:comparables.#.fees.parking_garage}}</t>
  </si>
  <si>
    <t>{{h:comparables.#.fees.parking_surface_lot}}</t>
  </si>
  <si>
    <t>Days on Mkt</t>
  </si>
  <si>
    <t>Asking Rent</t>
  </si>
  <si>
    <t>Floor #</t>
  </si>
  <si>
    <t>{{v:units.#.floor}}</t>
  </si>
  <si>
    <t>Dist. (mi)</t>
  </si>
  <si>
    <t>{{v:units.#.street_address}}</t>
  </si>
  <si>
    <t>Active Listing?</t>
  </si>
  <si>
    <t>{{v:units.#.is_active}}</t>
  </si>
  <si>
    <t>{{v:comparables.#.distance_miles}}</t>
  </si>
  <si>
    <t>{{subject.avg_market_rent.studio_90day}}</t>
  </si>
  <si>
    <t>{{v:comparables.#.avg_market_rent.studio_90day}}</t>
  </si>
  <si>
    <t>{{subject.avg_market_rent.one_bed_90day}}</t>
  </si>
  <si>
    <t>{{subject.avg_market_rent.two_bed_90day}}</t>
  </si>
  <si>
    <t>{{subject.avg_market_rent.three_bed_90day}}</t>
  </si>
  <si>
    <t>{{v:comparables.#.avg_market_rent.one_bed_90day}}</t>
  </si>
  <si>
    <t>{{v:comparables.#.avg_market_rent.two_bed_90day}}</t>
  </si>
  <si>
    <t>{{v:comparables.#.avg_market_rent.three_bed_90day}}</t>
  </si>
  <si>
    <t>{{subject.avg_effective_rent.studio_90day}}</t>
  </si>
  <si>
    <t>{{subject.avg_effective_rent.one_bed_90day}}</t>
  </si>
  <si>
    <t>{{subject.avg_effective_rent.two_bed_90day}}</t>
  </si>
  <si>
    <t>{{subject.avg_effective_rent.three_bed_90day}}</t>
  </si>
  <si>
    <t>{{v:comparables.#.avg_effective_rent.studio_90day}}</t>
  </si>
  <si>
    <t>{{v:comparables.#.avg_effective_rent.one_bed_90day}}</t>
  </si>
  <si>
    <t>{{v:comparables.#.avg_effective_rent.two_bed_90day}}</t>
  </si>
  <si>
    <t>{{v:comparables.#.avg_effective_rent.three_bed_90day}}</t>
  </si>
  <si>
    <t>{{subject.avg_market_rent.studio_60day}}</t>
  </si>
  <si>
    <t>{{subject.avg_market_rent.one_bed_60day}}</t>
  </si>
  <si>
    <t>{{subject.avg_market_rent.two_bed_60day}}</t>
  </si>
  <si>
    <t>{{subject.avg_market_rent.three_bed_60day}}</t>
  </si>
  <si>
    <t>{{subject.avg_effective_rent.studio_60day}}</t>
  </si>
  <si>
    <t>{{subject.avg_effective_rent.one_bed_60day}}</t>
  </si>
  <si>
    <t>{{subject.avg_effective_rent.two_bed_60day}}</t>
  </si>
  <si>
    <t>{{subject.avg_effective_rent.three_bed_60day}}</t>
  </si>
  <si>
    <t>{{v:comparables.#.avg_market_rent.studio_60day}}</t>
  </si>
  <si>
    <t>{{v:comparables.#.avg_market_rent.one_bed_60day}}</t>
  </si>
  <si>
    <t>{{v:comparables.#.avg_market_rent.two_bed_60day}}</t>
  </si>
  <si>
    <t>{{v:comparables.#.avg_market_rent.three_bed_60day}}</t>
  </si>
  <si>
    <t>{{v:comparables.#.avg_effective_rent.studio_60day}}</t>
  </si>
  <si>
    <t>{{v:comparables.#.avg_effective_rent.one_bed_60day}}</t>
  </si>
  <si>
    <t>{{v:comparables.#.avg_effective_rent.two_bed_60day}}</t>
  </si>
  <si>
    <t>{{v:comparables.#.avg_effective_rent.three_bed_60day}}</t>
  </si>
  <si>
    <t>{{subject.avg_market_rent.studio_30day}}</t>
  </si>
  <si>
    <t>{{subject.avg_market_rent.one_bed_30day}}</t>
  </si>
  <si>
    <t>{{subject.avg_market_rent.two_bed_30day}}</t>
  </si>
  <si>
    <t>{{subject.avg_market_rent.three_bed_30day}}</t>
  </si>
  <si>
    <t>{{subject.avg_effective_rent.studio_30day}}</t>
  </si>
  <si>
    <t>{{subject.avg_effective_rent.one_bed_30day}}</t>
  </si>
  <si>
    <t>{{subject.avg_effective_rent.two_bed_30day}}</t>
  </si>
  <si>
    <t>{{subject.avg_effective_rent.three_bed_30day}}</t>
  </si>
  <si>
    <t>{{v:comparables.#.avg_market_rent.studio_30day}}</t>
  </si>
  <si>
    <t>{{v:comparables.#.avg_market_rent.one_bed_30day}}</t>
  </si>
  <si>
    <t>{{v:comparables.#.avg_market_rent.two_bed_30day}}</t>
  </si>
  <si>
    <t>{{v:comparables.#.avg_market_rent.three_bed_30day}}</t>
  </si>
  <si>
    <t>{{v:comparables.#.avg_effective_rent.studio_30day}}</t>
  </si>
  <si>
    <t>{{v:comparables.#.avg_effective_rent.one_bed_30day}}</t>
  </si>
  <si>
    <t>{{v:comparables.#.avg_effective_rent.two_bed_30day}}</t>
  </si>
  <si>
    <t>{{v:comparables.#.avg_effective_rent.three_bed_30day}}</t>
  </si>
  <si>
    <t>{{subject.avg_market_rent.all_90day}}</t>
  </si>
  <si>
    <t>{{v:comparables.#.avg_market_rent.all_90day}}</t>
  </si>
  <si>
    <t>{{subject.avg_effective_rent.all_90day}}</t>
  </si>
  <si>
    <t>{{v:comparables.#.avg_effective_rent.all_90day}}</t>
  </si>
  <si>
    <t>{{subject.avg_market_rent.all_60day}}</t>
  </si>
  <si>
    <t>{{v:comparables.#.avg_market_rent.all_60day}}</t>
  </si>
  <si>
    <t>{{subject.avg_market_rent.all_30day}}</t>
  </si>
  <si>
    <t>{{v:comparables.#.avg_market_rent.all_30day}}</t>
  </si>
  <si>
    <t>{{subject.avg_effective_rent.all_60day}}</t>
  </si>
  <si>
    <t>{{v:comparables.#.avg_effective_rent.all_60day}}</t>
  </si>
  <si>
    <t>{{subject.avg_effective_rent.all_30day}}</t>
  </si>
  <si>
    <t>{{v:comparables.#.avg_effective_rent.all_30day}}</t>
  </si>
  <si>
    <t>{{subject.avg_rent_per_sqft.all_90day}}</t>
  </si>
  <si>
    <t>{{v:comparables.#.avg_rent_per_sqft.all_90day}}</t>
  </si>
  <si>
    <t>{{subject.avg_rent_per_sqft.all_60day}}</t>
  </si>
  <si>
    <t>{{v:comparables.#.avg_rent_per_sqft.all_60day}}</t>
  </si>
  <si>
    <t>{{subject.avg_eff_rent_per_sqft.all_90day}}</t>
  </si>
  <si>
    <t>{{v:comparables.#.avg_eff_rent_per_sqft.all_90day}}</t>
  </si>
  <si>
    <t>{{subject.avg_eff_rent_per_sqft.all_60day}}</t>
  </si>
  <si>
    <t>{{v:comparables.#.avg_eff_rent_per_sqft.all_60day}}</t>
  </si>
  <si>
    <t>{{subject.avg_rent_per_sqft.all_30day}}</t>
  </si>
  <si>
    <t>{{v:comparables.#.avg_rent_per_sqft.all_30day}}</t>
  </si>
  <si>
    <t>{{subject.avg_eff_rent_per_sqft.all_30day}}</t>
  </si>
  <si>
    <t>{{v:comparables.#.avg_eff_rent_per_sqft.all_30day}}</t>
  </si>
  <si>
    <t>{{subject.occupancy}}</t>
  </si>
  <si>
    <t>{{v:comparables.#.occupancy}}</t>
  </si>
  <si>
    <t>{{subject.exposure}}</t>
  </si>
  <si>
    <t>{{v:comparables.#.exposure}}</t>
  </si>
  <si>
    <t>Exposure %</t>
  </si>
  <si>
    <t>Grand Total</t>
  </si>
  <si>
    <t>Report Filters</t>
  </si>
  <si>
    <t>0A</t>
  </si>
  <si>
    <t>Jr 1A</t>
  </si>
  <si>
    <t>1B</t>
  </si>
  <si>
    <t>1C</t>
  </si>
  <si>
    <t>1D</t>
  </si>
  <si>
    <t>1E</t>
  </si>
  <si>
    <t>1F</t>
  </si>
  <si>
    <t>2A</t>
  </si>
  <si>
    <t>E100</t>
  </si>
  <si>
    <t>E110</t>
  </si>
  <si>
    <t>E120</t>
  </si>
  <si>
    <t>E130</t>
  </si>
  <si>
    <t>E140</t>
  </si>
  <si>
    <t>E200</t>
  </si>
  <si>
    <t>E210</t>
  </si>
  <si>
    <t>E220</t>
  </si>
  <si>
    <t>A540</t>
  </si>
  <si>
    <t>A400</t>
  </si>
  <si>
    <t>A410</t>
  </si>
  <si>
    <t>A420</t>
  </si>
  <si>
    <t>P-A430</t>
  </si>
  <si>
    <t>A430</t>
  </si>
  <si>
    <t>P-A500</t>
  </si>
  <si>
    <t>A510</t>
  </si>
  <si>
    <t>P-A520</t>
  </si>
  <si>
    <t>P-A530</t>
  </si>
  <si>
    <t>B500</t>
  </si>
  <si>
    <t>C500</t>
  </si>
  <si>
    <t>C550</t>
  </si>
  <si>
    <t>P-C600</t>
  </si>
  <si>
    <t>P-C650</t>
  </si>
  <si>
    <t>P-C1140</t>
  </si>
  <si>
    <t>P-D800</t>
  </si>
  <si>
    <t>Stu-07</t>
  </si>
  <si>
    <t>Stu-06</t>
  </si>
  <si>
    <t>Conv-07</t>
  </si>
  <si>
    <t>Conv-08</t>
  </si>
  <si>
    <t>Conv-01.1</t>
  </si>
  <si>
    <t>Conv-01</t>
  </si>
  <si>
    <t>A-05</t>
  </si>
  <si>
    <t>A-12</t>
  </si>
  <si>
    <t>A-06</t>
  </si>
  <si>
    <t>A-03</t>
  </si>
  <si>
    <t>A-10</t>
  </si>
  <si>
    <t>A-11</t>
  </si>
  <si>
    <t>B-02</t>
  </si>
  <si>
    <t>B-05</t>
  </si>
  <si>
    <t>B-06</t>
  </si>
  <si>
    <t>B-03</t>
  </si>
  <si>
    <t>B-10</t>
  </si>
  <si>
    <t>B-07</t>
  </si>
  <si>
    <t>B-04</t>
  </si>
  <si>
    <t>B-01</t>
  </si>
  <si>
    <t>C-03</t>
  </si>
  <si>
    <t>Studio x 05</t>
  </si>
  <si>
    <t>Studio x 1A</t>
  </si>
  <si>
    <t>Studio x 1B</t>
  </si>
  <si>
    <t>Studio x 1C</t>
  </si>
  <si>
    <t>Studio x 1D</t>
  </si>
  <si>
    <t>Studio x 1E</t>
  </si>
  <si>
    <t>Studio x 1F</t>
  </si>
  <si>
    <t>Studio x 1G</t>
  </si>
  <si>
    <t>Studio x 1H</t>
  </si>
  <si>
    <t>Convertible x 1B</t>
  </si>
  <si>
    <t>Convertible x 1C</t>
  </si>
  <si>
    <t>Studio x 1I</t>
  </si>
  <si>
    <t>Studio x 1J</t>
  </si>
  <si>
    <t>Convertible x 1D</t>
  </si>
  <si>
    <t>Convertible x 1E</t>
  </si>
  <si>
    <t>Convertible x 1F</t>
  </si>
  <si>
    <t>Studio x 1K</t>
  </si>
  <si>
    <t>1x1A</t>
  </si>
  <si>
    <t>1x1C</t>
  </si>
  <si>
    <t>1x1B</t>
  </si>
  <si>
    <t>1x1E</t>
  </si>
  <si>
    <t>1x1F</t>
  </si>
  <si>
    <t>1x1G</t>
  </si>
  <si>
    <t>1x1H</t>
  </si>
  <si>
    <t>1x1I</t>
  </si>
  <si>
    <t>1x1J</t>
  </si>
  <si>
    <t>1x1K</t>
  </si>
  <si>
    <t>1x1L</t>
  </si>
  <si>
    <t>1x1M</t>
  </si>
  <si>
    <t>1x1O</t>
  </si>
  <si>
    <t>1x1P</t>
  </si>
  <si>
    <t>1x1Q</t>
  </si>
  <si>
    <t>1x1R</t>
  </si>
  <si>
    <t>2023</t>
  </si>
  <si>
    <t>1x1S</t>
  </si>
  <si>
    <t>1x1T</t>
  </si>
  <si>
    <t>1x1U</t>
  </si>
  <si>
    <t>2x2B</t>
  </si>
  <si>
    <t>2x2C</t>
  </si>
  <si>
    <t>2x2D</t>
  </si>
  <si>
    <t>2x2E</t>
  </si>
  <si>
    <t>2x2F</t>
  </si>
  <si>
    <t>2025</t>
  </si>
  <si>
    <t>2x2G</t>
  </si>
  <si>
    <t>2x2H</t>
  </si>
  <si>
    <t>2x2I</t>
  </si>
  <si>
    <t>2x2J</t>
  </si>
  <si>
    <t>3x3A</t>
  </si>
  <si>
    <t>3x3C</t>
  </si>
  <si>
    <t>3x3D</t>
  </si>
  <si>
    <t>1A</t>
  </si>
  <si>
    <t>Tower 03</t>
  </si>
  <si>
    <t>Tower 04</t>
  </si>
  <si>
    <t>Tower 13</t>
  </si>
  <si>
    <t>Tower 07</t>
  </si>
  <si>
    <t>Tower 02</t>
  </si>
  <si>
    <t>Tower 05</t>
  </si>
  <si>
    <t>Tower 10</t>
  </si>
  <si>
    <t>Apex 07</t>
  </si>
  <si>
    <t>Tower 11</t>
  </si>
  <si>
    <t>Tower 09</t>
  </si>
  <si>
    <t>Apex 06</t>
  </si>
  <si>
    <t>Apex 08</t>
  </si>
  <si>
    <t>Tower 06</t>
  </si>
  <si>
    <t>Tower 01</t>
  </si>
  <si>
    <t>Apex 02</t>
  </si>
  <si>
    <t>Tower 12</t>
  </si>
  <si>
    <t>Tower 08</t>
  </si>
  <si>
    <t>Apex 03</t>
  </si>
  <si>
    <t>Apex 09</t>
  </si>
  <si>
    <t>Apex 01</t>
  </si>
  <si>
    <t>Apex 04</t>
  </si>
  <si>
    <t>Apex 05</t>
  </si>
  <si>
    <t>Studio_hub 11</t>
  </si>
  <si>
    <t>Studio_hub 02a</t>
  </si>
  <si>
    <t>Studio_hub 02</t>
  </si>
  <si>
    <t>One Bedroom_hub 04</t>
  </si>
  <si>
    <t>Convertible_hub 06</t>
  </si>
  <si>
    <t>One Bedroom_hub 08</t>
  </si>
  <si>
    <t>One Bedroom_hub 10</t>
  </si>
  <si>
    <t>One Bedroom_hub 03</t>
  </si>
  <si>
    <t>One Bedroom_hub 07</t>
  </si>
  <si>
    <t>One Bedroom_hub 05</t>
  </si>
  <si>
    <t>Convertible_hub 11a</t>
  </si>
  <si>
    <t>One Bedroom_hub 09</t>
  </si>
  <si>
    <t>Two Bedroom_hub 01a</t>
  </si>
  <si>
    <t>Two Bedroom_hub 12</t>
  </si>
  <si>
    <t>Two Bedroom_hub 12a</t>
  </si>
  <si>
    <t>Two Bedroom_hub 01</t>
  </si>
  <si>
    <t>Studio (433 sf)</t>
  </si>
  <si>
    <t>Studio (440 sf)</t>
  </si>
  <si>
    <t>Studio (452 sf)</t>
  </si>
  <si>
    <t>Studio (509 sf)</t>
  </si>
  <si>
    <t>Studio (543 sf)</t>
  </si>
  <si>
    <t>Convertible (563 sf)</t>
  </si>
  <si>
    <t>Convertible (576 sf)</t>
  </si>
  <si>
    <t>Convertible (597 sf)</t>
  </si>
  <si>
    <t>Junior One Bedroom (717 sf)</t>
  </si>
  <si>
    <t>Junior One Bedroom (720 sf)</t>
  </si>
  <si>
    <t>Junior One Bedroom (734 sf)</t>
  </si>
  <si>
    <t>Junior One Bedroom (758 sf)</t>
  </si>
  <si>
    <t>One Bedroom (598 sf)</t>
  </si>
  <si>
    <t>One Bedroom (729 sf)</t>
  </si>
  <si>
    <t>One Bedroom (761 sf)</t>
  </si>
  <si>
    <t>One Bedroom (764 sf)</t>
  </si>
  <si>
    <t>One Bedroom (766 sf)</t>
  </si>
  <si>
    <t>One Bedroom (791 sf)</t>
  </si>
  <si>
    <t>One Bedroom (798 sf)</t>
  </si>
  <si>
    <t>One Bedroom (806 sf)</t>
  </si>
  <si>
    <t>One Bedroom (821 sf)</t>
  </si>
  <si>
    <t>One Bedroom (831 sf)</t>
  </si>
  <si>
    <t>One Bedroom (865 sf)</t>
  </si>
  <si>
    <t>One Bedroom (945 sf)</t>
  </si>
  <si>
    <t>One Bedroom (999 sf)</t>
  </si>
  <si>
    <t>Two Bedroom (955 sf)</t>
  </si>
  <si>
    <t>Two Bedroom (963 sf)</t>
  </si>
  <si>
    <t>Two Bedroom (1220 sf)</t>
  </si>
  <si>
    <t>Two Bedroom (1225 sf)</t>
  </si>
  <si>
    <t>Two Bedroom (1294 sf)</t>
  </si>
  <si>
    <t>Two Bedroom (1338 sf)</t>
  </si>
  <si>
    <t>Two Bedroom (1396 sf)</t>
  </si>
  <si>
    <t>Two Bedroom (1474 sf)</t>
  </si>
  <si>
    <t>Three Bedroom (1572 sf)</t>
  </si>
  <si>
    <t>Convertible</t>
  </si>
  <si>
    <t>Studio Alcove</t>
  </si>
  <si>
    <t>1 Bed 1 Bath</t>
  </si>
  <si>
    <t>1 Bed/1 Bath</t>
  </si>
  <si>
    <t>2 Bed 2 Bath</t>
  </si>
  <si>
    <t>3 Bed 3 Bath</t>
  </si>
  <si>
    <t>Average of Days on Mkt</t>
  </si>
  <si>
    <t>Row Labels</t>
  </si>
  <si>
    <t>TRUE</t>
  </si>
  <si>
    <t>Average of Concessions as % of Asking Rent</t>
  </si>
  <si>
    <t>Average of Asking Rent</t>
  </si>
  <si>
    <t xml:space="preserve"> Avg PSF </t>
  </si>
  <si>
    <t xml:space="preserve"> Avg </t>
  </si>
  <si>
    <t xml:space="preserve"> 3BR </t>
  </si>
  <si>
    <t xml:space="preserve"> 2BR </t>
  </si>
  <si>
    <t xml:space="preserve"> 1BR </t>
  </si>
  <si>
    <t xml:space="preserve"> Studio </t>
  </si>
  <si>
    <t>30-Day Averages</t>
  </si>
  <si>
    <t>Effective Rent</t>
  </si>
  <si>
    <t>Effective Rent PSF</t>
  </si>
  <si>
    <t>Comps Average</t>
  </si>
  <si>
    <t>Difference</t>
  </si>
  <si>
    <t>Studio Asking vs Effective</t>
  </si>
  <si>
    <t>1BR Asking vs Effective</t>
  </si>
  <si>
    <t>2BR Asking vs Effective</t>
  </si>
  <si>
    <t>3BR Asking vs Effective</t>
  </si>
  <si>
    <t>Asking</t>
  </si>
  <si>
    <t>Effective</t>
  </si>
  <si>
    <t>Effective PSF</t>
  </si>
  <si>
    <t>Analytics Tab</t>
  </si>
  <si>
    <t>Asking Rent vs Rent PSF</t>
  </si>
  <si>
    <t>Effective Rent vs Rent PSF</t>
  </si>
  <si>
    <t>Effective Rents: 30-Day Avg</t>
  </si>
  <si>
    <t>Asking Rents: 30-Day Avg</t>
  </si>
  <si>
    <t>Asking PSF</t>
  </si>
  <si>
    <t xml:space="preserve">Effective Rent PSF </t>
  </si>
  <si>
    <t>Avg Effective Rent</t>
  </si>
  <si>
    <t>Avg Effective Rent PSF</t>
  </si>
  <si>
    <t>Avg Sqft</t>
  </si>
  <si>
    <t>Avg Concession Amt</t>
  </si>
  <si>
    <t>Unit-Level Data</t>
  </si>
  <si>
    <t>Data Analysis</t>
  </si>
  <si>
    <t>Index</t>
  </si>
  <si>
    <t>Avg Days on Mkt</t>
  </si>
  <si>
    <t>4BR</t>
  </si>
  <si>
    <t>Leased Date</t>
  </si>
  <si>
    <t>{{h:comparables.#.finishes.kitchen}}</t>
  </si>
  <si>
    <t>{{h:comparables.#.finishes.bathroom}}</t>
  </si>
  <si>
    <t>{{h:comparables.#.finishes.living_room}}</t>
  </si>
  <si>
    <t>{{h:comparables.#.finishes.dining_room}}</t>
  </si>
  <si>
    <t>{{h:comparables.#.finishes.bedroom}}</t>
  </si>
  <si>
    <t>{{h:comparables.#.finishes.walk_in_closet}}</t>
  </si>
  <si>
    <t>{{h:comparables.#.finishes.fitness_center}}</t>
  </si>
  <si>
    <t>{{h:comparables.#.finishes.swimming_pool}}</t>
  </si>
  <si>
    <t>{{h:comparables.#.finishes.laundry_room}}</t>
  </si>
  <si>
    <t>{{h:comparables.#.finishes.common_areas}}</t>
  </si>
  <si>
    <t>Click "Enable Editing" to update.</t>
  </si>
  <si>
    <t>4BR Asking vs Effective</t>
  </si>
  <si>
    <t>5BR Asking vs Effective</t>
  </si>
  <si>
    <t>5BR</t>
  </si>
  <si>
    <t xml:space="preserve"> 4BR </t>
  </si>
  <si>
    <t>{{subject.avg_market_rent.four_bed_30day}}</t>
  </si>
  <si>
    <t>{{v:comparables.#.avg_market_rent.four_bed_30day}}</t>
  </si>
  <si>
    <t>{{subject.avg_effective_rent.four_bed_30day}}</t>
  </si>
  <si>
    <t>{{v:comparables.#.avg_effective_rent.four_bed_30day}}</t>
  </si>
  <si>
    <t>{{subject.avg_effective_rent.four_bed_60day}}</t>
  </si>
  <si>
    <t>{{v:comparables.#.avg_effective_rent.four_bed_60day}}</t>
  </si>
  <si>
    <t>{{subject.avg_market_rent.four_bed_60day}}</t>
  </si>
  <si>
    <t>{{v:comparables.#.avg_market_rent.four_bed_60day}}</t>
  </si>
  <si>
    <t>{{subject.avg_market_rent.four_bed_90day}}</t>
  </si>
  <si>
    <t>{{v:comparables.#.avg_market_rent.four_bed_90day}}</t>
  </si>
  <si>
    <t>{{subject.avg_effective_rent.four_bed_90day}}</t>
  </si>
  <si>
    <t>{{v:comparables.#.avg_effective_rent.four_bed_90day}}</t>
  </si>
  <si>
    <t>{{v:units.#.amenities}}</t>
  </si>
  <si>
    <t xml:space="preserve"> Exposure %</t>
  </si>
  <si>
    <t>{{v:units.#.enter_market_excel}}</t>
  </si>
  <si>
    <t>{{v:units.#.exit_market_excel}}</t>
  </si>
  <si>
    <t>2024</t>
  </si>
  <si>
    <t>Jun</t>
  </si>
  <si>
    <t>Jul</t>
  </si>
  <si>
    <t>Aug</t>
  </si>
  <si>
    <t>Sep</t>
  </si>
  <si>
    <t>Oct</t>
  </si>
  <si>
    <t>Nov</t>
  </si>
  <si>
    <t>Dec</t>
  </si>
  <si>
    <t>Apr</t>
  </si>
  <si>
    <t>May</t>
  </si>
  <si>
    <t>Jan</t>
  </si>
  <si>
    <t>Feb</t>
  </si>
  <si>
    <t>Mar</t>
  </si>
  <si>
    <t>{{v:units.#.rent_per_sqft}}</t>
  </si>
  <si>
    <t>{{v:units.#.effective_rent_per_sqft}}</t>
  </si>
  <si>
    <t xml:space="preserve"> </t>
  </si>
  <si>
    <t># Leases</t>
  </si>
  <si>
    <t>Average of Effective Rent</t>
  </si>
  <si>
    <t>Average of Effective PSF</t>
  </si>
  <si>
    <t>Average of Asking PSF</t>
  </si>
  <si>
    <t>(blank)</t>
  </si>
  <si>
    <t>Floorplan Data (closed listings)</t>
  </si>
  <si>
    <t>Going-in Cap Rate</t>
  </si>
  <si>
    <t>Expense Growth Rate</t>
  </si>
  <si>
    <t>Closing Costs</t>
  </si>
  <si>
    <t>Interest Rate</t>
  </si>
  <si>
    <t>LTV</t>
  </si>
  <si>
    <t>DSCR</t>
  </si>
  <si>
    <t>Amortization</t>
  </si>
  <si>
    <t>Financing Assumptions</t>
  </si>
  <si>
    <t>Exit Cap Rate</t>
  </si>
  <si>
    <t>Purchase Price</t>
  </si>
  <si>
    <t>Year</t>
  </si>
  <si>
    <t>Opex Ratio</t>
  </si>
  <si>
    <t>Cash Flow</t>
  </si>
  <si>
    <t>Capital Transaction Fees</t>
  </si>
  <si>
    <t>Waterfall Structure</t>
  </si>
  <si>
    <t>Summary</t>
  </si>
  <si>
    <t>American</t>
  </si>
  <si>
    <t>Sponsor Catchup</t>
  </si>
  <si>
    <t>No</t>
  </si>
  <si>
    <t>Sponsor</t>
  </si>
  <si>
    <t>Investors</t>
  </si>
  <si>
    <t>Split 1</t>
  </si>
  <si>
    <t>Split 2</t>
  </si>
  <si>
    <t>Investor Cash Flow</t>
  </si>
  <si>
    <t>Sponsor Cash Flow</t>
  </si>
  <si>
    <t>Total Cash Flow</t>
  </si>
  <si>
    <t>Bad Debt</t>
  </si>
  <si>
    <t>Concessions</t>
  </si>
  <si>
    <t>Rent Growth Rate</t>
  </si>
  <si>
    <t>Base Rental Revenue</t>
  </si>
  <si>
    <t>Expenses</t>
  </si>
  <si>
    <t>Financial Model</t>
  </si>
  <si>
    <t>Financing</t>
  </si>
  <si>
    <t>Debt Service</t>
  </si>
  <si>
    <t>IO Period (months)</t>
  </si>
  <si>
    <t>Refi Loan</t>
  </si>
  <si>
    <t>Loan Amount</t>
  </si>
  <si>
    <t>Loan Amount by LTV</t>
  </si>
  <si>
    <t>Loan Amount by DSCR</t>
  </si>
  <si>
    <t>Loan Term (years)</t>
  </si>
  <si>
    <t>Sale Year</t>
  </si>
  <si>
    <t>Balloon PMT</t>
  </si>
  <si>
    <t>Prepay Penalty</t>
  </si>
  <si>
    <t>Net Proceeds</t>
  </si>
  <si>
    <t>Financing Costs</t>
  </si>
  <si>
    <t>Acquisition</t>
  </si>
  <si>
    <t>Net Cash Flow</t>
  </si>
  <si>
    <t>Project IRR</t>
  </si>
  <si>
    <t>Unleveraged</t>
  </si>
  <si>
    <t>Leveraged</t>
  </si>
  <si>
    <t>NOI</t>
  </si>
  <si>
    <t>Unleveraged Cash Flow</t>
  </si>
  <si>
    <t>LP IRR</t>
  </si>
  <si>
    <t>LP EM</t>
  </si>
  <si>
    <t>Financing / Loan Repayment</t>
  </si>
  <si>
    <t>Acquisition / Disposition</t>
  </si>
  <si>
    <t>Debt Service (IO period)</t>
  </si>
  <si>
    <t>Debt Service (after IO)</t>
  </si>
  <si>
    <t>Deal Assumptions</t>
  </si>
  <si>
    <t>Leveraged Cash Flow</t>
  </si>
  <si>
    <t>Partnership Cash Flow</t>
  </si>
  <si>
    <t>Asset Management Fees</t>
  </si>
  <si>
    <t>Cash Flow Analysis</t>
  </si>
  <si>
    <t>Investor Waterfall</t>
  </si>
  <si>
    <t>Project EM</t>
  </si>
  <si>
    <t>Waterfall Model</t>
  </si>
  <si>
    <t>Cash Flow Summary</t>
  </si>
  <si>
    <t>Hurdle Rate</t>
  </si>
  <si>
    <t>Sources</t>
  </si>
  <si>
    <t>Split 1 - LP</t>
  </si>
  <si>
    <t>Split 1 - GP</t>
  </si>
  <si>
    <t>Split 2 - LP</t>
  </si>
  <si>
    <t>Split 2 - GP</t>
  </si>
  <si>
    <t>Pari Passu</t>
  </si>
  <si>
    <t>Total Needed to Hit Hurdle Rate</t>
  </si>
  <si>
    <t>Property Value</t>
  </si>
  <si>
    <t>Post-Renovation Premiums (per unit)</t>
  </si>
  <si>
    <t>Uses</t>
  </si>
  <si>
    <t>Per Unit</t>
  </si>
  <si>
    <t>Total</t>
  </si>
  <si>
    <t>Capital Improvement Assumptions</t>
  </si>
  <si>
    <t>Construction + Leasing Timeline (months)</t>
  </si>
  <si>
    <t>Percent of Units to be Renovated</t>
  </si>
  <si>
    <t>Equity</t>
  </si>
  <si>
    <t>Preferred Return (set to zero for no pref)</t>
  </si>
  <si>
    <t>Preferred Return - GP</t>
  </si>
  <si>
    <t>Initial Investment</t>
  </si>
  <si>
    <t>Model</t>
  </si>
  <si>
    <t>Total Uses</t>
  </si>
  <si>
    <t>Total Sources</t>
  </si>
  <si>
    <t>Other</t>
  </si>
  <si>
    <t>Cost Per Unit (zero values for no reno)</t>
  </si>
  <si>
    <t>Leased %</t>
  </si>
  <si>
    <t>Concession %</t>
  </si>
  <si>
    <t>Avg Floor #</t>
  </si>
  <si>
    <t>Pro Forma Cash Flow Model</t>
  </si>
  <si>
    <t>30-Day Trends</t>
  </si>
  <si>
    <t>{{subject.avg_sqft}}</t>
  </si>
  <si>
    <t>{{v:comparables.#.avg_sqft}}</t>
  </si>
  <si>
    <t>Specials</t>
  </si>
  <si>
    <t>Specials Text</t>
  </si>
  <si>
    <t>From Date</t>
  </si>
  <si>
    <t>To Date</t>
  </si>
  <si>
    <t>{{v:[subject.[{building_name},concessions_history.#.{concessions}].@fill|@flatten.#.building_name,comparables.#.[{building_name},concessions_history.#.{concessions}].@fill|@flatten.#.building_name].@flatten}}</t>
  </si>
  <si>
    <t>{{v:[subject.[{bed},estimated_unit_mix.#.{bed}].@fill|@flatten.#.bed,comparables.#.[{bed},estimated_unit_mix.#.{bed}].@fill|@flatten.#.bed].@flatten}}</t>
  </si>
  <si>
    <t>Rent</t>
  </si>
  <si>
    <t>NER</t>
  </si>
  <si>
    <t>NER PSF</t>
  </si>
  <si>
    <t>Unit Mix - Subject &amp; Comps</t>
  </si>
  <si>
    <t>{{v:[subject.[{building_name},estimated_unit_mix.#.{building_name}].@fill|@flatten.#.building_name,comparables.#.[{building_name},estimated_unit_mix.#.{building_name}].@fill|@flatten.#.building_name].@flatten}}</t>
  </si>
  <si>
    <t>{{v:[subject.[{bath},estimated_unit_mix.#.{bath}].@fill|@flatten.#.bath,comparables.#.[{bath},estimated_unit_mix.#.{bath}].@fill|@flatten.#.bath].@flatten}}</t>
  </si>
  <si>
    <t>{{v:[subject.[{estimatedUnits},estimated_unit_mix.#.{estimatedUnits}].@fill|@flatten.#.estimatedUnits,comparables.#.[{estimatedUnits},estimated_unit_mix.#.{estimatedUnits}].@fill|@flatten.#.estimatedUnits].@flatten}}</t>
  </si>
  <si>
    <t>{{v:[subject.[{avgDaysOnMarket},estimated_unit_mix.#.{avgDaysOnMarket}].@fill|@flatten.#.avgDaysOnMarket,comparables.#.[{avgDaysOnMarket},estimated_unit_mix.#.{avgDaysOnMarket}].@fill|@flatten.#.avgDaysOnMarket].@flatten}}</t>
  </si>
  <si>
    <t>{{v:[subject.[{avgSqft},estimated_unit_mix.#.{avgSqft}].@fill|@flatten.#.avgSqft,comparables.#.[{avgSqft},estimated_unit_mix.#.{avgSqft}].@fill|@flatten.#.avgSqft].@flatten}}</t>
  </si>
  <si>
    <t>{{v:[subject.[{avgAskingRent},estimated_unit_mix.#.{avgAskingRent}].@fill|@flatten.#.avgAskingRent,comparables.#.[{avgAskingRent},estimated_unit_mix.#.{avgAskingRent}].@fill|@flatten.#.avgAskingRent].@flatten}}</t>
  </si>
  <si>
    <t>{{v:[subject.[{avgAskingPsf},estimated_unit_mix.#.{avgAskingPsf}].@fill|@flatten.#.avgAskingPsf,comparables.#.[{avgAskingPsf},estimated_unit_mix.#.{avgAskingPsf}].@fill|@flatten.#.avgAskingPsf].@flatten}}</t>
  </si>
  <si>
    <t>{{v:[subject.[{avgEffectiveRent},estimated_unit_mix.#.{avgEffectiveRent}].@fill|@flatten.#.avgEffectiveRent,comparables.#.[{avgEffectiveRent},estimated_unit_mix.#.{avgEffectiveRent}].@fill|@flatten.#.avgEffectiveRent].@flatten}}</t>
  </si>
  <si>
    <t>{{v:[subject.[{avgEffectivePsf},estimated_unit_mix.#.{avgEffectivePsf}].@fill|@flatten.#.avgEffectivePsf,comparables.#.[{avgEffectivePsf},estimated_unit_mix.#.{avgEffectivePsf}].@fill|@flatten.#.avgEffectivePsf].@flatten}}</t>
  </si>
  <si>
    <t>Specials - Subject &amp; Comps</t>
  </si>
  <si>
    <t xml:space="preserve">Leased % </t>
  </si>
  <si>
    <t>Management Company</t>
  </si>
  <si>
    <t>Property Website</t>
  </si>
  <si>
    <t>Distance (mi)</t>
  </si>
  <si>
    <t>Year Built</t>
  </si>
  <si>
    <t>Leased % (Advertised)</t>
  </si>
  <si>
    <t>Exposure</t>
  </si>
  <si>
    <t>Rent Per Sqft</t>
  </si>
  <si>
    <t>NER Per Sqft</t>
  </si>
  <si>
    <t>30-Day Avg</t>
  </si>
  <si>
    <t>60-Day Avg</t>
  </si>
  <si>
    <t>90-Day Avg</t>
  </si>
  <si>
    <t>{{h:comparables.#.distance_miles}}</t>
  </si>
  <si>
    <t>{{h:comparables.#.similarity}}</t>
  </si>
  <si>
    <t>{{h:comparables.#.year_built}}</t>
  </si>
  <si>
    <t>{{h:comparables.#.number_units}}</t>
  </si>
  <si>
    <t>{{h:comparables.#.occupancy}}</t>
  </si>
  <si>
    <t>{{h:comparables.#.exposure}}</t>
  </si>
  <si>
    <t>{{h:comparables.#.avg_market_rent.all_30day}}</t>
  </si>
  <si>
    <t>{{h:comparables.#.avg_market_rent.all_60day}}</t>
  </si>
  <si>
    <t>{{h:comparables.#.avg_market_rent.all_90day}}</t>
  </si>
  <si>
    <t>{{h:comparables.#.avg_rent_per_sqft.all_30day}}</t>
  </si>
  <si>
    <t>{{h:comparables.#.avg_rent_per_sqft.all_60day}}</t>
  </si>
  <si>
    <t>{{h:comparables.#.avg_rent_per_sqft.all_90day}}</t>
  </si>
  <si>
    <t>{{h:comparables.#.avg_eff_rent_per_sqft.all_30day}}</t>
  </si>
  <si>
    <t>{{h:comparables.#.avg_eff_rent_per_sqft.all_60day}}</t>
  </si>
  <si>
    <t>{{h:comparables.#.avg_eff_rent_per_sqft.all_90day}}</t>
  </si>
  <si>
    <t>{{h:comparables.#.avg_market_rent.studio_30day}}</t>
  </si>
  <si>
    <t>{{h:comparables.#.avg_market_rent.studio_60day}}</t>
  </si>
  <si>
    <t>{{h:comparables.#.avg_market_rent.studio_90day}}</t>
  </si>
  <si>
    <t>{{h:comparables.#.avg_effective_rent.studio_30day}}</t>
  </si>
  <si>
    <t>{{h:comparables.#.avg_effective_rent.studio_60day}}</t>
  </si>
  <si>
    <t>{{h:comparables.#.avg_effective_rent.studio_90day}}</t>
  </si>
  <si>
    <t>{{h:comparables.#.avg_market_rent.one_bed_30day}}</t>
  </si>
  <si>
    <t>{{h:comparables.#.avg_market_rent.one_bed_60day}}</t>
  </si>
  <si>
    <t>{{h:comparables.#.avg_market_rent.one_bed_90day}}</t>
  </si>
  <si>
    <t>{{h:comparables.#.avg_effective_rent.one_bed_30day}}</t>
  </si>
  <si>
    <t>{{h:comparables.#.avg_effective_rent.one_bed_60day}}</t>
  </si>
  <si>
    <t>{{h:comparables.#.avg_effective_rent.one_bed_90day}}</t>
  </si>
  <si>
    <t>{{h:comparables.#.avg_market_rent.two_bed_30day}}</t>
  </si>
  <si>
    <t>{{h:comparables.#.avg_market_rent.two_bed_60day}}</t>
  </si>
  <si>
    <t>{{h:comparables.#.avg_market_rent.two_bed_90day}}</t>
  </si>
  <si>
    <t>{{h:comparables.#.avg_effective_rent.two_bed_30day}}</t>
  </si>
  <si>
    <t>{{h:comparables.#.avg_effective_rent.two_bed_60day}}</t>
  </si>
  <si>
    <t>{{h:comparables.#.avg_effective_rent.two_bed_90day}}</t>
  </si>
  <si>
    <t>{{h:comparables.#.avg_market_rent.three_bed_30day}}</t>
  </si>
  <si>
    <t>{{h:comparables.#.avg_market_rent.three_bed_60day}}</t>
  </si>
  <si>
    <t>{{h:comparables.#.avg_market_rent.three_bed_90day}}</t>
  </si>
  <si>
    <t>{{h:comparables.#.avg_effective_rent.three_bed_30day}}</t>
  </si>
  <si>
    <t>{{h:comparables.#.avg_effective_rent.three_bed_60day}}</t>
  </si>
  <si>
    <t>{{h:comparables.#.avg_effective_rent.three_bed_90day}}</t>
  </si>
  <si>
    <t>Comps Avg</t>
  </si>
  <si>
    <t>{{h:comparables.#.management_company}}</t>
  </si>
  <si>
    <t>{{h:comparables.#.property_website}}</t>
  </si>
  <si>
    <t>Studio Rents</t>
  </si>
  <si>
    <t>Studio Effective Rents</t>
  </si>
  <si>
    <t>1BR Rents</t>
  </si>
  <si>
    <t>1BR Effective Rents</t>
  </si>
  <si>
    <t>2BR Rents</t>
  </si>
  <si>
    <t>2BR Effective Rents</t>
  </si>
  <si>
    <t>3BR Rents</t>
  </si>
  <si>
    <t>3BR Effective Rents</t>
  </si>
  <si>
    <t>4BR Rents</t>
  </si>
  <si>
    <t>4BR Effective Rents</t>
  </si>
  <si>
    <t>$△</t>
  </si>
  <si>
    <t>%△</t>
  </si>
  <si>
    <t>Rent Comparison</t>
  </si>
  <si>
    <t>Count of Asking Rent</t>
  </si>
  <si>
    <t>Avg Rent</t>
  </si>
  <si>
    <t>Avg Rent PSF</t>
  </si>
  <si>
    <t>Cash-Out Refinance in Month</t>
  </si>
  <si>
    <t>Yes</t>
  </si>
  <si>
    <t>Capital Account Balance</t>
  </si>
  <si>
    <t>Capital Fees</t>
  </si>
  <si>
    <t>Asset Mgmt Fees</t>
  </si>
  <si>
    <t>Renovation Costs</t>
  </si>
  <si>
    <t>Current GPR</t>
  </si>
  <si>
    <t># Free Months</t>
  </si>
  <si>
    <t>Last Updated</t>
  </si>
  <si>
    <t>{{v:[subject.[{building_name,created_on},concessions_history.#.{concessions,from_date,to_date,free_months_count:items.0.free_month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reated_on}}</t>
  </si>
  <si>
    <t>Deadline</t>
  </si>
  <si>
    <t>Status</t>
  </si>
  <si>
    <t>Lookup Value</t>
  </si>
  <si>
    <t>Unit Mix</t>
  </si>
  <si>
    <t>Average of Leased %</t>
  </si>
  <si>
    <t>Average of Exposure %</t>
  </si>
  <si>
    <t>Studio Rents PSF</t>
  </si>
  <si>
    <t>Studio Effective Rents PSF</t>
  </si>
  <si>
    <t>{{subject.avg_market_rent_psf.studio_30day}}</t>
  </si>
  <si>
    <t>{{h:comparables.#.avg_market_rent_psf.studio_30day}}</t>
  </si>
  <si>
    <t>{{subject.avg_market_rent_psf.studio_60day}}</t>
  </si>
  <si>
    <t>{{h:comparables.#.avg_market_rent_psf.studio_60day}}</t>
  </si>
  <si>
    <t>{{subject.avg_market_rent_psf.studio_90day}}</t>
  </si>
  <si>
    <t>{{h:comparables.#.avg_market_rent_psf.studio_90day}}</t>
  </si>
  <si>
    <t>{{subject.avg_eff_rent_psf.studio_30day}}</t>
  </si>
  <si>
    <t>{{h:comparables.#.avg_eff_rent_psf.studio_30day}}</t>
  </si>
  <si>
    <t>{{subject.avg_eff_rent_psf.studio_60day}}</t>
  </si>
  <si>
    <t>{{h:comparables.#.avg_eff_rent_psf.studio_60day}}</t>
  </si>
  <si>
    <t>{{subject.avg_eff_rent_psf.studio_90day}}</t>
  </si>
  <si>
    <t>{{h:comparables.#.avg_eff_rent_psf.studio_90day}}</t>
  </si>
  <si>
    <t>1BR Rents PSF</t>
  </si>
  <si>
    <t>1BR Effective Rents PSF</t>
  </si>
  <si>
    <t>{{subject.avg_market_rent_psf.one_bed_30day}}</t>
  </si>
  <si>
    <t>{{h:comparables.#.avg_market_rent_psf.one_bed_30day}}</t>
  </si>
  <si>
    <t>{{subject.avg_market_rent_psf.one_bed_60day}}</t>
  </si>
  <si>
    <t>{{h:comparables.#.avg_market_rent_psf.one_bed_60day}}</t>
  </si>
  <si>
    <t>{{subject.avg_market_rent_psf.one_bed_90day}}</t>
  </si>
  <si>
    <t>{{h:comparables.#.avg_market_rent_psf.one_bed_90day}}</t>
  </si>
  <si>
    <t>{{subject.avg_eff_rent_psf.one_bed_30day}}</t>
  </si>
  <si>
    <t>{{h:comparables.#.avg_eff_rent_psf.one_bed_30day}}</t>
  </si>
  <si>
    <t>{{subject.avg_eff_rent_psf.one_bed_60day}}</t>
  </si>
  <si>
    <t>{{h:comparables.#.avg_eff_rent_psf.one_bed_60day}}</t>
  </si>
  <si>
    <t>{{subject.avg_eff_rent_psf.one_bed_90day}}</t>
  </si>
  <si>
    <t>{{h:comparables.#.avg_eff_rent_psf.one_bed_90day}}</t>
  </si>
  <si>
    <t>2BR Rents PSF</t>
  </si>
  <si>
    <t>2BR Effective Rents PSF</t>
  </si>
  <si>
    <t>{{subject.avg_market_rent_psf.two_bed_30day}}</t>
  </si>
  <si>
    <t>{{h:comparables.#.avg_market_rent_psf.two_bed_30day}}</t>
  </si>
  <si>
    <t>{{subject.avg_market_rent_psf.two_bed_60day}}</t>
  </si>
  <si>
    <t>{{h:comparables.#.avg_market_rent_psf.two_bed_60day}}</t>
  </si>
  <si>
    <t>{{subject.avg_market_rent_psf.two_bed_90day}}</t>
  </si>
  <si>
    <t>{{h:comparables.#.avg_market_rent_psf.two_bed_90day}}</t>
  </si>
  <si>
    <t>{{subject.avg_eff_rent_psf.two_bed_30day}}</t>
  </si>
  <si>
    <t>{{h:comparables.#.avg_eff_rent_psf.two_bed_30day}}</t>
  </si>
  <si>
    <t>{{subject.avg_eff_rent_psf.two_bed_60day}}</t>
  </si>
  <si>
    <t>{{h:comparables.#.avg_eff_rent_psf.two_bed_60day}}</t>
  </si>
  <si>
    <t>{{subject.avg_eff_rent_psf.two_bed_90day}}</t>
  </si>
  <si>
    <t>{{h:comparables.#.avg_eff_rent_psf.two_bed_90day}}</t>
  </si>
  <si>
    <t>3BR Rents PSF</t>
  </si>
  <si>
    <t>3BR Effective Rents PSF</t>
  </si>
  <si>
    <t>{{subject.avg_market_rent_psf.three_bed_30day}}</t>
  </si>
  <si>
    <t>{{h:comparables.#.avg_market_rent_psf.three_bed_30day}}</t>
  </si>
  <si>
    <t>{{subject.avg_market_rent_psf.three_bed_60day}}</t>
  </si>
  <si>
    <t>{{h:comparables.#.avg_market_rent_psf.three_bed_60day}}</t>
  </si>
  <si>
    <t>{{subject.avg_market_rent_psf.three_bed_90day}}</t>
  </si>
  <si>
    <t>{{h:comparables.#.avg_market_rent_psf.three_bed_90day}}</t>
  </si>
  <si>
    <t>{{subject.avg_eff_rent_psf.three_bed_30day}}</t>
  </si>
  <si>
    <t>{{h:comparables.#.avg_eff_rent_psf.three_bed_30day}}</t>
  </si>
  <si>
    <t>{{subject.avg_eff_rent_psf.three_bed_60day}}</t>
  </si>
  <si>
    <t>{{h:comparables.#.avg_eff_rent_psf.three_bed_60day}}</t>
  </si>
  <si>
    <t>{{subject.avg_eff_rent_psf.three_bed_90day}}</t>
  </si>
  <si>
    <t>{{h:comparables.#.avg_eff_rent_psf.three_bed_90day}}</t>
  </si>
  <si>
    <t>4BR Rents PSF</t>
  </si>
  <si>
    <t>4BR Effective Rents PSF</t>
  </si>
  <si>
    <t>{{h:comparables.#.avg_market_rent.four_bed_30day}}</t>
  </si>
  <si>
    <t>{{h:comparables.#.avg_market_rent.four_bed_60day}}</t>
  </si>
  <si>
    <t>{{h:comparables.#.avg_market_rent.four_bed_90day}}</t>
  </si>
  <si>
    <t>{{h:comparables.#.avg_effective_rent.four_bed_30day}}</t>
  </si>
  <si>
    <t>{{h:comparables.#.avg_effective_rent.four_bed_60day}}</t>
  </si>
  <si>
    <t>{{h:comparables.#.avg_effective_rent.four_bed_90day}}</t>
  </si>
  <si>
    <t>Note: Figures and charts on the Data Analysis tab only utilize data from closed listings.</t>
  </si>
  <si>
    <t>Studio PSF</t>
  </si>
  <si>
    <t>1BR PSF</t>
  </si>
  <si>
    <t>2BR PSF</t>
  </si>
  <si>
    <t>3BR PSF</t>
  </si>
  <si>
    <t>4BR PSF</t>
  </si>
  <si>
    <t>{{v:comparables.#.avg_market_rent_psf.studio_30day}}</t>
  </si>
  <si>
    <t>{{v:comparables.#.avg_market_rent_psf.one_bed_30day}}</t>
  </si>
  <si>
    <t>{{v:comparables.#.avg_market_rent_psf.two_bed_30day}}</t>
  </si>
  <si>
    <t>{{v:comparables.#.avg_market_rent_psf.three_bed_30day}}</t>
  </si>
  <si>
    <t>{{subject.avg_market_rent_psf.four_bed_30day}}</t>
  </si>
  <si>
    <t>{{v:comparables.#.avg_market_rent_psf.four_bed_30day}}</t>
  </si>
  <si>
    <t xml:space="preserve">4BR PSF </t>
  </si>
  <si>
    <t xml:space="preserve">3BR PSF </t>
  </si>
  <si>
    <t xml:space="preserve">2BR PSF </t>
  </si>
  <si>
    <t xml:space="preserve">1BR PSF </t>
  </si>
  <si>
    <t xml:space="preserve">Studio PSF </t>
  </si>
  <si>
    <t>{{v:comparables.#.avg_eff_rent_psf.studio_30day}}</t>
  </si>
  <si>
    <t>{{v:comparables.#.avg_eff_rent_psf.one_bed_30day}}</t>
  </si>
  <si>
    <t>{{v:comparables.#.avg_eff_rent_psf.two_bed_30day}}</t>
  </si>
  <si>
    <t>{{v:comparables.#.avg_eff_rent_psf.three_bed_30day}}</t>
  </si>
  <si>
    <t>{{subject.avg_eff_rent_psf.four_bed_30day}}</t>
  </si>
  <si>
    <t>{{v:comparables.#.avg_eff_rent_psf.four_bed_30day}}</t>
  </si>
  <si>
    <t>30-Day Avg Rents</t>
  </si>
  <si>
    <r>
      <t xml:space="preserve">30-Day Avg </t>
    </r>
    <r>
      <rPr>
        <rFont val="Calibri"/>
        <family val="2"/>
        <b/>
        <sz val="16"/>
        <u/>
        <scheme val="minor"/>
      </rPr>
      <t>Net Effective</t>
    </r>
    <r>
      <rPr>
        <rFont val="Calibri"/>
        <family val="2"/>
        <b/>
        <sz val="16"/>
        <scheme val="minor"/>
      </rPr>
      <t xml:space="preserve"> Rents</t>
    </r>
  </si>
  <si>
    <t>{{subject.avg_eff_rent_psf.four_bed_60day}}</t>
  </si>
  <si>
    <t>{{v:comparables.#.avg_eff_rent_psf.studio_60day}}</t>
  </si>
  <si>
    <t>{{v:comparables.#.avg_eff_rent_psf.one_bed_60day}}</t>
  </si>
  <si>
    <t>{{v:comparables.#.avg_eff_rent_psf.two_bed_60day}}</t>
  </si>
  <si>
    <t>{{v:comparables.#.avg_eff_rent_psf.three_bed_60day}}</t>
  </si>
  <si>
    <t>{{v:comparables.#.avg_eff_rent_psf.four_bed_60day}}</t>
  </si>
  <si>
    <t>{{v:comparables.#.avg_market_rent_psf.studio_60day}}</t>
  </si>
  <si>
    <t>{{subject.avg_market_rent_psf.four_bed_60day}}</t>
  </si>
  <si>
    <t>{{v:comparables.#.avg_market_rent_psf.one_bed_60day}}</t>
  </si>
  <si>
    <t>{{v:comparables.#.avg_market_rent_psf.two_bed_60day}}</t>
  </si>
  <si>
    <t>{{v:comparables.#.avg_market_rent_psf.three_bed_60day}}</t>
  </si>
  <si>
    <t>{{v:comparables.#.avg_market_rent_psf.four_bed_60day}}</t>
  </si>
  <si>
    <t>{{subject.avg_market_rent_psf.four_bed_90day}}</t>
  </si>
  <si>
    <t>{{v:comparables.#.avg_market_rent_psf.studio_90day}}</t>
  </si>
  <si>
    <t>{{v:comparables.#.avg_market_rent_psf.one_bed_90day}}</t>
  </si>
  <si>
    <t>{{v:comparables.#.avg_market_rent_psf.two_bed_90day}}</t>
  </si>
  <si>
    <t>{{v:comparables.#.avg_market_rent_psf.three_bed_90day}}</t>
  </si>
  <si>
    <t>{{v:comparables.#.avg_market_rent_psf.four_bed_90day}}</t>
  </si>
  <si>
    <t>{{subject.avg_eff_rent_psf.four_bed_90day}}</t>
  </si>
  <si>
    <t>{{v:comparables.#.avg_eff_rent_psf.studio_90day}}</t>
  </si>
  <si>
    <t>{{v:comparables.#.avg_eff_rent_psf.one_bed_90day}}</t>
  </si>
  <si>
    <t>{{v:comparables.#.avg_eff_rent_psf.two_bed_90day}}</t>
  </si>
  <si>
    <t>{{v:comparables.#.avg_eff_rent_psf.three_bed_90day}}</t>
  </si>
  <si>
    <t>{{v:comparables.#.avg_eff_rent_psf.four_bed_90day}}</t>
  </si>
  <si>
    <t>90-Day Avg Rents</t>
  </si>
  <si>
    <t>60-Day Avg Rents</t>
  </si>
  <si>
    <t>Net Effective Rents</t>
  </si>
  <si>
    <t>Avg Rents</t>
  </si>
  <si>
    <t>Note: Unit-Level Data includes ALL listings surveyed at the subject property and across the selected comps since June 2023.</t>
  </si>
  <si>
    <r>
      <t xml:space="preserve">60-Day Avg </t>
    </r>
    <r>
      <rPr>
        <rFont val="Calibri"/>
        <family val="2"/>
        <b/>
        <sz val="16"/>
        <u/>
        <scheme val="minor"/>
      </rPr>
      <t>Net Effective</t>
    </r>
    <r>
      <rPr>
        <rFont val="Calibri"/>
        <family val="2"/>
        <b/>
        <sz val="16"/>
        <scheme val="minor"/>
      </rPr>
      <t xml:space="preserve"> Rents</t>
    </r>
  </si>
  <si>
    <r>
      <t xml:space="preserve">90-Day Avg </t>
    </r>
    <r>
      <rPr>
        <rFont val="Calibri"/>
        <family val="2"/>
        <b/>
        <sz val="16"/>
        <u/>
        <scheme val="minor"/>
      </rPr>
      <t>Net Effective</t>
    </r>
    <r>
      <rPr>
        <rFont val="Calibri"/>
        <family val="2"/>
        <b/>
        <sz val="16"/>
        <scheme val="minor"/>
      </rPr>
      <t xml:space="preserve"> Rents</t>
    </r>
  </si>
  <si>
    <t>5BR PSF</t>
  </si>
  <si>
    <t>{{subject.avg_market_rent.five_bed_30day}}</t>
  </si>
  <si>
    <t>{{subject.avg_market_rent_psf.five_bed_30day}}</t>
  </si>
  <si>
    <t>{{v:comparables.#.avg_market_rent.five_bed_30day}}</t>
  </si>
  <si>
    <t>{{v:comparables.#.avg_market_rent_psf.five_bed_30day}}</t>
  </si>
  <si>
    <t xml:space="preserve">5BR </t>
  </si>
  <si>
    <t xml:space="preserve">5BR PSF </t>
  </si>
  <si>
    <t>{{subject.avg_effective_rent.five_bed_30day}}</t>
  </si>
  <si>
    <t>{{subject.avg_eff_rent_psf.five_bed_30day}}</t>
  </si>
  <si>
    <t>{{v:comparables.#.avg_effective_rent.five_bed_30day}}</t>
  </si>
  <si>
    <t>{{v:comparables.#.avg_eff_rent_psf.five_bed_30day}}</t>
  </si>
  <si>
    <t>{{subject.avg_effective_rent.five_bed_60day}}</t>
  </si>
  <si>
    <t>{{subject.avg_eff_rent_psf.five_bed_60day}}</t>
  </si>
  <si>
    <t>{{v:comparables.#.avg_effective_rent.five_bed_60day}}</t>
  </si>
  <si>
    <t>{{v:comparables.#.avg_eff_rent_psf.five_bed_60day}}</t>
  </si>
  <si>
    <t>{{subject.avg_market_rent.five_bed_60day}}</t>
  </si>
  <si>
    <t>{{subject.avg_market_rent_psf.five_bed_60day}}</t>
  </si>
  <si>
    <t>{{v:comparables.#.avg_market_rent.five_bed_60day}}</t>
  </si>
  <si>
    <t>{{v:comparables.#.avg_market_rent_psf.five_bed_60day}}</t>
  </si>
  <si>
    <t>{{subject.avg_market_rent.five_bed_90day}}</t>
  </si>
  <si>
    <t>{{subject.avg_market_rent_psf.five_bed_90day}}</t>
  </si>
  <si>
    <t>{{v:comparables.#.avg_market_rent.five_bed_90day}}</t>
  </si>
  <si>
    <t>{{v:comparables.#.avg_market_rent_psf.five_bed_90day}}</t>
  </si>
  <si>
    <t>{{subject.avg_effective_rent.five_bed_90day}}</t>
  </si>
  <si>
    <t>{{subject.avg_eff_rent_psf.five_bed_90day}}</t>
  </si>
  <si>
    <t>{{v:comparables.#.avg_effective_rent.five_bed_90day}}</t>
  </si>
  <si>
    <t>{{v:comparables.#.avg_eff_rent_psf.five_bed_90day}}</t>
  </si>
  <si>
    <t>Column Labels</t>
  </si>
  <si>
    <t xml:space="preserve"> Avg Effective Rent</t>
  </si>
  <si>
    <t>{{v:[subject.[{name},estimated_unit_mix.#.{name}].@fill|@flatten.#.name,comparables.#.[{name},estimated_unit_mix.#.{name}].@fill|@flatten.#.name].@flatten}}</t>
  </si>
  <si>
    <t>30-Day Avg Asking Rents</t>
  </si>
  <si>
    <t>Fees (as displayed on Fees &amp; Amenities tab on Hello Data website)</t>
  </si>
  <si>
    <t>Amenity Fee</t>
  </si>
  <si>
    <t>Dog Rent</t>
  </si>
  <si>
    <t>Dog Fee</t>
  </si>
  <si>
    <t>Dog Deposit</t>
  </si>
  <si>
    <t>Cat Rent</t>
  </si>
  <si>
    <t>Cat Fee</t>
  </si>
  <si>
    <t>Cat Deposit</t>
  </si>
  <si>
    <t>{{subject.fees.amenity_fee}}</t>
  </si>
  <si>
    <t>{{v:comparables.#.fees.application_fee}}</t>
  </si>
  <si>
    <t>{{v:comparables.#.fees.admin_fee}}</t>
  </si>
  <si>
    <t>{{v:comparables.#.fees.amenity_fee}}</t>
  </si>
  <si>
    <t>{{v:comparables.#.fees.storage_fee}}</t>
  </si>
  <si>
    <t>{{v:comparables.#.fees.dogs_monthly_rent}}</t>
  </si>
  <si>
    <t>{{v:comparables.#.fees.dogs_one_time_fee}}</t>
  </si>
  <si>
    <t>{{v:comparables.#.fees.dogs_deposit}}</t>
  </si>
  <si>
    <t>{{v:comparables.#.fees.cats_monthly_rent}}</t>
  </si>
  <si>
    <t>{{v:comparables.#.fees.cats_one_time_fee}}</t>
  </si>
  <si>
    <t>{{v:comparables.#.fees.cats_deposit}}</t>
  </si>
  <si>
    <t>{{v:comparables.#.fees.parking_covered}}</t>
  </si>
  <si>
    <t>{{v:comparables.#.fees.parking_garage}}</t>
  </si>
  <si>
    <t>{{v:comparables.#.fees.parking_surface_lot}}</t>
  </si>
  <si>
    <t>Current Special</t>
  </si>
  <si>
    <t>{{h:comparables.#.avg_effective_rent.all_30day}}</t>
  </si>
  <si>
    <t>{{h:comparables.#.avg_effective_rent.all_60day}}</t>
  </si>
  <si>
    <t>{{h:comparables.#.avg_effective_rent.all_90day}}</t>
  </si>
  <si>
    <t>Advertised Unit Amenities</t>
  </si>
  <si>
    <t>Detected Unit Amenities</t>
  </si>
  <si>
    <t>{{v:units.#.tags}}</t>
  </si>
  <si>
    <t>1 BR</t>
  </si>
  <si>
    <t>2 BR</t>
  </si>
  <si>
    <t>3 BR</t>
  </si>
  <si>
    <t>{{subject.management_company}}</t>
  </si>
  <si>
    <t>{{subject.property_website}}</t>
  </si>
  <si>
    <t>{{downloaded_at}}</t>
  </si>
  <si>
    <t>Report Date:</t>
  </si>
  <si>
    <t>Unit Type</t>
  </si>
  <si>
    <t># Leased</t>
  </si>
  <si>
    <t># New</t>
  </si>
  <si>
    <t>Leased Rents</t>
  </si>
  <si>
    <t>△</t>
  </si>
  <si>
    <t>New Listing Rents</t>
  </si>
  <si>
    <t>Active Listing Rents</t>
  </si>
  <si>
    <t># Active</t>
  </si>
  <si>
    <t xml:space="preserve">  Active Concessions</t>
  </si>
  <si>
    <t>Week of:</t>
  </si>
  <si>
    <t>Weekly Market Updates</t>
  </si>
  <si>
    <t>Note: Delta (△) figures show change from previous 7-day period.</t>
  </si>
  <si>
    <t>Leased Rent</t>
  </si>
  <si>
    <t>Last</t>
  </si>
  <si>
    <t>Days</t>
  </si>
  <si>
    <t>PSF</t>
  </si>
  <si>
    <t>Leased Rents (Rent Roll)</t>
  </si>
  <si>
    <t>Note: Leased Rents in the Estimated Rent Roll include rent data from June 2023 to present.</t>
  </si>
  <si>
    <t>Partial Baths</t>
  </si>
  <si>
    <t>{{v:units.#.partial_bath}}</t>
  </si>
  <si>
    <t>MILA</t>
  </si>
  <si>
    <t>SA</t>
  </si>
  <si>
    <t>Residence 06</t>
  </si>
  <si>
    <t>Residence 11</t>
  </si>
  <si>
    <t>Residence 12</t>
  </si>
  <si>
    <t>Residence 05</t>
  </si>
  <si>
    <t>Residence 03</t>
  </si>
  <si>
    <t>Residence 02</t>
  </si>
  <si>
    <t>Residence 09</t>
  </si>
  <si>
    <t>Residence 08</t>
  </si>
  <si>
    <t>Residence 04</t>
  </si>
  <si>
    <t>1G</t>
  </si>
  <si>
    <t>Residence 01</t>
  </si>
  <si>
    <t>Residence 07</t>
  </si>
  <si>
    <t>Residence 10</t>
  </si>
  <si>
    <t>Wolf Point West</t>
  </si>
  <si>
    <t>A-01.1</t>
  </si>
  <si>
    <t>A-02.1</t>
  </si>
  <si>
    <t>A-03.1</t>
  </si>
  <si>
    <t>A-09.1</t>
  </si>
  <si>
    <t>A-01</t>
  </si>
  <si>
    <t>A-04.1</t>
  </si>
  <si>
    <t>B-04.1</t>
  </si>
  <si>
    <t>AMLI River North</t>
  </si>
  <si>
    <t>Marquee at Block 37</t>
  </si>
  <si>
    <t>Studio x 03</t>
  </si>
  <si>
    <t>Studio x 21</t>
  </si>
  <si>
    <t>Convertible x 14</t>
  </si>
  <si>
    <t>Convertible x 12</t>
  </si>
  <si>
    <t>Studio x 19</t>
  </si>
  <si>
    <t>Convertible x 16</t>
  </si>
  <si>
    <t>1 Bedroom x 22</t>
  </si>
  <si>
    <t>1 Bedroom x 20</t>
  </si>
  <si>
    <t>1 Bedroom x 18</t>
  </si>
  <si>
    <t>1 Bedroom x 09</t>
  </si>
  <si>
    <t>1 Bedroom x 06</t>
  </si>
  <si>
    <t>1 Bedroom x 07</t>
  </si>
  <si>
    <t>1 Bedroom x 04</t>
  </si>
  <si>
    <t>1 Bedroom x 23</t>
  </si>
  <si>
    <t>1 Bedroom x 11</t>
  </si>
  <si>
    <t>1 Bedroom x 03</t>
  </si>
  <si>
    <t>2 Bedroom x 24</t>
  </si>
  <si>
    <t>2 Bedroom x 25</t>
  </si>
  <si>
    <t>3x3B</t>
  </si>
  <si>
    <t>Optima Signature</t>
  </si>
  <si>
    <t>Hubbard Place</t>
  </si>
  <si>
    <t>Millie on Michigan</t>
  </si>
  <si>
    <t>Convertible 09</t>
  </si>
  <si>
    <t>Convertible 09 - Accessible</t>
  </si>
  <si>
    <t>Convertible 07</t>
  </si>
  <si>
    <t>Convertible 04</t>
  </si>
  <si>
    <t>Convertible 08 - Accessible</t>
  </si>
  <si>
    <t>Convertible 08</t>
  </si>
  <si>
    <t>1 Bedroom 07a</t>
  </si>
  <si>
    <t>1 Bedroom 07b</t>
  </si>
  <si>
    <t>1 Bedroom 08b</t>
  </si>
  <si>
    <t>1 Bedroom 08 - Accessible</t>
  </si>
  <si>
    <t>1 Bedroom 06</t>
  </si>
  <si>
    <t>1 Bedroom 06 - Accessible</t>
  </si>
  <si>
    <t>1 Bedroom 03b - Accessible</t>
  </si>
  <si>
    <t>1 Bedroom 03a</t>
  </si>
  <si>
    <t>1 Bedroom 03d - Accessible</t>
  </si>
  <si>
    <t>1 Bedroom 03c</t>
  </si>
  <si>
    <t>1 Bedroom 10 - Accessible</t>
  </si>
  <si>
    <t>1 Bedroom 10a</t>
  </si>
  <si>
    <t>1 Bedroom 02a</t>
  </si>
  <si>
    <t>1 Bedroom 02b</t>
  </si>
  <si>
    <t>1 Bedroom 02a - Accessible</t>
  </si>
  <si>
    <t>1 Bedroom 02d</t>
  </si>
  <si>
    <t>1 Bedroom 02b - Accessible</t>
  </si>
  <si>
    <t>1 Bedroom 02e - Accessible</t>
  </si>
  <si>
    <t>1 Bedroom 02f</t>
  </si>
  <si>
    <t>2 Bedroom 05a</t>
  </si>
  <si>
    <t>2 Bedroom 05a - Accessible</t>
  </si>
  <si>
    <t>2 Bedroom 05b</t>
  </si>
  <si>
    <t>2 Bedroom 05c</t>
  </si>
  <si>
    <t>2 Bedroom 05c - Accessible</t>
  </si>
  <si>
    <t>2 Bedroom 01c</t>
  </si>
  <si>
    <t>2 Bedroom 01b</t>
  </si>
  <si>
    <t>2 Bedroom 01a</t>
  </si>
  <si>
    <t>2 Bedroom 01a - Accessible</t>
  </si>
  <si>
    <t>2 Bedroom 03</t>
  </si>
  <si>
    <t>The Gallery on Wells</t>
  </si>
  <si>
    <t>One Bedroom (887 sf)</t>
  </si>
  <si>
    <t>One Bedroom (890 sf)</t>
  </si>
  <si>
    <t>One Bedroom (951 sf)</t>
  </si>
  <si>
    <t>Coast at Lakeshore East</t>
  </si>
  <si>
    <t>Cx1A</t>
  </si>
  <si>
    <t>Sx1A-ADA</t>
  </si>
  <si>
    <t>Sx1A</t>
  </si>
  <si>
    <t>Sx1C</t>
  </si>
  <si>
    <t>Sx1B</t>
  </si>
  <si>
    <t>Sx1B-ADA</t>
  </si>
  <si>
    <t>Cx1B</t>
  </si>
  <si>
    <t>Cx1B-ADA</t>
  </si>
  <si>
    <t>1x1L-ADA</t>
  </si>
  <si>
    <t>1x1J-ADA</t>
  </si>
  <si>
    <t>1x1K-ADA</t>
  </si>
  <si>
    <t>1x1A-ADA</t>
  </si>
  <si>
    <t>1x1M-ADA</t>
  </si>
  <si>
    <t>1x1B-ADA</t>
  </si>
  <si>
    <t>1x1D-ADA</t>
  </si>
  <si>
    <t>1x1D</t>
  </si>
  <si>
    <t>1x1G-ADA</t>
  </si>
  <si>
    <t>1x1C-ADA</t>
  </si>
  <si>
    <t>1x1F-ADA</t>
  </si>
  <si>
    <t>1x1I-ADA</t>
  </si>
  <si>
    <t>1x1H-ADA</t>
  </si>
  <si>
    <t>2x1A-ADA</t>
  </si>
  <si>
    <t>2x1A</t>
  </si>
  <si>
    <t>2x2.5A Penthouse</t>
  </si>
  <si>
    <t>2x2G-ADA</t>
  </si>
  <si>
    <t>2x2A</t>
  </si>
  <si>
    <t>2x2A-ADA</t>
  </si>
  <si>
    <t>2x2E-ADA</t>
  </si>
  <si>
    <t>2x2F Penthouse</t>
  </si>
  <si>
    <t>3x2A</t>
  </si>
  <si>
    <t>OneEleven</t>
  </si>
  <si>
    <t>3 Bed 3 Bath PH</t>
  </si>
  <si>
    <t>All</t>
  </si>
  <si>
    <t>Timeframe</t>
  </si>
  <si>
    <t>Unit Amenity</t>
  </si>
  <si>
    <t>[Select Amenity]</t>
  </si>
  <si>
    <t>Note: Select unit amenitiy and timeframe above to update data in table.</t>
  </si>
  <si>
    <t>Metric</t>
  </si>
  <si>
    <t>Convertible x 10</t>
  </si>
  <si>
    <t/>
  </si>
  <si>
    <t>Computed based on operating expense data from similar multifamily properties, controlling for differences in size, age, quality, amenities and location. Note: The high and low values shown for each expense line item represent a 90% confidence interval—meaning we expect the actual value to fall within that range 90% of the time. However, the high and low totals are not simply the sum of the individual line item ranges. Instead, they reflect the overall 90% confidence interval for total expenses, accounting for how different items may vary together rather than independently.</t>
  </si>
  <si>
    <t>{{v:[subject.[{partial_bath},estimated_unit_mix.#.{partial_bath}].@fill|@flatten.#.partial_bath,comparables.#.[{partial_bath},estimated_unit_mix.#.{partial_bath}].@fill|@flatten.#.partial_bath].@flatten}}</t>
  </si>
  <si>
    <t>Value-Add Amenity Analysis</t>
  </si>
  <si>
    <t>Fees &amp; Amenities</t>
  </si>
  <si>
    <t>Chunk Rent</t>
  </si>
  <si>
    <t>Amenity</t>
  </si>
  <si>
    <t>Active Listings</t>
  </si>
  <si>
    <t xml:space="preserve">  Day Leased Rents</t>
  </si>
  <si>
    <t>Half Baths</t>
  </si>
  <si>
    <t># Listings</t>
  </si>
  <si>
    <t>Leasing Trends by Property</t>
  </si>
  <si>
    <t>Leasing Trends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</si>
  <si>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oncession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</si>
  <si>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from_date}}</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</si>
  <si>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to_date}}</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</si>
  <si>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free_month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</si>
  <si>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ondition_deadline}}</t>
  </si>
  <si>
    <t xml:space="preserve">1BR </t>
  </si>
  <si>
    <t>Note: Figures only utilize data from closed listings. Click pivot table to edit variables.</t>
  </si>
  <si>
    <t>Rent Trends by Unit Type and Sqft</t>
  </si>
  <si>
    <t>30-Day Trend Analysis. Note: Figures and charts on the 30-Day Trends tab include active listings and listings that closed in the last 30-Days.</t>
  </si>
  <si>
    <t>Year 1 Cash on Cash</t>
  </si>
  <si>
    <t>Hillendale Gate Apartments</t>
  </si>
  <si>
    <t>6612 Wycombe Way, Baltimore, MD 21234</t>
  </si>
  <si>
    <t>Tall Oaks Apartments</t>
  </si>
  <si>
    <t>Towson Crossing Apartment Homes</t>
  </si>
  <si>
    <t>Northern Village Apartments I</t>
  </si>
  <si>
    <t>Dutch Village</t>
  </si>
  <si>
    <t>The Metropolitan of Baltimore</t>
  </si>
  <si>
    <t>Renaissance Club</t>
  </si>
  <si>
    <t>Park Crescent</t>
  </si>
  <si>
    <t>1002 Pleasant Oaks Road, Baltimore, MD 21234</t>
  </si>
  <si>
    <t>34 Dowling Circle, Baltimore, MD 21234</t>
  </si>
  <si>
    <t>6624 Pioneer Drive, Baltimore, MD 21214</t>
  </si>
  <si>
    <t>2349 Perring Manor Road, Baltimore, MD 21234</t>
  </si>
  <si>
    <t>6101 Loch Raven Boulevard, Baltimore, MD 21239</t>
  </si>
  <si>
    <t>1712 Waverly Way, Baltimore, MD 21239</t>
  </si>
  <si>
    <t>6535 Falkirk Road, Baltimore, MD 21239</t>
  </si>
  <si>
    <t>Hendersen Webb</t>
  </si>
  <si>
    <t>Hendersen Webb Inc</t>
  </si>
  <si>
    <t>Morgan Properties</t>
  </si>
  <si>
    <t>Habitat America</t>
  </si>
  <si>
    <t>Ross Companies</t>
  </si>
  <si>
    <t>Rocks Engineering Company</t>
  </si>
  <si>
    <t>Tryko Partners</t>
  </si>
  <si>
    <t>Maryland Management</t>
  </si>
  <si>
    <t>www.towsoncrossingapartments.com</t>
  </si>
  <si>
    <t>http://www.rentnorthernvillage.com/</t>
  </si>
  <si>
    <t>https://www.dutchvillageapt.com/</t>
  </si>
  <si>
    <t>https://metropolitanofbaltimore.com/</t>
  </si>
  <si>
    <t>https://www.rcapts.com/</t>
  </si>
  <si>
    <t>http://www.parkcrescentapts.com/</t>
  </si>
  <si>
    <t>1002 Pleasant Oaks Road</t>
  </si>
  <si>
    <t>34 Dowling Circle</t>
  </si>
  <si>
    <t>6624 Pioneer Drive</t>
  </si>
  <si>
    <t>2349 Perring Manor Road</t>
  </si>
  <si>
    <t>6101 Loch Raven Boulevard</t>
  </si>
  <si>
    <t>1712 Waverly Way</t>
  </si>
  <si>
    <t>6535 Falkirk Road</t>
  </si>
  <si>
    <t>6612 Wycombe Way</t>
  </si>
  <si>
    <t>1 Bedroom</t>
  </si>
  <si>
    <t>1 Bedroom with Den</t>
  </si>
  <si>
    <t>2 Bedroom</t>
  </si>
  <si>
    <t>One Bedroom</t>
  </si>
  <si>
    <t>One Bedroom - 728 sqft</t>
  </si>
  <si>
    <t>One Bedroom w/ Den - 830 sqft</t>
  </si>
  <si>
    <t>One Bedroom w/ Den</t>
  </si>
  <si>
    <t>Two Bedroom - 975 sqft</t>
  </si>
  <si>
    <t>Two Bedroom</t>
  </si>
  <si>
    <t>Two Bedroom 1 Bath - 975 sqft</t>
  </si>
  <si>
    <t>Two Bedroom Terrace - 1,020 sqft</t>
  </si>
  <si>
    <t>Two Bedroom Terrace</t>
  </si>
  <si>
    <t>One Bedroom Apartment</t>
  </si>
  <si>
    <t>One Bedroom Townhouse</t>
  </si>
  <si>
    <t>1Bed, 1Bath Flat</t>
  </si>
  <si>
    <t>1 Bed, 1 Bath Townhome</t>
  </si>
  <si>
    <t>2 Bed, 1 Bath Flat</t>
  </si>
  <si>
    <t>2 Bed, 1 Bath Townhome</t>
  </si>
  <si>
    <t>3 Bed, 1 Bath Townhome</t>
  </si>
  <si>
    <t>Efficiency</t>
  </si>
  <si>
    <t>One Bedroom Standard</t>
  </si>
  <si>
    <t>One Bedroom Deluxe</t>
  </si>
  <si>
    <t>Two Bedroom Junior</t>
  </si>
  <si>
    <t>Two Bedroom Standard</t>
  </si>
  <si>
    <t>Two Bedroom Grande</t>
  </si>
  <si>
    <t>Two Bedroom Deluxe</t>
  </si>
  <si>
    <t>Two Bedroom Executive</t>
  </si>
  <si>
    <t>The Ferara</t>
  </si>
  <si>
    <t>1 Bedroom Standard (A2)</t>
  </si>
  <si>
    <t>1 Bedroom Terrace (A2)</t>
  </si>
  <si>
    <t>The Verona</t>
  </si>
  <si>
    <t>1BRA2 - 1 Bedroom Standard (A2</t>
  </si>
  <si>
    <t>Verona Renovated</t>
  </si>
  <si>
    <t>The Milan</t>
  </si>
  <si>
    <t>1 Bedroom Deluxe (A1)</t>
  </si>
  <si>
    <t>1 Bedroom Grand (A3)</t>
  </si>
  <si>
    <t>1BGA3 - 1 Bedroom Grand (A3)</t>
  </si>
  <si>
    <t>Sienna Renovated</t>
  </si>
  <si>
    <t>The Siena</t>
  </si>
  <si>
    <t>2 Bedroom Standard (B2)</t>
  </si>
  <si>
    <t>2 Bedroom Standard (B3)</t>
  </si>
  <si>
    <t>2 Bedroom Terrace (B1)</t>
  </si>
  <si>
    <t>2 Bedroom Terrace (B4)</t>
  </si>
  <si>
    <t>2 Bedroom Standard (B4)</t>
  </si>
  <si>
    <t>2 Bedroom Townhome (C1)</t>
  </si>
  <si>
    <t>2BRB2 - 2 Bedroom Standard (B2</t>
  </si>
  <si>
    <t>The Pisa</t>
  </si>
  <si>
    <t xml:space="preserve">The Naples - Terrace </t>
  </si>
  <si>
    <t>The Florence - Terrace</t>
  </si>
  <si>
    <t>The Florence</t>
  </si>
  <si>
    <t>2BTB4 - 2 Bedroom Terrace (B4)</t>
  </si>
  <si>
    <t>2BRB4 - 2 Bedroom Standard (B4</t>
  </si>
  <si>
    <t>2BRB3 - 2 Bedroom Standard (B3</t>
  </si>
  <si>
    <t>2BTB1 - 2 Bedroom Terrace (B1)</t>
  </si>
  <si>
    <t>The Venice</t>
  </si>
  <si>
    <t>The Venice - Renovated</t>
  </si>
  <si>
    <t>The Florence - Terrace, Renovated</t>
  </si>
  <si>
    <t>Naples-Renovated</t>
  </si>
  <si>
    <t>The Pisa - Renovated</t>
  </si>
  <si>
    <t>Florence Renovated</t>
  </si>
  <si>
    <t>The Townhouse</t>
  </si>
  <si>
    <t>The Townhouse - Renovated</t>
  </si>
  <si>
    <t>3 Bedroom Standard</t>
  </si>
  <si>
    <t>1 Bedroom Deluxe</t>
  </si>
  <si>
    <t>2 Bedroom Deluxe</t>
  </si>
  <si>
    <t>2 Bedroom Great Room</t>
  </si>
  <si>
    <t>DB03A2</t>
  </si>
  <si>
    <t>DL18B2</t>
  </si>
  <si>
    <t>DB17A1</t>
  </si>
  <si>
    <t>HS13B4</t>
  </si>
  <si>
    <t>DL28A1</t>
  </si>
  <si>
    <t>DL06A1</t>
  </si>
  <si>
    <t>HS00A1</t>
  </si>
  <si>
    <t>DL18T3</t>
  </si>
  <si>
    <t>DL04A1</t>
  </si>
  <si>
    <t>DW34T1</t>
  </si>
  <si>
    <t>AT04B1</t>
  </si>
  <si>
    <t>DB11A4</t>
  </si>
  <si>
    <t>HS11B2</t>
  </si>
  <si>
    <t>DL34T3</t>
  </si>
  <si>
    <t>DB17T1</t>
  </si>
  <si>
    <t>DL18A1</t>
  </si>
  <si>
    <t>DL06T3</t>
  </si>
  <si>
    <t>DW34B1</t>
  </si>
  <si>
    <t>DB11A2</t>
  </si>
  <si>
    <t>DL14B4</t>
  </si>
  <si>
    <t>DL04B4</t>
  </si>
  <si>
    <t>HS03B4</t>
  </si>
  <si>
    <t>DB11T3</t>
  </si>
  <si>
    <t>DL14T3</t>
  </si>
  <si>
    <t>DL28B4</t>
  </si>
  <si>
    <t>DB11B1</t>
  </si>
  <si>
    <t>DL28A2</t>
  </si>
  <si>
    <t>AT10A2</t>
  </si>
  <si>
    <t>DL28B1</t>
  </si>
  <si>
    <t>DL29T1</t>
  </si>
  <si>
    <t>DW32A4</t>
  </si>
  <si>
    <t>HS00B4</t>
  </si>
  <si>
    <t>AT12A4</t>
  </si>
  <si>
    <t>HS00T1</t>
  </si>
  <si>
    <t>DW34B4</t>
  </si>
  <si>
    <t>DW34T3</t>
  </si>
  <si>
    <t>DL12B4</t>
  </si>
  <si>
    <t>DB17A2</t>
  </si>
  <si>
    <t>DW32A1</t>
  </si>
  <si>
    <t>DL28T1</t>
  </si>
  <si>
    <t>AT10B2</t>
  </si>
  <si>
    <t>AT10B1</t>
  </si>
  <si>
    <t>LF03T3</t>
  </si>
  <si>
    <t>HS03A1</t>
  </si>
  <si>
    <t>DL12B2</t>
  </si>
  <si>
    <t>DL24T1</t>
  </si>
  <si>
    <t>DL18A4</t>
  </si>
  <si>
    <t>DL24T3</t>
  </si>
  <si>
    <t>DL04B1</t>
  </si>
  <si>
    <t>LF03A1</t>
  </si>
  <si>
    <t>DL29B2</t>
  </si>
  <si>
    <t>HS13A1</t>
  </si>
  <si>
    <t>AT04A1</t>
  </si>
  <si>
    <t>HS03A4</t>
  </si>
  <si>
    <t>HS05B1</t>
  </si>
  <si>
    <t>AT04B4</t>
  </si>
  <si>
    <t>DL24A1</t>
  </si>
  <si>
    <t>LF03B2</t>
  </si>
  <si>
    <t>AT12T1</t>
  </si>
  <si>
    <t>DL12A4</t>
  </si>
  <si>
    <t>HS03B1</t>
  </si>
  <si>
    <t>HS11B4</t>
  </si>
  <si>
    <t>HS13B1</t>
  </si>
  <si>
    <t>HS03B2</t>
  </si>
  <si>
    <t>DB01A1</t>
  </si>
  <si>
    <t>DW32A2</t>
  </si>
  <si>
    <t>DL24A2</t>
  </si>
  <si>
    <t>DB09A2</t>
  </si>
  <si>
    <t>DB09B1</t>
  </si>
  <si>
    <t>DL06B1</t>
  </si>
  <si>
    <t>HS11A1</t>
  </si>
  <si>
    <t>DB09A1</t>
  </si>
  <si>
    <t>DB19T3</t>
  </si>
  <si>
    <t>HS05A1</t>
  </si>
  <si>
    <t>AT04T1</t>
  </si>
  <si>
    <t>AT12B4</t>
  </si>
  <si>
    <t>HS03T3</t>
  </si>
  <si>
    <t>DL34B2</t>
  </si>
  <si>
    <t>DL34B4</t>
  </si>
  <si>
    <t>DL12A1</t>
  </si>
  <si>
    <t>HS00B2</t>
  </si>
  <si>
    <t>LF03B4</t>
  </si>
  <si>
    <t>HS11T1</t>
  </si>
  <si>
    <t>DL12A2</t>
  </si>
  <si>
    <t>DL14A2</t>
  </si>
  <si>
    <t>DL06B4</t>
  </si>
  <si>
    <t>HS13T1</t>
  </si>
  <si>
    <t>AT12T3</t>
  </si>
  <si>
    <t>DL28A4</t>
  </si>
  <si>
    <t>DL04T1</t>
  </si>
  <si>
    <t>DB11B4</t>
  </si>
  <si>
    <t>AT10A4</t>
  </si>
  <si>
    <t>HS03A2</t>
  </si>
  <si>
    <t>DL29T3</t>
  </si>
  <si>
    <t>DW32B2</t>
  </si>
  <si>
    <t>DL29A4</t>
  </si>
  <si>
    <t>DB19B1</t>
  </si>
  <si>
    <t>HS03T1</t>
  </si>
  <si>
    <t>DL33T2</t>
  </si>
  <si>
    <t>HS11A3</t>
  </si>
  <si>
    <t>DL29A3</t>
  </si>
  <si>
    <t>HS11B3</t>
  </si>
  <si>
    <t>DB11B3</t>
  </si>
  <si>
    <t>DW32T2</t>
  </si>
  <si>
    <t>DB11A3</t>
  </si>
  <si>
    <t>DB17A3</t>
  </si>
  <si>
    <t>DL06A3</t>
  </si>
  <si>
    <t>HS00A3</t>
  </si>
  <si>
    <t>LF03T2</t>
  </si>
  <si>
    <t>DL06B3</t>
  </si>
  <si>
    <t>DL06T2</t>
  </si>
  <si>
    <t>DL28T2</t>
  </si>
  <si>
    <t>DL12A3</t>
  </si>
  <si>
    <t>LF03B3</t>
  </si>
  <si>
    <t>HS03B3</t>
  </si>
  <si>
    <t>DW32B3</t>
  </si>
  <si>
    <t>DB11T2</t>
  </si>
  <si>
    <t>DL24T2</t>
  </si>
  <si>
    <t>DW34T2</t>
  </si>
  <si>
    <t>AT10A3</t>
  </si>
  <si>
    <t>DL04A3</t>
  </si>
  <si>
    <t>DB17T2</t>
  </si>
  <si>
    <t>DL34T2</t>
  </si>
  <si>
    <t>DL18B3</t>
  </si>
  <si>
    <t>DL28A3</t>
  </si>
  <si>
    <t>HS13B3</t>
  </si>
  <si>
    <t>DL29B3</t>
  </si>
  <si>
    <t>HS03T2</t>
  </si>
  <si>
    <t>DB09T2</t>
  </si>
  <si>
    <t>AT04T2</t>
  </si>
  <si>
    <t>HS13T2</t>
  </si>
  <si>
    <t>AT12B3</t>
  </si>
  <si>
    <t>DL14T2</t>
  </si>
  <si>
    <t>HS05A3</t>
  </si>
  <si>
    <t>DB19T2</t>
  </si>
  <si>
    <t>HS11T2</t>
  </si>
  <si>
    <t>DB09B3</t>
  </si>
  <si>
    <t>AT10T2</t>
  </si>
  <si>
    <t>DL29T2</t>
  </si>
  <si>
    <t>HS03A3</t>
  </si>
  <si>
    <t>DL34A3</t>
  </si>
  <si>
    <t>DL36T2</t>
  </si>
  <si>
    <t>DL30A2</t>
  </si>
  <si>
    <t>DB03C2</t>
  </si>
  <si>
    <t>DL32A2</t>
  </si>
  <si>
    <t>HS09B2</t>
  </si>
  <si>
    <t>DB21B2</t>
  </si>
  <si>
    <t>LF05B2</t>
  </si>
  <si>
    <t>DL27A1</t>
  </si>
  <si>
    <t>DL10A2</t>
  </si>
  <si>
    <t>AT08A1</t>
  </si>
  <si>
    <t>DL32T1</t>
  </si>
  <si>
    <t>DL20T1</t>
  </si>
  <si>
    <t>DB07B2</t>
  </si>
  <si>
    <t>DL02B1</t>
  </si>
  <si>
    <t>AT02T1</t>
  </si>
  <si>
    <t>AT02A1</t>
  </si>
  <si>
    <t>DL08T2</t>
  </si>
  <si>
    <t>DB15A2</t>
  </si>
  <si>
    <t>DL35B2</t>
  </si>
  <si>
    <t>DB21T1</t>
  </si>
  <si>
    <t>DL16T2</t>
  </si>
  <si>
    <t>HS15T2</t>
  </si>
  <si>
    <t>AT06T1</t>
  </si>
  <si>
    <t>AT06T2</t>
  </si>
  <si>
    <t>HS09T1</t>
  </si>
  <si>
    <t>AT02B1</t>
  </si>
  <si>
    <t>DL16A1</t>
  </si>
  <si>
    <t>DW36B2</t>
  </si>
  <si>
    <t>DL16B1</t>
  </si>
  <si>
    <t>HS07A1</t>
  </si>
  <si>
    <t>DB21A1</t>
  </si>
  <si>
    <t>DL27B1</t>
  </si>
  <si>
    <t>DB15B1</t>
  </si>
  <si>
    <t>LF01T1</t>
  </si>
  <si>
    <t>DB13B2</t>
  </si>
  <si>
    <t>AT14A1</t>
  </si>
  <si>
    <t>DB03B2</t>
  </si>
  <si>
    <t>DW36A1</t>
  </si>
  <si>
    <t>HS09A2</t>
  </si>
  <si>
    <t>DB05A1</t>
  </si>
  <si>
    <t>DB13A1</t>
  </si>
  <si>
    <t>DL26A1</t>
  </si>
  <si>
    <t>DL32A1</t>
  </si>
  <si>
    <t>HS07B1</t>
  </si>
  <si>
    <t>DB13A2</t>
  </si>
  <si>
    <t>DW30A1</t>
  </si>
  <si>
    <t>AT02B2</t>
  </si>
  <si>
    <t>HS15T1</t>
  </si>
  <si>
    <t>DL35A1</t>
  </si>
  <si>
    <t>DL31B1</t>
  </si>
  <si>
    <t>AT14B2</t>
  </si>
  <si>
    <t>AT14T2</t>
  </si>
  <si>
    <t>AT14T1</t>
  </si>
  <si>
    <t>DL31T1</t>
  </si>
  <si>
    <t>DL10T1</t>
  </si>
  <si>
    <t>AT08T1</t>
  </si>
  <si>
    <t>AT02T2</t>
  </si>
  <si>
    <t>DB07T1</t>
  </si>
  <si>
    <t>DB07T2</t>
  </si>
  <si>
    <t>DL30B2</t>
  </si>
  <si>
    <t>DL35A2</t>
  </si>
  <si>
    <t>DB01B2</t>
  </si>
  <si>
    <t>DB15T2</t>
  </si>
  <si>
    <t>DB15T1</t>
  </si>
  <si>
    <t>DB01A2</t>
  </si>
  <si>
    <t>DL22T2</t>
  </si>
  <si>
    <t>LF01B1</t>
  </si>
  <si>
    <t>DW30B2</t>
  </si>
  <si>
    <t>AT06B1</t>
  </si>
  <si>
    <t>DL02B2</t>
  </si>
  <si>
    <t>DL08B2</t>
  </si>
  <si>
    <t>DB15B2</t>
  </si>
  <si>
    <t>DB21B1</t>
  </si>
  <si>
    <t>HS07B2</t>
  </si>
  <si>
    <t>DL30T2</t>
  </si>
  <si>
    <t>DB13T2</t>
  </si>
  <si>
    <t>DL30A1</t>
  </si>
  <si>
    <t>DB13B1</t>
  </si>
  <si>
    <t>DL22B2</t>
  </si>
  <si>
    <t>LF01A1</t>
  </si>
  <si>
    <t>DW30B1</t>
  </si>
  <si>
    <t>HS01A2</t>
  </si>
  <si>
    <t>DL31B2</t>
  </si>
  <si>
    <t>DL26B1</t>
  </si>
  <si>
    <t>DL35T1</t>
  </si>
  <si>
    <t>AT08A2</t>
  </si>
  <si>
    <t>HS01T2</t>
  </si>
  <si>
    <t>HS15B2</t>
  </si>
  <si>
    <t>DL02T1</t>
  </si>
  <si>
    <t>DL36B2</t>
  </si>
  <si>
    <t>HS15B1</t>
  </si>
  <si>
    <t>DL16B2</t>
  </si>
  <si>
    <t>DL22A2</t>
  </si>
  <si>
    <t>DW30A2</t>
  </si>
  <si>
    <t>DL22T1</t>
  </si>
  <si>
    <t>HS09T2</t>
  </si>
  <si>
    <t>DL26T1</t>
  </si>
  <si>
    <t>HS15A1</t>
  </si>
  <si>
    <t>HS07A2</t>
  </si>
  <si>
    <t>DL08B1</t>
  </si>
  <si>
    <t>DL27T1</t>
  </si>
  <si>
    <t>DW36T1</t>
  </si>
  <si>
    <t>DL08A2</t>
  </si>
  <si>
    <t>DL36A2</t>
  </si>
  <si>
    <t>DL32B2</t>
  </si>
  <si>
    <t>LF01B2</t>
  </si>
  <si>
    <t>DL27B2</t>
  </si>
  <si>
    <t>AT06A2</t>
  </si>
  <si>
    <t>LF05B1</t>
  </si>
  <si>
    <t>DL16T1</t>
  </si>
  <si>
    <t>DL10A1</t>
  </si>
  <si>
    <t>DL26B2</t>
  </si>
  <si>
    <t>AT08T2</t>
  </si>
  <si>
    <t>DL20A1</t>
  </si>
  <si>
    <t>DL20A2</t>
  </si>
  <si>
    <t>HS09B1</t>
  </si>
  <si>
    <t>DL36A1</t>
  </si>
  <si>
    <t>DB03C1</t>
  </si>
  <si>
    <t>DL20B1</t>
  </si>
  <si>
    <t>HS01T1</t>
  </si>
  <si>
    <t>AT06A1</t>
  </si>
  <si>
    <t>DB05B2</t>
  </si>
  <si>
    <t>DB07A2</t>
  </si>
  <si>
    <t>DB07A1</t>
  </si>
  <si>
    <t>DW30T2</t>
  </si>
  <si>
    <t>AT02A2</t>
  </si>
  <si>
    <t>DL31A1</t>
  </si>
  <si>
    <t>HS07T2</t>
  </si>
  <si>
    <t>DL08A1</t>
  </si>
  <si>
    <t>LF01A2</t>
  </si>
  <si>
    <t>DB03T1</t>
  </si>
  <si>
    <t>DB05T1</t>
  </si>
  <si>
    <t>MC-6840</t>
  </si>
  <si>
    <t>MC-6910</t>
  </si>
  <si>
    <t>MC-6848</t>
  </si>
  <si>
    <t>MC-6984</t>
  </si>
  <si>
    <t>MC-6934</t>
  </si>
  <si>
    <t>MC-6808</t>
  </si>
  <si>
    <t>MC-7272</t>
  </si>
  <si>
    <t>MC-7122</t>
  </si>
  <si>
    <t>MC-6868</t>
  </si>
  <si>
    <t>MC-6812</t>
  </si>
  <si>
    <t>MC-6874</t>
  </si>
  <si>
    <t>MC-7100</t>
  </si>
  <si>
    <t>MC-7250</t>
  </si>
  <si>
    <t>MC-6816</t>
  </si>
  <si>
    <t>MC-7238</t>
  </si>
  <si>
    <t>MC-7278</t>
  </si>
  <si>
    <t>MC-7154</t>
  </si>
  <si>
    <t>MC-6938</t>
  </si>
  <si>
    <t>MC-7106</t>
  </si>
  <si>
    <t>MC-6940</t>
  </si>
  <si>
    <t>MC-7130</t>
  </si>
  <si>
    <t>MC-6828</t>
  </si>
  <si>
    <t>MC-6824</t>
  </si>
  <si>
    <t>MC-7068</t>
  </si>
  <si>
    <t>MC-6852</t>
  </si>
  <si>
    <t>MC-6850</t>
  </si>
  <si>
    <t>MC-6988</t>
  </si>
  <si>
    <t>MC-6930</t>
  </si>
  <si>
    <t>MC-7240</t>
  </si>
  <si>
    <t>MC-6916</t>
  </si>
  <si>
    <t>MC-7090</t>
  </si>
  <si>
    <t>MC-7082</t>
  </si>
  <si>
    <t>MC-7058</t>
  </si>
  <si>
    <t>MC-6844</t>
  </si>
  <si>
    <t>MC-6986</t>
  </si>
  <si>
    <t>MC-6870</t>
  </si>
  <si>
    <t>MC-6942</t>
  </si>
  <si>
    <t>MC-6830</t>
  </si>
  <si>
    <t>MC-6908</t>
  </si>
  <si>
    <t>MC-7246</t>
  </si>
  <si>
    <t>MC-6906</t>
  </si>
  <si>
    <t>MC-7102</t>
  </si>
  <si>
    <t>MC-7086</t>
  </si>
  <si>
    <t>MC-6822</t>
  </si>
  <si>
    <t>MC-7156</t>
  </si>
  <si>
    <t>MC-7134</t>
  </si>
  <si>
    <t>MC-7110</t>
  </si>
  <si>
    <t>MC-7114</t>
  </si>
  <si>
    <t>MC-7242</t>
  </si>
  <si>
    <t>MC-7166</t>
  </si>
  <si>
    <t>MC-6914</t>
  </si>
  <si>
    <t>MC-6860</t>
  </si>
  <si>
    <t>MC-6854</t>
  </si>
  <si>
    <t>MC-7164</t>
  </si>
  <si>
    <t>MC-7264</t>
  </si>
  <si>
    <t>MC-7146</t>
  </si>
  <si>
    <t>MC-6856</t>
  </si>
  <si>
    <t>MC-7052</t>
  </si>
  <si>
    <t>MC-7142</t>
  </si>
  <si>
    <t>MC-7162</t>
  </si>
  <si>
    <t>MC-7244</t>
  </si>
  <si>
    <t>MC-7096</t>
  </si>
  <si>
    <t>MC-6924</t>
  </si>
  <si>
    <t>MC-6920</t>
  </si>
  <si>
    <t>MC-6980</t>
  </si>
  <si>
    <t>MC-7282</t>
  </si>
  <si>
    <t>MC-6872</t>
  </si>
  <si>
    <t>MC-7054</t>
  </si>
  <si>
    <t>MC-6814</t>
  </si>
  <si>
    <t>MC-6842</t>
  </si>
  <si>
    <t>MC-7118</t>
  </si>
  <si>
    <t>MC-7078</t>
  </si>
  <si>
    <t>MC-6936</t>
  </si>
  <si>
    <t>MC-6884</t>
  </si>
  <si>
    <t>MC-7132</t>
  </si>
  <si>
    <t>MC-7056</t>
  </si>
  <si>
    <t>MC-7140</t>
  </si>
  <si>
    <t>MC-6928</t>
  </si>
  <si>
    <t>MC-6894</t>
  </si>
  <si>
    <t>MC-6932</t>
  </si>
  <si>
    <t>MC-7088</t>
  </si>
  <si>
    <t>MC-6838</t>
  </si>
  <si>
    <t>MC-7104</t>
  </si>
  <si>
    <t>MC-6978</t>
  </si>
  <si>
    <t>MC-7270</t>
  </si>
  <si>
    <t>MC-7274</t>
  </si>
  <si>
    <t>MC-6866</t>
  </si>
  <si>
    <t>MC-7116</t>
  </si>
  <si>
    <t>MC-6904</t>
  </si>
  <si>
    <t>MC-6902</t>
  </si>
  <si>
    <t>MC-6834</t>
  </si>
  <si>
    <t>MC-7108</t>
  </si>
  <si>
    <t>MC-7076</t>
  </si>
  <si>
    <t>MC-7268</t>
  </si>
  <si>
    <t>MC-7276</t>
  </si>
  <si>
    <t>MC-6882</t>
  </si>
  <si>
    <t>MC-7080</t>
  </si>
  <si>
    <t>MC-6864</t>
  </si>
  <si>
    <t>MC-7072</t>
  </si>
  <si>
    <t>MC-6900</t>
  </si>
  <si>
    <t>MC-7266</t>
  </si>
  <si>
    <t>MC-6886</t>
  </si>
  <si>
    <t>MC-7280</t>
  </si>
  <si>
    <t>MC-6862</t>
  </si>
  <si>
    <t>MC-6858</t>
  </si>
  <si>
    <t>MC-7120</t>
  </si>
  <si>
    <t>MC-6846</t>
  </si>
  <si>
    <t>MC-7144</t>
  </si>
  <si>
    <t>MC-7138</t>
  </si>
  <si>
    <t>MC-7150</t>
  </si>
  <si>
    <t>MC-6898</t>
  </si>
  <si>
    <t>MC-7262</t>
  </si>
  <si>
    <t>MC-7084</t>
  </si>
  <si>
    <t>MC-6818</t>
  </si>
  <si>
    <t>MC-6826</t>
  </si>
  <si>
    <t>MC-7092</t>
  </si>
  <si>
    <t>MC-7094</t>
  </si>
  <si>
    <t>MC-7152</t>
  </si>
  <si>
    <t>MC-6832</t>
  </si>
  <si>
    <t>MC-7070</t>
  </si>
  <si>
    <t>MC-7136</t>
  </si>
  <si>
    <t>MC-7248</t>
  </si>
  <si>
    <t>MC-7112</t>
  </si>
  <si>
    <t>MC-7131</t>
  </si>
  <si>
    <t>MC-7167</t>
  </si>
  <si>
    <t>PM-2383</t>
  </si>
  <si>
    <t>PM-2419</t>
  </si>
  <si>
    <t>SB-6616</t>
  </si>
  <si>
    <t>MC-7007</t>
  </si>
  <si>
    <t>MC-7011</t>
  </si>
  <si>
    <t>PM-2371</t>
  </si>
  <si>
    <t>PM-2359</t>
  </si>
  <si>
    <t>MC-7059</t>
  </si>
  <si>
    <t>MC-6807</t>
  </si>
  <si>
    <t>MC-6891</t>
  </si>
  <si>
    <t>MC-6943</t>
  </si>
  <si>
    <t>MC-7123</t>
  </si>
  <si>
    <t>MC-7127</t>
  </si>
  <si>
    <t>MC-7055</t>
  </si>
  <si>
    <t>MC-7147</t>
  </si>
  <si>
    <t>MC-7023</t>
  </si>
  <si>
    <t>MC-7171</t>
  </si>
  <si>
    <t>MC-6971</t>
  </si>
  <si>
    <t>MC-7163</t>
  </si>
  <si>
    <t>MC-7075</t>
  </si>
  <si>
    <t>MC-6987</t>
  </si>
  <si>
    <t>MF-6603</t>
  </si>
  <si>
    <t>MC-6947</t>
  </si>
  <si>
    <t>MC-6963</t>
  </si>
  <si>
    <t>SB-6621</t>
  </si>
  <si>
    <t>MC-6879</t>
  </si>
  <si>
    <t>MC-6951</t>
  </si>
  <si>
    <t>MC-7035</t>
  </si>
  <si>
    <t>TS-6625</t>
  </si>
  <si>
    <t>MC-6915</t>
  </si>
  <si>
    <t>JU-2018</t>
  </si>
  <si>
    <t>MC-7107</t>
  </si>
  <si>
    <t>MC-6907</t>
  </si>
  <si>
    <t>MF-6616</t>
  </si>
  <si>
    <t>JU-2121</t>
  </si>
  <si>
    <t>PM-2467</t>
  </si>
  <si>
    <t>MC-6875</t>
  </si>
  <si>
    <t>MC-7187</t>
  </si>
  <si>
    <t>PM-2407</t>
  </si>
  <si>
    <t>MC-7195</t>
  </si>
  <si>
    <t>PM-2519</t>
  </si>
  <si>
    <t>PM-2431</t>
  </si>
  <si>
    <t>PM-2491</t>
  </si>
  <si>
    <t>MC-7135</t>
  </si>
  <si>
    <t>MC-7183</t>
  </si>
  <si>
    <t>MC-7191</t>
  </si>
  <si>
    <t>PM-2555</t>
  </si>
  <si>
    <t>PM-2507</t>
  </si>
  <si>
    <t>CO-2241</t>
  </si>
  <si>
    <t>PM-2455</t>
  </si>
  <si>
    <t>MC-7043</t>
  </si>
  <si>
    <t>MC-6911</t>
  </si>
  <si>
    <t>PM-2395</t>
  </si>
  <si>
    <t>MC-7151</t>
  </si>
  <si>
    <t>PM-2443</t>
  </si>
  <si>
    <t>PM-2543</t>
  </si>
  <si>
    <t>PM-2401</t>
  </si>
  <si>
    <t>AQ-6610</t>
  </si>
  <si>
    <t>PM-2393</t>
  </si>
  <si>
    <t>KW-6615</t>
  </si>
  <si>
    <t>KW-6651</t>
  </si>
  <si>
    <t>PM-2601H</t>
  </si>
  <si>
    <t>MC-7236</t>
  </si>
  <si>
    <t>KW-6627</t>
  </si>
  <si>
    <t>KW-6639</t>
  </si>
  <si>
    <t>PM-2601J</t>
  </si>
  <si>
    <t>PM-2601E</t>
  </si>
  <si>
    <t>PM-2601A</t>
  </si>
  <si>
    <t>PM-2601D</t>
  </si>
  <si>
    <t>PM-2601L</t>
  </si>
  <si>
    <t>PM-2601O</t>
  </si>
  <si>
    <t>PM-2601G</t>
  </si>
  <si>
    <t>KW-6661</t>
  </si>
  <si>
    <t>PM-2601C</t>
  </si>
  <si>
    <t>PM-2601B</t>
  </si>
  <si>
    <t>PM-2601F</t>
  </si>
  <si>
    <t>KW-6649</t>
  </si>
  <si>
    <t>KW-6637</t>
  </si>
  <si>
    <t>PM-2601I</t>
  </si>
  <si>
    <t>KW-6603</t>
  </si>
  <si>
    <t>KW-6625</t>
  </si>
  <si>
    <t>KW-6601</t>
  </si>
  <si>
    <t>PM-2365</t>
  </si>
  <si>
    <t>PM-2447</t>
  </si>
  <si>
    <t>MC-7169</t>
  </si>
  <si>
    <t>PM-2463</t>
  </si>
  <si>
    <t>PM-2377</t>
  </si>
  <si>
    <t>MC-7218</t>
  </si>
  <si>
    <t>PM-2445</t>
  </si>
  <si>
    <t>MC-7180</t>
  </si>
  <si>
    <t>MC-7202</t>
  </si>
  <si>
    <t>PM-2481</t>
  </si>
  <si>
    <t>MC-7079</t>
  </si>
  <si>
    <t>MC-7117</t>
  </si>
  <si>
    <t>PM-2509</t>
  </si>
  <si>
    <t>PM-2415</t>
  </si>
  <si>
    <t>MC-7206</t>
  </si>
  <si>
    <t>MC-7157</t>
  </si>
  <si>
    <t>PM-2523</t>
  </si>
  <si>
    <t>PM-2397</t>
  </si>
  <si>
    <t>MC-7111</t>
  </si>
  <si>
    <t>PM-2525</t>
  </si>
  <si>
    <t>MC-7103</t>
  </si>
  <si>
    <t>MC-7113</t>
  </si>
  <si>
    <t>PM-2427</t>
  </si>
  <si>
    <t>MC-7177</t>
  </si>
  <si>
    <t>PM-2433</t>
  </si>
  <si>
    <t>MC-7199</t>
  </si>
  <si>
    <t>PM-2355</t>
  </si>
  <si>
    <t>MC-7175</t>
  </si>
  <si>
    <t>PM-2413</t>
  </si>
  <si>
    <t>PM-2459</t>
  </si>
  <si>
    <t>MC-7153</t>
  </si>
  <si>
    <t>MC-7139</t>
  </si>
  <si>
    <t>PM-2385</t>
  </si>
  <si>
    <t>JU-2043</t>
  </si>
  <si>
    <t>TS-6602</t>
  </si>
  <si>
    <t>KW-6602</t>
  </si>
  <si>
    <t>JU-2037</t>
  </si>
  <si>
    <t>SB-6670</t>
  </si>
  <si>
    <t>KW-6600</t>
  </si>
  <si>
    <t>SB-6628</t>
  </si>
  <si>
    <t>SB-6648</t>
  </si>
  <si>
    <t>PM-2483</t>
  </si>
  <si>
    <t>MF-6614</t>
  </si>
  <si>
    <t>KW-6604</t>
  </si>
  <si>
    <t>KW-6610</t>
  </si>
  <si>
    <t>KW-6647</t>
  </si>
  <si>
    <t>KW-6653</t>
  </si>
  <si>
    <t>KW-6612</t>
  </si>
  <si>
    <t>KW-6614</t>
  </si>
  <si>
    <t>MF-6626</t>
  </si>
  <si>
    <t>TS-6600</t>
  </si>
  <si>
    <t>MF-6624</t>
  </si>
  <si>
    <t>MF-6618</t>
  </si>
  <si>
    <t>KW-6607</t>
  </si>
  <si>
    <t>KW-6616</t>
  </si>
  <si>
    <t>KW-6655</t>
  </si>
  <si>
    <t>MF-6628</t>
  </si>
  <si>
    <t>TS-6635</t>
  </si>
  <si>
    <t>MF-6620</t>
  </si>
  <si>
    <t>JU-2127</t>
  </si>
  <si>
    <t>JU-2101</t>
  </si>
  <si>
    <t>KW-6618</t>
  </si>
  <si>
    <t>JU-2109</t>
  </si>
  <si>
    <t>MF-6600</t>
  </si>
  <si>
    <t>KW-6645</t>
  </si>
  <si>
    <t>SB-6629</t>
  </si>
  <si>
    <t>MF-6623</t>
  </si>
  <si>
    <t>MF-6601</t>
  </si>
  <si>
    <t>MC-7101</t>
  </si>
  <si>
    <t>JU-2019</t>
  </si>
  <si>
    <t>AQ-6615</t>
  </si>
  <si>
    <t>JU-2021</t>
  </si>
  <si>
    <t>AQ-6614</t>
  </si>
  <si>
    <t>AQ-6622</t>
  </si>
  <si>
    <t>AQ-6601</t>
  </si>
  <si>
    <t>JU-2014</t>
  </si>
  <si>
    <t>AQ-6609</t>
  </si>
  <si>
    <t>JU-2010</t>
  </si>
  <si>
    <t>JU-2000</t>
  </si>
  <si>
    <t>AQ-6600</t>
  </si>
  <si>
    <t>AQ-6608</t>
  </si>
  <si>
    <t>JU-2004</t>
  </si>
  <si>
    <t>AQ-6606</t>
  </si>
  <si>
    <t>AQ-6619</t>
  </si>
  <si>
    <t>JU-2005</t>
  </si>
  <si>
    <t>MC-7016</t>
  </si>
  <si>
    <t>MC-6976</t>
  </si>
  <si>
    <t>MC-7034</t>
  </si>
  <si>
    <t>MC-7003</t>
  </si>
  <si>
    <t>MC-6881</t>
  </si>
  <si>
    <t>MC-7012</t>
  </si>
  <si>
    <t>MC-7029</t>
  </si>
  <si>
    <t>MC-6803</t>
  </si>
  <si>
    <t>MC-7284</t>
  </si>
  <si>
    <t>MC-7025</t>
  </si>
  <si>
    <t>MC-6960</t>
  </si>
  <si>
    <t>MC-6994</t>
  </si>
  <si>
    <t>MC-7039</t>
  </si>
  <si>
    <t>MC-6863</t>
  </si>
  <si>
    <t>MC-6857</t>
  </si>
  <si>
    <t>MC-7028</t>
  </si>
  <si>
    <t>MC-6954</t>
  </si>
  <si>
    <t>MC-6867</t>
  </si>
  <si>
    <t>MC-7001</t>
  </si>
  <si>
    <t>MC-6880</t>
  </si>
  <si>
    <t>MF-6602</t>
  </si>
  <si>
    <t>MC-7115</t>
  </si>
  <si>
    <t>PM-2361</t>
  </si>
  <si>
    <t>MC-6996</t>
  </si>
  <si>
    <t>PM-2451</t>
  </si>
  <si>
    <t>MF-6627</t>
  </si>
  <si>
    <t>CO-2231</t>
  </si>
  <si>
    <t>TS-6604</t>
  </si>
  <si>
    <t>AQ-6617</t>
  </si>
  <si>
    <t>MF-6612</t>
  </si>
  <si>
    <t>SB-6631</t>
  </si>
  <si>
    <t>TS-6624</t>
  </si>
  <si>
    <t>TS-6603</t>
  </si>
  <si>
    <t>JU-2025</t>
  </si>
  <si>
    <t>AQ-6605</t>
  </si>
  <si>
    <t>KW-6659</t>
  </si>
  <si>
    <t>MC-7176</t>
  </si>
  <si>
    <t>TS-6626</t>
  </si>
  <si>
    <t>KW-6671</t>
  </si>
  <si>
    <t>KW-6631</t>
  </si>
  <si>
    <t>MC-7212</t>
  </si>
  <si>
    <t>SB-6632</t>
  </si>
  <si>
    <t>SB-6601</t>
  </si>
  <si>
    <t>CO-2229</t>
  </si>
  <si>
    <t>CO-2227</t>
  </si>
  <si>
    <t>JU-2125</t>
  </si>
  <si>
    <t>PM-2515</t>
  </si>
  <si>
    <t>MC-7222</t>
  </si>
  <si>
    <t>MC-6918</t>
  </si>
  <si>
    <t>AQ-6613</t>
  </si>
  <si>
    <t>SB-6610</t>
  </si>
  <si>
    <t>SB-6626</t>
  </si>
  <si>
    <t>SB-6608</t>
  </si>
  <si>
    <t>JU-2111</t>
  </si>
  <si>
    <t>KW-6617</t>
  </si>
  <si>
    <t>PM-2399</t>
  </si>
  <si>
    <t>MC-7017</t>
  </si>
  <si>
    <t>PM-2557</t>
  </si>
  <si>
    <t>MC-6982</t>
  </si>
  <si>
    <t>MC-6837</t>
  </si>
  <si>
    <t>MC-6836</t>
  </si>
  <si>
    <t>MC-6921</t>
  </si>
  <si>
    <t>MC-7109</t>
  </si>
  <si>
    <t>MC-7038</t>
  </si>
  <si>
    <t>MC-6831</t>
  </si>
  <si>
    <t>PM-2435</t>
  </si>
  <si>
    <t>MC-7026</t>
  </si>
  <si>
    <t>MC-7170</t>
  </si>
  <si>
    <t>MC-7186</t>
  </si>
  <si>
    <t>MC-6861</t>
  </si>
  <si>
    <t>MC-7042</t>
  </si>
  <si>
    <t>MC-6809</t>
  </si>
  <si>
    <t>MC-6843</t>
  </si>
  <si>
    <t>MC-6890</t>
  </si>
  <si>
    <t>MC-7128</t>
  </si>
  <si>
    <t>MC-6821</t>
  </si>
  <si>
    <t>MC-7197</t>
  </si>
  <si>
    <t>MC-6965</t>
  </si>
  <si>
    <t>MC-6959</t>
  </si>
  <si>
    <t>MC-7022</t>
  </si>
  <si>
    <t>MC-6957</t>
  </si>
  <si>
    <t>MC-6887</t>
  </si>
  <si>
    <t>MC-7126</t>
  </si>
  <si>
    <t>MC-6937</t>
  </si>
  <si>
    <t>MC-6903</t>
  </si>
  <si>
    <t>PM-2425</t>
  </si>
  <si>
    <t>MC-7036</t>
  </si>
  <si>
    <t>MC-7198</t>
  </si>
  <si>
    <t>MC-6871</t>
  </si>
  <si>
    <t>MC-7030</t>
  </si>
  <si>
    <t>MC-6962</t>
  </si>
  <si>
    <t>MC-7168</t>
  </si>
  <si>
    <t>MC-6925</t>
  </si>
  <si>
    <t>MC-6841</t>
  </si>
  <si>
    <t>MC-6876</t>
  </si>
  <si>
    <t>MC-6829</t>
  </si>
  <si>
    <t>PM-2437</t>
  </si>
  <si>
    <t>MC-6979</t>
  </si>
  <si>
    <t>MC-7143</t>
  </si>
  <si>
    <t>MC-6998</t>
  </si>
  <si>
    <t>MC-6952</t>
  </si>
  <si>
    <t>MC-7179</t>
  </si>
  <si>
    <t>MC-7192</t>
  </si>
  <si>
    <t>MC-6990</t>
  </si>
  <si>
    <t>MC-7019</t>
  </si>
  <si>
    <t>PM-2551</t>
  </si>
  <si>
    <t>MC-7018</t>
  </si>
  <si>
    <t>MC-7020</t>
  </si>
  <si>
    <t>MC-7137</t>
  </si>
  <si>
    <t>PM-2545</t>
  </si>
  <si>
    <t>MC-7178</t>
  </si>
  <si>
    <t>MC-7182</t>
  </si>
  <si>
    <t>MC-6929</t>
  </si>
  <si>
    <t>MC-7061</t>
  </si>
  <si>
    <t>PM-2439</t>
  </si>
  <si>
    <t>MC-6927</t>
  </si>
  <si>
    <t>MC-7288</t>
  </si>
  <si>
    <t>MC-6885</t>
  </si>
  <si>
    <t>MC-6853</t>
  </si>
  <si>
    <t>MC-6970</t>
  </si>
  <si>
    <t>MC-7174</t>
  </si>
  <si>
    <t>MC-6869</t>
  </si>
  <si>
    <t>MC-6892</t>
  </si>
  <si>
    <t>PM-2461</t>
  </si>
  <si>
    <t>MC-6849</t>
  </si>
  <si>
    <t>MC-6833</t>
  </si>
  <si>
    <t>MC-6896</t>
  </si>
  <si>
    <t>MC-6839</t>
  </si>
  <si>
    <t>MC-7066</t>
  </si>
  <si>
    <t>MC-6883</t>
  </si>
  <si>
    <t>PM-2387</t>
  </si>
  <si>
    <t>MC-7260</t>
  </si>
  <si>
    <t>MC-7194</t>
  </si>
  <si>
    <t>MC-6878</t>
  </si>
  <si>
    <t>MC-7071</t>
  </si>
  <si>
    <t>MC-6968</t>
  </si>
  <si>
    <t>MC-7286</t>
  </si>
  <si>
    <t>MC-7062</t>
  </si>
  <si>
    <t>MC-6939</t>
  </si>
  <si>
    <t>MC-6923</t>
  </si>
  <si>
    <t>MC-6859</t>
  </si>
  <si>
    <t>PM-2457</t>
  </si>
  <si>
    <t>PM-2375</t>
  </si>
  <si>
    <t>MC-7049</t>
  </si>
  <si>
    <t>PM-2391</t>
  </si>
  <si>
    <t>MC-6827</t>
  </si>
  <si>
    <t>MC-6926</t>
  </si>
  <si>
    <t>MC-6811</t>
  </si>
  <si>
    <t>MC-6917</t>
  </si>
  <si>
    <t>PM-2373</t>
  </si>
  <si>
    <t>MC-6933</t>
  </si>
  <si>
    <t>MC-7256</t>
  </si>
  <si>
    <t>MC-7254</t>
  </si>
  <si>
    <t>MC-7060</t>
  </si>
  <si>
    <t>MC-6819</t>
  </si>
  <si>
    <t>MC-6922</t>
  </si>
  <si>
    <t>MC-7196</t>
  </si>
  <si>
    <t>MC-7188</t>
  </si>
  <si>
    <t>KW-6669</t>
  </si>
  <si>
    <t>TS-6605</t>
  </si>
  <si>
    <t>MF-6606</t>
  </si>
  <si>
    <t>SB-6622</t>
  </si>
  <si>
    <t>TS-6601</t>
  </si>
  <si>
    <t>SB-6666</t>
  </si>
  <si>
    <t>JU-2035</t>
  </si>
  <si>
    <t>SB-6627</t>
  </si>
  <si>
    <t>JU-2103</t>
  </si>
  <si>
    <t>MF-6604</t>
  </si>
  <si>
    <t>AQ-6602</t>
  </si>
  <si>
    <t>KW-6643</t>
  </si>
  <si>
    <t>KW-6657</t>
  </si>
  <si>
    <t>AQ-6618</t>
  </si>
  <si>
    <t>KW-6635</t>
  </si>
  <si>
    <t>AQ-6611</t>
  </si>
  <si>
    <t>KW-6665</t>
  </si>
  <si>
    <t>SB-6630</t>
  </si>
  <si>
    <t>AQ-6612</t>
  </si>
  <si>
    <t>TS-6606</t>
  </si>
  <si>
    <t>JU-2033</t>
  </si>
  <si>
    <t>JU-2105</t>
  </si>
  <si>
    <t>KW-6622</t>
  </si>
  <si>
    <t>JU-2029</t>
  </si>
  <si>
    <t>JU-2041</t>
  </si>
  <si>
    <t>AQ-6603</t>
  </si>
  <si>
    <t>SB-6636</t>
  </si>
  <si>
    <t>AQ-6607</t>
  </si>
  <si>
    <t>KW-6667</t>
  </si>
  <si>
    <t>KW-6629</t>
  </si>
  <si>
    <t>AQ-6616</t>
  </si>
  <si>
    <t>KW-6633</t>
  </si>
  <si>
    <t>SB-6668</t>
  </si>
  <si>
    <t>JU-2031</t>
  </si>
  <si>
    <t>AQ-6604</t>
  </si>
  <si>
    <t>SB-6625</t>
  </si>
  <si>
    <t>MF-6605</t>
  </si>
  <si>
    <t>SB-6619</t>
  </si>
  <si>
    <t>SB-6618</t>
  </si>
  <si>
    <t>SB-6620</t>
  </si>
  <si>
    <t>CO-2233</t>
  </si>
  <si>
    <t>MC-7208</t>
  </si>
  <si>
    <t>PM-2521</t>
  </si>
  <si>
    <t>PM-2411</t>
  </si>
  <si>
    <t>MC-7155</t>
  </si>
  <si>
    <t>MC-7119</t>
  </si>
  <si>
    <t>MC-7172</t>
  </si>
  <si>
    <t>MC-7204</t>
  </si>
  <si>
    <t>MC-7159</t>
  </si>
  <si>
    <t>PM-2449</t>
  </si>
  <si>
    <t>MC-7141</t>
  </si>
  <si>
    <t>PM-2513</t>
  </si>
  <si>
    <t>PM-2409</t>
  </si>
  <si>
    <t>PM-2469</t>
  </si>
  <si>
    <t>PM-2403</t>
  </si>
  <si>
    <t>PM-2495</t>
  </si>
  <si>
    <t>MC-7200</t>
  </si>
  <si>
    <t>PM-2367</t>
  </si>
  <si>
    <t>PM-2363</t>
  </si>
  <si>
    <t>PM-2379</t>
  </si>
  <si>
    <t>MC-7190</t>
  </si>
  <si>
    <t>MC-7065</t>
  </si>
  <si>
    <t>PM-2535</t>
  </si>
  <si>
    <t>PM-2389</t>
  </si>
  <si>
    <t>PM-2559</t>
  </si>
  <si>
    <t>PM-2531</t>
  </si>
  <si>
    <t>PM-2503</t>
  </si>
  <si>
    <t>PM-2421</t>
  </si>
  <si>
    <t>PM-2473</t>
  </si>
  <si>
    <t>MC-6992</t>
  </si>
  <si>
    <t>MC-6955</t>
  </si>
  <si>
    <t>MC-6888</t>
  </si>
  <si>
    <t>MC-6817</t>
  </si>
  <si>
    <t>MC-6901</t>
  </si>
  <si>
    <t>MC-6950</t>
  </si>
  <si>
    <t>MC-7258</t>
  </si>
  <si>
    <t>MC-7008</t>
  </si>
  <si>
    <t>MC-6995</t>
  </si>
  <si>
    <t>MC-7045</t>
  </si>
  <si>
    <t>MC-7047</t>
  </si>
  <si>
    <t>MC-6919</t>
  </si>
  <si>
    <t>MC-7004</t>
  </si>
  <si>
    <t>MC-6810</t>
  </si>
  <si>
    <t>MC-7064</t>
  </si>
  <si>
    <t>MC-6935</t>
  </si>
  <si>
    <t>MC-6851</t>
  </si>
  <si>
    <t>MC-6801</t>
  </si>
  <si>
    <t>MC-7077</t>
  </si>
  <si>
    <t>MC-7024</t>
  </si>
  <si>
    <t>MC-6966</t>
  </si>
  <si>
    <t>MC-7051</t>
  </si>
  <si>
    <t>MC-6865</t>
  </si>
  <si>
    <t>MC-6958</t>
  </si>
  <si>
    <t>MC-6823</t>
  </si>
  <si>
    <t>MC-7027</t>
  </si>
  <si>
    <t>MC-7014</t>
  </si>
  <si>
    <t>MC-6845</t>
  </si>
  <si>
    <t>MC-6993</t>
  </si>
  <si>
    <t>MC-6953</t>
  </si>
  <si>
    <t>MC-6975</t>
  </si>
  <si>
    <t>MC-6895</t>
  </si>
  <si>
    <t>MC-6931</t>
  </si>
  <si>
    <t>MC-6847</t>
  </si>
  <si>
    <t>MC-6835</t>
  </si>
  <si>
    <t>MC-7000</t>
  </si>
  <si>
    <t>MC-7069</t>
  </si>
  <si>
    <t>MC-7050</t>
  </si>
  <si>
    <t>MC-6893</t>
  </si>
  <si>
    <t>MC-7074</t>
  </si>
  <si>
    <t>MC-6972</t>
  </si>
  <si>
    <t>MC-6967</t>
  </si>
  <si>
    <t>MC-6964</t>
  </si>
  <si>
    <t>MC-6912</t>
  </si>
  <si>
    <t>KW-6641</t>
  </si>
  <si>
    <t>TS-6633</t>
  </si>
  <si>
    <t>JU-2039</t>
  </si>
  <si>
    <t>JU-2023</t>
  </si>
  <si>
    <t>JU-2027</t>
  </si>
  <si>
    <t>MC-6815</t>
  </si>
  <si>
    <t>PM-2441</t>
  </si>
  <si>
    <t>MC-7165</t>
  </si>
  <si>
    <t>MC-6941</t>
  </si>
  <si>
    <t>MC-7005</t>
  </si>
  <si>
    <t>MC-6805</t>
  </si>
  <si>
    <t>MC-7105</t>
  </si>
  <si>
    <t>MC-6909</t>
  </si>
  <si>
    <t>PM-2417</t>
  </si>
  <si>
    <t>MC-7098</t>
  </si>
  <si>
    <t>MC-6961</t>
  </si>
  <si>
    <t>MC-6989</t>
  </si>
  <si>
    <t>PM-2553</t>
  </si>
  <si>
    <t>MC-7009</t>
  </si>
  <si>
    <t>MC-6985</t>
  </si>
  <si>
    <t>MC-7006</t>
  </si>
  <si>
    <t>PM-2405</t>
  </si>
  <si>
    <t>MC-7234</t>
  </si>
  <si>
    <t>MC-7193</t>
  </si>
  <si>
    <t>MC-7037</t>
  </si>
  <si>
    <t>MC-7189</t>
  </si>
  <si>
    <t>MC-7021</t>
  </si>
  <si>
    <t>JU-2020</t>
  </si>
  <si>
    <t>MC-7125</t>
  </si>
  <si>
    <t>PM-2517</t>
  </si>
  <si>
    <t>MC-7145</t>
  </si>
  <si>
    <t>MC-7063</t>
  </si>
  <si>
    <t>MC-6949</t>
  </si>
  <si>
    <t>MC-7002</t>
  </si>
  <si>
    <t>PM-2381</t>
  </si>
  <si>
    <t>MC-6873</t>
  </si>
  <si>
    <t>PM-2465</t>
  </si>
  <si>
    <t>MC-7133</t>
  </si>
  <si>
    <t>MC-7129</t>
  </si>
  <si>
    <t>MC-6956</t>
  </si>
  <si>
    <t>PM-2429</t>
  </si>
  <si>
    <t>MC-7181</t>
  </si>
  <si>
    <t>PM-2453</t>
  </si>
  <si>
    <t>MC-7033</t>
  </si>
  <si>
    <t>MC-7185</t>
  </si>
  <si>
    <t>MC-7161</t>
  </si>
  <si>
    <t>MC-7184</t>
  </si>
  <si>
    <t>PM-2357</t>
  </si>
  <si>
    <t>MC-6913</t>
  </si>
  <si>
    <t>PM-2369</t>
  </si>
  <si>
    <t>SB-6623</t>
  </si>
  <si>
    <t>MC-6981</t>
  </si>
  <si>
    <t>KW-6663</t>
  </si>
  <si>
    <t>TS-6627</t>
  </si>
  <si>
    <t>MC-7073</t>
  </si>
  <si>
    <t>JU-2123</t>
  </si>
  <si>
    <t>SB-6664</t>
  </si>
  <si>
    <t>MC-7041</t>
  </si>
  <si>
    <t>MC-7044</t>
  </si>
  <si>
    <t>MC-6889</t>
  </si>
  <si>
    <t>MC-7010</t>
  </si>
  <si>
    <t>MC-7046</t>
  </si>
  <si>
    <t>MC-7057</t>
  </si>
  <si>
    <t>CO-2243</t>
  </si>
  <si>
    <t>MC-7040</t>
  </si>
  <si>
    <t>MC-7121</t>
  </si>
  <si>
    <t>MC-7048</t>
  </si>
  <si>
    <t>MC-6877</t>
  </si>
  <si>
    <t>PM-2505</t>
  </si>
  <si>
    <t>MC-7053</t>
  </si>
  <si>
    <t>MC-6991</t>
  </si>
  <si>
    <t>PM-2541</t>
  </si>
  <si>
    <t>MC-6813</t>
  </si>
  <si>
    <t>PM-2547</t>
  </si>
  <si>
    <t>MC-6825</t>
  </si>
  <si>
    <t>PM-2353</t>
  </si>
  <si>
    <t>PM-2537</t>
  </si>
  <si>
    <t>MC-7067</t>
  </si>
  <si>
    <t>PM-2493</t>
  </si>
  <si>
    <t>MC-7173</t>
  </si>
  <si>
    <t>PM-2489</t>
  </si>
  <si>
    <t>PM-2501</t>
  </si>
  <si>
    <t>1700-213</t>
  </si>
  <si>
    <t>6201-313</t>
  </si>
  <si>
    <t>1700-313</t>
  </si>
  <si>
    <t>6101-104</t>
  </si>
  <si>
    <t>104</t>
  </si>
  <si>
    <t>6101-507</t>
  </si>
  <si>
    <t>1700-306</t>
  </si>
  <si>
    <t>1700-607</t>
  </si>
  <si>
    <t>6101-602</t>
  </si>
  <si>
    <t>6201-307</t>
  </si>
  <si>
    <t>1700-602</t>
  </si>
  <si>
    <t>6201-410</t>
  </si>
  <si>
    <t>1700-610</t>
  </si>
  <si>
    <t>6101-510</t>
  </si>
  <si>
    <t>6201-215</t>
  </si>
  <si>
    <t>6201-311</t>
  </si>
  <si>
    <t>6201-514</t>
  </si>
  <si>
    <t>6101-303</t>
  </si>
  <si>
    <t>1700-215</t>
  </si>
  <si>
    <t>6201-615</t>
  </si>
  <si>
    <t>1700-310</t>
  </si>
  <si>
    <t>6201-415</t>
  </si>
  <si>
    <t>6201-403</t>
  </si>
  <si>
    <t>1700-307</t>
  </si>
  <si>
    <t>1700-302</t>
  </si>
  <si>
    <t>6201-506</t>
  </si>
  <si>
    <t>6101-406</t>
  </si>
  <si>
    <t>6201-503</t>
  </si>
  <si>
    <t>1700-207</t>
  </si>
  <si>
    <t>6201-607</t>
  </si>
  <si>
    <t>6201-614</t>
  </si>
  <si>
    <t>6201-203</t>
  </si>
  <si>
    <t>6201-214</t>
  </si>
  <si>
    <t>6201-406</t>
  </si>
  <si>
    <t>6201-407</t>
  </si>
  <si>
    <t>6201-606</t>
  </si>
  <si>
    <t>6201-207</t>
  </si>
  <si>
    <t>6201-202</t>
  </si>
  <si>
    <t>6101-614</t>
  </si>
  <si>
    <t>1700-503</t>
  </si>
  <si>
    <t>6101-311</t>
  </si>
  <si>
    <t>1700-311</t>
  </si>
  <si>
    <t>1700-210</t>
  </si>
  <si>
    <t>1700-214</t>
  </si>
  <si>
    <t>1700-603</t>
  </si>
  <si>
    <t>210</t>
  </si>
  <si>
    <t>215</t>
  </si>
  <si>
    <t>415</t>
  </si>
  <si>
    <t>307</t>
  </si>
  <si>
    <t>607</t>
  </si>
  <si>
    <t>214</t>
  </si>
  <si>
    <t>502</t>
  </si>
  <si>
    <t>510</t>
  </si>
  <si>
    <t>610</t>
  </si>
  <si>
    <t>6201-404</t>
  </si>
  <si>
    <t>1700-404</t>
  </si>
  <si>
    <t>6201-204</t>
  </si>
  <si>
    <t>6101-604</t>
  </si>
  <si>
    <t>1700-204</t>
  </si>
  <si>
    <t>6201-304</t>
  </si>
  <si>
    <t>204</t>
  </si>
  <si>
    <t>404</t>
  </si>
  <si>
    <t>504</t>
  </si>
  <si>
    <t>604</t>
  </si>
  <si>
    <t>1700-513</t>
  </si>
  <si>
    <t>6101-212</t>
  </si>
  <si>
    <t>6101-612</t>
  </si>
  <si>
    <t>1700-412</t>
  </si>
  <si>
    <t>1700-413</t>
  </si>
  <si>
    <t>6201-216</t>
  </si>
  <si>
    <t>1700-316</t>
  </si>
  <si>
    <t>6101-409</t>
  </si>
  <si>
    <t>1700-516</t>
  </si>
  <si>
    <t>6201-609</t>
  </si>
  <si>
    <t>6101-416</t>
  </si>
  <si>
    <t>6201-416</t>
  </si>
  <si>
    <t>1700-509</t>
  </si>
  <si>
    <t>6201-509</t>
  </si>
  <si>
    <t>416</t>
  </si>
  <si>
    <t>216</t>
  </si>
  <si>
    <t>609</t>
  </si>
  <si>
    <t>6201-605</t>
  </si>
  <si>
    <t>1700-105</t>
  </si>
  <si>
    <t>6201-205</t>
  </si>
  <si>
    <t>6201-405</t>
  </si>
  <si>
    <t>1700-405</t>
  </si>
  <si>
    <t>6101-305</t>
  </si>
  <si>
    <t>1700-505</t>
  </si>
  <si>
    <t>1700-305</t>
  </si>
  <si>
    <t>1700-605</t>
  </si>
  <si>
    <t>6101-405</t>
  </si>
  <si>
    <t>205</t>
  </si>
  <si>
    <t>605</t>
  </si>
  <si>
    <t>305</t>
  </si>
  <si>
    <t>405</t>
  </si>
  <si>
    <t>1700-108</t>
  </si>
  <si>
    <t>6201-508</t>
  </si>
  <si>
    <t>6201-608</t>
  </si>
  <si>
    <t>6201-201</t>
  </si>
  <si>
    <t>1700-608</t>
  </si>
  <si>
    <t>6201-408</t>
  </si>
  <si>
    <t>6101-101</t>
  </si>
  <si>
    <t>1700-201</t>
  </si>
  <si>
    <t>6201-208</t>
  </si>
  <si>
    <t>1700-301</t>
  </si>
  <si>
    <t>6101-308</t>
  </si>
  <si>
    <t>401</t>
  </si>
  <si>
    <t>301</t>
  </si>
  <si>
    <t>408</t>
  </si>
  <si>
    <t>1635-B WW</t>
  </si>
  <si>
    <t>1563-B WW</t>
  </si>
  <si>
    <t>1651-B WW</t>
  </si>
  <si>
    <t>28-1657-F WW</t>
  </si>
  <si>
    <t>29-1701-E WW</t>
  </si>
  <si>
    <t>24-1641-E WW</t>
  </si>
  <si>
    <t>16-1557-F WW</t>
  </si>
  <si>
    <t>25-1647-E WW</t>
  </si>
  <si>
    <t>16-1557-B WW</t>
  </si>
  <si>
    <t>30-1707-D WW</t>
  </si>
  <si>
    <t>36-1743-E WW</t>
  </si>
  <si>
    <t>21-1633-C WW</t>
  </si>
  <si>
    <t>20-6001-F YWR</t>
  </si>
  <si>
    <t>26-1645-A WW</t>
  </si>
  <si>
    <t>30-1707-A WW</t>
  </si>
  <si>
    <t>31-1709-E WW</t>
  </si>
  <si>
    <t>26-1645-F WW</t>
  </si>
  <si>
    <t>25-1649-C WW</t>
  </si>
  <si>
    <t>26-1645-B WW</t>
  </si>
  <si>
    <t>28-1655-F WW</t>
  </si>
  <si>
    <t>23-1637-E WW</t>
  </si>
  <si>
    <t>22-1627-E WW</t>
  </si>
  <si>
    <t>23-1635-D WW</t>
  </si>
  <si>
    <t>30-1707-E WW</t>
  </si>
  <si>
    <t>34-1735-E WW</t>
  </si>
  <si>
    <t>27-1653-E WW</t>
  </si>
  <si>
    <t>1561-C</t>
  </si>
  <si>
    <t>1655-B</t>
  </si>
  <si>
    <t>1657-F</t>
  </si>
  <si>
    <t>6003-C</t>
  </si>
  <si>
    <t>1737-B</t>
  </si>
  <si>
    <t>1701-C</t>
  </si>
  <si>
    <t>1713-C</t>
  </si>
  <si>
    <t>1635-D</t>
  </si>
  <si>
    <t>1557-F</t>
  </si>
  <si>
    <t>1645-F</t>
  </si>
  <si>
    <t>1627</t>
  </si>
  <si>
    <t>1641</t>
  </si>
  <si>
    <t>1705</t>
  </si>
  <si>
    <t>1633-A WW</t>
  </si>
  <si>
    <t>1647-A WW</t>
  </si>
  <si>
    <t>1641-B WW</t>
  </si>
  <si>
    <t>1747-C WW</t>
  </si>
  <si>
    <t>1737-A WW</t>
  </si>
  <si>
    <t>1715-E WW</t>
  </si>
  <si>
    <t>6001-C YWR</t>
  </si>
  <si>
    <t>6000-D YWR</t>
  </si>
  <si>
    <t>1631-D WW</t>
  </si>
  <si>
    <t>1637-E WW</t>
  </si>
  <si>
    <t>1631-B WW</t>
  </si>
  <si>
    <t>1707-E WW</t>
  </si>
  <si>
    <t>1739-D WW</t>
  </si>
  <si>
    <t>1713-D WW</t>
  </si>
  <si>
    <t>1655-B WW</t>
  </si>
  <si>
    <t>6001-B YWR</t>
  </si>
  <si>
    <t>1653-F WW</t>
  </si>
  <si>
    <t>1631-C WW</t>
  </si>
  <si>
    <t>1703-F WW</t>
  </si>
  <si>
    <t>1559-B WW</t>
  </si>
  <si>
    <t>1701-F WW</t>
  </si>
  <si>
    <t>1743-A WW</t>
  </si>
  <si>
    <t>1649-A WW</t>
  </si>
  <si>
    <t>1739-A WW</t>
  </si>
  <si>
    <t>1745-A WW</t>
  </si>
  <si>
    <t>1735-C WW</t>
  </si>
  <si>
    <t>1653-A WW</t>
  </si>
  <si>
    <t>1749-D WW</t>
  </si>
  <si>
    <t>1709-B WW</t>
  </si>
  <si>
    <t>1705-C WW</t>
  </si>
  <si>
    <t>1749-A</t>
  </si>
  <si>
    <t>1651-A WW</t>
  </si>
  <si>
    <t>1631-F WW</t>
  </si>
  <si>
    <t>1643-D WW</t>
  </si>
  <si>
    <t>1629-C WW</t>
  </si>
  <si>
    <t>1643-F WW</t>
  </si>
  <si>
    <t>1627-E WW</t>
  </si>
  <si>
    <t>1735-B WW</t>
  </si>
  <si>
    <t>1703-B WW</t>
  </si>
  <si>
    <t>1645-B WW</t>
  </si>
  <si>
    <t>1639-E WW</t>
  </si>
  <si>
    <t>1557-D WW</t>
  </si>
  <si>
    <t>6001-D YWR</t>
  </si>
  <si>
    <t>1735-A WW</t>
  </si>
  <si>
    <t>1707-A WW</t>
  </si>
  <si>
    <t>6003-C YWR</t>
  </si>
  <si>
    <t>1739-C WW</t>
  </si>
  <si>
    <t>1737-C WW</t>
  </si>
  <si>
    <t>1737-E WW</t>
  </si>
  <si>
    <t>1657-B WW</t>
  </si>
  <si>
    <t>1739-E WW</t>
  </si>
  <si>
    <t>1739-B WW</t>
  </si>
  <si>
    <t>1741-D WW</t>
  </si>
  <si>
    <t>1739-F WW</t>
  </si>
  <si>
    <t>1639-C</t>
  </si>
  <si>
    <t>1749-C</t>
  </si>
  <si>
    <t>1701</t>
  </si>
  <si>
    <t>1643</t>
  </si>
  <si>
    <t>1653-A</t>
  </si>
  <si>
    <t>1709-A WW</t>
  </si>
  <si>
    <t>1649-D WW</t>
  </si>
  <si>
    <t>1709-C WW</t>
  </si>
  <si>
    <t>1633-E WW</t>
  </si>
  <si>
    <t>1705-C</t>
  </si>
  <si>
    <t>6000-A</t>
  </si>
  <si>
    <t>1557-A</t>
  </si>
  <si>
    <t>1715-C</t>
  </si>
  <si>
    <t>1641-D WW</t>
  </si>
  <si>
    <t>1649-F WW</t>
  </si>
  <si>
    <t>1633-D</t>
  </si>
  <si>
    <t>1701-A WW</t>
  </si>
  <si>
    <t>1653-B</t>
  </si>
  <si>
    <t>1649-D</t>
  </si>
  <si>
    <t>1633-C</t>
  </si>
  <si>
    <t>1705-D</t>
  </si>
  <si>
    <t>1673 ENP</t>
  </si>
  <si>
    <t>1541 ENP</t>
  </si>
  <si>
    <t>5-1557 ENP</t>
  </si>
  <si>
    <t>5-1555 ENP</t>
  </si>
  <si>
    <t>1526</t>
  </si>
  <si>
    <t>1524</t>
  </si>
  <si>
    <t>1557 ENP</t>
  </si>
  <si>
    <t>1725 WW</t>
  </si>
  <si>
    <t>1727 WW</t>
  </si>
  <si>
    <t>1545</t>
  </si>
  <si>
    <t>1719 WW</t>
  </si>
  <si>
    <t>1729 WW</t>
  </si>
  <si>
    <t>1723 WW</t>
  </si>
  <si>
    <t>1545 ENP</t>
  </si>
  <si>
    <t>1530 WW</t>
  </si>
  <si>
    <t>1557</t>
  </si>
  <si>
    <t>13-1701 ENP</t>
  </si>
  <si>
    <t>46-1626 WW</t>
  </si>
  <si>
    <t>11-1665 ENP</t>
  </si>
  <si>
    <t>4-1571 ENP</t>
  </si>
  <si>
    <t>45-1757 ENP</t>
  </si>
  <si>
    <t>42-1825 ENP</t>
  </si>
  <si>
    <t>9-1546 WW</t>
  </si>
  <si>
    <t>14-1729 ENP</t>
  </si>
  <si>
    <t>45-1755 ENP</t>
  </si>
  <si>
    <t>19-6015 YWR</t>
  </si>
  <si>
    <t>19-1601 WW</t>
  </si>
  <si>
    <t>9-1550 WW</t>
  </si>
  <si>
    <t>15-1606 WW</t>
  </si>
  <si>
    <t>12-1572 WW</t>
  </si>
  <si>
    <t>13-1733 ENP</t>
  </si>
  <si>
    <t>39-1702 WW</t>
  </si>
  <si>
    <t>44-1777 ENP</t>
  </si>
  <si>
    <t>11-1663 ENP</t>
  </si>
  <si>
    <t>9-1552 WW</t>
  </si>
  <si>
    <t>44-1747 ENP</t>
  </si>
  <si>
    <t>10-1641 ENP</t>
  </si>
  <si>
    <t>43-1656 WW</t>
  </si>
  <si>
    <t>15-1612 WW</t>
  </si>
  <si>
    <t>40-1680 WW</t>
  </si>
  <si>
    <t>10-1643 ENP</t>
  </si>
  <si>
    <t>12-1566 WW</t>
  </si>
  <si>
    <t>10-1637 ENP</t>
  </si>
  <si>
    <t>10-1649 ENP</t>
  </si>
  <si>
    <t>14-1713 ENP</t>
  </si>
  <si>
    <t>7-1603 ENP</t>
  </si>
  <si>
    <t>9-1544 WW</t>
  </si>
  <si>
    <t>42-1811 ENP</t>
  </si>
  <si>
    <t>2-1513 ENP</t>
  </si>
  <si>
    <t>11-1667 ENP</t>
  </si>
  <si>
    <t>13-1705 ENP</t>
  </si>
  <si>
    <t>1-1525 ENP</t>
  </si>
  <si>
    <t>38-1839 ENP</t>
  </si>
  <si>
    <t>11-1675 ENP</t>
  </si>
  <si>
    <t>43-1650 WW</t>
  </si>
  <si>
    <t>1667 ENP</t>
  </si>
  <si>
    <t>1763 ENP</t>
  </si>
  <si>
    <t>1777 ENP</t>
  </si>
  <si>
    <t>1666 WW</t>
  </si>
  <si>
    <t>1562 WW</t>
  </si>
  <si>
    <t>1618 WW</t>
  </si>
  <si>
    <t>1677 ENP</t>
  </si>
  <si>
    <t>1839 ENP</t>
  </si>
  <si>
    <t>1631 ENP</t>
  </si>
  <si>
    <t>1711 ENP</t>
  </si>
  <si>
    <t>1761 ENP</t>
  </si>
  <si>
    <t>1657 ENP</t>
  </si>
  <si>
    <t>1706 WW</t>
  </si>
  <si>
    <t>1680 WW</t>
  </si>
  <si>
    <t>1729 ENP</t>
  </si>
  <si>
    <t>1529 ENP</t>
  </si>
  <si>
    <t>1516 WW</t>
  </si>
  <si>
    <t>1603 ENP</t>
  </si>
  <si>
    <t>1705 ENP</t>
  </si>
  <si>
    <t>1554 WW</t>
  </si>
  <si>
    <t>1630 WW</t>
  </si>
  <si>
    <t>1675 ENP</t>
  </si>
  <si>
    <t>1506</t>
  </si>
  <si>
    <t>1665</t>
  </si>
  <si>
    <t>1503</t>
  </si>
  <si>
    <t>1775 ENP</t>
  </si>
  <si>
    <t>1609 ENP</t>
  </si>
  <si>
    <t>1611 ENP</t>
  </si>
  <si>
    <t>1757 ENP</t>
  </si>
  <si>
    <t>1811 ENP</t>
  </si>
  <si>
    <t>1638 WW</t>
  </si>
  <si>
    <t>1663 ENP</t>
  </si>
  <si>
    <t>1560 WW</t>
  </si>
  <si>
    <t>1767 ENP</t>
  </si>
  <si>
    <t>1674 WW</t>
  </si>
  <si>
    <t>1509 ENP</t>
  </si>
  <si>
    <t>1602 WW</t>
  </si>
  <si>
    <t>1684 WW</t>
  </si>
  <si>
    <t>1701 ENP</t>
  </si>
  <si>
    <t>1504 WW</t>
  </si>
  <si>
    <t>1546 WW</t>
  </si>
  <si>
    <t>1564 WW</t>
  </si>
  <si>
    <t>1502 WW</t>
  </si>
  <si>
    <t>1564</t>
  </si>
  <si>
    <t>1821</t>
  </si>
  <si>
    <t>1707 ENP</t>
  </si>
  <si>
    <t>1867 ENP</t>
  </si>
  <si>
    <t>1781 ENP</t>
  </si>
  <si>
    <t>1620 WW</t>
  </si>
  <si>
    <t>1523 ENP</t>
  </si>
  <si>
    <t>1700 WW</t>
  </si>
  <si>
    <t>6007 YWR</t>
  </si>
  <si>
    <t>1676 WW</t>
  </si>
  <si>
    <t>1671 ENP</t>
  </si>
  <si>
    <t>1631</t>
  </si>
  <si>
    <t>1546</t>
  </si>
  <si>
    <t>1681 ENP</t>
  </si>
  <si>
    <t>1817 ENP</t>
  </si>
  <si>
    <t>1723 ENP</t>
  </si>
  <si>
    <t>1601 ENP</t>
  </si>
  <si>
    <t>1513 ENP</t>
  </si>
  <si>
    <t>1713 ENP</t>
  </si>
  <si>
    <t>1823 ENP</t>
  </si>
  <si>
    <t>1660</t>
  </si>
  <si>
    <t>1853</t>
  </si>
  <si>
    <t>1649 ENP</t>
  </si>
  <si>
    <t>1660 WW</t>
  </si>
  <si>
    <t>1725 ENP</t>
  </si>
  <si>
    <t>1626 WW</t>
  </si>
  <si>
    <t>1582 WW</t>
  </si>
  <si>
    <t>1765 ENP</t>
  </si>
  <si>
    <t>1731 ENP</t>
  </si>
  <si>
    <t>1610 WW</t>
  </si>
  <si>
    <t>1827 ENP</t>
  </si>
  <si>
    <t>1543 ENP</t>
  </si>
  <si>
    <t>1641 ENP</t>
  </si>
  <si>
    <t>1578 WW</t>
  </si>
  <si>
    <t>1639 ENP</t>
  </si>
  <si>
    <t>1576 WW</t>
  </si>
  <si>
    <t>1652 WW</t>
  </si>
  <si>
    <t>1643 ENP</t>
  </si>
  <si>
    <t>1647</t>
  </si>
  <si>
    <t>1680</t>
  </si>
  <si>
    <t>1658 WW</t>
  </si>
  <si>
    <t>1745 ENP</t>
  </si>
  <si>
    <t>1573</t>
  </si>
  <si>
    <t>1669</t>
  </si>
  <si>
    <t>1539</t>
  </si>
  <si>
    <t>1755</t>
  </si>
  <si>
    <t>1725</t>
  </si>
  <si>
    <t>1511</t>
  </si>
  <si>
    <t>1544</t>
  </si>
  <si>
    <t>1571</t>
  </si>
  <si>
    <t>1552</t>
  </si>
  <si>
    <t>1733</t>
  </si>
  <si>
    <t>1825</t>
  </si>
  <si>
    <t>1566</t>
  </si>
  <si>
    <t>1851</t>
  </si>
  <si>
    <t>1653</t>
  </si>
  <si>
    <t>1809</t>
  </si>
  <si>
    <t>1666</t>
  </si>
  <si>
    <t>1709</t>
  </si>
  <si>
    <t>1675</t>
  </si>
  <si>
    <t>6013</t>
  </si>
  <si>
    <t>6556-A</t>
  </si>
  <si>
    <t>1441-B</t>
  </si>
  <si>
    <t>6450-B</t>
  </si>
  <si>
    <t>6520-B</t>
  </si>
  <si>
    <t>6537-B</t>
  </si>
  <si>
    <t>6556-C</t>
  </si>
  <si>
    <t>6540-B</t>
  </si>
  <si>
    <t>6500-B</t>
  </si>
  <si>
    <t>6530-B</t>
  </si>
  <si>
    <t>6556-F</t>
  </si>
  <si>
    <t>6510-B</t>
  </si>
  <si>
    <t>6556-J</t>
  </si>
  <si>
    <t>6430-B</t>
  </si>
  <si>
    <t>1437-K</t>
  </si>
  <si>
    <t>1439-A</t>
  </si>
  <si>
    <t>6510-E</t>
  </si>
  <si>
    <t>1441-J</t>
  </si>
  <si>
    <t>6556-D</t>
  </si>
  <si>
    <t>6520-I</t>
  </si>
  <si>
    <t>6520-F</t>
  </si>
  <si>
    <t>6556-L</t>
  </si>
  <si>
    <t>6500-L</t>
  </si>
  <si>
    <t>6510-D</t>
  </si>
  <si>
    <t>6460-A</t>
  </si>
  <si>
    <t>6450-C</t>
  </si>
  <si>
    <t>1437-G</t>
  </si>
  <si>
    <t>6440-E</t>
  </si>
  <si>
    <t>1437-E</t>
  </si>
  <si>
    <t>6530-J</t>
  </si>
  <si>
    <t>6440-K</t>
  </si>
  <si>
    <t>6540-H</t>
  </si>
  <si>
    <t>6556-K</t>
  </si>
  <si>
    <t>1437-A</t>
  </si>
  <si>
    <t>1437-C</t>
  </si>
  <si>
    <t>1441-D</t>
  </si>
  <si>
    <t>6430-F</t>
  </si>
  <si>
    <t>6520-L</t>
  </si>
  <si>
    <t>6540-J</t>
  </si>
  <si>
    <t>1439-D</t>
  </si>
  <si>
    <t>6520-G</t>
  </si>
  <si>
    <t>1439-J</t>
  </si>
  <si>
    <t>1439-G</t>
  </si>
  <si>
    <t>6440-L</t>
  </si>
  <si>
    <t>6510-K</t>
  </si>
  <si>
    <t>6537-J</t>
  </si>
  <si>
    <t>6510-C</t>
  </si>
  <si>
    <t>1437-D</t>
  </si>
  <si>
    <t>1441-E</t>
  </si>
  <si>
    <t>6537-H</t>
  </si>
  <si>
    <t>1437-H</t>
  </si>
  <si>
    <t>1439</t>
  </si>
  <si>
    <t>6540-L</t>
  </si>
  <si>
    <t>1439-L</t>
  </si>
  <si>
    <t>6510-I</t>
  </si>
  <si>
    <t>6430-K</t>
  </si>
  <si>
    <t>1439-F</t>
  </si>
  <si>
    <t>6530-D</t>
  </si>
  <si>
    <t>1437-J</t>
  </si>
  <si>
    <t>6460-D</t>
  </si>
  <si>
    <t>6450-A</t>
  </si>
  <si>
    <t>6556-G</t>
  </si>
  <si>
    <t>6530-C</t>
  </si>
  <si>
    <t>6500-J</t>
  </si>
  <si>
    <t>6537-C</t>
  </si>
  <si>
    <t>6530-H</t>
  </si>
  <si>
    <t>6500-F</t>
  </si>
  <si>
    <t>1441-C</t>
  </si>
  <si>
    <t>6430-E</t>
  </si>
  <si>
    <t>1439-E</t>
  </si>
  <si>
    <t>6510-F</t>
  </si>
  <si>
    <t>6450-L</t>
  </si>
  <si>
    <t>6537-I</t>
  </si>
  <si>
    <t>6500-A</t>
  </si>
  <si>
    <t>6530-K</t>
  </si>
  <si>
    <t>6450-H</t>
  </si>
  <si>
    <t>6520-A</t>
  </si>
  <si>
    <t>6500-H</t>
  </si>
  <si>
    <t>1437-L</t>
  </si>
  <si>
    <t>6540-C</t>
  </si>
  <si>
    <t>1441-F</t>
  </si>
  <si>
    <t>6540-I</t>
  </si>
  <si>
    <t>6460-I</t>
  </si>
  <si>
    <t>6450-D</t>
  </si>
  <si>
    <t>6520-C</t>
  </si>
  <si>
    <t>6510-J</t>
  </si>
  <si>
    <t>6440-C</t>
  </si>
  <si>
    <t>6440-D</t>
  </si>
  <si>
    <t>6450-K</t>
  </si>
  <si>
    <t>6520-J</t>
  </si>
  <si>
    <t>6450-G</t>
  </si>
  <si>
    <t>6540-G</t>
  </si>
  <si>
    <t>6500-I</t>
  </si>
  <si>
    <t>6530-A</t>
  </si>
  <si>
    <t>6520-E</t>
  </si>
  <si>
    <t>6440-A</t>
  </si>
  <si>
    <t>6510-H</t>
  </si>
  <si>
    <t>6537-E</t>
  </si>
  <si>
    <t>6440-J</t>
  </si>
  <si>
    <t>1441-G</t>
  </si>
  <si>
    <t>TA6115D</t>
  </si>
  <si>
    <t>TA6103A</t>
  </si>
  <si>
    <t>[]</t>
  </si>
  <si>
    <t>[Second Floor Stackable Washer and Dryer]</t>
  </si>
  <si>
    <t>[Third Floor Stackable Washer and Dryer]</t>
  </si>
  <si>
    <t>[Tile Backsplash Second Floor Oak Cabinets Black Appliances Stackable Washer and Dryer Microwave]</t>
  </si>
  <si>
    <t>[Tile Backsplash Third Floor Oak Cabinets Black Appliances Stackable Washer and Dryer Microwave]</t>
  </si>
  <si>
    <t>[Second Floor Tile Backsplash Oak Cabinets Black Appliances Stackable Washer and Dryer Microwave]</t>
  </si>
  <si>
    <t>[Tile Backsplash First Floor Vinyl Plank Flooring Espresso Cabinets Black Appliances Stackable Washer and Dryer Microwave]</t>
  </si>
  <si>
    <t>[Tile Backsplash Second Floor Espresso Cabinets Black Appliances Stackable Washer and Dryer Microwave]</t>
  </si>
  <si>
    <t>[First Floor Vinyl Plank Flooring Microwave Tile Backsplash Espresso Cabinets Black Appliances Stackable Washer and Dryer]</t>
  </si>
  <si>
    <t>[Tile Backsplash Third Floor Espresso Cabinets Black Appliances Stackable Washer and Dryer Microwave]</t>
  </si>
  <si>
    <t>[Tile Backsplash First Floor Espresso Cabinets Black Appliances Stackable Washer and Dryer Microwave]</t>
  </si>
  <si>
    <t>[Tile Backsplash First Floor Vinyl Plank Flooring Oak Cabinets Black Appliances Stackable Washer and Dryer Microwave]</t>
  </si>
  <si>
    <t>[Third Floor Microwave Tile Backsplash Espresso Cabinets Black Appliances Stackable Washer and Dryer]</t>
  </si>
  <si>
    <t>[Third Floor Tile Backsplash Espresso Cabinets Black Appliances Stackable Washer and Dryer Microwave]</t>
  </si>
  <si>
    <t>[Tile Backsplash Third Floor Modern White Cabinets Stainless Steel Appliances Stackable Washer and Dryer Microwave Dishwasher Granite Countertops]</t>
  </si>
  <si>
    <t>[Tile Backsplash Third Floor Espresso Cabinets Black Appliances Stackable Washer and Dryer Microwave Balcony]</t>
  </si>
  <si>
    <t>[Third Floor Tile Backsplash Granite Countertops Microwave Modern White Cabinets Stainless Steel Appliances Stackable Washer and Dryer Dishwasher]</t>
  </si>
  <si>
    <t>[Second Floor Tile Backsplash Granite Countertops Microwave Modern White Cabinets Stainless Steel Appliances Stackable Washer and Dryer Dishwasher]</t>
  </si>
  <si>
    <t>[Second Floor Tile Backsplash Espresso Cabinets Black Appliances Stackable Washer and Dryer Microwave]</t>
  </si>
  <si>
    <t>[Tile Backsplash Second Floor Espresso Cabinets Black Appliances Stackable Washer and Dryer Microwave Balcony]</t>
  </si>
  <si>
    <t>[First Floor Vinyl Plank Flooring Tile Backsplash Granite Countertops Microwave Modern White Cabinets Stainless Steel Appliances Stackable Washer and Dryer Dishwasher]</t>
  </si>
  <si>
    <t>[Second Floor Tile Backsplash Microwave Granite Countertops Modern White Cabinets Stainless Steel Appliances Stackable Washer and Dryer]</t>
  </si>
  <si>
    <t>[Third Floor Tile Backsplash Granite Countertops Microwave Modern White Cabinets Stainless Steel Appliances Stackable Washer and Dryer Dishwasher Balcony]</t>
  </si>
  <si>
    <t>[Third Floor Stackable Washer and Dryer Tile Backsplash Granite Countertops Microwave Stainless Steel Appliances Modern White Cabinets Dishwasher]</t>
  </si>
  <si>
    <t>[Second Floor Stackable Washer and Dryer Balcony Tile Backsplash Microwave Granite Countertops Modern White Cabinets Stainless Steel Appliances Dishwasher]</t>
  </si>
  <si>
    <t>[Tile Backsplash Third Floor Granite Countertops Microwave Modern White Cabinets Stainless Steel Appliances Stackable Washer and Dryer Dishwasher Six-Panel Doors]</t>
  </si>
  <si>
    <t>[Third Floor Tile Backsplash Granite Countertops Microwave Modern White Cabinets Stainless Steel Appliances Stackable Washer and Dryer Dishwasher Six-Panel Doors]</t>
  </si>
  <si>
    <t>[Tile Backsplash First Floor Vinyl Plank Flooring Kitchen Island Oak Cabinets Black Appliances Stackable Washer and Dryer Microwave]</t>
  </si>
  <si>
    <t>[Tile Backsplash First Floor Espresso Cabinets Black Appliances Stackable Washer and Dryer Microwave Vinyl Plank Flooring]</t>
  </si>
  <si>
    <t>[Tile Backsplash First Floor Oak Cabinets Black Appliances Stackable Washer and Dryer Microwave Vinyl Plank Flooring]</t>
  </si>
  <si>
    <t>[First Floor Tile Backsplash Vinyl Plank Flooring Microwave Granite Countertops Modern White Cabinets Stainless Steel Appliances Stackable Washer and Dryer Dishwasher]</t>
  </si>
  <si>
    <t>[First Floor Stackable Washer and Dryer]</t>
  </si>
  <si>
    <t>[Tile Backsplash First Floor Oak Cabinets Black Appliances Stackable Washer and Dryer Microwave]</t>
  </si>
  <si>
    <t>[First Floor Tile Backsplash Oak Cabinets Black Appliances Stackable Washer and Dryer Microwave]</t>
  </si>
  <si>
    <t>[Second Floor Tile Backsplash Espresso Cabinets Black Appliances Stackable Washer and Dryer Microwave Balcony]</t>
  </si>
  <si>
    <t>[Third Floor Microwave Tile Backsplash Espresso Cabinets Black Appliances Stackable Washer and Dryer Balcony]</t>
  </si>
  <si>
    <t>[Tile Backsplash Granite Countertops Second Floor Oak Cabinets Black Appliances Stackable Washer and Dryer Microwave]</t>
  </si>
  <si>
    <t>[First Floor Vinyl Plank Flooring Tile Backsplash Microwave Granite Countertops Modern White Cabinets Stainless Steel Appliances Stackable Washer and Dryer Dishwasher]</t>
  </si>
  <si>
    <t>[Third Floor Stackable Washer and Dryer Balcony Six-Panel Doors]</t>
  </si>
  <si>
    <t>[Third Floor Stackable Washer and Dryer Granite Countertops Microwave Tile Backsplash Modern White Cabinets Stainless Steel Appliances Dishwasher]</t>
  </si>
  <si>
    <t>[First Floor Vinyl Plank Flooring Tile Backsplash Granite Countertops Microwave Modern White Cabinets Stainless Steel Appliances Stackable Washer and Dryer]</t>
  </si>
  <si>
    <t>[Second Floor Stainless Steel Appliances Stackable Washer and Dryer Oak Cabinets Dishwasher Microwave]</t>
  </si>
  <si>
    <t>[Tile Backsplash Granite Countertops First Floor Oak Cabinets Black Appliances Stackable Washer and Dryer Microwave]</t>
  </si>
  <si>
    <t>[Second Floor Tile Backsplash Granite Countertops Microwave Oak Cabinets Modern White Cabinets Stainless Steel Appliances Stackable Washer and Dryer]</t>
  </si>
  <si>
    <t>[Third Floor Tile Backsplash Oak Cabinets Black Appliances Stackable Washer and Dryer Microwave]</t>
  </si>
  <si>
    <t>[Third Floor Tile Backsplash Granite Countertops Microwave Modern White Cabinets Stainless Steel Appliances Stackable Washer and Dryer]</t>
  </si>
  <si>
    <t>[Second Floor Stackable Washer and Dryer Tile Backsplash Microwave Granite Countertops Modern White Cabinets Stainless Steel Appliances Dishwasher]</t>
  </si>
  <si>
    <t>[First Floor Tile Backsplash Vinyl Plank Flooring Espresso Cabinets Black Appliances Stackable Washer and Dryer Microwave]</t>
  </si>
  <si>
    <t>[First Floor Vinyl Plank Flooring Tile Backsplash Granite Countertops Microwave Modern White Cabinets Stainless Steel Appliances Stackable Washer and Dryer Dishwasher Six-Panel Doors]</t>
  </si>
  <si>
    <t>[Neutral, Plush, Wall-to-Wall Carpeting Throughout Entertainment Size, Carpeted Balcony/Patios Cabinetry and No Wax Flo Refrigerator with Ice Maker Self Cleaning Oven Built-In Microwave Oven All New Energy Efficient Windows Throughout Unique Panoramic Window-Wall Spanning Living and Dining Room Upgraded interior doors Custom Home Size Closets Dishwasher Select your own custom color paint for an accent wall in any room]</t>
  </si>
  <si>
    <t>[Neutral, Plush, Wall-to-Wall Carpeting Throughout Entertainment Size, Carpeted Balcony/Patios Cabinetry and No Wax Flo Refrigerator with Ice Maker Self Cleaning Oven Built-In Microwave Oven All New Energy Efficient Windows Throughout Unique Panoramic Window-Wall Spanning Living and Dining Room Upgraded interior doors Custom Home Size Closets Faux Granite Countertops Stainless Steel Backsplash Faux Wood Flooring in the Foyer, Kitchen, and Hallways 6 Panel Closet Doors Stainless Steel Hardware All Black Appliances Upgraded light fixtures Dishwasher Select your own custom color paint for an accent wall in any room]</t>
  </si>
  <si>
    <t>[Neutral, Plush, Wall-to-Wall Carpeting Throughout Entertainment Size, Carpeted Balcony/Patios Cabinetry and No Wax Flo Refrigerator with Ice Maker Self Cleaning Oven Built-In Microwave Oven All New Energy Efficient Windows Throughout Unique Panoramic Window-Wall Spanning Living and Dining Room Upgraded interior doors Custom Home Size Closets Wooded View Dishwasher Select your own custom color paint for an accent wall in any room]</t>
  </si>
  <si>
    <t>[Neutral, Plush, Wall-to-Wall Carpeting Throughout Entertainment Size, Carpeted Balcony/Patios Cabinetry and No Wax Flo Refrigerator with Ice Maker Self Cleaning Oven Built-In Microwave Oven All New Energy Efficient Windows Throughout Unique Panoramic Window-Wall Spanning Living and Dining Room Upgraded interior doors Custom Home Size Closets Wall View Dishwasher Select your own custom color paint for an accent wall in any room]</t>
  </si>
  <si>
    <t>[Neutral, Plush, Wall-to-Wall Carpeting Throughout Entertainment Size, Carpeted Balcony/Patios Cabinetry and No Wax Flo Refrigerator with Ice Maker Self Cleaning Oven Built-In Microwave Oven All New Energy Efficient Windows Throughout Unique Panoramic Window-Wall Spanning Living and Dining Room Upgraded interior doors Custom Home Size Closets Faux Granite Countertops Stainless Steel Backsplash Faux Wood Flooring in the Foyer, Kitchen, and Hallways 6 Panel Closet Doors Upgraded light fixtures Stainless steel appliances Wooded View Dishwasher Select your own custom color paint for an accent wall in any room]</t>
  </si>
  <si>
    <t>[Neutral, Plush, Wall-to-Wall Carpeting Throughout Entertainment Size, Carpeted Balcony/Patios Cabinetry and No Wax Flo Refrigerator with Ice Maker Self Cleaning Oven Built-In Microwave Oven All New Energy Efficient Windows Throughout Unique Panoramic Window-Wall Spanning Living and Dining Room Upgraded interior doors Custom Home Size Closets Faux Granite Countertops Stainless Steel Backsplash Faux Wood Flooring in the Foyer, Kitchen, and Hallways 6 Panel Closet Doors Stainless Steel Hardware Upgraded light fixtures Stainless steel appliances Dishwasher Select your own custom color paint for an accent wall in any room]</t>
  </si>
  <si>
    <t>[Neutral, Plush, Wall-to-Wall Carpeting Throughout Entertainment Size, Carpeted Balcony/Patios Cabinetry and No Wax Flo Refrigerator with Ice Maker Self Cleaning Oven Built-In Microwave Oven All New Energy Efficient Windows Throughout Unique Panoramic Window-Wall Spanning Living and Dining Room Upgraded interior doors Custom Home Size Closets Faux Granite Countertops Faux Wood Flooring in the Foyer, Kitchen, and Hallways 6 Panel Closet Doors Stainless Steel Hardware All Black Appliances Upgraded light fixtures Dishwasher Select your own custom color paint for an accent wall in any room]</t>
  </si>
  <si>
    <t>[Neutral, Plush, Wall-to-Wall Carpeting Throughout Entertainment Size, Carpeted Balcony/Patios Cabinetry and No Wax Flo Refrigerator with Ice Maker Self Cleaning Oven Built-In Microwave Oven All New Energy Efficient Windows Throughout Unique Panoramic Window-Wall Spanning Living and Dining Room Upgraded interior doors Custom Home Size Closets Dishwasher]</t>
  </si>
  <si>
    <t>[Neutral, Plush, Wall-to-Wall Carpeting Throughout Entertainment Size, Carpeted Balcony/Patios Cabinetry and No Wax Flo Refrigerator with Ice Maker Self Cleaning Oven Built-In Microwave Oven All New Energy Efficient Windows Throughout Unique Panoramic Window-Wall Spanning Living and Dining Room Custom Home Size Closets Dishwasher Select your own custom color paint for an accent wall in any room]</t>
  </si>
  <si>
    <t>[Neutral, Plush, Wall-to-Wall Carpeting Throughout Entertainment Size, Carpeted Balcony/Patios Cabinetry and No Wax Flo Refrigerator with Ice Maker Self Cleaning Oven Built-In Microwave Oven All New Energy Efficient Windows Throughout Unique Panoramic Window-Wall Spanning Living and Dining Room Upgraded interior doors Custom Home Size Closets Different Layout Dishwasher Select your own custom color paint for an accent wall in any room]</t>
  </si>
  <si>
    <t>[Custom Closet system to meet your needs Upgraded Vinyl Flooring and Carpeting Custom Accent Walls Mini Blinds for All Windows Full-Size Washer and Dryer New Thermal Pane Energy Efficient Windows Plentiful Natural Light and Cross Ventilation Ceiling Fans in Bedrooms 6 Panel Interior Doors Fresh New Kitchens with Maple Cabinets and Kenmore Appliances]</t>
  </si>
  <si>
    <t>[Custom Closet system to meet your needs Upgraded Vinyl Flooring and Carpeting Custom Accent Walls Mini Blinds for All Windows Full-Size Washer and Dryer New Thermal Pane Energy Efficient Windows Plentiful Natural Light and Cross Ventilation Fresh New Kitchens with Maple Cabinets and Kenmore Appliances Ceiling Fans in Bedrooms 6 Panel Interior Doors]</t>
  </si>
  <si>
    <t>[Custom Closet system to meet your needs Upgraded Vinyl Flooring and Carpeting Custom Accent Walls Mini Blinds for All Windows Full-Size Washer and Dryer New Thermal Pane Energy Efficient Windows Plentiful Natural Light and Cross Ventilation 6 Panel Interior Doors Ceiling Fans in Bedrooms Fresh New Kitchens with Maple Cabinets and Kenmore Appliances]</t>
  </si>
  <si>
    <t>[Custom Closet system to meet your needs Upgraded Vinyl Flooring and Carpeting Custom Accent Walls Mini Blinds for All Windows Full-Size Washer and Dryer New Thermal Pane Energy Efficient Windows Plentiful Natural Light and Cross Ventilation Fresh New Kitchens with Maple Cabinets and Kenmore Appliances Ceiling Fans in Bedrooms 6 Panel Interior Doors Upgraded Wood Plank Flooring]</t>
  </si>
  <si>
    <t>[Custom Closet system to meet your needs Upgraded Vinyl Flooring and Carpeting Ceiling Fans in Bedrooms Custom Accent Walls Mini Blinds for All Windows Full-Size Washer and Dryer New Thermal Pane Energy Efficient Windows Plentiful Natural Light and Cross Ventilation Fresh New Kitchens with Maple Cabinets and Kenmore Appliances 6 Panel Interior Doors]</t>
  </si>
  <si>
    <t>[Custom Closet system to meet your needs Upgraded Vinyl Flooring and Carpeting Upgraded Wood Plank Flooring Upgraded Black Whirlpool Appliance Package Ceiling Fans in Bedrooms Custom Accent Walls Mini Blinds for All Windows Full-Size Washer and Dryer New Thermal Pane Energy Efficient Windows Plentiful Natural Light and Cross Ventilation Fresh New Kitchens with Maple Cabinets and Kenmore Appliances 6 Panel Interior Doors]</t>
  </si>
  <si>
    <t>[Wood-Look Luxury Vinyl Black appliances]</t>
  </si>
  <si>
    <t>[Wood-Look Luxury Vinyl]</t>
  </si>
  <si>
    <t>[Black appliances Wood-Look Luxury Vinyl]</t>
  </si>
  <si>
    <t>[Top Floor with Balcony]</t>
  </si>
  <si>
    <t>[den]</t>
  </si>
  <si>
    <t>[washer_dryer floor washer_dryer.stackable]</t>
  </si>
  <si>
    <t>[washer_dryer floor washer_dryer.stackable dishwasher]</t>
  </si>
  <si>
    <t>[washer_dryer floor washer_dryer.stackable balcony_patio]</t>
  </si>
  <si>
    <t>[washer_dryer.stackable balcony_patio washer_dryer floor dishwasher]</t>
  </si>
  <si>
    <t>[kitchen_island washer_dryer floor washer_dryer.stackable]</t>
  </si>
  <si>
    <t>[den washer_dryer floor washer_dryer.stackable]</t>
  </si>
  <si>
    <t>[den washer_dryer.stackable washer_dryer floor dishwasher]</t>
  </si>
  <si>
    <t>[den washer_dryer.stackable balcony_patio washer_dryer floor dishwasher]</t>
  </si>
  <si>
    <t>[balcony_patio]</t>
  </si>
  <si>
    <t>[townhome]</t>
  </si>
  <si>
    <t>[renovated dishwasher balcony_patio.large balcony_patio]</t>
  </si>
  <si>
    <t>[renovated dishwasher balcony_patio.large balcony_patio balcony_patio]</t>
  </si>
  <si>
    <t>[balcony_patio renovated.partially renovated balcony_patio.large dishwasher balcony_patio]</t>
  </si>
  <si>
    <t>[view.woods balcony_patio view renovated balcony_patio.large dishwasher balcony_patio]</t>
  </si>
  <si>
    <t>[view.woods balcony_patio renovated.partially view renovated balcony_patio.large dishwasher balcony_patio]</t>
  </si>
  <si>
    <t>[dishwasher balcony_patio.large balcony_patio balcony_patio]</t>
  </si>
  <si>
    <t>[renovated washer_dryer.full_size washer_dryer]</t>
  </si>
  <si>
    <t>[renovated washer_dryer.full_size balcony_patio washer_dryer]</t>
  </si>
  <si>
    <t>[renovated]</t>
  </si>
  <si>
    <t>[renovated washer_dryer.full_size townhome washer_dryer]</t>
  </si>
  <si>
    <t>[renovated townhome]</t>
  </si>
  <si>
    <t>[floor.penthouse floor balcony_patio]</t>
  </si>
  <si>
    <t>[laundry_service additional_storage_space_outside_unit cats_allowed gated_community_access parking_included laundry_room community_chef_kitchen_space on_site_management recycling terrace on_site_maintenance 24_hour_maintenance]</t>
  </si>
  <si>
    <t>[laundry_service dogs_allowed additional_storage_space_outside_unit cats_allowed parking_included laundry_room on_site_management non_smoking controlled_access pets_allowed 24_hour_maintenance]</t>
  </si>
  <si>
    <t>[courtyard community_dog_park online_payment_portal 24_hour_maintenance dogs_allowed security_system on_site_management package_lockers pet_daycare_service playground cats_allowed reserved_parking resident_events business_center non_smoking on_site_maintenance pets_allowed fitness_center]</t>
  </si>
  <si>
    <t>[laundry_service dogs_allowed cats_allowed laundry_room recycling non_smoking on_site_maintenance pets_allowed]</t>
  </si>
  <si>
    <t>[courtyard playground online_payment_portal laundry_service 24_hour_maintenance dogs_allowed additional_storage_space_outside_unit cats_allowed parking_included laundry_room fitness_center on_site_management security_system business_center on_site_maintenance pets_allowed ada_compliant]</t>
  </si>
  <si>
    <t>[online_payment_portal laundry_service lounge laundry_room fitness_center on_site_management internet_lounge elevator recycling ada_compliant club_house_party_room gated_community_access lobby swimming_pool resident_events controlled_access landscaping valet_trash_service non_smoking on_site_maintenance 24_hour_maintenance]</t>
  </si>
  <si>
    <t>[community_dog_park online_payment_portal dogs_allowed fitness_center security_system on_site_management ada_compliant playground cats_allowed gated_community_access swimming_pool resident_events controlled_access valet_trash_service business_center non_smoking on_site_maintenance pets_allowed 24_hour_maintenance]</t>
  </si>
  <si>
    <t>[online_payment_portal laundry_service dogs_allowed parking_included laundry_room on_site_management package_receiving recycling ada_compliant playground additional_storage_space_outside_unit basketball_court cats_allowed resident_events on_site_maintenance controlled_access pets_allowed 24_hour_maintenance]</t>
  </si>
  <si>
    <t>[air_conditioning central_heat sewer_included window_covering dishwasher central_air_conditioning smart_thermostat trash_service_included range water_included bath_tub carpet living_room large_closets patio_or_balcony refrigerator deck recently_renovated garbage_disposal tile_floor furnished view hardwood_floor private_entrance oven]</t>
  </si>
  <si>
    <t>[carpet oven air_conditioning large_closets heat_included patio_or_balcony central_heat refrigerator recently_renovated dishwasher microwave garbage_disposal furnished water_included range walk_in_closet bath_tub]</t>
  </si>
  <si>
    <t>[air_conditioning vinyl_floor internet_included window_covering dishwasher washer_dryer_in_unit granite_countertops microwave dining_room eat_in_kitchen central_air_conditioning range faux_wood_floor carpet kitchen_island ceiling_fan large_closets refrigerator walk_in_closet stainless_steel_appliances backsplash black_appliances den garbage_disposal view patio_or_balcony oven]</t>
  </si>
  <si>
    <t>[carpet air_conditioning large_closets heat_included vinyl_floor sewer_included refrigerator window_covering water_included garbage_disposal central_air_conditioning view trash_service_included range walk_in_closet oven]</t>
  </si>
  <si>
    <t>[air_conditioning central_heat vinyl_floor sewer_included washer_dryer_in_unit eat_in_kitchen central_air_conditioning nature_view water_included trash_service_included range bath_tub carpet ceiling_fan large_closets washer_dryer_hookups patio_or_balcony refrigerator recently_renovated garbage_disposal tile_floor view hardwood_floor walk_in_closet oven]</t>
  </si>
  <si>
    <t>[air_conditioning sewer_included internet_included dishwasher granite_countertops microwave nature_view trash_service_included range floor_to_ceiling_windows faux_wood_floor water_included bath_tub carpet heat_included refrigerator recently_renovated stainless_steel_appliances backsplash black_appliances garbage_disposal view electricity_included hardwood_floor patio_or_balcony oven]</t>
  </si>
  <si>
    <t>[air_conditioning vinyl_floor linoleum_floor dishwasher washer_dryer_in_unit microwave eat_in_kitchen quartz_countertops large_bedrooms private_entrance range window_ac_unit bath_tub kitchen_island carpet ceiling_fan large_closets washer_dryer_hookups refrigerator recently_renovated stainless_steel_appliances double_sink_vanity garbage_disposal view hardwood_floor walk_in_closet oven]</t>
  </si>
  <si>
    <t>[carpet air_conditioning bath_tub sewer_included refrigerator window_covering water_included dishwasher washer_dryer_in_unit dining_room microwave garbage_disposal hardwood_floor trash_service_included range oven]</t>
  </si>
  <si>
    <t>4/10</t>
  </si>
  <si>
    <t>5/10</t>
  </si>
  <si>
    <t>3/10</t>
  </si>
  <si>
    <t>-</t>
  </si>
  <si>
    <t>6/10</t>
  </si>
  <si>
    <t>7/10</t>
  </si>
  <si>
    <t>2/10</t>
  </si>
  <si>
    <t>8/10</t>
  </si>
  <si>
    <t>5% Off Your Monthly Rent PLUS Up To One Month Free!!!!! Prices and Specials Subject To Change Without Notice.</t>
  </si>
  <si>
    <t>5% Off Your Monthly Rent PLUS Up To $300 Waived!!!!! Prices and Specials Subject To Change Without Notice.</t>
  </si>
  <si>
    <t>5% Off Your Monthly Rent PLUS Up To $400 Waived!!!!! Prices and Specials Subject To Change Without Notice.</t>
  </si>
  <si>
    <t>Call Today! Prices and Specials Subject To Change Without Notice.</t>
  </si>
  <si>
    <t>Get 5% off monthly rent and $300 in waived rent at Stratford Apartments and Malvern Apartments. Call Today! Prices and Specials Subject To Change Without Notice.</t>
  </si>
  <si>
    <t>Get 5% off monthly rent + $300 in waived rent at Stratford and Malvern Apartments. **Prices and availability are subject to change without notice.**</t>
  </si>
  <si>
    <t>Get 5% off monthly rent + $300 in waived rent at Stratford Apartments. **Prices and availability are subject to change without notice.**</t>
  </si>
  <si>
    <t>"""Get 5% off monthly rent + $300 in waived rent at Hillendale Gate Community""
""Get 5% off monthly rent + $300 in waived rent at Tall Oaks Community"""</t>
  </si>
  <si>
    <t>""Get 5% off monthly rent + $300 in waived rent at Tall Oaks Community"""</t>
  </si>
  <si>
    <t>z - 2 0 %   P o l i c e ;   z - 5 %   F i r e f i g h t e r ;   z - 5 %   M e d i c a l ;   z - 5 %   M i l i t a r y ;   z - 5 %   P o l i c e ;   z - 5 %   S e n i o r ;   z - 5 %   S t u d e n t ;   z - 5 %   T e a c h e r .</t>
  </si>
  <si>
    <t>Move in without paying a traditional security deposit. Replace your security deposit with a low-cost Jetty policy. Ask our leasing team for details.</t>
  </si>
  <si>
    <t>FREE RENT | 1 Month Free! Applies to residents with move-in dates between 7/1/2023 and 7/15/2023. Certain restrictions apply. Offer on select homes only. Move in without paying a traditional security deposit. Replace your security deposit with a low-cost Jetty policy. Ask our leasing team for details.</t>
  </si>
  <si>
    <t>FREE RENT | 1 Month Free! Applies to residents with move-in dates between 7/01/2023 and 7/31/2023. Certain restrictions apply. Offer on select homes only. Move in without paying a traditional security deposit. Replace your security deposit with a low-cost Jetty policy. Ask our leasing team for details.</t>
  </si>
  <si>
    <t>FREE RENT | 1.5 Months Free! Certain restrictions apply. Offer on select homes only. Must apply by 7/25/2023. Move in without paying a traditional security deposit. Replace your security deposit with a low-cost Jetty policy. Ask our leasing team for details.</t>
  </si>
  <si>
    <t>FREE RENT | 1.5 Months Free! Applies to residents with move-in dates between 7/28/2023 and 8/11/2023. Certain restrictions apply. Offer on select homes only. Move in without paying a traditional security deposit. Replace your security deposit with a low-cost Jetty policy. Ask our leasing team for details.</t>
  </si>
  <si>
    <t>FREE RENT | 1 Month Free! Applies to residents with move-in dates between 7/28/2023 and 8/11/2023. Certain restrictions apply. Offer on select homes only. Move in without paying a traditional security deposit. Replace your security deposit with a low-cost Jetty policy. Ask our leasing team for details.</t>
  </si>
  <si>
    <t>FREE RENT | 1 Month Free! *Applies to residents with move-in dates between 7/28/2023 and 8/22/2023. Certain restrictions apply. Offer on select homes only. Move in without paying a traditional security deposit. Replace your security deposit with a low-cost Jetty policy. Ask our leasing team for details.</t>
  </si>
  <si>
    <t>FREE RENT | One Month Free! *Applies to residents with move-in dates between 8/15/2023 and 9/15/2023. Certain restrictions apply. Offer on select homes only. Move in without paying a traditional security deposit. Replace your security deposit with a low-cost Jetty policy. Ask our leasing team for details.</t>
  </si>
  <si>
    <t>FREE RENT | 1 Month Free! Applies to residents with move-in dates between 8/15/2023 and 9/30/2023. Certain restrictions apply. Offer on select homes only. Move in without paying a traditional security deposit. Replace your security deposit with a low-cost Jetty policy. Ask our leasing team for details.</t>
  </si>
  <si>
    <t>FREE RENT | 1 Month Free! Applies to residents with move-in dates between 10/3/2023 and 10/13/2023. Certain restrictions apply. Offer on select homes only. Move in without paying a traditional security deposit. Replace your security deposit with a low-cost Jetty policy. Ask our leasing team for details.</t>
  </si>
  <si>
    <t>$1000 Off Your Move In! Apply Today! *Applies to new move ins between 2/6/24-2/29/24. On select homes. Certain restrictions apply. Move in without paying a traditional security deposit. Replace your security deposit with a low-cost Jetty policy. Ask our leasing team for details.</t>
  </si>
  <si>
    <t>$1000 Off Your Move In! Tour and Apply Today! *Applies to new move ins between 3/20/24-4/9/24. On select homes. Certain restrictions apply. Move in without paying a traditional security deposit. Replace your security deposit with a low-cost Jetty policy. Ask our leasing team for details.</t>
  </si>
  <si>
    <t>Reduced Security Deposits + Waived Amenity Fees! Tour and Apply Today! *Applies to new move ins between 5/22/24-6/30/24. Security Deposit reduction applies to standard approval. On select homes. Certain restrictions apply.</t>
  </si>
  <si>
    <t>Beginning of Summer Savings | $1 Application Fees, Waived Amenity Fees, and up to $750 Off Your Move In! Tour and Apply Today! *Application Fee special applies to approved applications between 6/17/24-6/23/24. Waived amenity fees applies to approved applications between 5/22/24-6/30/24. On select homes. Certain restrictions apply.</t>
  </si>
  <si>
    <t>Beginning of Summer Savings | Waived Amenity Fees and up to $750 off Your Move In! Tour and Apply Today! *Applies to new move ins between 7/1/24-7/19/24. On select homes. Certain restrictions apply.</t>
  </si>
  <si>
    <t>Save $350 off Your Move-in | Apply Today! *</t>
  </si>
  <si>
    <t>Save $350 off Your Move-in | Apply Today! * Waived One Time Move-in Pet Fees! *Applies to new move-ins between 7/25/24-8/31/24. On select homes. Certain restrictions apply.</t>
  </si>
  <si>
    <t>Save $350 off Your Move-in | Apply Today! * Waived One Time Move-in Pet Fees! *Applies to new move-ins between 7/25/24-8/31/24. On select homes. Certain restrictions apply.
1 Month FREE Rent! * Tour and Apply Today! *Applies to new move-ins between 11/13/24 - 11/30/24. On select homes. Certain restrictions apply.</t>
  </si>
  <si>
    <t>1 Month FREE Rent! * Tour and Apply Today! *Applies to new move-ins between 11/13/24 - 11/30/24. On select homes. Certain restrictions apply.</t>
  </si>
  <si>
    <t>Limited Time Offer: Waived Amenity Fees for 1 Year! * Tour and Apply Today! *Applies to new move-ins between 4/25/25 - 5/20/25 on select homes. Certain restrictions apply.</t>
  </si>
  <si>
    <t>Online Leasing Promo Code: FREEAPP25 - Waiving Application Fee - $25.00 off</t>
  </si>
  <si>
    <t>Apply Today and Receive One Month Rent Free! *Special subject to change and rewarded after move-in. Contact our leasing office for more information. Offer valid while supplies last.</t>
  </si>
  <si>
    <t>Sign a Lease by December 31, 2024 to Receive One Month Free Rent!..*Income guidelines apply. Guidelines and special subject to change. Offer valid while supplies last. Contact our leasing office for more details.</t>
  </si>
  <si>
    <t>Sign a Lease by December 31, 2024 to Receive One Month Free Rent!..*Income guidelines apply. Guidelines and special subject to change. Offer valid while supplies last. Contact our leasing office for more details.
Sign a Lease by December 31, 2024 to Receive One Month Free Rent!</t>
  </si>
  <si>
    <t>Sign a Lease by December 31, 2024 to Receive One Month Free Rent!
Sign a Lease by December 31, 2024 to Receive One Month Free Rent!..*Income guidelines apply. Guidelines and special subject to change. Offer valid while supplies last. Contact our leasing office for more details.</t>
  </si>
  <si>
    <t>Sign a Lease by December 31, 2024 to Receive One Month Free Rent!</t>
  </si>
  <si>
    <t>Move in by October 5, 2023 and get $150 off your monthly rent for a year on our one and two bedroom apartments! Limited time offer. Restrictions apply.</t>
  </si>
  <si>
    <t>Move in by October 15, 2023 and get $150 off your monthly rent for a year on our one and two bedroom apartments! Limited time offer. Restrictions apply.</t>
  </si>
  <si>
    <t>Waved Application Fee</t>
  </si>
  <si>
    <t>FREE Application</t>
  </si>
  <si>
    <t>1 Month FREE</t>
  </si>
  <si>
    <t>1 Month FREE* Price listed reflect the 1 month free with 12 month lease</t>
  </si>
  <si>
    <t>. . Spring into Savings at Dutch Village! . . We’re soaking up the sunshine and warm weather this season at Dutch Village Apartments—and there’s never been a better time to make your move! . . For a limited time, we’re offering reduced rates for your convenience. Apply online or schedule your in-person tour today—we can’t wait to welcome you home!</t>
  </si>
  <si>
    <t>Move in without paying a security deposit! We are now deposit-free! Pay as little as $5/month while meeting your move-in requirements. Ask us how!</t>
  </si>
  <si>
    <t>Call Leasing for Our Spring Special! Limited Time Only</t>
  </si>
  <si>
    <t>Get $300 off.your first full.Month's rent!terms and conditions.applyCall for details!</t>
  </si>
  <si>
    <t>Get $300 off.your first full.Month's rent!terms and conditions applyCall for details!</t>
  </si>
  <si>
    <t>Get $300 off . your first full . Month's rent! terms and conditions apply Call for details!</t>
  </si>
  <si>
    <t>Available on January 9, 2025</t>
  </si>
  <si>
    <t>Available on January 3, 2025
Available on January 9, 2025</t>
  </si>
  <si>
    <t>Available on January 6, 2025</t>
  </si>
  <si>
    <t>Available on January 13, 2025</t>
  </si>
  <si>
    <t>Available on January 6, 2025
Available on January 9, 2025</t>
  </si>
  <si>
    <t>Available on January 13, 2025
Available on January 9, 2025</t>
  </si>
  <si>
    <t>Available on February 4, 2025</t>
  </si>
  <si>
    <t>Available on February 19, 2025</t>
  </si>
  <si>
    <t>Available on February 28, 2025</t>
  </si>
  <si>
    <t>Available on February 28, 2025
Available on March 17, 2025</t>
  </si>
  <si>
    <t>Available on March 17, 2025</t>
  </si>
  <si>
    <t>Available on March 18, 2025</t>
  </si>
  <si>
    <t>One month Free! One month FREE &amp; Application fee FREE! -- Move in by October 31st and enter to win $250 Walmart Gift Card!</t>
  </si>
  <si>
    <t>Free Month and TV Giveaway! 1 month free specials and a 55" TV on select units</t>
  </si>
  <si>
    <t>Free water, free trash removal and free parking</t>
  </si>
  <si>
    <t>First Month Free
First Month Rent Free</t>
  </si>
  <si>
    <t>One Month Free with a 12 month lease
First Month Free
First Month Rent Free</t>
  </si>
  <si>
    <t>2024-01-25</t>
  </si>
  <si>
    <t>2024-02-01</t>
  </si>
  <si>
    <t>2024-07-06</t>
  </si>
  <si>
    <t>2024-08-02</t>
  </si>
  <si>
    <t>2024-12-20</t>
  </si>
  <si>
    <t>2025-01-11</t>
  </si>
  <si>
    <t>2025-01-30</t>
  </si>
  <si>
    <t>2025-03-06</t>
  </si>
  <si>
    <t>2025-03-13</t>
  </si>
  <si>
    <t>2025-04-13</t>
  </si>
  <si>
    <t>2025-04-30</t>
  </si>
  <si>
    <t>2025-05-07</t>
  </si>
  <si>
    <t>2023-06-17</t>
  </si>
  <si>
    <t>2023-07-04</t>
  </si>
  <si>
    <t>2023-07-12</t>
  </si>
  <si>
    <t>2023-07-21</t>
  </si>
  <si>
    <t>2023-07-26</t>
  </si>
  <si>
    <t>2023-08-01</t>
  </si>
  <si>
    <t>2023-08-02</t>
  </si>
  <si>
    <t>2023-08-10</t>
  </si>
  <si>
    <t>2023-08-16</t>
  </si>
  <si>
    <t>2023-09-12</t>
  </si>
  <si>
    <t>2023-10-03</t>
  </si>
  <si>
    <t>2023-10-04</t>
  </si>
  <si>
    <t>2023-10-14</t>
  </si>
  <si>
    <t>2024-02-08</t>
  </si>
  <si>
    <t>2024-03-01</t>
  </si>
  <si>
    <t>2024-03-21</t>
  </si>
  <si>
    <t>2024-04-10</t>
  </si>
  <si>
    <t>2024-05-23</t>
  </si>
  <si>
    <t>2024-06-19</t>
  </si>
  <si>
    <t>2024-07-03</t>
  </si>
  <si>
    <t>2024-08-08</t>
  </si>
  <si>
    <t>2024-09-27</t>
  </si>
  <si>
    <t>2024-11-14</t>
  </si>
  <si>
    <t>2024-11-15</t>
  </si>
  <si>
    <t>2025-04-26</t>
  </si>
  <si>
    <t>2023-07-13</t>
  </si>
  <si>
    <t>2024-10-17</t>
  </si>
  <si>
    <t>2024-11-03</t>
  </si>
  <si>
    <t>2024-11-06</t>
  </si>
  <si>
    <t>2024-12-06</t>
  </si>
  <si>
    <t>2024-12-07</t>
  </si>
  <si>
    <t>2024-12-08</t>
  </si>
  <si>
    <t>2024-12-09</t>
  </si>
  <si>
    <t>2024-12-11</t>
  </si>
  <si>
    <t>2024-12-12</t>
  </si>
  <si>
    <t>2024-12-13</t>
  </si>
  <si>
    <t>2024-12-18</t>
  </si>
  <si>
    <t>2024-12-19</t>
  </si>
  <si>
    <t>2023-09-21</t>
  </si>
  <si>
    <t>2023-10-07</t>
  </si>
  <si>
    <t>2024-06-01</t>
  </si>
  <si>
    <t>2024-06-07</t>
  </si>
  <si>
    <t>2024-06-28</t>
  </si>
  <si>
    <t>2024-07-16</t>
  </si>
  <si>
    <t>2025-04-16</t>
  </si>
  <si>
    <t>2024-10-02</t>
  </si>
  <si>
    <t>2024-10-03</t>
  </si>
  <si>
    <t>2024-10-24</t>
  </si>
  <si>
    <t>2024-12-25</t>
  </si>
  <si>
    <t>2024-12-26</t>
  </si>
  <si>
    <t>2024-12-28</t>
  </si>
  <si>
    <t>2025-01-01</t>
  </si>
  <si>
    <t>2025-01-06</t>
  </si>
  <si>
    <t>2025-01-09</t>
  </si>
  <si>
    <t>2025-01-28</t>
  </si>
  <si>
    <t>2025-02-14</t>
  </si>
  <si>
    <t>2025-02-19</t>
  </si>
  <si>
    <t>2025-02-25</t>
  </si>
  <si>
    <t>2025-02-26</t>
  </si>
  <si>
    <t>2025-03-11</t>
  </si>
  <si>
    <t>2023-09-28</t>
  </si>
  <si>
    <t>2024-01-30</t>
  </si>
  <si>
    <t>2024-11-23</t>
  </si>
  <si>
    <t>2024-11-27</t>
  </si>
  <si>
    <t>2024-11-29</t>
  </si>
  <si>
    <t>2025-03-25</t>
  </si>
  <si>
    <t>2025-03-29</t>
  </si>
  <si>
    <t>2025-04-18</t>
  </si>
  <si>
    <t>2025-04-21</t>
  </si>
  <si>
    <t>2025-04-23</t>
  </si>
  <si>
    <t>2025-05-01</t>
  </si>
  <si>
    <t>2024-01-27</t>
  </si>
  <si>
    <t>2024-04-19</t>
  </si>
  <si>
    <t>2024-08-23</t>
  </si>
  <si>
    <t>2025-01-29</t>
  </si>
  <si>
    <t>2025-02-17</t>
  </si>
  <si>
    <t>2025-04-28</t>
  </si>
  <si>
    <t>2025-05-04</t>
  </si>
  <si>
    <t>2023-07-03</t>
  </si>
  <si>
    <t>2023-07-11</t>
  </si>
  <si>
    <t>2023-07-20</t>
  </si>
  <si>
    <t>2023-07-25</t>
  </si>
  <si>
    <t>2023-07-31</t>
  </si>
  <si>
    <t>2023-08-09</t>
  </si>
  <si>
    <t>2023-08-15</t>
  </si>
  <si>
    <t>2023-09-11</t>
  </si>
  <si>
    <t>2023-10-02</t>
  </si>
  <si>
    <t>2023-10-13</t>
  </si>
  <si>
    <t>2024-02-07</t>
  </si>
  <si>
    <t>2024-02-29</t>
  </si>
  <si>
    <t>2024-03-20</t>
  </si>
  <si>
    <t>2024-04-09</t>
  </si>
  <si>
    <t>2024-05-22</t>
  </si>
  <si>
    <t>2024-06-18</t>
  </si>
  <si>
    <t>2024-06-30</t>
  </si>
  <si>
    <t>2024-07-18</t>
  </si>
  <si>
    <t>2024-09-26</t>
  </si>
  <si>
    <t>2024-11-13</t>
  </si>
  <si>
    <t>2025-04-25</t>
  </si>
  <si>
    <t>2023-07-14</t>
  </si>
  <si>
    <t>2024-11-01</t>
  </si>
  <si>
    <t>2024-11-04</t>
  </si>
  <si>
    <t>2024-12-05</t>
  </si>
  <si>
    <t>2024-12-10</t>
  </si>
  <si>
    <t>2024-12-17</t>
  </si>
  <si>
    <t>2024-12-31</t>
  </si>
  <si>
    <t>2023-09-23</t>
  </si>
  <si>
    <t>2024-06-05</t>
  </si>
  <si>
    <t>2024-06-27</t>
  </si>
  <si>
    <t>2024-07-15</t>
  </si>
  <si>
    <t>2024-07-30</t>
  </si>
  <si>
    <t>2024-08-07</t>
  </si>
  <si>
    <t>2024-05-09</t>
  </si>
  <si>
    <t>2024-10-23</t>
  </si>
  <si>
    <t>2024-10-31</t>
  </si>
  <si>
    <t>2024-12-23</t>
  </si>
  <si>
    <t>2025-01-05</t>
  </si>
  <si>
    <t>2025-01-08</t>
  </si>
  <si>
    <t>2025-01-31</t>
  </si>
  <si>
    <t>2025-02-18</t>
  </si>
  <si>
    <t>2025-02-22</t>
  </si>
  <si>
    <t>2025-02-28</t>
  </si>
  <si>
    <t>2023-10-05</t>
  </si>
  <si>
    <t>2024-04-25</t>
  </si>
  <si>
    <t>2024-11-24</t>
  </si>
  <si>
    <t>2024-12-02</t>
  </si>
  <si>
    <t>2025-03-28</t>
  </si>
  <si>
    <t>2025-04-19</t>
  </si>
  <si>
    <t>2025-04-24</t>
  </si>
  <si>
    <t>2025-04-29</t>
  </si>
  <si>
    <t>2023-07-15</t>
  </si>
  <si>
    <t>2023-08-11</t>
  </si>
  <si>
    <t>2023-08-22</t>
  </si>
  <si>
    <t>2023-09-15</t>
  </si>
  <si>
    <t>2023-09-30</t>
  </si>
  <si>
    <t>2024-06-23</t>
  </si>
  <si>
    <t>2024-07-19</t>
  </si>
  <si>
    <t>2024-08-31</t>
  </si>
  <si>
    <t>2024-11-30</t>
  </si>
  <si>
    <t>2025-05-20</t>
  </si>
  <si>
    <t>2023-10-15</t>
  </si>
  <si>
    <t>2023-10-31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</si>
</sst>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1">
    <numFmt numFmtId="6" formatCode="&quot;$&quot;#,##0_);[Red]\(&quot;$&quot;#,##0\)"/>
    <numFmt numFmtId="164" formatCode="&quot;$&quot;#,##0.00"/>
    <numFmt numFmtId="165" formatCode="&quot;$&quot;#,##0"/>
    <numFmt numFmtId="166" formatCode="0.0%"/>
    <numFmt numFmtId="167" formatCode="&quot;Year &quot;0"/>
    <numFmt numFmtId="168" formatCode="0.000%"/>
    <numFmt numFmtId="169" formatCode="&quot;$&quot;#,###&quot; / unit&quot;"/>
    <numFmt numFmtId="170" formatCode="0.00&quot;x&quot;"/>
    <numFmt numFmtId="171" formatCode="#,##0;\-#,##0;;"/>
    <numFmt numFmtId="172" formatCode="&quot;$&quot;#,##0;\-&quot;$&quot;#,##0;;"/>
    <numFmt numFmtId="173" formatCode="#,##0.0%;\-#,##0.0%;"/>
  </numFmts>
  <fonts count="77">
    <font>
      <sz val="11"/>
      <color theme="1"/>
      <name val="Calibri"/>
      <family val="2"/>
      <scheme val="minor"/>
    </font>
    <font>
      <sz val="11"/>
      <color theme="1"/>
      <name val="Calibri"/>
      <family val="2"/>
      <scheme val="minor"/>
    </font>
    <font>
      <i val="1"/>
      <sz val="11"/>
      <color rgb="FF7F7F7F"/>
      <name val="Calibri"/>
      <family val="2"/>
      <scheme val="minor"/>
    </font>
    <font>
      <sz val="10"/>
      <color theme="1"/>
      <name val="Calibri"/>
      <family val="2"/>
      <scheme val="minor"/>
    </font>
    <font>
      <sz val="16"/>
      <color theme="0"/>
      <name val="Calibri"/>
      <family val="2"/>
      <scheme val="minor"/>
    </font>
    <font>
      <b val="1"/>
      <sz val="10"/>
      <color theme="0"/>
      <name val="Calibri"/>
      <family val="2"/>
      <scheme val="minor"/>
    </font>
    <font>
      <sz val="10"/>
      <name val="Calibri"/>
      <family val="2"/>
      <scheme val="minor"/>
    </font>
    <font>
      <b val="1"/>
      <sz val="10"/>
      <color theme="0"/>
      <name val="Calibri"/>
      <family val="2"/>
    </font>
    <font>
      <sz val="10"/>
      <color theme="1"/>
      <name val="Calibri"/>
      <family val="2"/>
    </font>
    <font>
      <sz val="10"/>
      <color rgb="FF000000"/>
      <name val="Calibri"/>
      <family val="2"/>
    </font>
    <font>
      <b val="1"/>
      <sz val="10"/>
      <name val="Calibri"/>
      <family val="2"/>
      <scheme val="minor"/>
    </font>
    <font>
      <sz val="10"/>
      <color theme="0"/>
      <name val="Calibri"/>
      <family val="2"/>
      <scheme val="minor"/>
    </font>
    <font>
      <sz val="10"/>
      <name val="Calibri"/>
      <family val="2"/>
    </font>
    <font>
      <b val="1"/>
      <sz val="16"/>
      <name val="Calibri"/>
      <family val="2"/>
      <scheme val="minor"/>
    </font>
    <font>
      <sz val="16"/>
      <name val="Calibri"/>
      <family val="2"/>
      <scheme val="minor"/>
    </font>
    <font>
      <sz val="18"/>
      <color theme="1"/>
      <name val="Calibri"/>
      <family val="2"/>
      <scheme val="minor"/>
    </font>
    <font>
      <b val="1"/>
      <sz val="18"/>
      <color theme="1"/>
      <name val="Calibri"/>
      <family val="2"/>
      <scheme val="minor"/>
    </font>
    <font>
      <b val="1"/>
      <sz val="11"/>
      <color theme="0"/>
      <name val="Calibri"/>
      <family val="2"/>
      <scheme val="minor"/>
    </font>
    <font>
      <b val="1"/>
      <sz val="11"/>
      <color theme="1"/>
      <name val="Calibri"/>
      <family val="2"/>
      <scheme val="minor"/>
    </font>
    <font>
      <sz val="12"/>
      <color theme="1"/>
      <name val="Calibri"/>
      <family val="2"/>
      <scheme val="minor"/>
    </font>
    <font>
      <sz val="16"/>
      <color theme="1"/>
      <name val="Calibri"/>
      <family val="2"/>
      <scheme val="minor"/>
    </font>
    <font>
      <sz val="24"/>
      <color rgb="FF4438CA"/>
      <name val="Calibri"/>
      <family val="2"/>
      <scheme val="minor"/>
    </font>
    <font>
      <sz val="24"/>
      <color theme="1" tint="0.3499862666707358"/>
      <name val="Calibri"/>
      <family val="2"/>
      <scheme val="minor"/>
    </font>
    <font>
      <sz val="18"/>
      <color rgb="FF4438CA"/>
      <name val="Calibri"/>
      <family val="2"/>
      <scheme val="minor"/>
    </font>
    <font>
      <sz val="12"/>
      <name val="Calibri"/>
      <family val="2"/>
      <scheme val="minor"/>
    </font>
    <font>
      <sz val="12"/>
      <color theme="1" tint="0.499984740745262"/>
      <name val="Calibri"/>
      <family val="2"/>
      <scheme val="minor"/>
    </font>
    <font>
      <b val="1"/>
      <sz val="24"/>
      <color rgb="FF4438CA"/>
      <name val="Calibri"/>
      <family val="2"/>
      <scheme val="minor"/>
    </font>
    <font>
      <b val="1"/>
      <sz val="11"/>
      <color rgb="FF4438CA"/>
      <name val="Calibri"/>
      <family val="2"/>
      <scheme val="minor"/>
    </font>
    <font>
      <sz val="11"/>
      <color rgb="FF4438CA"/>
      <name val="Calibri"/>
      <family val="2"/>
      <scheme val="minor"/>
    </font>
    <font>
      <sz val="11"/>
      <color theme="0"/>
      <name val="Calibri"/>
      <family val="2"/>
      <scheme val="minor"/>
    </font>
    <font>
      <b val="1"/>
      <sz val="20"/>
      <color rgb="FF4438CA"/>
      <name val="Calibri"/>
      <family val="2"/>
      <scheme val="minor"/>
    </font>
    <font>
      <b val="1"/>
      <sz val="14"/>
      <color rgb="FF4438CA"/>
      <name val="Calibri"/>
      <family val="2"/>
      <scheme val="minor"/>
    </font>
    <font>
      <sz val="14"/>
      <color theme="1"/>
      <name val="Calibri"/>
      <family val="2"/>
      <scheme val="minor"/>
    </font>
    <font>
      <u/>
      <sz val="11"/>
      <color theme="10"/>
      <name val="Calibri"/>
      <family val="2"/>
      <scheme val="minor"/>
    </font>
    <font>
      <b val="1"/>
      <sz val="14"/>
      <color theme="0"/>
      <name val="Calibri"/>
      <family val="2"/>
    </font>
    <font>
      <sz val="10"/>
      <name val="Arial"/>
      <family val="2"/>
    </font>
    <font>
      <sz val="8"/>
      <name val="Calibri"/>
      <family val="2"/>
      <scheme val="minor"/>
    </font>
    <font>
      <b val="1"/>
      <sz val="10"/>
      <color rgb="FF0070C0"/>
      <name val="Calibri"/>
      <family val="2"/>
      <scheme val="minor"/>
    </font>
    <font>
      <b val="1"/>
      <sz val="10"/>
      <color theme="1"/>
      <name val="Calibri"/>
      <family val="2"/>
      <scheme val="minor"/>
    </font>
    <font>
      <i val="1"/>
      <sz val="10"/>
      <name val="Calibri"/>
      <family val="2"/>
      <scheme val="minor"/>
    </font>
    <font>
      <sz val="10"/>
      <color rgb="FF394B61"/>
      <name val="Calibri"/>
      <family val="2"/>
      <scheme val="minor"/>
    </font>
    <font>
      <sz val="10"/>
      <color indexed="12"/>
      <name val="Calibri"/>
      <family val="2"/>
      <scheme val="minor"/>
    </font>
    <font>
      <b val="1"/>
      <u/>
      <sz val="10"/>
      <color theme="1"/>
      <name val="Calibri"/>
      <family val="2"/>
      <scheme val="minor"/>
    </font>
    <font>
      <b val="1"/>
      <i val="1"/>
      <sz val="10"/>
      <name val="Calibri"/>
      <family val="2"/>
      <scheme val="minor"/>
    </font>
    <font>
      <b val="1"/>
      <sz val="16"/>
      <color rgb="FF4438CA"/>
      <name val="Calibri"/>
      <family val="2"/>
      <scheme val="minor"/>
    </font>
    <font>
      <b val="1"/>
      <sz val="14"/>
      <name val="Calibri"/>
      <family val="2"/>
      <scheme val="minor"/>
    </font>
    <font>
      <b val="1"/>
      <sz val="10"/>
      <color rgb="FF4438CA"/>
      <name val="Calibri"/>
      <family val="2"/>
      <scheme val="minor"/>
    </font>
    <font>
      <i val="1"/>
      <sz val="8"/>
      <color theme="1"/>
      <name val="Calibri"/>
      <family val="2"/>
      <scheme val="minor"/>
    </font>
    <font>
      <sz val="8"/>
      <color theme="1"/>
      <name val="Calibri"/>
      <family val="2"/>
      <scheme val="minor"/>
    </font>
    <font>
      <sz val="9"/>
      <color theme="1"/>
      <name val="Calibri"/>
      <family val="2"/>
      <scheme val="minor"/>
    </font>
    <font>
      <b val="1"/>
      <sz val="18"/>
      <color rgb="FF4438CA"/>
      <name val="Calibri"/>
      <family val="2"/>
      <scheme val="minor"/>
    </font>
    <font>
      <sz val="26"/>
      <color rgb="FF4438CA"/>
      <name val="Calibri"/>
      <family val="2"/>
      <scheme val="minor"/>
    </font>
    <font>
      <sz val="6"/>
      <color theme="1"/>
      <name val="Calibri"/>
      <family val="2"/>
      <scheme val="minor"/>
    </font>
    <font>
      <u/>
      <sz val="6"/>
      <color theme="10"/>
      <name val="Calibri"/>
      <family val="2"/>
      <scheme val="minor"/>
    </font>
    <font>
      <sz val="11"/>
      <name val="Calibri"/>
      <family val="2"/>
      <scheme val="minor"/>
    </font>
    <font>
      <b val="1"/>
      <u/>
      <sz val="16"/>
      <name val="Calibri"/>
      <family val="2"/>
      <scheme val="minor"/>
    </font>
    <font>
      <b val="1"/>
      <sz val="20"/>
      <color rgb="FF3B33CA"/>
      <name val="Calibri"/>
      <family val="2"/>
      <scheme val="minor"/>
    </font>
    <font>
      <b val="1"/>
      <sz val="11"/>
      <color theme="0"/>
      <name val="Calibri"/>
      <family val="2"/>
    </font>
    <font>
      <b val="1"/>
      <sz val="11"/>
      <color rgb="FFFFFFF1"/>
      <name val="Calibri"/>
      <family val="2"/>
      <scheme val="minor"/>
    </font>
    <font>
      <b val="1"/>
      <sz val="11"/>
      <color rgb="FF000001"/>
      <name val="Calibri"/>
      <family val="2"/>
      <scheme val="minor"/>
    </font>
    <font>
      <sz val="11"/>
      <color rgb="FF000001"/>
      <name val="Calibri"/>
      <family val="2"/>
      <scheme val="minor"/>
    </font>
    <font>
      <b val="1"/>
      <sz val="14"/>
      <color rgb="FF3B33CA"/>
      <name val="Calibri"/>
      <family val="2"/>
      <scheme val="minor"/>
    </font>
    <font>
      <sz val="14"/>
      <color rgb="FF3B33CA"/>
      <name val="Calibri"/>
      <family val="2"/>
      <scheme val="minor"/>
    </font>
    <font>
      <u/>
      <sz val="14"/>
      <color rgb="FF3B33CA"/>
      <name val="Calibri"/>
      <family val="2"/>
      <scheme val="minor"/>
    </font>
    <font>
      <sz val="9"/>
      <name val="Calibri"/>
      <family val="2"/>
      <scheme val="minor"/>
    </font>
    <font>
      <u/>
      <sz val="9"/>
      <name val="Calibri"/>
      <family val="2"/>
      <scheme val="minor"/>
    </font>
    <font>
      <u/>
      <sz val="11"/>
      <color rgb="FF0070C0"/>
      <name val="Calibri"/>
      <family val="2"/>
      <scheme val="minor"/>
    </font>
    <font>
      <b val="1"/>
      <sz val="11"/>
      <color rgb="FF3B33CA"/>
      <name val="Calibri"/>
      <family val="2"/>
      <scheme val="minor"/>
    </font>
    <font>
      <b val="1"/>
      <sz val="16"/>
      <color rgb="FF3B33CA"/>
      <name val="Calibri"/>
      <family val="2"/>
      <scheme val="minor"/>
    </font>
    <font>
      <b val="1"/>
      <sz val="18"/>
      <color rgb="FF3B33CA"/>
      <name val="Calibri"/>
      <family val="2"/>
      <scheme val="minor"/>
    </font>
    <font>
      <b val="1"/>
      <sz val="10"/>
      <color rgb="FF3B33CA"/>
      <name val="Calibri"/>
      <family val="2"/>
      <scheme val="minor"/>
    </font>
    <font>
      <sz val="8"/>
      <color rgb="FF3B33CA"/>
      <name val="Calibri"/>
      <family val="2"/>
      <scheme val="minor"/>
    </font>
    <font>
      <b val="1"/>
      <sz val="10"/>
      <color theme="1" tint="0.249977111117893"/>
      <name val="Calibri"/>
      <family val="2"/>
      <scheme val="minor"/>
    </font>
    <font>
      <b val="1"/>
      <sz val="10"/>
      <color rgb="FFFFFFF1"/>
      <name val="Calibri"/>
      <family val="2"/>
      <scheme val="minor"/>
    </font>
    <font>
      <b val="1"/>
      <sz val="12"/>
      <color rgb="FF0070C0"/>
      <name val="Calibri"/>
      <family val="2"/>
      <scheme val="minor"/>
    </font>
    <font>
      <b val="1"/>
      <sz val="12"/>
      <name val="Calibri"/>
      <family val="2"/>
      <scheme val="minor"/>
    </font>
    <font>
      <b val="1"/>
      <sz val="12"/>
      <color theme="1"/>
      <name val="Calibri"/>
      <family val="2"/>
      <scheme val="minor"/>
    </font>
  </fonts>
  <fills count="32">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8" tint="0.7999816888943144"/>
        <bgColor rgb="FFE2EFD9"/>
      </patternFill>
    </fill>
    <fill>
      <patternFill patternType="solid">
        <fgColor theme="8" tint="0.7999816888943144"/>
        <bgColor indexed="64"/>
      </patternFill>
    </fill>
    <fill>
      <patternFill patternType="solid">
        <fgColor theme="8" tint="0.7999816888943144"/>
        <bgColor theme="0"/>
      </patternFill>
    </fill>
    <fill>
      <patternFill patternType="solid">
        <fgColor theme="0"/>
        <bgColor rgb="FF6466E9"/>
      </patternFill>
    </fill>
    <fill>
      <patternFill patternType="solid">
        <fgColor theme="0" tint="-0.1499984740745262"/>
        <bgColor indexed="64"/>
      </patternFill>
    </fill>
    <fill>
      <patternFill patternType="solid">
        <fgColor rgb="FF4438CA"/>
        <bgColor indexed="64"/>
      </patternFill>
    </fill>
    <fill>
      <patternFill patternType="solid">
        <fgColor theme="0" tint="-0.0499893185216834"/>
        <bgColor indexed="64"/>
      </patternFill>
    </fill>
    <fill>
      <patternFill patternType="solid">
        <fgColor theme="0"/>
        <bgColor rgb="FF4438CA"/>
      </patternFill>
    </fill>
    <fill>
      <patternFill patternType="solid">
        <fgColor rgb="FF4438CA"/>
        <bgColor rgb="FF6466E9"/>
      </patternFill>
    </fill>
    <fill>
      <patternFill patternType="solid">
        <fgColor rgb="FFFFFF00"/>
        <bgColor indexed="64"/>
      </patternFill>
    </fill>
    <fill>
      <patternFill patternType="solid">
        <fgColor theme="0"/>
        <bgColor rgb="FFF3F5FB"/>
      </patternFill>
    </fill>
    <fill>
      <patternFill patternType="solid">
        <fgColor indexed="9"/>
        <bgColor indexed="64"/>
      </patternFill>
    </fill>
    <fill>
      <patternFill patternType="solid">
        <fgColor theme="1"/>
        <bgColor indexed="64"/>
      </patternFill>
    </fill>
    <fill>
      <patternFill patternType="solid">
        <fgColor rgb="FF2196F3"/>
        <bgColor indexed="64"/>
      </patternFill>
    </fill>
    <fill>
      <patternFill patternType="solid">
        <fgColor rgb="FF4CAF50"/>
        <bgColor indexed="64"/>
      </patternFill>
    </fill>
    <fill>
      <patternFill patternType="solid">
        <fgColor rgb="FFFFC107"/>
        <bgColor indexed="64"/>
      </patternFill>
    </fill>
    <fill>
      <patternFill patternType="solid">
        <fgColor rgb="FF07BCD4"/>
        <bgColor indexed="64"/>
      </patternFill>
    </fill>
    <fill>
      <patternFill patternType="solid">
        <fgColor rgb="FFFF5722"/>
        <bgColor indexed="64"/>
      </patternFill>
    </fill>
    <fill>
      <patternFill patternType="solid">
        <fgColor theme="1" tint="0.3499862666707358"/>
        <bgColor indexed="64"/>
      </patternFill>
    </fill>
    <fill>
      <patternFill patternType="solid">
        <fgColor theme="1" tint="0.499984740745262"/>
        <bgColor indexed="64"/>
      </patternFill>
    </fill>
    <fill>
      <patternFill patternType="solid">
        <fgColor rgb="FF3B33CA"/>
        <bgColor indexed="64"/>
      </patternFill>
    </fill>
    <fill>
      <patternFill patternType="solid">
        <fgColor rgb="FF6365F1"/>
        <bgColor indexed="64"/>
      </patternFill>
    </fill>
    <fill>
      <patternFill patternType="solid">
        <fgColor rgb="FFF4F1FA"/>
        <bgColor indexed="64"/>
      </patternFill>
    </fill>
    <fill>
      <patternFill patternType="solid">
        <fgColor rgb="FFFFFFFE"/>
        <bgColor indexed="64"/>
      </patternFill>
    </fill>
    <fill>
      <patternFill patternType="solid">
        <fgColor rgb="FF6466E9"/>
        <bgColor rgb="FF6466E9"/>
      </patternFill>
    </fill>
    <fill>
      <patternFill patternType="solid">
        <fgColor rgb="FF6466E9"/>
        <bgColor indexed="64"/>
      </patternFill>
    </fill>
    <fill>
      <patternFill patternType="solid">
        <fgColor theme="7" tint="0.7999816888943144"/>
        <bgColor indexed="64"/>
      </patternFill>
    </fill>
    <fill>
      <patternFill patternType="solid">
        <fgColor theme="7" tint="0.7999816888943144"/>
        <bgColor rgb="FF4438CA"/>
      </patternFill>
    </fill>
  </fills>
  <borders count="5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dotted">
        <color theme="1" tint="0.499984740745262"/>
      </right>
      <top/>
      <bottom/>
      <diagonal/>
    </border>
    <border>
      <left style="thin">
        <color indexed="64"/>
      </left>
      <right style="dotted">
        <color theme="1" tint="0.499984740745262"/>
      </right>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6">
    <xf numFmtId="0" fontId="0" fillId="0" borderId="0"/>
    <xf numFmtId="0" fontId="1" fillId="0" borderId="0"/>
    <xf numFmtId="0" fontId="2" fillId="0" borderId="0"/>
    <xf numFmtId="0" fontId="33" fillId="0" borderId="0" applyNumberFormat="false" applyFill="false" applyBorder="false" applyAlignment="false" applyProtection="false"/>
    <xf numFmtId="0" fontId="35" fillId="0" borderId="0"/>
    <xf numFmtId="0" fontId="1" fillId="0" borderId="0"/>
  </cellStyleXfs>
  <cellXfs count="849">
    <xf numFmtId="0" fontId="0" fillId="0" borderId="0" xfId="0"/>
    <xf numFmtId="0" fontId="3" fillId="0" borderId="0" xfId="0" applyFont="true" applyAlignment="true">
      <alignment vertical="center"/>
    </xf>
    <xf numFmtId="9" fontId="3" fillId="0" borderId="0" xfId="0" applyNumberFormat="true" applyFont="true" applyAlignment="true">
      <alignment horizontal="center" vertical="center"/>
    </xf>
    <xf numFmtId="0" fontId="3" fillId="0" borderId="0" xfId="0" applyFont="true" applyAlignment="true">
      <alignment horizontal="center" vertical="center"/>
    </xf>
    <xf numFmtId="3" fontId="3" fillId="0" borderId="0" xfId="0" applyNumberFormat="true" applyFont="true" applyAlignment="true">
      <alignment horizontal="center" vertical="center"/>
    </xf>
    <xf numFmtId="165" fontId="3" fillId="0" borderId="0" xfId="0" applyNumberFormat="true" applyFont="true" applyAlignment="true">
      <alignment horizontal="center" vertical="center"/>
    </xf>
    <xf numFmtId="164" fontId="3" fillId="0" borderId="0" xfId="0" applyNumberFormat="true" applyFont="true" applyAlignment="true">
      <alignment horizontal="center" vertical="center"/>
    </xf>
    <xf numFmtId="0" fontId="3" fillId="0" borderId="0" xfId="0" applyFont="true"/>
    <xf numFmtId="0" fontId="3" fillId="3" borderId="0" xfId="0" applyFont="true" applyFill="true" applyAlignment="true">
      <alignment vertical="center"/>
    </xf>
    <xf numFmtId="9" fontId="3" fillId="3" borderId="0" xfId="0" applyNumberFormat="true" applyFont="true" applyFill="true" applyAlignment="true">
      <alignment horizontal="center" vertical="center"/>
    </xf>
    <xf numFmtId="0" fontId="3" fillId="3" borderId="0" xfId="0" applyFont="true" applyFill="true" applyAlignment="true">
      <alignment horizontal="center" vertical="center"/>
    </xf>
    <xf numFmtId="165" fontId="3" fillId="3" borderId="0" xfId="0" applyNumberFormat="true" applyFont="true" applyFill="true" applyAlignment="true">
      <alignment horizontal="center" vertical="center"/>
    </xf>
    <xf numFmtId="165" fontId="8" fillId="4" borderId="0" xfId="0" applyNumberFormat="true" applyFont="true" applyFill="true" applyAlignment="true">
      <alignment horizontal="center" vertical="center"/>
    </xf>
    <xf numFmtId="0" fontId="10" fillId="3" borderId="0" xfId="0" applyFont="true" applyFill="true" applyAlignment="true">
      <alignment horizontal="left" vertical="center"/>
    </xf>
    <xf numFmtId="0" fontId="10" fillId="5" borderId="0" xfId="0" applyFont="true" applyFill="true" applyAlignment="true">
      <alignment horizontal="center" textRotation="90" vertical="center"/>
    </xf>
    <xf numFmtId="0" fontId="10" fillId="3" borderId="0" xfId="0" applyFont="true" applyFill="true" applyAlignment="true">
      <alignment horizontal="center" textRotation="90" vertical="center"/>
    </xf>
    <xf numFmtId="0" fontId="6" fillId="3" borderId="0" xfId="0" applyFont="true" applyFill="true" applyAlignment="true">
      <alignment horizontal="left" vertical="center"/>
    </xf>
    <xf numFmtId="9" fontId="3" fillId="6" borderId="0" xfId="0" applyNumberFormat="true" applyFont="true" applyFill="true" applyAlignment="true">
      <alignment horizontal="center" vertical="center"/>
    </xf>
    <xf numFmtId="9" fontId="3" fillId="2" borderId="0" xfId="0" applyNumberFormat="true" applyFont="true" applyFill="true" applyAlignment="true">
      <alignment horizontal="center" vertical="center"/>
    </xf>
    <xf numFmtId="0" fontId="3" fillId="6" borderId="0" xfId="0" applyFont="true" applyFill="true" applyAlignment="true">
      <alignment horizontal="center" vertical="center"/>
    </xf>
    <xf numFmtId="0" fontId="3" fillId="2" borderId="0" xfId="0" applyFont="true" applyFill="true" applyAlignment="true">
      <alignment horizontal="center" vertical="center"/>
    </xf>
    <xf numFmtId="0" fontId="5" fillId="7" borderId="0" xfId="0" applyFont="true" applyFill="true" applyAlignment="true">
      <alignment horizontal="center" vertical="center"/>
    </xf>
    <xf numFmtId="0" fontId="3" fillId="5" borderId="0" xfId="0" applyFont="true" applyFill="true" applyAlignment="true">
      <alignment horizontal="center" vertical="center"/>
    </xf>
    <xf numFmtId="0" fontId="3" fillId="3" borderId="0" xfId="0" applyFont="true" applyFill="true"/>
    <xf numFmtId="0" fontId="3" fillId="0" borderId="0" xfId="0" applyFont="true" applyAlignment="true">
      <alignment horizontal="left" vertical="center"/>
    </xf>
    <xf numFmtId="0" fontId="10" fillId="8" borderId="0" xfId="0" applyFont="true" applyFill="true" applyAlignment="true">
      <alignment horizontal="left" vertical="center"/>
    </xf>
    <xf numFmtId="0" fontId="10" fillId="8" borderId="0" xfId="0" applyFont="true" applyFill="true" applyAlignment="true">
      <alignment horizontal="center" textRotation="90" vertical="center"/>
    </xf>
    <xf numFmtId="0" fontId="5" fillId="0" borderId="0" xfId="0" applyFont="true" applyAlignment="true">
      <alignment vertical="center"/>
    </xf>
    <xf numFmtId="0" fontId="5" fillId="3" borderId="0" xfId="0" applyFont="true" applyFill="true" applyAlignment="true">
      <alignment vertical="center"/>
    </xf>
    <xf numFmtId="0" fontId="3" fillId="3" borderId="0" xfId="0" applyFont="true" applyFill="true" applyAlignment="true">
      <alignment horizontal="left" vertical="center"/>
    </xf>
    <xf numFmtId="4" fontId="3" fillId="0" borderId="0" xfId="0" applyNumberFormat="true" applyFont="true" applyAlignment="true">
      <alignment horizontal="center" vertical="center"/>
    </xf>
    <xf numFmtId="165" fontId="3" fillId="3" borderId="0" xfId="0" applyNumberFormat="true" applyFont="true" applyFill="true" applyAlignment="true">
      <alignment horizontal="center"/>
    </xf>
    <xf numFmtId="0" fontId="12" fillId="3" borderId="0" xfId="0" applyFont="true" applyFill="true" applyAlignment="true">
      <alignment horizontal="left" vertical="center"/>
    </xf>
    <xf numFmtId="9" fontId="12" fillId="3" borderId="0" xfId="0" applyNumberFormat="true" applyFont="true" applyFill="true" applyAlignment="true">
      <alignment horizontal="left" vertical="center"/>
    </xf>
    <xf numFmtId="0" fontId="7" fillId="9" borderId="0" xfId="0" applyFont="true" applyFill="true" applyAlignment="true">
      <alignment horizontal="left" vertical="center"/>
    </xf>
    <xf numFmtId="165" fontId="10" fillId="5" borderId="0" xfId="0" applyNumberFormat="true" applyFont="true" applyFill="true" applyAlignment="true">
      <alignment horizontal="center" textRotation="90" vertical="center"/>
    </xf>
    <xf numFmtId="165" fontId="10" fillId="3" borderId="0" xfId="0" applyNumberFormat="true" applyFont="true" applyFill="true" applyAlignment="true">
      <alignment horizontal="center" textRotation="90" vertical="center"/>
    </xf>
    <xf numFmtId="165" fontId="10" fillId="8" borderId="0" xfId="0" applyNumberFormat="true" applyFont="true" applyFill="true" applyAlignment="true">
      <alignment horizontal="center" textRotation="90" vertical="center"/>
    </xf>
    <xf numFmtId="165" fontId="3" fillId="5" borderId="0" xfId="0" applyNumberFormat="true" applyFont="true" applyFill="true" applyAlignment="true">
      <alignment horizontal="center" vertical="center"/>
    </xf>
    <xf numFmtId="165" fontId="3" fillId="9" borderId="0" xfId="0" applyNumberFormat="true" applyFont="true" applyFill="true" applyAlignment="true">
      <alignment horizontal="center" vertical="center"/>
    </xf>
    <xf numFmtId="0" fontId="13" fillId="11" borderId="0" xfId="0" applyFont="true" applyFill="true" applyAlignment="true">
      <alignment horizontal="left" vertical="center"/>
    </xf>
    <xf numFmtId="0" fontId="14" fillId="11" borderId="0" xfId="0" applyFont="true" applyFill="true" applyAlignment="true">
      <alignment horizontal="center" vertical="center"/>
    </xf>
    <xf numFmtId="0" fontId="7" fillId="12" borderId="0" xfId="0" applyFont="true" applyFill="true" applyAlignment="true">
      <alignment vertical="center"/>
    </xf>
    <xf numFmtId="0" fontId="7" fillId="12" borderId="0" xfId="0" applyFont="true" applyFill="true" applyAlignment="true">
      <alignment horizontal="center" vertical="center"/>
    </xf>
    <xf numFmtId="164" fontId="7" fillId="12" borderId="0" xfId="0" applyNumberFormat="true" applyFont="true" applyFill="true" applyAlignment="true">
      <alignment horizontal="center" vertical="center"/>
    </xf>
    <xf numFmtId="0" fontId="3" fillId="0" borderId="1" xfId="0" applyFont="true" applyBorder="true"/>
    <xf numFmtId="0" fontId="14" fillId="11" borderId="3" xfId="0" applyFont="true" applyFill="true" applyBorder="true" applyAlignment="true">
      <alignment horizontal="center" vertical="center"/>
    </xf>
    <xf numFmtId="0" fontId="5" fillId="12" borderId="0" xfId="0" applyFont="true" applyFill="true" applyAlignment="true">
      <alignment vertical="center"/>
    </xf>
    <xf numFmtId="0" fontId="5" fillId="12" borderId="0" xfId="0" applyFont="true" applyFill="true" applyAlignment="true">
      <alignment horizontal="center" vertical="center"/>
    </xf>
    <xf numFmtId="0" fontId="6" fillId="11" borderId="3" xfId="0" applyFont="true" applyFill="true" applyBorder="true" applyAlignment="true">
      <alignment horizontal="center" vertical="center"/>
    </xf>
    <xf numFmtId="165" fontId="6" fillId="11" borderId="3" xfId="0" applyNumberFormat="true" applyFont="true" applyFill="true" applyBorder="true" applyAlignment="true">
      <alignment horizontal="center" vertical="center"/>
    </xf>
    <xf numFmtId="166" fontId="3" fillId="0" borderId="0" xfId="0" applyNumberFormat="true" applyFont="true" applyAlignment="true">
      <alignment horizontal="center" vertical="center"/>
    </xf>
    <xf numFmtId="0" fontId="11" fillId="9" borderId="3" xfId="0" applyFont="true" applyFill="true" applyBorder="true" applyAlignment="true">
      <alignment vertical="center"/>
    </xf>
    <xf numFmtId="0" fontId="17" fillId="9" borderId="3" xfId="0" applyFont="true" applyFill="true" applyBorder="true" applyAlignment="true">
      <alignment horizontal="center"/>
    </xf>
    <xf numFmtId="0" fontId="18" fillId="9" borderId="0" xfId="0" applyFont="true" applyFill="true"/>
    <xf numFmtId="0" fontId="0" fillId="0" borderId="0" xfId="0" applyAlignment="true">
      <alignment vertical="center"/>
    </xf>
    <xf numFmtId="0" fontId="14" fillId="0" borderId="3" xfId="0" applyFont="true" applyBorder="true" applyAlignment="true">
      <alignment horizontal="center" vertical="center"/>
    </xf>
    <xf numFmtId="0" fontId="10" fillId="0" borderId="3" xfId="0" applyFont="true" applyBorder="true" applyAlignment="true">
      <alignment horizontal="center" vertical="center"/>
    </xf>
    <xf numFmtId="0" fontId="4" fillId="0" borderId="0" xfId="0" applyFont="true" applyAlignment="true">
      <alignment horizontal="center" vertical="center"/>
    </xf>
    <xf numFmtId="0" fontId="6" fillId="0" borderId="0" xfId="0" applyFont="true" applyAlignment="true">
      <alignment horizontal="center" vertical="center"/>
    </xf>
    <xf numFmtId="0" fontId="19" fillId="0" borderId="0" xfId="0" applyFont="true" applyAlignment="true">
      <alignment horizontal="right" vertical="center"/>
    </xf>
    <xf numFmtId="165" fontId="21" fillId="0" borderId="0" xfId="0" applyNumberFormat="true" applyFont="true" applyAlignment="true">
      <alignment horizontal="center"/>
    </xf>
    <xf numFmtId="164" fontId="21" fillId="0" borderId="0" xfId="0" applyNumberFormat="true" applyFont="true" applyAlignment="true">
      <alignment horizontal="center"/>
    </xf>
    <xf numFmtId="0" fontId="24" fillId="0" borderId="3" xfId="0" applyFont="true" applyBorder="true" applyAlignment="true">
      <alignment horizontal="right" vertical="center"/>
    </xf>
    <xf numFmtId="165" fontId="22" fillId="0" borderId="3" xfId="0" applyNumberFormat="true" applyFont="true" applyBorder="true" applyAlignment="true">
      <alignment horizontal="center"/>
    </xf>
    <xf numFmtId="164" fontId="22" fillId="0" borderId="3" xfId="0" applyNumberFormat="true" applyFont="true" applyBorder="true" applyAlignment="true">
      <alignment horizontal="center"/>
    </xf>
    <xf numFmtId="0" fontId="25" fillId="0" borderId="0" xfId="0" applyFont="true" applyAlignment="true">
      <alignment horizontal="right" vertical="center"/>
    </xf>
    <xf numFmtId="164" fontId="20" fillId="0" borderId="0" xfId="0" applyNumberFormat="true" applyFont="true" applyAlignment="true">
      <alignment horizontal="center" vertical="center"/>
    </xf>
    <xf numFmtId="0" fontId="23" fillId="0" borderId="0" xfId="0" applyFont="true" applyAlignment="true">
      <alignment horizontal="center" vertical="center"/>
    </xf>
    <xf numFmtId="0" fontId="29" fillId="9" borderId="0" xfId="0" applyFont="true" applyFill="true"/>
    <xf numFmtId="0" fontId="29" fillId="9" borderId="0" xfId="0" applyFont="true" applyFill="true" applyAlignment="true">
      <alignment horizontal="center"/>
    </xf>
    <xf numFmtId="0" fontId="0" fillId="0" borderId="0" xfId="0" applyAlignment="true">
      <alignment horizontal="center" vertical="center"/>
    </xf>
    <xf numFmtId="3" fontId="0" fillId="0" borderId="0" xfId="0" applyNumberFormat="true" applyAlignment="true">
      <alignment vertical="center"/>
    </xf>
    <xf numFmtId="0" fontId="26" fillId="0" borderId="3" xfId="0" applyFont="true" applyBorder="true" applyAlignment="true">
      <alignment vertical="center"/>
    </xf>
    <xf numFmtId="3" fontId="23" fillId="0" borderId="3" xfId="0" applyNumberFormat="true" applyFont="true" applyBorder="true" applyAlignment="true">
      <alignment horizontal="center" vertical="center"/>
    </xf>
    <xf numFmtId="0" fontId="23" fillId="0" borderId="3" xfId="0" applyFont="true" applyBorder="true" applyAlignment="true">
      <alignment horizontal="center" vertical="center"/>
    </xf>
    <xf numFmtId="0" fontId="0" fillId="0" borderId="3" xfId="0" applyBorder="true" applyAlignment="true">
      <alignment vertical="center"/>
    </xf>
    <xf numFmtId="0" fontId="0" fillId="9" borderId="0" xfId="0" applyFill="true"/>
    <xf numFmtId="0" fontId="17" fillId="9" borderId="3" xfId="0" applyFont="true" applyFill="true" applyBorder="true" applyAlignment="true">
      <alignment horizontal="center" vertical="center"/>
    </xf>
    <xf numFmtId="0" fontId="31" fillId="0" borderId="0" xfId="0" applyFont="true" applyAlignment="true">
      <alignment vertical="center"/>
    </xf>
    <xf numFmtId="0" fontId="6" fillId="0" borderId="0" xfId="0" applyFont="true" applyAlignment="true">
      <alignment vertical="center"/>
    </xf>
    <xf numFmtId="0" fontId="32" fillId="0" borderId="0" xfId="0" applyFont="true" applyAlignment="true">
      <alignment vertical="center"/>
    </xf>
    <xf numFmtId="0" fontId="0" fillId="0" borderId="4" xfId="0" applyBorder="true" applyAlignment="true">
      <alignment vertical="center"/>
    </xf>
    <xf numFmtId="3" fontId="14" fillId="11" borderId="0" xfId="0" applyNumberFormat="true" applyFont="true" applyFill="true" applyAlignment="true">
      <alignment horizontal="center" vertical="center"/>
    </xf>
    <xf numFmtId="3" fontId="7" fillId="12" borderId="0" xfId="0" applyNumberFormat="true" applyFont="true" applyFill="true" applyAlignment="true">
      <alignment horizontal="center" vertical="center"/>
    </xf>
    <xf numFmtId="164" fontId="3" fillId="3" borderId="0" xfId="0" applyNumberFormat="true" applyFont="true" applyFill="true" applyAlignment="true">
      <alignment horizontal="center" vertical="center"/>
    </xf>
    <xf numFmtId="165" fontId="14" fillId="11" borderId="0" xfId="0" applyNumberFormat="true" applyFont="true" applyFill="true" applyAlignment="true">
      <alignment horizontal="center" vertical="center"/>
    </xf>
    <xf numFmtId="10" fontId="20" fillId="0" borderId="0" xfId="0" applyNumberFormat="true" applyFont="true" applyAlignment="true">
      <alignment horizontal="center" vertical="center"/>
    </xf>
    <xf numFmtId="165" fontId="3" fillId="0" borderId="0" xfId="0" applyNumberFormat="true" applyFont="true" applyAlignment="true">
      <alignment horizontal="right"/>
    </xf>
    <xf numFmtId="166" fontId="3" fillId="0" borderId="0" xfId="0" applyNumberFormat="true" applyFont="true" applyAlignment="true">
      <alignment horizontal="right"/>
    </xf>
    <xf numFmtId="0" fontId="34" fillId="12" borderId="0" xfId="0" applyFont="true" applyFill="true" applyAlignment="true">
      <alignment vertical="center"/>
    </xf>
    <xf numFmtId="0" fontId="34" fillId="12" borderId="0" xfId="0" applyFont="true" applyFill="true" applyAlignment="true">
      <alignment horizontal="right" vertical="center"/>
    </xf>
    <xf numFmtId="166" fontId="34" fillId="12" borderId="0" xfId="0" applyNumberFormat="true" applyFont="true" applyFill="true" applyAlignment="true">
      <alignment horizontal="right" vertical="center"/>
    </xf>
    <xf numFmtId="0" fontId="18" fillId="10" borderId="0" xfId="0" applyFont="true" applyFill="true" applyAlignment="true">
      <alignment vertical="center"/>
    </xf>
    <xf numFmtId="165" fontId="18" fillId="10" borderId="0" xfId="0" applyNumberFormat="true" applyFont="true" applyFill="true" applyAlignment="true">
      <alignment horizontal="right" vertical="center"/>
    </xf>
    <xf numFmtId="166" fontId="18" fillId="10" borderId="0" xfId="0" applyNumberFormat="true" applyFont="true" applyFill="true" applyAlignment="true">
      <alignment horizontal="right" vertical="center"/>
    </xf>
    <xf numFmtId="0" fontId="0" fillId="0" borderId="0" xfId="0" applyAlignment="true">
      <alignment horizontal="left" indent="1" vertical="center"/>
    </xf>
    <xf numFmtId="165" fontId="0" fillId="0" borderId="0" xfId="0" applyNumberFormat="true" applyAlignment="true">
      <alignment horizontal="right" vertical="center"/>
    </xf>
    <xf numFmtId="166" fontId="0" fillId="0" borderId="0" xfId="0" applyNumberFormat="true" applyAlignment="true">
      <alignment horizontal="right" vertical="center"/>
    </xf>
    <xf numFmtId="0" fontId="18" fillId="8" borderId="0" xfId="0" applyFont="true" applyFill="true" applyAlignment="true">
      <alignment vertical="center"/>
    </xf>
    <xf numFmtId="165" fontId="18" fillId="8" borderId="0" xfId="0" applyNumberFormat="true" applyFont="true" applyFill="true" applyAlignment="true">
      <alignment horizontal="right" vertical="center"/>
    </xf>
    <xf numFmtId="166" fontId="18" fillId="8" borderId="0" xfId="0" applyNumberFormat="true" applyFont="true" applyFill="true" applyAlignment="true">
      <alignment horizontal="right" vertical="center"/>
    </xf>
    <xf numFmtId="166" fontId="21" fillId="0" borderId="0" xfId="0" applyNumberFormat="true" applyFont="true" applyAlignment="true">
      <alignment horizontal="center"/>
    </xf>
    <xf numFmtId="3" fontId="21" fillId="0" borderId="0" xfId="0" applyNumberFormat="true" applyFont="true" applyAlignment="true">
      <alignment horizontal="center"/>
    </xf>
    <xf numFmtId="14" fontId="3" fillId="3" borderId="0" xfId="0" applyNumberFormat="true" applyFont="true" applyFill="true" applyAlignment="true">
      <alignment horizontal="center" vertical="center"/>
    </xf>
    <xf numFmtId="14" fontId="14" fillId="11" borderId="0" xfId="0" applyNumberFormat="true" applyFont="true" applyFill="true" applyAlignment="true">
      <alignment horizontal="center" vertical="center"/>
    </xf>
    <xf numFmtId="14" fontId="7" fillId="12" borderId="0" xfId="0" applyNumberFormat="true" applyFont="true" applyFill="true" applyAlignment="true">
      <alignment horizontal="center" vertical="center"/>
    </xf>
    <xf numFmtId="14" fontId="3" fillId="0" borderId="0" xfId="0" applyNumberFormat="true" applyFont="true" applyAlignment="true">
      <alignment horizontal="center" vertical="center"/>
    </xf>
    <xf numFmtId="0" fontId="7" fillId="12" borderId="0" xfId="0" applyFont="true" applyFill="true" applyAlignment="true">
      <alignment horizontal="left" vertical="center"/>
    </xf>
    <xf numFmtId="0" fontId="31" fillId="3" borderId="0" xfId="0" applyFont="true" applyFill="true" applyAlignment="true">
      <alignment vertical="center"/>
    </xf>
    <xf numFmtId="3" fontId="28" fillId="3" borderId="0" xfId="0" applyNumberFormat="true" applyFont="true" applyFill="true" applyAlignment="true">
      <alignment horizontal="center" vertical="center"/>
    </xf>
    <xf numFmtId="0" fontId="28" fillId="3" borderId="0" xfId="0" applyFont="true" applyFill="true" applyAlignment="true">
      <alignment horizontal="center" vertical="center"/>
    </xf>
    <xf numFmtId="14" fontId="27" fillId="3" borderId="0" xfId="0" applyNumberFormat="true" applyFont="true" applyFill="true" applyAlignment="true">
      <alignment vertical="center"/>
    </xf>
    <xf numFmtId="0" fontId="30" fillId="0" borderId="3" xfId="0" applyFont="true" applyBorder="true" applyAlignment="true">
      <alignment vertical="center"/>
    </xf>
    <xf numFmtId="0" fontId="23" fillId="0" borderId="3" xfId="0" applyFont="true" applyBorder="true" applyAlignment="true">
      <alignment vertical="center"/>
    </xf>
    <xf numFmtId="9" fontId="23" fillId="0" borderId="3" xfId="0" applyNumberFormat="true" applyFont="true" applyBorder="true" applyAlignment="true">
      <alignment horizontal="center" vertical="center"/>
    </xf>
    <xf numFmtId="164" fontId="23" fillId="0" borderId="3" xfId="0" applyNumberFormat="true" applyFont="true" applyBorder="true" applyAlignment="true">
      <alignment horizontal="center" vertical="center"/>
    </xf>
    <xf numFmtId="165" fontId="3" fillId="0" borderId="3" xfId="0" applyNumberFormat="true" applyFont="true" applyBorder="true" applyAlignment="true">
      <alignment horizontal="center" vertical="center"/>
    </xf>
    <xf numFmtId="164" fontId="3" fillId="0" borderId="3" xfId="0" applyNumberFormat="true" applyFont="true" applyBorder="true" applyAlignment="true">
      <alignment horizontal="center" vertical="center"/>
    </xf>
    <xf numFmtId="0" fontId="0" fillId="0" borderId="0" xfId="0" applyAlignment="true">
      <alignment horizontal="left"/>
    </xf>
    <xf numFmtId="3" fontId="0" fillId="0" borderId="0" xfId="0" applyNumberFormat="true" applyAlignment="true">
      <alignment horizontal="center"/>
    </xf>
    <xf numFmtId="0" fontId="16" fillId="0" borderId="0" xfId="0" applyFont="true"/>
    <xf numFmtId="4" fontId="0" fillId="0" borderId="0" xfId="0" applyNumberFormat="true"/>
    <xf numFmtId="0" fontId="0" fillId="0" borderId="0" xfId="0" applyAlignment="true">
      <alignment horizontal="right"/>
    </xf>
    <xf numFmtId="10" fontId="0" fillId="0" borderId="0" xfId="0" applyNumberFormat="true"/>
    <xf numFmtId="0" fontId="18" fillId="0" borderId="0" xfId="0" applyFont="true"/>
    <xf numFmtId="4" fontId="18" fillId="0" borderId="0" xfId="0" applyNumberFormat="true" applyFont="true"/>
    <xf numFmtId="0" fontId="18" fillId="0" borderId="0" xfId="0" applyFont="true" applyAlignment="true">
      <alignment horizontal="right"/>
    </xf>
    <xf numFmtId="10" fontId="18" fillId="0" borderId="0" xfId="0" applyNumberFormat="true" applyFont="true"/>
    <xf numFmtId="0" fontId="0" fillId="0" borderId="0" xfId="0" applyAlignment="true">
      <alignment horizontal="center"/>
    </xf>
    <xf numFmtId="3" fontId="0" fillId="0" borderId="0" xfId="0" applyNumberFormat="true"/>
    <xf numFmtId="169" fontId="6" fillId="3" borderId="0" xfId="0" applyNumberFormat="true" applyFont="true" applyFill="true" applyAlignment="true">
      <alignment horizontal="center" vertical="center"/>
    </xf>
    <xf numFmtId="0" fontId="6" fillId="3" borderId="10" xfId="1" applyFont="true" applyFill="true" applyBorder="true" applyAlignment="true">
      <alignment vertical="center"/>
    </xf>
    <xf numFmtId="0" fontId="6" fillId="3" borderId="6" xfId="1" applyFont="true" applyFill="true" applyBorder="true" applyAlignment="true">
      <alignment horizontal="left" vertical="center"/>
    </xf>
    <xf numFmtId="3" fontId="5" fillId="9" borderId="3" xfId="4" applyNumberFormat="true" applyFont="true" applyFill="true" applyBorder="true" applyAlignment="true">
      <alignment horizontal="left" vertical="center"/>
    </xf>
    <xf numFmtId="0" fontId="38" fillId="3" borderId="0" xfId="0" applyFont="true" applyFill="true" applyAlignment="true">
      <alignment vertical="center"/>
    </xf>
    <xf numFmtId="3" fontId="37" fillId="14" borderId="3" xfId="0" applyNumberFormat="true" applyFont="true" applyFill="true" applyBorder="true" applyAlignment="true">
      <alignment horizontal="center" vertical="center"/>
    </xf>
    <xf numFmtId="4" fontId="37" fillId="14" borderId="3" xfId="0" applyNumberFormat="true" applyFont="true" applyFill="true" applyBorder="true" applyAlignment="true">
      <alignment horizontal="center" vertical="center"/>
    </xf>
    <xf numFmtId="3" fontId="6" fillId="0" borderId="3" xfId="0" applyNumberFormat="true" applyFont="true" applyBorder="true" applyAlignment="true">
      <alignment horizontal="center" vertical="center"/>
    </xf>
    <xf numFmtId="165" fontId="3" fillId="0" borderId="0" xfId="0" applyNumberFormat="true" applyFont="true" applyAlignment="true">
      <alignment vertical="center"/>
    </xf>
    <xf numFmtId="3" fontId="3" fillId="3" borderId="0" xfId="0" applyNumberFormat="true" applyFont="true" applyFill="true" applyAlignment="true">
      <alignment vertical="center"/>
    </xf>
    <xf numFmtId="167" fontId="5" fillId="9" borderId="3" xfId="0" applyNumberFormat="true" applyFont="true" applyFill="true" applyBorder="true" applyAlignment="true">
      <alignment horizontal="right" vertical="center"/>
    </xf>
    <xf numFmtId="0" fontId="10" fillId="0" borderId="0" xfId="1" applyFont="true" applyAlignment="true">
      <alignment vertical="center"/>
    </xf>
    <xf numFmtId="165" fontId="38" fillId="0" borderId="0" xfId="0" applyNumberFormat="true" applyFont="true" applyAlignment="true">
      <alignment vertical="center"/>
    </xf>
    <xf numFmtId="0" fontId="6" fillId="0" borderId="0" xfId="1" applyFont="true" applyAlignment="true">
      <alignment horizontal="left" indent="1" vertical="center"/>
    </xf>
    <xf numFmtId="0" fontId="6" fillId="0" borderId="0" xfId="1" applyFont="true" applyAlignment="true">
      <alignment horizontal="left" vertical="center"/>
    </xf>
    <xf numFmtId="166" fontId="37" fillId="0" borderId="0" xfId="1" applyNumberFormat="true" applyFont="true" applyAlignment="true">
      <alignment horizontal="center" vertical="center"/>
    </xf>
    <xf numFmtId="0" fontId="6" fillId="0" borderId="3" xfId="1" applyFont="true" applyBorder="true" applyAlignment="true">
      <alignment horizontal="left" indent="1" vertical="center"/>
    </xf>
    <xf numFmtId="0" fontId="6" fillId="0" borderId="3" xfId="1" applyFont="true" applyBorder="true" applyAlignment="true">
      <alignment horizontal="left" vertical="center"/>
    </xf>
    <xf numFmtId="166" fontId="37" fillId="0" borderId="3" xfId="1" applyNumberFormat="true" applyFont="true" applyBorder="true" applyAlignment="true">
      <alignment horizontal="center" vertical="center"/>
    </xf>
    <xf numFmtId="0" fontId="10" fillId="0" borderId="8" xfId="1" applyFont="true" applyBorder="true" applyAlignment="true">
      <alignment horizontal="left" vertical="center"/>
    </xf>
    <xf numFmtId="165" fontId="38" fillId="0" borderId="8" xfId="0" applyNumberFormat="true" applyFont="true" applyBorder="true" applyAlignment="true">
      <alignment vertical="center"/>
    </xf>
    <xf numFmtId="165" fontId="3" fillId="0" borderId="3" xfId="0" applyNumberFormat="true" applyFont="true" applyBorder="true" applyAlignment="true">
      <alignment vertical="center"/>
    </xf>
    <xf numFmtId="0" fontId="10" fillId="0" borderId="0" xfId="0" applyFont="true" applyAlignment="true">
      <alignment vertical="center"/>
    </xf>
    <xf numFmtId="0" fontId="3" fillId="9" borderId="3" xfId="0" applyFont="true" applyFill="true" applyBorder="true" applyAlignment="true">
      <alignment vertical="center"/>
    </xf>
    <xf numFmtId="0" fontId="3" fillId="0" borderId="0" xfId="0" applyFont="true" applyAlignment="true">
      <alignment horizontal="left" indent="1" vertical="center"/>
    </xf>
    <xf numFmtId="0" fontId="6" fillId="0" borderId="0" xfId="1" applyFont="true" applyAlignment="true">
      <alignment vertical="center"/>
    </xf>
    <xf numFmtId="0" fontId="10" fillId="0" borderId="8" xfId="0" applyFont="true" applyBorder="true" applyAlignment="true">
      <alignment vertical="center"/>
    </xf>
    <xf numFmtId="0" fontId="39" fillId="0" borderId="0" xfId="1" applyFont="true" applyAlignment="true">
      <alignment vertical="center"/>
    </xf>
    <xf numFmtId="166" fontId="39" fillId="0" borderId="0" xfId="0" applyNumberFormat="true" applyFont="true" applyAlignment="true">
      <alignment vertical="center"/>
    </xf>
    <xf numFmtId="0" fontId="40" fillId="0" borderId="0" xfId="1" applyFont="true" applyAlignment="true">
      <alignment vertical="center"/>
    </xf>
    <xf numFmtId="10" fontId="3" fillId="0" borderId="0" xfId="0" applyNumberFormat="true" applyFont="true" applyAlignment="true">
      <alignment vertical="center"/>
    </xf>
    <xf numFmtId="0" fontId="5" fillId="16" borderId="0" xfId="0" applyFont="true" applyFill="true" applyAlignment="true">
      <alignment vertical="center"/>
    </xf>
    <xf numFmtId="0" fontId="5" fillId="16" borderId="0" xfId="0" applyFont="true" applyFill="true" applyAlignment="true">
      <alignment horizontal="right" vertical="center"/>
    </xf>
    <xf numFmtId="0" fontId="6" fillId="15" borderId="0" xfId="0" applyFont="true" applyFill="true" applyAlignment="true">
      <alignment vertical="center"/>
    </xf>
    <xf numFmtId="0" fontId="10" fillId="15" borderId="0" xfId="0" applyFont="true" applyFill="true" applyAlignment="true">
      <alignment vertical="center"/>
    </xf>
    <xf numFmtId="165" fontId="10" fillId="15" borderId="0" xfId="0" applyNumberFormat="true" applyFont="true" applyFill="true" applyAlignment="true">
      <alignment horizontal="right" vertical="center"/>
    </xf>
    <xf numFmtId="0" fontId="6" fillId="3" borderId="0" xfId="0" applyFont="true" applyFill="true" applyAlignment="true">
      <alignment vertical="center"/>
    </xf>
    <xf numFmtId="9" fontId="41" fillId="3" borderId="0" xfId="0" applyNumberFormat="true" applyFont="true" applyFill="true" applyAlignment="true">
      <alignment horizontal="right" vertical="center"/>
    </xf>
    <xf numFmtId="9" fontId="6" fillId="3" borderId="0" xfId="0" applyNumberFormat="true" applyFont="true" applyFill="true" applyAlignment="true">
      <alignment horizontal="right" vertical="center"/>
    </xf>
    <xf numFmtId="0" fontId="42" fillId="3" borderId="0" xfId="0" applyFont="true" applyFill="true" applyAlignment="true">
      <alignment horizontal="left" indent="1" vertical="center"/>
    </xf>
    <xf numFmtId="166" fontId="3" fillId="3" borderId="0" xfId="0" applyNumberFormat="true" applyFont="true" applyFill="true" applyAlignment="true">
      <alignment vertical="center"/>
    </xf>
    <xf numFmtId="166" fontId="37" fillId="3" borderId="0" xfId="0" applyNumberFormat="true" applyFont="true" applyFill="true" applyAlignment="true">
      <alignment horizontal="right" vertical="center"/>
    </xf>
    <xf numFmtId="0" fontId="3" fillId="3" borderId="0" xfId="0" applyFont="true" applyFill="true" applyAlignment="true">
      <alignment horizontal="right" vertical="center"/>
    </xf>
    <xf numFmtId="0" fontId="5" fillId="16" borderId="0" xfId="0" applyFont="true" applyFill="true" applyAlignment="true">
      <alignment horizontal="right" vertical="center" wrapText="true"/>
    </xf>
    <xf numFmtId="166" fontId="3" fillId="3" borderId="0" xfId="0" applyNumberFormat="true" applyFont="true" applyFill="true" applyAlignment="true">
      <alignment horizontal="right" vertical="center"/>
    </xf>
    <xf numFmtId="10" fontId="37" fillId="3" borderId="0" xfId="0" applyNumberFormat="true" applyFont="true" applyFill="true" applyAlignment="true">
      <alignment horizontal="right" vertical="center"/>
    </xf>
    <xf numFmtId="165" fontId="3" fillId="3" borderId="0" xfId="0" applyNumberFormat="true" applyFont="true" applyFill="true" applyAlignment="true">
      <alignment vertical="center"/>
    </xf>
    <xf numFmtId="165" fontId="38" fillId="3" borderId="0" xfId="0" applyNumberFormat="true" applyFont="true" applyFill="true" applyAlignment="true">
      <alignment vertical="center"/>
    </xf>
    <xf numFmtId="6" fontId="38" fillId="0" borderId="3" xfId="0" applyNumberFormat="true" applyFont="true" applyBorder="true" applyAlignment="true">
      <alignment horizontal="center"/>
    </xf>
    <xf numFmtId="0" fontId="6" fillId="0" borderId="3" xfId="0" applyFont="true" applyBorder="true" applyAlignment="true">
      <alignment vertical="center"/>
    </xf>
    <xf numFmtId="0" fontId="3" fillId="0" borderId="3" xfId="0" applyFont="true" applyBorder="true"/>
    <xf numFmtId="0" fontId="3" fillId="0" borderId="3" xfId="0" applyFont="true" applyBorder="true" applyAlignment="true">
      <alignment horizontal="right"/>
    </xf>
    <xf numFmtId="165" fontId="3" fillId="0" borderId="0" xfId="0" applyNumberFormat="true" applyFont="true" applyAlignment="true">
      <alignment horizontal="right" vertical="center"/>
    </xf>
    <xf numFmtId="165" fontId="3" fillId="0" borderId="3" xfId="0" applyNumberFormat="true" applyFont="true" applyBorder="true" applyAlignment="true">
      <alignment horizontal="right" vertical="center"/>
    </xf>
    <xf numFmtId="165" fontId="6" fillId="0" borderId="0" xfId="0" applyNumberFormat="true" applyFont="true" applyAlignment="true">
      <alignment horizontal="right" vertical="center"/>
    </xf>
    <xf numFmtId="165" fontId="6" fillId="0" borderId="3" xfId="0" applyNumberFormat="true" applyFont="true" applyBorder="true" applyAlignment="true">
      <alignment horizontal="right" vertical="center"/>
    </xf>
    <xf numFmtId="165" fontId="37" fillId="14" borderId="8" xfId="0" applyNumberFormat="true" applyFont="true" applyFill="true" applyBorder="true" applyAlignment="true">
      <alignment horizontal="center" vertical="center"/>
    </xf>
    <xf numFmtId="165" fontId="3" fillId="0" borderId="0" xfId="0" applyNumberFormat="true" applyFont="true"/>
    <xf numFmtId="164" fontId="3" fillId="0" borderId="0" xfId="0" applyNumberFormat="true" applyFont="true"/>
    <xf numFmtId="170" fontId="6" fillId="0" borderId="0" xfId="0" applyNumberFormat="true" applyFont="true" applyAlignment="true">
      <alignment horizontal="center" vertical="center"/>
    </xf>
    <xf numFmtId="165" fontId="6" fillId="0" borderId="0" xfId="0" applyNumberFormat="true" applyFont="true" applyAlignment="true">
      <alignment vertical="center"/>
    </xf>
    <xf numFmtId="165" fontId="6" fillId="0" borderId="3" xfId="0" applyNumberFormat="true" applyFont="true" applyBorder="true" applyAlignment="true">
      <alignment vertical="center"/>
    </xf>
    <xf numFmtId="170" fontId="6" fillId="0" borderId="13" xfId="0" applyNumberFormat="true" applyFont="true" applyBorder="true" applyAlignment="true">
      <alignment horizontal="center" vertical="center"/>
    </xf>
    <xf numFmtId="10" fontId="3" fillId="0" borderId="13" xfId="0" applyNumberFormat="true" applyFont="true" applyBorder="true" applyAlignment="true">
      <alignment horizontal="center"/>
    </xf>
    <xf numFmtId="166" fontId="37" fillId="0" borderId="3" xfId="0" applyNumberFormat="true" applyFont="true" applyBorder="true" applyAlignment="true">
      <alignment horizontal="center"/>
    </xf>
    <xf numFmtId="165" fontId="6" fillId="15" borderId="0" xfId="0" applyNumberFormat="true" applyFont="true" applyFill="true" applyAlignment="true">
      <alignment vertical="center"/>
    </xf>
    <xf numFmtId="165" fontId="6" fillId="15" borderId="3" xfId="0" applyNumberFormat="true" applyFont="true" applyFill="true" applyBorder="true" applyAlignment="true">
      <alignment horizontal="right" vertical="center"/>
    </xf>
    <xf numFmtId="0" fontId="37" fillId="15" borderId="0" xfId="0" applyFont="true" applyFill="true" applyAlignment="true">
      <alignment horizontal="center" vertical="center"/>
    </xf>
    <xf numFmtId="0" fontId="3" fillId="3" borderId="3" xfId="0" applyFont="true" applyFill="true" applyBorder="true" applyAlignment="true">
      <alignment vertical="center"/>
    </xf>
    <xf numFmtId="165" fontId="3" fillId="3" borderId="3" xfId="0" applyNumberFormat="true" applyFont="true" applyFill="true" applyBorder="true" applyAlignment="true">
      <alignment vertical="center"/>
    </xf>
    <xf numFmtId="9" fontId="3" fillId="3" borderId="3" xfId="0" applyNumberFormat="true" applyFont="true" applyFill="true" applyBorder="true" applyAlignment="true">
      <alignment vertical="center"/>
    </xf>
    <xf numFmtId="167" fontId="5" fillId="16" borderId="3" xfId="0" applyNumberFormat="true" applyFont="true" applyFill="true" applyBorder="true" applyAlignment="true">
      <alignment horizontal="right" vertical="center"/>
    </xf>
    <xf numFmtId="0" fontId="3" fillId="0" borderId="5" xfId="0" applyFont="true" applyBorder="true"/>
    <xf numFmtId="0" fontId="38" fillId="0" borderId="14" xfId="0" applyFont="true" applyBorder="true" applyAlignment="true">
      <alignment horizontal="right"/>
    </xf>
    <xf numFmtId="0" fontId="38" fillId="0" borderId="13" xfId="0" applyFont="true" applyBorder="true" applyAlignment="true">
      <alignment horizontal="right"/>
    </xf>
    <xf numFmtId="0" fontId="38" fillId="0" borderId="0" xfId="0" applyFont="true" applyAlignment="true">
      <alignment horizontal="right"/>
    </xf>
    <xf numFmtId="10" fontId="3" fillId="0" borderId="0" xfId="0" applyNumberFormat="true" applyFont="true" applyAlignment="true">
      <alignment horizontal="center"/>
    </xf>
    <xf numFmtId="0" fontId="10" fillId="0" borderId="15" xfId="0" applyFont="true" applyBorder="true" applyAlignment="true">
      <alignment vertical="center"/>
    </xf>
    <xf numFmtId="0" fontId="10" fillId="0" borderId="16" xfId="0" applyFont="true" applyBorder="true" applyAlignment="true">
      <alignment vertical="center"/>
    </xf>
    <xf numFmtId="165" fontId="38" fillId="0" borderId="16" xfId="0" applyNumberFormat="true" applyFont="true" applyBorder="true" applyAlignment="true">
      <alignment vertical="center"/>
    </xf>
    <xf numFmtId="165" fontId="38" fillId="0" borderId="17" xfId="0" applyNumberFormat="true" applyFont="true" applyBorder="true" applyAlignment="true">
      <alignment vertical="center"/>
    </xf>
    <xf numFmtId="0" fontId="45" fillId="0" borderId="0" xfId="0" applyFont="true" applyAlignment="true">
      <alignment vertical="center"/>
    </xf>
    <xf numFmtId="10" fontId="37" fillId="3" borderId="0" xfId="0" applyNumberFormat="true" applyFont="true" applyFill="true" applyAlignment="true">
      <alignment vertical="center"/>
    </xf>
    <xf numFmtId="0" fontId="46" fillId="0" borderId="0" xfId="0" applyFont="true" applyAlignment="true">
      <alignment vertical="center"/>
    </xf>
    <xf numFmtId="0" fontId="47" fillId="3" borderId="0" xfId="0" applyFont="true" applyFill="true" applyAlignment="true">
      <alignment horizontal="left" indent="1" vertical="center"/>
    </xf>
    <xf numFmtId="0" fontId="47" fillId="3" borderId="0" xfId="0" applyFont="true" applyFill="true" applyAlignment="true">
      <alignment horizontal="left" vertical="center"/>
    </xf>
    <xf numFmtId="168" fontId="48" fillId="3" borderId="0" xfId="0" applyNumberFormat="true" applyFont="true" applyFill="true" applyAlignment="true">
      <alignment vertical="center"/>
    </xf>
    <xf numFmtId="0" fontId="3" fillId="3" borderId="8" xfId="0" applyFont="true" applyFill="true" applyBorder="true" applyAlignment="true">
      <alignment vertical="center"/>
    </xf>
    <xf numFmtId="165" fontId="3" fillId="3" borderId="8" xfId="0" applyNumberFormat="true" applyFont="true" applyFill="true" applyBorder="true" applyAlignment="true">
      <alignment vertical="center"/>
    </xf>
    <xf numFmtId="0" fontId="6" fillId="15" borderId="3" xfId="0" quotePrefix="true" applyFont="true" applyFill="true" applyBorder="true" applyAlignment="true">
      <alignment horizontal="left" vertical="center"/>
    </xf>
    <xf numFmtId="165" fontId="3" fillId="0" borderId="3" xfId="0" applyNumberFormat="true" applyFont="true" applyBorder="true"/>
    <xf numFmtId="10" fontId="37" fillId="3" borderId="0" xfId="1" applyNumberFormat="true" applyFont="true" applyFill="true" applyAlignment="true">
      <alignment horizontal="center" vertical="center"/>
    </xf>
    <xf numFmtId="3" fontId="5" fillId="9" borderId="10" xfId="4" applyNumberFormat="true" applyFont="true" applyFill="true" applyBorder="true" applyAlignment="true">
      <alignment horizontal="left" vertical="center"/>
    </xf>
    <xf numFmtId="0" fontId="6" fillId="3" borderId="1" xfId="1" applyFont="true" applyFill="true" applyBorder="true" applyAlignment="true">
      <alignment horizontal="left" vertical="center"/>
    </xf>
    <xf numFmtId="3" fontId="5" fillId="9" borderId="1" xfId="4" applyNumberFormat="true" applyFont="true" applyFill="true" applyBorder="true" applyAlignment="true">
      <alignment horizontal="left" vertical="center"/>
    </xf>
    <xf numFmtId="3" fontId="5" fillId="9" borderId="7" xfId="4" applyNumberFormat="true" applyFont="true" applyFill="true" applyBorder="true" applyAlignment="true">
      <alignment horizontal="left" vertical="center"/>
    </xf>
    <xf numFmtId="3" fontId="5" fillId="9" borderId="8" xfId="4" applyNumberFormat="true" applyFont="true" applyFill="true" applyBorder="true" applyAlignment="true">
      <alignment horizontal="center" vertical="center"/>
    </xf>
    <xf numFmtId="3" fontId="37" fillId="14" borderId="0" xfId="0" applyNumberFormat="true" applyFont="true" applyFill="true" applyAlignment="true">
      <alignment horizontal="center" vertical="center"/>
    </xf>
    <xf numFmtId="166" fontId="37" fillId="14" borderId="0" xfId="0" applyNumberFormat="true" applyFont="true" applyFill="true" applyAlignment="true">
      <alignment horizontal="center" vertical="center"/>
    </xf>
    <xf numFmtId="3" fontId="6" fillId="14" borderId="0" xfId="0" applyNumberFormat="true" applyFont="true" applyFill="true" applyAlignment="true">
      <alignment horizontal="center" vertical="center"/>
    </xf>
    <xf numFmtId="0" fontId="10" fillId="3" borderId="7" xfId="1" applyFont="true" applyFill="true" applyBorder="true" applyAlignment="true">
      <alignment horizontal="left" vertical="center"/>
    </xf>
    <xf numFmtId="0" fontId="6" fillId="3" borderId="1" xfId="1" applyFont="true" applyFill="true" applyBorder="true" applyAlignment="true">
      <alignment vertical="center"/>
    </xf>
    <xf numFmtId="6" fontId="3" fillId="0" borderId="0" xfId="0" applyNumberFormat="true" applyFont="true" applyAlignment="true">
      <alignment horizontal="center"/>
    </xf>
    <xf numFmtId="166" fontId="37" fillId="0" borderId="0" xfId="0" applyNumberFormat="true" applyFont="true" applyAlignment="true">
      <alignment horizontal="center"/>
    </xf>
    <xf numFmtId="0" fontId="10" fillId="3" borderId="6" xfId="1" applyFont="true" applyFill="true" applyBorder="true" applyAlignment="true">
      <alignment horizontal="left" vertical="center"/>
    </xf>
    <xf numFmtId="165" fontId="3" fillId="0" borderId="3" xfId="0" applyNumberFormat="true" applyFont="true" applyBorder="true" applyAlignment="true">
      <alignment horizontal="center"/>
    </xf>
    <xf numFmtId="3" fontId="5" fillId="9" borderId="7" xfId="4" applyNumberFormat="true" applyFont="true" applyFill="true" applyBorder="true" applyAlignment="true">
      <alignment horizontal="right" vertical="center"/>
    </xf>
    <xf numFmtId="3" fontId="5" fillId="9" borderId="13" xfId="4" applyNumberFormat="true" applyFont="true" applyFill="true" applyBorder="true" applyAlignment="true">
      <alignment horizontal="right" vertical="center"/>
    </xf>
    <xf numFmtId="10" fontId="37" fillId="3" borderId="0" xfId="1" applyNumberFormat="true" applyFont="true" applyFill="true" applyAlignment="true">
      <alignment horizontal="right" vertical="center"/>
    </xf>
    <xf numFmtId="10" fontId="37" fillId="3" borderId="2" xfId="1" applyNumberFormat="true" applyFont="true" applyFill="true" applyBorder="true" applyAlignment="true">
      <alignment horizontal="right" vertical="center"/>
    </xf>
    <xf numFmtId="3" fontId="37" fillId="14" borderId="0" xfId="0" applyNumberFormat="true" applyFont="true" applyFill="true" applyAlignment="true">
      <alignment horizontal="right" vertical="center"/>
    </xf>
    <xf numFmtId="3" fontId="37" fillId="14" borderId="2" xfId="0" applyNumberFormat="true" applyFont="true" applyFill="true" applyBorder="true" applyAlignment="true">
      <alignment horizontal="right" vertical="center"/>
    </xf>
    <xf numFmtId="3" fontId="37" fillId="0" borderId="0" xfId="0" applyNumberFormat="true" applyFont="true" applyAlignment="true">
      <alignment horizontal="right" vertical="center"/>
    </xf>
    <xf numFmtId="3" fontId="37" fillId="0" borderId="2" xfId="0" applyNumberFormat="true" applyFont="true" applyBorder="true" applyAlignment="true">
      <alignment horizontal="right" vertical="center"/>
    </xf>
    <xf numFmtId="3" fontId="37" fillId="14" borderId="3" xfId="0" applyNumberFormat="true" applyFont="true" applyFill="true" applyBorder="true" applyAlignment="true">
      <alignment horizontal="right" vertical="center"/>
    </xf>
    <xf numFmtId="3" fontId="37" fillId="14" borderId="5" xfId="0" applyNumberFormat="true" applyFont="true" applyFill="true" applyBorder="true" applyAlignment="true">
      <alignment horizontal="right" vertical="center"/>
    </xf>
    <xf numFmtId="166" fontId="37" fillId="14" borderId="0" xfId="0" applyNumberFormat="true" applyFont="true" applyFill="true" applyAlignment="true">
      <alignment horizontal="right" vertical="center"/>
    </xf>
    <xf numFmtId="166" fontId="37" fillId="14" borderId="2" xfId="0" applyNumberFormat="true" applyFont="true" applyFill="true" applyBorder="true" applyAlignment="true">
      <alignment horizontal="right" vertical="center"/>
    </xf>
    <xf numFmtId="4" fontId="37" fillId="14" borderId="3" xfId="0" applyNumberFormat="true" applyFont="true" applyFill="true" applyBorder="true" applyAlignment="true">
      <alignment horizontal="right" vertical="center"/>
    </xf>
    <xf numFmtId="4" fontId="37" fillId="14" borderId="5" xfId="0" applyNumberFormat="true" applyFont="true" applyFill="true" applyBorder="true" applyAlignment="true">
      <alignment horizontal="right" vertical="center"/>
    </xf>
    <xf numFmtId="165" fontId="37" fillId="14" borderId="8" xfId="0" applyNumberFormat="true" applyFont="true" applyFill="true" applyBorder="true" applyAlignment="true">
      <alignment horizontal="right" vertical="center"/>
    </xf>
    <xf numFmtId="165" fontId="3" fillId="0" borderId="2" xfId="0" applyNumberFormat="true" applyFont="true" applyBorder="true" applyAlignment="true">
      <alignment horizontal="right"/>
    </xf>
    <xf numFmtId="165" fontId="3" fillId="0" borderId="3" xfId="0" applyNumberFormat="true" applyFont="true" applyBorder="true" applyAlignment="true">
      <alignment horizontal="right"/>
    </xf>
    <xf numFmtId="165" fontId="3" fillId="0" borderId="5" xfId="0" applyNumberFormat="true" applyFont="true" applyBorder="true" applyAlignment="true">
      <alignment horizontal="right"/>
    </xf>
    <xf numFmtId="165" fontId="38" fillId="0" borderId="3" xfId="0" applyNumberFormat="true" applyFont="true" applyBorder="true" applyAlignment="true">
      <alignment horizontal="right"/>
    </xf>
    <xf numFmtId="165" fontId="38" fillId="0" borderId="5" xfId="0" applyNumberFormat="true" applyFont="true" applyBorder="true" applyAlignment="true">
      <alignment horizontal="right"/>
    </xf>
    <xf numFmtId="3" fontId="5" fillId="9" borderId="11" xfId="4" applyNumberFormat="true" applyFont="true" applyFill="true" applyBorder="true" applyAlignment="true">
      <alignment horizontal="right" vertical="center"/>
    </xf>
    <xf numFmtId="3" fontId="5" fillId="9" borderId="12" xfId="4" applyNumberFormat="true" applyFont="true" applyFill="true" applyBorder="true" applyAlignment="true">
      <alignment horizontal="right" vertical="center"/>
    </xf>
    <xf numFmtId="165" fontId="37" fillId="3" borderId="2" xfId="1" applyNumberFormat="true" applyFont="true" applyFill="true" applyBorder="true" applyAlignment="true">
      <alignment horizontal="right" vertical="center"/>
    </xf>
    <xf numFmtId="3" fontId="5" fillId="9" borderId="0" xfId="4" applyNumberFormat="true" applyFont="true" applyFill="true" applyAlignment="true">
      <alignment horizontal="right" vertical="center"/>
    </xf>
    <xf numFmtId="3" fontId="5" fillId="9" borderId="5" xfId="4" applyNumberFormat="true" applyFont="true" applyFill="true" applyBorder="true" applyAlignment="true">
      <alignment horizontal="right" vertical="center"/>
    </xf>
    <xf numFmtId="165" fontId="37" fillId="3" borderId="2" xfId="0" applyNumberFormat="true" applyFont="true" applyFill="true" applyBorder="true" applyAlignment="true">
      <alignment horizontal="right" vertical="center"/>
    </xf>
    <xf numFmtId="3" fontId="3" fillId="0" borderId="0" xfId="0" applyNumberFormat="true" applyFont="true" applyAlignment="true">
      <alignment horizontal="right"/>
    </xf>
    <xf numFmtId="9" fontId="37" fillId="3" borderId="2" xfId="1" applyNumberFormat="true" applyFont="true" applyFill="true" applyBorder="true" applyAlignment="true">
      <alignment horizontal="right" vertical="center"/>
    </xf>
    <xf numFmtId="167" fontId="6" fillId="3" borderId="0" xfId="0" applyNumberFormat="true" applyFont="true" applyFill="true" applyAlignment="true">
      <alignment horizontal="right" vertical="center"/>
    </xf>
    <xf numFmtId="3" fontId="37" fillId="0" borderId="12" xfId="0" applyNumberFormat="true" applyFont="true" applyBorder="true" applyAlignment="true">
      <alignment horizontal="right" vertical="center"/>
    </xf>
    <xf numFmtId="3" fontId="37" fillId="0" borderId="3" xfId="0" applyNumberFormat="true" applyFont="true" applyBorder="true" applyAlignment="true">
      <alignment horizontal="right" vertical="center"/>
    </xf>
    <xf numFmtId="3" fontId="37" fillId="0" borderId="5" xfId="0" applyNumberFormat="true" applyFont="true" applyBorder="true" applyAlignment="true">
      <alignment horizontal="right" vertical="center"/>
    </xf>
    <xf numFmtId="0" fontId="37" fillId="0" borderId="3" xfId="0" applyFont="true" applyBorder="true"/>
    <xf numFmtId="3" fontId="5" fillId="9" borderId="11" xfId="4" applyNumberFormat="true" applyFont="true" applyFill="true" applyBorder="true" applyAlignment="true">
      <alignment horizontal="center" vertical="center"/>
    </xf>
    <xf numFmtId="3" fontId="5" fillId="9" borderId="12" xfId="4" applyNumberFormat="true" applyFont="true" applyFill="true" applyBorder="true" applyAlignment="true">
      <alignment horizontal="center" vertical="center"/>
    </xf>
    <xf numFmtId="165" fontId="3" fillId="0" borderId="2" xfId="0" applyNumberFormat="true" applyFont="true" applyBorder="true"/>
    <xf numFmtId="0" fontId="37" fillId="0" borderId="6" xfId="0" applyFont="true" applyBorder="true"/>
    <xf numFmtId="0" fontId="37" fillId="0" borderId="5" xfId="0" applyFont="true" applyBorder="true"/>
    <xf numFmtId="0" fontId="38" fillId="0" borderId="1" xfId="0" applyFont="true" applyBorder="true"/>
    <xf numFmtId="0" fontId="38" fillId="0" borderId="0" xfId="0" applyFont="true"/>
    <xf numFmtId="165" fontId="38" fillId="0" borderId="2" xfId="0" applyNumberFormat="true" applyFont="true" applyBorder="true"/>
    <xf numFmtId="3" fontId="5" fillId="9" borderId="0" xfId="4" applyNumberFormat="true" applyFont="true" applyFill="true" applyAlignment="true">
      <alignment horizontal="center" vertical="center"/>
    </xf>
    <xf numFmtId="3" fontId="5" fillId="9" borderId="2" xfId="4" applyNumberFormat="true" applyFont="true" applyFill="true" applyBorder="true" applyAlignment="true">
      <alignment horizontal="center" vertical="center"/>
    </xf>
    <xf numFmtId="165" fontId="3" fillId="0" borderId="5" xfId="0" applyNumberFormat="true" applyFont="true" applyBorder="true"/>
    <xf numFmtId="0" fontId="38" fillId="0" borderId="6" xfId="0" quotePrefix="true" applyFont="true" applyBorder="true"/>
    <xf numFmtId="0" fontId="38" fillId="0" borderId="3" xfId="0" applyFont="true" applyBorder="true"/>
    <xf numFmtId="165" fontId="38" fillId="0" borderId="5" xfId="0" applyNumberFormat="true" applyFont="true" applyBorder="true"/>
    <xf numFmtId="0" fontId="5" fillId="16" borderId="3" xfId="0" applyFont="true" applyFill="true" applyBorder="true" applyAlignment="true">
      <alignment vertical="center"/>
    </xf>
    <xf numFmtId="0" fontId="37" fillId="0" borderId="0" xfId="1" applyFont="true" applyAlignment="true">
      <alignment horizontal="left" indent="1" vertical="center"/>
    </xf>
    <xf numFmtId="0" fontId="37" fillId="0" borderId="0" xfId="1" applyFont="true" applyAlignment="true">
      <alignment vertical="center"/>
    </xf>
    <xf numFmtId="0" fontId="37" fillId="0" borderId="3" xfId="1" applyFont="true" applyBorder="true" applyAlignment="true">
      <alignment horizontal="left" indent="1" vertical="center"/>
    </xf>
    <xf numFmtId="0" fontId="37" fillId="0" borderId="3" xfId="1" applyFont="true" applyBorder="true" applyAlignment="true">
      <alignment vertical="center"/>
    </xf>
    <xf numFmtId="0" fontId="37" fillId="0" borderId="0" xfId="1" applyFont="true" applyAlignment="true">
      <alignment horizontal="left" vertical="center"/>
    </xf>
    <xf numFmtId="0" fontId="37" fillId="0" borderId="3" xfId="1" applyFont="true" applyBorder="true" applyAlignment="true">
      <alignment horizontal="left" vertical="center"/>
    </xf>
    <xf numFmtId="10" fontId="3" fillId="3" borderId="0" xfId="0" applyNumberFormat="true" applyFont="true" applyFill="true" applyAlignment="true">
      <alignment horizontal="center" vertical="center"/>
    </xf>
    <xf numFmtId="0" fontId="5" fillId="16" borderId="3" xfId="0" applyFont="true" applyFill="true" applyBorder="true" applyAlignment="true">
      <alignment horizontal="center" vertical="center"/>
    </xf>
    <xf numFmtId="0" fontId="5" fillId="16" borderId="3" xfId="0" applyFont="true" applyFill="true" applyBorder="true" applyAlignment="true">
      <alignment horizontal="right" vertical="center"/>
    </xf>
    <xf numFmtId="165" fontId="37" fillId="0" borderId="9" xfId="0" applyNumberFormat="true" applyFont="true" applyBorder="true" applyAlignment="true">
      <alignment horizontal="right"/>
    </xf>
    <xf numFmtId="165" fontId="6" fillId="14" borderId="0" xfId="0" applyNumberFormat="true" applyFont="true" applyFill="true" applyAlignment="true">
      <alignment horizontal="right" vertical="center"/>
    </xf>
    <xf numFmtId="165" fontId="6" fillId="14" borderId="2" xfId="0" applyNumberFormat="true" applyFont="true" applyFill="true" applyBorder="true" applyAlignment="true">
      <alignment horizontal="right" vertical="center"/>
    </xf>
    <xf numFmtId="165" fontId="6" fillId="0" borderId="5" xfId="0" applyNumberFormat="true" applyFont="true" applyBorder="true" applyAlignment="true">
      <alignment horizontal="right" vertical="center"/>
    </xf>
    <xf numFmtId="0" fontId="5" fillId="16" borderId="13" xfId="0" applyFont="true" applyFill="true" applyBorder="true" applyAlignment="true">
      <alignment horizontal="center"/>
    </xf>
    <xf numFmtId="0" fontId="0" fillId="0" borderId="0" xfId="0" applyAlignment="true">
      <alignment vertical="center" wrapText="true"/>
    </xf>
    <xf numFmtId="3" fontId="3" fillId="0" borderId="0" xfId="0" applyNumberFormat="true" applyFont="true" applyAlignment="true">
      <alignment horizontal="left" vertical="center"/>
    </xf>
    <xf numFmtId="14" fontId="0" fillId="0" borderId="0" xfId="0" applyNumberFormat="true" applyAlignment="true">
      <alignment vertical="center"/>
    </xf>
    <xf numFmtId="0" fontId="49" fillId="0" borderId="0" xfId="0" applyFont="true" applyAlignment="true">
      <alignment vertical="center"/>
    </xf>
    <xf numFmtId="3" fontId="6" fillId="0" borderId="0" xfId="0" applyNumberFormat="true" applyFont="true" applyAlignment="true">
      <alignment horizontal="center" vertical="center"/>
    </xf>
    <xf numFmtId="6" fontId="11" fillId="9" borderId="0" xfId="0" applyNumberFormat="true" applyFont="true" applyFill="true" applyAlignment="true">
      <alignment horizontal="center" vertical="center"/>
    </xf>
    <xf numFmtId="165" fontId="11" fillId="9" borderId="0" xfId="0" applyNumberFormat="true" applyFont="true" applyFill="true" applyAlignment="true">
      <alignment horizontal="center" vertical="center"/>
    </xf>
    <xf numFmtId="165" fontId="11" fillId="17" borderId="0" xfId="0" applyNumberFormat="true" applyFont="true" applyFill="true" applyAlignment="true">
      <alignment horizontal="center" vertical="center"/>
    </xf>
    <xf numFmtId="165" fontId="11" fillId="18" borderId="0" xfId="0" applyNumberFormat="true" applyFont="true" applyFill="true" applyAlignment="true">
      <alignment horizontal="center" vertical="center"/>
    </xf>
    <xf numFmtId="165" fontId="3" fillId="18" borderId="0" xfId="0" applyNumberFormat="true" applyFont="true" applyFill="true" applyAlignment="true">
      <alignment horizontal="center" vertical="center"/>
    </xf>
    <xf numFmtId="165" fontId="11" fillId="19" borderId="0" xfId="0" applyNumberFormat="true" applyFont="true" applyFill="true" applyAlignment="true">
      <alignment horizontal="center" vertical="center"/>
    </xf>
    <xf numFmtId="165" fontId="3" fillId="19" borderId="0" xfId="0" applyNumberFormat="true" applyFont="true" applyFill="true" applyAlignment="true">
      <alignment horizontal="center" vertical="center"/>
    </xf>
    <xf numFmtId="165" fontId="11" fillId="20" borderId="0" xfId="0" applyNumberFormat="true" applyFont="true" applyFill="true" applyAlignment="true">
      <alignment horizontal="center" vertical="center"/>
    </xf>
    <xf numFmtId="165" fontId="3" fillId="20" borderId="0" xfId="0" applyNumberFormat="true" applyFont="true" applyFill="true" applyAlignment="true">
      <alignment horizontal="center" vertical="center"/>
    </xf>
    <xf numFmtId="4" fontId="3" fillId="0" borderId="0" xfId="0" applyNumberFormat="true" applyFont="true" applyAlignment="true">
      <alignment vertical="center"/>
    </xf>
    <xf numFmtId="9" fontId="3" fillId="0" borderId="0" xfId="0" applyNumberFormat="true" applyFont="true" applyAlignment="true">
      <alignment vertical="center"/>
    </xf>
    <xf numFmtId="3" fontId="3" fillId="0" borderId="0" xfId="0" applyNumberFormat="true" applyFont="true" applyAlignment="true">
      <alignment vertical="center"/>
    </xf>
    <xf numFmtId="166" fontId="3" fillId="0" borderId="0" xfId="0" applyNumberFormat="true" applyFont="true" applyAlignment="true">
      <alignment vertical="center"/>
    </xf>
    <xf numFmtId="164" fontId="3" fillId="0" borderId="0" xfId="0" applyNumberFormat="true" applyFont="true" applyAlignment="true">
      <alignment vertical="center"/>
    </xf>
    <xf numFmtId="165" fontId="11" fillId="21" borderId="0" xfId="0" applyNumberFormat="true" applyFont="true" applyFill="true" applyAlignment="true">
      <alignment horizontal="center" vertical="center"/>
    </xf>
    <xf numFmtId="165" fontId="3" fillId="21" borderId="0" xfId="0" applyNumberFormat="true" applyFont="true" applyFill="true" applyAlignment="true">
      <alignment horizontal="center" vertical="center"/>
    </xf>
    <xf numFmtId="166" fontId="9" fillId="0" borderId="1" xfId="0" applyNumberFormat="true" applyFont="true" applyBorder="true" applyAlignment="true">
      <alignment horizontal="center" vertical="center"/>
    </xf>
    <xf numFmtId="166" fontId="11" fillId="9" borderId="1" xfId="0" applyNumberFormat="true" applyFont="true" applyFill="true" applyBorder="true" applyAlignment="true">
      <alignment horizontal="center" vertical="center"/>
    </xf>
    <xf numFmtId="166" fontId="11" fillId="17" borderId="1" xfId="0" applyNumberFormat="true" applyFont="true" applyFill="true" applyBorder="true" applyAlignment="true">
      <alignment horizontal="center" vertical="center"/>
    </xf>
    <xf numFmtId="166" fontId="11" fillId="18" borderId="1" xfId="0" applyNumberFormat="true" applyFont="true" applyFill="true" applyBorder="true" applyAlignment="true">
      <alignment horizontal="center" vertical="center"/>
    </xf>
    <xf numFmtId="166" fontId="3" fillId="18" borderId="1" xfId="0" applyNumberFormat="true" applyFont="true" applyFill="true" applyBorder="true" applyAlignment="true">
      <alignment horizontal="center" vertical="center"/>
    </xf>
    <xf numFmtId="166" fontId="11" fillId="19" borderId="1" xfId="0" applyNumberFormat="true" applyFont="true" applyFill="true" applyBorder="true" applyAlignment="true">
      <alignment horizontal="center" vertical="center"/>
    </xf>
    <xf numFmtId="166" fontId="3" fillId="19" borderId="1" xfId="0" applyNumberFormat="true" applyFont="true" applyFill="true" applyBorder="true" applyAlignment="true">
      <alignment horizontal="center" vertical="center"/>
    </xf>
    <xf numFmtId="166" fontId="11" fillId="21" borderId="1" xfId="0" applyNumberFormat="true" applyFont="true" applyFill="true" applyBorder="true" applyAlignment="true">
      <alignment horizontal="center" vertical="center"/>
    </xf>
    <xf numFmtId="166" fontId="3" fillId="21" borderId="1" xfId="0" applyNumberFormat="true" applyFont="true" applyFill="true" applyBorder="true" applyAlignment="true">
      <alignment horizontal="center" vertical="center"/>
    </xf>
    <xf numFmtId="166" fontId="11" fillId="20" borderId="1" xfId="0" applyNumberFormat="true" applyFont="true" applyFill="true" applyBorder="true" applyAlignment="true">
      <alignment horizontal="center" vertical="center"/>
    </xf>
    <xf numFmtId="166" fontId="3" fillId="20" borderId="1" xfId="0" applyNumberFormat="true" applyFont="true" applyFill="true" applyBorder="true" applyAlignment="true">
      <alignment horizontal="center" vertical="center"/>
    </xf>
    <xf numFmtId="165" fontId="11" fillId="9" borderId="1" xfId="0" applyNumberFormat="true" applyFont="true" applyFill="true" applyBorder="true" applyAlignment="true">
      <alignment horizontal="center" vertical="center"/>
    </xf>
    <xf numFmtId="165" fontId="11" fillId="17" borderId="1" xfId="0" applyNumberFormat="true" applyFont="true" applyFill="true" applyBorder="true" applyAlignment="true">
      <alignment horizontal="center" vertical="center"/>
    </xf>
    <xf numFmtId="165" fontId="11" fillId="18" borderId="1" xfId="0" applyNumberFormat="true" applyFont="true" applyFill="true" applyBorder="true" applyAlignment="true">
      <alignment horizontal="center" vertical="center"/>
    </xf>
    <xf numFmtId="165" fontId="3" fillId="18" borderId="1" xfId="0" applyNumberFormat="true" applyFont="true" applyFill="true" applyBorder="true" applyAlignment="true">
      <alignment horizontal="center" vertical="center"/>
    </xf>
    <xf numFmtId="165" fontId="11" fillId="19" borderId="1" xfId="0" applyNumberFormat="true" applyFont="true" applyFill="true" applyBorder="true" applyAlignment="true">
      <alignment horizontal="center" vertical="center"/>
    </xf>
    <xf numFmtId="165" fontId="3" fillId="19" borderId="1" xfId="0" applyNumberFormat="true" applyFont="true" applyFill="true" applyBorder="true" applyAlignment="true">
      <alignment horizontal="center" vertical="center"/>
    </xf>
    <xf numFmtId="165" fontId="11" fillId="21" borderId="1" xfId="0" applyNumberFormat="true" applyFont="true" applyFill="true" applyBorder="true" applyAlignment="true">
      <alignment horizontal="center" vertical="center"/>
    </xf>
    <xf numFmtId="165" fontId="3" fillId="21" borderId="1" xfId="0" applyNumberFormat="true" applyFont="true" applyFill="true" applyBorder="true" applyAlignment="true">
      <alignment horizontal="center" vertical="center"/>
    </xf>
    <xf numFmtId="165" fontId="11" fillId="20" borderId="1" xfId="0" applyNumberFormat="true" applyFont="true" applyFill="true" applyBorder="true" applyAlignment="true">
      <alignment horizontal="center" vertical="center"/>
    </xf>
    <xf numFmtId="165" fontId="3" fillId="20" borderId="1" xfId="0" applyNumberFormat="true" applyFont="true" applyFill="true" applyBorder="true" applyAlignment="true">
      <alignment horizontal="center" vertical="center"/>
    </xf>
    <xf numFmtId="0" fontId="3" fillId="0" borderId="1" xfId="0" applyFont="true" applyBorder="true" applyAlignment="true">
      <alignment horizontal="center" vertical="center"/>
    </xf>
    <xf numFmtId="3" fontId="3" fillId="0" borderId="1" xfId="0" applyNumberFormat="true" applyFont="true" applyBorder="true" applyAlignment="true">
      <alignment horizontal="center" vertical="center"/>
    </xf>
    <xf numFmtId="166" fontId="3" fillId="0" borderId="1" xfId="0" applyNumberFormat="true" applyFont="true" applyBorder="true" applyAlignment="true">
      <alignment horizontal="center" vertical="center"/>
    </xf>
    <xf numFmtId="4" fontId="11" fillId="9" borderId="1" xfId="0" applyNumberFormat="true" applyFont="true" applyFill="true" applyBorder="true" applyAlignment="true">
      <alignment horizontal="center" vertical="center"/>
    </xf>
    <xf numFmtId="165" fontId="3" fillId="0" borderId="1" xfId="0" applyNumberFormat="true" applyFont="true" applyBorder="true" applyAlignment="true">
      <alignment horizontal="center" vertical="center"/>
    </xf>
    <xf numFmtId="164" fontId="3" fillId="0" borderId="1" xfId="0" applyNumberFormat="true" applyFont="true" applyBorder="true" applyAlignment="true">
      <alignment horizontal="center" vertical="center"/>
    </xf>
    <xf numFmtId="165" fontId="11" fillId="9" borderId="2" xfId="0" applyNumberFormat="true" applyFont="true" applyFill="true" applyBorder="true" applyAlignment="true">
      <alignment horizontal="center" vertical="center"/>
    </xf>
    <xf numFmtId="165" fontId="11" fillId="17" borderId="2" xfId="0" applyNumberFormat="true" applyFont="true" applyFill="true" applyBorder="true" applyAlignment="true">
      <alignment horizontal="center" vertical="center"/>
    </xf>
    <xf numFmtId="165" fontId="11" fillId="18" borderId="2" xfId="0" applyNumberFormat="true" applyFont="true" applyFill="true" applyBorder="true" applyAlignment="true">
      <alignment horizontal="center" vertical="center"/>
    </xf>
    <xf numFmtId="165" fontId="3" fillId="18" borderId="2" xfId="0" applyNumberFormat="true" applyFont="true" applyFill="true" applyBorder="true" applyAlignment="true">
      <alignment horizontal="center" vertical="center"/>
    </xf>
    <xf numFmtId="165" fontId="11" fillId="19" borderId="2" xfId="0" applyNumberFormat="true" applyFont="true" applyFill="true" applyBorder="true" applyAlignment="true">
      <alignment horizontal="center" vertical="center"/>
    </xf>
    <xf numFmtId="165" fontId="3" fillId="19" borderId="2" xfId="0" applyNumberFormat="true" applyFont="true" applyFill="true" applyBorder="true" applyAlignment="true">
      <alignment horizontal="center" vertical="center"/>
    </xf>
    <xf numFmtId="165" fontId="11" fillId="21" borderId="2" xfId="0" applyNumberFormat="true" applyFont="true" applyFill="true" applyBorder="true" applyAlignment="true">
      <alignment horizontal="center" vertical="center"/>
    </xf>
    <xf numFmtId="165" fontId="3" fillId="21" borderId="2" xfId="0" applyNumberFormat="true" applyFont="true" applyFill="true" applyBorder="true" applyAlignment="true">
      <alignment horizontal="center" vertical="center"/>
    </xf>
    <xf numFmtId="165" fontId="11" fillId="20" borderId="2" xfId="0" applyNumberFormat="true" applyFont="true" applyFill="true" applyBorder="true" applyAlignment="true">
      <alignment horizontal="center" vertical="center"/>
    </xf>
    <xf numFmtId="165" fontId="3" fillId="20" borderId="2" xfId="0" applyNumberFormat="true" applyFont="true" applyFill="true" applyBorder="true" applyAlignment="true">
      <alignment horizontal="center" vertical="center"/>
    </xf>
    <xf numFmtId="4" fontId="3" fillId="0" borderId="18" xfId="0" quotePrefix="true" applyNumberFormat="true" applyFont="true" applyBorder="true" applyAlignment="true">
      <alignment horizontal="center" vertical="center"/>
    </xf>
    <xf numFmtId="9" fontId="3" fillId="0" borderId="18" xfId="0" quotePrefix="true" applyNumberFormat="true" applyFont="true" applyBorder="true" applyAlignment="true">
      <alignment horizontal="center" vertical="center"/>
    </xf>
    <xf numFmtId="0" fontId="9" fillId="0" borderId="18" xfId="0" applyFont="true" applyBorder="true" applyAlignment="true">
      <alignment horizontal="center" vertical="center"/>
    </xf>
    <xf numFmtId="3" fontId="9" fillId="0" borderId="18" xfId="0" applyNumberFormat="true" applyFont="true" applyBorder="true" applyAlignment="true">
      <alignment horizontal="center" vertical="center"/>
    </xf>
    <xf numFmtId="166" fontId="8" fillId="0" borderId="18" xfId="0" applyNumberFormat="true" applyFont="true" applyBorder="true" applyAlignment="true">
      <alignment horizontal="center" vertical="center"/>
    </xf>
    <xf numFmtId="166" fontId="9" fillId="0" borderId="18" xfId="0" applyNumberFormat="true" applyFont="true" applyBorder="true" applyAlignment="true">
      <alignment horizontal="center" vertical="center"/>
    </xf>
    <xf numFmtId="6" fontId="11" fillId="9" borderId="18" xfId="0" applyNumberFormat="true" applyFont="true" applyFill="true" applyBorder="true" applyAlignment="true">
      <alignment horizontal="center" vertical="center"/>
    </xf>
    <xf numFmtId="165" fontId="8" fillId="0" borderId="18" xfId="0" applyNumberFormat="true" applyFont="true" applyBorder="true" applyAlignment="true">
      <alignment horizontal="center" vertical="center"/>
    </xf>
    <xf numFmtId="165" fontId="11" fillId="9" borderId="18" xfId="0" applyNumberFormat="true" applyFont="true" applyFill="true" applyBorder="true" applyAlignment="true">
      <alignment horizontal="center" vertical="center"/>
    </xf>
    <xf numFmtId="164" fontId="8" fillId="0" borderId="18" xfId="0" applyNumberFormat="true" applyFont="true" applyBorder="true" applyAlignment="true">
      <alignment horizontal="center" vertical="center"/>
    </xf>
    <xf numFmtId="165" fontId="11" fillId="17" borderId="18" xfId="0" applyNumberFormat="true" applyFont="true" applyFill="true" applyBorder="true" applyAlignment="true">
      <alignment horizontal="center" vertical="center"/>
    </xf>
    <xf numFmtId="165" fontId="11" fillId="18" borderId="18" xfId="0" applyNumberFormat="true" applyFont="true" applyFill="true" applyBorder="true" applyAlignment="true">
      <alignment horizontal="center" vertical="center"/>
    </xf>
    <xf numFmtId="165" fontId="3" fillId="18" borderId="18" xfId="0" applyNumberFormat="true" applyFont="true" applyFill="true" applyBorder="true" applyAlignment="true">
      <alignment horizontal="center" vertical="center"/>
    </xf>
    <xf numFmtId="165" fontId="11" fillId="19" borderId="18" xfId="0" applyNumberFormat="true" applyFont="true" applyFill="true" applyBorder="true" applyAlignment="true">
      <alignment horizontal="center" vertical="center"/>
    </xf>
    <xf numFmtId="165" fontId="3" fillId="19" borderId="18" xfId="0" applyNumberFormat="true" applyFont="true" applyFill="true" applyBorder="true" applyAlignment="true">
      <alignment horizontal="center" vertical="center"/>
    </xf>
    <xf numFmtId="165" fontId="11" fillId="21" borderId="18" xfId="0" applyNumberFormat="true" applyFont="true" applyFill="true" applyBorder="true" applyAlignment="true">
      <alignment horizontal="center" vertical="center"/>
    </xf>
    <xf numFmtId="165" fontId="3" fillId="21" borderId="18" xfId="0" applyNumberFormat="true" applyFont="true" applyFill="true" applyBorder="true" applyAlignment="true">
      <alignment horizontal="center" vertical="center"/>
    </xf>
    <xf numFmtId="165" fontId="11" fillId="20" borderId="18" xfId="0" applyNumberFormat="true" applyFont="true" applyFill="true" applyBorder="true" applyAlignment="true">
      <alignment horizontal="center" vertical="center"/>
    </xf>
    <xf numFmtId="165" fontId="3" fillId="20" borderId="18" xfId="0" applyNumberFormat="true" applyFont="true" applyFill="true" applyBorder="true" applyAlignment="true">
      <alignment horizontal="center" vertical="center"/>
    </xf>
    <xf numFmtId="165" fontId="8" fillId="0" borderId="20" xfId="0" applyNumberFormat="true" applyFont="true" applyBorder="true" applyAlignment="true">
      <alignment horizontal="center" vertical="center"/>
    </xf>
    <xf numFmtId="165" fontId="9" fillId="0" borderId="2" xfId="0" applyNumberFormat="true" applyFont="true" applyBorder="true" applyAlignment="true">
      <alignment horizontal="center" vertical="center"/>
    </xf>
    <xf numFmtId="164" fontId="9" fillId="0" borderId="2" xfId="0" applyNumberFormat="true" applyFont="true" applyBorder="true" applyAlignment="true">
      <alignment horizontal="center" vertical="center"/>
    </xf>
    <xf numFmtId="164" fontId="11" fillId="9" borderId="2" xfId="0" applyNumberFormat="true" applyFont="true" applyFill="true" applyBorder="true" applyAlignment="true">
      <alignment horizontal="center" vertical="center"/>
    </xf>
    <xf numFmtId="4" fontId="8" fillId="5" borderId="18" xfId="0" applyNumberFormat="true" applyFont="true" applyFill="true" applyBorder="true" applyAlignment="true">
      <alignment horizontal="center" vertical="center"/>
    </xf>
    <xf numFmtId="9" fontId="3" fillId="5" borderId="18" xfId="0" quotePrefix="true" applyNumberFormat="true" applyFont="true" applyFill="true" applyBorder="true" applyAlignment="true">
      <alignment horizontal="center" vertical="center"/>
    </xf>
    <xf numFmtId="0" fontId="8" fillId="5" borderId="18" xfId="0" applyFont="true" applyFill="true" applyBorder="true" applyAlignment="true">
      <alignment horizontal="center" vertical="center"/>
    </xf>
    <xf numFmtId="3" fontId="8" fillId="5" borderId="18" xfId="0" applyNumberFormat="true" applyFont="true" applyFill="true" applyBorder="true" applyAlignment="true">
      <alignment horizontal="center" vertical="center"/>
    </xf>
    <xf numFmtId="166" fontId="8" fillId="5" borderId="18" xfId="0" applyNumberFormat="true" applyFont="true" applyFill="true" applyBorder="true" applyAlignment="true">
      <alignment horizontal="center" vertical="center"/>
    </xf>
    <xf numFmtId="165" fontId="8" fillId="5" borderId="18" xfId="0" applyNumberFormat="true" applyFont="true" applyFill="true" applyBorder="true" applyAlignment="true">
      <alignment horizontal="center" vertical="center"/>
    </xf>
    <xf numFmtId="164" fontId="8" fillId="5" borderId="18" xfId="0" applyNumberFormat="true" applyFont="true" applyFill="true" applyBorder="true" applyAlignment="true">
      <alignment horizontal="center" vertical="center"/>
    </xf>
    <xf numFmtId="165" fontId="8" fillId="5" borderId="20" xfId="0" applyNumberFormat="true" applyFont="true" applyFill="true" applyBorder="true" applyAlignment="true">
      <alignment horizontal="center" vertical="center"/>
    </xf>
    <xf numFmtId="166" fontId="9" fillId="0" borderId="2" xfId="0" applyNumberFormat="true" applyFont="true" applyBorder="true" applyAlignment="true">
      <alignment horizontal="center" vertical="center"/>
    </xf>
    <xf numFmtId="3" fontId="9" fillId="0" borderId="2" xfId="0" applyNumberFormat="true" applyFont="true" applyBorder="true" applyAlignment="true">
      <alignment horizontal="center" vertical="center"/>
    </xf>
    <xf numFmtId="165" fontId="0" fillId="0" borderId="0" xfId="0" applyNumberFormat="true" applyAlignment="true">
      <alignment horizontal="right"/>
    </xf>
    <xf numFmtId="164" fontId="0" fillId="0" borderId="0" xfId="0" applyNumberFormat="true" applyAlignment="true">
      <alignment horizontal="right"/>
    </xf>
    <xf numFmtId="0" fontId="3" fillId="0" borderId="0" xfId="0" applyFont="true" applyAlignment="true">
      <alignment vertical="center" wrapText="true"/>
    </xf>
    <xf numFmtId="4" fontId="8" fillId="3" borderId="21" xfId="0" applyNumberFormat="true" applyFont="true" applyFill="true" applyBorder="true" applyAlignment="true">
      <alignment horizontal="center" vertical="center"/>
    </xf>
    <xf numFmtId="9" fontId="3" fillId="0" borderId="21" xfId="0" applyNumberFormat="true" applyFont="true" applyBorder="true" applyAlignment="true">
      <alignment horizontal="center" vertical="center"/>
    </xf>
    <xf numFmtId="0" fontId="8" fillId="3" borderId="21" xfId="0" applyFont="true" applyFill="true" applyBorder="true" applyAlignment="true">
      <alignment horizontal="center" vertical="center"/>
    </xf>
    <xf numFmtId="3" fontId="8" fillId="3" borderId="21" xfId="0" applyNumberFormat="true" applyFont="true" applyFill="true" applyBorder="true" applyAlignment="true">
      <alignment horizontal="center" vertical="center"/>
    </xf>
    <xf numFmtId="166" fontId="8" fillId="3" borderId="21" xfId="0" applyNumberFormat="true" applyFont="true" applyFill="true" applyBorder="true" applyAlignment="true">
      <alignment horizontal="center" vertical="center"/>
    </xf>
    <xf numFmtId="166" fontId="11" fillId="9" borderId="21" xfId="0" applyNumberFormat="true" applyFont="true" applyFill="true" applyBorder="true" applyAlignment="true">
      <alignment horizontal="center" vertical="center"/>
    </xf>
    <xf numFmtId="165" fontId="8" fillId="0" borderId="21" xfId="0" applyNumberFormat="true" applyFont="true" applyBorder="true" applyAlignment="true">
      <alignment horizontal="center" vertical="center"/>
    </xf>
    <xf numFmtId="165" fontId="11" fillId="9" borderId="21" xfId="0" applyNumberFormat="true" applyFont="true" applyFill="true" applyBorder="true" applyAlignment="true">
      <alignment horizontal="center" vertical="center"/>
    </xf>
    <xf numFmtId="164" fontId="8" fillId="0" borderId="21" xfId="0" applyNumberFormat="true" applyFont="true" applyBorder="true" applyAlignment="true">
      <alignment horizontal="center" vertical="center"/>
    </xf>
    <xf numFmtId="165" fontId="11" fillId="17" borderId="21" xfId="0" applyNumberFormat="true" applyFont="true" applyFill="true" applyBorder="true" applyAlignment="true">
      <alignment horizontal="center" vertical="center"/>
    </xf>
    <xf numFmtId="165" fontId="11" fillId="18" borderId="21" xfId="0" applyNumberFormat="true" applyFont="true" applyFill="true" applyBorder="true" applyAlignment="true">
      <alignment horizontal="center" vertical="center"/>
    </xf>
    <xf numFmtId="165" fontId="3" fillId="18" borderId="21" xfId="0" applyNumberFormat="true" applyFont="true" applyFill="true" applyBorder="true" applyAlignment="true">
      <alignment horizontal="center" vertical="center"/>
    </xf>
    <xf numFmtId="165" fontId="11" fillId="19" borderId="21" xfId="0" applyNumberFormat="true" applyFont="true" applyFill="true" applyBorder="true" applyAlignment="true">
      <alignment horizontal="center" vertical="center"/>
    </xf>
    <xf numFmtId="165" fontId="3" fillId="19" borderId="21" xfId="0" applyNumberFormat="true" applyFont="true" applyFill="true" applyBorder="true" applyAlignment="true">
      <alignment horizontal="center" vertical="center"/>
    </xf>
    <xf numFmtId="165" fontId="11" fillId="21" borderId="21" xfId="0" applyNumberFormat="true" applyFont="true" applyFill="true" applyBorder="true" applyAlignment="true">
      <alignment horizontal="center" vertical="center"/>
    </xf>
    <xf numFmtId="165" fontId="3" fillId="21" borderId="21" xfId="0" applyNumberFormat="true" applyFont="true" applyFill="true" applyBorder="true" applyAlignment="true">
      <alignment horizontal="center" vertical="center"/>
    </xf>
    <xf numFmtId="165" fontId="11" fillId="20" borderId="21" xfId="0" applyNumberFormat="true" applyFont="true" applyFill="true" applyBorder="true" applyAlignment="true">
      <alignment horizontal="center" vertical="center"/>
    </xf>
    <xf numFmtId="165" fontId="3" fillId="20" borderId="21" xfId="0" applyNumberFormat="true" applyFont="true" applyFill="true" applyBorder="true" applyAlignment="true">
      <alignment horizontal="center" vertical="center"/>
    </xf>
    <xf numFmtId="165" fontId="8" fillId="0" borderId="14" xfId="0" applyNumberFormat="true" applyFont="true" applyBorder="true" applyAlignment="true">
      <alignment horizontal="center" vertical="center"/>
    </xf>
    <xf numFmtId="0" fontId="3" fillId="0" borderId="23" xfId="0" applyFont="true" applyBorder="true" applyAlignment="true">
      <alignment vertical="center"/>
    </xf>
    <xf numFmtId="3" fontId="3" fillId="0" borderId="23" xfId="0" applyNumberFormat="true" applyFont="true" applyBorder="true" applyAlignment="true">
      <alignment vertical="center"/>
    </xf>
    <xf numFmtId="166" fontId="3" fillId="0" borderId="23" xfId="0" applyNumberFormat="true" applyFont="true" applyBorder="true" applyAlignment="true">
      <alignment vertical="center"/>
    </xf>
    <xf numFmtId="0" fontId="5" fillId="9" borderId="23" xfId="0" applyFont="true" applyFill="true" applyBorder="true" applyAlignment="true">
      <alignment vertical="center"/>
    </xf>
    <xf numFmtId="165" fontId="3" fillId="0" borderId="23" xfId="0" applyNumberFormat="true" applyFont="true" applyBorder="true" applyAlignment="true">
      <alignment vertical="center"/>
    </xf>
    <xf numFmtId="164" fontId="3" fillId="0" borderId="23" xfId="0" applyNumberFormat="true" applyFont="true" applyBorder="true" applyAlignment="true">
      <alignment vertical="center"/>
    </xf>
    <xf numFmtId="0" fontId="5" fillId="17" borderId="23" xfId="0" applyFont="true" applyFill="true" applyBorder="true" applyAlignment="true">
      <alignment vertical="center"/>
    </xf>
    <xf numFmtId="0" fontId="5" fillId="18" borderId="23" xfId="0" applyFont="true" applyFill="true" applyBorder="true" applyAlignment="true">
      <alignment vertical="center"/>
    </xf>
    <xf numFmtId="0" fontId="5" fillId="19" borderId="23" xfId="0" applyFont="true" applyFill="true" applyBorder="true" applyAlignment="true">
      <alignment vertical="center"/>
    </xf>
    <xf numFmtId="0" fontId="5" fillId="21" borderId="23" xfId="0" applyFont="true" applyFill="true" applyBorder="true" applyAlignment="true">
      <alignment vertical="center"/>
    </xf>
    <xf numFmtId="0" fontId="5" fillId="20" borderId="23" xfId="0" applyFont="true" applyFill="true" applyBorder="true" applyAlignment="true">
      <alignment vertical="center"/>
    </xf>
    <xf numFmtId="165" fontId="3" fillId="0" borderId="24" xfId="0" applyNumberFormat="true" applyFont="true" applyBorder="true" applyAlignment="true">
      <alignment vertical="center"/>
    </xf>
    <xf numFmtId="164" fontId="0" fillId="0" borderId="0" xfId="0" applyNumberFormat="true" applyAlignment="true">
      <alignment vertical="center"/>
    </xf>
    <xf numFmtId="165" fontId="0" fillId="0" borderId="0" xfId="0" applyNumberFormat="true" applyAlignment="true">
      <alignment horizontal="center" vertical="center"/>
    </xf>
    <xf numFmtId="165" fontId="0" fillId="0" borderId="0" xfId="0" applyNumberFormat="true" applyAlignment="true">
      <alignment vertical="center"/>
    </xf>
    <xf numFmtId="3" fontId="0" fillId="0" borderId="0" xfId="0" applyNumberFormat="true" applyAlignment="true">
      <alignment horizontal="center" vertical="center"/>
    </xf>
    <xf numFmtId="0" fontId="50" fillId="3" borderId="0" xfId="0" applyFont="true" applyFill="true" applyAlignment="true">
      <alignment vertical="center"/>
    </xf>
    <xf numFmtId="0" fontId="15" fillId="0" borderId="0" xfId="0" applyFont="true" applyAlignment="true">
      <alignment vertical="center"/>
    </xf>
    <xf numFmtId="164" fontId="29" fillId="9" borderId="0" xfId="0" applyNumberFormat="true" applyFont="true" applyFill="true" applyAlignment="true">
      <alignment horizontal="center"/>
    </xf>
    <xf numFmtId="165" fontId="29" fillId="9" borderId="0" xfId="0" applyNumberFormat="true" applyFont="true" applyFill="true" applyAlignment="true">
      <alignment horizontal="center"/>
    </xf>
    <xf numFmtId="0" fontId="10" fillId="15" borderId="8" xfId="0" applyFont="true" applyFill="true" applyBorder="true" applyAlignment="true">
      <alignment vertical="center"/>
    </xf>
    <xf numFmtId="165" fontId="10" fillId="15" borderId="8" xfId="0" applyNumberFormat="true" applyFont="true" applyFill="true" applyBorder="true" applyAlignment="true">
      <alignment horizontal="right" vertical="center"/>
    </xf>
    <xf numFmtId="167" fontId="5" fillId="16" borderId="6" xfId="0" applyNumberFormat="true" applyFont="true" applyFill="true" applyBorder="true" applyAlignment="true">
      <alignment horizontal="right" vertical="center"/>
    </xf>
    <xf numFmtId="165" fontId="3" fillId="3" borderId="7" xfId="0" applyNumberFormat="true" applyFont="true" applyFill="true" applyBorder="true" applyAlignment="true">
      <alignment vertical="center"/>
    </xf>
    <xf numFmtId="165" fontId="10" fillId="15" borderId="7" xfId="0" applyNumberFormat="true" applyFont="true" applyFill="true" applyBorder="true" applyAlignment="true">
      <alignment horizontal="right" vertical="center"/>
    </xf>
    <xf numFmtId="165" fontId="3" fillId="0" borderId="1" xfId="0" applyNumberFormat="true" applyFont="true" applyBorder="true" applyAlignment="true">
      <alignment vertical="center"/>
    </xf>
    <xf numFmtId="165" fontId="3" fillId="3" borderId="6" xfId="0" applyNumberFormat="true" applyFont="true" applyFill="true" applyBorder="true" applyAlignment="true">
      <alignment vertical="center"/>
    </xf>
    <xf numFmtId="165" fontId="3" fillId="3" borderId="1" xfId="0" applyNumberFormat="true" applyFont="true" applyFill="true" applyBorder="true" applyAlignment="true">
      <alignment vertical="center"/>
    </xf>
    <xf numFmtId="0" fontId="5" fillId="16" borderId="6" xfId="0" applyFont="true" applyFill="true" applyBorder="true" applyAlignment="true">
      <alignment horizontal="right" vertical="center"/>
    </xf>
    <xf numFmtId="165" fontId="38" fillId="3" borderId="1" xfId="0" applyNumberFormat="true" applyFont="true" applyFill="true" applyBorder="true" applyAlignment="true">
      <alignment vertical="center"/>
    </xf>
    <xf numFmtId="165" fontId="6" fillId="15" borderId="1" xfId="0" applyNumberFormat="true" applyFont="true" applyFill="true" applyBorder="true" applyAlignment="true">
      <alignment vertical="center"/>
    </xf>
    <xf numFmtId="165" fontId="6" fillId="0" borderId="1" xfId="0" applyNumberFormat="true" applyFont="true" applyBorder="true" applyAlignment="true">
      <alignment horizontal="right" vertical="center"/>
    </xf>
    <xf numFmtId="165" fontId="6" fillId="15" borderId="6" xfId="0" applyNumberFormat="true" applyFont="true" applyFill="true" applyBorder="true" applyAlignment="true">
      <alignment horizontal="right" vertical="center"/>
    </xf>
    <xf numFmtId="165" fontId="10" fillId="15" borderId="1" xfId="0" applyNumberFormat="true" applyFont="true" applyFill="true" applyBorder="true" applyAlignment="true">
      <alignment horizontal="right" vertical="center"/>
    </xf>
    <xf numFmtId="167" fontId="5" fillId="9" borderId="6" xfId="0" applyNumberFormat="true" applyFont="true" applyFill="true" applyBorder="true" applyAlignment="true">
      <alignment horizontal="right" vertical="center"/>
    </xf>
    <xf numFmtId="165" fontId="6" fillId="0" borderId="1" xfId="0" applyNumberFormat="true" applyFont="true" applyBorder="true" applyAlignment="true">
      <alignment vertical="center"/>
    </xf>
    <xf numFmtId="165" fontId="6" fillId="0" borderId="6" xfId="0" applyNumberFormat="true" applyFont="true" applyBorder="true" applyAlignment="true">
      <alignment vertical="center"/>
    </xf>
    <xf numFmtId="0" fontId="3" fillId="9" borderId="6" xfId="0" applyFont="true" applyFill="true" applyBorder="true" applyAlignment="true">
      <alignment vertical="center"/>
    </xf>
    <xf numFmtId="165" fontId="3" fillId="0" borderId="1" xfId="0" applyNumberFormat="true" applyFont="true" applyBorder="true" applyAlignment="true">
      <alignment horizontal="right" vertical="center"/>
    </xf>
    <xf numFmtId="165" fontId="3" fillId="0" borderId="6" xfId="0" applyNumberFormat="true" applyFont="true" applyBorder="true" applyAlignment="true">
      <alignment horizontal="right" vertical="center"/>
    </xf>
    <xf numFmtId="165" fontId="10" fillId="0" borderId="8" xfId="0" applyNumberFormat="true" applyFont="true" applyBorder="true" applyAlignment="true">
      <alignment vertical="center"/>
    </xf>
    <xf numFmtId="165" fontId="10" fillId="0" borderId="7" xfId="0" applyNumberFormat="true" applyFont="true" applyBorder="true" applyAlignment="true">
      <alignment vertical="center"/>
    </xf>
    <xf numFmtId="165" fontId="10" fillId="0" borderId="8" xfId="0" applyNumberFormat="true" applyFont="true" applyBorder="true" applyAlignment="true">
      <alignment horizontal="right" vertical="center"/>
    </xf>
    <xf numFmtId="165" fontId="10" fillId="0" borderId="7" xfId="0" applyNumberFormat="true" applyFont="true" applyBorder="true" applyAlignment="true">
      <alignment horizontal="right" vertical="center"/>
    </xf>
    <xf numFmtId="0" fontId="39" fillId="0" borderId="0" xfId="0" applyFont="true" applyAlignment="true">
      <alignment vertical="center"/>
    </xf>
    <xf numFmtId="0" fontId="43" fillId="0" borderId="0" xfId="0" applyFont="true" applyAlignment="true">
      <alignment vertical="center"/>
    </xf>
    <xf numFmtId="170" fontId="39" fillId="0" borderId="0" xfId="0" applyNumberFormat="true" applyFont="true" applyAlignment="true">
      <alignment horizontal="right" vertical="center"/>
    </xf>
    <xf numFmtId="10" fontId="37" fillId="3" borderId="1" xfId="0" applyNumberFormat="true" applyFont="true" applyFill="true" applyBorder="true" applyAlignment="true">
      <alignment vertical="center"/>
    </xf>
    <xf numFmtId="165" fontId="38" fillId="0" borderId="1" xfId="0" applyNumberFormat="true" applyFont="true" applyBorder="true" applyAlignment="true">
      <alignment vertical="center"/>
    </xf>
    <xf numFmtId="165" fontId="38" fillId="0" borderId="7" xfId="0" applyNumberFormat="true" applyFont="true" applyBorder="true" applyAlignment="true">
      <alignment vertical="center"/>
    </xf>
    <xf numFmtId="165" fontId="37" fillId="0" borderId="1" xfId="0" applyNumberFormat="true" applyFont="true" applyBorder="true" applyAlignment="true">
      <alignment vertical="center"/>
    </xf>
    <xf numFmtId="165" fontId="37" fillId="0" borderId="6" xfId="0" applyNumberFormat="true" applyFont="true" applyBorder="true" applyAlignment="true">
      <alignment vertical="center"/>
    </xf>
    <xf numFmtId="165" fontId="38" fillId="0" borderId="25" xfId="0" applyNumberFormat="true" applyFont="true" applyBorder="true" applyAlignment="true">
      <alignment vertical="center"/>
    </xf>
    <xf numFmtId="0" fontId="3" fillId="0" borderId="10" xfId="0" applyFont="true" applyBorder="true"/>
    <xf numFmtId="0" fontId="3" fillId="0" borderId="11" xfId="0" applyFont="true" applyBorder="true"/>
    <xf numFmtId="165" fontId="3" fillId="0" borderId="12" xfId="0" applyNumberFormat="true" applyFont="true" applyBorder="true"/>
    <xf numFmtId="165" fontId="3" fillId="0" borderId="1" xfId="0" applyNumberFormat="true" applyFont="true" applyBorder="true" applyAlignment="true">
      <alignment horizontal="left"/>
    </xf>
    <xf numFmtId="0" fontId="3" fillId="0" borderId="6" xfId="0" applyFont="true" applyBorder="true"/>
    <xf numFmtId="0" fontId="10" fillId="0" borderId="8" xfId="1" applyFont="true" applyBorder="true" applyAlignment="true">
      <alignment vertical="center"/>
    </xf>
    <xf numFmtId="3" fontId="5" fillId="9" borderId="3" xfId="4" applyNumberFormat="true" applyFont="true" applyFill="true" applyBorder="true" applyAlignment="true">
      <alignment horizontal="center" vertical="center"/>
    </xf>
    <xf numFmtId="0" fontId="6" fillId="3" borderId="10" xfId="1" applyFont="true" applyFill="true" applyBorder="true" applyAlignment="true">
      <alignment horizontal="left" vertical="center"/>
    </xf>
    <xf numFmtId="169" fontId="6" fillId="3" borderId="11" xfId="0" applyNumberFormat="true" applyFont="true" applyFill="true" applyBorder="true" applyAlignment="true">
      <alignment horizontal="right" vertical="center"/>
    </xf>
    <xf numFmtId="165" fontId="37" fillId="3" borderId="12" xfId="1" applyNumberFormat="true" applyFont="true" applyFill="true" applyBorder="true" applyAlignment="true">
      <alignment horizontal="right" vertical="center"/>
    </xf>
    <xf numFmtId="165" fontId="37" fillId="3" borderId="0" xfId="1" applyNumberFormat="true" applyFont="true" applyFill="true" applyAlignment="true">
      <alignment horizontal="right" vertical="center"/>
    </xf>
    <xf numFmtId="10" fontId="37" fillId="3" borderId="3" xfId="1" applyNumberFormat="true" applyFont="true" applyFill="true" applyBorder="true" applyAlignment="true">
      <alignment horizontal="right" vertical="center"/>
    </xf>
    <xf numFmtId="10" fontId="37" fillId="3" borderId="5" xfId="1" applyNumberFormat="true" applyFont="true" applyFill="true" applyBorder="true" applyAlignment="true">
      <alignment horizontal="right" vertical="center"/>
    </xf>
    <xf numFmtId="165" fontId="51" fillId="0" borderId="0" xfId="0" applyNumberFormat="true" applyFont="true" applyAlignment="true">
      <alignment horizontal="center" vertical="center"/>
    </xf>
    <xf numFmtId="164" fontId="51" fillId="0" borderId="0" xfId="0" applyNumberFormat="true" applyFont="true" applyAlignment="true">
      <alignment horizontal="center" vertical="center"/>
    </xf>
    <xf numFmtId="10" fontId="51" fillId="0" borderId="0" xfId="0" applyNumberFormat="true" applyFont="true" applyAlignment="true">
      <alignment horizontal="center" vertical="center"/>
    </xf>
    <xf numFmtId="3" fontId="51" fillId="0" borderId="0" xfId="0" applyNumberFormat="true" applyFont="true" applyAlignment="true">
      <alignment horizontal="center" vertical="center"/>
    </xf>
    <xf numFmtId="165" fontId="9" fillId="0" borderId="26" xfId="0" applyNumberFormat="true" applyFont="true" applyBorder="true" applyAlignment="true">
      <alignment horizontal="center" vertical="center"/>
    </xf>
    <xf numFmtId="166" fontId="9" fillId="0" borderId="6" xfId="0" applyNumberFormat="true" applyFont="true" applyBorder="true" applyAlignment="true">
      <alignment horizontal="center" vertical="center"/>
    </xf>
    <xf numFmtId="165" fontId="3" fillId="0" borderId="6" xfId="0" applyNumberFormat="true" applyFont="true" applyBorder="true" applyAlignment="true">
      <alignment horizontal="center" vertical="center"/>
    </xf>
    <xf numFmtId="0" fontId="3" fillId="0" borderId="19" xfId="0" applyFont="true" applyBorder="true" applyAlignment="true">
      <alignment vertical="center" wrapText="true"/>
    </xf>
    <xf numFmtId="0" fontId="48" fillId="0" borderId="19" xfId="0" applyFont="true" applyBorder="true" applyAlignment="true">
      <alignment horizontal="center" vertical="center" wrapText="true"/>
    </xf>
    <xf numFmtId="0" fontId="48" fillId="5" borderId="19" xfId="0" applyFont="true" applyFill="true" applyBorder="true" applyAlignment="true">
      <alignment horizontal="center" vertical="center" wrapText="true"/>
    </xf>
    <xf numFmtId="0" fontId="48" fillId="0" borderId="6" xfId="0" applyFont="true" applyBorder="true" applyAlignment="true">
      <alignment horizontal="center" vertical="center" wrapText="true"/>
    </xf>
    <xf numFmtId="166" fontId="48" fillId="0" borderId="14" xfId="0" applyNumberFormat="true" applyFont="true" applyBorder="true" applyAlignment="true">
      <alignment horizontal="center" vertical="center" wrapText="true"/>
    </xf>
    <xf numFmtId="4" fontId="48" fillId="0" borderId="3" xfId="0" applyNumberFormat="true" applyFont="true" applyBorder="true" applyAlignment="true">
      <alignment horizontal="center" vertical="center" wrapText="true"/>
    </xf>
    <xf numFmtId="9" fontId="48" fillId="0" borderId="3" xfId="0" applyNumberFormat="true" applyFont="true" applyBorder="true" applyAlignment="true">
      <alignment horizontal="center" vertical="center" wrapText="true"/>
    </xf>
    <xf numFmtId="0" fontId="48" fillId="0" borderId="3" xfId="0" applyFont="true" applyBorder="true" applyAlignment="true">
      <alignment horizontal="center" vertical="center" wrapText="true"/>
    </xf>
    <xf numFmtId="0" fontId="52" fillId="5" borderId="19" xfId="0" applyFont="true" applyFill="true" applyBorder="true" applyAlignment="true">
      <alignment horizontal="center" vertical="center" wrapText="true"/>
    </xf>
    <xf numFmtId="0" fontId="52" fillId="0" borderId="6" xfId="0" applyFont="true" applyBorder="true" applyAlignment="true">
      <alignment horizontal="center" vertical="center" wrapText="true"/>
    </xf>
    <xf numFmtId="166" fontId="52" fillId="0" borderId="14" xfId="0" applyNumberFormat="true" applyFont="true" applyBorder="true" applyAlignment="true">
      <alignment horizontal="center" vertical="center" wrapText="true"/>
    </xf>
    <xf numFmtId="166" fontId="53" fillId="0" borderId="14" xfId="3" applyNumberFormat="true" applyFont="true" applyBorder="true" applyAlignment="true">
      <alignment horizontal="center" vertical="center" wrapText="true"/>
    </xf>
    <xf numFmtId="166" fontId="53" fillId="0" borderId="8" xfId="3" applyNumberFormat="true" applyFont="true" applyBorder="true" applyAlignment="true">
      <alignment horizontal="center" vertical="center" wrapText="true"/>
    </xf>
    <xf numFmtId="4" fontId="3" fillId="0" borderId="18" xfId="0" applyNumberFormat="true" applyFont="true" applyBorder="true" applyAlignment="true">
      <alignment vertical="center"/>
    </xf>
    <xf numFmtId="4" fontId="6" fillId="0" borderId="1" xfId="0" quotePrefix="true" applyNumberFormat="true" applyFont="true" applyBorder="true" applyAlignment="true">
      <alignment horizontal="center" vertical="center"/>
    </xf>
    <xf numFmtId="9" fontId="3" fillId="0" borderId="18" xfId="0" applyNumberFormat="true" applyFont="true" applyBorder="true" applyAlignment="true">
      <alignment vertical="center"/>
    </xf>
    <xf numFmtId="3" fontId="5" fillId="12" borderId="0" xfId="0" applyNumberFormat="true" applyFont="true" applyFill="true" applyAlignment="true">
      <alignment horizontal="left" vertical="center"/>
    </xf>
    <xf numFmtId="14" fontId="5" fillId="12" borderId="0" xfId="0" applyNumberFormat="true" applyFont="true" applyFill="true" applyAlignment="true">
      <alignment horizontal="center" vertical="center"/>
    </xf>
    <xf numFmtId="166" fontId="0" fillId="0" borderId="0" xfId="0" applyNumberFormat="true" applyAlignment="true">
      <alignment horizontal="center"/>
    </xf>
    <xf numFmtId="0" fontId="54" fillId="13" borderId="0" xfId="0" applyFont="true" applyFill="true" applyAlignment="true">
      <alignment vertical="center"/>
    </xf>
    <xf numFmtId="166" fontId="18" fillId="0" borderId="0" xfId="0" applyNumberFormat="true" applyFont="true" applyAlignment="true">
      <alignment horizontal="center"/>
    </xf>
    <xf numFmtId="3" fontId="22" fillId="0" borderId="3" xfId="0" applyNumberFormat="true" applyFont="true" applyBorder="true" applyAlignment="true">
      <alignment horizontal="center"/>
    </xf>
    <xf numFmtId="10" fontId="22" fillId="0" borderId="3" xfId="0" applyNumberFormat="true" applyFont="true" applyBorder="true" applyAlignment="true">
      <alignment horizontal="center"/>
    </xf>
    <xf numFmtId="166" fontId="22" fillId="0" borderId="3" xfId="0" applyNumberFormat="true" applyFont="true" applyBorder="true" applyAlignment="true">
      <alignment horizontal="center"/>
    </xf>
    <xf numFmtId="166" fontId="14" fillId="0" borderId="3" xfId="0" applyNumberFormat="true" applyFont="true" applyBorder="true" applyAlignment="true">
      <alignment horizontal="center" vertical="center"/>
    </xf>
    <xf numFmtId="4" fontId="14" fillId="0" borderId="3" xfId="0" applyNumberFormat="true" applyFont="true" applyBorder="true" applyAlignment="true">
      <alignment horizontal="center" vertical="center"/>
    </xf>
    <xf numFmtId="3" fontId="14" fillId="0" borderId="3" xfId="0" applyNumberFormat="true" applyFont="true" applyBorder="true" applyAlignment="true">
      <alignment horizontal="center" vertical="center"/>
    </xf>
    <xf numFmtId="0" fontId="7" fillId="0" borderId="3" xfId="0" applyFont="true" applyBorder="true" applyAlignment="true">
      <alignment vertical="center"/>
    </xf>
    <xf numFmtId="0" fontId="7" fillId="0" borderId="3" xfId="0" applyFont="true" applyBorder="true" applyAlignment="true">
      <alignment horizontal="left" vertical="center"/>
    </xf>
    <xf numFmtId="166" fontId="7" fillId="0" borderId="3" xfId="0" applyNumberFormat="true" applyFont="true" applyBorder="true" applyAlignment="true">
      <alignment horizontal="center" vertical="center"/>
    </xf>
    <xf numFmtId="4" fontId="7" fillId="0" borderId="3" xfId="0" applyNumberFormat="true" applyFont="true" applyBorder="true" applyAlignment="true">
      <alignment horizontal="center" vertical="center"/>
    </xf>
    <xf numFmtId="9" fontId="7" fillId="0" borderId="3" xfId="0" applyNumberFormat="true" applyFont="true" applyBorder="true" applyAlignment="true">
      <alignment horizontal="center" vertical="center"/>
    </xf>
    <xf numFmtId="0" fontId="7" fillId="0" borderId="3" xfId="0" applyFont="true" applyBorder="true" applyAlignment="true">
      <alignment horizontal="center" vertical="center"/>
    </xf>
    <xf numFmtId="3" fontId="7" fillId="0" borderId="3" xfId="0" applyNumberFormat="true" applyFont="true" applyBorder="true" applyAlignment="true">
      <alignment horizontal="center" vertical="center"/>
    </xf>
    <xf numFmtId="0" fontId="12" fillId="0" borderId="0" xfId="0" applyFont="true" applyAlignment="true">
      <alignment vertical="center"/>
    </xf>
    <xf numFmtId="0" fontId="12" fillId="0" borderId="0" xfId="0" applyFont="true" applyAlignment="true">
      <alignment horizontal="left" vertical="center"/>
    </xf>
    <xf numFmtId="166" fontId="12" fillId="0" borderId="0" xfId="0" applyNumberFormat="true" applyFont="true" applyAlignment="true">
      <alignment horizontal="center" vertical="center"/>
    </xf>
    <xf numFmtId="4" fontId="12" fillId="0" borderId="0" xfId="0" applyNumberFormat="true" applyFont="true" applyAlignment="true">
      <alignment horizontal="center" vertical="center"/>
    </xf>
    <xf numFmtId="9" fontId="12" fillId="0" borderId="0" xfId="0" applyNumberFormat="true" applyFont="true" applyAlignment="true">
      <alignment horizontal="center" vertical="center"/>
    </xf>
    <xf numFmtId="0" fontId="12" fillId="0" borderId="0" xfId="0" applyFont="true" applyAlignment="true">
      <alignment horizontal="center" vertical="center"/>
    </xf>
    <xf numFmtId="3" fontId="12" fillId="0" borderId="0" xfId="0" applyNumberFormat="true" applyFont="true" applyAlignment="true">
      <alignment horizontal="center" vertical="center"/>
    </xf>
    <xf numFmtId="164" fontId="12" fillId="0" borderId="2" xfId="0" applyNumberFormat="true" applyFont="true" applyBorder="true" applyAlignment="true">
      <alignment horizontal="center" vertical="center"/>
    </xf>
    <xf numFmtId="165" fontId="7" fillId="17" borderId="13" xfId="0" applyNumberFormat="true" applyFont="true" applyFill="true" applyBorder="true" applyAlignment="true">
      <alignment horizontal="center" vertical="center"/>
    </xf>
    <xf numFmtId="165" fontId="7" fillId="18" borderId="13" xfId="0" applyNumberFormat="true" applyFont="true" applyFill="true" applyBorder="true" applyAlignment="true">
      <alignment horizontal="center" vertical="center"/>
    </xf>
    <xf numFmtId="165" fontId="7" fillId="19" borderId="13" xfId="0" applyNumberFormat="true" applyFont="true" applyFill="true" applyBorder="true" applyAlignment="true">
      <alignment horizontal="center" vertical="center"/>
    </xf>
    <xf numFmtId="165" fontId="7" fillId="21" borderId="13" xfId="0" applyNumberFormat="true" applyFont="true" applyFill="true" applyBorder="true" applyAlignment="true">
      <alignment horizontal="center" vertical="center"/>
    </xf>
    <xf numFmtId="165" fontId="7" fillId="20" borderId="13" xfId="0" applyNumberFormat="true" applyFont="true" applyFill="true" applyBorder="true" applyAlignment="true">
      <alignment horizontal="center" vertical="center"/>
    </xf>
    <xf numFmtId="165" fontId="7" fillId="17" borderId="27" xfId="0" applyNumberFormat="true" applyFont="true" applyFill="true" applyBorder="true" applyAlignment="true">
      <alignment horizontal="center" vertical="center"/>
    </xf>
    <xf numFmtId="164" fontId="12" fillId="0" borderId="29" xfId="0" applyNumberFormat="true" applyFont="true" applyBorder="true" applyAlignment="true">
      <alignment horizontal="center" vertical="center"/>
    </xf>
    <xf numFmtId="165" fontId="7" fillId="9" borderId="13" xfId="0" applyNumberFormat="true" applyFont="true" applyFill="true" applyBorder="true" applyAlignment="true">
      <alignment horizontal="center" vertical="center"/>
    </xf>
    <xf numFmtId="164" fontId="7" fillId="9" borderId="28" xfId="0" applyNumberFormat="true" applyFont="true" applyFill="true" applyBorder="true" applyAlignment="true">
      <alignment horizontal="center" vertical="center"/>
    </xf>
    <xf numFmtId="164" fontId="12" fillId="0" borderId="0" xfId="0" applyNumberFormat="true" applyFont="true" applyAlignment="true">
      <alignment horizontal="center" vertical="center"/>
    </xf>
    <xf numFmtId="164" fontId="7" fillId="9" borderId="7" xfId="0" applyNumberFormat="true" applyFont="true" applyFill="true" applyBorder="true" applyAlignment="true">
      <alignment horizontal="center" vertical="center"/>
    </xf>
    <xf numFmtId="14" fontId="27" fillId="0" borderId="0" xfId="0" applyNumberFormat="true" applyFont="true" applyAlignment="true">
      <alignment horizontal="right" vertical="center"/>
    </xf>
    <xf numFmtId="164" fontId="7" fillId="17" borderId="13" xfId="0" applyNumberFormat="true" applyFont="true" applyFill="true" applyBorder="true" applyAlignment="true">
      <alignment horizontal="center" vertical="center"/>
    </xf>
    <xf numFmtId="164" fontId="7" fillId="18" borderId="13" xfId="0" applyNumberFormat="true" applyFont="true" applyFill="true" applyBorder="true" applyAlignment="true">
      <alignment horizontal="center" vertical="center"/>
    </xf>
    <xf numFmtId="164" fontId="7" fillId="19" borderId="13" xfId="0" applyNumberFormat="true" applyFont="true" applyFill="true" applyBorder="true" applyAlignment="true">
      <alignment horizontal="center" vertical="center"/>
    </xf>
    <xf numFmtId="164" fontId="7" fillId="21" borderId="13" xfId="0" applyNumberFormat="true" applyFont="true" applyFill="true" applyBorder="true" applyAlignment="true">
      <alignment horizontal="center" vertical="center"/>
    </xf>
    <xf numFmtId="164" fontId="7" fillId="20" borderId="13" xfId="0" applyNumberFormat="true" applyFont="true" applyFill="true" applyBorder="true" applyAlignment="true">
      <alignment horizontal="center" vertical="center"/>
    </xf>
    <xf numFmtId="10" fontId="21" fillId="0" borderId="0" xfId="0" applyNumberFormat="true" applyFont="true" applyAlignment="true">
      <alignment horizontal="center"/>
    </xf>
    <xf numFmtId="165" fontId="12" fillId="0" borderId="30" xfId="0" applyNumberFormat="true" applyFont="true" applyBorder="true" applyAlignment="true">
      <alignment horizontal="center" vertical="center"/>
    </xf>
    <xf numFmtId="165" fontId="12" fillId="0" borderId="31" xfId="0" applyNumberFormat="true" applyFont="true" applyBorder="true" applyAlignment="true">
      <alignment horizontal="center" vertical="center"/>
    </xf>
    <xf numFmtId="164" fontId="7" fillId="22" borderId="13" xfId="0" applyNumberFormat="true" applyFont="true" applyFill="true" applyBorder="true" applyAlignment="true">
      <alignment horizontal="center" vertical="center"/>
    </xf>
    <xf numFmtId="4" fontId="14" fillId="11" borderId="0" xfId="0" applyNumberFormat="true" applyFont="true" applyFill="true" applyAlignment="true">
      <alignment horizontal="center" vertical="center"/>
    </xf>
    <xf numFmtId="166" fontId="14" fillId="11" borderId="0" xfId="0" applyNumberFormat="true" applyFont="true" applyFill="true" applyAlignment="true">
      <alignment horizontal="center" vertical="center"/>
    </xf>
    <xf numFmtId="0" fontId="7" fillId="12" borderId="13" xfId="0" applyFont="true" applyFill="true" applyBorder="true" applyAlignment="true">
      <alignment vertical="center"/>
    </xf>
    <xf numFmtId="4" fontId="7" fillId="12" borderId="13" xfId="0" applyNumberFormat="true" applyFont="true" applyFill="true" applyBorder="true" applyAlignment="true">
      <alignment horizontal="center" vertical="center"/>
    </xf>
    <xf numFmtId="9" fontId="7" fillId="12" borderId="13" xfId="0" applyNumberFormat="true" applyFont="true" applyFill="true" applyBorder="true" applyAlignment="true">
      <alignment horizontal="center" vertical="center"/>
    </xf>
    <xf numFmtId="0" fontId="7" fillId="12" borderId="13" xfId="0" applyFont="true" applyFill="true" applyBorder="true" applyAlignment="true">
      <alignment horizontal="center" vertical="center"/>
    </xf>
    <xf numFmtId="3" fontId="7" fillId="12" borderId="13" xfId="0" applyNumberFormat="true" applyFont="true" applyFill="true" applyBorder="true" applyAlignment="true">
      <alignment horizontal="center" vertical="center"/>
    </xf>
    <xf numFmtId="166" fontId="7" fillId="12" borderId="13" xfId="0" applyNumberFormat="true" applyFont="true" applyFill="true" applyBorder="true" applyAlignment="true">
      <alignment horizontal="center" vertical="center"/>
    </xf>
    <xf numFmtId="165" fontId="7" fillId="12" borderId="13" xfId="0" applyNumberFormat="true" applyFont="true" applyFill="true" applyBorder="true" applyAlignment="true">
      <alignment horizontal="center" vertical="center"/>
    </xf>
    <xf numFmtId="0" fontId="8" fillId="4" borderId="13" xfId="0" applyFont="true" applyFill="true" applyBorder="true" applyAlignment="true">
      <alignment vertical="center"/>
    </xf>
    <xf numFmtId="4" fontId="8" fillId="4" borderId="13" xfId="0" applyNumberFormat="true" applyFont="true" applyFill="true" applyBorder="true" applyAlignment="true">
      <alignment horizontal="center" vertical="center"/>
    </xf>
    <xf numFmtId="9" fontId="9" fillId="4" borderId="13" xfId="0" applyNumberFormat="true" applyFont="true" applyFill="true" applyBorder="true" applyAlignment="true">
      <alignment horizontal="center"/>
    </xf>
    <xf numFmtId="0" fontId="9" fillId="4" borderId="13" xfId="0" applyFont="true" applyFill="true" applyBorder="true" applyAlignment="true">
      <alignment horizontal="center"/>
    </xf>
    <xf numFmtId="0" fontId="8" fillId="4" borderId="13" xfId="0" applyFont="true" applyFill="true" applyBorder="true" applyAlignment="true">
      <alignment horizontal="center" vertical="center"/>
    </xf>
    <xf numFmtId="3" fontId="8" fillId="4" borderId="13" xfId="0" applyNumberFormat="true" applyFont="true" applyFill="true" applyBorder="true" applyAlignment="true">
      <alignment horizontal="center" vertical="center"/>
    </xf>
    <xf numFmtId="166" fontId="8" fillId="4" borderId="13" xfId="0" applyNumberFormat="true" applyFont="true" applyFill="true" applyBorder="true" applyAlignment="true">
      <alignment horizontal="center" vertical="center"/>
    </xf>
    <xf numFmtId="165" fontId="8" fillId="4" borderId="13" xfId="0" applyNumberFormat="true" applyFont="true" applyFill="true" applyBorder="true" applyAlignment="true">
      <alignment horizontal="center" vertical="center"/>
    </xf>
    <xf numFmtId="0" fontId="8" fillId="3" borderId="13" xfId="0" applyFont="true" applyFill="true" applyBorder="true" applyAlignment="true">
      <alignment vertical="center"/>
    </xf>
    <xf numFmtId="4" fontId="8" fillId="3" borderId="13" xfId="0" applyNumberFormat="true" applyFont="true" applyFill="true" applyBorder="true" applyAlignment="true">
      <alignment horizontal="center" vertical="center"/>
    </xf>
    <xf numFmtId="9" fontId="8" fillId="3" borderId="13" xfId="0" applyNumberFormat="true" applyFont="true" applyFill="true" applyBorder="true" applyAlignment="true">
      <alignment horizontal="center" vertical="center"/>
    </xf>
    <xf numFmtId="0" fontId="8" fillId="3" borderId="13" xfId="0" applyFont="true" applyFill="true" applyBorder="true" applyAlignment="true">
      <alignment horizontal="center" vertical="center"/>
    </xf>
    <xf numFmtId="3" fontId="8" fillId="3" borderId="13" xfId="0" applyNumberFormat="true" applyFont="true" applyFill="true" applyBorder="true" applyAlignment="true">
      <alignment horizontal="center" vertical="center"/>
    </xf>
    <xf numFmtId="166" fontId="8" fillId="3" borderId="13" xfId="0" applyNumberFormat="true" applyFont="true" applyFill="true" applyBorder="true" applyAlignment="true">
      <alignment horizontal="center" vertical="center"/>
    </xf>
    <xf numFmtId="165" fontId="8" fillId="3" borderId="13" xfId="0" applyNumberFormat="true" applyFont="true" applyFill="true" applyBorder="true" applyAlignment="true">
      <alignment horizontal="center" vertical="center"/>
    </xf>
    <xf numFmtId="0" fontId="7" fillId="12" borderId="13" xfId="0" applyFont="true" applyFill="true" applyBorder="true" applyAlignment="true">
      <alignment vertical="center" wrapText="true"/>
    </xf>
    <xf numFmtId="4" fontId="7" fillId="12" borderId="13" xfId="0" applyNumberFormat="true" applyFont="true" applyFill="true" applyBorder="true" applyAlignment="true">
      <alignment horizontal="center" vertical="center" wrapText="true"/>
    </xf>
    <xf numFmtId="9" fontId="7" fillId="12" borderId="13" xfId="0" applyNumberFormat="true" applyFont="true" applyFill="true" applyBorder="true" applyAlignment="true">
      <alignment horizontal="center" vertical="center" wrapText="true"/>
    </xf>
    <xf numFmtId="0" fontId="7" fillId="12" borderId="13" xfId="0" applyFont="true" applyFill="true" applyBorder="true" applyAlignment="true">
      <alignment horizontal="center" vertical="center" wrapText="true"/>
    </xf>
    <xf numFmtId="166" fontId="7" fillId="12" borderId="13" xfId="0" applyNumberFormat="true" applyFont="true" applyFill="true" applyBorder="true" applyAlignment="true">
      <alignment horizontal="center" vertical="center" wrapText="true"/>
    </xf>
    <xf numFmtId="165" fontId="7" fillId="12" borderId="13" xfId="0" applyNumberFormat="true" applyFont="true" applyFill="true" applyBorder="true" applyAlignment="true">
      <alignment horizontal="center" vertical="center" wrapText="true"/>
    </xf>
    <xf numFmtId="165" fontId="8" fillId="4" borderId="13" xfId="0" applyNumberFormat="true" applyFont="true" applyFill="true" applyBorder="true" applyAlignment="true">
      <alignment horizontal="left" vertical="center"/>
    </xf>
    <xf numFmtId="165" fontId="8" fillId="0" borderId="13" xfId="0" applyNumberFormat="true" applyFont="true" applyBorder="true" applyAlignment="true">
      <alignment horizontal="left" vertical="center"/>
    </xf>
    <xf numFmtId="165" fontId="3" fillId="0" borderId="13" xfId="0" applyNumberFormat="true" applyFont="true" applyBorder="true" applyAlignment="true">
      <alignment horizontal="center"/>
    </xf>
    <xf numFmtId="165" fontId="3" fillId="3" borderId="13" xfId="0" applyNumberFormat="true" applyFont="true" applyFill="true" applyBorder="true" applyAlignment="true">
      <alignment horizontal="center"/>
    </xf>
    <xf numFmtId="3" fontId="7" fillId="12" borderId="13" xfId="0" applyNumberFormat="true" applyFont="true" applyFill="true" applyBorder="true" applyAlignment="true">
      <alignment horizontal="left" vertical="center"/>
    </xf>
    <xf numFmtId="14" fontId="7" fillId="12" borderId="13" xfId="0" applyNumberFormat="true" applyFont="true" applyFill="true" applyBorder="true" applyAlignment="true">
      <alignment horizontal="center" vertical="center"/>
    </xf>
    <xf numFmtId="0" fontId="3" fillId="5" borderId="13" xfId="0" applyFont="true" applyFill="true" applyBorder="true" applyAlignment="true">
      <alignment horizontal="left" vertical="center" wrapText="true"/>
    </xf>
    <xf numFmtId="0" fontId="6" fillId="5" borderId="13" xfId="0" applyFont="true" applyFill="true" applyBorder="true" applyAlignment="true">
      <alignment horizontal="center" vertical="center"/>
    </xf>
    <xf numFmtId="0" fontId="3" fillId="0" borderId="13" xfId="0" applyFont="true" applyBorder="true" applyAlignment="true">
      <alignment horizontal="left" vertical="center" wrapText="true"/>
    </xf>
    <xf numFmtId="0" fontId="0" fillId="0" borderId="13" xfId="0" applyBorder="true" applyAlignment="true">
      <alignment horizontal="center" vertical="center"/>
    </xf>
    <xf numFmtId="0" fontId="18" fillId="0" borderId="0" xfId="0" applyFont="true" applyAlignment="true">
      <alignment vertical="center" wrapText="true"/>
    </xf>
    <xf numFmtId="0" fontId="17" fillId="23" borderId="16" xfId="0" applyFont="true" applyFill="true" applyBorder="true" applyAlignment="true">
      <alignment horizontal="center" vertical="center" wrapText="true"/>
    </xf>
    <xf numFmtId="0" fontId="17" fillId="23" borderId="17" xfId="0" applyFont="true" applyFill="true" applyBorder="true" applyAlignment="true">
      <alignment horizontal="center" vertical="center" wrapText="true"/>
    </xf>
    <xf numFmtId="0" fontId="17" fillId="23" borderId="15" xfId="0" applyFont="true" applyFill="true" applyBorder="true" applyAlignment="true">
      <alignment horizontal="center" vertical="center" wrapText="true"/>
    </xf>
    <xf numFmtId="0" fontId="17" fillId="24" borderId="22" xfId="0" applyFont="true" applyFill="true" applyBorder="true" applyAlignment="true">
      <alignment vertical="center" wrapText="true"/>
    </xf>
    <xf numFmtId="0" fontId="57" fillId="24" borderId="22" xfId="0" applyFont="true" applyFill="true" applyBorder="true" applyAlignment="true">
      <alignment horizontal="center" vertical="center" wrapText="true"/>
    </xf>
    <xf numFmtId="0" fontId="57" fillId="24" borderId="15" xfId="0" applyFont="true" applyFill="true" applyBorder="true" applyAlignment="true">
      <alignment horizontal="center" vertical="center" wrapText="true"/>
    </xf>
    <xf numFmtId="0" fontId="57" fillId="24" borderId="25" xfId="0" applyFont="true" applyFill="true" applyBorder="true" applyAlignment="true">
      <alignment horizontal="center" vertical="center" wrapText="true"/>
    </xf>
    <xf numFmtId="0" fontId="57" fillId="24" borderId="38" xfId="0" applyFont="true" applyFill="true" applyBorder="true" applyAlignment="true">
      <alignment horizontal="center" vertical="center" wrapText="true"/>
    </xf>
    <xf numFmtId="4" fontId="17" fillId="24" borderId="16" xfId="0" applyNumberFormat="true" applyFont="true" applyFill="true" applyBorder="true" applyAlignment="true">
      <alignment horizontal="center" vertical="center" wrapText="true"/>
    </xf>
    <xf numFmtId="9" fontId="17" fillId="24" borderId="16" xfId="0" applyNumberFormat="true" applyFont="true" applyFill="true" applyBorder="true" applyAlignment="true">
      <alignment horizontal="center" vertical="center" wrapText="true"/>
    </xf>
    <xf numFmtId="0" fontId="17" fillId="24" borderId="16" xfId="0" applyFont="true" applyFill="true" applyBorder="true" applyAlignment="true">
      <alignment horizontal="center" vertical="center" wrapText="true"/>
    </xf>
    <xf numFmtId="0" fontId="17" fillId="24" borderId="17" xfId="0" applyFont="true" applyFill="true" applyBorder="true" applyAlignment="true">
      <alignment horizontal="center" vertical="center" wrapText="true"/>
    </xf>
    <xf numFmtId="166" fontId="0" fillId="0" borderId="0" xfId="0" applyNumberFormat="true"/>
    <xf numFmtId="14" fontId="31" fillId="0" borderId="3" xfId="0" applyNumberFormat="true" applyFont="true" applyBorder="true" applyAlignment="true">
      <alignment horizontal="right" vertical="center"/>
    </xf>
    <xf numFmtId="0" fontId="61" fillId="0" borderId="4" xfId="0" applyFont="true" applyBorder="true" applyAlignment="true">
      <alignment vertical="center"/>
    </xf>
    <xf numFmtId="0" fontId="62" fillId="0" borderId="0" xfId="0" applyFont="true" applyAlignment="true">
      <alignment horizontal="center" vertical="center"/>
    </xf>
    <xf numFmtId="0" fontId="63" fillId="0" borderId="0" xfId="3" applyFont="true" applyAlignment="true">
      <alignment vertical="center"/>
    </xf>
    <xf numFmtId="0" fontId="61" fillId="13" borderId="0" xfId="0" applyFont="true" applyFill="true" applyAlignment="true">
      <alignment horizontal="left" indent="1" vertical="center"/>
    </xf>
    <xf numFmtId="14" fontId="27" fillId="0" borderId="3" xfId="0" applyNumberFormat="true" applyFont="true" applyBorder="true" applyAlignment="true">
      <alignment vertical="center"/>
    </xf>
    <xf numFmtId="3" fontId="0" fillId="3" borderId="0" xfId="0" applyNumberFormat="true" applyFill="true" applyAlignment="true">
      <alignment vertical="center"/>
    </xf>
    <xf numFmtId="14" fontId="27" fillId="0" borderId="0" xfId="0" applyNumberFormat="true" applyFont="true" applyAlignment="true">
      <alignment horizontal="right" vertical="top"/>
    </xf>
    <xf numFmtId="0" fontId="59" fillId="26" borderId="23" xfId="0" applyFont="true" applyFill="true" applyBorder="true" applyAlignment="true">
      <alignment horizontal="left" vertical="center" wrapText="true"/>
    </xf>
    <xf numFmtId="0" fontId="60" fillId="26" borderId="23" xfId="0" applyFont="true" applyFill="true" applyBorder="true" applyAlignment="true">
      <alignment horizontal="left" vertical="center" wrapText="true"/>
    </xf>
    <xf numFmtId="0" fontId="60" fillId="27" borderId="23" xfId="0" applyFont="true" applyFill="true" applyBorder="true" applyAlignment="true">
      <alignment horizontal="left" vertical="center" wrapText="true"/>
    </xf>
    <xf numFmtId="0" fontId="58" fillId="25" borderId="15" xfId="0" applyFont="true" applyFill="true" applyBorder="true" applyAlignment="true">
      <alignment horizontal="center" vertical="center" wrapText="true"/>
    </xf>
    <xf numFmtId="0" fontId="58" fillId="25" borderId="16" xfId="0" applyFont="true" applyFill="true" applyBorder="true" applyAlignment="true">
      <alignment horizontal="center" vertical="center" wrapText="true"/>
    </xf>
    <xf numFmtId="0" fontId="58" fillId="25" borderId="25" xfId="0" applyFont="true" applyFill="true" applyBorder="true" applyAlignment="true">
      <alignment horizontal="center" vertical="center" wrapText="true"/>
    </xf>
    <xf numFmtId="0" fontId="58" fillId="25" borderId="38" xfId="0" applyFont="true" applyFill="true" applyBorder="true" applyAlignment="true">
      <alignment horizontal="center" vertical="center" wrapText="true"/>
    </xf>
    <xf numFmtId="166" fontId="58" fillId="25" borderId="39" xfId="0" applyNumberFormat="true" applyFont="true" applyFill="true" applyBorder="true" applyAlignment="true">
      <alignment horizontal="center" vertical="center" wrapText="true"/>
    </xf>
    <xf numFmtId="0" fontId="12" fillId="5" borderId="0" xfId="0" applyFont="true" applyFill="true" applyAlignment="true">
      <alignment vertical="center"/>
    </xf>
    <xf numFmtId="0" fontId="12" fillId="5" borderId="0" xfId="0" applyFont="true" applyFill="true" applyAlignment="true">
      <alignment horizontal="left" vertical="center"/>
    </xf>
    <xf numFmtId="166" fontId="12" fillId="5" borderId="0" xfId="0" applyNumberFormat="true" applyFont="true" applyFill="true" applyAlignment="true">
      <alignment horizontal="center" vertical="center"/>
    </xf>
    <xf numFmtId="4" fontId="12" fillId="5" borderId="0" xfId="0" applyNumberFormat="true" applyFont="true" applyFill="true" applyAlignment="true">
      <alignment horizontal="center" vertical="center"/>
    </xf>
    <xf numFmtId="9" fontId="12" fillId="5" borderId="0" xfId="0" applyNumberFormat="true" applyFont="true" applyFill="true" applyAlignment="true">
      <alignment horizontal="center" vertical="center"/>
    </xf>
    <xf numFmtId="0" fontId="12" fillId="5" borderId="0" xfId="0" applyFont="true" applyFill="true" applyAlignment="true">
      <alignment horizontal="center" vertical="center"/>
    </xf>
    <xf numFmtId="3" fontId="12" fillId="5" borderId="0" xfId="0" applyNumberFormat="true" applyFont="true" applyFill="true" applyAlignment="true">
      <alignment horizontal="center" vertical="center"/>
    </xf>
    <xf numFmtId="165" fontId="12" fillId="5" borderId="30" xfId="0" applyNumberFormat="true" applyFont="true" applyFill="true" applyBorder="true" applyAlignment="true">
      <alignment horizontal="center" vertical="center"/>
    </xf>
    <xf numFmtId="164" fontId="12" fillId="5" borderId="2" xfId="0" applyNumberFormat="true" applyFont="true" applyFill="true" applyBorder="true" applyAlignment="true">
      <alignment horizontal="center" vertical="center"/>
    </xf>
    <xf numFmtId="165" fontId="12" fillId="5" borderId="31" xfId="0" applyNumberFormat="true" applyFont="true" applyFill="true" applyBorder="true" applyAlignment="true">
      <alignment horizontal="center" vertical="center"/>
    </xf>
    <xf numFmtId="164" fontId="12" fillId="5" borderId="0" xfId="0" applyNumberFormat="true" applyFont="true" applyFill="true" applyAlignment="true">
      <alignment horizontal="center" vertical="center"/>
    </xf>
    <xf numFmtId="164" fontId="12" fillId="5" borderId="29" xfId="0" applyNumberFormat="true" applyFont="true" applyFill="true" applyBorder="true" applyAlignment="true">
      <alignment horizontal="center" vertical="center"/>
    </xf>
    <xf numFmtId="165" fontId="0" fillId="26" borderId="13" xfId="0" applyNumberFormat="true" applyFill="true" applyBorder="true" applyAlignment="true">
      <alignment horizontal="center" vertical="center" wrapText="true"/>
    </xf>
    <xf numFmtId="172" fontId="0" fillId="26" borderId="13" xfId="0" applyNumberFormat="true" applyFill="true" applyBorder="true" applyAlignment="true">
      <alignment horizontal="center" vertical="center" wrapText="true"/>
    </xf>
    <xf numFmtId="171" fontId="0" fillId="26" borderId="13" xfId="0" applyNumberFormat="true" applyFill="true" applyBorder="true" applyAlignment="true">
      <alignment horizontal="center" vertical="center" wrapText="true"/>
    </xf>
    <xf numFmtId="165" fontId="0" fillId="26" borderId="43" xfId="0" applyNumberFormat="true" applyFill="true" applyBorder="true" applyAlignment="true">
      <alignment horizontal="center" vertical="center" wrapText="true"/>
    </xf>
    <xf numFmtId="172" fontId="0" fillId="26" borderId="43" xfId="0" applyNumberFormat="true" applyFill="true" applyBorder="true" applyAlignment="true">
      <alignment horizontal="center" vertical="center" wrapText="true"/>
    </xf>
    <xf numFmtId="171" fontId="0" fillId="26" borderId="43" xfId="0" applyNumberFormat="true" applyFill="true" applyBorder="true" applyAlignment="true">
      <alignment horizontal="center" vertical="center" wrapText="true"/>
    </xf>
    <xf numFmtId="0" fontId="18" fillId="0" borderId="33" xfId="0" applyFont="true" applyBorder="true" applyAlignment="true">
      <alignment horizontal="left"/>
    </xf>
    <xf numFmtId="165" fontId="0" fillId="27" borderId="41" xfId="0" applyNumberFormat="true" applyFill="true" applyBorder="true" applyAlignment="true">
      <alignment horizontal="center" vertical="center" wrapText="true"/>
    </xf>
    <xf numFmtId="172" fontId="0" fillId="27" borderId="41" xfId="0" applyNumberFormat="true" applyFill="true" applyBorder="true" applyAlignment="true">
      <alignment horizontal="center" vertical="center" wrapText="true"/>
    </xf>
    <xf numFmtId="171" fontId="0" fillId="27" borderId="41" xfId="0" applyNumberFormat="true" applyFill="true" applyBorder="true" applyAlignment="true">
      <alignment horizontal="center" vertical="center" wrapText="true"/>
    </xf>
    <xf numFmtId="165" fontId="0" fillId="27" borderId="13" xfId="0" applyNumberFormat="true" applyFill="true" applyBorder="true" applyAlignment="true">
      <alignment horizontal="center" vertical="center" wrapText="true"/>
    </xf>
    <xf numFmtId="172" fontId="0" fillId="27" borderId="13" xfId="0" applyNumberFormat="true" applyFill="true" applyBorder="true" applyAlignment="true">
      <alignment horizontal="center" vertical="center" wrapText="true"/>
    </xf>
    <xf numFmtId="171" fontId="0" fillId="27" borderId="13" xfId="0" applyNumberFormat="true" applyFill="true" applyBorder="true" applyAlignment="true">
      <alignment horizontal="center" vertical="center" wrapText="true"/>
    </xf>
    <xf numFmtId="165" fontId="0" fillId="27" borderId="43" xfId="0" applyNumberFormat="true" applyFill="true" applyBorder="true" applyAlignment="true">
      <alignment horizontal="center" vertical="center" wrapText="true"/>
    </xf>
    <xf numFmtId="172" fontId="0" fillId="27" borderId="43" xfId="0" applyNumberFormat="true" applyFill="true" applyBorder="true" applyAlignment="true">
      <alignment horizontal="center" vertical="center" wrapText="true"/>
    </xf>
    <xf numFmtId="171" fontId="0" fillId="27" borderId="43" xfId="0" applyNumberFormat="true" applyFill="true" applyBorder="true" applyAlignment="true">
      <alignment horizontal="center" vertical="center" wrapText="true"/>
    </xf>
    <xf numFmtId="0" fontId="58" fillId="25" borderId="15" xfId="0" applyFont="true" applyFill="true" applyBorder="true" applyAlignment="true">
      <alignment horizontal="left" vertical="center" wrapText="true"/>
    </xf>
    <xf numFmtId="0" fontId="64" fillId="26" borderId="0" xfId="0" applyFont="true" applyFill="true" applyAlignment="true">
      <alignment horizontal="left" indent="1" vertical="center" wrapText="true"/>
    </xf>
    <xf numFmtId="171" fontId="0" fillId="26" borderId="14" xfId="0" applyNumberFormat="true" applyFill="true" applyBorder="true" applyAlignment="true">
      <alignment horizontal="center" vertical="center" wrapText="true"/>
    </xf>
    <xf numFmtId="165" fontId="0" fillId="26" borderId="14" xfId="0" applyNumberFormat="true" applyFill="true" applyBorder="true" applyAlignment="true">
      <alignment horizontal="center" vertical="center" wrapText="true"/>
    </xf>
    <xf numFmtId="172" fontId="0" fillId="26" borderId="14" xfId="0" applyNumberFormat="true" applyFill="true" applyBorder="true" applyAlignment="true">
      <alignment horizontal="center" vertical="center" wrapText="true"/>
    </xf>
    <xf numFmtId="0" fontId="64" fillId="26" borderId="4" xfId="0" applyFont="true" applyFill="true" applyBorder="true" applyAlignment="true">
      <alignment horizontal="left" indent="1" vertical="center" wrapText="true"/>
    </xf>
    <xf numFmtId="0" fontId="65" fillId="27" borderId="34" xfId="3" applyFont="true" applyFill="true" applyBorder="true" applyAlignment="true">
      <alignment horizontal="left" indent="1" vertical="center" wrapText="true"/>
    </xf>
    <xf numFmtId="0" fontId="65" fillId="27" borderId="0" xfId="3" applyFont="true" applyFill="true" applyBorder="true" applyAlignment="true">
      <alignment horizontal="left" indent="1" vertical="center" wrapText="true"/>
    </xf>
    <xf numFmtId="0" fontId="65" fillId="27" borderId="4" xfId="3" applyFont="true" applyFill="true" applyBorder="true" applyAlignment="true">
      <alignment horizontal="left" indent="1" vertical="center" wrapText="true"/>
    </xf>
    <xf numFmtId="0" fontId="66" fillId="26" borderId="24" xfId="0" applyFont="true" applyFill="true" applyBorder="true" applyAlignment="true">
      <alignment horizontal="left" vertical="center" wrapText="true"/>
    </xf>
    <xf numFmtId="0" fontId="66" fillId="27" borderId="24" xfId="0" applyFont="true" applyFill="true" applyBorder="true" applyAlignment="true">
      <alignment horizontal="left" vertical="center" wrapText="true"/>
    </xf>
    <xf numFmtId="0" fontId="0" fillId="26" borderId="6" xfId="0" applyFill="true" applyBorder="true" applyAlignment="true">
      <alignment horizontal="center" vertical="center" wrapText="true"/>
    </xf>
    <xf numFmtId="0" fontId="0" fillId="26" borderId="7" xfId="0" applyFill="true" applyBorder="true" applyAlignment="true">
      <alignment horizontal="center" vertical="center" wrapText="true"/>
    </xf>
    <xf numFmtId="0" fontId="0" fillId="26" borderId="46" xfId="0" applyFill="true" applyBorder="true" applyAlignment="true">
      <alignment horizontal="center" vertical="center" wrapText="true"/>
    </xf>
    <xf numFmtId="0" fontId="0" fillId="27" borderId="47" xfId="0" applyFill="true" applyBorder="true" applyAlignment="true">
      <alignment horizontal="center" vertical="center" wrapText="true"/>
    </xf>
    <xf numFmtId="0" fontId="0" fillId="27" borderId="7" xfId="0" applyFill="true" applyBorder="true" applyAlignment="true">
      <alignment horizontal="center" vertical="center" wrapText="true"/>
    </xf>
    <xf numFmtId="0" fontId="0" fillId="27" borderId="46" xfId="0" applyFill="true" applyBorder="true" applyAlignment="true">
      <alignment horizontal="center" vertical="center" wrapText="true"/>
    </xf>
    <xf numFmtId="0" fontId="58" fillId="25" borderId="48" xfId="0" applyFont="true" applyFill="true" applyBorder="true" applyAlignment="true">
      <alignment horizontal="center" vertical="center" wrapText="true"/>
    </xf>
    <xf numFmtId="3" fontId="0" fillId="26" borderId="26" xfId="0" applyNumberFormat="true" applyFill="true" applyBorder="true" applyAlignment="true">
      <alignment horizontal="center" vertical="center" wrapText="true"/>
    </xf>
    <xf numFmtId="173" fontId="0" fillId="26" borderId="45" xfId="0" applyNumberFormat="true" applyFill="true" applyBorder="true" applyAlignment="true">
      <alignment horizontal="center" vertical="center" wrapText="true"/>
    </xf>
    <xf numFmtId="3" fontId="0" fillId="26" borderId="27" xfId="0" applyNumberFormat="true" applyFill="true" applyBorder="true" applyAlignment="true">
      <alignment horizontal="center" vertical="center" wrapText="true"/>
    </xf>
    <xf numFmtId="173" fontId="0" fillId="26" borderId="28" xfId="0" applyNumberFormat="true" applyFill="true" applyBorder="true" applyAlignment="true">
      <alignment horizontal="center" vertical="center" wrapText="true"/>
    </xf>
    <xf numFmtId="3" fontId="0" fillId="26" borderId="49" xfId="0" applyNumberFormat="true" applyFill="true" applyBorder="true" applyAlignment="true">
      <alignment horizontal="center" vertical="center" wrapText="true"/>
    </xf>
    <xf numFmtId="173" fontId="0" fillId="26" borderId="44" xfId="0" applyNumberFormat="true" applyFill="true" applyBorder="true" applyAlignment="true">
      <alignment horizontal="center" vertical="center" wrapText="true"/>
    </xf>
    <xf numFmtId="3" fontId="0" fillId="27" borderId="50" xfId="0" applyNumberFormat="true" applyFill="true" applyBorder="true" applyAlignment="true">
      <alignment horizontal="center" vertical="center" wrapText="true"/>
    </xf>
    <xf numFmtId="173" fontId="0" fillId="27" borderId="42" xfId="0" applyNumberFormat="true" applyFill="true" applyBorder="true" applyAlignment="true">
      <alignment horizontal="center" vertical="center" wrapText="true"/>
    </xf>
    <xf numFmtId="3" fontId="0" fillId="27" borderId="27" xfId="0" applyNumberFormat="true" applyFill="true" applyBorder="true" applyAlignment="true">
      <alignment horizontal="center" vertical="center" wrapText="true"/>
    </xf>
    <xf numFmtId="173" fontId="0" fillId="27" borderId="28" xfId="0" applyNumberFormat="true" applyFill="true" applyBorder="true" applyAlignment="true">
      <alignment horizontal="center" vertical="center" wrapText="true"/>
    </xf>
    <xf numFmtId="3" fontId="0" fillId="27" borderId="49" xfId="0" applyNumberFormat="true" applyFill="true" applyBorder="true" applyAlignment="true">
      <alignment horizontal="center" vertical="center" wrapText="true"/>
    </xf>
    <xf numFmtId="173" fontId="0" fillId="27" borderId="44" xfId="0" applyNumberFormat="true" applyFill="true" applyBorder="true" applyAlignment="true">
      <alignment horizontal="center" vertical="center" wrapText="true"/>
    </xf>
    <xf numFmtId="0" fontId="58" fillId="25" borderId="39" xfId="0" applyFont="true" applyFill="true" applyBorder="true" applyAlignment="true">
      <alignment horizontal="center" vertical="center" wrapText="true"/>
    </xf>
    <xf numFmtId="165" fontId="0" fillId="26" borderId="45" xfId="0" applyNumberFormat="true" applyFill="true" applyBorder="true" applyAlignment="true">
      <alignment horizontal="center" vertical="center" wrapText="true"/>
    </xf>
    <xf numFmtId="165" fontId="0" fillId="26" borderId="28" xfId="0" applyNumberFormat="true" applyFill="true" applyBorder="true" applyAlignment="true">
      <alignment horizontal="center" vertical="center" wrapText="true"/>
    </xf>
    <xf numFmtId="165" fontId="0" fillId="26" borderId="44" xfId="0" applyNumberFormat="true" applyFill="true" applyBorder="true" applyAlignment="true">
      <alignment horizontal="center" vertical="center" wrapText="true"/>
    </xf>
    <xf numFmtId="165" fontId="0" fillId="27" borderId="42" xfId="0" applyNumberFormat="true" applyFill="true" applyBorder="true" applyAlignment="true">
      <alignment horizontal="center" vertical="center" wrapText="true"/>
    </xf>
    <xf numFmtId="165" fontId="0" fillId="27" borderId="28" xfId="0" applyNumberFormat="true" applyFill="true" applyBorder="true" applyAlignment="true">
      <alignment horizontal="center" vertical="center" wrapText="true"/>
    </xf>
    <xf numFmtId="165" fontId="0" fillId="27" borderId="44" xfId="0" applyNumberFormat="true" applyFill="true" applyBorder="true" applyAlignment="true">
      <alignment horizontal="center" vertical="center" wrapText="true"/>
    </xf>
    <xf numFmtId="166" fontId="58" fillId="25" borderId="17" xfId="0" applyNumberFormat="true" applyFont="true" applyFill="true" applyBorder="true" applyAlignment="true">
      <alignment horizontal="center" vertical="center" wrapText="true"/>
    </xf>
    <xf numFmtId="166" fontId="0" fillId="26" borderId="51" xfId="0" applyNumberFormat="true" applyFill="true" applyBorder="true" applyAlignment="true">
      <alignment horizontal="center" vertical="center" wrapText="true"/>
    </xf>
    <xf numFmtId="166" fontId="0" fillId="26" borderId="52" xfId="0" applyNumberFormat="true" applyFill="true" applyBorder="true" applyAlignment="true">
      <alignment horizontal="center" vertical="center" wrapText="true"/>
    </xf>
    <xf numFmtId="166" fontId="0" fillId="26" borderId="53" xfId="0" applyNumberFormat="true" applyFill="true" applyBorder="true" applyAlignment="true">
      <alignment horizontal="center" vertical="center" wrapText="true"/>
    </xf>
    <xf numFmtId="166" fontId="0" fillId="27" borderId="54" xfId="0" applyNumberFormat="true" applyFill="true" applyBorder="true" applyAlignment="true">
      <alignment horizontal="center" vertical="center" wrapText="true"/>
    </xf>
    <xf numFmtId="166" fontId="0" fillId="27" borderId="52" xfId="0" applyNumberFormat="true" applyFill="true" applyBorder="true" applyAlignment="true">
      <alignment horizontal="center" vertical="center" wrapText="true"/>
    </xf>
    <xf numFmtId="166" fontId="0" fillId="27" borderId="53" xfId="0" applyNumberFormat="true" applyFill="true" applyBorder="true" applyAlignment="true">
      <alignment horizontal="center" vertical="center" wrapText="true"/>
    </xf>
    <xf numFmtId="171" fontId="0" fillId="26" borderId="26" xfId="0" applyNumberFormat="true" applyFill="true" applyBorder="true" applyAlignment="true">
      <alignment horizontal="center" vertical="center" wrapText="true"/>
    </xf>
    <xf numFmtId="171" fontId="0" fillId="26" borderId="27" xfId="0" applyNumberFormat="true" applyFill="true" applyBorder="true" applyAlignment="true">
      <alignment horizontal="center" vertical="center" wrapText="true"/>
    </xf>
    <xf numFmtId="171" fontId="0" fillId="26" borderId="49" xfId="0" applyNumberFormat="true" applyFill="true" applyBorder="true" applyAlignment="true">
      <alignment horizontal="center" vertical="center" wrapText="true"/>
    </xf>
    <xf numFmtId="171" fontId="0" fillId="27" borderId="50" xfId="0" applyNumberFormat="true" applyFill="true" applyBorder="true" applyAlignment="true">
      <alignment horizontal="center" vertical="center" wrapText="true"/>
    </xf>
    <xf numFmtId="171" fontId="0" fillId="27" borderId="27" xfId="0" applyNumberFormat="true" applyFill="true" applyBorder="true" applyAlignment="true">
      <alignment horizontal="center" vertical="center" wrapText="true"/>
    </xf>
    <xf numFmtId="171" fontId="0" fillId="27" borderId="49" xfId="0" applyNumberFormat="true" applyFill="true" applyBorder="true" applyAlignment="true">
      <alignment horizontal="center" vertical="center" wrapText="true"/>
    </xf>
    <xf numFmtId="0" fontId="56" fillId="0" borderId="0" xfId="0" applyFont="true"/>
    <xf numFmtId="0" fontId="67" fillId="0" borderId="0" xfId="0" applyFont="true" applyAlignment="true">
      <alignment horizontal="left" vertical="center"/>
    </xf>
    <xf numFmtId="0" fontId="68" fillId="11" borderId="0" xfId="0" applyFont="true" applyFill="true" applyAlignment="true">
      <alignment horizontal="left" vertical="center"/>
    </xf>
    <xf numFmtId="0" fontId="20" fillId="0" borderId="0" xfId="0" applyFont="true"/>
    <xf numFmtId="0" fontId="3" fillId="0" borderId="0" xfId="0" applyFont="true" applyAlignment="true">
      <alignment horizontal="right" vertical="center"/>
    </xf>
    <xf numFmtId="14" fontId="44" fillId="0" borderId="0" xfId="0" applyNumberFormat="true" applyFont="true" applyAlignment="true">
      <alignment horizontal="right" vertical="center"/>
    </xf>
    <xf numFmtId="0" fontId="68" fillId="11" borderId="3" xfId="0" applyFont="true" applyFill="true" applyBorder="true" applyAlignment="true">
      <alignment horizontal="left" vertical="center"/>
    </xf>
    <xf numFmtId="0" fontId="68" fillId="0" borderId="0" xfId="0" applyFont="true" applyAlignment="true">
      <alignment horizontal="left" vertical="center"/>
    </xf>
    <xf numFmtId="0" fontId="69" fillId="11" borderId="0" xfId="0" applyFont="true" applyFill="true" applyAlignment="true">
      <alignment horizontal="left" vertical="center"/>
    </xf>
    <xf numFmtId="14" fontId="27" fillId="0" borderId="0" xfId="0" applyNumberFormat="true" applyFont="true" applyAlignment="true">
      <alignment horizontal="left" vertical="top"/>
    </xf>
    <xf numFmtId="0" fontId="69" fillId="0" borderId="3" xfId="0" applyFont="true" applyBorder="true" applyAlignment="true">
      <alignment horizontal="left" vertical="center"/>
    </xf>
    <xf numFmtId="0" fontId="50" fillId="0" borderId="3" xfId="0" applyFont="true" applyBorder="true" applyAlignment="true">
      <alignment vertical="center"/>
    </xf>
    <xf numFmtId="0" fontId="50" fillId="0" borderId="3" xfId="0" applyFont="true" applyBorder="true" applyAlignment="true">
      <alignment horizontal="left" vertical="center"/>
    </xf>
    <xf numFmtId="0" fontId="3" fillId="0" borderId="0" xfId="0" applyFont="true" applyAlignment="true">
      <alignment horizontal="left"/>
    </xf>
    <xf numFmtId="0" fontId="6" fillId="0" borderId="23" xfId="0" applyFont="true" applyBorder="true" applyAlignment="true">
      <alignment horizontal="center" vertical="center"/>
    </xf>
    <xf numFmtId="0" fontId="5" fillId="29" borderId="15" xfId="0" applyFont="true" applyFill="true" applyBorder="true" applyAlignment="true">
      <alignment horizontal="center" vertical="center"/>
    </xf>
    <xf numFmtId="0" fontId="5" fillId="29" borderId="38" xfId="0" applyFont="true" applyFill="true" applyBorder="true" applyAlignment="true">
      <alignment horizontal="center" vertical="center"/>
    </xf>
    <xf numFmtId="0" fontId="5" fillId="29" borderId="39" xfId="0" applyFont="true" applyFill="true" applyBorder="true" applyAlignment="true">
      <alignment horizontal="center" vertical="center"/>
    </xf>
    <xf numFmtId="165" fontId="37" fillId="0" borderId="8" xfId="1" applyNumberFormat="true" applyFont="true" applyBorder="true" applyAlignment="true">
      <alignment horizontal="center" vertical="center"/>
    </xf>
    <xf numFmtId="0" fontId="10" fillId="0" borderId="15" xfId="0" applyFont="true" applyBorder="true" applyAlignment="true">
      <alignment horizontal="center" vertical="center"/>
    </xf>
    <xf numFmtId="0" fontId="71" fillId="0" borderId="0" xfId="0" applyFont="true" applyAlignment="true">
      <alignment vertical="center"/>
    </xf>
    <xf numFmtId="0" fontId="37" fillId="0" borderId="13" xfId="0" applyFont="true" applyBorder="true" applyAlignment="true">
      <alignment horizontal="center" vertical="center"/>
    </xf>
    <xf numFmtId="0" fontId="5" fillId="23" borderId="15" xfId="0" applyFont="true" applyFill="true" applyBorder="true" applyAlignment="true">
      <alignment horizontal="center" vertical="center"/>
    </xf>
    <xf numFmtId="0" fontId="5" fillId="23" borderId="25" xfId="0" applyFont="true" applyFill="true" applyBorder="true" applyAlignment="true">
      <alignment horizontal="center" vertical="center"/>
    </xf>
    <xf numFmtId="0" fontId="5" fillId="23" borderId="39" xfId="0" applyFont="true" applyFill="true" applyBorder="true" applyAlignment="true">
      <alignment horizontal="center" vertical="center"/>
    </xf>
    <xf numFmtId="0" fontId="37" fillId="0" borderId="0" xfId="0" applyFont="true" applyAlignment="true">
      <alignment vertical="center"/>
    </xf>
    <xf numFmtId="0" fontId="5" fillId="24" borderId="13" xfId="0" applyFont="true" applyFill="true" applyBorder="true" applyAlignment="true">
      <alignment horizontal="center" vertical="center"/>
    </xf>
    <xf numFmtId="172" fontId="0" fillId="0" borderId="23" xfId="0" applyNumberFormat="true" applyBorder="true" applyAlignment="true">
      <alignment horizontal="center" vertical="center"/>
    </xf>
    <xf numFmtId="172" fontId="18" fillId="0" borderId="15" xfId="0" applyNumberFormat="true" applyFont="true" applyBorder="true" applyAlignment="true">
      <alignment horizontal="center" vertical="center"/>
    </xf>
    <xf numFmtId="173" fontId="0" fillId="0" borderId="55" xfId="0" applyNumberFormat="true" applyBorder="true" applyAlignment="true">
      <alignment horizontal="center" vertical="center"/>
    </xf>
    <xf numFmtId="173" fontId="18" fillId="0" borderId="39" xfId="0" applyNumberFormat="true" applyFont="true" applyBorder="true" applyAlignment="true">
      <alignment horizontal="center" vertical="center"/>
    </xf>
    <xf numFmtId="171" fontId="6" fillId="0" borderId="23" xfId="0" applyNumberFormat="true" applyFont="true" applyBorder="true" applyAlignment="true">
      <alignment horizontal="center" vertical="center"/>
    </xf>
    <xf numFmtId="171" fontId="10" fillId="0" borderId="15" xfId="0" applyNumberFormat="true" applyFont="true" applyBorder="true" applyAlignment="true">
      <alignment horizontal="center" vertical="center"/>
    </xf>
    <xf numFmtId="172" fontId="10" fillId="0" borderId="25" xfId="0" applyNumberFormat="true" applyFont="true" applyBorder="true" applyAlignment="true">
      <alignment horizontal="center" vertical="center"/>
    </xf>
    <xf numFmtId="172" fontId="6" fillId="0" borderId="21" xfId="0" applyNumberFormat="true" applyFont="true" applyBorder="true" applyAlignment="true">
      <alignment horizontal="center" vertical="center"/>
    </xf>
    <xf numFmtId="171" fontId="6" fillId="0" borderId="55" xfId="0" applyNumberFormat="true" applyFont="true" applyBorder="true" applyAlignment="true">
      <alignment horizontal="center" vertical="center"/>
    </xf>
    <xf numFmtId="171" fontId="10" fillId="0" borderId="39" xfId="0" applyNumberFormat="true" applyFont="true" applyBorder="true" applyAlignment="true">
      <alignment horizontal="center" vertical="center"/>
    </xf>
    <xf numFmtId="171" fontId="6" fillId="0" borderId="0" xfId="0" applyNumberFormat="true" applyFont="true" applyAlignment="true">
      <alignment horizontal="center" vertical="center"/>
    </xf>
    <xf numFmtId="172" fontId="6" fillId="0" borderId="0" xfId="0" applyNumberFormat="true" applyFont="true" applyAlignment="true">
      <alignment horizontal="center" vertical="center"/>
    </xf>
    <xf numFmtId="171" fontId="6" fillId="0" borderId="1" xfId="0" applyNumberFormat="true" applyFont="true" applyBorder="true" applyAlignment="true">
      <alignment horizontal="center" vertical="center"/>
    </xf>
    <xf numFmtId="0" fontId="72" fillId="0" borderId="1" xfId="0" applyFont="true" applyBorder="true" applyAlignment="true">
      <alignment horizontal="center" vertical="center"/>
    </xf>
    <xf numFmtId="0" fontId="5" fillId="0" borderId="1" xfId="0" applyFont="true" applyBorder="true" applyAlignment="true">
      <alignment horizontal="center" vertical="center"/>
    </xf>
    <xf numFmtId="172" fontId="3" fillId="0" borderId="1" xfId="0" applyNumberFormat="true" applyFont="true" applyBorder="true" applyAlignment="true">
      <alignment horizontal="center" vertical="center"/>
    </xf>
    <xf numFmtId="173" fontId="3" fillId="0" borderId="21" xfId="0" applyNumberFormat="true" applyFont="true" applyBorder="true" applyAlignment="true">
      <alignment horizontal="center" vertical="center"/>
    </xf>
    <xf numFmtId="0" fontId="5" fillId="23" borderId="13" xfId="0" applyFont="true" applyFill="true" applyBorder="true" applyAlignment="true">
      <alignment horizontal="center" vertical="center"/>
    </xf>
    <xf numFmtId="14" fontId="46" fillId="0" borderId="0" xfId="0" applyNumberFormat="true" applyFont="true" applyAlignment="true">
      <alignment horizontal="right" vertical="center"/>
    </xf>
    <xf numFmtId="3" fontId="6" fillId="11" borderId="0" xfId="0" applyNumberFormat="true" applyFont="true" applyFill="true" applyAlignment="true">
      <alignment horizontal="center" vertical="center"/>
    </xf>
    <xf numFmtId="0" fontId="73" fillId="24" borderId="13" xfId="0" applyFont="true" applyFill="true" applyBorder="true" applyAlignment="true">
      <alignment horizontal="center" vertical="center" wrapText="true"/>
    </xf>
    <xf numFmtId="166" fontId="73" fillId="24" borderId="13" xfId="0" applyNumberFormat="true" applyFont="true" applyFill="true" applyBorder="true" applyAlignment="true">
      <alignment horizontal="center" vertical="center" wrapText="true"/>
    </xf>
    <xf numFmtId="164" fontId="3" fillId="0" borderId="2" xfId="0" applyNumberFormat="true" applyFont="true" applyBorder="true" applyAlignment="true">
      <alignment horizontal="center" vertical="center"/>
    </xf>
    <xf numFmtId="0" fontId="69" fillId="11" borderId="3" xfId="0" applyFont="true" applyFill="true" applyBorder="true" applyAlignment="true">
      <alignment horizontal="left" vertical="center"/>
    </xf>
    <xf numFmtId="0" fontId="3" fillId="0" borderId="3" xfId="0" applyFont="true" applyBorder="true" applyAlignment="true">
      <alignment vertical="center"/>
    </xf>
    <xf numFmtId="3" fontId="3" fillId="0" borderId="3" xfId="0" applyNumberFormat="true" applyFont="true" applyBorder="true" applyAlignment="true">
      <alignment horizontal="center" vertical="center"/>
    </xf>
    <xf numFmtId="0" fontId="10" fillId="0" borderId="14" xfId="0" applyFont="true" applyBorder="true" applyAlignment="true">
      <alignment horizontal="center" vertical="center"/>
    </xf>
    <xf numFmtId="0" fontId="10" fillId="0" borderId="13" xfId="0" applyFont="true" applyBorder="true" applyAlignment="true">
      <alignment horizontal="center" vertical="center"/>
    </xf>
    <xf numFmtId="165" fontId="75" fillId="11" borderId="8" xfId="0" applyNumberFormat="true" applyFont="true" applyFill="true" applyBorder="true" applyAlignment="true">
      <alignment horizontal="center" vertical="center"/>
    </xf>
    <xf numFmtId="165" fontId="74" fillId="11" borderId="8" xfId="0" applyNumberFormat="true" applyFont="true" applyFill="true" applyBorder="true" applyAlignment="true">
      <alignment horizontal="center" vertical="center"/>
    </xf>
    <xf numFmtId="0" fontId="37" fillId="30" borderId="14" xfId="0" applyFont="true" applyFill="true" applyBorder="true" applyAlignment="true">
      <alignment horizontal="center" vertical="center"/>
    </xf>
    <xf numFmtId="0" fontId="37" fillId="30" borderId="13" xfId="0" applyFont="true" applyFill="true" applyBorder="true" applyAlignment="true">
      <alignment horizontal="center" vertical="center"/>
    </xf>
    <xf numFmtId="1" fontId="74" fillId="31" borderId="13" xfId="0" applyNumberFormat="true" applyFont="true" applyFill="true" applyBorder="true" applyAlignment="true">
      <alignment horizontal="center" vertical="center"/>
    </xf>
    <xf numFmtId="165" fontId="38" fillId="0" borderId="0" xfId="0" applyNumberFormat="true" applyFont="true" applyAlignment="true">
      <alignment horizontal="center" vertical="center"/>
    </xf>
    <xf numFmtId="164" fontId="70" fillId="11" borderId="8" xfId="0" quotePrefix="true" applyNumberFormat="true" applyFont="true" applyFill="true" applyBorder="true" applyAlignment="true">
      <alignment horizontal="left" vertical="center"/>
    </xf>
    <xf numFmtId="165" fontId="10" fillId="0" borderId="21" xfId="0" quotePrefix="true" applyNumberFormat="true" applyFont="true" applyBorder="true" applyAlignment="true">
      <alignment horizontal="center" vertical="center"/>
    </xf>
    <xf numFmtId="165" fontId="7" fillId="0" borderId="21" xfId="0" applyNumberFormat="true" applyFont="true" applyBorder="true" applyAlignment="true">
      <alignment horizontal="center" vertical="center"/>
    </xf>
    <xf numFmtId="172" fontId="3" fillId="0" borderId="0" xfId="0" applyNumberFormat="true" applyFont="true" applyAlignment="true">
      <alignment horizontal="center" vertical="center"/>
    </xf>
    <xf numFmtId="164" fontId="3" fillId="0" borderId="21" xfId="0" applyNumberFormat="true" applyFont="true" applyBorder="true" applyAlignment="true">
      <alignment horizontal="center" vertical="center"/>
    </xf>
    <xf numFmtId="165" fontId="7" fillId="28" borderId="13" xfId="0" applyNumberFormat="true" applyFont="true" applyFill="true" applyBorder="true" applyAlignment="true">
      <alignment horizontal="center" vertical="center"/>
    </xf>
    <xf numFmtId="164" fontId="7" fillId="28" borderId="13" xfId="0" applyNumberFormat="true" applyFont="true" applyFill="true" applyBorder="true" applyAlignment="true">
      <alignment horizontal="center" vertical="center"/>
    </xf>
    <xf numFmtId="0" fontId="0" fillId="0" borderId="0" xfId="0" applyAlignment="true">
      <alignment horizontal="left" vertical="center"/>
    </xf>
    <xf numFmtId="14" fontId="46" fillId="0" borderId="0" xfId="0" applyNumberFormat="true" applyFont="true" applyAlignment="true">
      <alignment horizontal="left" vertical="center"/>
    </xf>
    <xf numFmtId="0" fontId="3" fillId="0" borderId="1" xfId="0" applyFont="true" applyBorder="true" applyAlignment="true">
      <alignment vertical="center"/>
    </xf>
    <xf numFmtId="0" fontId="6" fillId="0" borderId="1" xfId="0" applyFont="true" applyBorder="true" applyAlignment="true">
      <alignment vertical="center"/>
    </xf>
    <xf numFmtId="164" fontId="7" fillId="9" borderId="13" xfId="0" applyNumberFormat="true" applyFont="true" applyFill="true" applyBorder="true" applyAlignment="true">
      <alignment horizontal="center" vertical="center"/>
    </xf>
    <xf numFmtId="14" fontId="0" fillId="0" borderId="0" xfId="0" applyNumberFormat="true"/>
    <xf numFmtId="14" fontId="27" fillId="0" borderId="0" xfId="0" applyNumberFormat="true" applyFont="true" applyAlignment="true">
      <alignment horizontal="left" vertical="center"/>
    </xf>
    <xf numFmtId="0" fontId="0" fillId="0" borderId="3" xfId="0" applyBorder="true" applyAlignment="true">
      <alignment horizontal="center" vertical="center"/>
    </xf>
    <xf numFmtId="165" fontId="0" fillId="0" borderId="0" xfId="0" applyNumberFormat="true"/>
    <xf numFmtId="3" fontId="0" fillId="0" borderId="0" xfId="0" applyNumberFormat="true" applyAlignment="true">
      <alignment horizontal="right"/>
    </xf>
    <xf numFmtId="0" fontId="44" fillId="0" borderId="0" xfId="0" applyFont="true" applyAlignment="true">
      <alignment vertical="center"/>
    </xf>
    <xf numFmtId="0" fontId="64" fillId="3" borderId="35" xfId="0" applyFont="true" applyFill="true" applyBorder="true" applyAlignment="true">
      <alignment horizontal="left" indent="1" vertical="center" wrapText="true"/>
    </xf>
    <xf numFmtId="0" fontId="64" fillId="3" borderId="1" xfId="0" applyFont="true" applyFill="true" applyBorder="true" applyAlignment="true">
      <alignment horizontal="left" indent="1" vertical="center" wrapText="true"/>
    </xf>
    <xf numFmtId="0" fontId="64" fillId="3" borderId="40" xfId="0" applyFont="true" applyFill="true" applyBorder="true" applyAlignment="true">
      <alignment horizontal="left" indent="1" vertical="center" wrapText="true"/>
    </xf>
    <xf numFmtId="0" fontId="0" fillId="0" borderId="0" xfId="0" applyAlignment="true">
      <alignment horizontal="center"/>
    </xf>
    <xf numFmtId="0" fontId="64" fillId="26" borderId="35" xfId="0" applyFont="true" applyFill="true" applyBorder="true" applyAlignment="true">
      <alignment horizontal="left" indent="1" vertical="center" wrapText="true"/>
    </xf>
    <xf numFmtId="0" fontId="64" fillId="26" borderId="1" xfId="0" applyFont="true" applyFill="true" applyBorder="true" applyAlignment="true">
      <alignment horizontal="left" indent="1" vertical="center" wrapText="true"/>
    </xf>
    <xf numFmtId="0" fontId="64" fillId="26" borderId="40" xfId="0" applyFont="true" applyFill="true" applyBorder="true" applyAlignment="true">
      <alignment horizontal="left" indent="1" vertical="center" wrapText="true"/>
    </xf>
    <xf numFmtId="0" fontId="72" fillId="0" borderId="46" xfId="0" applyFont="true" applyBorder="true" applyAlignment="true">
      <alignment horizontal="center" vertical="center"/>
    </xf>
    <xf numFmtId="0" fontId="72" fillId="0" borderId="56" xfId="0" applyFont="true" applyBorder="true" applyAlignment="true">
      <alignment horizontal="center" vertical="center"/>
    </xf>
    <xf numFmtId="0" fontId="72" fillId="0" borderId="57" xfId="0" applyFont="true" applyBorder="true" applyAlignment="true">
      <alignment horizontal="center" vertical="center"/>
    </xf>
    <xf numFmtId="0" fontId="70" fillId="0" borderId="46" xfId="0" applyFont="true" applyBorder="true" applyAlignment="true">
      <alignment horizontal="center" vertical="center"/>
    </xf>
    <xf numFmtId="0" fontId="70" fillId="0" borderId="56" xfId="0" applyFont="true" applyBorder="true" applyAlignment="true">
      <alignment horizontal="center" vertical="center"/>
    </xf>
    <xf numFmtId="0" fontId="70" fillId="0" borderId="57" xfId="0" applyFont="true" applyBorder="true" applyAlignment="true">
      <alignment horizontal="center" vertical="center"/>
    </xf>
    <xf numFmtId="0" fontId="27" fillId="0" borderId="0" xfId="0" applyFont="true" applyAlignment="true">
      <alignment horizontal="center" textRotation="90" vertical="center"/>
    </xf>
    <xf numFmtId="0" fontId="13" fillId="0" borderId="35" xfId="0" applyFont="true" applyBorder="true" applyAlignment="true">
      <alignment horizontal="center" vertical="center"/>
    </xf>
    <xf numFmtId="0" fontId="13" fillId="0" borderId="34" xfId="0" applyFont="true" applyBorder="true" applyAlignment="true">
      <alignment horizontal="center" vertical="center"/>
    </xf>
    <xf numFmtId="0" fontId="13" fillId="0" borderId="32" xfId="0" applyFont="true" applyBorder="true" applyAlignment="true">
      <alignment horizontal="center" vertical="center"/>
    </xf>
    <xf numFmtId="0" fontId="13" fillId="0" borderId="36" xfId="0" applyFont="true" applyBorder="true" applyAlignment="true">
      <alignment horizontal="center" vertical="center"/>
    </xf>
    <xf numFmtId="0" fontId="13" fillId="0" borderId="37" xfId="0" applyFont="true" applyBorder="true" applyAlignment="true">
      <alignment horizontal="center" vertical="center"/>
    </xf>
    <xf numFmtId="0" fontId="13" fillId="0" borderId="33" xfId="0" applyFont="true" applyBorder="true" applyAlignment="true">
      <alignment horizontal="center" vertical="center"/>
    </xf>
    <xf numFmtId="0" fontId="72" fillId="0" borderId="7" xfId="0" applyFont="true" applyBorder="true" applyAlignment="true">
      <alignment horizontal="center" vertical="center"/>
    </xf>
    <xf numFmtId="0" fontId="72" fillId="0" borderId="8" xfId="0" applyFont="true" applyBorder="true" applyAlignment="true">
      <alignment horizontal="center" vertical="center"/>
    </xf>
    <xf numFmtId="165" fontId="10" fillId="11" borderId="7" xfId="0" applyNumberFormat="true" applyFont="true" applyFill="true" applyBorder="true" applyAlignment="true">
      <alignment horizontal="center" vertical="center"/>
    </xf>
    <xf numFmtId="165" fontId="10" fillId="11" borderId="8" xfId="0" applyNumberFormat="true" applyFont="true" applyFill="true" applyBorder="true" applyAlignment="true">
      <alignment horizontal="center" vertical="center"/>
    </xf>
    <xf numFmtId="14" fontId="27" fillId="0" borderId="3" xfId="0" applyNumberFormat="true" applyFont="true" applyBorder="true" applyAlignment="true">
      <alignment horizontal="right" vertical="center"/>
    </xf>
    <xf numFmtId="0" fontId="70" fillId="0" borderId="7" xfId="0" applyFont="true" applyBorder="true" applyAlignment="true">
      <alignment horizontal="center" vertical="center"/>
    </xf>
    <xf numFmtId="0" fontId="70" fillId="0" borderId="8" xfId="0" applyFont="true" applyBorder="true" applyAlignment="true">
      <alignment horizontal="center" vertical="center"/>
    </xf>
    <xf numFmtId="0" fontId="37" fillId="30" borderId="13" xfId="0" applyFont="true" applyFill="true" applyBorder="true" applyAlignment="true">
      <alignment horizontal="center" vertical="center"/>
    </xf>
    <xf numFmtId="165" fontId="3" fillId="0" borderId="0" xfId="0" applyNumberFormat="true" applyFont="true" applyAlignment="true">
      <alignment horizontal="center" vertical="center"/>
    </xf>
    <xf numFmtId="0" fontId="68" fillId="0" borderId="0" xfId="0" applyFont="true" applyAlignment="true">
      <alignment horizontal="center" vertical="center"/>
    </xf>
    <xf numFmtId="0" fontId="48" fillId="0" borderId="0" xfId="0" applyFont="true" applyAlignment="true">
      <alignment horizontal="left" vertical="center" wrapText="true"/>
    </xf>
    <xf numFmtId="0" fontId="44" fillId="0" borderId="0" xfId="0" applyFont="true" applyAlignment="true">
      <alignment horizontal="left" vertical="center"/>
    </xf>
    <xf numFmtId="0" fontId="5" fillId="16" borderId="1" xfId="0" applyFont="true" applyFill="true" applyBorder="true" applyAlignment="true">
      <alignment horizontal="center"/>
    </xf>
    <xf numFmtId="0" fontId="5" fillId="16" borderId="2" xfId="0" applyFont="true" applyFill="true" applyBorder="true" applyAlignment="true">
      <alignment horizontal="center"/>
    </xf>
    <xf numFmtId="10" fontId="3" fillId="0" borderId="13" xfId="0" applyNumberFormat="true" applyFont="true" applyBorder="true" applyAlignment="true">
      <alignment horizontal="center"/>
    </xf>
    <xf numFmtId="0" fontId="3" fillId="0" borderId="13" xfId="0" applyFont="true" applyBorder="true" applyAlignment="true">
      <alignment horizontal="center"/>
    </xf>
    <xf numFmtId="0" fontId="13" fillId="11" borderId="10" xfId="0" applyFont="true" applyFill="true" applyBorder="true" applyAlignment="true">
      <alignment horizontal="center" vertical="center"/>
    </xf>
    <xf numFmtId="0" fontId="13" fillId="11" borderId="11" xfId="0" applyFont="true" applyFill="true" applyBorder="true" applyAlignment="true">
      <alignment horizontal="center" vertical="center"/>
    </xf>
    <xf numFmtId="0" fontId="13" fillId="11" borderId="0" xfId="0" applyFont="true" applyFill="true" applyAlignment="true">
      <alignment horizontal="left" vertical="center"/>
    </xf>
    <xf numFmtId="0" fontId="0" fillId="0" borderId="0" xfId="0" applyFill="true"/>
    <xf numFmtId="0" fontId="0" fillId="0" borderId="0" xfId="0" applyFill="true" applyAlignment="true">
      <alignment horizontal="center"/>
    </xf>
    <xf numFmtId="0" fontId="0" fillId="0" borderId="0" xfId="0" applyFill="true" applyAlignment="true">
      <alignment horizontal="left"/>
    </xf>
    <xf numFmtId="3" fontId="0" fillId="0" borderId="0" xfId="0" applyNumberFormat="true" applyFill="true" applyAlignment="true">
      <alignment horizontal="center"/>
    </xf>
    <xf numFmtId="0" fontId="0" fillId="0" borderId="0" xfId="0" applyFill="true" applyAlignment="true">
      <alignment horizontal="right"/>
    </xf>
    <xf numFmtId="164" fontId="0" fillId="0" borderId="0" xfId="0" applyNumberFormat="true" applyFill="true" applyAlignment="true">
      <alignment horizontal="right"/>
    </xf>
    <xf numFmtId="0" fontId="0" fillId="0" borderId="0" xfId="0" applyFill="true" applyAlignment="true">
      <alignment horizontal="left" indent="1"/>
    </xf>
    <xf numFmtId="0" fontId="0" fillId="0" borderId="0" xfId="0" applyFont="true" applyFill="true" applyAlignment="true">
      <alignment horizontal="right"/>
    </xf>
    <xf numFmtId="3" fontId="0" fillId="0" borderId="0" xfId="0" applyNumberFormat="true" applyFont="true" applyFill="true" applyAlignment="true">
      <alignment horizontal="right"/>
    </xf>
    <xf numFmtId="0" fontId="0" fillId="0" borderId="0" xfId="0" applyFont="true" applyFill="true" applyAlignment="true">
      <alignment horizontal="left" indent="1"/>
    </xf>
    <xf numFmtId="0" fontId="0" fillId="0" borderId="0" xfId="0" applyFont="true" applyFill="true" applyAlignment="true">
      <alignment horizontal="left"/>
    </xf>
    <xf numFmtId="165" fontId="0" fillId="0" borderId="0" xfId="0" applyNumberFormat="true" applyFill="true" applyAlignment="true">
      <alignment horizontal="right"/>
    </xf>
    <xf numFmtId="0" fontId="0" fillId="0" borderId="0" xfId="0" applyFont="true" applyFill="true"/>
    <xf numFmtId="165" fontId="0" fillId="0" borderId="0" xfId="0" applyNumberFormat="true" applyFont="true" applyFill="true" applyAlignment="true">
      <alignment horizontal="right"/>
    </xf>
    <xf numFmtId="10" fontId="0" fillId="0" borderId="0" xfId="0" applyNumberFormat="true" applyFill="true" applyAlignment="true">
      <alignment horizontal="center"/>
    </xf>
    <xf numFmtId="164" fontId="0" fillId="0" borderId="0" xfId="0" applyNumberFormat="true" applyFont="true" applyFill="true" applyAlignment="true">
      <alignment horizontal="right"/>
    </xf>
    <xf numFmtId="0" fontId="0" fillId="0" borderId="0" xfId="0" applyFill="true" applyAlignment="true">
      <alignment horizontal="left" indent="2"/>
    </xf>
    <xf numFmtId="166" fontId="0" fillId="0" borderId="0" xfId="0" applyNumberFormat="true" applyFill="true" applyAlignment="true">
      <alignment horizontal="center"/>
    </xf>
    <xf numFmtId="164" fontId="0" fillId="0" borderId="0" xfId="0" applyNumberFormat="true" applyFill="true" applyAlignment="true">
      <alignment horizontal="center"/>
    </xf>
    <xf numFmtId="165" fontId="0" fillId="0" borderId="0" xfId="0" applyNumberFormat="true" applyFill="true" applyAlignment="true">
      <alignment horizontal="center"/>
    </xf>
    <xf numFmtId="3" fontId="0" fillId="0" borderId="1" xfId="0" applyNumberFormat="true" applyFill="true" applyBorder="true" applyAlignment="true">
      <alignment horizontal="center" vertical="center"/>
    </xf>
    <xf numFmtId="3" fontId="0" fillId="0" borderId="0" xfId="0" applyNumberFormat="true" applyFill="true" applyBorder="true" applyAlignment="true">
      <alignment horizontal="center" vertical="center"/>
    </xf>
    <xf numFmtId="0" fontId="0" fillId="0" borderId="1" xfId="0" applyFill="true" applyBorder="true" applyAlignment="true">
      <alignment horizontal="center" vertical="center"/>
    </xf>
    <xf numFmtId="0" fontId="0" fillId="0" borderId="0" xfId="0" applyFill="true" applyBorder="true" applyAlignment="true">
      <alignment horizontal="center" vertical="center"/>
    </xf>
    <xf numFmtId="0" fontId="18" fillId="0" borderId="0" xfId="0" applyFont="true" applyFill="true" applyBorder="true" applyAlignment="true">
      <alignment horizontal="center" vertical="center"/>
    </xf>
    <xf numFmtId="165" fontId="0" fillId="0" borderId="0" xfId="0" applyNumberFormat="true" applyFill="true" applyBorder="true" applyAlignment="true">
      <alignment horizontal="center" vertical="center"/>
    </xf>
    <xf numFmtId="165" fontId="0" fillId="0" borderId="1" xfId="0" applyNumberFormat="true" applyFill="true" applyBorder="true" applyAlignment="true">
      <alignment horizontal="center" vertical="center"/>
    </xf>
    <xf numFmtId="3" fontId="0" fillId="0" borderId="2" xfId="0" applyNumberFormat="true" applyFill="true" applyBorder="true" applyAlignment="true">
      <alignment horizontal="center" vertical="center"/>
    </xf>
    <xf numFmtId="0" fontId="76" fillId="0" borderId="1" xfId="0" applyFont="true" applyFill="true" applyBorder="true" applyAlignment="true">
      <alignment horizontal="left" indent="1" vertical="center"/>
    </xf>
    <xf numFmtId="0" fontId="76" fillId="0" borderId="0" xfId="0" applyFont="true" applyFill="true" applyBorder="true" applyAlignment="true">
      <alignment horizontal="left" indent="1" vertical="center"/>
    </xf>
    <xf numFmtId="0" fontId="0" fillId="0" borderId="0" xfId="0" applyNumberFormat="true" applyFill="true" applyBorder="true" applyAlignment="true">
      <alignment horizontal="center" vertical="center"/>
    </xf>
    <xf numFmtId="0" fontId="76" fillId="0" borderId="2" xfId="0" applyFont="true" applyFill="true" applyBorder="true" applyAlignment="true">
      <alignment horizontal="left" indent="1" vertical="center"/>
    </xf>
    <xf numFmtId="10" fontId="0" fillId="0" borderId="0" xfId="0" applyNumberFormat="true" applyFill="true" applyAlignment="true">
      <alignment horizontal="right"/>
    </xf>
    <xf numFmtId="165" fontId="0" fillId="0" borderId="0" xfId="0" applyNumberFormat="true" applyFill="true"/>
    <xf numFmtId="164" fontId="0" fillId="0" borderId="0" xfId="0" applyNumberFormat="true" applyFill="true"/>
  </cellXfs>
  <cellStyles count="6">
    <cellStyle name="Explanatory Text 2" xfId="2"/>
    <cellStyle name="Hyperlink" xfId="3" builtinId="8"/>
    <cellStyle name="Normal" xfId="0" builtinId="0"/>
    <cellStyle name="Normal 2 2" xfId="5"/>
    <cellStyle name="Normal 2 3" xfId="1"/>
    <cellStyle name="Normal 3" xfId="4"/>
  </cellStyles>
  <dxfs count="1143">
    <dxf>
      <font>
        <color theme="0"/>
      </font>
      <fill>
        <patternFill>
          <bgColor theme="0"/>
        </patternFill>
      </fill>
      <border>
        <left/>
        <right/>
        <top/>
        <bottom/>
        <diagonal/>
      </border>
    </dxf>
    <dxf>
      <font>
        <color theme="0"/>
      </font>
      <fill>
        <patternFill>
          <bgColor theme="0"/>
        </patternFill>
      </fill>
      <border>
        <left/>
        <right/>
        <top/>
        <bottom/>
        <diagonal/>
      </border>
    </dxf>
    <dxf>
      <font>
        <color rgb="FF006100"/>
      </font>
      <fill>
        <patternFill>
          <bgColor rgb="FFC6EFCE"/>
        </patternFill>
      </fill>
    </dxf>
    <dxf>
      <font>
        <color rgb="FF9C0006"/>
      </font>
      <fill>
        <patternFill>
          <bgColor rgb="FFFFC7CE"/>
        </patternFill>
      </fill>
    </dxf>
    <dxf>
      <numFmt numFmtId="174" formatCode="&quot;$&quot;#,##0.00;\-&quot;$&quot;#,##0.00;;"/>
    </dxf>
    <dxf>
      <numFmt numFmtId="174" formatCode="&quot;$&quot;#,##0.00;\-&quot;$&quot;#,##0.00;;"/>
    </dxf>
    <dxf>
      <numFmt numFmtId="174" formatCode="&quot;$&quot;#,##0.00;\-&quot;$&quot;#,##0.00;;"/>
    </dxf>
    <dxf>
      <numFmt numFmtId="174" formatCode="&quot;$&quot;#,##0.00;\-&quot;$&quot;#,##0.00;;"/>
    </dxf>
    <dxf>
      <numFmt numFmtId="174" formatCode="&quot;$&quot;#,##0.00;\-&quot;$&quot;#,##0.00;;"/>
    </dxf>
    <dxf>
      <font>
        <color rgb="FF00B050"/>
      </font>
    </dxf>
    <dxf>
      <font>
        <color rgb="FFFF0000"/>
      </font>
    </dxf>
    <dxf>
      <font>
        <color rgb="FF006100"/>
      </font>
      <fill>
        <patternFill>
          <bgColor rgb="FFC6EFCE"/>
        </patternFill>
      </fill>
    </dxf>
    <dxf>
      <font>
        <color rgb="FF9C0006"/>
      </font>
      <fill>
        <patternFill>
          <bgColor rgb="FFFFC7CE"/>
        </patternFill>
      </fill>
    </dxf>
    <dxf>
      <numFmt numFmtId="174" formatCode="&quot;$&quot;#,##0.00;\-&quot;$&quot;#,##0.00;;"/>
    </dxf>
    <dxf>
      <numFmt numFmtId="174" formatCode="&quot;$&quot;#,##0.00;\-&quot;$&quot;#,##0.00;;"/>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numFmt numFmtId="164" formatCode="&quot;$&quot;#,##0.0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5" formatCode="&quot;$&quot;#,##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4" formatCode="&quot;$&quot;#,##0.0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5" formatCode="&quot;$&quot;#,##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9" formatCode="m/d/yyyy"/>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9" formatCode="m/d/yyyy"/>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3" formatCode="#,##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general"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numFmt numFmtId="0" formatCode="General"/>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strike val="0"/>
        <outline val="0"/>
        <shadow val="0"/>
        <u val="none"/>
        <sz val="10"/>
        <color auto="true"/>
        <name val="Calibri"/>
        <family val="2"/>
        <scheme val="none"/>
      </font>
      <numFmt numFmtId="164" formatCode="&quot;$&quot;#,##0.00"/>
      <fill>
        <patternFill patternType="none">
          <fgColor indexed="64"/>
          <bgColor auto="true"/>
        </patternFill>
      </fill>
      <alignment horizontal="center" vertical="center"/>
      <border>
        <left/>
        <right style="medium">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fill>
        <patternFill patternType="none">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strike val="0"/>
        <outline val="0"/>
        <shadow val="0"/>
        <u val="none"/>
        <sz val="10"/>
        <color auto="true"/>
        <name val="Calibri"/>
        <family val="2"/>
        <scheme val="none"/>
      </font>
      <numFmt numFmtId="164" formatCode="&quot;$&quot;#,##0.00"/>
      <fill>
        <patternFill patternType="none">
          <fgColor indexed="64"/>
          <bgColor auto="true"/>
        </patternFill>
      </fill>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fill>
        <patternFill patternType="none">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medium">
          <color indexed="64"/>
        </left>
        <right style="dotted">
          <color theme="1" tint="0.499984740745262"/>
        </right>
        <top/>
        <bottom/>
        <diagonal/>
      </bord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border>
        <left/>
        <right style="thin">
          <color indexed="64"/>
        </right>
        <top/>
        <bottom/>
        <diagonal/>
      </bord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dxf>
    <dxf>
      <font>
        <b val="0"/>
        <i val="0"/>
        <strike val="0"/>
        <outline val="0"/>
        <shadow val="0"/>
        <condense val="0"/>
        <extend val="0"/>
        <u val="none"/>
        <sz val="10"/>
        <color auto="true"/>
        <name val="Calibri"/>
        <family val="2"/>
        <scheme val="none"/>
      </font>
      <numFmt numFmtId="3" formatCode="#,##0"/>
      <fill>
        <patternFill patternType="none">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13" formatCode="0%"/>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4" formatCode="#,##0.00"/>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left" vertical="center"/>
    </dxf>
    <dxf>
      <font>
        <b val="0"/>
        <strike val="0"/>
        <outline val="0"/>
        <shadow val="0"/>
        <u val="none"/>
        <sz val="10"/>
        <color auto="true"/>
        <name val="Calibri"/>
        <family val="2"/>
        <scheme val="none"/>
      </font>
      <fill>
        <patternFill patternType="none">
          <fgColor indexed="64"/>
          <bgColor auto="true"/>
        </patternFill>
      </fill>
      <alignment horizontal="general" vertical="center"/>
    </dxf>
    <dxf>
      <border>
        <left/>
        <right/>
        <top/>
        <bottom style="thin">
          <color indexed="64"/>
        </bottom>
        <diagonal/>
      </border>
    </dxf>
    <dxf>
      <font>
        <b val="1"/>
        <i val="0"/>
        <strike val="0"/>
        <outline val="0"/>
        <shadow val="0"/>
        <condense val="0"/>
        <extend val="0"/>
        <u val="none"/>
        <sz val="10"/>
        <color theme="0"/>
        <name val="Calibri"/>
        <family val="2"/>
        <scheme val="none"/>
      </font>
      <numFmt numFmtId="165" formatCode="&quot;$&quot;#,##0"/>
      <fill>
        <patternFill patternType="none">
          <fgColor rgb="FF6466E9"/>
          <bgColor auto="true"/>
        </patternFill>
      </fill>
      <alignment horizontal="center" vertical="cent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alignment relativeIndent="1"/>
    </dxf>
    <dxf>
      <alignment relativeIndent="1"/>
    </dxf>
    <dxf>
      <font>
        <sz val="12"/>
      </font>
    </dxf>
    <dxf>
      <font>
        <b val="1"/>
      </font>
    </dxf>
    <dxf>
      <border>
        <left/>
        <right style="thin">
          <color indexed="64"/>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left"/>
    </dxf>
    <dxf>
      <font>
        <b val="1"/>
      </font>
    </dxf>
    <dxf>
      <font>
        <b val="1"/>
      </font>
    </dxf>
    <dxf>
      <font>
        <b val="1"/>
      </font>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style="medium">
          <color indexed="64"/>
        </right>
        <top style="medium">
          <color indexed="64"/>
        </top>
        <bottom style="medium">
          <color indexed="64"/>
        </bottom>
        <diagonal/>
      </border>
    </dxf>
    <dxf>
      <border>
        <left style="medium">
          <color indexed="64"/>
        </left>
        <right style="medium">
          <color indexed="64"/>
        </right>
        <top style="medium">
          <color indexed="64"/>
        </top>
        <bottom style="medium">
          <color indexed="64"/>
        </bottom>
        <diagonal/>
      </border>
    </dxf>
    <dxf>
      <border>
        <left style="thin">
          <color indexed="64"/>
        </left>
        <right style="thin">
          <color indexed="64"/>
        </right>
        <top style="thin">
          <color indexed="64"/>
        </top>
        <bottom style="thin">
          <color indexed="64"/>
        </bottom>
        <diagonal/>
      </border>
    </dxf>
    <dxf>
      <alignment/>
    </dxf>
    <dxf>
      <alignment/>
    </dxf>
    <dxf>
      <alignment/>
    </dxf>
    <dxf>
      <alignment/>
    </dxf>
    <dxf>
      <alignment/>
    </dxf>
    <dxf>
      <alignment/>
    </dxf>
    <dxf>
      <alignment/>
    </dxf>
    <dxf>
      <alignment/>
    </dxf>
    <dxf>
      <alignment/>
    </dxf>
    <dxf>
      <alignment/>
    </dxf>
    <dxf>
      <alignme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relativeIndent="-1"/>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indexed="64"/>
        </bottom>
        <diagonal/>
      </border>
    </dxf>
    <dxf>
      <alignment relativeIndent="1"/>
    </dxf>
    <dxf>
      <border>
        <left/>
        <right style="thin">
          <color indexed="64"/>
        </right>
        <top style="thin">
          <color indexed="64"/>
        </top>
        <bottom style="thin">
          <color indexed="64"/>
        </bottom>
        <diagonal/>
      </border>
    </dxf>
    <dxf>
      <border>
        <left/>
        <right style="thin">
          <color indexed="64"/>
        </right>
        <top style="thin">
          <color indexed="64"/>
        </top>
        <bottom style="thin">
          <color indexed="64"/>
        </bottom>
        <diagonal/>
      </border>
    </dxf>
    <dxf>
      <alignment horizontal="left"/>
    </dxf>
    <dxf>
      <border>
        <left style="thin">
          <color indexed="64"/>
        </left>
        <right/>
        <top/>
        <bottom/>
        <diagonal/>
      </border>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border>
        <left style="thin">
          <color indexed="64"/>
        </left>
        <right/>
        <top/>
        <bottom/>
        <diagonal/>
      </border>
    </dxf>
    <dxf>
      <border>
        <left style="thin">
          <color indexed="64"/>
        </left>
        <right/>
        <top/>
        <bottom/>
        <diagon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1"/>
      </font>
    </dxf>
    <dxf>
      <border>
        <left/>
        <right/>
        <top/>
        <bottom style="thin">
          <color indexed="64"/>
        </bottom>
        <diagonal/>
      </border>
    </dxf>
    <dxf>
      <alignment horizontal="center"/>
    </dxf>
    <dxf>
      <alignment horizontal="center"/>
    </dxf>
    <dxf>
      <alignment horizontal="center"/>
    </dxf>
    <dxf>
      <alignment horizontal="center"/>
    </dxf>
    <dxf>
      <alignment horizontal="center"/>
    </dxf>
    <dxf>
      <fill>
        <patternFill>
          <bgColor theme="1" tint="0.3499862666707358"/>
        </patternFill>
      </fill>
    </dxf>
    <dxf>
      <fill>
        <patternFill>
          <bgColor theme="1"/>
        </patternFill>
      </fill>
    </dxf>
    <dxf>
      <fill>
        <patternFill patternType="solid">
          <bgColor theme="0" tint="-0.0499893185216834"/>
        </patternFill>
      </fill>
    </dxf>
    <dxf>
      <fill>
        <patternFill patternType="solid">
          <bgColor theme="2" tint="-0.0999786370433668"/>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4438CA"/>
        </patternFill>
      </fill>
    </dxf>
    <dxf>
      <numFmt numFmtId="3" formatCode="#,##0"/>
    </dxf>
    <dxf>
      <alignment relativeIndent="1"/>
    </dxf>
    <dxf>
      <alignment relativeIndent="1"/>
    </dxf>
    <dxf>
      <font>
        <sz val="12"/>
      </font>
    </dxf>
    <dxf>
      <font>
        <b val="1"/>
      </font>
    </dxf>
    <dxf>
      <border>
        <left/>
        <right style="thin">
          <color indexed="64"/>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left"/>
    </dxf>
    <dxf>
      <font>
        <b val="1"/>
      </font>
    </dxf>
    <dxf>
      <font>
        <b val="1"/>
      </font>
    </dxf>
    <dxf>
      <font>
        <b val="1"/>
      </font>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numFmt numFmtId="0" formatCode="General"/>
    </dxf>
    <dxf>
      <border>
        <left/>
        <right style="medium">
          <color indexed="64"/>
        </right>
        <top style="medium">
          <color indexed="64"/>
        </top>
        <bottom style="medium">
          <color indexed="64"/>
        </bottom>
        <diagonal/>
      </border>
    </dxf>
    <dxf>
      <border>
        <left style="medium">
          <color indexed="64"/>
        </left>
        <right style="medium">
          <color indexed="64"/>
        </right>
        <top style="medium">
          <color indexed="64"/>
        </top>
        <bottom style="medium">
          <color indexed="64"/>
        </bottom>
        <diagonal/>
      </border>
    </dxf>
    <dxf>
      <border>
        <left style="thin">
          <color indexed="64"/>
        </left>
        <right style="thin">
          <color indexed="64"/>
        </right>
        <top style="thin">
          <color indexed="64"/>
        </top>
        <bottom style="thin">
          <color indexed="64"/>
        </bottom>
        <diagonal/>
      </border>
    </dxf>
    <dxf>
      <alignment/>
    </dxf>
    <dxf>
      <alignment/>
    </dxf>
    <dxf>
      <alignment/>
    </dxf>
    <dxf>
      <alignment/>
    </dxf>
    <dxf>
      <alignment/>
    </dxf>
    <dxf>
      <alignment/>
    </dxf>
    <dxf>
      <alignment/>
    </dxf>
    <dxf>
      <alignment/>
    </dxf>
    <dxf>
      <alignment/>
    </dxf>
    <dxf>
      <alignment/>
    </dxf>
    <dxf>
      <alignme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relativeIndent="-1"/>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indexed="64"/>
        </bottom>
        <diagonal/>
      </border>
    </dxf>
    <dxf>
      <alignment relativeIndent="1"/>
    </dxf>
    <dxf>
      <border>
        <left/>
        <right style="thin">
          <color indexed="64"/>
        </right>
        <top style="thin">
          <color indexed="64"/>
        </top>
        <bottom style="thin">
          <color indexed="64"/>
        </bottom>
        <diagonal/>
      </border>
    </dxf>
    <dxf>
      <border>
        <left/>
        <right style="thin">
          <color indexed="64"/>
        </right>
        <top style="thin">
          <color indexed="64"/>
        </top>
        <bottom style="thin">
          <color indexed="64"/>
        </bottom>
        <diagonal/>
      </border>
    </dxf>
    <dxf>
      <alignment horizontal="left"/>
    </dxf>
    <dxf>
      <border>
        <left style="thin">
          <color indexed="64"/>
        </left>
        <right/>
        <top/>
        <bottom/>
        <diagonal/>
      </border>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1"/>
      </font>
    </dxf>
    <dxf>
      <border>
        <left/>
        <right/>
        <top/>
        <bottom style="thin">
          <color indexed="64"/>
        </bottom>
        <diagonal/>
      </border>
    </dxf>
    <dxf>
      <alignment horizontal="center"/>
    </dxf>
    <dxf>
      <alignment horizontal="center"/>
    </dxf>
    <dxf>
      <alignment horizontal="center"/>
    </dxf>
    <dxf>
      <alignment horizontal="center"/>
    </dxf>
    <dxf>
      <alignment horizontal="center"/>
    </dxf>
    <dxf>
      <fill>
        <patternFill>
          <bgColor theme="1" tint="0.3499862666707358"/>
        </patternFill>
      </fill>
    </dxf>
    <dxf>
      <fill>
        <patternFill>
          <bgColor theme="1"/>
        </patternFill>
      </fill>
    </dxf>
    <dxf>
      <fill>
        <patternFill patternType="solid">
          <bgColor theme="0" tint="-0.0499893185216834"/>
        </patternFill>
      </fill>
    </dxf>
    <dxf>
      <fill>
        <patternFill patternType="solid">
          <bgColor theme="2" tint="-0.0999786370433668"/>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4438CA"/>
        </patternFill>
      </fill>
    </dxf>
    <dxf>
      <numFmt numFmtId="3" formatCode="#,##0"/>
    </dxf>
    <dxf>
      <numFmt numFmtId="3"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font>
        <color theme="0"/>
      </font>
      <fill>
        <patternFill patternType="solid">
          <fgColor indexed="64"/>
          <bgColor rgb="FF4438CA"/>
        </patternFill>
      </fill>
      <alignment horizontal="center"/>
    </dxf>
    <dxf>
      <numFmt numFmtId="3" formatCode="#,##0"/>
    </dxf>
    <dxf>
      <font>
        <color theme="0"/>
      </font>
      <numFmt numFmtId="164" formatCode="&quot;$&quot;#,##0.00"/>
      <fill>
        <patternFill patternType="solid">
          <fgColor indexed="64"/>
          <bgColor rgb="FF4438CA"/>
        </patternFill>
      </fill>
      <alignment horizontal="center"/>
    </dxf>
    <dxf>
      <font>
        <color theme="0"/>
      </font>
      <numFmt numFmtId="164" formatCode="&quot;$&quot;#,##0.00"/>
      <fill>
        <patternFill patternType="solid">
          <fgColor indexed="64"/>
          <bgColor rgb="FF4438CA"/>
        </patternFill>
      </fill>
      <alignment horizontal="center"/>
    </dxf>
    <dxf>
      <font>
        <color theme="0"/>
      </font>
      <numFmt numFmtId="165" formatCode="&quot;$&quot;#,##0"/>
      <fill>
        <patternFill patternType="solid">
          <fgColor indexed="64"/>
          <bgColor rgb="FF4438CA"/>
        </patternFill>
      </fill>
      <alignment horizontal="center"/>
    </dxf>
    <dxf>
      <numFmt numFmtId="3" formatCode="#,##0"/>
    </dxf>
    <dxf>
      <numFmt numFmtId="166" formatCode="0.0%"/>
    </dxf>
    <dxf>
      <numFmt numFmtId="165" formatCode="&quot;$&quot;#,##0"/>
    </dxf>
    <dxf>
      <numFmt numFmtId="164" formatCode="&quot;$&quot;#,##0.00"/>
    </dxf>
    <dxf>
      <font>
        <color theme="0"/>
      </font>
      <fill>
        <patternFill patternType="solid">
          <fgColor indexed="64"/>
          <bgColor rgb="FF4438CA"/>
        </patternFill>
      </fill>
      <alignment horizontal="center"/>
    </dxf>
    <dxf>
      <fill>
        <patternFill patternType="solid">
          <bgColor rgb="FF4438CA"/>
        </patternFill>
      </fill>
    </dxf>
    <dxf>
      <fill>
        <patternFill patternType="solid">
          <bgColor rgb="FF4438CA"/>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ont>
        <b val="0"/>
      </font>
    </dxf>
    <dxf>
      <font>
        <b val="0"/>
      </font>
    </dxf>
    <dxf>
      <font>
        <color theme="0"/>
      </font>
    </dxf>
    <dxf>
      <font>
        <color theme="0"/>
      </font>
    </dxf>
    <dxf>
      <fill>
        <patternFill patternType="solid">
          <bgColor rgb="FF4438CA"/>
        </patternFill>
      </fill>
    </dxf>
    <dxf>
      <fill>
        <patternFill patternType="solid">
          <bgColor rgb="FF4438CA"/>
        </patternFill>
      </fill>
    </dxf>
    <dxf>
      <alignment horizontal="center"/>
    </dxf>
    <dxf>
      <numFmt numFmtId="3" formatCode="#,##0"/>
    </dxf>
    <dxf>
      <numFmt numFmtId="4" formatCode="#,##0.0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numFmt numFmtId="14" formatCode="0.00%"/>
    </dxf>
    <dxf>
      <numFmt numFmtId="14" formatCode="0.00%"/>
    </dxf>
    <dxf>
      <alignment horizontal="right"/>
    </dxf>
    <dxf>
      <alignment horizontal="right"/>
    </dxf>
    <dxf>
      <numFmt numFmtId="3" formatCode="#,##0"/>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numFmt numFmtId="3" formatCode="#,##0"/>
    </dxf>
    <dxf>
      <numFmt numFmtId="3" formatCode="#,##0"/>
    </dxf>
    <dxf>
      <numFmt numFmtId="14" formatCode="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numFmt numFmtId="165" formatCode="&quot;$&quot;#,##0"/>
    </dxf>
    <dxf>
      <numFmt numFmtId="164" formatCode="&quot;$&quot;#,##0.00"/>
    </dxf>
    <dxf>
      <numFmt numFmtId="164" formatCode="&quot;$&quot;#,##0.00"/>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4" formatCode="0.0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4" formatCode="0.00%"/>
    </dxf>
    <dxf>
      <alignment horizontal="center"/>
    </dxf>
    <dxf>
      <numFmt numFmtId="3" formatCode="#,##0"/>
    </dxf>
    <dxf>
      <alignment horizontal="center"/>
    </dxf>
    <dxf>
      <alignment horizontal="center"/>
    </dxf>
    <dxf>
      <numFmt numFmtId="3" formatCode="#,##0"/>
    </dxf>
    <dxf>
      <alignment horizontal="right"/>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alignment horizontal="center"/>
    </dxf>
    <dxf>
      <alignment horizontal="center"/>
    </dxf>
    <dxf>
      <numFmt numFmtId="166" formatCode="0.0%"/>
    </dxf>
    <dxf>
      <numFmt numFmtId="166" formatCode="0.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left"/>
    </dxf>
    <dxf>
      <alignment horizontal="left"/>
    </dxf>
    <dxf>
      <alignment horizontal="left"/>
    </dxf>
    <dxf>
      <alignment horizontal="left"/>
    </dxf>
    <dxf>
      <alignment horizontal="left"/>
    </dxf>
    <dxf>
      <alignment horizontal="left"/>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3" formatCode="#,##0"/>
    </dxf>
    <dxf>
      <alignment horizontal="right"/>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4" formatCode="&quot;$&quot;#,##0.00"/>
    </dxf>
    <dxf>
      <numFmt numFmtId="164" formatCode="&quot;$&quot;#,##0.00"/>
    </dxf>
    <dxf>
      <numFmt numFmtId="164" formatCode="&quot;$&quot;#,##0.00"/>
    </dxf>
    <dxf>
      <numFmt numFmtId="164" formatCode="&quot;$&quot;#,##0.00"/>
    </dxf>
    <dxf>
      <alignment horizontal="right"/>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164" formatCode="&quot;$&quot;#,##0.00"/>
    </dxf>
    <dxf>
      <numFmt numFmtId="164" formatCode="&quot;$&quot;#,##0.00"/>
    </dxf>
    <dxf>
      <numFmt numFmtId="4" formatCode="#,##0.0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4" formatCode="&quot;$&quot;#,##0.00"/>
    </dxf>
    <dxf>
      <alignment horizontal="right"/>
    </dxf>
    <dxf>
      <alignment horizontal="right"/>
    </dxf>
    <dxf>
      <numFmt numFmtId="165" formatCode="&quot;$&quot;#,##0"/>
    </dxf>
    <dxf>
      <alignment horizontal="right"/>
    </dxf>
    <dxf>
      <alignment horizontal="right"/>
    </dxf>
    <dxf>
      <numFmt numFmtId="3" formatCode="#,##0"/>
    </dxf>
    <dxf>
      <numFmt numFmtId="3" formatCode="#,##0"/>
    </dxf>
    <dxf>
      <font>
        <b val="1"/>
        <color theme="1"/>
      </font>
    </dxf>
    <dxf>
      <font>
        <b val="1"/>
        <color theme="1"/>
      </font>
      <fill>
        <patternFill patternType="solid">
          <fgColor theme="6" tint="0.7999816888943144"/>
          <bgColor theme="6" tint="0.7999816888943144"/>
        </patternFill>
      </fill>
      <border>
        <left/>
        <right/>
        <top/>
        <bottom style="thin">
          <color theme="0"/>
        </bottom>
        <diagonal/>
      </border>
    </dxf>
    <dxf>
      <border>
        <left/>
        <right/>
        <top style="thin">
          <color theme="6" tint="0.7999816888943144"/>
        </top>
        <bottom/>
        <diagonal/>
      </border>
    </dxf>
    <dxf>
      <border>
        <left/>
        <right/>
        <top style="thin">
          <color theme="6" tint="0.7999816888943144"/>
        </top>
        <bottom/>
        <diagonal/>
      </border>
    </dxf>
    <dxf>
      <font>
        <b val="1"/>
        <color theme="1"/>
      </font>
    </dxf>
    <dxf>
      <font>
        <b val="1"/>
        <color theme="1"/>
      </font>
      <fill>
        <patternFill patternType="solid">
          <fgColor theme="6" tint="0.7999816888943144"/>
          <bgColor theme="6" tint="0.7999816888943144"/>
        </patternFill>
      </fill>
      <border>
        <left/>
        <right/>
        <top style="thin">
          <color theme="6" tint="0.5999938962981048"/>
        </top>
        <bottom style="thin">
          <color theme="6" tint="0.5999938962981048"/>
        </bottom>
        <diagonal/>
      </border>
    </dxf>
    <dxf>
      <border>
        <left style="thin">
          <color auto="true"/>
        </left>
        <right style="thin">
          <color auto="true"/>
        </right>
        <top style="thin">
          <color auto="true"/>
        </top>
        <bottom style="thin">
          <color auto="true"/>
        </bottom>
        <diagonal/>
      </border>
    </dxf>
    <dxf>
      <border>
        <left/>
        <right style="thin">
          <color theme="6"/>
        </right>
        <top/>
        <bottom style="thin">
          <color theme="6"/>
        </bottom>
        <diagonal/>
      </border>
    </dxf>
    <dxf>
      <border>
        <left style="thin">
          <color theme="6" tint="0.5999938962981048"/>
        </left>
        <right style="thin">
          <color theme="6" tint="0.5999938962981048"/>
        </right>
        <top style="thin">
          <color theme="6" tint="0.5999938962981048"/>
        </top>
        <bottom style="thin">
          <color theme="6" tint="0.5999938962981048"/>
        </bottom>
        <diagonal/>
      </border>
    </dxf>
    <dxf>
      <border>
        <left/>
        <right/>
        <top/>
        <bottom/>
        <diagonal/>
      </border>
    </dxf>
    <dxf>
      <font>
        <b val="1"/>
        <color theme="1"/>
      </font>
      <border>
        <left style="medium">
          <color theme="6"/>
        </left>
        <right style="medium">
          <color theme="6"/>
        </right>
        <top style="medium">
          <color theme="6"/>
        </top>
        <bottom style="medium">
          <color theme="6"/>
        </bottom>
        <diagonal/>
      </border>
    </dxf>
    <dxf>
      <font>
        <b val="1"/>
        <color theme="1"/>
      </font>
      <border>
        <left/>
        <right/>
        <top/>
        <bottom style="medium">
          <color theme="6"/>
        </bottom>
        <diagonal/>
      </border>
    </dxf>
    <dxf>
      <font>
        <color theme="6" tint="-0.249977111117893"/>
      </font>
      <border>
        <left/>
        <right/>
        <top/>
        <bottom/>
        <diagonal/>
      </border>
    </dxf>
    <dxf>
      <font>
        <color theme="0"/>
      </font>
      <fill>
        <patternFill>
          <fgColor rgb="FF6466E9"/>
          <bgColor rgb="FF6466E9"/>
        </patternFill>
      </fill>
    </dxf>
    <dxf>
      <fill>
        <patternFill>
          <bgColor theme="0"/>
        </patternFill>
      </fill>
    </dxf>
    <dxf>
      <border>
        <left/>
        <right/>
        <top style="thin">
          <color theme="4" tint="0.7999816888943144"/>
        </top>
        <bottom style="thin">
          <color theme="4" tint="0.7999816888943144"/>
        </bottom>
        <diagonal/>
      </border>
    </dxf>
    <dxf>
      <border>
        <left/>
        <right/>
        <top style="thin">
          <color theme="4" tint="0.7999816888943144"/>
        </top>
        <bottom style="thin">
          <color theme="4" tint="0.7999816888943144"/>
        </bottom>
        <diagonal/>
      </border>
    </dxf>
    <dxf>
      <font>
        <b val="1"/>
        <i val="0"/>
      </font>
      <fill>
        <patternFill patternType="solid">
          <fgColor theme="4" tint="0.7999816888943144"/>
          <bgColor theme="4" tint="0.7999816888943144"/>
        </patternFill>
      </fill>
      <border>
        <left/>
        <right/>
        <top/>
        <bottom style="thin">
          <color theme="4"/>
        </bottom>
        <diagonal/>
      </border>
    </dxf>
    <dxf>
      <font>
        <b val="1"/>
        <i val="0"/>
        <color theme="0"/>
      </font>
      <fill>
        <patternFill patternType="solid">
          <fgColor theme="4" tint="0.3999450666829432"/>
          <bgColor rgb="FF6466E9"/>
        </patternFill>
      </fill>
      <border>
        <left/>
        <right/>
        <top/>
        <bottom style="thin">
          <color theme="4" tint="0.7999816888943144"/>
        </bottom>
        <diagonal/>
      </border>
    </dxf>
    <dxf>
      <border>
        <left/>
        <right/>
        <top/>
        <bottom style="thin">
          <color theme="4" tint="0.5999938962981048"/>
        </bottom>
        <diagonal/>
      </border>
    </dxf>
    <dxf>
      <font>
        <b val="1"/>
        <color theme="1"/>
      </font>
      <fill>
        <patternFill patternType="solid">
          <fgColor theme="0" tint="-0.1499984740745262"/>
          <bgColor theme="0" tint="-0.1499984740745262"/>
        </patternFill>
      </fill>
    </dxf>
    <dxf>
      <font>
        <b val="1"/>
        <i val="0"/>
        <color auto="true"/>
      </font>
      <fill>
        <patternFill patternType="solid">
          <fgColor rgb="FF6466E9"/>
          <bgColor theme="4" tint="0.3999450666829432"/>
        </patternFill>
      </fill>
    </dxf>
    <dxf>
      <font>
        <b val="1"/>
        <color theme="0"/>
      </font>
    </dxf>
    <dxf>
      <border>
        <left style="thin">
          <color theme="4" tint="-0.249977111117893"/>
        </left>
        <right style="thin">
          <color theme="4" tint="-0.249977111117893"/>
        </right>
        <top/>
        <bottom/>
        <diagonal/>
      </border>
    </dxf>
    <dxf>
      <border>
        <left/>
        <right/>
        <top style="thin">
          <color theme="4" tint="-0.249977111117893"/>
        </top>
        <bottom style="thin">
          <color theme="4" tint="-0.249977111117893"/>
        </bottom>
        <diagonal/>
      </border>
    </dxf>
    <dxf>
      <font>
        <b val="1"/>
        <color theme="1"/>
      </font>
      <border>
        <left/>
        <right/>
        <top style="double">
          <color theme="4" tint="-0.249977111117893"/>
        </top>
        <bottom/>
        <diagonal/>
      </border>
    </dxf>
    <dxf>
      <font>
        <color theme="0"/>
      </font>
      <fill>
        <patternFill patternType="solid">
          <fgColor theme="4" tint="-0.249977111117893"/>
          <bgColor rgb="FF3B33CA"/>
        </patternFill>
      </fill>
      <border>
        <left/>
        <right/>
        <top/>
        <bottom/>
        <diagonal/>
      </border>
    </dxf>
    <dxf>
      <font>
        <color theme="1"/>
      </font>
      <border>
        <left/>
        <right/>
        <top/>
        <bottom/>
        <diagonal/>
      </border>
    </dxf>
    <dxf>
      <font>
        <b val="1"/>
        <color theme="1"/>
      </font>
      <border>
        <left/>
        <right/>
        <top/>
        <bottom style="thin">
          <color theme="4"/>
        </bottom>
        <diagonal/>
      </border>
    </dxf>
    <dxf>
      <font>
        <color theme="1"/>
      </font>
      <border>
        <left/>
        <right/>
        <top/>
        <bottom/>
        <diagonal/>
      </border>
    </dxf>
    <dxf>
      <font>
        <b val="1"/>
        <sz val="11"/>
        <color theme="1"/>
      </font>
      <border>
        <left/>
        <right/>
        <top/>
        <bottom/>
        <diagonal/>
      </border>
    </dxf>
    <dxf>
      <font>
        <color theme="1"/>
      </font>
      <border>
        <left/>
        <right/>
        <top/>
        <bottom/>
        <diagonal/>
      </border>
    </dxf>
  </dxfs>
  <tableStyles count="5" defaultPivotStyle="PivotStyleLight16" defaultTableStyle="TableStyleMedium2">
    <tableStyle name="Custom Timeline" pivot="0" count="9">
      <tableStyleElement type="wholeTable" dxfId="1142"/>
      <tableStyleElement type="headerRow" dxfId="1141"/>
    </tableStyle>
    <tableStyle name="HelloData_Light_Slicer" pivot="0" count="10">
      <tableStyleElement type="wholeTable" dxfId="1140"/>
      <tableStyleElement type="headerRow" dxfId="1139"/>
    </tableStyle>
    <tableStyle name="HelloData_Pivot_Table" pivot="0" count="13">
      <tableStyleElement type="wholeTable" dxfId="1138"/>
      <tableStyleElement type="headerRow" dxfId="1137"/>
      <tableStyleElement type="totalRow" dxfId="1136"/>
      <tableStyleElement type="firstRowStripe" dxfId="1135"/>
      <tableStyleElement type="firstColumnStripe" dxfId="1134"/>
      <tableStyleElement type="firstHeaderCell" dxfId="1133"/>
      <tableStyleElement type="firstSubtotalRow" dxfId="1132"/>
      <tableStyleElement type="secondSubtotalRow" dxfId="1131"/>
      <tableStyleElement type="firstColumnSubheading" dxfId="1130"/>
      <tableStyleElement type="firstRowSubheading" dxfId="1129"/>
      <tableStyleElement type="secondRowSubheading" dxfId="1128"/>
      <tableStyleElement type="pageFieldLabels" dxfId="1127"/>
      <tableStyleElement type="pageFieldValues" dxfId="1126"/>
    </tableStyle>
    <tableStyle name="HelloData_Table" pivot="0" count="2">
      <tableStyleElement type="wholeTable" dxfId="1125"/>
      <tableStyleElement type="headerRow" dxfId="1124"/>
    </tableStyle>
    <tableStyle name="HelloDataLight" pivot="0" count="13">
      <tableStyleElement type="wholeTable" dxfId="1123"/>
      <tableStyleElement type="headerRow" dxfId="1122"/>
      <tableStyleElement type="totalRow" dxfId="1121"/>
      <tableStyleElement type="firstColumn" dxfId="1120"/>
      <tableStyleElement type="firstRowStripe" dxfId="1119"/>
      <tableStyleElement type="firstColumnStripe" dxfId="1118"/>
      <tableStyleElement type="secondColumnStripe" dxfId="1117"/>
      <tableStyleElement type="firstSubtotalRow" dxfId="1116"/>
      <tableStyleElement type="secondSubtotalRow" dxfId="1115"/>
      <tableStyleElement type="secondColumnSubheading" dxfId="1114"/>
      <tableStyleElement type="thirdColumnSubheading" dxfId="1113"/>
      <tableStyleElement type="firstRowSubheading" dxfId="1112"/>
      <tableStyleElement type="secondRowSubheading" dxfId="1111"/>
    </tableStyle>
  </tableStyles>
  <colors>
    <mruColors>
      <color rgb="FF6466E9"/>
      <color rgb="FF3B33CA"/>
      <color rgb="FF4CAF50"/>
      <color rgb="FF4438CA"/>
      <color rgb="FF07BCD4"/>
      <color rgb="FFFF5722"/>
      <color rgb="FFFFC107"/>
      <color rgb="FF2196F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elloData_Light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Custom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slicerCaches/slicerCache1.xml" Type="http://schemas.microsoft.com/office/2007/relationships/slicerCache"></Relationship><Relationship Id="rId3" Target="worksheets/sheet3.xml" Type="http://schemas.openxmlformats.org/officeDocument/2006/relationships/worksheet"></Relationship><Relationship Id="rId21" Target="theme/theme1.xml" Type="http://schemas.openxmlformats.org/officeDocument/2006/relationships/theme"></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pivotCache/pivotCacheDefinition2.xml" Type="http://schemas.openxmlformats.org/officeDocument/2006/relationships/pivotCacheDefinition"></Relationship><Relationship Id="rId25" Target="calcChain.xml" Type="http://schemas.openxmlformats.org/officeDocument/2006/relationships/calcChain"></Relationship><Relationship Id="rId2" Target="worksheets/sheet2.xml" Type="http://schemas.openxmlformats.org/officeDocument/2006/relationships/worksheet"></Relationship><Relationship Id="rId16" Target="pivotCache/pivotCacheDefinition1.xml" Type="http://schemas.openxmlformats.org/officeDocument/2006/relationships/pivotCacheDefinition"></Relationship><Relationship Id="rId20" Target="timelineCaches/timelineCache1.xml" Type="http://schemas.microsoft.com/office/2011/relationships/timelineCach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metadata.xml" Type="http://schemas.openxmlformats.org/officeDocument/2006/relationships/sheetMetadata"></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xl/sharedStrings.xml" Type="http://schemas.openxmlformats.org/officeDocument/2006/relationships/sharedStrings"></Relationship><Relationship Id="rId10" Target="worksheets/sheet10.xml" Type="http://schemas.openxmlformats.org/officeDocument/2006/relationships/worksheet"></Relationship><Relationship Id="rId19" Target="slicerCaches/slicerCache2.xml" Type="http://schemas.microsoft.com/office/2007/relationships/slicerCache"></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styles.xml" Type="http://schemas.openxmlformats.org/officeDocument/2006/relationships/styles"></Relationship></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UPLOAD.xlsx]Data!30_day_avg_asking_vs_asking_psf</c:name>
    <c:fmtId val="2"/>
  </c:pivotSource>
  <c:chart>
    <c:title>
      <c:tx>
        <c:rich>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r>
              <a:rPr lang="en-US" sz="2400" b="1">
                <a:solidFill>
                  <a:srgbClr val="4438CA"/>
                </a:solidFill>
              </a:rPr>
              <a:t>ALL UNITS</a:t>
            </a:r>
          </a:p>
          <a:p>
            <a:pPr>
              <a:defRPr sz="2400">
                <a:solidFill>
                  <a:srgbClr val="4438CA"/>
                </a:solidFill>
              </a:defRPr>
            </a:pPr>
            <a:r>
              <a:rPr lang="en-US" sz="1050" b="1" baseline="0">
                <a:solidFill>
                  <a:srgbClr val="4438CA"/>
                </a:solidFill>
              </a:rPr>
              <a:t>30-DAY AVG ASKING RENT VS RENT PSF</a:t>
            </a: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Data!$B$3</c:f>
              <c:strCache>
                <c:ptCount val="1"/>
                <c:pt idx="0">
                  <c:v>Asking Rent</c:v>
                </c:pt>
              </c:strCache>
            </c:strRef>
          </c:tx>
          <c:spPr>
            <a:solidFill>
              <a:srgbClr val="6466E9"/>
            </a:solidFill>
            <a:ln>
              <a:noFill/>
            </a:ln>
            <a:effectLst/>
          </c:spPr>
          <c:invertIfNegative val="0"/>
          <c:cat>
            <c:strRef>
              <c:f>Data!$A$4:$A$14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Data!$B$4:$B$14</c:f>
              <c:numCache>
                <c:formatCode>"$"#,##0</c:formatCode>
                <c:ptCount val="10"/>
                <c:pt idx="0">
                  <c:v>2647.744680851064</c:v>
                </c:pt>
                <c:pt idx="1">
                  <c:v>2758.75</c:v>
                </c:pt>
                <c:pt idx="2">
                  <c:v>2935.2195121951218</c:v>
                </c:pt>
                <c:pt idx="3">
                  <c:v>3044.9803921568628</c:v>
                </c:pt>
                <c:pt idx="4">
                  <c:v>3072.8</c:v>
                </c:pt>
                <c:pt idx="5">
                  <c:v>3087.8048780487807</c:v>
                </c:pt>
                <c:pt idx="6">
                  <c:v>3148.25</c:v>
                </c:pt>
                <c:pt idx="7">
                  <c:v>3334.2285714285713</c:v>
                </c:pt>
                <c:pt idx="8">
                  <c:v>3658.3333333333335</c:v>
                </c:pt>
                <c:pt idx="9">
                  <c:v>4233.19696969697</c:v>
                </c:pt>
              </c:numCache>
            </c:numRef>
          </c:val>
          <c:extLst>
            <c:ext xmlns:c16="http://schemas.microsoft.com/office/drawing/2014/chart" uri="{C3380CC4-5D6E-409C-BE32-E72D297353CC}">
              <c16:uniqueId val="{00000000-5EBF-432E-9066-D8DDEB1D6BD5}"/>
            </c:ext>
          </c:extLst>
        </c:ser>
        <c:dLbls>
          <c:showLegendKey val="0"/>
          <c:showVal val="0"/>
          <c:showCatName val="0"/>
          <c:showSerName val="0"/>
          <c:showPercent val="0"/>
          <c:showBubbleSize val="0"/>
        </c:dLbls>
        <c:gapWidth val="150"/>
        <c:axId val="1701782560"/>
        <c:axId val="1701782080"/>
      </c:barChart>
      <c:lineChart>
        <c:grouping val="stacked"/>
        <c:varyColors val="0"/>
        <c:ser>
          <c:idx val="1"/>
          <c:order val="1"/>
          <c:tx>
            <c:strRef>
              <c:f>Data!$C$3</c:f>
              <c:strCache>
                <c:ptCount val="1"/>
                <c:pt idx="0">
                  <c:v>Asking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Data!$A$4:$A$14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Data!$C$4:$C$14</c:f>
              <c:numCache>
                <c:formatCode>"$"#,##0.00</c:formatCode>
                <c:ptCount val="10"/>
                <c:pt idx="0">
                  <c:v>3.4232112893021207</c:v>
                </c:pt>
                <c:pt idx="1">
                  <c:v>3.7859164593875976</c:v>
                </c:pt>
                <c:pt idx="2">
                  <c:v>3.9756854971919391</c:v>
                </c:pt>
                <c:pt idx="3">
                  <c:v>3.8381157163688489</c:v>
                </c:pt>
                <c:pt idx="4">
                  <c:v>3.741932341265009</c:v>
                </c:pt>
                <c:pt idx="5">
                  <c:v>3.9982314300151591</c:v>
                </c:pt>
                <c:pt idx="6">
                  <c:v>4.1948592346790976</c:v>
                </c:pt>
                <c:pt idx="7">
                  <c:v>4.5189745972738535</c:v>
                </c:pt>
                <c:pt idx="8">
                  <c:v>4.1830362378327663</c:v>
                </c:pt>
                <c:pt idx="9">
                  <c:v>4.2007367313185986</c:v>
                </c:pt>
              </c:numCache>
            </c:numRef>
          </c:val>
          <c:smooth val="0"/>
          <c:extLst>
            <c:ext xmlns:c16="http://schemas.microsoft.com/office/drawing/2014/chart" uri="{C3380CC4-5D6E-409C-BE32-E72D297353CC}">
              <c16:uniqueId val="{0000000C-5EBF-432E-9066-D8DDEB1D6BD5}"/>
            </c:ext>
          </c:extLst>
        </c:ser>
        <c:dLbls>
          <c:showLegendKey val="0"/>
          <c:showVal val="0"/>
          <c:showCatName val="0"/>
          <c:showSerName val="0"/>
          <c:showPercent val="0"/>
          <c:showBubbleSize val="0"/>
        </c:dLbls>
        <c:marker val="1"/>
        <c:smooth val="0"/>
        <c:axId val="417575360"/>
        <c:axId val="417572960"/>
      </c:lineChart>
      <c:catAx>
        <c:axId val="170178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080"/>
        <c:crosses val="autoZero"/>
        <c:auto val="1"/>
        <c:lblAlgn val="ctr"/>
        <c:lblOffset val="100"/>
        <c:noMultiLvlLbl val="0"/>
      </c:catAx>
      <c:valAx>
        <c:axId val="170178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560"/>
        <c:crosses val="autoZero"/>
        <c:crossBetween val="between"/>
      </c:valAx>
      <c:valAx>
        <c:axId val="41757296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75360"/>
        <c:crosses val="max"/>
        <c:crossBetween val="between"/>
      </c:valAx>
      <c:catAx>
        <c:axId val="417575360"/>
        <c:scaling>
          <c:orientation val="minMax"/>
        </c:scaling>
        <c:delete val="1"/>
        <c:axPos val="b"/>
        <c:numFmt formatCode="General" sourceLinked="1"/>
        <c:majorTickMark val="out"/>
        <c:minorTickMark val="none"/>
        <c:tickLblPos val="nextTo"/>
        <c:crossAx val="41757296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UPLOAD.xlsx]Data!30_day_avg_eff_vs_eff_psf</c:name>
    <c:fmtId val="6"/>
  </c:pivotSource>
  <c:chart>
    <c:title>
      <c:tx>
        <c:rich>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r>
              <a:rPr lang="en-US" sz="2400" b="1" baseline="0">
                <a:solidFill>
                  <a:srgbClr val="4438CA"/>
                </a:solidFill>
              </a:rPr>
              <a:t>ALL UNITS</a:t>
            </a:r>
          </a:p>
          <a:p>
            <a:pPr>
              <a:defRPr sz="1800">
                <a:solidFill>
                  <a:srgbClr val="4438CA"/>
                </a:solidFill>
              </a:defRPr>
            </a:pPr>
            <a:r>
              <a:rPr lang="en-US" sz="1050" b="1" baseline="0">
                <a:solidFill>
                  <a:srgbClr val="4438CA"/>
                </a:solidFill>
              </a:rPr>
              <a:t>30-DAY AVG EFFECTIVE RENT VS RENT PSF</a:t>
            </a:r>
            <a:endParaRPr lang="en-US" sz="1800" b="1">
              <a:solidFill>
                <a:srgbClr val="4438CA"/>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Data!$F$3</c:f>
              <c:strCache>
                <c:ptCount val="1"/>
                <c:pt idx="0">
                  <c:v>Effective Rent</c:v>
                </c:pt>
              </c:strCache>
            </c:strRef>
          </c:tx>
          <c:spPr>
            <a:solidFill>
              <a:srgbClr val="6466E9"/>
            </a:solidFill>
            <a:ln>
              <a:noFill/>
            </a:ln>
            <a:effectLst/>
          </c:spPr>
          <c:invertIfNegative val="0"/>
          <c:cat>
            <c:strRef>
              <c:f>Data!$E$4:$E$14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Data!$F$4:$F$14</c:f>
              <c:numCache>
                <c:formatCode>"$"#,##0</c:formatCode>
                <c:ptCount val="10"/>
                <c:pt idx="0">
                  <c:v>2647.744680851064</c:v>
                </c:pt>
                <c:pt idx="1">
                  <c:v>2758.75</c:v>
                </c:pt>
                <c:pt idx="2">
                  <c:v>2935.2195121951218</c:v>
                </c:pt>
                <c:pt idx="3">
                  <c:v>3044.9803921568628</c:v>
                </c:pt>
                <c:pt idx="4">
                  <c:v>3072.8</c:v>
                </c:pt>
                <c:pt idx="5">
                  <c:v>3087.8048780487807</c:v>
                </c:pt>
                <c:pt idx="6">
                  <c:v>3148.25</c:v>
                </c:pt>
                <c:pt idx="7">
                  <c:v>3334.2285714285713</c:v>
                </c:pt>
                <c:pt idx="8">
                  <c:v>3586.3333333333335</c:v>
                </c:pt>
                <c:pt idx="9">
                  <c:v>4233.19696969697</c:v>
                </c:pt>
              </c:numCache>
            </c:numRef>
          </c:val>
          <c:extLst>
            <c:ext xmlns:c16="http://schemas.microsoft.com/office/drawing/2014/chart" uri="{C3380CC4-5D6E-409C-BE32-E72D297353CC}">
              <c16:uniqueId val="{00000000-ED2F-45CC-8394-55D03B9E334F}"/>
            </c:ext>
          </c:extLst>
        </c:ser>
        <c:dLbls>
          <c:showLegendKey val="0"/>
          <c:showVal val="0"/>
          <c:showCatName val="0"/>
          <c:showSerName val="0"/>
          <c:showPercent val="0"/>
          <c:showBubbleSize val="0"/>
        </c:dLbls>
        <c:gapWidth val="150"/>
        <c:axId val="1644259552"/>
        <c:axId val="1644260032"/>
      </c:barChart>
      <c:lineChart>
        <c:grouping val="stacked"/>
        <c:varyColors val="0"/>
        <c:ser>
          <c:idx val="1"/>
          <c:order val="1"/>
          <c:tx>
            <c:strRef>
              <c:f>Data!$G$3</c:f>
              <c:strCache>
                <c:ptCount val="1"/>
                <c:pt idx="0">
                  <c:v>Effective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Data!$E$4:$E$14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Data!$G$4:$G$14</c:f>
              <c:numCache>
                <c:formatCode>"$"#,##0.00</c:formatCode>
                <c:ptCount val="10"/>
                <c:pt idx="0">
                  <c:v>3.4232112893021207</c:v>
                </c:pt>
                <c:pt idx="1">
                  <c:v>3.7859164593875976</c:v>
                </c:pt>
                <c:pt idx="2">
                  <c:v>3.9756854971919391</c:v>
                </c:pt>
                <c:pt idx="3">
                  <c:v>3.8381157163688489</c:v>
                </c:pt>
                <c:pt idx="4">
                  <c:v>3.741932341265009</c:v>
                </c:pt>
                <c:pt idx="5">
                  <c:v>3.9982314300151591</c:v>
                </c:pt>
                <c:pt idx="6">
                  <c:v>4.1948592346790976</c:v>
                </c:pt>
                <c:pt idx="7">
                  <c:v>4.5189745972738535</c:v>
                </c:pt>
                <c:pt idx="8">
                  <c:v>4.1007095109651699</c:v>
                </c:pt>
                <c:pt idx="9">
                  <c:v>4.2007367313185986</c:v>
                </c:pt>
              </c:numCache>
            </c:numRef>
          </c:val>
          <c:smooth val="0"/>
          <c:extLst>
            <c:ext xmlns:c16="http://schemas.microsoft.com/office/drawing/2014/chart" uri="{C3380CC4-5D6E-409C-BE32-E72D297353CC}">
              <c16:uniqueId val="{00000001-ED2F-45CC-8394-55D03B9E334F}"/>
            </c:ext>
          </c:extLst>
        </c:ser>
        <c:dLbls>
          <c:showLegendKey val="0"/>
          <c:showVal val="0"/>
          <c:showCatName val="0"/>
          <c:showSerName val="0"/>
          <c:showPercent val="0"/>
          <c:showBubbleSize val="0"/>
        </c:dLbls>
        <c:marker val="1"/>
        <c:smooth val="0"/>
        <c:axId val="281480640"/>
        <c:axId val="740244240"/>
      </c:lineChart>
      <c:catAx>
        <c:axId val="164425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60032"/>
        <c:crosses val="autoZero"/>
        <c:auto val="1"/>
        <c:lblAlgn val="ctr"/>
        <c:lblOffset val="100"/>
        <c:noMultiLvlLbl val="0"/>
      </c:catAx>
      <c:valAx>
        <c:axId val="1644260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59552"/>
        <c:crosses val="autoZero"/>
        <c:crossBetween val="between"/>
      </c:valAx>
      <c:valAx>
        <c:axId val="74024424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80640"/>
        <c:crosses val="max"/>
        <c:crossBetween val="between"/>
      </c:valAx>
      <c:catAx>
        <c:axId val="281480640"/>
        <c:scaling>
          <c:orientation val="minMax"/>
        </c:scaling>
        <c:delete val="1"/>
        <c:axPos val="b"/>
        <c:numFmt formatCode="General" sourceLinked="1"/>
        <c:majorTickMark val="out"/>
        <c:minorTickMark val="none"/>
        <c:tickLblPos val="nextTo"/>
        <c:crossAx val="74024424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UPLOAD.xlsx]Data!studio_asking_vs_effective</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2196F3"/>
                </a:solidFill>
              </a:rPr>
              <a:t>Studio</a:t>
            </a:r>
          </a:p>
          <a:p>
            <a:pPr>
              <a:defRPr/>
            </a:pPr>
            <a:r>
              <a:rPr lang="en-US" sz="1050">
                <a:solidFill>
                  <a:srgbClr val="2196F3"/>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196F3"/>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94996751137101E-2"/>
          <c:y val="0.41074146981627307"/>
          <c:w val="0.9714100064977258"/>
          <c:h val="0.44524606299212599"/>
        </c:manualLayout>
      </c:layout>
      <c:barChart>
        <c:barDir val="col"/>
        <c:grouping val="clustered"/>
        <c:varyColors val="0"/>
        <c:ser>
          <c:idx val="0"/>
          <c:order val="0"/>
          <c:tx>
            <c:strRef>
              <c:f>Data!$J$3</c:f>
              <c:strCache>
                <c:ptCount val="1"/>
                <c:pt idx="0">
                  <c:v>Asking</c:v>
                </c:pt>
              </c:strCache>
            </c:strRef>
          </c:tx>
          <c:spPr>
            <a:solidFill>
              <a:srgbClr val="2196F3"/>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Data!$I$4:$I$14</c:f>
              <c:strCache>
                <c:ptCount val="10"/>
                <c:pt idx="0">
                  <c:v>Hubbard Place</c:v>
                </c:pt>
                <c:pt idx="1">
                  <c:v>Coast at Lakeshore East</c:v>
                </c:pt>
                <c:pt idx="2">
                  <c:v>Wolf Point West</c:v>
                </c:pt>
                <c:pt idx="3">
                  <c:v>Marquee at Block 37</c:v>
                </c:pt>
                <c:pt idx="4">
                  <c:v>MILA</c:v>
                </c:pt>
                <c:pt idx="5">
                  <c:v>AMLI River North</c:v>
                </c:pt>
                <c:pt idx="6">
                  <c:v>OneEleven</c:v>
                </c:pt>
                <c:pt idx="7">
                  <c:v>The Gallery on Wells</c:v>
                </c:pt>
                <c:pt idx="8">
                  <c:v>Optima Signature</c:v>
                </c:pt>
                <c:pt idx="9">
                  <c:v>Millie on Michigan</c:v>
                </c:pt>
              </c:strCache>
            </c:strRef>
          </c:cat>
          <c:val>
            <c:numRef>
              <c:f>Data!$J$4:$J$14</c:f>
              <c:numCache>
                <c:formatCode>"$"#,##0</c:formatCode>
                <c:ptCount val="10"/>
                <c:pt idx="0">
                  <c:v>2194</c:v>
                </c:pt>
                <c:pt idx="1">
                  <c:v>2210.9411764705883</c:v>
                </c:pt>
                <c:pt idx="2">
                  <c:v>2277.6428571428573</c:v>
                </c:pt>
                <c:pt idx="3">
                  <c:v>2346.8518518518517</c:v>
                </c:pt>
                <c:pt idx="4">
                  <c:v>2410.5</c:v>
                </c:pt>
                <c:pt idx="5">
                  <c:v>2435.36</c:v>
                </c:pt>
                <c:pt idx="6">
                  <c:v>2437.8333333333335</c:v>
                </c:pt>
                <c:pt idx="7">
                  <c:v>2546.2083333333335</c:v>
                </c:pt>
                <c:pt idx="8">
                  <c:v>2767.7777777777778</c:v>
                </c:pt>
                <c:pt idx="9">
                  <c:v>2785.4545454545455</c:v>
                </c:pt>
              </c:numCache>
            </c:numRef>
          </c:val>
          <c:extLst>
            <c:ext xmlns:c16="http://schemas.microsoft.com/office/drawing/2014/chart" uri="{C3380CC4-5D6E-409C-BE32-E72D297353CC}">
              <c16:uniqueId val="{00000000-8D38-4FE2-986C-BBAB10EB9490}"/>
            </c:ext>
          </c:extLst>
        </c:ser>
        <c:ser>
          <c:idx val="1"/>
          <c:order val="1"/>
          <c:tx>
            <c:strRef>
              <c:f>Data!$K$3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Data!$I$4:$I$14</c:f>
              <c:strCache>
                <c:ptCount val="10"/>
                <c:pt idx="0">
                  <c:v>Hubbard Place</c:v>
                </c:pt>
                <c:pt idx="1">
                  <c:v>Coast at Lakeshore East</c:v>
                </c:pt>
                <c:pt idx="2">
                  <c:v>Wolf Point West</c:v>
                </c:pt>
                <c:pt idx="3">
                  <c:v>Marquee at Block 37</c:v>
                </c:pt>
                <c:pt idx="4">
                  <c:v>MILA</c:v>
                </c:pt>
                <c:pt idx="5">
                  <c:v>AMLI River North</c:v>
                </c:pt>
                <c:pt idx="6">
                  <c:v>OneEleven</c:v>
                </c:pt>
                <c:pt idx="7">
                  <c:v>The Gallery on Wells</c:v>
                </c:pt>
                <c:pt idx="8">
                  <c:v>Optima Signature</c:v>
                </c:pt>
                <c:pt idx="9">
                  <c:v>Millie on Michigan</c:v>
                </c:pt>
              </c:strCache>
            </c:strRef>
          </c:cat>
          <c:val>
            <c:numRef>
              <c:f>Data!$K$4:$K$14</c:f>
              <c:numCache>
                <c:formatCode>"$"#,##0</c:formatCode>
                <c:ptCount val="10"/>
                <c:pt idx="0">
                  <c:v>2194</c:v>
                </c:pt>
                <c:pt idx="1">
                  <c:v>2210.9411764705883</c:v>
                </c:pt>
                <c:pt idx="2">
                  <c:v>2277.6428571428573</c:v>
                </c:pt>
                <c:pt idx="3">
                  <c:v>2346.8518518518517</c:v>
                </c:pt>
                <c:pt idx="4">
                  <c:v>2410.5</c:v>
                </c:pt>
                <c:pt idx="5">
                  <c:v>2435.36</c:v>
                </c:pt>
                <c:pt idx="6">
                  <c:v>2393.5833333333335</c:v>
                </c:pt>
                <c:pt idx="7">
                  <c:v>2546.2083333333335</c:v>
                </c:pt>
                <c:pt idx="8">
                  <c:v>2767.7777777777778</c:v>
                </c:pt>
                <c:pt idx="9">
                  <c:v>2785.4545454545455</c:v>
                </c:pt>
              </c:numCache>
            </c:numRef>
          </c:val>
          <c:extLst>
            <c:ext xmlns:c16="http://schemas.microsoft.com/office/drawing/2014/chart" uri="{C3380CC4-5D6E-409C-BE32-E72D297353CC}">
              <c16:uniqueId val="{00000001-8D38-4FE2-986C-BBAB10EB9490}"/>
            </c:ext>
          </c:extLst>
        </c:ser>
        <c:dLbls>
          <c:dLblPos val="outEnd"/>
          <c:showLegendKey val="0"/>
          <c:showVal val="1"/>
          <c:showCatName val="0"/>
          <c:showSerName val="0"/>
          <c:showPercent val="0"/>
          <c:showBubbleSize val="0"/>
        </c:dLbls>
        <c:gapWidth val="444"/>
        <c:overlap val="-90"/>
        <c:axId val="1250423616"/>
        <c:axId val="1250425056"/>
      </c:barChart>
      <c:catAx>
        <c:axId val="1250423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50425056"/>
        <c:crosses val="autoZero"/>
        <c:auto val="1"/>
        <c:lblAlgn val="ctr"/>
        <c:lblOffset val="100"/>
        <c:noMultiLvlLbl val="0"/>
      </c:catAx>
      <c:valAx>
        <c:axId val="1250425056"/>
        <c:scaling>
          <c:orientation val="minMax"/>
        </c:scaling>
        <c:delete val="1"/>
        <c:axPos val="l"/>
        <c:numFmt formatCode="&quot;$&quot;#,##0" sourceLinked="1"/>
        <c:majorTickMark val="none"/>
        <c:minorTickMark val="none"/>
        <c:tickLblPos val="nextTo"/>
        <c:crossAx val="1250423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UPLOAD.xlsx]Data!1br_asking_vs_effective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4CAF50"/>
                </a:solidFill>
              </a:rPr>
              <a:t>1BR</a:t>
            </a:r>
          </a:p>
          <a:p>
            <a:pPr>
              <a:defRPr/>
            </a:pPr>
            <a:r>
              <a:rPr lang="en-US" sz="1200">
                <a:solidFill>
                  <a:srgbClr val="4CAF50"/>
                </a:solidFill>
              </a:rPr>
              <a:t>30-Day</a:t>
            </a:r>
            <a:r>
              <a:rPr lang="en-US" sz="1200" baseline="0">
                <a:solidFill>
                  <a:srgbClr val="4CAF50"/>
                </a:solidFill>
              </a:rPr>
              <a:t> AvG Asking vs Effective Rents</a:t>
            </a:r>
            <a:endParaRPr lang="en-US" sz="1200">
              <a:solidFill>
                <a:srgbClr val="4CAF50"/>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CAF50"/>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7644386761843E-2"/>
          <c:y val="0.39364874455070797"/>
          <c:w val="0.9714471122647631"/>
          <c:h val="0.47284613564935285"/>
        </c:manualLayout>
      </c:layout>
      <c:barChart>
        <c:barDir val="col"/>
        <c:grouping val="clustered"/>
        <c:varyColors val="0"/>
        <c:ser>
          <c:idx val="0"/>
          <c:order val="0"/>
          <c:tx>
            <c:strRef>
              <c:f>Data!$N$3</c:f>
              <c:strCache>
                <c:ptCount val="1"/>
                <c:pt idx="0">
                  <c:v>Asking</c:v>
                </c:pt>
              </c:strCache>
            </c:strRef>
          </c:tx>
          <c:spPr>
            <a:solidFill>
              <a:srgbClr val="4CAF50"/>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Data!$M$4:$M$14</c:f>
              <c:strCache>
                <c:ptCount val="10"/>
                <c:pt idx="0">
                  <c:v>MILA</c:v>
                </c:pt>
                <c:pt idx="1">
                  <c:v>Marquee at Block 37</c:v>
                </c:pt>
                <c:pt idx="2">
                  <c:v>Coast at Lakeshore East</c:v>
                </c:pt>
                <c:pt idx="3">
                  <c:v>Wolf Point West</c:v>
                </c:pt>
                <c:pt idx="4">
                  <c:v>Millie on Michigan</c:v>
                </c:pt>
                <c:pt idx="5">
                  <c:v>The Gallery on Wells</c:v>
                </c:pt>
                <c:pt idx="6">
                  <c:v>OneEleven</c:v>
                </c:pt>
                <c:pt idx="7">
                  <c:v>Hubbard Place</c:v>
                </c:pt>
                <c:pt idx="8">
                  <c:v>AMLI River North</c:v>
                </c:pt>
                <c:pt idx="9">
                  <c:v>Optima Signature</c:v>
                </c:pt>
              </c:strCache>
            </c:strRef>
          </c:cat>
          <c:val>
            <c:numRef>
              <c:f>Data!$N$4:$N$14</c:f>
              <c:numCache>
                <c:formatCode>"$"#,##0</c:formatCode>
                <c:ptCount val="10"/>
                <c:pt idx="0">
                  <c:v>2728.2857142857142</c:v>
                </c:pt>
                <c:pt idx="1">
                  <c:v>2772.8</c:v>
                </c:pt>
                <c:pt idx="2">
                  <c:v>2988.2631578947367</c:v>
                </c:pt>
                <c:pt idx="3">
                  <c:v>3026.8823529411766</c:v>
                </c:pt>
                <c:pt idx="4">
                  <c:v>3070.6666666666665</c:v>
                </c:pt>
                <c:pt idx="5">
                  <c:v>3071.8333333333335</c:v>
                </c:pt>
                <c:pt idx="6">
                  <c:v>3233.9473684210525</c:v>
                </c:pt>
                <c:pt idx="7">
                  <c:v>3302.0833333333335</c:v>
                </c:pt>
                <c:pt idx="8">
                  <c:v>3433</c:v>
                </c:pt>
                <c:pt idx="9">
                  <c:v>3433.7096774193546</c:v>
                </c:pt>
              </c:numCache>
            </c:numRef>
          </c:val>
          <c:extLst>
            <c:ext xmlns:c16="http://schemas.microsoft.com/office/drawing/2014/chart" uri="{C3380CC4-5D6E-409C-BE32-E72D297353CC}">
              <c16:uniqueId val="{00000000-9FE3-471C-9AB3-48015DB3E46D}"/>
            </c:ext>
          </c:extLst>
        </c:ser>
        <c:ser>
          <c:idx val="1"/>
          <c:order val="1"/>
          <c:tx>
            <c:strRef>
              <c:f>Data!$O$3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Data!$M$4:$M$14</c:f>
              <c:strCache>
                <c:ptCount val="10"/>
                <c:pt idx="0">
                  <c:v>MILA</c:v>
                </c:pt>
                <c:pt idx="1">
                  <c:v>Marquee at Block 37</c:v>
                </c:pt>
                <c:pt idx="2">
                  <c:v>Coast at Lakeshore East</c:v>
                </c:pt>
                <c:pt idx="3">
                  <c:v>Wolf Point West</c:v>
                </c:pt>
                <c:pt idx="4">
                  <c:v>Millie on Michigan</c:v>
                </c:pt>
                <c:pt idx="5">
                  <c:v>The Gallery on Wells</c:v>
                </c:pt>
                <c:pt idx="6">
                  <c:v>OneEleven</c:v>
                </c:pt>
                <c:pt idx="7">
                  <c:v>Hubbard Place</c:v>
                </c:pt>
                <c:pt idx="8">
                  <c:v>AMLI River North</c:v>
                </c:pt>
                <c:pt idx="9">
                  <c:v>Optima Signature</c:v>
                </c:pt>
              </c:strCache>
            </c:strRef>
          </c:cat>
          <c:val>
            <c:numRef>
              <c:f>Data!$O$4:$O$14</c:f>
              <c:numCache>
                <c:formatCode>"$"#,##0</c:formatCode>
                <c:ptCount val="10"/>
                <c:pt idx="0">
                  <c:v>2728.2857142857142</c:v>
                </c:pt>
                <c:pt idx="1">
                  <c:v>2772.8</c:v>
                </c:pt>
                <c:pt idx="2">
                  <c:v>2988.2631578947367</c:v>
                </c:pt>
                <c:pt idx="3">
                  <c:v>3026.8823529411766</c:v>
                </c:pt>
                <c:pt idx="4">
                  <c:v>3070.6666666666665</c:v>
                </c:pt>
                <c:pt idx="5">
                  <c:v>3071.8333333333335</c:v>
                </c:pt>
                <c:pt idx="6">
                  <c:v>3163.7368421052633</c:v>
                </c:pt>
                <c:pt idx="7">
                  <c:v>3302.0833333333335</c:v>
                </c:pt>
                <c:pt idx="8">
                  <c:v>3433</c:v>
                </c:pt>
                <c:pt idx="9">
                  <c:v>3433.7096774193546</c:v>
                </c:pt>
              </c:numCache>
            </c:numRef>
          </c:val>
          <c:extLst>
            <c:ext xmlns:c16="http://schemas.microsoft.com/office/drawing/2014/chart" uri="{C3380CC4-5D6E-409C-BE32-E72D297353CC}">
              <c16:uniqueId val="{00000001-9FE3-471C-9AB3-48015DB3E46D}"/>
            </c:ext>
          </c:extLst>
        </c:ser>
        <c:dLbls>
          <c:dLblPos val="outEnd"/>
          <c:showLegendKey val="0"/>
          <c:showVal val="1"/>
          <c:showCatName val="0"/>
          <c:showSerName val="0"/>
          <c:showPercent val="0"/>
          <c:showBubbleSize val="0"/>
        </c:dLbls>
        <c:gapWidth val="444"/>
        <c:overlap val="-90"/>
        <c:axId val="279921664"/>
        <c:axId val="279925024"/>
      </c:barChart>
      <c:catAx>
        <c:axId val="27992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79925024"/>
        <c:crosses val="autoZero"/>
        <c:auto val="1"/>
        <c:lblAlgn val="ctr"/>
        <c:lblOffset val="100"/>
        <c:noMultiLvlLbl val="0"/>
      </c:catAx>
      <c:valAx>
        <c:axId val="279925024"/>
        <c:scaling>
          <c:orientation val="minMax"/>
        </c:scaling>
        <c:delete val="1"/>
        <c:axPos val="l"/>
        <c:numFmt formatCode="&quot;$&quot;#,##0" sourceLinked="1"/>
        <c:majorTickMark val="none"/>
        <c:minorTickMark val="none"/>
        <c:tickLblPos val="nextTo"/>
        <c:crossAx val="279921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UPLOAD.xlsx]Data!2br_asking_vs_effective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C107"/>
                </a:solidFill>
              </a:rPr>
              <a:t>2Br</a:t>
            </a:r>
          </a:p>
          <a:p>
            <a:pPr>
              <a:defRPr/>
            </a:pPr>
            <a:r>
              <a:rPr lang="en-US" sz="1200">
                <a:solidFill>
                  <a:srgbClr val="FFC107"/>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107"/>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18255776114546E-2"/>
          <c:y val="0.41036470012982851"/>
          <c:w val="0.97136348844777087"/>
          <c:h val="0.45641605827108872"/>
        </c:manualLayout>
      </c:layout>
      <c:barChart>
        <c:barDir val="col"/>
        <c:grouping val="clustered"/>
        <c:varyColors val="0"/>
        <c:ser>
          <c:idx val="0"/>
          <c:order val="0"/>
          <c:tx>
            <c:strRef>
              <c:f>Data!$R$3</c:f>
              <c:strCache>
                <c:ptCount val="1"/>
                <c:pt idx="0">
                  <c:v>Asking</c:v>
                </c:pt>
              </c:strCache>
            </c:strRef>
          </c:tx>
          <c:spPr>
            <a:solidFill>
              <a:srgbClr val="FFC107"/>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Data!$Q$4:$Q$14</c:f>
              <c:strCache>
                <c:ptCount val="10"/>
                <c:pt idx="0">
                  <c:v>Marquee at Block 37</c:v>
                </c:pt>
                <c:pt idx="1">
                  <c:v>MILA</c:v>
                </c:pt>
                <c:pt idx="2">
                  <c:v>AMLI River North</c:v>
                </c:pt>
                <c:pt idx="3">
                  <c:v>The Gallery on Wells</c:v>
                </c:pt>
                <c:pt idx="4">
                  <c:v>Coast at Lakeshore East</c:v>
                </c:pt>
                <c:pt idx="5">
                  <c:v>Hubbard Place</c:v>
                </c:pt>
                <c:pt idx="6">
                  <c:v>OneEleven</c:v>
                </c:pt>
                <c:pt idx="7">
                  <c:v>Wolf Point West</c:v>
                </c:pt>
                <c:pt idx="8">
                  <c:v>Millie on Michigan</c:v>
                </c:pt>
                <c:pt idx="9">
                  <c:v>Optima Signature</c:v>
                </c:pt>
              </c:strCache>
            </c:strRef>
          </c:cat>
          <c:val>
            <c:numRef>
              <c:f>Data!$R$4:$R$14</c:f>
              <c:numCache>
                <c:formatCode>"$"#,##0</c:formatCode>
                <c:ptCount val="10"/>
                <c:pt idx="0">
                  <c:v>3897.4</c:v>
                </c:pt>
                <c:pt idx="1">
                  <c:v>3900.6666666666665</c:v>
                </c:pt>
                <c:pt idx="2">
                  <c:v>4299.375</c:v>
                </c:pt>
                <c:pt idx="3">
                  <c:v>4321.333333333333</c:v>
                </c:pt>
                <c:pt idx="4">
                  <c:v>4381.333333333333</c:v>
                </c:pt>
                <c:pt idx="5">
                  <c:v>4707</c:v>
                </c:pt>
                <c:pt idx="6">
                  <c:v>4711.25</c:v>
                </c:pt>
                <c:pt idx="7">
                  <c:v>4908.4285714285716</c:v>
                </c:pt>
                <c:pt idx="8">
                  <c:v>5131</c:v>
                </c:pt>
                <c:pt idx="9">
                  <c:v>5139.2941176470586</c:v>
                </c:pt>
              </c:numCache>
            </c:numRef>
          </c:val>
          <c:extLst>
            <c:ext xmlns:c16="http://schemas.microsoft.com/office/drawing/2014/chart" uri="{C3380CC4-5D6E-409C-BE32-E72D297353CC}">
              <c16:uniqueId val="{00000000-DA52-4C70-A203-637DB398494C}"/>
            </c:ext>
          </c:extLst>
        </c:ser>
        <c:ser>
          <c:idx val="1"/>
          <c:order val="1"/>
          <c:tx>
            <c:strRef>
              <c:f>Data!$S$3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Data!$Q$4:$Q$14</c:f>
              <c:strCache>
                <c:ptCount val="10"/>
                <c:pt idx="0">
                  <c:v>Marquee at Block 37</c:v>
                </c:pt>
                <c:pt idx="1">
                  <c:v>MILA</c:v>
                </c:pt>
                <c:pt idx="2">
                  <c:v>AMLI River North</c:v>
                </c:pt>
                <c:pt idx="3">
                  <c:v>The Gallery on Wells</c:v>
                </c:pt>
                <c:pt idx="4">
                  <c:v>Coast at Lakeshore East</c:v>
                </c:pt>
                <c:pt idx="5">
                  <c:v>Hubbard Place</c:v>
                </c:pt>
                <c:pt idx="6">
                  <c:v>OneEleven</c:v>
                </c:pt>
                <c:pt idx="7">
                  <c:v>Wolf Point West</c:v>
                </c:pt>
                <c:pt idx="8">
                  <c:v>Millie on Michigan</c:v>
                </c:pt>
                <c:pt idx="9">
                  <c:v>Optima Signature</c:v>
                </c:pt>
              </c:strCache>
            </c:strRef>
          </c:cat>
          <c:val>
            <c:numRef>
              <c:f>Data!$S$4:$S$14</c:f>
              <c:numCache>
                <c:formatCode>"$"#,##0</c:formatCode>
                <c:ptCount val="10"/>
                <c:pt idx="0">
                  <c:v>3897.4</c:v>
                </c:pt>
                <c:pt idx="1">
                  <c:v>3900.6666666666665</c:v>
                </c:pt>
                <c:pt idx="2">
                  <c:v>4299.375</c:v>
                </c:pt>
                <c:pt idx="3">
                  <c:v>4321.333333333333</c:v>
                </c:pt>
                <c:pt idx="4">
                  <c:v>4381.333333333333</c:v>
                </c:pt>
                <c:pt idx="5">
                  <c:v>4707</c:v>
                </c:pt>
                <c:pt idx="6">
                  <c:v>4711.25</c:v>
                </c:pt>
                <c:pt idx="7">
                  <c:v>4908.4285714285716</c:v>
                </c:pt>
                <c:pt idx="8">
                  <c:v>5131</c:v>
                </c:pt>
                <c:pt idx="9">
                  <c:v>5139.2941176470586</c:v>
                </c:pt>
              </c:numCache>
            </c:numRef>
          </c:val>
          <c:extLst>
            <c:ext xmlns:c16="http://schemas.microsoft.com/office/drawing/2014/chart" uri="{C3380CC4-5D6E-409C-BE32-E72D297353CC}">
              <c16:uniqueId val="{00000001-DA52-4C70-A203-637DB398494C}"/>
            </c:ext>
          </c:extLst>
        </c:ser>
        <c:dLbls>
          <c:dLblPos val="outEnd"/>
          <c:showLegendKey val="0"/>
          <c:showVal val="1"/>
          <c:showCatName val="0"/>
          <c:showSerName val="0"/>
          <c:showPercent val="0"/>
          <c:showBubbleSize val="0"/>
        </c:dLbls>
        <c:gapWidth val="444"/>
        <c:overlap val="-90"/>
        <c:axId val="497167167"/>
        <c:axId val="497173887"/>
      </c:barChart>
      <c:catAx>
        <c:axId val="497167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97173887"/>
        <c:crosses val="autoZero"/>
        <c:auto val="1"/>
        <c:lblAlgn val="ctr"/>
        <c:lblOffset val="100"/>
        <c:noMultiLvlLbl val="0"/>
      </c:catAx>
      <c:valAx>
        <c:axId val="497173887"/>
        <c:scaling>
          <c:orientation val="minMax"/>
        </c:scaling>
        <c:delete val="1"/>
        <c:axPos val="l"/>
        <c:numFmt formatCode="&quot;$&quot;#,##0" sourceLinked="1"/>
        <c:majorTickMark val="none"/>
        <c:minorTickMark val="none"/>
        <c:tickLblPos val="nextTo"/>
        <c:crossAx val="49716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UPLOAD.xlsx]Data!3br_asking_vs_effective</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5722"/>
                </a:solidFill>
              </a:rPr>
              <a:t>3BR</a:t>
            </a:r>
          </a:p>
          <a:p>
            <a:pPr>
              <a:defRPr/>
            </a:pPr>
            <a:r>
              <a:rPr lang="en-US" sz="1200">
                <a:solidFill>
                  <a:srgbClr val="FF5722"/>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5722"/>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86248331108143E-2"/>
          <c:y val="0.42046369203849521"/>
          <c:w val="0.97062750333778369"/>
          <c:h val="0.43552384076990375"/>
        </c:manualLayout>
      </c:layout>
      <c:barChart>
        <c:barDir val="col"/>
        <c:grouping val="clustered"/>
        <c:varyColors val="0"/>
        <c:ser>
          <c:idx val="0"/>
          <c:order val="0"/>
          <c:tx>
            <c:strRef>
              <c:f>Data!$V$3</c:f>
              <c:strCache>
                <c:ptCount val="1"/>
                <c:pt idx="0">
                  <c:v>Asking</c:v>
                </c:pt>
              </c:strCache>
            </c:strRef>
          </c:tx>
          <c:spPr>
            <a:solidFill>
              <a:srgbClr val="FF5722"/>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Data!$U$4:$U$8</c:f>
              <c:strCache>
                <c:ptCount val="4"/>
                <c:pt idx="0">
                  <c:v>Coast at Lakeshore East</c:v>
                </c:pt>
                <c:pt idx="1">
                  <c:v>Optima Signature</c:v>
                </c:pt>
                <c:pt idx="2">
                  <c:v>Wolf Point West</c:v>
                </c:pt>
                <c:pt idx="3">
                  <c:v>OneEleven</c:v>
                </c:pt>
              </c:strCache>
            </c:strRef>
          </c:cat>
          <c:val>
            <c:numRef>
              <c:f>Data!$V$4:$V$8</c:f>
              <c:numCache>
                <c:formatCode>"$"#,##0</c:formatCode>
                <c:ptCount val="4"/>
                <c:pt idx="0">
                  <c:v>6418.5</c:v>
                </c:pt>
                <c:pt idx="1">
                  <c:v>6740.8888888888887</c:v>
                </c:pt>
                <c:pt idx="2">
                  <c:v>7142</c:v>
                </c:pt>
                <c:pt idx="3">
                  <c:v>8282.75</c:v>
                </c:pt>
              </c:numCache>
            </c:numRef>
          </c:val>
          <c:extLst>
            <c:ext xmlns:c16="http://schemas.microsoft.com/office/drawing/2014/chart" uri="{C3380CC4-5D6E-409C-BE32-E72D297353CC}">
              <c16:uniqueId val="{00000000-7690-4797-A828-1ABDEF6B456E}"/>
            </c:ext>
          </c:extLst>
        </c:ser>
        <c:ser>
          <c:idx val="1"/>
          <c:order val="1"/>
          <c:tx>
            <c:strRef>
              <c:f>Data!$W$3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Data!$U$4:$U$8</c:f>
              <c:strCache>
                <c:ptCount val="4"/>
                <c:pt idx="0">
                  <c:v>Coast at Lakeshore East</c:v>
                </c:pt>
                <c:pt idx="1">
                  <c:v>Optima Signature</c:v>
                </c:pt>
                <c:pt idx="2">
                  <c:v>Wolf Point West</c:v>
                </c:pt>
                <c:pt idx="3">
                  <c:v>OneEleven</c:v>
                </c:pt>
              </c:strCache>
            </c:strRef>
          </c:cat>
          <c:val>
            <c:numRef>
              <c:f>Data!$W$4:$W$8</c:f>
              <c:numCache>
                <c:formatCode>"$"#,##0</c:formatCode>
                <c:ptCount val="4"/>
                <c:pt idx="0">
                  <c:v>6418.5</c:v>
                </c:pt>
                <c:pt idx="1">
                  <c:v>6740.8888888888887</c:v>
                </c:pt>
                <c:pt idx="2">
                  <c:v>7142</c:v>
                </c:pt>
                <c:pt idx="3">
                  <c:v>8047</c:v>
                </c:pt>
              </c:numCache>
            </c:numRef>
          </c:val>
          <c:extLst>
            <c:ext xmlns:c16="http://schemas.microsoft.com/office/drawing/2014/chart" uri="{C3380CC4-5D6E-409C-BE32-E72D297353CC}">
              <c16:uniqueId val="{00000001-7690-4797-A828-1ABDEF6B456E}"/>
            </c:ext>
          </c:extLst>
        </c:ser>
        <c:dLbls>
          <c:dLblPos val="outEnd"/>
          <c:showLegendKey val="0"/>
          <c:showVal val="1"/>
          <c:showCatName val="0"/>
          <c:showSerName val="0"/>
          <c:showPercent val="0"/>
          <c:showBubbleSize val="0"/>
        </c:dLbls>
        <c:gapWidth val="444"/>
        <c:overlap val="-90"/>
        <c:axId val="350675056"/>
        <c:axId val="350690416"/>
      </c:barChart>
      <c:catAx>
        <c:axId val="35067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50690416"/>
        <c:crosses val="autoZero"/>
        <c:auto val="1"/>
        <c:lblAlgn val="ctr"/>
        <c:lblOffset val="100"/>
        <c:noMultiLvlLbl val="0"/>
      </c:catAx>
      <c:valAx>
        <c:axId val="350690416"/>
        <c:scaling>
          <c:orientation val="minMax"/>
        </c:scaling>
        <c:delete val="1"/>
        <c:axPos val="l"/>
        <c:numFmt formatCode="&quot;$&quot;#,##0" sourceLinked="1"/>
        <c:majorTickMark val="none"/>
        <c:minorTickMark val="none"/>
        <c:tickLblPos val="nextTo"/>
        <c:crossAx val="350675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UPLOAD.xlsx]Data!4br_asking_vs_effective</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07BCD4"/>
                </a:solidFill>
              </a:rPr>
              <a:t>4BR</a:t>
            </a:r>
          </a:p>
          <a:p>
            <a:pPr>
              <a:defRPr/>
            </a:pPr>
            <a:r>
              <a:rPr lang="en-US" sz="1200">
                <a:solidFill>
                  <a:srgbClr val="07BCD4"/>
                </a:solidFill>
              </a:rPr>
              <a:t>30-Day AVG Asking</a:t>
            </a:r>
            <a:r>
              <a:rPr lang="en-US" sz="1200" baseline="0">
                <a:solidFill>
                  <a:srgbClr val="07BCD4"/>
                </a:solidFill>
              </a:rPr>
              <a:t> vs Effective Rents</a:t>
            </a:r>
            <a:endParaRPr lang="en-US">
              <a:solidFill>
                <a:srgbClr val="07BCD4"/>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7BCD4"/>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85854781335007E-2"/>
          <c:y val="0.34136012521047937"/>
          <c:w val="0.97122829043732994"/>
          <c:h val="0.44785772695498488"/>
        </c:manualLayout>
      </c:layout>
      <c:barChart>
        <c:barDir val="col"/>
        <c:grouping val="clustered"/>
        <c:varyColors val="0"/>
        <c:ser>
          <c:idx val="0"/>
          <c:order val="0"/>
          <c:tx>
            <c:strRef>
              <c:f>Data!$Z$3</c:f>
              <c:strCache>
                <c:ptCount val="1"/>
                <c:pt idx="0">
                  <c:v>Asking</c:v>
                </c:pt>
              </c:strCache>
            </c:strRef>
          </c:tx>
          <c:spPr>
            <a:solidFill>
              <a:srgbClr val="07BCD4"/>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Data!$Y$4:$Y$8</c:f>
              <c:strCache>
                <c:ptCount val="4"/>
                <c:pt idx="0">
                  <c:v>The Gallery on Wells</c:v>
                </c:pt>
                <c:pt idx="1">
                  <c:v>OneEleven</c:v>
                </c:pt>
                <c:pt idx="2">
                  <c:v>AMLI River North</c:v>
                </c:pt>
                <c:pt idx="3">
                  <c:v>Hubbard Place</c:v>
                </c:pt>
              </c:strCache>
            </c:strRef>
          </c:cat>
          <c:val>
            <c:numRef>
              <c:f>Data!$Z$4:$Z$8</c:f>
              <c:numCache>
                <c:formatCode>"$"#,##0</c:formatCode>
                <c:ptCount val="4"/>
                <c:pt idx="0">
                  <c:v>4500</c:v>
                </c:pt>
                <c:pt idx="1">
                  <c:v>5000</c:v>
                </c:pt>
                <c:pt idx="2">
                  <c:v>6000</c:v>
                </c:pt>
                <c:pt idx="3">
                  <c:v>6500</c:v>
                </c:pt>
              </c:numCache>
            </c:numRef>
          </c:val>
          <c:extLst>
            <c:ext xmlns:c16="http://schemas.microsoft.com/office/drawing/2014/chart" uri="{C3380CC4-5D6E-409C-BE32-E72D297353CC}">
              <c16:uniqueId val="{00000000-C6BA-4016-8588-3DF7495B19D3}"/>
            </c:ext>
          </c:extLst>
        </c:ser>
        <c:ser>
          <c:idx val="1"/>
          <c:order val="1"/>
          <c:tx>
            <c:strRef>
              <c:f>Data!$AA$3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Data!$Y$4:$Y$8</c:f>
              <c:strCache>
                <c:ptCount val="4"/>
                <c:pt idx="0">
                  <c:v>The Gallery on Wells</c:v>
                </c:pt>
                <c:pt idx="1">
                  <c:v>OneEleven</c:v>
                </c:pt>
                <c:pt idx="2">
                  <c:v>AMLI River North</c:v>
                </c:pt>
                <c:pt idx="3">
                  <c:v>Hubbard Place</c:v>
                </c:pt>
              </c:strCache>
            </c:strRef>
          </c:cat>
          <c:val>
            <c:numRef>
              <c:f>Data!$AA$4:$AA$8</c:f>
              <c:numCache>
                <c:formatCode>"$"#,##0</c:formatCode>
                <c:ptCount val="4"/>
                <c:pt idx="0">
                  <c:v>4500</c:v>
                </c:pt>
                <c:pt idx="1">
                  <c:v>5000</c:v>
                </c:pt>
                <c:pt idx="2">
                  <c:v>6000</c:v>
                </c:pt>
                <c:pt idx="3">
                  <c:v>6500</c:v>
                </c:pt>
              </c:numCache>
            </c:numRef>
          </c:val>
          <c:extLst>
            <c:ext xmlns:c16="http://schemas.microsoft.com/office/drawing/2014/chart" uri="{C3380CC4-5D6E-409C-BE32-E72D297353CC}">
              <c16:uniqueId val="{00000001-C6BA-4016-8588-3DF7495B19D3}"/>
            </c:ext>
          </c:extLst>
        </c:ser>
        <c:dLbls>
          <c:dLblPos val="outEnd"/>
          <c:showLegendKey val="0"/>
          <c:showVal val="1"/>
          <c:showCatName val="0"/>
          <c:showSerName val="0"/>
          <c:showPercent val="0"/>
          <c:showBubbleSize val="0"/>
        </c:dLbls>
        <c:gapWidth val="444"/>
        <c:overlap val="-90"/>
        <c:axId val="488211952"/>
        <c:axId val="488218192"/>
      </c:barChart>
      <c:catAx>
        <c:axId val="48821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88218192"/>
        <c:crosses val="autoZero"/>
        <c:auto val="1"/>
        <c:lblAlgn val="ctr"/>
        <c:lblOffset val="100"/>
        <c:noMultiLvlLbl val="0"/>
      </c:catAx>
      <c:valAx>
        <c:axId val="488218192"/>
        <c:scaling>
          <c:orientation val="minMax"/>
        </c:scaling>
        <c:delete val="1"/>
        <c:axPos val="l"/>
        <c:numFmt formatCode="&quot;$&quot;#,##0" sourceLinked="1"/>
        <c:majorTickMark val="none"/>
        <c:minorTickMark val="none"/>
        <c:tickLblPos val="nextTo"/>
        <c:crossAx val="488211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UPLOAD.xlsx]Data!avg_days_on_mkt_by_property</c:name>
    <c:fmtId val="1"/>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Property</a:t>
            </a:r>
          </a:p>
          <a:p>
            <a:pPr>
              <a:defRPr sz="1200" b="1">
                <a:solidFill>
                  <a:srgbClr val="4438CA"/>
                </a:solidFill>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Data!$AN$3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Data!$AM$4:$AM$14</c:f>
              <c:strCache>
                <c:ptCount val="10"/>
                <c:pt idx="0">
                  <c:v>Coast at Lakeshore East</c:v>
                </c:pt>
                <c:pt idx="1">
                  <c:v>Wolf Point West</c:v>
                </c:pt>
                <c:pt idx="2">
                  <c:v>The Gallery on Wells</c:v>
                </c:pt>
                <c:pt idx="3">
                  <c:v>Millie on Michigan</c:v>
                </c:pt>
                <c:pt idx="4">
                  <c:v>Optima Signature</c:v>
                </c:pt>
                <c:pt idx="5">
                  <c:v>AMLI River North</c:v>
                </c:pt>
                <c:pt idx="6">
                  <c:v>Hubbard Place</c:v>
                </c:pt>
                <c:pt idx="7">
                  <c:v>OneEleven</c:v>
                </c:pt>
                <c:pt idx="8">
                  <c:v>Marquee at Block 37</c:v>
                </c:pt>
                <c:pt idx="9">
                  <c:v>MILA</c:v>
                </c:pt>
              </c:strCache>
            </c:strRef>
          </c:cat>
          <c:val>
            <c:numRef>
              <c:f>Data!$AN$4:$AN$14</c:f>
              <c:numCache>
                <c:formatCode>#,##0</c:formatCode>
                <c:ptCount val="10"/>
                <c:pt idx="0">
                  <c:v>44.978102189781019</c:v>
                </c:pt>
                <c:pt idx="1">
                  <c:v>49.86</c:v>
                </c:pt>
                <c:pt idx="2">
                  <c:v>60.217213114754095</c:v>
                </c:pt>
                <c:pt idx="3">
                  <c:v>62.592391304347828</c:v>
                </c:pt>
                <c:pt idx="4">
                  <c:v>63.372950819672134</c:v>
                </c:pt>
                <c:pt idx="5">
                  <c:v>64.858407079646014</c:v>
                </c:pt>
                <c:pt idx="6">
                  <c:v>65.224770642201833</c:v>
                </c:pt>
                <c:pt idx="7">
                  <c:v>66.937743190661479</c:v>
                </c:pt>
                <c:pt idx="8">
                  <c:v>67.412820512820517</c:v>
                </c:pt>
                <c:pt idx="9">
                  <c:v>75.036199095022624</c:v>
                </c:pt>
              </c:numCache>
            </c:numRef>
          </c:val>
          <c:extLst>
            <c:ext xmlns:c16="http://schemas.microsoft.com/office/drawing/2014/chart" uri="{C3380CC4-5D6E-409C-BE32-E72D297353CC}">
              <c16:uniqueId val="{00000000-C3D9-401B-A2D6-C7119E9E854F}"/>
            </c:ext>
          </c:extLst>
        </c:ser>
        <c:dLbls>
          <c:dLblPos val="outEnd"/>
          <c:showLegendKey val="0"/>
          <c:showVal val="1"/>
          <c:showCatName val="0"/>
          <c:showSerName val="0"/>
          <c:showPercent val="0"/>
          <c:showBubbleSize val="0"/>
        </c:dLbls>
        <c:gapWidth val="219"/>
        <c:overlap val="-27"/>
        <c:axId val="1710289888"/>
        <c:axId val="1710289408"/>
      </c:barChart>
      <c:catAx>
        <c:axId val="171028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10289408"/>
        <c:crosses val="autoZero"/>
        <c:auto val="1"/>
        <c:lblAlgn val="ctr"/>
        <c:lblOffset val="100"/>
        <c:noMultiLvlLbl val="0"/>
      </c:catAx>
      <c:valAx>
        <c:axId val="1710289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89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UPLOAD.xlsx]Data!avg_days_on_mkt_by_unit_type</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Unit Type</a:t>
            </a:r>
          </a:p>
          <a:p>
            <a:pPr>
              <a:defRPr sz="1200" b="1">
                <a:solidFill>
                  <a:srgbClr val="4438CA"/>
                </a:solidFill>
              </a:defRPr>
            </a:pPr>
            <a:r>
              <a:rPr lang="en-US" sz="1200" b="1">
                <a:solidFill>
                  <a:srgbClr val="4438CA"/>
                </a:solidFill>
              </a:rPr>
              <a:t>(closed listings)</a:t>
            </a:r>
          </a:p>
        </c:rich>
      </c:tx>
      <c:layout>
        <c:manualLayout>
          <c:xMode val="edge"/>
          <c:yMode val="edge"/>
          <c:x val="0.23826084498344086"/>
          <c:y val="7.24808628931611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Data!$AT$3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Data!$AS$4:$AS$9</c:f>
              <c:strCache>
                <c:ptCount val="5"/>
                <c:pt idx="0">
                  <c:v>4BR</c:v>
                </c:pt>
                <c:pt idx="1">
                  <c:v>1BR</c:v>
                </c:pt>
                <c:pt idx="2">
                  <c:v>Studio</c:v>
                </c:pt>
                <c:pt idx="3">
                  <c:v>2BR</c:v>
                </c:pt>
                <c:pt idx="4">
                  <c:v>3BR</c:v>
                </c:pt>
              </c:strCache>
            </c:strRef>
          </c:cat>
          <c:val>
            <c:numRef>
              <c:f>Data!$AT$4:$AT$9</c:f>
              <c:numCache>
                <c:formatCode>#,##0</c:formatCode>
                <c:ptCount val="5"/>
                <c:pt idx="0">
                  <c:v>24</c:v>
                </c:pt>
                <c:pt idx="1">
                  <c:v>57.252964426877469</c:v>
                </c:pt>
                <c:pt idx="2">
                  <c:v>59.969855832241151</c:v>
                </c:pt>
                <c:pt idx="3">
                  <c:v>75.271461716937353</c:v>
                </c:pt>
                <c:pt idx="4">
                  <c:v>100.93617021276596</c:v>
                </c:pt>
              </c:numCache>
            </c:numRef>
          </c:val>
          <c:extLst>
            <c:ext xmlns:c16="http://schemas.microsoft.com/office/drawing/2014/chart" uri="{C3380CC4-5D6E-409C-BE32-E72D297353CC}">
              <c16:uniqueId val="{00000000-07B6-4F5D-811F-B2BAC95F8192}"/>
            </c:ext>
          </c:extLst>
        </c:ser>
        <c:dLbls>
          <c:showLegendKey val="0"/>
          <c:showVal val="0"/>
          <c:showCatName val="0"/>
          <c:showSerName val="0"/>
          <c:showPercent val="0"/>
          <c:showBubbleSize val="0"/>
        </c:dLbls>
        <c:gapWidth val="182"/>
        <c:axId val="1348048880"/>
        <c:axId val="1348049840"/>
      </c:barChart>
      <c:catAx>
        <c:axId val="134804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9840"/>
        <c:crosses val="autoZero"/>
        <c:auto val="1"/>
        <c:lblAlgn val="ctr"/>
        <c:lblOffset val="100"/>
        <c:noMultiLvlLbl val="0"/>
      </c:catAx>
      <c:valAx>
        <c:axId val="13480498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UPLOAD.xlsx]Data!asking_vs_effective_closed_listings</c:name>
    <c:fmtId val="3"/>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vs Effective</a:t>
            </a:r>
            <a:r>
              <a:rPr lang="en-US" sz="1600" b="1" baseline="0">
                <a:solidFill>
                  <a:srgbClr val="4438CA"/>
                </a:solidFill>
              </a:rPr>
              <a:t> Rent by Property</a:t>
            </a:r>
          </a:p>
          <a:p>
            <a:pPr>
              <a:defRPr sz="1200" b="1">
                <a:solidFill>
                  <a:srgbClr val="4438CA"/>
                </a:solidFill>
              </a:defRPr>
            </a:pPr>
            <a:r>
              <a:rPr lang="en-US" sz="1100" b="1" baseline="0">
                <a:solidFill>
                  <a:srgbClr val="4438CA"/>
                </a:solidFill>
              </a:rPr>
              <a:t>(closed listings)</a:t>
            </a:r>
          </a:p>
        </c:rich>
      </c:tx>
      <c:layout>
        <c:manualLayout>
          <c:xMode val="edge"/>
          <c:yMode val="edge"/>
          <c:x val="0.34866324756357442"/>
          <c:y val="3.85797760247078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81213548292127E-2"/>
          <c:y val="0.25444131780255452"/>
          <c:w val="0.93266544940902718"/>
          <c:h val="0.47575813902847752"/>
        </c:manualLayout>
      </c:layout>
      <c:barChart>
        <c:barDir val="col"/>
        <c:grouping val="clustered"/>
        <c:varyColors val="0"/>
        <c:ser>
          <c:idx val="0"/>
          <c:order val="0"/>
          <c:tx>
            <c:strRef>
              <c:f>Data!$AW$5</c:f>
              <c:strCache>
                <c:ptCount val="1"/>
                <c:pt idx="0">
                  <c:v>Average of Asking Rent</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Data!$AV$6:$AV$16</c:f>
              <c:strCache>
                <c:ptCount val="10"/>
                <c:pt idx="0">
                  <c:v>The Gallery on Wells</c:v>
                </c:pt>
                <c:pt idx="1">
                  <c:v>Marquee at Block 37</c:v>
                </c:pt>
                <c:pt idx="2">
                  <c:v>MILA</c:v>
                </c:pt>
                <c:pt idx="3">
                  <c:v>Coast at Lakeshore East</c:v>
                </c:pt>
                <c:pt idx="4">
                  <c:v>Wolf Point West</c:v>
                </c:pt>
                <c:pt idx="5">
                  <c:v>Millie on Michigan</c:v>
                </c:pt>
                <c:pt idx="6">
                  <c:v>AMLI River North</c:v>
                </c:pt>
                <c:pt idx="7">
                  <c:v>Hubbard Place</c:v>
                </c:pt>
                <c:pt idx="8">
                  <c:v>OneEleven</c:v>
                </c:pt>
                <c:pt idx="9">
                  <c:v>Optima Signature</c:v>
                </c:pt>
              </c:strCache>
            </c:strRef>
          </c:cat>
          <c:val>
            <c:numRef>
              <c:f>Data!$AW$6:$AW$16</c:f>
              <c:numCache>
                <c:formatCode>"$"#,##0</c:formatCode>
                <c:ptCount val="10"/>
                <c:pt idx="0">
                  <c:v>2710.9926739926741</c:v>
                </c:pt>
                <c:pt idx="1">
                  <c:v>2816.8769931662869</c:v>
                </c:pt>
                <c:pt idx="2">
                  <c:v>2838.9959183673468</c:v>
                </c:pt>
                <c:pt idx="3">
                  <c:v>2865.33</c:v>
                </c:pt>
                <c:pt idx="4">
                  <c:v>2925.4779411764707</c:v>
                </c:pt>
                <c:pt idx="5">
                  <c:v>3055.6696832579187</c:v>
                </c:pt>
                <c:pt idx="6">
                  <c:v>3090.8149606299212</c:v>
                </c:pt>
                <c:pt idx="7">
                  <c:v>3123.9761904761904</c:v>
                </c:pt>
                <c:pt idx="8">
                  <c:v>3294.5035211267605</c:v>
                </c:pt>
                <c:pt idx="9">
                  <c:v>3935.3790849673201</c:v>
                </c:pt>
              </c:numCache>
            </c:numRef>
          </c:val>
          <c:extLst>
            <c:ext xmlns:c16="http://schemas.microsoft.com/office/drawing/2014/chart" uri="{C3380CC4-5D6E-409C-BE32-E72D297353CC}">
              <c16:uniqueId val="{00000000-58BC-4C14-8B4F-378C2DACF173}"/>
            </c:ext>
          </c:extLst>
        </c:ser>
        <c:ser>
          <c:idx val="1"/>
          <c:order val="1"/>
          <c:tx>
            <c:strRef>
              <c:f>Data!$AX$5</c:f>
              <c:strCache>
                <c:ptCount val="1"/>
                <c:pt idx="0">
                  <c:v>Average of Effective Rent</c:v>
                </c:pt>
              </c:strCache>
            </c:strRef>
          </c:tx>
          <c:spPr>
            <a:solidFill>
              <a:schemeClr val="accent5">
                <a:lumMod val="60000"/>
                <a:lumOff val="40000"/>
              </a:schemeClr>
            </a:solidFill>
            <a:ln>
              <a:noFill/>
            </a:ln>
            <a:effectLst/>
          </c:spPr>
          <c:invertIfNegative val="0"/>
          <c:dLbls>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Data!$AV$6:$AV$16</c:f>
              <c:strCache>
                <c:ptCount val="10"/>
                <c:pt idx="0">
                  <c:v>The Gallery on Wells</c:v>
                </c:pt>
                <c:pt idx="1">
                  <c:v>Marquee at Block 37</c:v>
                </c:pt>
                <c:pt idx="2">
                  <c:v>MILA</c:v>
                </c:pt>
                <c:pt idx="3">
                  <c:v>Coast at Lakeshore East</c:v>
                </c:pt>
                <c:pt idx="4">
                  <c:v>Wolf Point West</c:v>
                </c:pt>
                <c:pt idx="5">
                  <c:v>Millie on Michigan</c:v>
                </c:pt>
                <c:pt idx="6">
                  <c:v>AMLI River North</c:v>
                </c:pt>
                <c:pt idx="7">
                  <c:v>Hubbard Place</c:v>
                </c:pt>
                <c:pt idx="8">
                  <c:v>OneEleven</c:v>
                </c:pt>
                <c:pt idx="9">
                  <c:v>Optima Signature</c:v>
                </c:pt>
              </c:strCache>
            </c:strRef>
          </c:cat>
          <c:val>
            <c:numRef>
              <c:f>Data!$AX$6:$AX$16</c:f>
              <c:numCache>
                <c:formatCode>"$"#,##0</c:formatCode>
                <c:ptCount val="10"/>
                <c:pt idx="0">
                  <c:v>2696.8278388278386</c:v>
                </c:pt>
                <c:pt idx="1">
                  <c:v>2809.2369020501137</c:v>
                </c:pt>
                <c:pt idx="2">
                  <c:v>2785.5265306122451</c:v>
                </c:pt>
                <c:pt idx="3">
                  <c:v>2853.0533333333333</c:v>
                </c:pt>
                <c:pt idx="4">
                  <c:v>2907.8382352941176</c:v>
                </c:pt>
                <c:pt idx="5">
                  <c:v>3055.6696832579187</c:v>
                </c:pt>
                <c:pt idx="6">
                  <c:v>3090.8149606299212</c:v>
                </c:pt>
                <c:pt idx="7">
                  <c:v>3123.9761904761904</c:v>
                </c:pt>
                <c:pt idx="8">
                  <c:v>3137.2605633802818</c:v>
                </c:pt>
                <c:pt idx="9">
                  <c:v>3935.3790849673201</c:v>
                </c:pt>
              </c:numCache>
            </c:numRef>
          </c:val>
          <c:extLst>
            <c:ext xmlns:c16="http://schemas.microsoft.com/office/drawing/2014/chart" uri="{C3380CC4-5D6E-409C-BE32-E72D297353CC}">
              <c16:uniqueId val="{00000001-D18F-47D2-A677-32FB10552763}"/>
            </c:ext>
          </c:extLst>
        </c:ser>
        <c:dLbls>
          <c:dLblPos val="outEnd"/>
          <c:showLegendKey val="0"/>
          <c:showVal val="1"/>
          <c:showCatName val="0"/>
          <c:showSerName val="0"/>
          <c:showPercent val="0"/>
          <c:showBubbleSize val="0"/>
        </c:dLbls>
        <c:gapWidth val="219"/>
        <c:overlap val="-27"/>
        <c:axId val="316823520"/>
        <c:axId val="316822080"/>
      </c:barChart>
      <c:catAx>
        <c:axId val="31682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16822080"/>
        <c:crosses val="autoZero"/>
        <c:auto val="1"/>
        <c:lblAlgn val="ctr"/>
        <c:lblOffset val="100"/>
        <c:noMultiLvlLbl val="0"/>
      </c:catAx>
      <c:valAx>
        <c:axId val="31682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23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UPLOAD.xlsx]Data!active_listings_by_property</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Current Availabilities by Property</a:t>
            </a:r>
          </a:p>
        </c:rich>
      </c:tx>
      <c:layout>
        <c:manualLayout>
          <c:xMode val="edge"/>
          <c:yMode val="edge"/>
          <c:x val="0.2611288823272091"/>
          <c:y val="5.091810225016138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Data!$AQ$5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Data!$AP$6:$AP$16</c:f>
              <c:strCache>
                <c:ptCount val="10"/>
                <c:pt idx="0">
                  <c:v>Hubbard Place</c:v>
                </c:pt>
                <c:pt idx="1">
                  <c:v>AMLI River North</c:v>
                </c:pt>
                <c:pt idx="2">
                  <c:v>Coast at Lakeshore East</c:v>
                </c:pt>
                <c:pt idx="3">
                  <c:v>OneEleven</c:v>
                </c:pt>
                <c:pt idx="4">
                  <c:v>Marquee at Block 37</c:v>
                </c:pt>
                <c:pt idx="5">
                  <c:v>MILA</c:v>
                </c:pt>
                <c:pt idx="6">
                  <c:v>The Gallery on Wells</c:v>
                </c:pt>
                <c:pt idx="7">
                  <c:v>Millie on Michigan</c:v>
                </c:pt>
                <c:pt idx="8">
                  <c:v>Wolf Point West</c:v>
                </c:pt>
                <c:pt idx="9">
                  <c:v>Optima Signature</c:v>
                </c:pt>
              </c:strCache>
            </c:strRef>
          </c:cat>
          <c:val>
            <c:numRef>
              <c:f>Data!$AQ$6:$AQ$16</c:f>
              <c:numCache>
                <c:formatCode>#,##0</c:formatCode>
                <c:ptCount val="10"/>
                <c:pt idx="0">
                  <c:v>19</c:v>
                </c:pt>
                <c:pt idx="1">
                  <c:v>19</c:v>
                </c:pt>
                <c:pt idx="2">
                  <c:v>20</c:v>
                </c:pt>
                <c:pt idx="3">
                  <c:v>22</c:v>
                </c:pt>
                <c:pt idx="4">
                  <c:v>24</c:v>
                </c:pt>
                <c:pt idx="5">
                  <c:v>25</c:v>
                </c:pt>
                <c:pt idx="6">
                  <c:v>30</c:v>
                </c:pt>
                <c:pt idx="7">
                  <c:v>30</c:v>
                </c:pt>
                <c:pt idx="8">
                  <c:v>32</c:v>
                </c:pt>
                <c:pt idx="9">
                  <c:v>40</c:v>
                </c:pt>
              </c:numCache>
            </c:numRef>
          </c:val>
          <c:extLst>
            <c:ext xmlns:c16="http://schemas.microsoft.com/office/drawing/2014/chart" uri="{C3380CC4-5D6E-409C-BE32-E72D297353CC}">
              <c16:uniqueId val="{00000000-633B-4744-99BB-76E2E2CC763B}"/>
            </c:ext>
          </c:extLst>
        </c:ser>
        <c:dLbls>
          <c:showLegendKey val="0"/>
          <c:showVal val="0"/>
          <c:showCatName val="0"/>
          <c:showSerName val="0"/>
          <c:showPercent val="0"/>
          <c:showBubbleSize val="0"/>
        </c:dLbls>
        <c:gapWidth val="219"/>
        <c:overlap val="-27"/>
        <c:axId val="749386128"/>
        <c:axId val="749386608"/>
      </c:barChart>
      <c:catAx>
        <c:axId val="74938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49386608"/>
        <c:crosses val="autoZero"/>
        <c:auto val="1"/>
        <c:lblAlgn val="ctr"/>
        <c:lblOffset val="100"/>
        <c:noMultiLvlLbl val="0"/>
      </c:catAx>
      <c:valAx>
        <c:axId val="749386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386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UPLOAD.xlsx]Data!asking_vs_effective_psf_closed_listings</c:name>
    <c:fmtId val="6"/>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a:t>
            </a:r>
            <a:r>
              <a:rPr lang="en-US" sz="1600" b="1" baseline="0">
                <a:solidFill>
                  <a:srgbClr val="4438CA"/>
                </a:solidFill>
              </a:rPr>
              <a:t>PSF vs Effective PSF by Property</a:t>
            </a:r>
          </a:p>
          <a:p>
            <a:pPr>
              <a:defRPr sz="1200" b="1">
                <a:solidFill>
                  <a:srgbClr val="4438CA"/>
                </a:solidFill>
              </a:defRPr>
            </a:pPr>
            <a:r>
              <a:rPr lang="en-US" sz="1200" b="1" baseline="0">
                <a:solidFill>
                  <a:srgbClr val="4438CA"/>
                </a:solidFill>
              </a:rPr>
              <a:t>(closed listings)</a:t>
            </a:r>
          </a:p>
        </c:rich>
      </c:tx>
      <c:layout>
        <c:manualLayout>
          <c:xMode val="edge"/>
          <c:yMode val="edge"/>
          <c:x val="0.33031283139896039"/>
          <c:y val="2.221972003586060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31847057071473E-2"/>
          <c:y val="0.22824821932823014"/>
          <c:w val="0.9052131046151507"/>
          <c:h val="0.39638568334404389"/>
        </c:manualLayout>
      </c:layout>
      <c:barChart>
        <c:barDir val="col"/>
        <c:grouping val="clustered"/>
        <c:varyColors val="0"/>
        <c:ser>
          <c:idx val="0"/>
          <c:order val="0"/>
          <c:tx>
            <c:strRef>
              <c:f>Data!$BE$5</c:f>
              <c:strCache>
                <c:ptCount val="1"/>
                <c:pt idx="0">
                  <c:v>Average of Asking PSF</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Data!$BD$6:$BD$16</c:f>
              <c:strCache>
                <c:ptCount val="10"/>
                <c:pt idx="0">
                  <c:v>Marquee at Block 37</c:v>
                </c:pt>
                <c:pt idx="1">
                  <c:v>AMLI River North</c:v>
                </c:pt>
                <c:pt idx="2">
                  <c:v>The Gallery on Wells</c:v>
                </c:pt>
                <c:pt idx="3">
                  <c:v>MILA</c:v>
                </c:pt>
                <c:pt idx="4">
                  <c:v>Coast at Lakeshore East</c:v>
                </c:pt>
                <c:pt idx="5">
                  <c:v>Hubbard Place</c:v>
                </c:pt>
                <c:pt idx="6">
                  <c:v>Wolf Point West</c:v>
                </c:pt>
                <c:pt idx="7">
                  <c:v>OneEleven</c:v>
                </c:pt>
                <c:pt idx="8">
                  <c:v>Optima Signature</c:v>
                </c:pt>
                <c:pt idx="9">
                  <c:v>Millie on Michigan</c:v>
                </c:pt>
              </c:strCache>
            </c:strRef>
          </c:cat>
          <c:val>
            <c:numRef>
              <c:f>Data!$BE$6:$BE$16</c:f>
              <c:numCache>
                <c:formatCode>"$"#,##0.00</c:formatCode>
                <c:ptCount val="10"/>
                <c:pt idx="0">
                  <c:v>3.3222573831034938</c:v>
                </c:pt>
                <c:pt idx="1">
                  <c:v>3.7099560922911055</c:v>
                </c:pt>
                <c:pt idx="2">
                  <c:v>3.7252741296502574</c:v>
                </c:pt>
                <c:pt idx="3">
                  <c:v>3.7255386746790244</c:v>
                </c:pt>
                <c:pt idx="4">
                  <c:v>3.7261171899673036</c:v>
                </c:pt>
                <c:pt idx="5">
                  <c:v>3.8979072356895768</c:v>
                </c:pt>
                <c:pt idx="6">
                  <c:v>3.9555599861764064</c:v>
                </c:pt>
                <c:pt idx="7">
                  <c:v>4.0417362214263619</c:v>
                </c:pt>
                <c:pt idx="8">
                  <c:v>4.0600766257074774</c:v>
                </c:pt>
                <c:pt idx="9">
                  <c:v>4.1848210575312406</c:v>
                </c:pt>
              </c:numCache>
            </c:numRef>
          </c:val>
          <c:extLst>
            <c:ext xmlns:c16="http://schemas.microsoft.com/office/drawing/2014/chart" uri="{C3380CC4-5D6E-409C-BE32-E72D297353CC}">
              <c16:uniqueId val="{00000000-3132-4BE0-A120-7993712CA30C}"/>
            </c:ext>
          </c:extLst>
        </c:ser>
        <c:ser>
          <c:idx val="1"/>
          <c:order val="1"/>
          <c:tx>
            <c:strRef>
              <c:f>Data!$BF$5</c:f>
              <c:strCache>
                <c:ptCount val="1"/>
                <c:pt idx="0">
                  <c:v>Average of Effective PSF</c:v>
                </c:pt>
              </c:strCache>
            </c:strRef>
          </c:tx>
          <c:spPr>
            <a:solidFill>
              <a:schemeClr val="accent5">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Data!$BD$6:$BD$16</c:f>
              <c:strCache>
                <c:ptCount val="10"/>
                <c:pt idx="0">
                  <c:v>Marquee at Block 37</c:v>
                </c:pt>
                <c:pt idx="1">
                  <c:v>AMLI River North</c:v>
                </c:pt>
                <c:pt idx="2">
                  <c:v>The Gallery on Wells</c:v>
                </c:pt>
                <c:pt idx="3">
                  <c:v>MILA</c:v>
                </c:pt>
                <c:pt idx="4">
                  <c:v>Coast at Lakeshore East</c:v>
                </c:pt>
                <c:pt idx="5">
                  <c:v>Hubbard Place</c:v>
                </c:pt>
                <c:pt idx="6">
                  <c:v>Wolf Point West</c:v>
                </c:pt>
                <c:pt idx="7">
                  <c:v>OneEleven</c:v>
                </c:pt>
                <c:pt idx="8">
                  <c:v>Optima Signature</c:v>
                </c:pt>
                <c:pt idx="9">
                  <c:v>Millie on Michigan</c:v>
                </c:pt>
              </c:strCache>
            </c:strRef>
          </c:cat>
          <c:val>
            <c:numRef>
              <c:f>Data!$BF$6:$BF$16</c:f>
              <c:numCache>
                <c:formatCode>"$"#,##0.00</c:formatCode>
                <c:ptCount val="10"/>
                <c:pt idx="0">
                  <c:v>3.3129139135082162</c:v>
                </c:pt>
                <c:pt idx="1">
                  <c:v>3.7099560922911055</c:v>
                </c:pt>
                <c:pt idx="2">
                  <c:v>3.7052743634146754</c:v>
                </c:pt>
                <c:pt idx="3">
                  <c:v>3.6616086592732056</c:v>
                </c:pt>
                <c:pt idx="4">
                  <c:v>3.7109454135077535</c:v>
                </c:pt>
                <c:pt idx="5">
                  <c:v>3.8979072356895768</c:v>
                </c:pt>
                <c:pt idx="6">
                  <c:v>3.9317137618763129</c:v>
                </c:pt>
                <c:pt idx="7">
                  <c:v>3.8515980450894753</c:v>
                </c:pt>
                <c:pt idx="8">
                  <c:v>4.0600766257074774</c:v>
                </c:pt>
                <c:pt idx="9">
                  <c:v>4.1848210575312406</c:v>
                </c:pt>
              </c:numCache>
            </c:numRef>
          </c:val>
          <c:extLst>
            <c:ext xmlns:c16="http://schemas.microsoft.com/office/drawing/2014/chart" uri="{C3380CC4-5D6E-409C-BE32-E72D297353CC}">
              <c16:uniqueId val="{00000000-C866-4E59-9A3E-2B43AD3C305E}"/>
            </c:ext>
          </c:extLst>
        </c:ser>
        <c:dLbls>
          <c:dLblPos val="outEnd"/>
          <c:showLegendKey val="0"/>
          <c:showVal val="1"/>
          <c:showCatName val="0"/>
          <c:showSerName val="0"/>
          <c:showPercent val="0"/>
          <c:showBubbleSize val="0"/>
        </c:dLbls>
        <c:gapWidth val="219"/>
        <c:overlap val="-27"/>
        <c:axId val="306022704"/>
        <c:axId val="306017424"/>
      </c:barChart>
      <c:catAx>
        <c:axId val="30602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06017424"/>
        <c:crosses val="autoZero"/>
        <c:auto val="1"/>
        <c:lblAlgn val="ctr"/>
        <c:lblOffset val="100"/>
        <c:noMultiLvlLbl val="0"/>
      </c:catAx>
      <c:valAx>
        <c:axId val="306017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2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UPLOAD.xlsx]Data!concessions_as_percent_of_asking_rent_by_property</c:name>
    <c:fmtId val="7"/>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a:t>
            </a:r>
            <a:r>
              <a:rPr lang="en-US" sz="1200" b="1" baseline="0">
                <a:solidFill>
                  <a:srgbClr val="4438CA"/>
                </a:solidFill>
              </a:rPr>
              <a:t> Concessions (% of asking rent)</a:t>
            </a:r>
            <a:endParaRPr lang="en-US" sz="1200" b="1">
              <a:solidFill>
                <a:srgbClr val="4438CA"/>
              </a:solidFill>
            </a:endParaRPr>
          </a:p>
        </c:rich>
      </c:tx>
      <c:layout>
        <c:manualLayout>
          <c:xMode val="edge"/>
          <c:yMode val="edge"/>
          <c:x val="0.22764190515953522"/>
          <c:y val="4.488912175267784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4371238351938"/>
          <c:y val="0.2773758564201973"/>
          <c:w val="0.83160114531810669"/>
          <c:h val="0.40822003499562565"/>
        </c:manualLayout>
      </c:layout>
      <c:barChart>
        <c:barDir val="col"/>
        <c:grouping val="clustered"/>
        <c:varyColors val="0"/>
        <c:ser>
          <c:idx val="0"/>
          <c:order val="0"/>
          <c:tx>
            <c:strRef>
              <c:f>Data!$BM$5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Data!$BL$6:$BL$12</c:f>
              <c:strCache>
                <c:ptCount val="6"/>
                <c:pt idx="0">
                  <c:v>Marquee at Block 37</c:v>
                </c:pt>
                <c:pt idx="1">
                  <c:v>Coast at Lakeshore East</c:v>
                </c:pt>
                <c:pt idx="2">
                  <c:v>The Gallery on Wells</c:v>
                </c:pt>
                <c:pt idx="3">
                  <c:v>Wolf Point West</c:v>
                </c:pt>
                <c:pt idx="4">
                  <c:v>MILA</c:v>
                </c:pt>
                <c:pt idx="5">
                  <c:v>OneEleven</c:v>
                </c:pt>
              </c:strCache>
            </c:strRef>
          </c:cat>
          <c:val>
            <c:numRef>
              <c:f>Data!$BM$6:$BM$12</c:f>
              <c:numCache>
                <c:formatCode>0.00%</c:formatCode>
                <c:ptCount val="6"/>
                <c:pt idx="0">
                  <c:v>2.7122558545182836E-3</c:v>
                </c:pt>
                <c:pt idx="1">
                  <c:v>4.2845559382921573E-3</c:v>
                </c:pt>
                <c:pt idx="2">
                  <c:v>5.2249625388967186E-3</c:v>
                </c:pt>
                <c:pt idx="3">
                  <c:v>6.0296834353361067E-3</c:v>
                </c:pt>
                <c:pt idx="4">
                  <c:v>1.8833907935257362E-2</c:v>
                </c:pt>
                <c:pt idx="5">
                  <c:v>4.7728878338760994E-2</c:v>
                </c:pt>
              </c:numCache>
            </c:numRef>
          </c:val>
          <c:extLst>
            <c:ext xmlns:c16="http://schemas.microsoft.com/office/drawing/2014/chart" uri="{C3380CC4-5D6E-409C-BE32-E72D297353CC}">
              <c16:uniqueId val="{00000002-B241-4B44-9ADA-3E2B345C56EC}"/>
            </c:ext>
          </c:extLst>
        </c:ser>
        <c:dLbls>
          <c:showLegendKey val="0"/>
          <c:showVal val="0"/>
          <c:showCatName val="0"/>
          <c:showSerName val="0"/>
          <c:showPercent val="0"/>
          <c:showBubbleSize val="0"/>
        </c:dLbls>
        <c:gapWidth val="219"/>
        <c:overlap val="-27"/>
        <c:axId val="403875920"/>
        <c:axId val="1260159328"/>
      </c:barChart>
      <c:catAx>
        <c:axId val="40387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60159328"/>
        <c:crosses val="autoZero"/>
        <c:auto val="1"/>
        <c:lblAlgn val="ctr"/>
        <c:lblOffset val="100"/>
        <c:noMultiLvlLbl val="0"/>
      </c:catAx>
      <c:valAx>
        <c:axId val="1260159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7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UPLOAD.xlsx]Data!concessions_as_percent_of_asking_rent_by_unit_type</c:name>
    <c:fmtId val="8"/>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Concessions by Unit Type (% of asking</a:t>
            </a:r>
            <a:r>
              <a:rPr lang="en-US" sz="1200" b="1" baseline="0">
                <a:solidFill>
                  <a:srgbClr val="4438CA"/>
                </a:solidFill>
              </a:rPr>
              <a:t> rent)</a:t>
            </a:r>
            <a:endParaRPr lang="en-US" sz="1200" b="1">
              <a:solidFill>
                <a:srgbClr val="4438CA"/>
              </a:solidFill>
            </a:endParaRPr>
          </a:p>
        </c:rich>
      </c:tx>
      <c:layout>
        <c:manualLayout>
          <c:xMode val="edge"/>
          <c:yMode val="edge"/>
          <c:x val="0.13437950537872906"/>
          <c:y val="4.699021904171801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73776975794692"/>
          <c:y val="0.24970423920962503"/>
          <c:w val="0.86043352653834937"/>
          <c:h val="0.62917469547277471"/>
        </c:manualLayout>
      </c:layout>
      <c:barChart>
        <c:barDir val="col"/>
        <c:grouping val="clustered"/>
        <c:varyColors val="0"/>
        <c:ser>
          <c:idx val="0"/>
          <c:order val="0"/>
          <c:tx>
            <c:strRef>
              <c:f>Data!$BP$5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Data!$BO$6:$BO$11</c:f>
              <c:strCache>
                <c:ptCount val="5"/>
                <c:pt idx="0">
                  <c:v>4BR</c:v>
                </c:pt>
                <c:pt idx="1">
                  <c:v>Studio</c:v>
                </c:pt>
                <c:pt idx="2">
                  <c:v>2BR</c:v>
                </c:pt>
                <c:pt idx="3">
                  <c:v>1BR</c:v>
                </c:pt>
                <c:pt idx="4">
                  <c:v>3BR</c:v>
                </c:pt>
              </c:strCache>
            </c:strRef>
          </c:cat>
          <c:val>
            <c:numRef>
              <c:f>Data!$BP$6:$BP$11</c:f>
              <c:numCache>
                <c:formatCode>0.00%</c:formatCode>
                <c:ptCount val="5"/>
                <c:pt idx="0">
                  <c:v>5.1686615886833518E-3</c:v>
                </c:pt>
                <c:pt idx="1">
                  <c:v>6.8639351056900945E-3</c:v>
                </c:pt>
                <c:pt idx="2">
                  <c:v>7.6605002339428518E-3</c:v>
                </c:pt>
                <c:pt idx="3">
                  <c:v>8.9485721465590948E-3</c:v>
                </c:pt>
                <c:pt idx="4">
                  <c:v>1.4956701041098863E-2</c:v>
                </c:pt>
              </c:numCache>
            </c:numRef>
          </c:val>
          <c:extLst>
            <c:ext xmlns:c16="http://schemas.microsoft.com/office/drawing/2014/chart" uri="{C3380CC4-5D6E-409C-BE32-E72D297353CC}">
              <c16:uniqueId val="{00000000-4934-4FFA-8996-B558DCB9744D}"/>
            </c:ext>
          </c:extLst>
        </c:ser>
        <c:dLbls>
          <c:dLblPos val="outEnd"/>
          <c:showLegendKey val="0"/>
          <c:showVal val="1"/>
          <c:showCatName val="0"/>
          <c:showSerName val="0"/>
          <c:showPercent val="0"/>
          <c:showBubbleSize val="0"/>
        </c:dLbls>
        <c:gapWidth val="219"/>
        <c:overlap val="-27"/>
        <c:axId val="322934032"/>
        <c:axId val="322943632"/>
      </c:barChart>
      <c:catAx>
        <c:axId val="32293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43632"/>
        <c:crosses val="autoZero"/>
        <c:auto val="1"/>
        <c:lblAlgn val="ctr"/>
        <c:lblOffset val="100"/>
        <c:noMultiLvlLbl val="0"/>
      </c:catAx>
      <c:valAx>
        <c:axId val="322943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3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UPLOAD.xlsx]Data!asking_rent_by_unit_type_by_month</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438CA"/>
                </a:solidFill>
              </a:rPr>
              <a:t>Average Rent by Unit Type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rgbClr val="07BCD4"/>
            </a:solidFill>
            <a:round/>
          </a:ln>
          <a:effectLst/>
        </c:spPr>
        <c:marker>
          <c:symbol val="circle"/>
          <c:size val="5"/>
          <c:spPr>
            <a:solidFill>
              <a:srgbClr val="07BCD4"/>
            </a:solidFill>
            <a:ln w="9525">
              <a:solidFill>
                <a:srgbClr val="07BCD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tx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rgbClr val="2196F3"/>
            </a:solidFill>
            <a:round/>
          </a:ln>
          <a:effectLst/>
        </c:spPr>
        <c:marker>
          <c:symbol val="circle"/>
          <c:size val="5"/>
          <c:spPr>
            <a:solidFill>
              <a:srgbClr val="2196F3"/>
            </a:solidFill>
            <a:ln w="9525">
              <a:solidFill>
                <a:srgbClr val="2196F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rgbClr val="4CAF50"/>
            </a:solidFill>
            <a:round/>
          </a:ln>
          <a:effectLst/>
        </c:spPr>
        <c:marker>
          <c:symbol val="circle"/>
          <c:size val="5"/>
          <c:spPr>
            <a:solidFill>
              <a:srgbClr val="4CAF50"/>
            </a:solidFill>
            <a:ln w="9525">
              <a:solidFill>
                <a:srgbClr val="4CAF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rgbClr val="FFC107"/>
            </a:solidFill>
            <a:round/>
          </a:ln>
          <a:effectLst/>
        </c:spPr>
        <c:marker>
          <c:symbol val="circle"/>
          <c:size val="5"/>
          <c:spPr>
            <a:solidFill>
              <a:srgbClr val="FFC107"/>
            </a:solidFill>
            <a:ln w="9525">
              <a:solidFill>
                <a:srgbClr val="FFC10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rgbClr val="FF5722"/>
            </a:solidFill>
            <a:round/>
          </a:ln>
          <a:effectLst/>
        </c:spPr>
        <c:marker>
          <c:symbol val="circle"/>
          <c:size val="5"/>
          <c:spPr>
            <a:solidFill>
              <a:srgbClr val="FF5722"/>
            </a:solidFill>
            <a:ln w="9525">
              <a:solidFill>
                <a:srgbClr val="FF572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Data!$CC$3:$CC$4</c:f>
              <c:strCache>
                <c:ptCount val="1"/>
                <c:pt idx="0">
                  <c:v>0</c:v>
                </c:pt>
              </c:strCache>
            </c:strRef>
          </c:tx>
          <c:spPr>
            <a:ln w="28575" cap="rnd">
              <a:solidFill>
                <a:srgbClr val="2196F3"/>
              </a:solidFill>
              <a:round/>
            </a:ln>
            <a:effectLst/>
          </c:spPr>
          <c:marker>
            <c:symbol val="circle"/>
            <c:size val="5"/>
            <c:spPr>
              <a:solidFill>
                <a:srgbClr val="2196F3"/>
              </a:solidFill>
              <a:ln w="9525">
                <a:solidFill>
                  <a:srgbClr val="2196F3"/>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Data!$CC$5:$CC$36</c:f>
              <c:numCache>
                <c:formatCode>"$"#,##0</c:formatCode>
                <c:ptCount val="28"/>
                <c:pt idx="0">
                  <c:v>2274.4482758620688</c:v>
                </c:pt>
                <c:pt idx="1">
                  <c:v>2390.5454545454545</c:v>
                </c:pt>
                <c:pt idx="2">
                  <c:v>2259.25</c:v>
                </c:pt>
                <c:pt idx="3">
                  <c:v>2331.2857142857142</c:v>
                </c:pt>
                <c:pt idx="4">
                  <c:v>2424.1</c:v>
                </c:pt>
                <c:pt idx="5">
                  <c:v>2214.1538461538462</c:v>
                </c:pt>
                <c:pt idx="6">
                  <c:v>2178.909090909091</c:v>
                </c:pt>
                <c:pt idx="7">
                  <c:v>2224</c:v>
                </c:pt>
                <c:pt idx="8">
                  <c:v>2284.6923076923076</c:v>
                </c:pt>
                <c:pt idx="9">
                  <c:v>2277.6097560975609</c:v>
                </c:pt>
                <c:pt idx="10">
                  <c:v>2293.1020408163267</c:v>
                </c:pt>
                <c:pt idx="11">
                  <c:v>2394.7377049180327</c:v>
                </c:pt>
                <c:pt idx="12">
                  <c:v>2375.5151515151515</c:v>
                </c:pt>
                <c:pt idx="13">
                  <c:v>2376.12</c:v>
                </c:pt>
                <c:pt idx="14">
                  <c:v>2264.5135135135133</c:v>
                </c:pt>
                <c:pt idx="15">
                  <c:v>2242.0277777777778</c:v>
                </c:pt>
                <c:pt idx="16">
                  <c:v>2148.5490196078431</c:v>
                </c:pt>
                <c:pt idx="17">
                  <c:v>2247.8070175438597</c:v>
                </c:pt>
                <c:pt idx="18">
                  <c:v>2286.2391304347825</c:v>
                </c:pt>
                <c:pt idx="19">
                  <c:v>2326.7435897435898</c:v>
                </c:pt>
                <c:pt idx="20">
                  <c:v>2307.5</c:v>
                </c:pt>
                <c:pt idx="21">
                  <c:v>1986</c:v>
                </c:pt>
                <c:pt idx="22">
                  <c:v>2296.3333333333335</c:v>
                </c:pt>
                <c:pt idx="23">
                  <c:v>2166</c:v>
                </c:pt>
                <c:pt idx="24">
                  <c:v>2303.6</c:v>
                </c:pt>
                <c:pt idx="25">
                  <c:v>2346</c:v>
                </c:pt>
                <c:pt idx="26">
                  <c:v>2132</c:v>
                </c:pt>
                <c:pt idx="27">
                  <c:v>2347.5</c:v>
                </c:pt>
              </c:numCache>
            </c:numRef>
          </c:val>
          <c:smooth val="0"/>
          <c:extLst>
            <c:ext xmlns:c16="http://schemas.microsoft.com/office/drawing/2014/chart" uri="{C3380CC4-5D6E-409C-BE32-E72D297353CC}">
              <c16:uniqueId val="{00000000-7FE2-44B2-BF07-04D2637D0269}"/>
            </c:ext>
          </c:extLst>
        </c:ser>
        <c:ser>
          <c:idx val="1"/>
          <c:order val="1"/>
          <c:tx>
            <c:strRef>
              <c:f>Data!$CD$3:$CD$4</c:f>
              <c:strCache>
                <c:ptCount val="1"/>
                <c:pt idx="0">
                  <c:v>1</c:v>
                </c:pt>
              </c:strCache>
            </c:strRef>
          </c:tx>
          <c:spPr>
            <a:ln w="28575" cap="rnd">
              <a:solidFill>
                <a:srgbClr val="4CAF50"/>
              </a:solidFill>
              <a:round/>
            </a:ln>
            <a:effectLst/>
          </c:spPr>
          <c:marker>
            <c:symbol val="circle"/>
            <c:size val="5"/>
            <c:spPr>
              <a:solidFill>
                <a:srgbClr val="4CAF50"/>
              </a:solidFill>
              <a:ln w="9525">
                <a:solidFill>
                  <a:srgbClr val="4CAF50"/>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Data!$CD$5:$CD$36</c:f>
              <c:numCache>
                <c:formatCode>"$"#,##0</c:formatCode>
                <c:ptCount val="28"/>
                <c:pt idx="0">
                  <c:v>2985.0344827586205</c:v>
                </c:pt>
                <c:pt idx="1">
                  <c:v>3035.9268292682927</c:v>
                </c:pt>
                <c:pt idx="2">
                  <c:v>2920.1</c:v>
                </c:pt>
                <c:pt idx="3">
                  <c:v>2791.9615384615386</c:v>
                </c:pt>
                <c:pt idx="4">
                  <c:v>2849.0333333333333</c:v>
                </c:pt>
                <c:pt idx="5">
                  <c:v>2919</c:v>
                </c:pt>
                <c:pt idx="6">
                  <c:v>2930.7619047619046</c:v>
                </c:pt>
                <c:pt idx="7">
                  <c:v>2910.0749999999998</c:v>
                </c:pt>
                <c:pt idx="8">
                  <c:v>2852.8955223880598</c:v>
                </c:pt>
                <c:pt idx="9">
                  <c:v>3054.4406779661017</c:v>
                </c:pt>
                <c:pt idx="10">
                  <c:v>2937.1127819548874</c:v>
                </c:pt>
                <c:pt idx="11">
                  <c:v>3118.7105263157896</c:v>
                </c:pt>
                <c:pt idx="12">
                  <c:v>2937.1842105263158</c:v>
                </c:pt>
                <c:pt idx="13">
                  <c:v>2901.4603174603176</c:v>
                </c:pt>
                <c:pt idx="14">
                  <c:v>2775.5238095238096</c:v>
                </c:pt>
                <c:pt idx="15">
                  <c:v>2826.6393442622953</c:v>
                </c:pt>
                <c:pt idx="16">
                  <c:v>2753.1971830985917</c:v>
                </c:pt>
                <c:pt idx="17">
                  <c:v>2843.8571428571427</c:v>
                </c:pt>
                <c:pt idx="18">
                  <c:v>3010.9253731343283</c:v>
                </c:pt>
                <c:pt idx="19">
                  <c:v>3132.2571428571428</c:v>
                </c:pt>
                <c:pt idx="22">
                  <c:v>3325</c:v>
                </c:pt>
                <c:pt idx="23">
                  <c:v>2269</c:v>
                </c:pt>
                <c:pt idx="24">
                  <c:v>3169.5</c:v>
                </c:pt>
                <c:pt idx="26">
                  <c:v>2865</c:v>
                </c:pt>
                <c:pt idx="27">
                  <c:v>2815.6666666666665</c:v>
                </c:pt>
              </c:numCache>
            </c:numRef>
          </c:val>
          <c:smooth val="0"/>
          <c:extLst>
            <c:ext xmlns:c16="http://schemas.microsoft.com/office/drawing/2014/chart" uri="{C3380CC4-5D6E-409C-BE32-E72D297353CC}">
              <c16:uniqueId val="{00000001-5AFA-47C6-9D34-6017D18D0263}"/>
            </c:ext>
          </c:extLst>
        </c:ser>
        <c:ser>
          <c:idx val="2"/>
          <c:order val="2"/>
          <c:tx>
            <c:strRef>
              <c:f>Data!$CE$3:$CE$4</c:f>
              <c:strCache>
                <c:ptCount val="1"/>
                <c:pt idx="0">
                  <c:v>2</c:v>
                </c:pt>
              </c:strCache>
            </c:strRef>
          </c:tx>
          <c:spPr>
            <a:ln w="28575" cap="rnd">
              <a:solidFill>
                <a:srgbClr val="FFC107"/>
              </a:solidFill>
              <a:round/>
            </a:ln>
            <a:effectLst/>
          </c:spPr>
          <c:marker>
            <c:symbol val="circle"/>
            <c:size val="5"/>
            <c:spPr>
              <a:solidFill>
                <a:srgbClr val="FFC107"/>
              </a:solidFill>
              <a:ln w="9525">
                <a:solidFill>
                  <a:srgbClr val="FFC107"/>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Data!$CE$5:$CE$36</c:f>
              <c:numCache>
                <c:formatCode>"$"#,##0</c:formatCode>
                <c:ptCount val="28"/>
                <c:pt idx="0">
                  <c:v>4386.666666666667</c:v>
                </c:pt>
                <c:pt idx="1">
                  <c:v>4585</c:v>
                </c:pt>
                <c:pt idx="2">
                  <c:v>3993.6428571428573</c:v>
                </c:pt>
                <c:pt idx="3">
                  <c:v>4360.5</c:v>
                </c:pt>
                <c:pt idx="4">
                  <c:v>4167.166666666667</c:v>
                </c:pt>
                <c:pt idx="5">
                  <c:v>4348.4705882352937</c:v>
                </c:pt>
                <c:pt idx="6">
                  <c:v>4116.8</c:v>
                </c:pt>
                <c:pt idx="7">
                  <c:v>4225.181818181818</c:v>
                </c:pt>
                <c:pt idx="8">
                  <c:v>4197.7647058823532</c:v>
                </c:pt>
                <c:pt idx="9">
                  <c:v>4442.84</c:v>
                </c:pt>
                <c:pt idx="10">
                  <c:v>4608.2068965517237</c:v>
                </c:pt>
                <c:pt idx="11">
                  <c:v>4423.8620689655172</c:v>
                </c:pt>
                <c:pt idx="12">
                  <c:v>4400.2068965517237</c:v>
                </c:pt>
                <c:pt idx="13">
                  <c:v>3907.878787878788</c:v>
                </c:pt>
                <c:pt idx="14">
                  <c:v>4237.8888888888887</c:v>
                </c:pt>
                <c:pt idx="15">
                  <c:v>4096.2222222222226</c:v>
                </c:pt>
                <c:pt idx="16">
                  <c:v>4127.75</c:v>
                </c:pt>
                <c:pt idx="17">
                  <c:v>4157.0666666666666</c:v>
                </c:pt>
                <c:pt idx="18">
                  <c:v>4402.363636363636</c:v>
                </c:pt>
                <c:pt idx="19">
                  <c:v>4404.2142857142853</c:v>
                </c:pt>
                <c:pt idx="25">
                  <c:v>3974</c:v>
                </c:pt>
                <c:pt idx="27">
                  <c:v>3665</c:v>
                </c:pt>
              </c:numCache>
            </c:numRef>
          </c:val>
          <c:smooth val="0"/>
          <c:extLst>
            <c:ext xmlns:c16="http://schemas.microsoft.com/office/drawing/2014/chart" uri="{C3380CC4-5D6E-409C-BE32-E72D297353CC}">
              <c16:uniqueId val="{00000002-5AFA-47C6-9D34-6017D18D0263}"/>
            </c:ext>
          </c:extLst>
        </c:ser>
        <c:ser>
          <c:idx val="3"/>
          <c:order val="3"/>
          <c:tx>
            <c:strRef>
              <c:f>Data!$CF$3:$CF$4</c:f>
              <c:strCache>
                <c:ptCount val="1"/>
                <c:pt idx="0">
                  <c:v>3</c:v>
                </c:pt>
              </c:strCache>
            </c:strRef>
          </c:tx>
          <c:spPr>
            <a:ln w="28575" cap="rnd">
              <a:solidFill>
                <a:srgbClr val="FF5722"/>
              </a:solidFill>
              <a:round/>
            </a:ln>
            <a:effectLst/>
          </c:spPr>
          <c:marker>
            <c:symbol val="circle"/>
            <c:size val="5"/>
            <c:spPr>
              <a:solidFill>
                <a:srgbClr val="FF5722"/>
              </a:solidFill>
              <a:ln w="9525">
                <a:solidFill>
                  <a:srgbClr val="FF5722"/>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Data!$CF$5:$CF$36</c:f>
              <c:numCache>
                <c:formatCode>"$"#,##0</c:formatCode>
                <c:ptCount val="28"/>
                <c:pt idx="0">
                  <c:v>6246.5</c:v>
                </c:pt>
                <c:pt idx="1">
                  <c:v>6561.333333333333</c:v>
                </c:pt>
                <c:pt idx="3">
                  <c:v>5584</c:v>
                </c:pt>
                <c:pt idx="5">
                  <c:v>6003.666666666667</c:v>
                </c:pt>
                <c:pt idx="6">
                  <c:v>6024</c:v>
                </c:pt>
                <c:pt idx="7">
                  <c:v>5862</c:v>
                </c:pt>
                <c:pt idx="8">
                  <c:v>5405</c:v>
                </c:pt>
                <c:pt idx="9">
                  <c:v>6865.75</c:v>
                </c:pt>
                <c:pt idx="10">
                  <c:v>6056.4</c:v>
                </c:pt>
                <c:pt idx="12">
                  <c:v>7330</c:v>
                </c:pt>
                <c:pt idx="13">
                  <c:v>5970</c:v>
                </c:pt>
                <c:pt idx="14">
                  <c:v>6201</c:v>
                </c:pt>
                <c:pt idx="15">
                  <c:v>6465</c:v>
                </c:pt>
                <c:pt idx="16">
                  <c:v>5258.5</c:v>
                </c:pt>
                <c:pt idx="17">
                  <c:v>6506.5</c:v>
                </c:pt>
                <c:pt idx="18">
                  <c:v>5896</c:v>
                </c:pt>
                <c:pt idx="19">
                  <c:v>7637.333333333333</c:v>
                </c:pt>
                <c:pt idx="25">
                  <c:v>6693</c:v>
                </c:pt>
                <c:pt idx="27">
                  <c:v>6249</c:v>
                </c:pt>
              </c:numCache>
            </c:numRef>
          </c:val>
          <c:smooth val="0"/>
          <c:extLst>
            <c:ext xmlns:c16="http://schemas.microsoft.com/office/drawing/2014/chart" uri="{C3380CC4-5D6E-409C-BE32-E72D297353CC}">
              <c16:uniqueId val="{00000003-5AFA-47C6-9D34-6017D18D0263}"/>
            </c:ext>
          </c:extLst>
        </c:ser>
        <c:ser>
          <c:idx val="4"/>
          <c:order val="4"/>
          <c:tx>
            <c:strRef>
              <c:f>Data!$CG$3:$CG$4</c:f>
              <c:strCache>
                <c:ptCount val="1"/>
                <c:pt idx="0">
                  <c:v>4</c:v>
                </c:pt>
              </c:strCache>
            </c:strRef>
          </c:tx>
          <c:spPr>
            <a:ln w="28575" cap="rnd">
              <a:solidFill>
                <a:srgbClr val="07BCD4"/>
              </a:solidFill>
              <a:round/>
            </a:ln>
            <a:effectLst/>
          </c:spPr>
          <c:marker>
            <c:symbol val="circle"/>
            <c:size val="5"/>
            <c:spPr>
              <a:solidFill>
                <a:srgbClr val="07BCD4"/>
              </a:solidFill>
              <a:ln w="9525">
                <a:solidFill>
                  <a:srgbClr val="07BCD4"/>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Data!$CG$5:$CG$36</c:f>
              <c:numCache>
                <c:formatCode>"$"#,##0</c:formatCode>
                <c:ptCount val="28"/>
                <c:pt idx="12">
                  <c:v>2202</c:v>
                </c:pt>
                <c:pt idx="16">
                  <c:v>2498</c:v>
                </c:pt>
              </c:numCache>
            </c:numRef>
          </c:val>
          <c:smooth val="0"/>
          <c:extLst>
            <c:ext xmlns:c16="http://schemas.microsoft.com/office/drawing/2014/chart" uri="{C3380CC4-5D6E-409C-BE32-E72D297353CC}">
              <c16:uniqueId val="{00000000-046B-4523-A56B-C3672BD7320F}"/>
            </c:ext>
          </c:extLst>
        </c:ser>
        <c:dLbls>
          <c:showLegendKey val="0"/>
          <c:showVal val="0"/>
          <c:showCatName val="0"/>
          <c:showSerName val="0"/>
          <c:showPercent val="0"/>
          <c:showBubbleSize val="0"/>
        </c:dLbls>
        <c:marker val="1"/>
        <c:smooth val="0"/>
        <c:axId val="338310079"/>
        <c:axId val="338311519"/>
      </c:lineChart>
      <c:catAx>
        <c:axId val="33831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1519"/>
        <c:crosses val="autoZero"/>
        <c:auto val="1"/>
        <c:lblAlgn val="ctr"/>
        <c:lblOffset val="100"/>
        <c:noMultiLvlLbl val="0"/>
      </c:catAx>
      <c:valAx>
        <c:axId val="338311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00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UPLOAD.xlsx]Data!avg_time_on_mkt_by_month</c:name>
    <c:fmtId val="31"/>
  </c:pivotSource>
  <c:chart>
    <c:title>
      <c:tx>
        <c:rich>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r>
              <a:rPr lang="en-US" b="1">
                <a:solidFill>
                  <a:srgbClr val="6466E9"/>
                </a:solidFill>
              </a:rPr>
              <a:t>Average Days on Market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Data!$CS$3</c:f>
              <c:strCache>
                <c:ptCount val="1"/>
                <c:pt idx="0">
                  <c:v>Total</c:v>
                </c:pt>
              </c:strCache>
            </c:strRef>
          </c:tx>
          <c:spPr>
            <a:solidFill>
              <a:srgbClr val="6466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Data!$CR$4:$CR$35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Data!$CS$4:$CS$35</c:f>
              <c:numCache>
                <c:formatCode>#,##0</c:formatCode>
                <c:ptCount val="28"/>
                <c:pt idx="0">
                  <c:v>11.75</c:v>
                </c:pt>
                <c:pt idx="1">
                  <c:v>24.589285714285715</c:v>
                </c:pt>
                <c:pt idx="2">
                  <c:v>31.566037735849058</c:v>
                </c:pt>
                <c:pt idx="3">
                  <c:v>38.265306122448976</c:v>
                </c:pt>
                <c:pt idx="4">
                  <c:v>61.511627906976742</c:v>
                </c:pt>
                <c:pt idx="5">
                  <c:v>70.31343283582089</c:v>
                </c:pt>
                <c:pt idx="6">
                  <c:v>55.375</c:v>
                </c:pt>
                <c:pt idx="7">
                  <c:v>63.888888888888886</c:v>
                </c:pt>
                <c:pt idx="8">
                  <c:v>67.775862068965523</c:v>
                </c:pt>
                <c:pt idx="9">
                  <c:v>53.977443609022558</c:v>
                </c:pt>
                <c:pt idx="10">
                  <c:v>49.180257510729611</c:v>
                </c:pt>
                <c:pt idx="11">
                  <c:v>64.630303030303025</c:v>
                </c:pt>
                <c:pt idx="12">
                  <c:v>64.264367816091948</c:v>
                </c:pt>
                <c:pt idx="13">
                  <c:v>53.47933884297521</c:v>
                </c:pt>
                <c:pt idx="14">
                  <c:v>70.473282442748086</c:v>
                </c:pt>
                <c:pt idx="15">
                  <c:v>86.427419354838705</c:v>
                </c:pt>
                <c:pt idx="16">
                  <c:v>89.512987012987011</c:v>
                </c:pt>
                <c:pt idx="17">
                  <c:v>87.954285714285717</c:v>
                </c:pt>
                <c:pt idx="18">
                  <c:v>73.912162162162161</c:v>
                </c:pt>
                <c:pt idx="19">
                  <c:v>58.968992248062015</c:v>
                </c:pt>
                <c:pt idx="20">
                  <c:v>111.75</c:v>
                </c:pt>
                <c:pt idx="21">
                  <c:v>3</c:v>
                </c:pt>
                <c:pt idx="22">
                  <c:v>55</c:v>
                </c:pt>
                <c:pt idx="23">
                  <c:v>41</c:v>
                </c:pt>
                <c:pt idx="24">
                  <c:v>48.142857142857146</c:v>
                </c:pt>
                <c:pt idx="25">
                  <c:v>39</c:v>
                </c:pt>
                <c:pt idx="26">
                  <c:v>46.5</c:v>
                </c:pt>
                <c:pt idx="27">
                  <c:v>42.142857142857146</c:v>
                </c:pt>
              </c:numCache>
            </c:numRef>
          </c:val>
          <c:extLst>
            <c:ext xmlns:c16="http://schemas.microsoft.com/office/drawing/2014/chart" uri="{C3380CC4-5D6E-409C-BE32-E72D297353CC}">
              <c16:uniqueId val="{00000000-057A-416E-957A-A793E9579489}"/>
            </c:ext>
          </c:extLst>
        </c:ser>
        <c:dLbls>
          <c:showLegendKey val="0"/>
          <c:showVal val="0"/>
          <c:showCatName val="0"/>
          <c:showSerName val="0"/>
          <c:showPercent val="0"/>
          <c:showBubbleSize val="0"/>
        </c:dLbls>
        <c:gapWidth val="219"/>
        <c:axId val="396206591"/>
        <c:axId val="396202751"/>
      </c:barChart>
      <c:catAx>
        <c:axId val="3962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6202751"/>
        <c:crosses val="autoZero"/>
        <c:auto val="1"/>
        <c:lblAlgn val="ctr"/>
        <c:lblOffset val="100"/>
        <c:noMultiLvlLbl val="0"/>
      </c:catAx>
      <c:valAx>
        <c:axId val="396202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0659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UPLOAD.xlsx]Data!leasing_volume_by_month</c:name>
    <c:fmtId val="37"/>
  </c:pivotSource>
  <c:chart>
    <c:title>
      <c:tx>
        <c:rich>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r>
              <a:rPr lang="en-US" b="1">
                <a:solidFill>
                  <a:srgbClr val="4438CA"/>
                </a:solidFill>
              </a:rPr>
              <a:t># Leases Signed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Data!$CV$3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Data!$CU$4:$CU$35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Data!$CV$4:$CV$35</c:f>
              <c:numCache>
                <c:formatCode>#,##0</c:formatCode>
                <c:ptCount val="28"/>
                <c:pt idx="0">
                  <c:v>101</c:v>
                </c:pt>
                <c:pt idx="1">
                  <c:v>79</c:v>
                </c:pt>
                <c:pt idx="2">
                  <c:v>62</c:v>
                </c:pt>
                <c:pt idx="3">
                  <c:v>55</c:v>
                </c:pt>
                <c:pt idx="4">
                  <c:v>46</c:v>
                </c:pt>
                <c:pt idx="5">
                  <c:v>70</c:v>
                </c:pt>
                <c:pt idx="6">
                  <c:v>58</c:v>
                </c:pt>
                <c:pt idx="7">
                  <c:v>76</c:v>
                </c:pt>
                <c:pt idx="8">
                  <c:v>119</c:v>
                </c:pt>
                <c:pt idx="9">
                  <c:v>135</c:v>
                </c:pt>
                <c:pt idx="10">
                  <c:v>236</c:v>
                </c:pt>
                <c:pt idx="11">
                  <c:v>166</c:v>
                </c:pt>
                <c:pt idx="12">
                  <c:v>174</c:v>
                </c:pt>
                <c:pt idx="13">
                  <c:v>122</c:v>
                </c:pt>
                <c:pt idx="14">
                  <c:v>131</c:v>
                </c:pt>
                <c:pt idx="15">
                  <c:v>125</c:v>
                </c:pt>
                <c:pt idx="16">
                  <c:v>154</c:v>
                </c:pt>
                <c:pt idx="17">
                  <c:v>175</c:v>
                </c:pt>
                <c:pt idx="18">
                  <c:v>149</c:v>
                </c:pt>
                <c:pt idx="19">
                  <c:v>129</c:v>
                </c:pt>
                <c:pt idx="20">
                  <c:v>4</c:v>
                </c:pt>
                <c:pt idx="21">
                  <c:v>1</c:v>
                </c:pt>
                <c:pt idx="22">
                  <c:v>4</c:v>
                </c:pt>
                <c:pt idx="23">
                  <c:v>2</c:v>
                </c:pt>
                <c:pt idx="24">
                  <c:v>7</c:v>
                </c:pt>
                <c:pt idx="25">
                  <c:v>3</c:v>
                </c:pt>
                <c:pt idx="26">
                  <c:v>4</c:v>
                </c:pt>
                <c:pt idx="27">
                  <c:v>7</c:v>
                </c:pt>
              </c:numCache>
            </c:numRef>
          </c:val>
          <c:extLst>
            <c:ext xmlns:c16="http://schemas.microsoft.com/office/drawing/2014/chart" uri="{C3380CC4-5D6E-409C-BE32-E72D297353CC}">
              <c16:uniqueId val="{00000000-92D0-4E60-B8E7-70D95FEB4724}"/>
            </c:ext>
          </c:extLst>
        </c:ser>
        <c:dLbls>
          <c:showLegendKey val="0"/>
          <c:showVal val="0"/>
          <c:showCatName val="0"/>
          <c:showSerName val="0"/>
          <c:showPercent val="0"/>
          <c:showBubbleSize val="0"/>
        </c:dLbls>
        <c:gapWidth val="219"/>
        <c:overlap val="-27"/>
        <c:axId val="1426887551"/>
        <c:axId val="1426888991"/>
      </c:barChart>
      <c:catAx>
        <c:axId val="142688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6888991"/>
        <c:crosses val="autoZero"/>
        <c:auto val="1"/>
        <c:lblAlgn val="ctr"/>
        <c:lblOffset val="100"/>
        <c:noMultiLvlLbl val="0"/>
      </c:catAx>
      <c:valAx>
        <c:axId val="1426888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887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UPLOAD.xlsx]Data!asking_and_effective_rent_psf_by_month</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4438CA"/>
                </a:solidFill>
              </a:rPr>
              <a:t>Asking vs Effective Rent PSF By Month</a:t>
            </a:r>
          </a:p>
          <a:p>
            <a:pPr>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Data!$CK$3</c:f>
              <c:strCache>
                <c:ptCount val="1"/>
                <c:pt idx="0">
                  <c:v>Average of Asking PSF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Data!$CJ$4:$CJ$35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Data!$CK$4:$CK$35</c:f>
              <c:numCache>
                <c:formatCode>"$"#,##0.00</c:formatCode>
                <c:ptCount val="28"/>
                <c:pt idx="0">
                  <c:v>3.89816314098882</c:v>
                </c:pt>
                <c:pt idx="1">
                  <c:v>3.8170595284156037</c:v>
                </c:pt>
                <c:pt idx="2">
                  <c:v>3.8218641963430917</c:v>
                </c:pt>
                <c:pt idx="3">
                  <c:v>3.7396402595058253</c:v>
                </c:pt>
                <c:pt idx="4">
                  <c:v>3.7238384463116745</c:v>
                </c:pt>
                <c:pt idx="5">
                  <c:v>3.6651136003055829</c:v>
                </c:pt>
                <c:pt idx="6">
                  <c:v>3.6236784015519947</c:v>
                </c:pt>
                <c:pt idx="7">
                  <c:v>3.5670817431380928</c:v>
                </c:pt>
                <c:pt idx="8">
                  <c:v>3.7160011242536251</c:v>
                </c:pt>
                <c:pt idx="9">
                  <c:v>3.8247427978348685</c:v>
                </c:pt>
                <c:pt idx="10">
                  <c:v>3.8505963581322598</c:v>
                </c:pt>
                <c:pt idx="11">
                  <c:v>3.9237274604120067</c:v>
                </c:pt>
                <c:pt idx="12">
                  <c:v>3.897487628619722</c:v>
                </c:pt>
                <c:pt idx="13">
                  <c:v>3.7175310403908033</c:v>
                </c:pt>
                <c:pt idx="14">
                  <c:v>3.646284040653494</c:v>
                </c:pt>
                <c:pt idx="15">
                  <c:v>3.6860443707873114</c:v>
                </c:pt>
                <c:pt idx="16">
                  <c:v>3.5699850309736001</c:v>
                </c:pt>
                <c:pt idx="17">
                  <c:v>3.6337634306757409</c:v>
                </c:pt>
                <c:pt idx="18">
                  <c:v>3.7301931965912569</c:v>
                </c:pt>
                <c:pt idx="19">
                  <c:v>3.8862998000371798</c:v>
                </c:pt>
                <c:pt idx="20">
                  <c:v>3.7036648935343965</c:v>
                </c:pt>
                <c:pt idx="21">
                  <c:v>4.028397565922921</c:v>
                </c:pt>
                <c:pt idx="22">
                  <c:v>3.9859737158037523</c:v>
                </c:pt>
                <c:pt idx="23">
                  <c:v>3.7290531835544609</c:v>
                </c:pt>
                <c:pt idx="24">
                  <c:v>3.5987521977492078</c:v>
                </c:pt>
                <c:pt idx="25">
                  <c:v>3.4589505414591293</c:v>
                </c:pt>
                <c:pt idx="26">
                  <c:v>3.5812582717108521</c:v>
                </c:pt>
                <c:pt idx="27">
                  <c:v>3.8704905452288818</c:v>
                </c:pt>
              </c:numCache>
            </c:numRef>
          </c:val>
          <c:smooth val="0"/>
          <c:extLst>
            <c:ext xmlns:c16="http://schemas.microsoft.com/office/drawing/2014/chart" uri="{C3380CC4-5D6E-409C-BE32-E72D297353CC}">
              <c16:uniqueId val="{00000000-F634-416B-913E-54D067D79187}"/>
            </c:ext>
          </c:extLst>
        </c:ser>
        <c:ser>
          <c:idx val="1"/>
          <c:order val="1"/>
          <c:tx>
            <c:strRef>
              <c:f>Data!$CL$3</c:f>
              <c:strCache>
                <c:ptCount val="1"/>
                <c:pt idx="0">
                  <c:v>Effective Rent PSF </c:v>
                </c:pt>
              </c:strCache>
            </c:strRef>
          </c:tx>
          <c:spPr>
            <a:ln w="28575" cap="rnd">
              <a:solidFill>
                <a:srgbClr val="4438CA"/>
              </a:solidFill>
              <a:round/>
            </a:ln>
            <a:effectLst/>
          </c:spPr>
          <c:marker>
            <c:symbol val="circle"/>
            <c:size val="5"/>
            <c:spPr>
              <a:solidFill>
                <a:srgbClr val="4438CA"/>
              </a:solidFill>
              <a:ln w="9525">
                <a:solidFill>
                  <a:srgbClr val="4438CA"/>
                </a:solidFill>
              </a:ln>
              <a:effectLst/>
            </c:spPr>
          </c:marker>
          <c:cat>
            <c:multiLvlStrRef>
              <c:f>Data!$CJ$4:$CJ$35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Data!$CL$4:$CL$35</c:f>
              <c:numCache>
                <c:formatCode>"$"#,##0.00</c:formatCode>
                <c:ptCount val="28"/>
                <c:pt idx="0">
                  <c:v>3.8695673400357413</c:v>
                </c:pt>
                <c:pt idx="1">
                  <c:v>3.8045948829068141</c:v>
                </c:pt>
                <c:pt idx="2">
                  <c:v>3.8165083726543454</c:v>
                </c:pt>
                <c:pt idx="3">
                  <c:v>3.6982020248962106</c:v>
                </c:pt>
                <c:pt idx="4">
                  <c:v>3.663417434466957</c:v>
                </c:pt>
                <c:pt idx="5">
                  <c:v>3.647572309505795</c:v>
                </c:pt>
                <c:pt idx="6">
                  <c:v>3.5702247169021808</c:v>
                </c:pt>
                <c:pt idx="7">
                  <c:v>3.5514714781122398</c:v>
                </c:pt>
                <c:pt idx="8">
                  <c:v>3.6510350927818851</c:v>
                </c:pt>
                <c:pt idx="9">
                  <c:v>3.7904891916961563</c:v>
                </c:pt>
                <c:pt idx="10">
                  <c:v>3.806976627006454</c:v>
                </c:pt>
                <c:pt idx="11">
                  <c:v>3.9007856598728319</c:v>
                </c:pt>
                <c:pt idx="12">
                  <c:v>3.8918952920189493</c:v>
                </c:pt>
                <c:pt idx="13">
                  <c:v>3.7021010425027683</c:v>
                </c:pt>
                <c:pt idx="14">
                  <c:v>3.6112828513925832</c:v>
                </c:pt>
                <c:pt idx="15">
                  <c:v>3.6115113132193231</c:v>
                </c:pt>
                <c:pt idx="16">
                  <c:v>3.4728789206511523</c:v>
                </c:pt>
                <c:pt idx="17">
                  <c:v>3.5759535609238715</c:v>
                </c:pt>
                <c:pt idx="18">
                  <c:v>3.7094658615279954</c:v>
                </c:pt>
                <c:pt idx="19">
                  <c:v>3.8758448805686232</c:v>
                </c:pt>
                <c:pt idx="20">
                  <c:v>3.7036648935343965</c:v>
                </c:pt>
                <c:pt idx="21">
                  <c:v>4.028397565922921</c:v>
                </c:pt>
                <c:pt idx="22">
                  <c:v>3.9859737158037523</c:v>
                </c:pt>
                <c:pt idx="23">
                  <c:v>3.5677903849196486</c:v>
                </c:pt>
                <c:pt idx="24">
                  <c:v>3.5553569538679377</c:v>
                </c:pt>
                <c:pt idx="25">
                  <c:v>3.3766122330014174</c:v>
                </c:pt>
                <c:pt idx="26">
                  <c:v>3.5812582717108521</c:v>
                </c:pt>
                <c:pt idx="27">
                  <c:v>3.8112310320633753</c:v>
                </c:pt>
              </c:numCache>
            </c:numRef>
          </c:val>
          <c:smooth val="0"/>
          <c:extLst>
            <c:ext xmlns:c16="http://schemas.microsoft.com/office/drawing/2014/chart" uri="{C3380CC4-5D6E-409C-BE32-E72D297353CC}">
              <c16:uniqueId val="{00000002-D1D2-4B48-9EBD-02C87BF1F3CC}"/>
            </c:ext>
          </c:extLst>
        </c:ser>
        <c:dLbls>
          <c:showLegendKey val="0"/>
          <c:showVal val="0"/>
          <c:showCatName val="0"/>
          <c:showSerName val="0"/>
          <c:showPercent val="0"/>
          <c:showBubbleSize val="0"/>
        </c:dLbls>
        <c:marker val="1"/>
        <c:smooth val="0"/>
        <c:axId val="102464543"/>
        <c:axId val="102462623"/>
      </c:lineChart>
      <c:catAx>
        <c:axId val="10246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2623"/>
        <c:crosses val="autoZero"/>
        <c:auto val="1"/>
        <c:lblAlgn val="ctr"/>
        <c:lblOffset val="100"/>
        <c:noMultiLvlLbl val="0"/>
      </c:catAx>
      <c:valAx>
        <c:axId val="102462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4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1</xdr:col>
      <xdr:colOff>20147</xdr:colOff>
      <xdr:row>0</xdr:row>
      <xdr:rowOff>171887</xdr:rowOff>
    </xdr:from>
    <xdr:to>
      <xdr:col>4</xdr:col>
      <xdr:colOff>93651</xdr:colOff>
      <xdr:row>4</xdr:row>
      <xdr:rowOff>165128</xdr:rowOff>
    </xdr:to>
    <xdr:pic>
      <xdr:nvPicPr>
        <xdr:cNvPr id="3" name="Picture 2">
          <a:extLst>
            <a:ext uri="{FF2B5EF4-FFF2-40B4-BE49-F238E27FC236}">
              <a16:creationId xmlns:a16="http://schemas.microsoft.com/office/drawing/2014/main" id="{39643D34-EF3D-EC84-0EA8-F1A1BC61B2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4078" y="171887"/>
          <a:ext cx="2712543" cy="7289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182216</xdr:colOff>
      <xdr:row>11</xdr:row>
      <xdr:rowOff>165099</xdr:rowOff>
    </xdr:from>
    <xdr:to>
      <xdr:col>7</xdr:col>
      <xdr:colOff>1306166</xdr:colOff>
      <xdr:row>34</xdr:row>
      <xdr:rowOff>25399</xdr:rowOff>
    </xdr:to>
    <xdr:graphicFrame macro="">
      <xdr:nvGraphicFramePr>
        <xdr:cNvPr id="2" name="Chart 1">
          <a:extLst>
            <a:ext uri="{FF2B5EF4-FFF2-40B4-BE49-F238E27FC236}">
              <a16:creationId xmlns:a16="http://schemas.microsoft.com/office/drawing/2014/main" id="{ED83216B-DFEC-466E-A3DE-A70F2DAF0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xdr:colOff>
      <xdr:row>12</xdr:row>
      <xdr:rowOff>746</xdr:rowOff>
    </xdr:from>
    <xdr:to>
      <xdr:col>16</xdr:col>
      <xdr:colOff>1</xdr:colOff>
      <xdr:row>34</xdr:row>
      <xdr:rowOff>25399</xdr:rowOff>
    </xdr:to>
    <xdr:graphicFrame macro="">
      <xdr:nvGraphicFramePr>
        <xdr:cNvPr id="5" name="Chart 4">
          <a:extLst>
            <a:ext uri="{FF2B5EF4-FFF2-40B4-BE49-F238E27FC236}">
              <a16:creationId xmlns:a16="http://schemas.microsoft.com/office/drawing/2014/main" id="{95A09DB0-5B29-4833-A154-2C4379510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182216</xdr:colOff>
      <xdr:row>35</xdr:row>
      <xdr:rowOff>31750</xdr:rowOff>
    </xdr:from>
    <xdr:to>
      <xdr:col>7</xdr:col>
      <xdr:colOff>1306166</xdr:colOff>
      <xdr:row>57</xdr:row>
      <xdr:rowOff>57150</xdr:rowOff>
    </xdr:to>
    <xdr:graphicFrame macro="">
      <xdr:nvGraphicFramePr>
        <xdr:cNvPr id="7" name="Chart 6">
          <a:extLst>
            <a:ext uri="{FF2B5EF4-FFF2-40B4-BE49-F238E27FC236}">
              <a16:creationId xmlns:a16="http://schemas.microsoft.com/office/drawing/2014/main" id="{A17E2768-1F8C-42CD-BCF4-9BC37EF4F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35</xdr:row>
      <xdr:rowOff>31750</xdr:rowOff>
    </xdr:from>
    <xdr:to>
      <xdr:col>15</xdr:col>
      <xdr:colOff>1680884</xdr:colOff>
      <xdr:row>57</xdr:row>
      <xdr:rowOff>57150</xdr:rowOff>
    </xdr:to>
    <xdr:graphicFrame macro="">
      <xdr:nvGraphicFramePr>
        <xdr:cNvPr id="8" name="Chart 7">
          <a:extLst>
            <a:ext uri="{FF2B5EF4-FFF2-40B4-BE49-F238E27FC236}">
              <a16:creationId xmlns:a16="http://schemas.microsoft.com/office/drawing/2014/main" id="{C8648D56-055B-4F49-B911-0F56AF5C4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182216</xdr:colOff>
      <xdr:row>58</xdr:row>
      <xdr:rowOff>57150</xdr:rowOff>
    </xdr:from>
    <xdr:to>
      <xdr:col>7</xdr:col>
      <xdr:colOff>1306166</xdr:colOff>
      <xdr:row>80</xdr:row>
      <xdr:rowOff>82550</xdr:rowOff>
    </xdr:to>
    <xdr:graphicFrame macro="">
      <xdr:nvGraphicFramePr>
        <xdr:cNvPr id="9" name="Chart 8">
          <a:extLst>
            <a:ext uri="{FF2B5EF4-FFF2-40B4-BE49-F238E27FC236}">
              <a16:creationId xmlns:a16="http://schemas.microsoft.com/office/drawing/2014/main" id="{F34939D0-8F37-4EE2-8E59-863A8D9DD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12700</xdr:colOff>
      <xdr:row>58</xdr:row>
      <xdr:rowOff>57150</xdr:rowOff>
    </xdr:from>
    <xdr:to>
      <xdr:col>15</xdr:col>
      <xdr:colOff>1680884</xdr:colOff>
      <xdr:row>80</xdr:row>
      <xdr:rowOff>82550</xdr:rowOff>
    </xdr:to>
    <xdr:graphicFrame macro="">
      <xdr:nvGraphicFramePr>
        <xdr:cNvPr id="10" name="Chart 9">
          <a:extLst>
            <a:ext uri="{FF2B5EF4-FFF2-40B4-BE49-F238E27FC236}">
              <a16:creationId xmlns:a16="http://schemas.microsoft.com/office/drawing/2014/main" id="{632549D9-0CDD-4194-BA4B-55228611A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748</xdr:colOff>
      <xdr:row>81</xdr:row>
      <xdr:rowOff>50800</xdr:rowOff>
    </xdr:from>
    <xdr:to>
      <xdr:col>7</xdr:col>
      <xdr:colOff>1307264</xdr:colOff>
      <xdr:row>103</xdr:row>
      <xdr:rowOff>74347</xdr:rowOff>
    </xdr:to>
    <xdr:graphicFrame macro="">
      <xdr:nvGraphicFramePr>
        <xdr:cNvPr id="6" name="Chart 5">
          <a:extLst>
            <a:ext uri="{FF2B5EF4-FFF2-40B4-BE49-F238E27FC236}">
              <a16:creationId xmlns:a16="http://schemas.microsoft.com/office/drawing/2014/main" id="{741BF933-6DE4-4F55-8453-E34912B1B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209551</xdr:colOff>
      <xdr:row>37</xdr:row>
      <xdr:rowOff>167342</xdr:rowOff>
    </xdr:from>
    <xdr:to>
      <xdr:col>5</xdr:col>
      <xdr:colOff>0</xdr:colOff>
      <xdr:row>55</xdr:row>
      <xdr:rowOff>142267</xdr:rowOff>
    </xdr:to>
    <xdr:graphicFrame macro="">
      <xdr:nvGraphicFramePr>
        <xdr:cNvPr id="7" name="Chart 6">
          <a:extLst>
            <a:ext uri="{FF2B5EF4-FFF2-40B4-BE49-F238E27FC236}">
              <a16:creationId xmlns:a16="http://schemas.microsoft.com/office/drawing/2014/main" id="{F146AE09-0C9F-75EF-C63D-DBA6C8878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178922</xdr:colOff>
      <xdr:row>1</xdr:row>
      <xdr:rowOff>26896</xdr:rowOff>
    </xdr:from>
    <xdr:to>
      <xdr:col>1</xdr:col>
      <xdr:colOff>986491</xdr:colOff>
      <xdr:row>4</xdr:row>
      <xdr:rowOff>363818</xdr:rowOff>
    </xdr:to>
    <mc:AlternateContent xmlns:mc="http://schemas.openxmlformats.org/markup-compatibility/2006" xmlns:a14="http://schemas.microsoft.com/office/drawing/2010/main">
      <mc:Choice Requires="a14">
        <xdr:graphicFrame macro="">
          <xdr:nvGraphicFramePr>
            <xdr:cNvPr id="9" name="Beds">
              <a:extLst>
                <a:ext uri="{FF2B5EF4-FFF2-40B4-BE49-F238E27FC236}">
                  <a16:creationId xmlns:a16="http://schemas.microsoft.com/office/drawing/2014/main" id="{F6EBE839-56F7-F83C-7E84-03016AFF01E1}"/>
                </a:ext>
              </a:extLst>
            </xdr:cNvPr>
            <xdr:cNvGraphicFramePr/>
          </xdr:nvGraphicFramePr>
          <xdr:xfrm>
            <a:off x="0" y="0"/>
            <a:ext cx="0" cy="0"/>
          </xdr:xfrm>
          <a:graphic>
            <a:graphicData uri="http://schemas.microsoft.com/office/drawing/2010/slicer">
              <sle:slicer xmlns:sle="http://schemas.microsoft.com/office/drawing/2010/slicer" name="Beds"/>
            </a:graphicData>
          </a:graphic>
        </xdr:graphicFrame>
      </mc:Choice>
      <mc:Fallback xmlns="">
        <xdr:sp macro="" textlink="">
          <xdr:nvSpPr>
            <xdr:cNvPr id="0" name=""/>
            <xdr:cNvSpPr>
              <a:spLocks noTextEdit="1"/>
            </xdr:cNvSpPr>
          </xdr:nvSpPr>
          <xdr:spPr>
            <a:xfrm>
              <a:off x="178922" y="420596"/>
              <a:ext cx="1023469" cy="2114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74</xdr:row>
      <xdr:rowOff>67914</xdr:rowOff>
    </xdr:from>
    <xdr:to>
      <xdr:col>4</xdr:col>
      <xdr:colOff>832069</xdr:colOff>
      <xdr:row>86</xdr:row>
      <xdr:rowOff>144114</xdr:rowOff>
    </xdr:to>
    <xdr:graphicFrame macro="">
      <xdr:nvGraphicFramePr>
        <xdr:cNvPr id="12" name="Chart 11">
          <a:extLst>
            <a:ext uri="{FF2B5EF4-FFF2-40B4-BE49-F238E27FC236}">
              <a16:creationId xmlns:a16="http://schemas.microsoft.com/office/drawing/2014/main" id="{E14201D4-1E36-0742-454A-2C37332C0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72038</xdr:colOff>
      <xdr:row>37</xdr:row>
      <xdr:rowOff>167342</xdr:rowOff>
    </xdr:from>
    <xdr:to>
      <xdr:col>10</xdr:col>
      <xdr:colOff>1320800</xdr:colOff>
      <xdr:row>55</xdr:row>
      <xdr:rowOff>139701</xdr:rowOff>
    </xdr:to>
    <xdr:graphicFrame macro="">
      <xdr:nvGraphicFramePr>
        <xdr:cNvPr id="13" name="Chart 12">
          <a:extLst>
            <a:ext uri="{FF2B5EF4-FFF2-40B4-BE49-F238E27FC236}">
              <a16:creationId xmlns:a16="http://schemas.microsoft.com/office/drawing/2014/main" id="{D18234BE-90AC-BD76-EF0A-5BE5531FC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209551</xdr:colOff>
      <xdr:row>56</xdr:row>
      <xdr:rowOff>37566</xdr:rowOff>
    </xdr:from>
    <xdr:to>
      <xdr:col>5</xdr:col>
      <xdr:colOff>0</xdr:colOff>
      <xdr:row>74</xdr:row>
      <xdr:rowOff>608</xdr:rowOff>
    </xdr:to>
    <xdr:graphicFrame macro="">
      <xdr:nvGraphicFramePr>
        <xdr:cNvPr id="14" name="Chart 13">
          <a:extLst>
            <a:ext uri="{FF2B5EF4-FFF2-40B4-BE49-F238E27FC236}">
              <a16:creationId xmlns:a16="http://schemas.microsoft.com/office/drawing/2014/main" id="{435CEA82-C49D-79E1-3468-1B5C50317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76960</xdr:colOff>
      <xdr:row>56</xdr:row>
      <xdr:rowOff>50266</xdr:rowOff>
    </xdr:from>
    <xdr:to>
      <xdr:col>10</xdr:col>
      <xdr:colOff>1327149</xdr:colOff>
      <xdr:row>74</xdr:row>
      <xdr:rowOff>12700</xdr:rowOff>
    </xdr:to>
    <xdr:graphicFrame macro="">
      <xdr:nvGraphicFramePr>
        <xdr:cNvPr id="15" name="Chart 14">
          <a:extLst>
            <a:ext uri="{FF2B5EF4-FFF2-40B4-BE49-F238E27FC236}">
              <a16:creationId xmlns:a16="http://schemas.microsoft.com/office/drawing/2014/main" id="{984E1D0E-2F46-39BB-17E0-B32D770EC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901701</xdr:colOff>
      <xdr:row>74</xdr:row>
      <xdr:rowOff>67914</xdr:rowOff>
    </xdr:from>
    <xdr:to>
      <xdr:col>7</xdr:col>
      <xdr:colOff>893738</xdr:colOff>
      <xdr:row>86</xdr:row>
      <xdr:rowOff>144114</xdr:rowOff>
    </xdr:to>
    <xdr:graphicFrame macro="">
      <xdr:nvGraphicFramePr>
        <xdr:cNvPr id="16" name="Chart 15">
          <a:extLst>
            <a:ext uri="{FF2B5EF4-FFF2-40B4-BE49-F238E27FC236}">
              <a16:creationId xmlns:a16="http://schemas.microsoft.com/office/drawing/2014/main" id="{B2EA7C7C-7CE2-FE57-37EF-D0E5007B4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958851</xdr:colOff>
      <xdr:row>74</xdr:row>
      <xdr:rowOff>67914</xdr:rowOff>
    </xdr:from>
    <xdr:to>
      <xdr:col>11</xdr:col>
      <xdr:colOff>0</xdr:colOff>
      <xdr:row>86</xdr:row>
      <xdr:rowOff>144114</xdr:rowOff>
    </xdr:to>
    <xdr:graphicFrame macro="">
      <xdr:nvGraphicFramePr>
        <xdr:cNvPr id="17" name="Chart 16">
          <a:extLst>
            <a:ext uri="{FF2B5EF4-FFF2-40B4-BE49-F238E27FC236}">
              <a16:creationId xmlns:a16="http://schemas.microsoft.com/office/drawing/2014/main" id="{792F4B15-FDE8-175D-34A2-A95D6ADA4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xdr:colOff>
      <xdr:row>21</xdr:row>
      <xdr:rowOff>162112</xdr:rowOff>
    </xdr:from>
    <xdr:to>
      <xdr:col>6</xdr:col>
      <xdr:colOff>471240</xdr:colOff>
      <xdr:row>37</xdr:row>
      <xdr:rowOff>88903</xdr:rowOff>
    </xdr:to>
    <xdr:graphicFrame macro="">
      <xdr:nvGraphicFramePr>
        <xdr:cNvPr id="5" name="Chart 4">
          <a:extLst>
            <a:ext uri="{FF2B5EF4-FFF2-40B4-BE49-F238E27FC236}">
              <a16:creationId xmlns:a16="http://schemas.microsoft.com/office/drawing/2014/main" id="{BCCBD2E2-5CC4-42D2-956A-1915EE228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545350</xdr:colOff>
      <xdr:row>21</xdr:row>
      <xdr:rowOff>160825</xdr:rowOff>
    </xdr:from>
    <xdr:to>
      <xdr:col>10</xdr:col>
      <xdr:colOff>1325654</xdr:colOff>
      <xdr:row>37</xdr:row>
      <xdr:rowOff>83206</xdr:rowOff>
    </xdr:to>
    <xdr:graphicFrame macro="">
      <xdr:nvGraphicFramePr>
        <xdr:cNvPr id="8" name="Chart 7">
          <a:extLst>
            <a:ext uri="{FF2B5EF4-FFF2-40B4-BE49-F238E27FC236}">
              <a16:creationId xmlns:a16="http://schemas.microsoft.com/office/drawing/2014/main" id="{749B4FB3-E666-4C4B-AD94-C42F3571D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541616</xdr:colOff>
      <xdr:row>5</xdr:row>
      <xdr:rowOff>93870</xdr:rowOff>
    </xdr:from>
    <xdr:to>
      <xdr:col>11</xdr:col>
      <xdr:colOff>0</xdr:colOff>
      <xdr:row>21</xdr:row>
      <xdr:rowOff>36671</xdr:rowOff>
    </xdr:to>
    <xdr:graphicFrame macro="">
      <xdr:nvGraphicFramePr>
        <xdr:cNvPr id="11" name="Chart 10">
          <a:extLst>
            <a:ext uri="{FF2B5EF4-FFF2-40B4-BE49-F238E27FC236}">
              <a16:creationId xmlns:a16="http://schemas.microsoft.com/office/drawing/2014/main" id="{7B168B52-D490-46DC-95F3-38CFF4B66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614080</xdr:colOff>
      <xdr:row>1</xdr:row>
      <xdr:rowOff>202824</xdr:rowOff>
    </xdr:from>
    <xdr:to>
      <xdr:col>11</xdr:col>
      <xdr:colOff>53414</xdr:colOff>
      <xdr:row>2</xdr:row>
      <xdr:rowOff>987238</xdr:rowOff>
    </xdr:to>
    <mc:AlternateContent xmlns:mc="http://schemas.openxmlformats.org/markup-compatibility/2006" xmlns:tsle="http://schemas.microsoft.com/office/drawing/2012/timeslicer">
      <mc:Choice Requires="tsle">
        <xdr:graphicFrame macro="">
          <xdr:nvGraphicFramePr>
            <xdr:cNvPr id="19" name="Leased Date">
              <a:extLst>
                <a:ext uri="{FF2B5EF4-FFF2-40B4-BE49-F238E27FC236}">
                  <a16:creationId xmlns:a16="http://schemas.microsoft.com/office/drawing/2014/main" id="{3F0EFBE1-80EF-4F66-8C32-230C3740338C}"/>
                </a:ext>
              </a:extLst>
            </xdr:cNvPr>
            <xdr:cNvGraphicFramePr/>
          </xdr:nvGraphicFramePr>
          <xdr:xfrm>
            <a:off x="0" y="0"/>
            <a:ext cx="0" cy="0"/>
          </xdr:xfrm>
          <a:graphic>
            <a:graphicData uri="http://schemas.microsoft.com/office/drawing/2012/timeslicer">
              <tsle:timeslicer name="Leased Date"/>
            </a:graphicData>
          </a:graphic>
        </xdr:graphicFrame>
      </mc:Choice>
      <mc:Fallback xmlns="">
        <xdr:sp macro="" textlink="">
          <xdr:nvSpPr>
            <xdr:cNvPr id="0" name=""/>
            <xdr:cNvSpPr>
              <a:spLocks noTextEdit="1"/>
            </xdr:cNvSpPr>
          </xdr:nvSpPr>
          <xdr:spPr>
            <a:xfrm>
              <a:off x="2925480" y="596524"/>
              <a:ext cx="12494934" cy="13114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0</xdr:colOff>
      <xdr:row>5</xdr:row>
      <xdr:rowOff>93870</xdr:rowOff>
    </xdr:from>
    <xdr:to>
      <xdr:col>6</xdr:col>
      <xdr:colOff>457199</xdr:colOff>
      <xdr:row>21</xdr:row>
      <xdr:rowOff>41573</xdr:rowOff>
    </xdr:to>
    <xdr:graphicFrame macro="">
      <xdr:nvGraphicFramePr>
        <xdr:cNvPr id="2" name="Chart 1">
          <a:extLst>
            <a:ext uri="{FF2B5EF4-FFF2-40B4-BE49-F238E27FC236}">
              <a16:creationId xmlns:a16="http://schemas.microsoft.com/office/drawing/2014/main" id="{88146106-6851-40A8-A007-3C8EDDDA3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1003301</xdr:colOff>
      <xdr:row>1</xdr:row>
      <xdr:rowOff>30257</xdr:rowOff>
    </xdr:from>
    <xdr:to>
      <xdr:col>2</xdr:col>
      <xdr:colOff>603251</xdr:colOff>
      <xdr:row>5</xdr:row>
      <xdr:rowOff>16810</xdr:rowOff>
    </xdr:to>
    <mc:AlternateContent xmlns:mc="http://schemas.openxmlformats.org/markup-compatibility/2006" xmlns:a14="http://schemas.microsoft.com/office/drawing/2010/main">
      <mc:Choice Requires="a14">
        <xdr:graphicFrame macro="">
          <xdr:nvGraphicFramePr>
            <xdr:cNvPr id="3" name="Properties">
              <a:extLst>
                <a:ext uri="{FF2B5EF4-FFF2-40B4-BE49-F238E27FC236}">
                  <a16:creationId xmlns:a16="http://schemas.microsoft.com/office/drawing/2014/main" id="{0654D039-4089-4D2A-9BBE-D8EFBEB780B0}"/>
                </a:ext>
              </a:extLst>
            </xdr:cNvPr>
            <xdr:cNvGraphicFramePr/>
          </xdr:nvGraphicFramePr>
          <xdr:xfrm>
            <a:off x="0" y="0"/>
            <a:ext cx="0" cy="0"/>
          </xdr:xfrm>
          <a:graphic>
            <a:graphicData uri="http://schemas.microsoft.com/office/drawing/2010/slicer">
              <sle:slicer xmlns:sle="http://schemas.microsoft.com/office/drawing/2010/slicer" name="Properties"/>
            </a:graphicData>
          </a:graphic>
        </xdr:graphicFrame>
      </mc:Choice>
      <mc:Fallback xmlns="">
        <xdr:sp macro="" textlink="">
          <xdr:nvSpPr>
            <xdr:cNvPr id="0" name=""/>
            <xdr:cNvSpPr>
              <a:spLocks noTextEdit="1"/>
            </xdr:cNvSpPr>
          </xdr:nvSpPr>
          <xdr:spPr>
            <a:xfrm>
              <a:off x="1219201" y="423957"/>
              <a:ext cx="1695450" cy="2190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 Rutzen" refreshedDate="45782.419206481478" createdVersion="8" refreshedVersion="8" minRefreshableVersion="3" recordCount="2891" xr:uid="{F856C848-DDDE-4642-80EC-5A7D805E0C7B}">
  <cacheSource type="worksheet">
    <worksheetSource name="unit_details"/>
  </cacheSource>
  <cacheFields count="30">
    <cacheField name="Property Name" numFmtId="0">
      <sharedItems count="23">
        <s v="MILA"/>
        <s v="Wolf Point West"/>
        <s v="AMLI River North"/>
        <s v="Marquee at Block 37"/>
        <s v="Optima Signature"/>
        <s v="Hubbard Place"/>
        <s v="Millie on Michigan"/>
        <s v="The Gallery on Wells"/>
        <s v="Coast at Lakeshore East"/>
        <s v="OneEleven"/>
        <s v="Click &quot;Enable Editing&quot; to update" u="1"/>
        <s v="Click &quot;Enable Editing&quot; in the yellow banner to update" u="1"/>
        <s v="Click the button that says &quot;Enable Editing&quot;" u="1"/>
        <s v="Click the button that says &quot;Enable Editing&quot; in the Yellow Banner" u="1"/>
        <s v="Please click &quot;Enable Editing&quot;" u="1"/>
        <s v="Please click &quot;Enable Editing&quot; to update" u="1"/>
        <s v="Please click &quot;Enable Editing&quot; to update your comps" u="1"/>
        <s v="Must click &quot;Enable Editing&quot; to update data" u="1"/>
        <s v="&quot;Enable Editing&quot;… click it to update" u="1"/>
        <s v="Click &quot;Enable Editing&quot;" u="1"/>
        <s v="Linea Apartments" u="1"/>
        <s v="Wolf Point East" u="1"/>
        <s v="73 East Lake" u="1"/>
      </sharedItems>
    </cacheField>
    <cacheField name="Address" numFmtId="0">
      <sharedItems/>
    </cacheField>
    <cacheField name="Floorplan Name" numFmtId="0">
      <sharedItems containsBlank="1" count="504">
        <s v="0A"/>
        <s v="SA"/>
        <s v="Residence 06"/>
        <s v="Residence 11"/>
        <s v="Residence 12"/>
        <s v="Residence 05"/>
        <s v="Jr 1A"/>
        <s v="1A"/>
        <s v="Residence 03"/>
        <s v="1B"/>
        <m/>
        <s v="1C"/>
        <s v="Residence 02"/>
        <s v="1D"/>
        <s v="Residence 09"/>
        <s v="1E"/>
        <s v="Residence 08"/>
        <s v="1F"/>
        <s v="Residence 04"/>
        <s v="Residence 01"/>
        <s v="1G"/>
        <s v="Residence 07"/>
        <s v="2A"/>
        <s v="Residence 10"/>
        <s v="Stu-07"/>
        <s v="Stu-06"/>
        <s v="Conv-07"/>
        <s v="Conv-08"/>
        <s v="Conv-01.1"/>
        <s v="Conv-01"/>
        <s v="A-05"/>
        <s v="A-01.1"/>
        <s v="A-12"/>
        <s v="A-06"/>
        <s v="A-03"/>
        <s v="A-02.1"/>
        <s v="A-03.1"/>
        <s v="A-09.1"/>
        <s v="A-10"/>
        <s v="A-11"/>
        <s v="A-01"/>
        <s v="A-04.1"/>
        <s v="B-01"/>
        <s v="B-02"/>
        <s v="B-05"/>
        <s v="B-06"/>
        <s v="B-03"/>
        <s v="B-10"/>
        <s v="B-07"/>
        <s v="B-04"/>
        <s v="B-04.1"/>
        <s v="C-03"/>
        <s v="E100"/>
        <s v="E110"/>
        <s v="E120"/>
        <s v="E130"/>
        <s v="E140"/>
        <s v="E200"/>
        <s v="E210"/>
        <s v="E220"/>
        <s v="A540"/>
        <s v="A400"/>
        <s v="A410"/>
        <s v="A420"/>
        <s v="P-A430"/>
        <s v="A430"/>
        <s v="P-A500"/>
        <s v="A510"/>
        <s v="P-A520"/>
        <s v="P-A530"/>
        <s v="B500"/>
        <s v="C500"/>
        <s v="C550"/>
        <s v="P-C600"/>
        <s v="P-C650"/>
        <s v="P-C1140"/>
        <s v="P-D800"/>
        <s v="Studio x 1A"/>
        <s v="Studio x 05"/>
        <s v="Studio x 1B"/>
        <s v="Studio x 03"/>
        <s v="Studio x 1C"/>
        <s v="Studio x 1D"/>
        <s v="Studio x 1E"/>
        <s v="Studio x 1F"/>
        <s v="Studio x 21"/>
        <s v="Studio x 1G"/>
        <s v="Studio x 1H"/>
        <s v="Convertible x 1B"/>
        <s v="Convertible x 14"/>
        <s v="Convertible x 1C"/>
        <s v="Convertible x 12"/>
        <s v="Studio x 1I"/>
        <s v="Studio x 1J"/>
        <s v="Studio x 19"/>
        <s v="Convertible x 1D"/>
        <s v="Convertible x 1E"/>
        <s v="Convertible x 16"/>
        <s v="Convertible x 1F"/>
        <s v="Convertible x 10"/>
        <s v="Studio x 1K"/>
        <s v="1x1A"/>
        <s v="1 Bedroom x 22"/>
        <s v="1x1C"/>
        <s v="1 Bedroom x 20"/>
        <s v="1x1B"/>
        <s v="1 Bedroom x 18"/>
        <s v="1x1E"/>
        <s v="1x1F"/>
        <s v="1x1G"/>
        <s v="1 Bedroom x 09"/>
        <s v="1x1H"/>
        <s v="1 Bedroom x 06"/>
        <s v="1x1I"/>
        <s v="1 Bedroom x 07"/>
        <s v="1x1J"/>
        <s v="1x1K"/>
        <s v="1x1L"/>
        <s v="1x1M"/>
        <s v="1x1O"/>
        <s v="1x1P"/>
        <s v="1 Bedroom x 04"/>
        <s v="1x1Q"/>
        <s v="1x1R"/>
        <s v="1x1S"/>
        <s v="1 Bedroom x 23"/>
        <s v="1 Bedroom x 11"/>
        <s v="1x1T"/>
        <s v="1x1U"/>
        <s v="1 Bedroom x 03"/>
        <s v="2x2B"/>
        <s v="2 Bedroom x 24"/>
        <s v="2x2C"/>
        <s v="2x2D"/>
        <s v="2x2E"/>
        <s v="2x2F"/>
        <s v="2 Bedroom x 25"/>
        <s v="2x2G"/>
        <s v="2x2H"/>
        <s v="2x2I"/>
        <s v="2x2J"/>
        <s v="3x3A"/>
        <s v="3x3B"/>
        <s v="3x3C"/>
        <s v="3x3D"/>
        <s v="Tower 03"/>
        <s v="Tower 04"/>
        <s v="Tower 13"/>
        <s v="Tower 07"/>
        <s v="Tower 02"/>
        <s v="Tower 05"/>
        <s v="Tower 10"/>
        <s v="Apex 07"/>
        <s v="Tower 11"/>
        <s v="Tower 09"/>
        <s v="Apex 06"/>
        <s v="Apex 08"/>
        <s v="Tower 06"/>
        <s v="Tower 01"/>
        <s v="Apex 02"/>
        <s v="Tower 12"/>
        <s v="Tower 08"/>
        <s v="Apex 03"/>
        <s v="Apex 09"/>
        <s v="Apex 01"/>
        <s v="Apex 04"/>
        <s v="Apex 05"/>
        <s v="Studio_hub 11"/>
        <s v="Studio_hub 02a"/>
        <s v="Studio_hub 02"/>
        <s v="One Bedroom_hub 04"/>
        <s v="Convertible_hub 06"/>
        <s v="One Bedroom_hub 08"/>
        <s v="One Bedroom_hub 10"/>
        <s v="One Bedroom_hub 03"/>
        <s v="One Bedroom_hub 07"/>
        <s v="One Bedroom_hub 05"/>
        <s v="Convertible_hub 11a"/>
        <s v="One Bedroom_hub 09"/>
        <s v="Two Bedroom_hub 01a"/>
        <s v="Two Bedroom_hub 12"/>
        <s v="Two Bedroom_hub 12a"/>
        <s v="Two Bedroom_hub 01"/>
        <s v="Convertible 09"/>
        <s v="Convertible 09 - Accessible"/>
        <s v="Convertible 07"/>
        <s v="Convertible 04"/>
        <s v="Convertible 08 - Accessible"/>
        <s v="Convertible 08"/>
        <s v="1 Bedroom 07a"/>
        <s v="1 Bedroom 07b"/>
        <s v="1 Bedroom 08b"/>
        <s v="1 Bedroom 08 - Accessible"/>
        <s v="1 Bedroom 06"/>
        <s v="1 Bedroom 06 - Accessible"/>
        <s v="1 Bedroom 03b - Accessible"/>
        <s v="1 Bedroom 03a"/>
        <s v="1 Bedroom 03d - Accessible"/>
        <s v="1 Bedroom 03c"/>
        <s v="1 Bedroom 10 - Accessible"/>
        <s v="1 Bedroom 10a"/>
        <s v="1 Bedroom 02a"/>
        <s v="1 Bedroom 02b"/>
        <s v="1 Bedroom 02a - Accessible"/>
        <s v="1 Bedroom 02d"/>
        <s v="1 Bedroom 02b - Accessible"/>
        <s v="1 Bedroom 02e - Accessible"/>
        <s v="1 Bedroom 02f"/>
        <s v="2 Bedroom 05a"/>
        <s v="2 Bedroom 05a - Accessible"/>
        <s v="2 Bedroom 05b"/>
        <s v="2 Bedroom 05c"/>
        <s v="2 Bedroom 05c - Accessible"/>
        <s v="2 Bedroom 01c"/>
        <s v="2 Bedroom 01b"/>
        <s v="2 Bedroom 01a"/>
        <s v="2 Bedroom 01a - Accessible"/>
        <s v="2 Bedroom 03"/>
        <s v="Studio (433 sf)"/>
        <s v="Studio (440 sf)"/>
        <s v="Studio (452 sf)"/>
        <s v="Studio (509 sf)"/>
        <s v="Studio (543 sf)"/>
        <s v="Convertible (563 sf)"/>
        <s v="Convertible (576 sf)"/>
        <s v="Convertible (597 sf)"/>
        <s v="Junior One Bedroom (717 sf)"/>
        <s v="Junior One Bedroom (720 sf)"/>
        <s v="Junior One Bedroom (734 sf)"/>
        <s v="Junior One Bedroom (758 sf)"/>
        <s v="One Bedroom (598 sf)"/>
        <s v="One Bedroom (729 sf)"/>
        <s v="One Bedroom (761 sf)"/>
        <s v="One Bedroom (764 sf)"/>
        <s v="One Bedroom (766 sf)"/>
        <s v="One Bedroom (791 sf)"/>
        <s v="One Bedroom (798 sf)"/>
        <s v="One Bedroom (806 sf)"/>
        <s v="One Bedroom (821 sf)"/>
        <s v="One Bedroom (831 sf)"/>
        <s v="One Bedroom (865 sf)"/>
        <s v="One Bedroom (887 sf)"/>
        <s v="One Bedroom (890 sf)"/>
        <s v="One Bedroom (945 sf)"/>
        <s v="One Bedroom (951 sf)"/>
        <s v="One Bedroom (999 sf)"/>
        <s v="Two Bedroom (955 sf)"/>
        <s v="Two Bedroom (963 sf)"/>
        <s v="Two Bedroom (1220 sf)"/>
        <s v="Two Bedroom (1225 sf)"/>
        <s v="Two Bedroom (1294 sf)"/>
        <s v="Two Bedroom (1338 sf)"/>
        <s v="Two Bedroom (1396 sf)"/>
        <s v="Two Bedroom (1474 sf)"/>
        <s v="Three Bedroom (1572 sf)"/>
        <s v="Cx1A"/>
        <s v="Sx1A-ADA"/>
        <s v="Sx1A"/>
        <s v="Sx1C"/>
        <s v="Sx1B"/>
        <s v="Sx1B-ADA"/>
        <s v="Cx1B"/>
        <s v="Cx1B-ADA"/>
        <s v="1x1L-ADA"/>
        <s v="1x1J-ADA"/>
        <s v="1x1K-ADA"/>
        <s v="1x1A-ADA"/>
        <s v="1x1M-ADA"/>
        <s v="1x1B-ADA"/>
        <s v="1x1D-ADA"/>
        <s v="1x1D"/>
        <s v="1x1G-ADA"/>
        <s v="1x1C-ADA"/>
        <s v="1x1F-ADA"/>
        <s v="1x1I-ADA"/>
        <s v="1x1H-ADA"/>
        <s v="2x1A-ADA"/>
        <s v="2x1A"/>
        <s v="2x2.5A Penthouse"/>
        <s v="2x2G-ADA"/>
        <s v="2x2A"/>
        <s v="2x2A-ADA"/>
        <s v="2x2E-ADA"/>
        <s v="2x2F Penthouse"/>
        <s v="3x2A"/>
        <s v="Convertible"/>
        <s v="Studio"/>
        <s v="Studio Alcove"/>
        <s v="1 Bed 1 Bath"/>
        <s v="1 Bed/1 Bath"/>
        <s v="2 Bed 2 Bath"/>
        <s v="3 Bed 3 Bath"/>
        <s v="3 Bed 3 Bath PH"/>
        <s v="06 Tier Studio" u="1"/>
        <s v="11 Tier Studio" u="1"/>
        <s v="05 Tier Convertible" u="1"/>
        <s v="12 Tier Convertible" u="1"/>
        <s v="02 Tier 1BR/1BA" u="1"/>
        <s v="03 Tier 1BR/1BA" u="1"/>
        <s v="09 Tier 1BR/1BA" u="1"/>
        <s v="08 Tier 1BR/1BA" u="1"/>
        <s v="04 Tier 1BR/1BA" u="1"/>
        <s v="10 Tier 2BR/2BA" u="1"/>
        <s v="07 Tier 2BR/2BA" u="1"/>
        <s v="A-021" u="1"/>
        <s v="A-031" u="1"/>
        <s v="A-091" u="1"/>
        <s v="A-041" u="1"/>
        <s v="B-041" u="1"/>
        <s v="1x1W" u="1"/>
        <s v="S1" u="1"/>
        <s v="C1" u="1"/>
        <s v="C2" u="1"/>
        <s v="C3" u="1"/>
        <s v="1BT" u="1"/>
        <s v="1CT" u="1"/>
        <s v="1DT" u="1"/>
        <s v="1ET" u="1"/>
        <s v="2B" u="1"/>
        <s v="2BT" u="1"/>
        <s v="2C" u="1"/>
        <s v="2CT" u="1"/>
        <s v="2D" u="1"/>
        <s v="3A" u="1"/>
        <s v="3BT" u="1"/>
        <s v="3C" u="1"/>
        <s v="S2 (Studio X 1)" u="1"/>
        <s v="1114" u="1"/>
        <s v="S2" u="1"/>
        <s v="2314" u="1"/>
        <s v="914" u="1"/>
        <s v="814" u="1"/>
        <s v="2814" u="1"/>
        <s v="3614" u="1"/>
        <s v="2714" u="1"/>
        <s v="S3 (Studio X 1)" u="1"/>
        <s v="S3" u="1"/>
        <s v="1307" u="1"/>
        <s v="1507" u="1"/>
        <s v="3307" u="1"/>
        <s v="3907" u="1"/>
        <s v="1611" u="1"/>
        <s v="411" u="1"/>
        <s v="1011" u="1"/>
        <s v="511" u="1"/>
        <s v="SC2" u="1"/>
        <s v="3711" u="1"/>
        <s v="3911" u="1"/>
        <s v="SC3" u="1"/>
        <s v="3311" u="1"/>
        <s v="2811" u="1"/>
        <s v="3411" u="1"/>
        <s v="SC4 (Studio X 1)" u="1"/>
        <s v="4104" u="1"/>
        <s v="SC5" u="1"/>
        <s v="5008" u="1"/>
        <s v="4408" u="1"/>
        <s v="5108" u="1"/>
        <s v="4303" u="1"/>
        <s v="4603" u="1"/>
        <s v="SC6 (Studio X 1)" u="1"/>
        <s v="SC6" u="1"/>
        <s v="S4 (Studio X 1)" u="1"/>
        <s v="A19" u="1"/>
        <s v="A1" u="1"/>
        <s v="5211" u="1"/>
        <s v="4411" u="1"/>
        <s v="A2 1 X 1" u="1"/>
        <s v="A2" u="1"/>
        <s v="4510" u="1"/>
        <s v="5010" u="1"/>
        <s v="5310" u="1"/>
        <s v="A5" u="1"/>
        <s v="4706" u="1"/>
        <s v="A7" u="1"/>
        <s v="A7 1 X 1" u="1"/>
        <s v="3209" u="1"/>
        <s v="2109" u="1"/>
        <s v="3009" u="1"/>
        <s v="A8" u="1"/>
        <s v="A8 1 X 1" u="1"/>
        <s v="4905" u="1"/>
        <s v="2512" u="1"/>
        <s v="A9" u="1"/>
        <s v="2612" u="1"/>
        <s v="3312" u="1"/>
        <s v="A9 1 X 1" u="1"/>
        <s v="3412" u="1"/>
        <s v="A10" u="1"/>
        <s v="708" u="1"/>
        <s v="1708" u="1"/>
        <s v="3408" u="1"/>
        <s v="3908" u="1"/>
        <s v="612" u="1"/>
        <s v="A11" u="1"/>
        <s v="3912" u="1"/>
        <s v="A12" u="1"/>
        <s v="A12 1 X 1" u="1"/>
        <s v="1409" u="1"/>
        <s v="A13" u="1"/>
        <s v="A14" u="1"/>
        <s v="4304" u="1"/>
        <s v="1810" u="1"/>
        <s v="A15" u="1"/>
        <s v="1010" u="1"/>
        <s v="1210" u="1"/>
        <s v="A16" u="1"/>
        <s v="2606" u="1"/>
        <s v="1 Bedroom / 1 Bathroom" u="1"/>
        <s v="A16 1 X 1" u="1"/>
        <s v="3106" u="1"/>
        <s v="A17" u="1"/>
        <s v="A18" u="1"/>
        <s v="A18 (1 X 1)" u="1"/>
        <s v="3003" u="1"/>
        <s v="2603" u="1"/>
        <s v="2103" u="1"/>
        <s v="906" u="1"/>
        <s v="1706" u="1"/>
        <s v="2310" u="1"/>
        <s v="2810" u="1"/>
        <s v="A20" u="1"/>
        <s v="3410" u="1"/>
        <s v="A21 (1 X 1)" u="1"/>
        <s v="A21" u="1"/>
        <s v="603" u="1"/>
        <s v="A22" u="1"/>
        <s v="A23" u="1"/>
        <s v="A23 1 X 1" u="1"/>
        <s v="1602" u="1"/>
        <s v="1702" u="1"/>
        <s v="3602" u="1"/>
        <s v="3902" u="1"/>
        <s v="3102" u="1"/>
        <s v="A24 1 X 1" u="1"/>
        <s v="5504" u="1"/>
        <s v="A25" u="1"/>
        <s v="A25 1 X 1" u="1"/>
        <s v="905" u="1"/>
        <s v="1305" u="1"/>
        <s v="A26" u="1"/>
        <s v="A26 1 X 1" u="1"/>
        <s v="5502" u="1"/>
        <s v="4312" u="1"/>
        <s v="4512" u="1"/>
        <s v="A+D-2 (1 X 1)" u="1"/>
        <s v="5411" u="1"/>
        <s v="A+D-2" u="1"/>
        <s v="PH-1" u="1"/>
        <s v="5604" u="1"/>
        <s v="5107" u="1"/>
        <s v="B2" u="1"/>
        <s v="1204" u="1"/>
        <s v="B4" u="1"/>
        <s v="3204" u="1"/>
        <s v="B5" u="1"/>
        <s v="1201" u="1"/>
        <s v="1001" u="1"/>
        <s v="B6" u="1"/>
        <s v="2201" u="1"/>
        <s v="B6 2 X 2" u="1"/>
        <s v="3601" u="1"/>
        <s v="3801" u="1"/>
        <s v="4302" u="1"/>
        <s v="4202" u="1"/>
        <s v="B9" u="1"/>
        <s v="2 Bedroom / 2 Bathroom" u="1"/>
        <s v="1313" u="1"/>
        <s v="1713" u="1"/>
        <s v="B10" u="1"/>
        <s v="3113" u="1"/>
        <s v="B12" u="1"/>
        <s v="B13" u="1"/>
        <s v="4309" u="1"/>
        <s v="B12 2 X 2" u="1"/>
        <s v="PH-2" u="1"/>
        <s v="4101" u="1"/>
        <s v="PH-3" u="1"/>
        <s v="5802" u="1"/>
        <s v="5603" u="1"/>
        <s v="PH-4" u="1"/>
        <s v="B15 2 X 2" u="1"/>
        <s v="5401" u="1"/>
        <s v="D1" u="1"/>
        <s v="D2" u="1"/>
        <s v="4501" u="1"/>
        <s v="PH-6" u="1"/>
        <s v="5701" u="1"/>
        <s v="07a" u="1"/>
        <s v="10a" u="1"/>
        <s v="05" u="1"/>
        <s v="06" u="1"/>
        <s v="10b" u="1"/>
        <s v="02" u="1"/>
        <s v="01a" u="1"/>
        <s v="11" u="1"/>
        <s v="07b" u="1"/>
        <s v="09a" u="1"/>
        <s v="03" u="1"/>
        <s v="08a" u="1"/>
        <s v="08b" u="1"/>
        <s v="04" u="1"/>
        <s v="01b" u="1"/>
        <s v="09b" u="1"/>
      </sharedItems>
    </cacheField>
    <cacheField name="Unit #" numFmtId="0">
      <sharedItems containsBlank="1"/>
    </cacheField>
    <cacheField name="Floor #" numFmtId="0">
      <sharedItems containsString="0" containsBlank="1" containsNumber="1" containsInteger="1" minValue="2" maxValue="61"/>
    </cacheField>
    <cacheField name="Beds" numFmtId="0">
      <sharedItems containsSemiMixedTypes="0" containsString="0" containsNumber="1" containsInteger="1" minValue="0" maxValue="5" count="6">
        <n v="0"/>
        <n v="1"/>
        <n v="2"/>
        <n v="4"/>
        <n v="3"/>
        <n v="5" u="1"/>
      </sharedItems>
    </cacheField>
    <cacheField name="Baths" numFmtId="0">
      <sharedItems containsSemiMixedTypes="0" containsString="0" containsNumber="1" containsInteger="1" minValue="1" maxValue="3"/>
    </cacheField>
    <cacheField name="Partial Baths" numFmtId="0">
      <sharedItems containsString="0" containsBlank="1" containsNumber="1" containsInteger="1" minValue="1" maxValue="1"/>
    </cacheField>
    <cacheField name="Sqft" numFmtId="3">
      <sharedItems containsString="0" containsBlank="1" containsNumber="1" containsInteger="1" minValue="433" maxValue="2335" count="253">
        <n v="540"/>
        <n v="645"/>
        <n v="717"/>
        <n v="729"/>
        <n v="860"/>
        <n v="869"/>
        <n v="879"/>
        <n v="1107"/>
        <n v="493"/>
        <n v="615"/>
        <n v="618"/>
        <n v="642"/>
        <n v="643"/>
        <m/>
        <n v="900"/>
        <n v="1080"/>
        <n v="678"/>
        <n v="683"/>
        <n v="686"/>
        <n v="700"/>
        <n v="720"/>
        <n v="721"/>
        <n v="730"/>
        <n v="752"/>
        <n v="786"/>
        <n v="824"/>
        <n v="831"/>
        <n v="873"/>
        <n v="905"/>
        <n v="1142"/>
        <n v="1518"/>
        <n v="1073"/>
        <n v="1139"/>
        <n v="1158"/>
        <n v="1168"/>
        <n v="1258"/>
        <n v="1260"/>
        <n v="1273"/>
        <n v="1364"/>
        <n v="1431"/>
        <n v="1829"/>
        <n v="560"/>
        <n v="572"/>
        <n v="575"/>
        <n v="585"/>
        <n v="593"/>
        <n v="604"/>
        <n v="653"/>
        <n v="660"/>
        <n v="993"/>
        <n v="801"/>
        <n v="827"/>
        <n v="850"/>
        <n v="857"/>
        <n v="865"/>
        <n v="913"/>
        <n v="961"/>
        <n v="966"/>
        <n v="980"/>
        <n v="1081"/>
        <n v="1197"/>
        <n v="1199"/>
        <n v="1257"/>
        <n v="1293"/>
        <n v="1742"/>
        <n v="1752"/>
        <n v="574"/>
        <n v="587"/>
        <n v="594"/>
        <n v="595"/>
        <n v="606"/>
        <n v="656"/>
        <n v="669"/>
        <n v="671"/>
        <n v="675"/>
        <n v="704"/>
        <n v="707"/>
        <n v="712"/>
        <n v="715"/>
        <n v="728"/>
        <n v="795"/>
        <n v="808"/>
        <n v="812"/>
        <n v="813"/>
        <n v="816"/>
        <n v="819"/>
        <n v="822"/>
        <n v="835"/>
        <n v="855"/>
        <n v="861"/>
        <n v="885"/>
        <n v="904"/>
        <n v="906"/>
        <n v="985"/>
        <n v="1228"/>
        <n v="1248"/>
        <n v="1289"/>
        <n v="1301"/>
        <n v="1305"/>
        <n v="1315"/>
        <n v="1337"/>
        <n v="1358"/>
        <n v="1363"/>
        <n v="1869"/>
        <n v="1911"/>
        <n v="1936"/>
        <n v="2102"/>
        <n v="571"/>
        <n v="597"/>
        <n v="734"/>
        <n v="747"/>
        <n v="881"/>
        <n v="923"/>
        <n v="1230"/>
        <n v="1245"/>
        <n v="1249"/>
        <n v="1250"/>
        <n v="1316"/>
        <n v="1318"/>
        <n v="1511"/>
        <n v="1613"/>
        <n v="1626"/>
        <n v="1642"/>
        <n v="480"/>
        <n v="546"/>
        <n v="1087"/>
        <n v="1110"/>
        <n v="629"/>
        <n v="658"/>
        <n v="672"/>
        <n v="689"/>
        <n v="692"/>
        <n v="723"/>
        <n v="724"/>
        <n v="737"/>
        <n v="739"/>
        <n v="785"/>
        <n v="799"/>
        <n v="806"/>
        <n v="811"/>
        <n v="818"/>
        <n v="820"/>
        <n v="833"/>
        <n v="878"/>
        <n v="883"/>
        <n v="909"/>
        <n v="1177"/>
        <n v="1223"/>
        <n v="1283"/>
        <n v="1325"/>
        <n v="502"/>
        <n v="590"/>
        <n v="591"/>
        <n v="600"/>
        <n v="607"/>
        <n v="578"/>
        <n v="702"/>
        <n v="703"/>
        <n v="754"/>
        <n v="782"/>
        <n v="797"/>
        <n v="802"/>
        <n v="1088"/>
        <n v="1097"/>
        <n v="1100"/>
        <n v="1118"/>
        <n v="1123"/>
        <n v="1134"/>
        <n v="1137"/>
        <n v="433"/>
        <n v="440"/>
        <n v="452"/>
        <n v="509"/>
        <n v="543"/>
        <n v="563"/>
        <n v="576"/>
        <n v="758"/>
        <n v="598"/>
        <n v="761"/>
        <n v="764"/>
        <n v="766"/>
        <n v="791"/>
        <n v="798"/>
        <n v="821"/>
        <n v="887"/>
        <n v="890"/>
        <n v="945"/>
        <n v="951"/>
        <n v="999"/>
        <n v="955"/>
        <n v="963"/>
        <n v="1220"/>
        <n v="1225"/>
        <n v="1294"/>
        <n v="1338"/>
        <n v="1396"/>
        <n v="1474"/>
        <n v="1572"/>
        <n v="522"/>
        <n v="538"/>
        <n v="652"/>
        <n v="663"/>
        <n v="718"/>
        <n v="757"/>
        <n v="769"/>
        <n v="770"/>
        <n v="803"/>
        <n v="829"/>
        <n v="844"/>
        <n v="848"/>
        <n v="1576"/>
        <n v="1060"/>
        <n v="1171"/>
        <n v="1208"/>
        <n v="1342"/>
        <n v="1442"/>
        <n v="627"/>
        <n v="521"/>
        <n v="525"/>
        <n v="539"/>
        <n v="544"/>
        <n v="567"/>
        <n v="573"/>
        <n v="639"/>
        <n v="661"/>
        <n v="586"/>
        <n v="608"/>
        <n v="617"/>
        <n v="695"/>
        <n v="709"/>
        <n v="711"/>
        <n v="719"/>
        <n v="733"/>
        <n v="751"/>
        <n v="780"/>
        <n v="787"/>
        <n v="810"/>
        <n v="823"/>
        <n v="1049"/>
        <n v="1056"/>
        <n v="1120"/>
        <n v="1149"/>
        <n v="1153"/>
        <n v="1154"/>
        <n v="1272"/>
        <n v="1282"/>
        <n v="1340"/>
        <n v="1344"/>
        <n v="1571"/>
        <n v="1620"/>
        <n v="1734"/>
        <n v="2257"/>
        <n v="2335"/>
      </sharedItems>
    </cacheField>
    <cacheField name="First Listed" numFmtId="14">
      <sharedItems containsNonDate="0" containsDate="1" containsString="0" containsBlank="1" minDate="2023-06-19T00:00:00" maxDate="2025-03-19T00:00:00" count="593">
        <d v="2024-05-03T00:00:00"/>
        <d v="2024-06-05T00:00:00"/>
        <d v="2024-05-18T00:00:00"/>
        <d v="2024-05-08T00:00:00"/>
        <d v="2024-05-25T00:00:00"/>
        <d v="2024-05-22T00:00:00"/>
        <d v="2024-08-23T00:00:00"/>
        <d v="2024-06-08T00:00:00"/>
        <d v="2024-12-15T00:00:00"/>
        <d v="2024-05-15T00:00:00"/>
        <d v="2024-02-12T00:00:00"/>
        <d v="2024-06-18T00:00:00"/>
        <d v="2024-05-07T00:00:00"/>
        <d v="2024-05-17T00:00:00"/>
        <d v="2023-07-18T00:00:00"/>
        <d v="2023-07-19T00:00:00"/>
        <d v="2023-06-29T00:00:00"/>
        <d v="2024-07-03T00:00:00"/>
        <d v="2024-06-20T00:00:00"/>
        <d v="2023-09-16T00:00:00"/>
        <d v="2024-11-27T00:00:00"/>
        <d v="2024-10-25T00:00:00"/>
        <d v="2024-02-20T00:00:00"/>
        <d v="2023-07-11T00:00:00"/>
        <d v="2024-08-30T00:00:00"/>
        <d v="2023-07-01T00:00:00"/>
        <d v="2024-08-13T00:00:00"/>
        <d v="2024-08-28T00:00:00"/>
        <d v="2024-05-21T00:00:00"/>
        <d v="2025-03-08T00:00:00"/>
        <d v="2025-01-15T00:00:00"/>
        <d v="2025-01-11T00:00:00"/>
        <d v="2025-02-28T00:00:00"/>
        <d v="2025-03-15T00:00:00"/>
        <d v="2025-03-05T00:00:00"/>
        <d v="2023-07-08T00:00:00"/>
        <d v="2023-10-11T00:00:00"/>
        <d v="2023-11-09T00:00:00"/>
        <d v="2024-02-24T00:00:00"/>
        <d v="2024-06-12T00:00:00"/>
        <d v="2023-10-20T00:00:00"/>
        <d v="2024-02-21T00:00:00"/>
        <d v="2024-08-03T00:00:00"/>
        <d v="2024-08-20T00:00:00"/>
        <d v="2024-06-04T00:00:00"/>
        <d v="2023-07-27T00:00:00"/>
        <d v="2023-10-26T00:00:00"/>
        <d v="2024-07-25T00:00:00"/>
        <d v="2024-06-26T00:00:00"/>
        <d v="2024-10-08T00:00:00"/>
        <d v="2024-11-29T00:00:00"/>
        <d v="2025-01-25T00:00:00"/>
        <d v="2024-10-05T00:00:00"/>
        <d v="2024-11-05T00:00:00"/>
        <d v="2024-07-19T00:00:00"/>
        <d v="2023-12-16T00:00:00"/>
        <d v="2023-07-14T00:00:00"/>
        <d v="2023-08-01T00:00:00"/>
        <d v="2024-02-13T00:00:00"/>
        <d v="2024-05-12T00:00:00"/>
        <d v="2024-05-27T00:00:00"/>
        <d v="2024-11-03T00:00:00"/>
        <d v="2024-07-23T00:00:00"/>
        <d v="2024-11-07T00:00:00"/>
        <d v="2024-07-29T00:00:00"/>
        <d v="2023-11-04T00:00:00"/>
        <d v="2025-03-13T00:00:00"/>
        <d v="2024-12-19T00:00:00"/>
        <d v="2023-07-22T00:00:00"/>
        <d v="2023-12-05T00:00:00"/>
        <d v="2024-08-07T00:00:00"/>
        <d v="2024-07-09T00:00:00"/>
        <d v="2024-07-30T00:00:00"/>
        <d v="2024-11-28T00:00:00"/>
        <d v="2024-12-04T00:00:00"/>
        <d v="2023-12-07T00:00:00"/>
        <d v="2023-12-23T00:00:00"/>
        <d v="2023-12-22T00:00:00"/>
        <d v="2024-08-14T00:00:00"/>
        <d v="2025-03-18T00:00:00"/>
        <d v="2024-03-01T00:00:00"/>
        <d v="2023-11-22T00:00:00"/>
        <d v="2024-05-24T00:00:00"/>
        <d v="2024-05-04T00:00:00"/>
        <d v="2024-06-27T00:00:00"/>
        <d v="2023-10-27T00:00:00"/>
        <d v="2025-01-31T00:00:00"/>
        <d v="2024-12-14T00:00:00"/>
        <d v="2024-10-17T00:00:00"/>
        <d v="2024-06-11T00:00:00"/>
        <d v="2024-08-17T00:00:00"/>
        <d v="2025-01-07T00:00:00"/>
        <d v="2023-11-28T00:00:00"/>
        <d v="2023-07-06T00:00:00"/>
        <d v="2024-05-29T00:00:00"/>
        <d v="2024-10-06T00:00:00"/>
        <d v="2023-12-10T00:00:00"/>
        <d v="2024-06-19T00:00:00"/>
        <d v="2024-02-16T00:00:00"/>
        <d v="2025-03-12T00:00:00"/>
        <d v="2024-05-10T00:00:00"/>
        <d v="2024-05-16T00:00:00"/>
        <d v="2024-07-28T00:00:00"/>
        <d v="2024-11-01T00:00:00"/>
        <d v="2023-12-13T00:00:00"/>
        <d v="2024-10-31T00:00:00"/>
        <d v="2025-03-07T00:00:00"/>
        <d v="2023-11-17T00:00:00"/>
        <d v="2024-12-05T00:00:00"/>
        <d v="2024-06-29T00:00:00"/>
        <d v="2023-11-01T00:00:00"/>
        <d v="2023-10-16T00:00:00"/>
        <d v="2024-07-02T00:00:00"/>
        <d v="2024-07-13T00:00:00"/>
        <d v="2025-01-03T00:00:00"/>
        <d v="2024-12-17T00:00:00"/>
        <d v="2023-11-20T00:00:00"/>
        <d v="2024-10-11T00:00:00"/>
        <d v="2024-11-12T00:00:00"/>
        <d v="2024-11-21T00:00:00"/>
        <d v="2025-03-04T00:00:00"/>
        <d v="2024-02-05T00:00:00"/>
        <d v="2025-02-05T00:00:00"/>
        <d v="2025-02-27T00:00:00"/>
        <d v="2024-03-02T00:00:00"/>
        <d v="2025-02-03T00:00:00"/>
        <d v="2024-06-14T00:00:00"/>
        <d v="2024-07-10T00:00:00"/>
        <d v="2024-06-09T00:00:00"/>
        <d v="2023-06-23T00:00:00"/>
        <m/>
        <d v="2024-08-22T00:00:00"/>
        <d v="2024-02-04T00:00:00"/>
        <d v="2024-07-26T00:00:00"/>
        <d v="2024-08-08T00:00:00"/>
        <d v="2025-01-18T00:00:00"/>
        <d v="2024-06-01T00:00:00"/>
        <d v="2024-11-08T00:00:00"/>
        <d v="2024-02-02T00:00:00"/>
        <d v="2024-10-12T00:00:00"/>
        <d v="2025-01-16T00:00:00"/>
        <d v="2023-08-15T00:00:00"/>
        <d v="2023-06-19T00:00:00"/>
        <d v="2023-12-11T00:00:00"/>
        <d v="2023-07-09T00:00:00"/>
        <d v="2023-08-24T00:00:00"/>
        <d v="2023-09-12T00:00:00"/>
        <d v="2025-01-17T00:00:00"/>
        <d v="2025-03-11T00:00:00"/>
        <d v="2025-03-14T00:00:00"/>
        <d v="2024-09-26T00:00:00"/>
        <d v="2024-09-12T00:00:00"/>
        <d v="2024-06-16T00:00:00"/>
        <d v="2024-08-11T00:00:00"/>
        <d v="2024-05-23T00:00:00"/>
        <d v="2024-09-07T00:00:00"/>
        <d v="2024-08-10T00:00:00"/>
        <d v="2024-07-24T00:00:00"/>
        <d v="2024-07-17T00:00:00"/>
        <d v="2025-01-04T00:00:00"/>
        <d v="2024-07-31T00:00:00"/>
        <d v="2025-02-23T00:00:00"/>
        <d v="2025-02-04T00:00:00"/>
        <d v="2025-02-12T00:00:00"/>
        <d v="2023-08-10T00:00:00"/>
        <d v="2023-09-18T00:00:00"/>
        <d v="2023-09-14T00:00:00"/>
        <d v="2023-07-24T00:00:00"/>
        <d v="2023-09-04T00:00:00"/>
        <d v="2023-08-03T00:00:00"/>
        <d v="2023-09-11T00:00:00"/>
        <d v="2023-09-02T00:00:00"/>
        <d v="2023-06-27T00:00:00"/>
        <d v="2023-08-29T00:00:00"/>
        <d v="2024-09-05T00:00:00"/>
        <d v="2024-09-13T00:00:00"/>
        <d v="2024-08-06T00:00:00"/>
        <d v="2024-09-25T00:00:00"/>
        <d v="2024-12-16T00:00:00"/>
        <d v="2025-01-09T00:00:00"/>
        <d v="2025-02-20T00:00:00"/>
        <d v="2023-07-02T00:00:00"/>
        <d v="2023-08-26T00:00:00"/>
        <d v="2024-09-21T00:00:00"/>
        <d v="2024-09-10T00:00:00"/>
        <d v="2024-10-02T00:00:00"/>
        <d v="2025-01-29T00:00:00"/>
        <d v="2025-02-09T00:00:00"/>
        <d v="2025-02-21T00:00:00"/>
        <d v="2024-12-03T00:00:00"/>
        <d v="2023-10-08T00:00:00"/>
        <d v="2025-02-06T00:00:00"/>
        <d v="2024-08-29T00:00:00"/>
        <d v="2024-07-22T00:00:00"/>
        <d v="2025-03-10T00:00:00"/>
        <d v="2023-08-09T00:00:00"/>
        <d v="2023-10-12T00:00:00"/>
        <d v="2024-06-23T00:00:00"/>
        <d v="2024-09-24T00:00:00"/>
        <d v="2023-12-12T00:00:00"/>
        <d v="2024-09-14T00:00:00"/>
        <d v="2023-07-26T00:00:00"/>
        <d v="2024-08-31T00:00:00"/>
        <d v="2024-06-13T00:00:00"/>
        <d v="2024-12-28T00:00:00"/>
        <d v="2023-07-10T00:00:00"/>
        <d v="2025-03-09T00:00:00"/>
        <d v="2024-05-31T00:00:00"/>
        <d v="2024-06-15T00:00:00"/>
        <d v="2024-12-24T00:00:00"/>
        <d v="2023-09-19T00:00:00"/>
        <d v="2025-02-26T00:00:00"/>
        <d v="2024-02-26T00:00:00"/>
        <d v="2025-02-11T00:00:00"/>
        <d v="2024-05-30T00:00:00"/>
        <d v="2023-11-29T00:00:00"/>
        <d v="2024-03-10T00:00:00"/>
        <d v="2024-01-21T00:00:00"/>
        <d v="2024-03-26T00:00:00"/>
        <d v="2024-06-10T00:00:00"/>
        <d v="2024-04-05T00:00:00"/>
        <d v="2024-11-16T00:00:00"/>
        <d v="2023-07-23T00:00:00"/>
        <d v="2024-10-24T00:00:00"/>
        <d v="2025-02-10T00:00:00"/>
        <d v="2024-03-20T00:00:00"/>
        <d v="2023-06-22T00:00:00"/>
        <d v="2024-12-25T00:00:00"/>
        <d v="2024-08-12T00:00:00"/>
        <d v="2025-01-24T00:00:00"/>
        <d v="2024-02-23T00:00:00"/>
        <d v="2024-04-28T00:00:00"/>
        <d v="2025-03-17T00:00:00"/>
        <d v="2024-03-29T00:00:00"/>
        <d v="2024-04-09T00:00:00"/>
        <d v="2023-12-21T00:00:00"/>
        <d v="2024-01-31T00:00:00"/>
        <d v="2023-08-30T00:00:00"/>
        <d v="2023-12-06T00:00:00"/>
        <d v="2023-08-23T00:00:00"/>
        <d v="2024-07-20T00:00:00"/>
        <d v="2025-01-06T00:00:00"/>
        <d v="2024-10-10T00:00:00"/>
        <d v="2024-04-04T00:00:00"/>
        <d v="2023-08-19T00:00:00"/>
        <d v="2023-09-08T00:00:00"/>
        <d v="2024-09-27T00:00:00"/>
        <d v="2024-11-13T00:00:00"/>
        <d v="2024-04-18T00:00:00"/>
        <d v="2024-04-22T00:00:00"/>
        <d v="2024-08-04T00:00:00"/>
        <d v="2023-07-29T00:00:00"/>
        <d v="2024-01-08T00:00:00"/>
        <d v="2024-02-03T00:00:00"/>
        <d v="2024-04-11T00:00:00"/>
        <d v="2024-07-01T00:00:00"/>
        <d v="2024-12-30T00:00:00"/>
        <d v="2024-11-26T00:00:00"/>
        <d v="2023-07-12T00:00:00"/>
        <d v="2024-10-15T00:00:00"/>
        <d v="2024-10-13T00:00:00"/>
        <d v="2024-11-17T00:00:00"/>
        <d v="2025-01-27T00:00:00"/>
        <d v="2023-09-07T00:00:00"/>
        <d v="2023-09-28T00:00:00"/>
        <d v="2025-02-01T00:00:00"/>
        <d v="2025-02-08T00:00:00"/>
        <d v="2024-08-16T00:00:00"/>
        <d v="2024-09-16T00:00:00"/>
        <d v="2024-09-20T00:00:00"/>
        <d v="2024-02-14T00:00:00"/>
        <d v="2024-01-26T00:00:00"/>
        <d v="2024-08-09T00:00:00"/>
        <d v="2024-10-28T00:00:00"/>
        <d v="2024-12-18T00:00:00"/>
        <d v="2025-02-15T00:00:00"/>
        <d v="2024-10-09T00:00:00"/>
        <d v="2024-02-22T00:00:00"/>
        <d v="2025-01-21T00:00:00"/>
        <d v="2023-09-21T00:00:00"/>
        <d v="2023-06-30T00:00:00"/>
        <d v="2024-07-27T00:00:00"/>
        <d v="2024-09-22T00:00:00"/>
        <d v="2024-04-29T00:00:00"/>
        <d v="2024-04-16T00:00:00"/>
        <d v="2023-09-22T00:00:00"/>
        <d v="2023-12-09T00:00:00"/>
        <d v="2023-10-06T00:00:00"/>
        <d v="2025-02-17T00:00:00"/>
        <d v="2024-02-08T00:00:00"/>
        <d v="2024-10-29T00:00:00"/>
        <d v="2024-04-27T00:00:00"/>
        <d v="2024-03-08T00:00:00"/>
        <d v="2024-10-22T00:00:00"/>
        <d v="2024-11-14T00:00:00"/>
        <d v="2024-01-07T00:00:00"/>
        <d v="2023-07-13T00:00:00"/>
        <d v="2023-08-07T00:00:00"/>
        <d v="2023-11-14T00:00:00"/>
        <d v="2023-11-21T00:00:00"/>
        <d v="2025-01-28T00:00:00"/>
        <d v="2025-01-08T00:00:00"/>
        <d v="2023-12-01T00:00:00"/>
        <d v="2023-10-10T00:00:00"/>
        <d v="2024-03-31T00:00:00"/>
        <d v="2025-02-02T00:00:00"/>
        <d v="2025-01-22T00:00:00"/>
        <d v="2024-09-30T00:00:00"/>
        <d v="2024-01-03T00:00:00"/>
        <d v="2023-12-19T00:00:00"/>
        <d v="2023-11-07T00:00:00"/>
        <d v="2024-03-04T00:00:00"/>
        <d v="2025-02-25T00:00:00"/>
        <d v="2024-10-03T00:00:00"/>
        <d v="2024-12-06T00:00:00"/>
        <d v="2023-08-11T00:00:00"/>
        <d v="2024-04-15T00:00:00"/>
        <d v="2024-04-08T00:00:00"/>
        <d v="2023-07-20T00:00:00"/>
        <d v="2024-11-22T00:00:00"/>
        <d v="2024-06-22T00:00:00"/>
        <d v="2024-04-01T00:00:00"/>
        <d v="2024-03-12T00:00:00"/>
        <d v="2024-06-21T00:00:00"/>
        <d v="2024-12-12T00:00:00"/>
        <d v="2024-07-18T00:00:00"/>
        <d v="2023-10-24T00:00:00"/>
        <d v="2023-08-05T00:00:00"/>
        <d v="2024-04-20T00:00:00"/>
        <d v="2024-06-06T00:00:00"/>
        <d v="2023-10-03T00:00:00"/>
        <d v="2024-03-25T00:00:00"/>
        <d v="2025-01-20T00:00:00"/>
        <d v="2024-06-07T00:00:00"/>
        <d v="2024-12-27T00:00:00"/>
        <d v="2024-04-19T00:00:00"/>
        <d v="2024-04-02T00:00:00"/>
        <d v="2024-04-23T00:00:00"/>
        <d v="2025-02-13T00:00:00"/>
        <d v="2023-10-18T00:00:00"/>
        <d v="2024-12-09T00:00:00"/>
        <d v="2023-10-21T00:00:00"/>
        <d v="2024-01-11T00:00:00"/>
        <d v="2024-06-25T00:00:00"/>
        <d v="2025-02-19T00:00:00"/>
        <d v="2024-04-25T00:00:00"/>
        <d v="2024-12-23T00:00:00"/>
        <d v="2023-06-21T00:00:00"/>
        <d v="2024-10-21T00:00:00"/>
        <d v="2024-06-24T00:00:00"/>
        <d v="2024-01-30T00:00:00"/>
        <d v="2024-03-06T00:00:00"/>
        <d v="2023-07-03T00:00:00"/>
        <d v="2024-01-17T00:00:00"/>
        <d v="2023-06-24T00:00:00"/>
        <d v="2024-10-18T00:00:00"/>
        <d v="2025-03-06T00:00:00"/>
        <d v="2024-08-01T00:00:00"/>
        <d v="2024-08-27T00:00:00"/>
        <d v="2024-04-03T00:00:00"/>
        <d v="2024-01-23T00:00:00"/>
        <d v="2024-02-09T00:00:00"/>
        <d v="2024-04-10T00:00:00"/>
        <d v="2023-12-20T00:00:00"/>
        <d v="2024-06-03T00:00:00"/>
        <d v="2025-01-02T00:00:00"/>
        <d v="2025-01-13T00:00:00"/>
        <d v="2023-11-12T00:00:00"/>
        <d v="2024-04-13T00:00:00"/>
        <d v="2023-08-12T00:00:00"/>
        <d v="2024-07-12T00:00:00"/>
        <d v="2023-11-15T00:00:00"/>
        <d v="2023-09-27T00:00:00"/>
        <d v="2023-10-17T00:00:00"/>
        <d v="2024-01-10T00:00:00"/>
        <d v="2023-10-25T00:00:00"/>
        <d v="2024-01-24T00:00:00"/>
        <d v="2024-11-25T00:00:00"/>
        <d v="2024-01-12T00:00:00"/>
        <d v="2023-08-02T00:00:00"/>
        <d v="2023-12-28T00:00:00"/>
        <d v="2024-06-17T00:00:00"/>
        <d v="2025-02-18T00:00:00"/>
        <d v="2023-07-28T00:00:00"/>
        <d v="2023-10-04T00:00:00"/>
        <d v="2025-02-24T00:00:00"/>
        <d v="2023-11-03T00:00:00"/>
        <d v="2023-10-31T00:00:00"/>
        <d v="2024-11-04T00:00:00"/>
        <d v="2024-02-27T00:00:00"/>
        <d v="2023-06-28T00:00:00"/>
        <d v="2023-08-25T00:00:00"/>
        <d v="2023-08-27T00:00:00"/>
        <d v="2024-04-30T00:00:00"/>
        <d v="2023-12-02T00:00:00"/>
        <d v="2023-12-15T00:00:00"/>
        <d v="2024-02-10T00:00:00"/>
        <d v="2023-11-30T00:00:00"/>
        <d v="2025-03-02T00:00:00"/>
        <d v="2024-09-17T00:00:00"/>
        <d v="2024-03-22T00:00:00"/>
        <d v="2024-03-23T00:00:00"/>
        <d v="2023-10-07T00:00:00"/>
        <d v="2024-10-16T00:00:00"/>
        <d v="2023-06-26T00:00:00"/>
        <d v="2024-03-27T00:00:00"/>
        <d v="2024-07-07T00:00:00"/>
        <d v="2024-09-28T00:00:00"/>
        <d v="2023-12-27T00:00:00"/>
        <d v="2023-12-30T00:00:00"/>
        <d v="2024-02-06T00:00:00"/>
        <d v="2024-10-23T00:00:00"/>
        <d v="2024-07-16T00:00:00"/>
        <d v="2024-05-02T00:00:00"/>
        <d v="2024-01-05T00:00:00"/>
        <d v="2024-01-04T00:00:00"/>
        <d v="2023-10-13T00:00:00"/>
        <d v="2023-08-04T00:00:00"/>
        <d v="2023-08-31T00:00:00"/>
        <d v="2024-11-20T00:00:00"/>
        <d v="2024-11-19T00:00:00"/>
        <d v="2024-03-24T00:00:00"/>
        <d v="2024-12-11T00:00:00"/>
        <d v="2024-09-06T00:00:00"/>
        <d v="2023-09-09T00:00:00"/>
        <d v="2023-07-16T00:00:00"/>
        <d v="2024-10-30T00:00:00"/>
        <d v="2024-04-17T00:00:00"/>
        <d v="2025-01-23T00:00:00"/>
        <d v="2024-01-25T00:00:00"/>
        <d v="2025-03-01T00:00:00"/>
        <d v="2024-10-26T00:00:00"/>
        <d v="2023-07-21T00:00:00"/>
        <d v="2024-08-15T00:00:00"/>
        <d v="2024-02-28T00:00:00"/>
        <d v="2023-10-23T00:00:00"/>
        <d v="2023-07-07T00:00:00"/>
        <d v="2024-05-11T00:00:00"/>
        <d v="2023-11-27T00:00:00"/>
        <d v="2023-09-15T00:00:00"/>
        <d v="2024-09-01T00:00:00"/>
        <d v="2024-12-29T00:00:00"/>
        <d v="2024-12-22T00:00:00"/>
        <d v="2024-03-13T00:00:00"/>
        <d v="2024-03-21T00:00:00"/>
        <d v="2023-08-06T00:00:00"/>
        <d v="2024-11-10T00:00:00"/>
        <d v="2024-12-20T00:00:00"/>
        <d v="2024-07-04T00:00:00"/>
        <d v="2024-01-06T00:00:00"/>
        <d v="2023-10-05T00:00:00"/>
        <d v="2024-03-16T00:00:00"/>
        <d v="2024-07-06T00:00:00"/>
        <d v="2024-11-23T00:00:00"/>
        <d v="2023-09-03T00:00:00"/>
        <d v="2025-01-14T00:00:00"/>
        <d v="2023-09-05T00:00:00"/>
        <d v="2023-09-10T00:00:00"/>
        <d v="2024-03-07T00:00:00"/>
        <d v="2024-02-25T00:00:00"/>
        <d v="2025-02-16T00:00:00"/>
        <d v="2024-09-19T00:00:00"/>
        <d v="2024-07-14T00:00:00"/>
        <d v="2023-11-06T00:00:00"/>
        <d v="2023-10-19T00:00:00"/>
        <d v="2024-09-15T00:00:00"/>
        <d v="2024-03-30T00:00:00"/>
        <d v="2024-09-18T00:00:00"/>
        <d v="2024-08-02T00:00:00"/>
        <d v="2024-12-31T00:00:00"/>
        <d v="2024-05-14T00:00:00"/>
        <d v="2024-02-07T00:00:00"/>
        <d v="2024-03-19T00:00:00"/>
        <d v="2024-01-28T00:00:00"/>
        <d v="2025-02-22T00:00:00"/>
        <d v="2024-08-24T00:00:00"/>
        <d v="2024-09-11T00:00:00"/>
        <d v="2023-11-25T00:00:00"/>
        <d v="2024-01-14T00:00:00"/>
        <d v="2024-05-01T00:00:00"/>
        <d v="2023-12-08T00:00:00"/>
        <d v="2024-03-28T00:00:00"/>
        <d v="2023-08-16T00:00:00"/>
        <d v="2024-12-10T00:00:00"/>
        <d v="2024-12-07T00:00:00"/>
        <d v="2024-02-29T00:00:00"/>
        <d v="2024-03-09T00:00:00"/>
        <d v="2024-01-13T00:00:00"/>
        <d v="2024-05-06T00:00:00"/>
        <d v="2023-09-17T00:00:00"/>
        <d v="2024-07-11T00:00:00"/>
        <d v="2025-01-30T00:00:00"/>
        <d v="2024-04-24T00:00:00"/>
        <d v="2023-08-20T00:00:00"/>
        <d v="2024-11-09T00:00:00"/>
        <d v="2023-09-26T00:00:00"/>
        <d v="2024-03-15T00:00:00"/>
        <d v="2024-07-21T00:00:00"/>
        <d v="2025-01-10T00:00:00"/>
        <d v="2024-05-26T00:00:00"/>
        <d v="2024-04-14T00:00:00"/>
        <d v="2023-09-13T00:00:00"/>
        <d v="2024-01-19T00:00:00"/>
        <d v="2024-05-05T00:00:00"/>
        <d v="2024-09-04T00:00:00"/>
        <d v="2025-02-14T00:00:00"/>
        <d v="2024-10-19T00:00:00"/>
        <d v="2023-10-29T00:00:00"/>
        <d v="2023-11-16T00:00:00"/>
        <d v="2023-08-13T00:00:00"/>
        <d v="2024-04-26T00:00:00"/>
        <d v="2024-09-08T00:00:00"/>
        <d v="2023-07-05T00:00:00"/>
        <d v="2024-04-12T00:00:00"/>
        <d v="2024-03-18T00:00:00"/>
        <d v="2024-12-01T00:00:00"/>
        <d v="2024-02-15T00:00:00"/>
        <d v="2024-11-30T00:00:00"/>
        <d v="2024-01-27T00:00:00"/>
        <d v="2024-01-16T00:00:00"/>
        <d v="2023-10-01T00:00:00"/>
        <d v="2023-07-15T00:00:00"/>
        <d v="2024-02-19T00:00:00"/>
        <d v="2024-09-09T00:00:00"/>
        <d v="2025-01-12T00:00:00"/>
        <d v="2023-11-23T00:00:00"/>
        <d v="2023-10-28T00:00:00"/>
        <d v="2023-09-20T00:00:00"/>
        <d v="2024-12-08T00:00:00"/>
        <d v="2024-03-11T00:00:00"/>
        <d v="2024-10-07T00:00:00"/>
        <d v="2023-09-24T00:00:00"/>
        <d v="2023-09-30T00:00:00"/>
        <d v="2023-11-18T00:00:00"/>
        <d v="2024-11-18T00:00:00"/>
        <d v="2024-07-08T00:00:00"/>
        <d v="2024-04-06T00:00:00"/>
        <d v="2023-11-11T00:00:00"/>
        <d v="2023-08-22T00:00:00"/>
        <d v="2024-08-26T00:00:00"/>
        <d v="2024-09-23T00:00:00"/>
        <d v="2023-06-25T00:00:00"/>
        <d v="2024-08-05T00:00:00"/>
        <d v="2023-09-23T00:00:00"/>
        <d v="2023-08-18T00:00:00"/>
        <d v="2024-08-21T00:00:00"/>
        <d v="2023-08-28T00:00:00"/>
        <d v="2025-01-05T00:00:00"/>
        <d v="2024-12-21T00:00:00"/>
        <d v="2024-11-15T00:00:00"/>
        <d v="2024-03-17T00:00:00"/>
        <d v="2023-12-04T00:00:00"/>
        <d v="2024-04-07T00:00:00"/>
        <d v="2023-07-04T00:00:00"/>
        <d v="2024-12-13T00:00:00"/>
        <d v="2025-01-26T00:00:00"/>
        <d v="2024-08-18T00:00:00"/>
        <d v="2024-09-03T00:00:00"/>
        <d v="2024-04-21T00:00:00"/>
        <d v="2024-03-05T00:00:00"/>
        <d v="2023-07-17T00:00:00"/>
        <d v="2023-09-29T00:00:00"/>
        <d v="2024-05-20T00:00:00" u="1"/>
        <d v="2024-06-02T00:00:00" u="1"/>
        <d v="2023-11-10T00:00:00" u="1"/>
        <d v="2024-01-18T00:00:00" u="1"/>
        <d v="2023-10-14T00:00:00" u="1"/>
        <d v="2024-05-09T00:00:00" u="1"/>
        <d v="2023-12-03T00:00:00" u="1"/>
        <d v="2024-01-20T00:00:00" u="1"/>
        <d v="2024-02-18T00:00:00" u="1"/>
        <d v="2024-02-17T00:00:00" u="1"/>
        <d v="2023-12-29T00:00:00" u="1"/>
        <d v="2024-01-09T00:00:00" u="1"/>
        <d v="2024-03-14T00:00:00" u="1"/>
        <d v="2024-05-19T00:00:00" u="1"/>
        <d v="2024-02-01T00:00:00" u="1"/>
        <d v="2023-08-17T00:00:00" u="1"/>
        <d v="2023-08-08T00:00:00" u="1"/>
        <d v="2024-02-11T00:00:00" u="1"/>
        <d v="2024-01-15T00:00:00" u="1"/>
        <d v="2023-09-01T00:00:00" u="1"/>
        <d v="2023-08-14T00:00:00" u="1"/>
        <d v="2023-11-02T00:00:00" u="1"/>
        <d v="2023-07-25T00:00:00" u="1"/>
        <d v="2023-06-20T00:00:00" u="1"/>
        <d v="2023-11-08T00:00:00" u="1"/>
        <d v="2023-12-14T00:00:00" u="1"/>
        <d v="2024-05-13T00:00:00" u="1"/>
        <d v="2023-10-15T00:00:00" u="1"/>
        <d v="2023-10-02T00:00:00" u="1"/>
        <d v="2023-11-24T00:00:00" u="1"/>
        <d v="2023-10-22T00:00:00" u="1"/>
      </sharedItems>
      <fieldGroup par="28"/>
    </cacheField>
    <cacheField name="Leased Date" numFmtId="14">
      <sharedItems containsNonDate="0" containsDate="1" containsString="0" containsBlank="1" minDate="2023-06-18T00:00:00" maxDate="2026-01-01T00:00:00" count="645">
        <d v="2024-05-22T00:00:00"/>
        <d v="2024-06-08T00:00:00"/>
        <d v="2024-05-09T00:00:00"/>
        <d v="2024-07-02T00:00:00"/>
        <d v="2024-05-27T00:00:00"/>
        <d v="2024-05-31T00:00:00"/>
        <d v="2024-09-12T00:00:00"/>
        <d v="2024-07-26T00:00:00"/>
        <d v="2024-12-19T00:00:00"/>
        <d v="2024-05-28T00:00:00"/>
        <d v="2024-02-13T00:00:00"/>
        <d v="2024-08-27T00:00:00"/>
        <d v="2024-06-28T00:00:00"/>
        <d v="2024-06-26T00:00:00"/>
        <d v="2024-05-26T00:00:00"/>
        <d v="2024-07-31T00:00:00"/>
        <d v="2025-04-05T00:00:00"/>
        <d v="2024-08-07T00:00:00"/>
        <d v="2024-08-08T00:00:00"/>
        <d v="2024-12-03T00:00:00"/>
        <d v="2024-12-18T00:00:00"/>
        <d v="2024-10-25T00:00:00"/>
        <d v="2023-07-21T00:00:00"/>
        <d v="2024-10-04T00:00:00"/>
        <d v="2023-07-01T00:00:00"/>
        <d v="2023-07-04T00:00:00"/>
        <d v="2024-11-27T00:00:00"/>
        <d v="2024-12-06T00:00:00"/>
        <m/>
        <d v="2025-03-13T00:00:00"/>
        <d v="2025-02-01T00:00:00"/>
        <d v="2023-07-22T00:00:00"/>
        <d v="2023-07-08T00:00:00"/>
        <d v="2023-10-30T00:00:00"/>
        <d v="2023-11-02T00:00:00"/>
        <d v="2023-12-06T00:00:00"/>
        <d v="2025-01-29T00:00:00"/>
        <d v="2024-03-05T00:00:00"/>
        <d v="2024-02-29T00:00:00"/>
        <d v="2024-06-13T00:00:00"/>
        <d v="2024-05-30T00:00:00"/>
        <d v="2024-05-07T00:00:00"/>
        <d v="2024-05-04T00:00:00"/>
        <d v="2024-06-12T00:00:00"/>
        <d v="2024-06-09T00:00:00"/>
        <d v="2024-09-06T00:00:00"/>
        <d v="2024-08-21T00:00:00"/>
        <d v="2024-05-21T00:00:00"/>
        <d v="2024-06-06T00:00:00"/>
        <d v="2024-05-23T00:00:00"/>
        <d v="2024-06-07T00:00:00"/>
        <d v="2024-08-05T00:00:00"/>
        <d v="2024-06-14T00:00:00"/>
        <d v="2024-05-12T00:00:00"/>
        <d v="2024-08-12T00:00:00"/>
        <d v="2024-10-31T00:00:00"/>
        <d v="2023-10-28T00:00:00"/>
        <d v="2023-07-09T00:00:00"/>
        <d v="2023-07-18T00:00:00"/>
        <d v="2023-09-16T00:00:00"/>
        <d v="2024-02-25T00:00:00"/>
        <d v="2024-05-20T00:00:00"/>
        <d v="2024-05-16T00:00:00"/>
        <d v="2024-06-24T00:00:00"/>
        <d v="2024-06-04T00:00:00"/>
        <d v="2024-10-26T00:00:00"/>
        <d v="2025-03-07T00:00:00"/>
        <d v="2024-11-03T00:00:00"/>
        <d v="2024-11-18T00:00:00"/>
        <d v="2024-10-28T00:00:00"/>
        <d v="2023-12-05T00:00:00"/>
        <d v="2024-06-11T00:00:00"/>
        <d v="2024-08-13T00:00:00"/>
        <d v="2024-11-11T00:00:00"/>
        <d v="2025-01-28T00:00:00"/>
        <d v="2025-03-06T00:00:00"/>
        <d v="2025-03-05T00:00:00"/>
        <d v="2023-09-26T00:00:00"/>
        <d v="2024-02-12T00:00:00"/>
        <d v="2024-02-21T00:00:00"/>
        <d v="2024-02-22T00:00:00"/>
        <d v="2024-05-08T00:00:00"/>
        <d v="2024-06-15T00:00:00"/>
        <d v="2024-08-20T00:00:00"/>
        <d v="2024-08-17T00:00:00"/>
        <d v="2025-01-24T00:00:00"/>
        <d v="2024-11-01T00:00:00"/>
        <d v="2023-11-20T00:00:00"/>
        <d v="2024-08-31T00:00:00"/>
        <d v="2024-06-25T00:00:00"/>
        <d v="2024-07-16T00:00:00"/>
        <d v="2024-07-15T00:00:00"/>
        <d v="2024-07-19T00:00:00"/>
        <d v="2024-11-14T00:00:00"/>
        <d v="2024-11-23T00:00:00"/>
        <d v="2024-12-05T00:00:00"/>
        <d v="2025-03-10T00:00:00"/>
        <d v="2023-12-14T00:00:00"/>
        <d v="2025-01-15T00:00:00"/>
        <d v="2025-01-08T00:00:00"/>
        <d v="2023-12-21T00:00:00"/>
        <d v="2023-08-01T00:00:00"/>
        <d v="2024-05-25T00:00:00"/>
        <d v="2024-06-27T00:00:00"/>
        <d v="2024-07-22T00:00:00"/>
        <d v="2024-06-21T00:00:00"/>
        <d v="2024-05-19T00:00:00"/>
        <d v="2023-12-28T00:00:00"/>
        <d v="2024-11-07T00:00:00"/>
        <d v="2024-12-02T00:00:00"/>
        <d v="2025-03-12T00:00:00"/>
        <d v="2024-11-17T00:00:00"/>
        <d v="2025-01-07T00:00:00"/>
        <d v="2024-11-22T00:00:00"/>
        <d v="2025-01-11T00:00:00"/>
        <d v="2023-11-28T00:00:00"/>
        <d v="2023-12-08T00:00:00"/>
        <d v="2023-07-06T00:00:00"/>
        <d v="2024-06-30T00:00:00"/>
        <d v="2024-06-18T00:00:00"/>
        <d v="2024-08-16T00:00:00"/>
        <d v="2024-07-04T00:00:00"/>
        <d v="2024-07-09T00:00:00"/>
        <d v="2024-07-28T00:00:00"/>
        <d v="2024-12-22T00:00:00"/>
        <d v="2025-01-03T00:00:00"/>
        <d v="2024-12-14T00:00:00"/>
        <d v="2024-12-12T00:00:00"/>
        <d v="2024-11-12T00:00:00"/>
        <d v="2025-01-09T00:00:00"/>
        <d v="2025-01-12T00:00:00"/>
        <d v="2024-11-19T00:00:00"/>
        <d v="2025-03-15T00:00:00"/>
        <d v="2023-10-11T00:00:00"/>
        <d v="2025-05-05T00:00:00"/>
        <d v="2024-12-15T00:00:00"/>
        <d v="2024-08-04T00:00:00"/>
        <d v="2025-03-14T00:00:00"/>
        <d v="2024-12-20T00:00:00"/>
        <d v="2024-08-09T00:00:00"/>
        <d v="2025-02-26T00:00:00"/>
        <d v="2025-01-04T00:00:00"/>
        <d v="2024-06-17T00:00:00"/>
        <d v="2023-06-24T00:00:00"/>
        <d v="2023-07-23T00:00:00"/>
        <d v="2023-06-21T00:00:00"/>
        <d v="2024-10-02T00:00:00"/>
        <d v="2024-03-28T00:00:00"/>
        <d v="2024-06-10T00:00:00"/>
        <d v="2024-06-05T00:00:00"/>
        <d v="2024-08-02T00:00:00"/>
        <d v="2024-12-17T00:00:00"/>
        <d v="2024-08-28T00:00:00"/>
        <d v="2024-10-18T00:00:00"/>
        <d v="2025-02-11T00:00:00"/>
        <d v="2025-02-13T00:00:00"/>
        <d v="2023-08-18T00:00:00"/>
        <d v="2023-06-20T00:00:00"/>
        <d v="2025-01-23T00:00:00"/>
        <d v="2024-08-19T00:00:00"/>
        <d v="2023-07-13T00:00:00"/>
        <d v="2023-07-10T00:00:00"/>
        <d v="2023-08-23T00:00:00"/>
        <d v="2023-09-01T00:00:00"/>
        <d v="2023-08-14T00:00:00"/>
        <d v="2024-03-20T00:00:00"/>
        <d v="2023-09-22T00:00:00"/>
        <d v="2025-01-19T00:00:00"/>
        <d v="2024-02-06T00:00:00"/>
        <d v="2024-07-30T00:00:00"/>
        <d v="2024-10-08T00:00:00"/>
        <d v="2024-05-17T00:00:00"/>
        <d v="2024-09-16T00:00:00"/>
        <d v="2024-09-15T00:00:00"/>
        <d v="2024-09-19T00:00:00"/>
        <d v="2025-01-27T00:00:00"/>
        <d v="2024-10-07T00:00:00"/>
        <d v="2023-08-15T00:00:00"/>
        <d v="2023-07-05T00:00:00"/>
        <d v="2023-10-18T00:00:00"/>
        <d v="2023-11-13T00:00:00"/>
        <d v="2023-09-02T00:00:00"/>
        <d v="2023-09-11T00:00:00"/>
        <d v="2023-09-28T00:00:00"/>
        <d v="2023-09-23T00:00:00"/>
        <d v="2023-09-04T00:00:00"/>
        <d v="2023-08-24T00:00:00"/>
        <d v="2023-08-29T00:00:00"/>
        <d v="2023-08-31T00:00:00"/>
        <d v="2023-08-09T00:00:00"/>
        <d v="2023-09-07T00:00:00"/>
        <d v="2023-07-16T00:00:00"/>
        <d v="2025-01-05T00:00:00"/>
        <d v="2024-09-17T00:00:00"/>
        <d v="2024-05-18T00:00:00"/>
        <d v="2024-07-25T00:00:00"/>
        <d v="2023-09-14T00:00:00"/>
        <d v="2023-06-23T00:00:00"/>
        <d v="2024-05-24T00:00:00"/>
        <d v="2024-09-20T00:00:00"/>
        <d v="2024-09-08T00:00:00"/>
        <d v="2024-09-02T00:00:00"/>
        <d v="2025-01-26T00:00:00"/>
        <d v="2025-02-09T00:00:00"/>
        <d v="2025-03-03T00:00:00"/>
        <d v="2025-02-17T00:00:00"/>
        <d v="2023-07-07T00:00:00"/>
        <d v="2023-07-25T00:00:00"/>
        <d v="2024-09-18T00:00:00"/>
        <d v="2025-03-11T00:00:00"/>
        <d v="2024-09-09T00:00:00"/>
        <d v="2024-11-24T00:00:00"/>
        <d v="2024-07-24T00:00:00"/>
        <d v="2025-03-04T00:00:00"/>
        <d v="2024-10-13T00:00:00"/>
        <d v="2023-07-15T00:00:00"/>
        <d v="2024-07-29T00:00:00"/>
        <d v="2025-01-13T00:00:00"/>
        <d v="2025-02-10T00:00:00"/>
        <d v="2024-04-20T00:00:00"/>
        <d v="2023-09-18T00:00:00"/>
        <d v="2023-08-16T00:00:00"/>
        <d v="2023-07-11T00:00:00"/>
        <d v="2023-08-04T00:00:00"/>
        <d v="2023-08-10T00:00:00"/>
        <d v="2023-10-13T00:00:00"/>
        <d v="2025-06-05T00:00:00"/>
        <d v="2024-12-26T00:00:00"/>
        <d v="2024-08-29T00:00:00"/>
        <d v="2025-01-10T00:00:00"/>
        <d v="2024-07-27T00:00:00"/>
        <d v="2023-07-28T00:00:00"/>
        <d v="2023-07-12T00:00:00"/>
        <d v="2023-10-09T00:00:00"/>
        <d v="2023-06-29T00:00:00"/>
        <d v="2024-12-25T00:00:00"/>
        <d v="2024-07-12T00:00:00"/>
        <d v="2024-10-16T00:00:00"/>
        <d v="2024-07-01T00:00:00"/>
        <d v="2025-07-05T00:00:00"/>
        <d v="2023-10-20T00:00:00"/>
        <d v="2023-11-03T00:00:00"/>
        <d v="2025-02-28T00:00:00"/>
        <d v="2024-01-08T00:00:00"/>
        <d v="2024-09-22T00:00:00"/>
        <d v="2024-08-30T00:00:00"/>
        <d v="2024-09-24T00:00:00"/>
        <d v="2024-08-26T00:00:00"/>
        <d v="2024-11-26T00:00:00"/>
        <d v="2024-10-10T00:00:00"/>
        <d v="2025-02-23T00:00:00"/>
        <d v="2024-07-13T00:00:00"/>
        <d v="2024-04-28T00:00:00"/>
        <d v="2024-05-02T00:00:00"/>
        <d v="2025-02-04T00:00:00"/>
        <d v="2025-01-25T00:00:00"/>
        <d v="2024-06-19T00:00:00"/>
        <d v="2023-07-26T00:00:00"/>
        <d v="2024-12-28T00:00:00"/>
        <d v="2025-02-08T00:00:00"/>
        <d v="2024-03-21T00:00:00"/>
        <d v="2024-09-30T00:00:00"/>
        <d v="2024-07-23T00:00:00"/>
        <d v="2023-12-30T00:00:00"/>
        <d v="2024-02-20T00:00:00"/>
        <d v="2023-11-14T00:00:00"/>
        <d v="2024-01-21T00:00:00"/>
        <d v="2023-08-25T00:00:00"/>
        <d v="2025-01-22T00:00:00"/>
        <d v="2025-01-31T00:00:00"/>
        <d v="2024-10-22T00:00:00"/>
        <d v="2025-03-16T00:00:00"/>
        <d v="2024-04-07T00:00:00"/>
        <d v="2024-02-03T00:00:00"/>
        <d v="2024-01-10T00:00:00"/>
        <d v="2024-12-31T00:00:00"/>
        <d v="2024-11-28T00:00:00"/>
        <d v="2024-10-15T00:00:00"/>
        <d v="2024-06-23T00:00:00"/>
        <d v="2024-05-03T00:00:00"/>
        <d v="2024-07-11T00:00:00"/>
        <d v="2024-07-05T00:00:00"/>
        <d v="2024-01-12T00:00:00"/>
        <d v="2024-02-01T00:00:00"/>
        <d v="2024-02-15T00:00:00"/>
        <d v="2024-04-17T00:00:00"/>
        <d v="2024-07-18T00:00:00"/>
        <d v="2023-11-16T00:00:00"/>
        <d v="2024-12-16T00:00:00"/>
        <d v="2024-10-23T00:00:00"/>
        <d v="2024-06-20T00:00:00"/>
        <d v="2025-08-05T00:00:00"/>
        <d v="2023-12-02T00:00:00"/>
        <d v="2024-01-11T00:00:00"/>
        <d v="2025-03-01T00:00:00"/>
        <d v="2025-03-02T00:00:00"/>
        <d v="2023-08-26T00:00:00"/>
        <d v="2024-03-12T00:00:00"/>
        <d v="2024-12-30T00:00:00"/>
        <d v="2025-02-02T00:00:00"/>
        <d v="2024-09-13T00:00:00"/>
        <d v="2024-01-31T00:00:00"/>
        <d v="2024-01-07T00:00:00"/>
        <d v="2024-03-01T00:00:00"/>
        <d v="2025-02-18T00:00:00"/>
        <d v="2025-02-16T00:00:00"/>
        <d v="2025-09-05T00:00:00"/>
        <d v="2023-12-13T00:00:00"/>
        <d v="2024-02-19T00:00:00"/>
        <d v="2024-03-09T00:00:00"/>
        <d v="2024-04-27T00:00:00"/>
        <d v="2025-02-06T00:00:00"/>
        <d v="2023-12-10T00:00:00"/>
        <d v="2024-01-28T00:00:00"/>
        <d v="2023-12-01T00:00:00"/>
        <d v="2023-07-03T00:00:00"/>
        <d v="2025-02-05T00:00:00"/>
        <d v="2024-06-02T00:00:00"/>
        <d v="2024-09-10T00:00:00"/>
        <d v="2025-01-18T00:00:00"/>
        <d v="2025-02-19T00:00:00"/>
        <d v="2025-02-25T00:00:00"/>
        <d v="2025-03-17T00:00:00"/>
        <d v="2024-08-15T00:00:00"/>
        <d v="2023-10-19T00:00:00"/>
        <d v="2024-02-23T00:00:00"/>
        <d v="2023-09-12T00:00:00"/>
        <d v="2025-02-15T00:00:00"/>
        <d v="2024-03-03T00:00:00"/>
        <d v="2024-04-14T00:00:00"/>
        <d v="2023-12-18T00:00:00"/>
        <d v="2024-04-11T00:00:00"/>
        <d v="2025-03-08T00:00:00"/>
        <d v="2024-02-24T00:00:00"/>
        <d v="2024-04-01T00:00:00"/>
        <d v="2025-03-09T00:00:00"/>
        <d v="2025-02-27T00:00:00"/>
        <d v="2024-10-14T00:00:00"/>
        <d v="2024-02-14T00:00:00"/>
        <d v="2023-12-15T00:00:00"/>
        <d v="2023-10-24T00:00:00"/>
        <d v="2024-03-26T00:00:00"/>
        <d v="2024-08-14T00:00:00"/>
        <d v="2023-10-07T00:00:00"/>
        <d v="2023-12-27T00:00:00"/>
        <d v="2023-06-25T00:00:00"/>
        <d v="2024-04-30T00:00:00"/>
        <d v="2024-09-27T00:00:00"/>
        <d v="2024-08-25T00:00:00"/>
        <d v="2024-10-19T00:00:00"/>
        <d v="2024-11-13T00:00:00"/>
        <d v="2024-04-02T00:00:00"/>
        <d v="2024-01-23T00:00:00"/>
        <d v="2023-06-26T00:00:00"/>
        <d v="2024-01-26T00:00:00"/>
        <d v="2024-01-25T00:00:00"/>
        <d v="2024-10-03T00:00:00"/>
        <d v="2023-12-19T00:00:00"/>
        <d v="2024-03-24T00:00:00"/>
        <d v="2025-01-14T00:00:00"/>
        <d v="2024-04-06T00:00:00"/>
        <d v="2024-03-22T00:00:00"/>
        <d v="2024-07-10T00:00:00"/>
        <d v="2024-10-12T00:00:00"/>
        <d v="2024-01-18T00:00:00"/>
        <d v="2024-01-06T00:00:00"/>
        <d v="2023-10-15T00:00:00"/>
        <d v="2023-07-02T00:00:00"/>
        <d v="2023-10-12T00:00:00"/>
        <d v="2025-02-14T00:00:00"/>
        <d v="2024-06-03T00:00:00"/>
        <d v="2024-03-29T00:00:00"/>
        <d v="2024-04-22T00:00:00"/>
        <d v="2024-11-10T00:00:00"/>
        <d v="2025-09-17T00:00:00"/>
        <d v="2023-10-22T00:00:00"/>
        <d v="2023-12-12T00:00:00"/>
        <d v="2024-03-31T00:00:00"/>
        <d v="2024-04-09T00:00:00"/>
        <d v="2024-08-06T00:00:00"/>
        <d v="2024-04-29T00:00:00"/>
        <d v="2024-12-21T00:00:00"/>
        <d v="2025-01-21T00:00:00"/>
        <d v="2024-04-03T00:00:00"/>
        <d v="2024-08-23T00:00:00"/>
        <d v="2024-04-23T00:00:00"/>
        <d v="2024-07-03T00:00:00"/>
        <d v="2023-08-02T00:00:00"/>
        <d v="2024-04-24T00:00:00"/>
        <d v="2023-08-08T00:00:00"/>
        <d v="2024-01-20T00:00:00"/>
        <d v="2023-08-28T00:00:00"/>
        <d v="2024-12-11T00:00:00"/>
        <d v="2024-09-28T00:00:00"/>
        <d v="2023-06-28T00:00:00"/>
        <d v="2024-10-05T00:00:00"/>
        <d v="2025-10-05T00:00:00"/>
        <d v="2024-10-27T00:00:00"/>
        <d v="2024-09-21T00:00:00"/>
        <d v="2023-09-20T00:00:00"/>
        <d v="2025-01-20T00:00:00"/>
        <d v="2024-04-21T00:00:00"/>
        <d v="2025-11-15T00:00:00"/>
        <d v="2024-12-13T00:00:00"/>
        <d v="2024-10-09T00:00:00"/>
        <d v="2024-08-24T00:00:00"/>
        <d v="2024-02-16T00:00:00"/>
        <d v="2023-06-22T00:00:00"/>
        <d v="2024-12-08T00:00:00"/>
        <d v="2024-12-04T00:00:00"/>
        <d v="2024-11-25T00:00:00"/>
        <d v="2024-03-23T00:00:00"/>
        <d v="2024-10-29T00:00:00"/>
        <d v="2025-02-07T00:00:00"/>
        <d v="2024-08-01T00:00:00"/>
        <d v="2023-07-24T00:00:00"/>
        <d v="2023-08-30T00:00:00"/>
        <d v="2023-07-20T00:00:00"/>
        <d v="2023-06-18T00:00:00"/>
        <d v="2024-07-08T00:00:00"/>
        <d v="2023-11-19T00:00:00"/>
        <d v="2023-10-23T00:00:00"/>
        <d v="2023-11-15T00:00:00"/>
        <d v="2025-02-20T00:00:00"/>
        <d v="2024-06-01T00:00:00"/>
        <d v="2023-08-11T00:00:00"/>
        <d v="2024-02-27T00:00:00"/>
        <d v="2024-05-01T00:00:00"/>
        <d v="2024-07-14T00:00:00"/>
        <d v="2025-12-15T00:00:00"/>
        <d v="2024-12-09T00:00:00"/>
        <d v="2024-04-15T00:00:00"/>
        <d v="2024-07-06T00:00:00"/>
        <d v="2023-08-21T00:00:00"/>
        <d v="2024-08-03T00:00:00"/>
        <d v="2023-07-27T00:00:00"/>
        <d v="2024-12-07T00:00:00"/>
        <d v="2025-01-30T00:00:00"/>
        <d v="2023-07-31T00:00:00"/>
        <d v="2025-02-12T00:00:00"/>
        <d v="2023-07-14T00:00:00"/>
        <d v="2024-03-18T00:00:00"/>
        <d v="2024-10-17T00:00:00"/>
        <d v="2025-02-22T00:00:00"/>
        <d v="2024-09-04T00:00:00"/>
        <d v="2024-09-05T00:00:00"/>
        <d v="2024-04-19T00:00:00"/>
        <d v="2024-06-16T00:00:00"/>
        <d v="2024-11-06T00:00:00"/>
        <d v="2024-09-29T00:00:00"/>
        <d v="2023-09-21T00:00:00"/>
        <d v="2024-03-27T00:00:00"/>
        <d v="2025-02-03T00:00:00"/>
        <d v="2024-08-11T00:00:00"/>
        <d v="2023-09-25T00:00:00"/>
        <d v="2024-03-15T00:00:00"/>
        <d v="2024-04-12T00:00:00"/>
        <d v="2025-02-24T00:00:00"/>
        <d v="2024-03-10T00:00:00"/>
        <d v="2024-02-08T00:00:00"/>
        <d v="2024-10-06T00:00:00"/>
        <d v="2024-09-23T00:00:00"/>
        <d v="2024-10-20T00:00:00"/>
        <d v="2024-10-21T00:00:00"/>
        <d v="2024-12-29T00:00:00"/>
        <d v="2024-01-09T00:00:00"/>
        <d v="2023-11-17T00:00:00"/>
        <d v="2024-11-15T00:00:00"/>
        <d v="2024-05-29T00:00:00"/>
        <d v="2024-06-29T00:00:00"/>
        <d v="2025-07-18T00:00:00"/>
        <d v="2023-10-25T00:00:00"/>
        <d v="2024-01-02T00:00:00"/>
        <d v="2024-02-07T00:00:00"/>
        <d v="2025-09-09T00:00:00"/>
        <d v="2023-10-10T00:00:00"/>
        <d v="2024-09-03T00:00:00"/>
        <d v="2023-10-29T00:00:00"/>
        <d v="2023-09-19T00:00:00"/>
        <d v="2023-09-03T00:00:00"/>
        <d v="2024-04-18T00:00:00"/>
        <d v="2024-03-02T00:00:00"/>
        <d v="2024-05-14T00:00:00"/>
        <d v="2024-05-06T00:00:00"/>
        <d v="2023-12-29T00:00:00"/>
        <d v="2023-12-26T00:00:00"/>
        <d v="2024-09-07T00:00:00"/>
        <d v="2024-03-14T00:00:00"/>
        <d v="2023-11-10T00:00:00"/>
        <d v="2023-11-08T00:00:00"/>
        <d v="2024-09-01T00:00:00"/>
        <d v="2024-03-06T00:00:00"/>
        <d v="2025-01-02T00:00:00"/>
        <d v="2025-02-21T00:00:00"/>
        <d v="2024-02-26T00:00:00"/>
        <d v="2023-12-17T00:00:00"/>
        <d v="2023-11-27T00:00:00"/>
        <d v="2024-04-25T00:00:00"/>
        <d v="2024-05-05T00:00:00"/>
        <d v="2024-04-26T00:00:00"/>
        <d v="2025-01-17T00:00:00"/>
        <d v="2024-06-22T00:00:00"/>
        <d v="2023-12-24T00:00:00"/>
        <d v="2024-11-20T00:00:00"/>
        <d v="2024-01-05T00:00:00"/>
        <d v="2023-10-26T00:00:00"/>
        <d v="2024-02-18T00:00:00"/>
        <d v="2023-08-06T00:00:00"/>
        <d v="2024-05-15T00:00:00"/>
        <d v="2024-01-24T00:00:00"/>
        <d v="2025-10-11T00:00:00"/>
        <d v="2023-12-09T00:00:00"/>
        <d v="2024-11-16T00:00:00"/>
        <d v="2024-02-02T00:00:00"/>
        <d v="2024-01-17T00:00:00"/>
        <d v="2024-11-05T00:00:00"/>
        <d v="2025-11-01T00:00:00"/>
        <d v="2024-04-10T00:00:00"/>
        <d v="2024-03-16T00:00:00"/>
        <d v="2025-09-10T00:00:00"/>
        <d v="2023-12-23T00:00:00"/>
        <d v="2024-12-23T00:00:00"/>
        <d v="2023-12-07T00:00:00"/>
        <d v="2024-10-24T00:00:00"/>
        <d v="2024-03-13T00:00:00"/>
        <d v="2024-04-13T00:00:00"/>
        <d v="2023-07-17T00:00:00"/>
        <d v="2024-11-09T00:00:00"/>
        <d v="2023-12-03T00:00:00"/>
        <d v="2024-03-17T00:00:00"/>
        <d v="2024-01-27T00:00:00"/>
        <d v="2023-09-09T00:00:00"/>
        <d v="2024-10-11T00:00:00"/>
        <d v="2023-10-14T00:00:00"/>
        <d v="2025-01-16T00:00:00"/>
        <d v="2023-08-12T00:00:00"/>
        <d v="2024-03-30T00:00:00"/>
        <d v="2024-04-16T00:00:00"/>
        <d v="2023-09-30T00:00:00"/>
        <d v="2025-12-31T00:00:00"/>
        <d v="2023-09-08T00:00:00"/>
        <d v="2023-08-05T00:00:00"/>
        <d v="2024-07-20T00:00:00"/>
        <d v="2023-08-19T00:00:00"/>
        <d v="2024-04-08T00:00:00"/>
        <d v="2023-08-20T00:00:00"/>
        <d v="2023-09-06T00:00:00"/>
        <d v="2023-10-03T00:00:00"/>
        <d v="2024-10-01T00:00:00"/>
        <d v="2024-08-18T00:00:00"/>
        <d v="2025-12-01T00:00:00"/>
        <d v="2024-11-21T00:00:00"/>
        <d v="2024-02-09T00:00:00"/>
        <d v="2023-06-27T00:00:00"/>
        <d v="2024-07-07T00:00:00"/>
        <d v="2024-03-08T00:00:00"/>
        <d v="2023-11-21T00:00:00"/>
        <d v="2023-08-03T00:00:00"/>
        <d v="2024-09-26T00:00:00"/>
        <d v="2024-01-29T00:00:00"/>
        <d v="2023-09-10T00:00:00"/>
        <d v="2024-12-10T00:00:00"/>
        <d v="2023-07-19T00:00:00"/>
        <d v="2024-12-01T00:00:00"/>
        <d v="2025-07-04T00:00:00"/>
        <d v="2023-12-22T00:00:00"/>
        <d v="2024-08-10T00:00:00"/>
        <d v="2025-09-16T00:00:00"/>
        <d v="2024-02-17T00:00:00"/>
        <d v="2023-10-04T00:00:00"/>
        <d v="2023-11-04T00:00:00"/>
        <d v="2023-10-27T00:00:00"/>
        <d v="2023-11-18T00:00:00"/>
        <d v="2024-03-04T00:00:00"/>
        <d v="2024-01-13T00:00:00"/>
        <d v="2024-03-11T00:00:00"/>
        <d v="2024-07-17T00:00:00"/>
        <d v="2023-12-11T00:00:00"/>
        <d v="2024-02-04T00:00:00"/>
        <d v="2024-09-11T00:00:00"/>
        <d v="2023-10-01T00:00:00"/>
        <d v="2024-07-21T00:00:00"/>
        <d v="2023-06-30T00:00:00"/>
        <d v="2025-12-17T00:00:00"/>
        <d v="2023-11-09T00:00:00"/>
        <d v="2024-11-08T00:00:00"/>
        <d v="2024-10-30T00:00:00"/>
        <d v="2024-11-04T00:00:00"/>
        <d v="2025-12-14T00:00:00"/>
        <d v="2023-10-06T00:00:00"/>
        <d v="2024-01-14T00:00:00"/>
        <d v="2023-08-27T00:00:00"/>
        <d v="2023-09-15T00:00:00"/>
        <d v="2023-11-01T00:00:00"/>
        <d v="2024-03-19T00:00:00"/>
        <d v="2023-11-23T00:00:00"/>
        <d v="2024-04-04T00:00:00"/>
        <d v="2024-01-16T00:00:00"/>
        <d v="2025-08-04T00:00:00"/>
        <d v="2023-10-02T00:00:00"/>
        <d v="2024-09-14T00:00:00"/>
        <d v="2024-02-05T00:00:00"/>
        <d v="2025-01-06T00:00:00"/>
        <d v="2024-11-02T00:00:00"/>
        <d v="2025-10-10T00:00:00"/>
        <d v="2024-03-07T00:00:00" u="1"/>
        <d v="2024-02-10T00:00:00" u="1"/>
        <d v="2023-11-29T00:00:00" u="1"/>
        <d v="2023-07-29T00:00:00" u="1"/>
        <d v="2023-09-24T00:00:00" u="1"/>
        <d v="2023-10-05T00:00:00" u="1"/>
        <d v="2023-09-05T00:00:00" u="1"/>
        <d v="2024-02-11T00:00:00" u="1"/>
        <d v="2023-09-27T00:00:00" u="1"/>
        <d v="2024-01-19T00:00:00" u="1"/>
        <d v="2024-01-30T00:00:00" u="1"/>
        <d v="2024-02-28T00:00:00" u="1"/>
        <d v="2023-12-20T00:00:00" u="1"/>
        <d v="2023-08-13T00:00:00" u="1"/>
        <d v="2023-10-31T00:00:00" u="1"/>
        <d v="2023-06-19T00:00:00" u="1"/>
        <d v="2023-10-21T00:00:00" u="1"/>
        <d v="2023-10-08T00:00:00" u="1"/>
        <d v="2023-08-17T00:00:00" u="1"/>
        <d v="2023-11-12T00:00:00" u="1"/>
        <d v="2023-09-13T00:00:00" u="1"/>
        <d v="2023-08-07T00:00:00" u="1"/>
        <d v="2023-11-06T00:00:00" u="1"/>
        <d v="2024-05-10T00:00:00" u="1"/>
        <d v="2023-11-30T00:00:00" u="1"/>
        <d v="2023-07-30T00:00:00" u="1"/>
        <d v="2024-01-03T00:00:00" u="1"/>
        <d v="2023-12-31T00:00:00" u="1"/>
        <d v="2025-01-01T00:00:00" u="1"/>
        <d v="2024-04-05T00:00:00" u="1"/>
        <d v="2023-11-07T00:00:00" u="1"/>
        <d v="2023-12-16T00:00:00" u="1"/>
        <d v="2024-01-04T00:00:00" u="1"/>
        <d v="2023-11-25T00:00:00" u="1"/>
        <d v="2024-05-11T00:00:00" u="1"/>
        <d v="2023-08-22T00:00:00" u="1"/>
        <d v="2023-11-11T00:00:00" u="1"/>
        <d v="2024-01-22T00:00:00" u="1"/>
        <d v="2024-03-25T00:00:00" u="1"/>
        <d v="2023-11-24T00:00:00" u="1"/>
      </sharedItems>
      <fieldGroup par="25"/>
    </cacheField>
    <cacheField name="Active Listing?" numFmtId="0">
      <sharedItems count="2">
        <b v="0"/>
        <b v="1"/>
      </sharedItems>
    </cacheField>
    <cacheField name="Days on Mkt" numFmtId="0">
      <sharedItems containsString="0" containsBlank="1" containsNumber="1" containsInteger="1" minValue="2" maxValue="553"/>
    </cacheField>
    <cacheField name="Asking Rent" numFmtId="165">
      <sharedItems containsString="0" containsBlank="1" containsNumber="1" containsInteger="1" minValue="1731" maxValue="12480"/>
    </cacheField>
    <cacheField name="Asking PSF" numFmtId="164">
      <sharedItems containsString="0" containsBlank="1" containsNumber="1" minValue="2.3758480325644507" maxValue="6.3712660028449504"/>
    </cacheField>
    <cacheField name="Effective Rent" numFmtId="165">
      <sharedItems containsString="0" containsBlank="1" containsNumber="1" containsInteger="1" minValue="1608" maxValue="11960"/>
    </cacheField>
    <cacheField name="Effective PSF" numFmtId="164">
      <sharedItems containsString="0" containsBlank="1" containsNumber="1" minValue="2.3758480325644507" maxValue="6.3712660028449504"/>
    </cacheField>
    <cacheField name="Advertised Unit Amenities" numFmtId="0">
      <sharedItems longText="1"/>
    </cacheField>
    <cacheField name="Detected Unit Amenities" numFmtId="0">
      <sharedItems/>
    </cacheField>
    <cacheField name="Asking Rent PSF" numFmtId="0" formula="#NAME?/Sqft" databaseField="0"/>
    <cacheField name="Effective Rent PSF" numFmtId="0" formula="#NAME?/Sqft" databaseField="0"/>
    <cacheField name="Concessions as % of Asking Rent" numFmtId="0" formula="('Asking Rent'-'Effective Rent') /'Asking Rent'" databaseField="0"/>
    <cacheField name="Unit Type" numFmtId="0" formula="Beds&amp;Baths" databaseField="0"/>
    <cacheField name="Months (Leased Date)" numFmtId="0" databaseField="0">
      <fieldGroup base="10">
        <rangePr groupBy="months" startDate="2023-06-18T00:00:00" endDate="2026-01-01T00:00:00"/>
        <groupItems count="14">
          <s v="&lt;6/18/2023"/>
          <s v="Jan"/>
          <s v="Feb"/>
          <s v="Mar"/>
          <s v="Apr"/>
          <s v="May"/>
          <s v="Jun"/>
          <s v="Jul"/>
          <s v="Aug"/>
          <s v="Sep"/>
          <s v="Oct"/>
          <s v="Nov"/>
          <s v="Dec"/>
          <s v="&gt;1/1/2026"/>
        </groupItems>
      </fieldGroup>
    </cacheField>
    <cacheField name="Quarters (Leased Date)" numFmtId="0" databaseField="0">
      <fieldGroup base="10">
        <rangePr groupBy="quarters" startDate="2023-06-18T00:00:00" endDate="2026-01-01T00:00:00"/>
        <groupItems count="6">
          <s v="&lt;6/18/2023"/>
          <s v="Qtr1"/>
          <s v="Qtr2"/>
          <s v="Qtr3"/>
          <s v="Qtr4"/>
          <s v="&gt;1/1/2026"/>
        </groupItems>
      </fieldGroup>
    </cacheField>
    <cacheField name="Years (Leased Date)" numFmtId="0" databaseField="0">
      <fieldGroup base="10">
        <rangePr groupBy="years" startDate="2023-06-18T00:00:00" endDate="2026-01-01T00:00:00"/>
        <groupItems count="6">
          <s v="&lt;6/18/2023"/>
          <s v="2023"/>
          <s v="2024"/>
          <s v="2025"/>
          <s v="2026"/>
          <s v="&gt;1/1/2026"/>
        </groupItems>
      </fieldGroup>
    </cacheField>
    <cacheField name="Months (First Listed)" numFmtId="0" databaseField="0">
      <fieldGroup base="9">
        <rangePr groupBy="months" startDate="2023-06-19T00:00:00" endDate="2025-03-19T00:00:00"/>
        <groupItems count="14">
          <s v="&lt;6/19/2023"/>
          <s v="Jan"/>
          <s v="Feb"/>
          <s v="Mar"/>
          <s v="Apr"/>
          <s v="May"/>
          <s v="Jun"/>
          <s v="Jul"/>
          <s v="Aug"/>
          <s v="Sep"/>
          <s v="Oct"/>
          <s v="Nov"/>
          <s v="Dec"/>
          <s v="&gt;3/19/2025"/>
        </groupItems>
      </fieldGroup>
    </cacheField>
    <cacheField name="Quarters (First Listed)" numFmtId="0" databaseField="0">
      <fieldGroup base="9">
        <rangePr groupBy="quarters" startDate="2023-06-19T00:00:00" endDate="2025-03-19T00:00:00"/>
        <groupItems count="6">
          <s v="&lt;6/19/2023"/>
          <s v="Qtr1"/>
          <s v="Qtr2"/>
          <s v="Qtr3"/>
          <s v="Qtr4"/>
          <s v="&gt;3/19/2025"/>
        </groupItems>
      </fieldGroup>
    </cacheField>
    <cacheField name="Years (First Listed)" numFmtId="0" databaseField="0">
      <fieldGroup base="9">
        <rangePr groupBy="years" startDate="2023-06-19T00:00:00" endDate="2025-03-19T00:00:00"/>
        <groupItems count="5">
          <s v="&lt;6/19/2023"/>
          <s v="2023"/>
          <s v="2024"/>
          <s v="2025"/>
          <s v="&gt;3/19/2025"/>
        </groupItems>
      </fieldGroup>
    </cacheField>
    <cacheField name="'Concessions as % of Asking Rent'" numFmtId="0" formula="('Asking Rent'-'Effective Rent')/'Asking Rent'" databaseField="0"/>
  </cacheFields>
  <extLst>
    <ext xmlns:x14="http://schemas.microsoft.com/office/spreadsheetml/2009/9/main" uri="{725AE2AE-9491-48be-B2B4-4EB974FC3084}">
      <x14:pivotCacheDefinition pivotCacheId="3417282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 Rutzen" refreshedDate="45782.419208564817" createdVersion="8" refreshedVersion="8" minRefreshableVersion="3" recordCount="10" xr:uid="{CFB78A3A-489C-4C8B-9F55-F28CBD998CFC}">
  <cacheSource type="worksheet">
    <worksheetSource name="Table1"/>
  </cacheSource>
  <cacheFields count="39">
    <cacheField name="Property" numFmtId="0">
      <sharedItems count="25">
        <s v="OneEleven"/>
        <s v="MILA"/>
        <s v="Wolf Point West"/>
        <s v="AMLI River North"/>
        <s v="Marquee at Block 37"/>
        <s v="Optima Signature"/>
        <s v="Hubbard Place"/>
        <s v="Millie on Michigan"/>
        <s v="The Gallery on Wells"/>
        <s v="Coast at Lakeshore East"/>
        <s v="Click &quot;Enable Editing&quot;" u="1"/>
        <s v="Click &quot;Enable Editing&quot; to update" u="1"/>
        <s v="Click &quot;Enable Editing&quot; in the yellow banner to update" u="1"/>
        <s v="Click the button that says &quot;Enable Editing&quot;" u="1"/>
        <s v="Click the button that says &quot;Enable Editing&quot; in the Yellow Banner" u="1"/>
        <s v="Please click &quot;Enable Editing&quot;" u="1"/>
        <s v="Please click &quot;Enable Editing&quot; to update" u="1"/>
        <s v="Please click &quot;Enable Editing&quot; to update your comps" u="1"/>
        <s v="Must click &quot;Enable Editing&quot; to update data" u="1"/>
        <s v="&quot;Enable Editing&quot;… click it to update" u="1"/>
        <s v="Linea Apartments" u="1"/>
        <s v="Wolf Point East" u="1"/>
        <s v="73 East Lake" u="1"/>
        <s v="{{subject.building_name}}" u="1"/>
        <s v="{{v:comparables.#.building_name}}" u="1"/>
      </sharedItems>
    </cacheField>
    <cacheField name="Address" numFmtId="0">
      <sharedItems/>
    </cacheField>
    <cacheField name="Similarity" numFmtId="166">
      <sharedItems containsMixedTypes="1" containsNumber="1" minValue="0.90151046656162603" maxValue="0.93640397352730143"/>
    </cacheField>
    <cacheField name="Dist. (mi)" numFmtId="4">
      <sharedItems containsMixedTypes="1" containsNumber="1" minValue="0.20535652912257685" maxValue="0.66694263659148856"/>
    </cacheField>
    <cacheField name="Quality" numFmtId="9">
      <sharedItems containsSemiMixedTypes="0" containsString="0" containsNumber="1" minValue="0.76937713033673572" maxValue="0.84680547139214879"/>
    </cacheField>
    <cacheField name="Yr Built" numFmtId="0">
      <sharedItems containsSemiMixedTypes="0" containsString="0" containsNumber="1" containsInteger="1" minValue="2012" maxValue="2022"/>
    </cacheField>
    <cacheField name="# Units" numFmtId="0">
      <sharedItems containsSemiMixedTypes="0" containsString="0" containsNumber="1" containsInteger="1" minValue="289" maxValue="690"/>
    </cacheField>
    <cacheField name="Stories" numFmtId="0">
      <sharedItems containsSemiMixedTypes="0" containsString="0" containsNumber="1" containsInteger="1" minValue="34" maxValue="60"/>
    </cacheField>
    <cacheField name="Avg Sqft" numFmtId="3">
      <sharedItems containsSemiMixedTypes="0" containsString="0" containsNumber="1" minValue="737.95022624434387" maxValue="975.47712418300648"/>
    </cacheField>
    <cacheField name="Leased %" numFmtId="166">
      <sharedItems containsSemiMixedTypes="0" containsString="0" containsNumber="1" minValue="0.93061224489795924" maxValue="0.99223300970873785"/>
    </cacheField>
    <cacheField name="Exposure %" numFmtId="166">
      <sharedItems containsSemiMixedTypes="0" containsString="0" containsNumber="1" minValue="3.4782608695652174E-2" maxValue="0.10380622837370242"/>
    </cacheField>
    <cacheField name="Studio" numFmtId="165">
      <sharedItems containsSemiMixedTypes="0" containsString="0" containsNumber="1" minValue="2194" maxValue="2785.4545454545455"/>
    </cacheField>
    <cacheField name="Studio PSF" numFmtId="164">
      <sharedItems containsSemiMixedTypes="0" containsString="0" containsNumber="1" minValue="3.5687472959041791" maxValue="5.0786433326862115"/>
    </cacheField>
    <cacheField name="1BR" numFmtId="165">
      <sharedItems containsSemiMixedTypes="0" containsString="0" containsNumber="1" minValue="2728.2857142857142" maxValue="3433.7096774193546"/>
    </cacheField>
    <cacheField name="1BR PSF" numFmtId="164">
      <sharedItems containsSemiMixedTypes="0" containsString="0" containsNumber="1" minValue="3.4614883264151999" maxValue="4.2532728103430371"/>
    </cacheField>
    <cacheField name="2BR" numFmtId="165">
      <sharedItems containsSemiMixedTypes="0" containsString="0" containsNumber="1" minValue="3897.4" maxValue="5139.2941176470586"/>
    </cacheField>
    <cacheField name="2BR PSF" numFmtId="164">
      <sharedItems containsSemiMixedTypes="0" containsString="0" containsNumber="1" minValue="3.0336044474904189" maxValue="4.6031110246666485"/>
    </cacheField>
    <cacheField name="3BR" numFmtId="165">
      <sharedItems containsString="0" containsBlank="1" containsNumber="1" minValue="6418.5" maxValue="8282.75"/>
    </cacheField>
    <cacheField name="3BR PSF" numFmtId="164">
      <sharedItems containsString="0" containsBlank="1" containsNumber="1" minValue="3.9048660470202297" maxValue="4.4511095700416092"/>
    </cacheField>
    <cacheField name="4BR" numFmtId="165">
      <sharedItems containsString="0" containsBlank="1" containsNumber="1" containsInteger="1" minValue="4500" maxValue="6500"/>
    </cacheField>
    <cacheField name="4BR PSF" numFmtId="164">
      <sharedItems containsString="0" containsBlank="1" containsNumber="1" minValue="1.9" maxValue="3"/>
    </cacheField>
    <cacheField name="5BR" numFmtId="165">
      <sharedItems containsString="0" containsBlank="1" containsNumber="1" containsInteger="1" minValue="6500" maxValue="9000"/>
    </cacheField>
    <cacheField name="5BR PSF" numFmtId="164">
      <sharedItems containsString="0" containsBlank="1" containsNumber="1" minValue="1.99" maxValue="2.2999999999999998"/>
    </cacheField>
    <cacheField name="Avg" numFmtId="165">
      <sharedItems containsSemiMixedTypes="0" containsString="0" containsNumber="1" minValue="2647.744680851064" maxValue="4233.19696969697"/>
    </cacheField>
    <cacheField name="Avg PSF" numFmtId="164">
      <sharedItems containsSemiMixedTypes="0" containsString="0" containsNumber="1" minValue="3.4232112893021207" maxValue="4.5189745972738535"/>
    </cacheField>
    <cacheField name=" Studio " numFmtId="165">
      <sharedItems containsSemiMixedTypes="0" containsString="0" containsNumber="1" minValue="2194" maxValue="2785.4545454545455"/>
    </cacheField>
    <cacheField name="Studio PSF " numFmtId="164">
      <sharedItems containsSemiMixedTypes="0" containsString="0" containsNumber="1" minValue="3.5687472959041791" maxValue="5.0786433326862115"/>
    </cacheField>
    <cacheField name=" 1BR " numFmtId="165">
      <sharedItems containsSemiMixedTypes="0" containsString="0" containsNumber="1" minValue="2728.2857142857142" maxValue="3433.7096774193546"/>
    </cacheField>
    <cacheField name="1BR PSF " numFmtId="164">
      <sharedItems containsSemiMixedTypes="0" containsString="0" containsNumber="1" minValue="3.4614883264151999" maxValue="4.2391220382357879"/>
    </cacheField>
    <cacheField name=" 2BR " numFmtId="165">
      <sharedItems containsSemiMixedTypes="0" containsString="0" containsNumber="1" minValue="3897.4" maxValue="5139.2941176470586"/>
    </cacheField>
    <cacheField name="2BR PSF " numFmtId="164">
      <sharedItems containsSemiMixedTypes="0" containsString="0" containsNumber="1" minValue="3.0336044474904189" maxValue="4.6031110246666485"/>
    </cacheField>
    <cacheField name=" 3BR " numFmtId="165">
      <sharedItems containsString="0" containsBlank="1" containsNumber="1" minValue="6418.5" maxValue="8047"/>
    </cacheField>
    <cacheField name="3BR PSF " numFmtId="164">
      <sharedItems containsString="0" containsBlank="1" containsNumber="1" minValue="3.8623363815144671" maxValue="4.4511095700416092"/>
    </cacheField>
    <cacheField name=" 4BR " numFmtId="165">
      <sharedItems containsString="0" containsBlank="1" containsNumber="1" containsInteger="1" minValue="4500" maxValue="6500"/>
    </cacheField>
    <cacheField name="4BR PSF " numFmtId="164">
      <sharedItems containsString="0" containsBlank="1" containsNumber="1" minValue="1.9" maxValue="3"/>
    </cacheField>
    <cacheField name="5BR " numFmtId="165">
      <sharedItems containsString="0" containsBlank="1" containsNumber="1" containsInteger="1" minValue="6500" maxValue="9000"/>
    </cacheField>
    <cacheField name="5BR PSF " numFmtId="164">
      <sharedItems containsString="0" containsBlank="1" containsNumber="1" minValue="1.99" maxValue="2.2999999999999998"/>
    </cacheField>
    <cacheField name=" Avg " numFmtId="165">
      <sharedItems containsSemiMixedTypes="0" containsString="0" containsNumber="1" minValue="2647.744680851064" maxValue="4233.19696969697"/>
    </cacheField>
    <cacheField name=" Avg PSF " numFmtId="164">
      <sharedItems containsSemiMixedTypes="0" containsString="0" containsNumber="1" minValue="3.4232112893021207" maxValue="4.51897459727385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1">
  <r>
    <x v="0"/>
    <s v="201 North Garland Court"/>
    <x v="0"/>
    <s v="0611"/>
    <n v="6"/>
    <x v="0"/>
    <n v="1"/>
    <m/>
    <x v="0"/>
    <x v="0"/>
    <x v="0"/>
    <x v="0"/>
    <n v="20"/>
    <n v="2030"/>
    <n v="3.7592592592592591"/>
    <n v="2030"/>
    <n v="3.7592592592592591"/>
    <s v="[]"/>
    <s v="[balcony_patio corner_unit]"/>
  </r>
  <r>
    <x v="0"/>
    <s v="201 North Garland Court"/>
    <x v="0"/>
    <s v="0711"/>
    <n v="7"/>
    <x v="0"/>
    <n v="1"/>
    <m/>
    <x v="0"/>
    <x v="1"/>
    <x v="1"/>
    <x v="0"/>
    <n v="4"/>
    <n v="2065"/>
    <n v="3.824074074074074"/>
    <n v="2065"/>
    <n v="3.824074074074074"/>
    <s v="[]"/>
    <s v="[corner_unit]"/>
  </r>
  <r>
    <x v="0"/>
    <s v="201 North Garland Court"/>
    <x v="0"/>
    <s v="1011"/>
    <n v="10"/>
    <x v="0"/>
    <n v="1"/>
    <m/>
    <x v="0"/>
    <x v="2"/>
    <x v="0"/>
    <x v="0"/>
    <n v="5"/>
    <n v="2095"/>
    <n v="3.8796296296296298"/>
    <n v="2095"/>
    <n v="3.8796296296296298"/>
    <s v="[]"/>
    <s v="[corner_unit]"/>
  </r>
  <r>
    <x v="0"/>
    <s v="201 North Garland Court"/>
    <x v="0"/>
    <s v="0606"/>
    <n v="6"/>
    <x v="0"/>
    <n v="1"/>
    <m/>
    <x v="0"/>
    <x v="3"/>
    <x v="2"/>
    <x v="0"/>
    <n v="2"/>
    <n v="2105"/>
    <n v="3.8981481481481484"/>
    <n v="2105"/>
    <n v="3.8981481481481484"/>
    <s v="[]"/>
    <s v="[corner_unit]"/>
  </r>
  <r>
    <x v="0"/>
    <s v="201 North Garland Court"/>
    <x v="0"/>
    <s v="1211"/>
    <n v="12"/>
    <x v="0"/>
    <n v="1"/>
    <m/>
    <x v="0"/>
    <x v="0"/>
    <x v="3"/>
    <x v="0"/>
    <n v="61"/>
    <n v="2115"/>
    <n v="3.9166666666666665"/>
    <n v="2115"/>
    <n v="3.9166666666666665"/>
    <s v="[]"/>
    <s v="[corner_unit]"/>
  </r>
  <r>
    <x v="0"/>
    <s v="201 North Garland Court"/>
    <x v="0"/>
    <s v="1206"/>
    <n v="12"/>
    <x v="0"/>
    <n v="1"/>
    <m/>
    <x v="0"/>
    <x v="4"/>
    <x v="4"/>
    <x v="0"/>
    <n v="3"/>
    <n v="2140"/>
    <n v="3.9629629629629628"/>
    <n v="2140"/>
    <n v="3.9629629629629628"/>
    <s v="[]"/>
    <s v="[corner_unit]"/>
  </r>
  <r>
    <x v="0"/>
    <s v="201 North Garland Court"/>
    <x v="0"/>
    <s v="1006"/>
    <n v="10"/>
    <x v="0"/>
    <n v="1"/>
    <m/>
    <x v="0"/>
    <x v="5"/>
    <x v="5"/>
    <x v="0"/>
    <n v="10"/>
    <n v="2145"/>
    <n v="3.9722222222222223"/>
    <n v="2145"/>
    <n v="3.9722222222222223"/>
    <s v="[]"/>
    <s v="[corner_unit]"/>
  </r>
  <r>
    <x v="0"/>
    <s v="201 North Garland Court"/>
    <x v="0"/>
    <s v="1511"/>
    <n v="15"/>
    <x v="0"/>
    <n v="1"/>
    <m/>
    <x v="0"/>
    <x v="6"/>
    <x v="6"/>
    <x v="0"/>
    <n v="21"/>
    <n v="2155"/>
    <n v="3.9907407407407409"/>
    <n v="2155"/>
    <n v="3.9907407407407409"/>
    <s v="[]"/>
    <s v="[corner_unit]"/>
  </r>
  <r>
    <x v="0"/>
    <s v="201 North Garland Court"/>
    <x v="0"/>
    <s v="0806"/>
    <n v="8"/>
    <x v="0"/>
    <n v="1"/>
    <m/>
    <x v="0"/>
    <x v="7"/>
    <x v="7"/>
    <x v="0"/>
    <n v="49"/>
    <n v="2160"/>
    <n v="4"/>
    <n v="2160"/>
    <n v="4"/>
    <s v="[]"/>
    <s v="[balcony_patio corner_unit]"/>
  </r>
  <r>
    <x v="0"/>
    <s v="201 North Garland Court"/>
    <x v="1"/>
    <m/>
    <m/>
    <x v="0"/>
    <n v="1"/>
    <m/>
    <x v="0"/>
    <x v="8"/>
    <x v="8"/>
    <x v="0"/>
    <n v="5"/>
    <m/>
    <m/>
    <m/>
    <m/>
    <s v="[]"/>
    <s v="[]"/>
  </r>
  <r>
    <x v="0"/>
    <s v="201 North Garland Court"/>
    <x v="0"/>
    <s v="2111"/>
    <n v="21"/>
    <x v="0"/>
    <n v="1"/>
    <m/>
    <x v="0"/>
    <x v="9"/>
    <x v="9"/>
    <x v="0"/>
    <n v="14"/>
    <n v="2245"/>
    <n v="4.1574074074074074"/>
    <n v="2245"/>
    <n v="4.1574074074074074"/>
    <s v="[]"/>
    <s v="[corner_unit]"/>
  </r>
  <r>
    <x v="0"/>
    <s v="201 North Garland Court"/>
    <x v="2"/>
    <s v="2806"/>
    <n v="28"/>
    <x v="0"/>
    <n v="1"/>
    <m/>
    <x v="0"/>
    <x v="10"/>
    <x v="10"/>
    <x v="0"/>
    <n v="2"/>
    <n v="2252"/>
    <n v="4.1703703703703701"/>
    <n v="2252"/>
    <n v="4.1703703703703701"/>
    <s v="[Window Covering Dishwasher Garbage disposal Refrigerator Large Closets Microwave Wheel Chair View Stackable Washer/Dryter In Unit Range Private Balcony Individual Climate Control Heat Controlled Access Cable]"/>
    <s v="[balcony_patio.private view balcony_patio washer_dryer.stackable dishwasher washer_dryer]"/>
  </r>
  <r>
    <x v="0"/>
    <s v="201 North Garland Court"/>
    <x v="0"/>
    <s v="1911"/>
    <n v="19"/>
    <x v="0"/>
    <n v="1"/>
    <m/>
    <x v="0"/>
    <x v="11"/>
    <x v="3"/>
    <x v="0"/>
    <n v="15"/>
    <n v="2280"/>
    <n v="4.2222222222222223"/>
    <n v="2280"/>
    <n v="4.2222222222222223"/>
    <s v="[]"/>
    <s v="[corner_unit]"/>
  </r>
  <r>
    <x v="0"/>
    <s v="201 North Garland Court"/>
    <x v="0"/>
    <s v="2006"/>
    <n v="20"/>
    <x v="0"/>
    <n v="1"/>
    <m/>
    <x v="0"/>
    <x v="9"/>
    <x v="11"/>
    <x v="0"/>
    <n v="105"/>
    <n v="2285"/>
    <n v="4.2314814814814818"/>
    <n v="2285"/>
    <n v="4.2314814814814818"/>
    <s v="[]"/>
    <s v="[corner_unit]"/>
  </r>
  <r>
    <x v="0"/>
    <s v="201 North Garland Court"/>
    <x v="0"/>
    <s v="3511"/>
    <n v="35"/>
    <x v="0"/>
    <n v="1"/>
    <m/>
    <x v="0"/>
    <x v="0"/>
    <x v="12"/>
    <x v="0"/>
    <n v="57"/>
    <n v="2285"/>
    <n v="4.2314814814814818"/>
    <n v="2285"/>
    <n v="4.2314814814814818"/>
    <s v="[]"/>
    <s v="[corner_unit]"/>
  </r>
  <r>
    <x v="0"/>
    <s v="201 North Garland Court"/>
    <x v="0"/>
    <s v="2106"/>
    <n v="21"/>
    <x v="0"/>
    <n v="1"/>
    <m/>
    <x v="0"/>
    <x v="12"/>
    <x v="13"/>
    <x v="0"/>
    <n v="51"/>
    <n v="2295"/>
    <n v="4.25"/>
    <n v="2295"/>
    <n v="4.25"/>
    <s v="[]"/>
    <s v="[corner_unit]"/>
  </r>
  <r>
    <x v="0"/>
    <s v="201 North Garland Court"/>
    <x v="0"/>
    <s v="2611"/>
    <n v="26"/>
    <x v="0"/>
    <n v="1"/>
    <m/>
    <x v="0"/>
    <x v="13"/>
    <x v="14"/>
    <x v="0"/>
    <n v="10"/>
    <n v="2295"/>
    <n v="4.25"/>
    <n v="2295"/>
    <n v="4.25"/>
    <s v="[]"/>
    <s v="[corner_unit]"/>
  </r>
  <r>
    <x v="0"/>
    <s v="201 North Garland Court"/>
    <x v="0"/>
    <s v="4011"/>
    <n v="40"/>
    <x v="0"/>
    <n v="1"/>
    <m/>
    <x v="0"/>
    <x v="14"/>
    <x v="3"/>
    <x v="0"/>
    <n v="351"/>
    <n v="2335"/>
    <n v="4.3240740740740744"/>
    <n v="2335"/>
    <n v="4.3240740740740744"/>
    <s v="[]"/>
    <s v="[corner_unit]"/>
  </r>
  <r>
    <x v="0"/>
    <s v="201 North Garland Court"/>
    <x v="0"/>
    <s v="3911"/>
    <n v="39"/>
    <x v="0"/>
    <n v="1"/>
    <m/>
    <x v="0"/>
    <x v="15"/>
    <x v="15"/>
    <x v="0"/>
    <n v="379"/>
    <n v="2360"/>
    <n v="4.3703703703703702"/>
    <n v="2360"/>
    <n v="4.3703703703703702"/>
    <s v="[]"/>
    <s v="[corner_unit]"/>
  </r>
  <r>
    <x v="0"/>
    <s v="201 North Garland Court"/>
    <x v="0"/>
    <s v="3806"/>
    <n v="38"/>
    <x v="0"/>
    <n v="1"/>
    <m/>
    <x v="0"/>
    <x v="16"/>
    <x v="16"/>
    <x v="0"/>
    <n v="419"/>
    <n v="2365"/>
    <n v="4.3796296296296298"/>
    <n v="2365"/>
    <n v="4.3796296296296298"/>
    <s v="[]"/>
    <s v="[corner_unit]"/>
  </r>
  <r>
    <x v="0"/>
    <s v="201 North Garland Court"/>
    <x v="0"/>
    <s v="3106"/>
    <n v="31"/>
    <x v="0"/>
    <n v="1"/>
    <m/>
    <x v="0"/>
    <x v="17"/>
    <x v="17"/>
    <x v="0"/>
    <n v="36"/>
    <n v="2370"/>
    <n v="4.3888888888888893"/>
    <n v="2370"/>
    <n v="4.3888888888888893"/>
    <s v="[]"/>
    <s v="[corner_unit]"/>
  </r>
  <r>
    <x v="0"/>
    <s v="201 North Garland Court"/>
    <x v="0"/>
    <s v="1906"/>
    <n v="19"/>
    <x v="0"/>
    <n v="1"/>
    <m/>
    <x v="0"/>
    <x v="18"/>
    <x v="18"/>
    <x v="0"/>
    <n v="50"/>
    <n v="2420"/>
    <n v="4.4814814814814818"/>
    <n v="2420"/>
    <n v="4.4814814814814818"/>
    <s v="[]"/>
    <s v="[corner_unit]"/>
  </r>
  <r>
    <x v="0"/>
    <s v="201 North Garland Court"/>
    <x v="0"/>
    <s v="3711"/>
    <n v="37"/>
    <x v="0"/>
    <n v="1"/>
    <m/>
    <x v="0"/>
    <x v="19"/>
    <x v="18"/>
    <x v="0"/>
    <n v="328"/>
    <n v="2475"/>
    <n v="4.583333333333333"/>
    <n v="2475"/>
    <n v="4.583333333333333"/>
    <s v="[]"/>
    <s v="[corner_unit]"/>
  </r>
  <r>
    <x v="0"/>
    <s v="201 North Garland Court"/>
    <x v="1"/>
    <s v="2011"/>
    <n v="20"/>
    <x v="0"/>
    <n v="1"/>
    <m/>
    <x v="0"/>
    <x v="20"/>
    <x v="19"/>
    <x v="0"/>
    <n v="7"/>
    <n v="2070"/>
    <n v="3.8333333333333335"/>
    <n v="1906"/>
    <n v="3.5296296296296297"/>
    <s v="[]"/>
    <s v="[]"/>
  </r>
  <r>
    <x v="0"/>
    <s v="201 North Garland Court"/>
    <x v="1"/>
    <s v="2506"/>
    <n v="25"/>
    <x v="0"/>
    <n v="1"/>
    <m/>
    <x v="0"/>
    <x v="21"/>
    <x v="20"/>
    <x v="0"/>
    <n v="55"/>
    <n v="2083"/>
    <n v="3.8574074074074076"/>
    <n v="2003"/>
    <n v="3.7092592592592593"/>
    <s v="[]"/>
    <s v="[corner_unit]"/>
  </r>
  <r>
    <x v="0"/>
    <s v="201 North Garland Court"/>
    <x v="1"/>
    <s v="2711"/>
    <n v="27"/>
    <x v="0"/>
    <n v="1"/>
    <m/>
    <x v="0"/>
    <x v="22"/>
    <x v="21"/>
    <x v="0"/>
    <n v="249"/>
    <n v="2084"/>
    <n v="3.8592592592592592"/>
    <n v="1910"/>
    <n v="3.5370370370370372"/>
    <s v="[]"/>
    <s v="[corner_unit]"/>
  </r>
  <r>
    <x v="0"/>
    <s v="201 North Garland Court"/>
    <x v="3"/>
    <s v="1411"/>
    <n v="14"/>
    <x v="0"/>
    <n v="1"/>
    <m/>
    <x v="0"/>
    <x v="23"/>
    <x v="22"/>
    <x v="0"/>
    <n v="11"/>
    <n v="2084"/>
    <n v="3.8592592592592592"/>
    <n v="2084"/>
    <n v="3.8592592592592592"/>
    <s v="[]"/>
    <s v="[]"/>
  </r>
  <r>
    <x v="0"/>
    <s v="201 North Garland Court"/>
    <x v="0"/>
    <s v="0906"/>
    <n v="9"/>
    <x v="0"/>
    <n v="1"/>
    <m/>
    <x v="0"/>
    <x v="24"/>
    <x v="23"/>
    <x v="0"/>
    <n v="36"/>
    <n v="2155"/>
    <n v="3.9907407407407409"/>
    <n v="2155"/>
    <n v="3.9907407407407409"/>
    <s v="[]"/>
    <s v="[corner_unit]"/>
  </r>
  <r>
    <x v="0"/>
    <s v="201 North Garland Court"/>
    <x v="3"/>
    <s v="2311"/>
    <n v="23"/>
    <x v="0"/>
    <n v="1"/>
    <m/>
    <x v="0"/>
    <x v="16"/>
    <x v="24"/>
    <x v="0"/>
    <n v="3"/>
    <n v="2192"/>
    <n v="4.0592592592592593"/>
    <n v="2192"/>
    <n v="4.0592592592592593"/>
    <s v="[]"/>
    <s v="[]"/>
  </r>
  <r>
    <x v="0"/>
    <s v="201 North Garland Court"/>
    <x v="3"/>
    <s v="2911"/>
    <n v="29"/>
    <x v="0"/>
    <n v="1"/>
    <m/>
    <x v="0"/>
    <x v="25"/>
    <x v="25"/>
    <x v="0"/>
    <n v="4"/>
    <n v="2197"/>
    <n v="4.0685185185185189"/>
    <n v="2197"/>
    <n v="4.0685185185185189"/>
    <s v="[]"/>
    <s v="[]"/>
  </r>
  <r>
    <x v="0"/>
    <s v="201 North Garland Court"/>
    <x v="0"/>
    <s v="1711"/>
    <n v="17"/>
    <x v="0"/>
    <n v="1"/>
    <m/>
    <x v="0"/>
    <x v="26"/>
    <x v="23"/>
    <x v="0"/>
    <n v="53"/>
    <n v="2200"/>
    <n v="4.0740740740740744"/>
    <n v="2200"/>
    <n v="4.0740740740740744"/>
    <s v="[]"/>
    <s v="[corner_unit]"/>
  </r>
  <r>
    <x v="0"/>
    <s v="201 North Garland Court"/>
    <x v="1"/>
    <s v="3811"/>
    <n v="38"/>
    <x v="0"/>
    <n v="1"/>
    <m/>
    <x v="0"/>
    <x v="27"/>
    <x v="26"/>
    <x v="0"/>
    <n v="92"/>
    <n v="2218"/>
    <n v="4.1074074074074076"/>
    <n v="2005"/>
    <n v="3.7129629629629628"/>
    <s v="[]"/>
    <s v="[corner_unit]"/>
  </r>
  <r>
    <x v="0"/>
    <s v="201 North Garland Court"/>
    <x v="1"/>
    <s v="2906"/>
    <n v="29"/>
    <x v="0"/>
    <n v="1"/>
    <m/>
    <x v="0"/>
    <x v="28"/>
    <x v="27"/>
    <x v="0"/>
    <n v="200"/>
    <n v="2242"/>
    <n v="4.1518518518518519"/>
    <n v="2082"/>
    <n v="3.8555555555555556"/>
    <s v="[]"/>
    <s v="[corner_unit]"/>
  </r>
  <r>
    <x v="0"/>
    <s v="201 North Garland Court"/>
    <x v="1"/>
    <s v="1111"/>
    <n v="11"/>
    <x v="0"/>
    <n v="1"/>
    <m/>
    <x v="0"/>
    <x v="29"/>
    <x v="28"/>
    <x v="1"/>
    <m/>
    <n v="2258"/>
    <n v="4.1814814814814811"/>
    <n v="2258"/>
    <n v="4.1814814814814811"/>
    <s v="[]"/>
    <s v="[]"/>
  </r>
  <r>
    <x v="0"/>
    <s v="201 North Garland Court"/>
    <x v="1"/>
    <s v="1406"/>
    <n v="14"/>
    <x v="0"/>
    <n v="1"/>
    <m/>
    <x v="0"/>
    <x v="30"/>
    <x v="29"/>
    <x v="0"/>
    <n v="58"/>
    <n v="2268"/>
    <n v="4.2"/>
    <n v="2268"/>
    <n v="4.2"/>
    <s v="[]"/>
    <s v="[]"/>
  </r>
  <r>
    <x v="0"/>
    <s v="201 North Garland Court"/>
    <x v="1"/>
    <s v="2411"/>
    <n v="24"/>
    <x v="0"/>
    <n v="1"/>
    <m/>
    <x v="0"/>
    <x v="31"/>
    <x v="30"/>
    <x v="0"/>
    <n v="22"/>
    <n v="2291"/>
    <n v="4.2425925925925929"/>
    <n v="2291"/>
    <n v="4.2425925925925929"/>
    <s v="[]"/>
    <s v="[corner_unit]"/>
  </r>
  <r>
    <x v="0"/>
    <s v="201 North Garland Court"/>
    <x v="1"/>
    <s v="3406"/>
    <n v="34"/>
    <x v="0"/>
    <n v="1"/>
    <m/>
    <x v="0"/>
    <x v="10"/>
    <x v="27"/>
    <x v="0"/>
    <n v="299"/>
    <n v="2292"/>
    <n v="4.2444444444444445"/>
    <n v="2129"/>
    <n v="3.9425925925925926"/>
    <s v="[]"/>
    <s v="[corner_unit]"/>
  </r>
  <r>
    <x v="0"/>
    <s v="201 North Garland Court"/>
    <x v="1"/>
    <s v="0706"/>
    <n v="7"/>
    <x v="0"/>
    <n v="1"/>
    <m/>
    <x v="0"/>
    <x v="32"/>
    <x v="28"/>
    <x v="1"/>
    <m/>
    <n v="2293"/>
    <n v="4.246296296296296"/>
    <n v="2293"/>
    <n v="4.246296296296296"/>
    <s v="[]"/>
    <s v="[]"/>
  </r>
  <r>
    <x v="0"/>
    <s v="201 North Garland Court"/>
    <x v="3"/>
    <s v="3311"/>
    <n v="33"/>
    <x v="0"/>
    <n v="1"/>
    <m/>
    <x v="0"/>
    <x v="16"/>
    <x v="31"/>
    <x v="0"/>
    <n v="24"/>
    <n v="2337"/>
    <n v="4.3277777777777775"/>
    <n v="2337"/>
    <n v="4.3277777777777775"/>
    <s v="[]"/>
    <s v="[]"/>
  </r>
  <r>
    <x v="0"/>
    <s v="201 North Garland Court"/>
    <x v="1"/>
    <s v="1606"/>
    <n v="16"/>
    <x v="0"/>
    <n v="1"/>
    <m/>
    <x v="0"/>
    <x v="33"/>
    <x v="28"/>
    <x v="1"/>
    <m/>
    <n v="2373"/>
    <n v="4.3944444444444448"/>
    <n v="2373"/>
    <n v="4.3944444444444448"/>
    <s v="[]"/>
    <s v="[]"/>
  </r>
  <r>
    <x v="0"/>
    <s v="201 North Garland Court"/>
    <x v="3"/>
    <s v="3611"/>
    <n v="36"/>
    <x v="0"/>
    <n v="1"/>
    <m/>
    <x v="0"/>
    <x v="16"/>
    <x v="32"/>
    <x v="0"/>
    <n v="10"/>
    <n v="2412"/>
    <n v="4.4666666666666668"/>
    <n v="2412"/>
    <n v="4.4666666666666668"/>
    <s v="[]"/>
    <s v="[]"/>
  </r>
  <r>
    <x v="0"/>
    <s v="201 North Garland Court"/>
    <x v="1"/>
    <s v="2211"/>
    <n v="22"/>
    <x v="0"/>
    <n v="1"/>
    <m/>
    <x v="0"/>
    <x v="34"/>
    <x v="28"/>
    <x v="1"/>
    <m/>
    <n v="2433"/>
    <n v="4.5055555555555555"/>
    <n v="2433"/>
    <n v="4.5055555555555555"/>
    <s v="[]"/>
    <s v="[]"/>
  </r>
  <r>
    <x v="0"/>
    <s v="201 North Garland Court"/>
    <x v="1"/>
    <s v="2406"/>
    <n v="24"/>
    <x v="0"/>
    <n v="1"/>
    <m/>
    <x v="0"/>
    <x v="32"/>
    <x v="28"/>
    <x v="1"/>
    <m/>
    <n v="2503"/>
    <n v="4.6351851851851853"/>
    <n v="2503"/>
    <n v="4.6351851851851853"/>
    <s v="[]"/>
    <s v="[]"/>
  </r>
  <r>
    <x v="0"/>
    <s v="201 North Garland Court"/>
    <x v="1"/>
    <s v="2706"/>
    <n v="27"/>
    <x v="0"/>
    <n v="1"/>
    <m/>
    <x v="0"/>
    <x v="32"/>
    <x v="28"/>
    <x v="1"/>
    <m/>
    <n v="2533"/>
    <n v="4.6907407407407407"/>
    <n v="2533"/>
    <n v="4.6907407407407407"/>
    <s v="[]"/>
    <s v="[]"/>
  </r>
  <r>
    <x v="0"/>
    <s v="201 North Garland Court"/>
    <x v="1"/>
    <s v="3606"/>
    <n v="36"/>
    <x v="0"/>
    <n v="1"/>
    <m/>
    <x v="0"/>
    <x v="0"/>
    <x v="28"/>
    <x v="1"/>
    <m/>
    <n v="2623"/>
    <n v="4.8574074074074076"/>
    <n v="2623"/>
    <n v="4.8574074074074076"/>
    <s v="[]"/>
    <s v="[corner_unit]"/>
  </r>
  <r>
    <x v="0"/>
    <s v="201 North Garland Court"/>
    <x v="2"/>
    <s v="2206"/>
    <n v="22"/>
    <x v="0"/>
    <n v="1"/>
    <m/>
    <x v="0"/>
    <x v="35"/>
    <x v="33"/>
    <x v="0"/>
    <n v="115"/>
    <n v="2720"/>
    <n v="5.0370370370370372"/>
    <n v="2720"/>
    <n v="5.0370370370370372"/>
    <s v="[]"/>
    <s v="[]"/>
  </r>
  <r>
    <x v="0"/>
    <s v="201 North Garland Court"/>
    <x v="2"/>
    <s v="3006"/>
    <n v="30"/>
    <x v="0"/>
    <n v="1"/>
    <m/>
    <x v="0"/>
    <x v="36"/>
    <x v="34"/>
    <x v="0"/>
    <n v="23"/>
    <n v="2990"/>
    <n v="5.5370370370370372"/>
    <n v="2990"/>
    <n v="5.5370370370370372"/>
    <s v="[]"/>
    <s v="[]"/>
  </r>
  <r>
    <x v="0"/>
    <s v="201 North Garland Court"/>
    <x v="2"/>
    <s v="1706"/>
    <n v="17"/>
    <x v="0"/>
    <n v="1"/>
    <m/>
    <x v="0"/>
    <x v="37"/>
    <x v="35"/>
    <x v="0"/>
    <n v="28"/>
    <n v="3009"/>
    <n v="5.572222222222222"/>
    <n v="3009"/>
    <n v="5.572222222222222"/>
    <s v="[]"/>
    <s v="[]"/>
  </r>
  <r>
    <x v="0"/>
    <s v="201 North Garland Court"/>
    <x v="1"/>
    <s v="0911"/>
    <n v="9"/>
    <x v="0"/>
    <n v="1"/>
    <m/>
    <x v="1"/>
    <x v="24"/>
    <x v="36"/>
    <x v="0"/>
    <n v="153"/>
    <n v="2120"/>
    <n v="3.2868217054263567"/>
    <n v="1943"/>
    <n v="3.0124031007751939"/>
    <s v="[]"/>
    <s v="[corner_unit]"/>
  </r>
  <r>
    <x v="0"/>
    <s v="201 North Garland Court"/>
    <x v="4"/>
    <s v="712"/>
    <n v="7"/>
    <x v="1"/>
    <n v="1"/>
    <m/>
    <x v="1"/>
    <x v="19"/>
    <x v="37"/>
    <x v="0"/>
    <n v="172"/>
    <n v="2090"/>
    <n v="3.2403100775193798"/>
    <n v="2090"/>
    <n v="3.2403100775193798"/>
    <s v="[ADA 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5"/>
    <s v="805"/>
    <n v="8"/>
    <x v="1"/>
    <n v="1"/>
    <m/>
    <x v="1"/>
    <x v="38"/>
    <x v="37"/>
    <x v="0"/>
    <n v="11"/>
    <n v="2151"/>
    <n v="3.3348837209302324"/>
    <n v="2151"/>
    <n v="3.3348837209302324"/>
    <s v="[ADA 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4"/>
    <s v="1812"/>
    <n v="18"/>
    <x v="1"/>
    <n v="1"/>
    <m/>
    <x v="1"/>
    <x v="10"/>
    <x v="37"/>
    <x v="0"/>
    <n v="23"/>
    <n v="2161"/>
    <n v="3.3503875968992247"/>
    <n v="2161"/>
    <n v="3.3503875968992247"/>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5"/>
    <s v="705"/>
    <n v="7"/>
    <x v="1"/>
    <n v="1"/>
    <m/>
    <x v="1"/>
    <x v="38"/>
    <x v="38"/>
    <x v="0"/>
    <n v="6"/>
    <n v="2176"/>
    <n v="3.3736434108527131"/>
    <n v="2176"/>
    <n v="3.3736434108527131"/>
    <s v="[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6"/>
    <s v="1212"/>
    <n v="12"/>
    <x v="1"/>
    <n v="1"/>
    <m/>
    <x v="1"/>
    <x v="39"/>
    <x v="39"/>
    <x v="0"/>
    <n v="2"/>
    <n v="2220"/>
    <n v="3.441860465116279"/>
    <n v="2220"/>
    <n v="3.441860465116279"/>
    <s v="[]"/>
    <s v="[corner_unit]"/>
  </r>
  <r>
    <x v="0"/>
    <s v="201 North Garland Court"/>
    <x v="6"/>
    <s v="1612"/>
    <n v="16"/>
    <x v="1"/>
    <n v="1"/>
    <m/>
    <x v="1"/>
    <x v="0"/>
    <x v="40"/>
    <x v="0"/>
    <n v="28"/>
    <n v="2225"/>
    <n v="3.4496124031007751"/>
    <n v="2225"/>
    <n v="3.4496124031007751"/>
    <s v="[]"/>
    <s v="[corner_unit]"/>
  </r>
  <r>
    <x v="0"/>
    <s v="201 North Garland Court"/>
    <x v="4"/>
    <s v="2212"/>
    <n v="22"/>
    <x v="1"/>
    <n v="1"/>
    <m/>
    <x v="1"/>
    <x v="40"/>
    <x v="37"/>
    <x v="0"/>
    <n v="138"/>
    <n v="2256"/>
    <n v="3.4976744186046513"/>
    <n v="2256"/>
    <n v="3.4976744186046513"/>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6"/>
    <s v="1012"/>
    <n v="10"/>
    <x v="1"/>
    <n v="1"/>
    <m/>
    <x v="1"/>
    <x v="0"/>
    <x v="41"/>
    <x v="0"/>
    <n v="5"/>
    <n v="2260"/>
    <n v="3.5038759689922481"/>
    <n v="2260"/>
    <n v="3.5038759689922481"/>
    <s v="[]"/>
    <s v="[corner_unit]"/>
  </r>
  <r>
    <x v="0"/>
    <s v="201 North Garland Court"/>
    <x v="4"/>
    <s v="2412"/>
    <n v="24"/>
    <x v="1"/>
    <n v="1"/>
    <m/>
    <x v="1"/>
    <x v="10"/>
    <x v="37"/>
    <x v="0"/>
    <n v="23"/>
    <n v="2266"/>
    <n v="3.5131782945736436"/>
    <n v="2266"/>
    <n v="3.5131782945736436"/>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6"/>
    <s v="0905"/>
    <n v="9"/>
    <x v="1"/>
    <n v="1"/>
    <m/>
    <x v="1"/>
    <x v="0"/>
    <x v="42"/>
    <x v="0"/>
    <n v="2"/>
    <n v="2305"/>
    <n v="3.5736434108527133"/>
    <n v="2305"/>
    <n v="3.5736434108527133"/>
    <s v="[]"/>
    <s v="[corner_unit]"/>
  </r>
  <r>
    <x v="0"/>
    <s v="201 North Garland Court"/>
    <x v="5"/>
    <s v="3005"/>
    <n v="30"/>
    <x v="1"/>
    <n v="1"/>
    <m/>
    <x v="1"/>
    <x v="10"/>
    <x v="37"/>
    <x v="0"/>
    <n v="23"/>
    <n v="2366"/>
    <n v="3.6682170542635659"/>
    <n v="2366"/>
    <n v="3.6682170542635659"/>
    <s v="[ADA 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6"/>
    <s v="2205"/>
    <n v="22"/>
    <x v="1"/>
    <n v="1"/>
    <m/>
    <x v="1"/>
    <x v="41"/>
    <x v="43"/>
    <x v="0"/>
    <n v="113"/>
    <n v="2370"/>
    <n v="3.6744186046511627"/>
    <n v="2370"/>
    <n v="3.6744186046511627"/>
    <s v="[]"/>
    <s v="[corner_unit]"/>
  </r>
  <r>
    <x v="0"/>
    <s v="201 North Garland Court"/>
    <x v="6"/>
    <s v="3012"/>
    <n v="30"/>
    <x v="1"/>
    <n v="1"/>
    <m/>
    <x v="1"/>
    <x v="28"/>
    <x v="44"/>
    <x v="0"/>
    <n v="20"/>
    <n v="2400"/>
    <n v="3.7209302325581395"/>
    <n v="2400"/>
    <n v="3.7209302325581395"/>
    <s v="[]"/>
    <s v="[corner_unit]"/>
  </r>
  <r>
    <x v="0"/>
    <s v="201 North Garland Court"/>
    <x v="6"/>
    <s v="1712"/>
    <n v="17"/>
    <x v="1"/>
    <n v="1"/>
    <m/>
    <x v="1"/>
    <x v="42"/>
    <x v="45"/>
    <x v="0"/>
    <n v="35"/>
    <n v="2400"/>
    <n v="3.7209302325581395"/>
    <n v="2400"/>
    <n v="3.7209302325581395"/>
    <s v="[]"/>
    <s v="[corner_unit]"/>
  </r>
  <r>
    <x v="0"/>
    <s v="201 North Garland Court"/>
    <x v="6"/>
    <s v="1512"/>
    <n v="15"/>
    <x v="1"/>
    <n v="1"/>
    <m/>
    <x v="1"/>
    <x v="43"/>
    <x v="46"/>
    <x v="0"/>
    <n v="2"/>
    <n v="2400"/>
    <n v="3.7209302325581395"/>
    <n v="2400"/>
    <n v="3.7209302325581395"/>
    <s v="[]"/>
    <s v="[corner_unit]"/>
  </r>
  <r>
    <x v="0"/>
    <s v="201 North Garland Court"/>
    <x v="6"/>
    <s v="1805"/>
    <n v="18"/>
    <x v="1"/>
    <n v="1"/>
    <m/>
    <x v="1"/>
    <x v="0"/>
    <x v="47"/>
    <x v="0"/>
    <n v="19"/>
    <n v="2405"/>
    <n v="3.7286821705426356"/>
    <n v="2405"/>
    <n v="3.7286821705426356"/>
    <s v="[]"/>
    <s v="[corner_unit]"/>
  </r>
  <r>
    <x v="0"/>
    <s v="201 North Garland Court"/>
    <x v="6"/>
    <s v="2705"/>
    <n v="27"/>
    <x v="1"/>
    <n v="1"/>
    <m/>
    <x v="1"/>
    <x v="10"/>
    <x v="40"/>
    <x v="0"/>
    <n v="109"/>
    <n v="2420"/>
    <n v="3.751937984496124"/>
    <n v="2420"/>
    <n v="3.751937984496124"/>
    <s v="[]"/>
    <s v="[corner_unit]"/>
  </r>
  <r>
    <x v="0"/>
    <s v="201 North Garland Court"/>
    <x v="6"/>
    <s v="3112"/>
    <n v="31"/>
    <x v="1"/>
    <n v="1"/>
    <m/>
    <x v="1"/>
    <x v="44"/>
    <x v="48"/>
    <x v="0"/>
    <n v="3"/>
    <n v="2430"/>
    <n v="3.7674418604651163"/>
    <n v="2430"/>
    <n v="3.7674418604651163"/>
    <s v="[]"/>
    <s v="[corner_unit]"/>
  </r>
  <r>
    <x v="0"/>
    <s v="201 North Garland Court"/>
    <x v="6"/>
    <s v="3312"/>
    <n v="33"/>
    <x v="1"/>
    <n v="1"/>
    <m/>
    <x v="1"/>
    <x v="10"/>
    <x v="49"/>
    <x v="0"/>
    <n v="102"/>
    <n v="2430"/>
    <n v="3.7674418604651163"/>
    <n v="2430"/>
    <n v="3.7674418604651163"/>
    <s v="[]"/>
    <s v="[corner_unit]"/>
  </r>
  <r>
    <x v="0"/>
    <s v="201 North Garland Court"/>
    <x v="6"/>
    <s v="3412"/>
    <n v="34"/>
    <x v="1"/>
    <n v="1"/>
    <m/>
    <x v="1"/>
    <x v="45"/>
    <x v="50"/>
    <x v="0"/>
    <n v="317"/>
    <n v="2440"/>
    <n v="3.7829457364341086"/>
    <n v="2440"/>
    <n v="3.7829457364341086"/>
    <s v="[]"/>
    <s v="[corner_unit]"/>
  </r>
  <r>
    <x v="0"/>
    <s v="201 North Garland Court"/>
    <x v="6"/>
    <s v="2905"/>
    <n v="29"/>
    <x v="1"/>
    <n v="1"/>
    <m/>
    <x v="1"/>
    <x v="46"/>
    <x v="43"/>
    <x v="0"/>
    <n v="231"/>
    <n v="2440"/>
    <n v="3.7829457364341086"/>
    <n v="2440"/>
    <n v="3.7829457364341086"/>
    <s v="[]"/>
    <s v="[corner_unit]"/>
  </r>
  <r>
    <x v="0"/>
    <s v="201 North Garland Court"/>
    <x v="6"/>
    <s v="1505"/>
    <n v="15"/>
    <x v="1"/>
    <n v="1"/>
    <m/>
    <x v="1"/>
    <x v="47"/>
    <x v="51"/>
    <x v="0"/>
    <n v="12"/>
    <n v="2440"/>
    <n v="3.7829457364341086"/>
    <n v="2440"/>
    <n v="3.7829457364341086"/>
    <s v="[]"/>
    <s v="[corner_unit]"/>
  </r>
  <r>
    <x v="0"/>
    <s v="201 North Garland Court"/>
    <x v="6"/>
    <s v="2105"/>
    <n v="21"/>
    <x v="1"/>
    <n v="1"/>
    <m/>
    <x v="1"/>
    <x v="0"/>
    <x v="47"/>
    <x v="0"/>
    <n v="19"/>
    <n v="2460"/>
    <n v="3.8139534883720931"/>
    <n v="2460"/>
    <n v="3.8139534883720931"/>
    <s v="[]"/>
    <s v="[corner_unit]"/>
  </r>
  <r>
    <x v="0"/>
    <s v="201 North Garland Court"/>
    <x v="6"/>
    <s v="0812"/>
    <n v="8"/>
    <x v="1"/>
    <n v="1"/>
    <m/>
    <x v="1"/>
    <x v="48"/>
    <x v="12"/>
    <x v="0"/>
    <n v="3"/>
    <n v="2460"/>
    <n v="3.8139534883720931"/>
    <n v="2460"/>
    <n v="3.8139534883720931"/>
    <s v="[]"/>
    <s v="[corner_unit]"/>
  </r>
  <r>
    <x v="0"/>
    <s v="201 North Garland Court"/>
    <x v="6"/>
    <s v="3805"/>
    <n v="38"/>
    <x v="1"/>
    <n v="1"/>
    <m/>
    <x v="1"/>
    <x v="10"/>
    <x v="52"/>
    <x v="0"/>
    <n v="124"/>
    <n v="2545"/>
    <n v="3.945736434108527"/>
    <n v="2545"/>
    <n v="3.945736434108527"/>
    <s v="[]"/>
    <s v="[corner_unit]"/>
  </r>
  <r>
    <x v="0"/>
    <s v="201 North Garland Court"/>
    <x v="6"/>
    <s v="3812"/>
    <n v="38"/>
    <x v="1"/>
    <n v="1"/>
    <m/>
    <x v="1"/>
    <x v="0"/>
    <x v="53"/>
    <x v="0"/>
    <n v="10"/>
    <n v="2580"/>
    <n v="4"/>
    <n v="2580"/>
    <n v="4"/>
    <s v="[]"/>
    <s v="[corner_unit]"/>
  </r>
  <r>
    <x v="0"/>
    <s v="201 North Garland Court"/>
    <x v="6"/>
    <s v="2305"/>
    <n v="23"/>
    <x v="1"/>
    <n v="1"/>
    <m/>
    <x v="1"/>
    <x v="47"/>
    <x v="54"/>
    <x v="0"/>
    <n v="19"/>
    <n v="2590"/>
    <n v="4.0155038759689923"/>
    <n v="2590"/>
    <n v="4.0155038759689923"/>
    <s v="[]"/>
    <s v="[corner_unit]"/>
  </r>
  <r>
    <x v="0"/>
    <s v="201 North Garland Court"/>
    <x v="6"/>
    <s v="3305"/>
    <n v="33"/>
    <x v="1"/>
    <n v="1"/>
    <m/>
    <x v="1"/>
    <x v="0"/>
    <x v="41"/>
    <x v="0"/>
    <n v="5"/>
    <n v="2600"/>
    <n v="4.0310077519379846"/>
    <n v="2600"/>
    <n v="4.0310077519379846"/>
    <s v="[]"/>
    <s v="[corner_unit]"/>
  </r>
  <r>
    <x v="0"/>
    <s v="201 North Garland Court"/>
    <x v="6"/>
    <s v="3912"/>
    <n v="39"/>
    <x v="1"/>
    <n v="1"/>
    <m/>
    <x v="1"/>
    <x v="10"/>
    <x v="51"/>
    <x v="0"/>
    <n v="176"/>
    <n v="2675"/>
    <n v="4.1472868217054266"/>
    <n v="2675"/>
    <n v="4.1472868217054266"/>
    <s v="[]"/>
    <s v="[corner_unit]"/>
  </r>
  <r>
    <x v="0"/>
    <s v="201 North Garland Court"/>
    <x v="7"/>
    <s v="0811"/>
    <n v="8"/>
    <x v="1"/>
    <n v="1"/>
    <m/>
    <x v="1"/>
    <x v="49"/>
    <x v="55"/>
    <x v="0"/>
    <n v="24"/>
    <n v="2300"/>
    <n v="3.5658914728682172"/>
    <n v="1909"/>
    <n v="2.9596899224806203"/>
    <s v="[]"/>
    <s v="[]"/>
  </r>
  <r>
    <x v="0"/>
    <s v="201 North Garland Court"/>
    <x v="4"/>
    <s v="2012"/>
    <n v="20"/>
    <x v="1"/>
    <n v="1"/>
    <m/>
    <x v="1"/>
    <x v="19"/>
    <x v="56"/>
    <x v="0"/>
    <n v="43"/>
    <n v="2460"/>
    <n v="3.8139534883720931"/>
    <n v="2460"/>
    <n v="3.8139534883720931"/>
    <s v="[]"/>
    <s v="[]"/>
  </r>
  <r>
    <x v="0"/>
    <s v="201 North Garland Court"/>
    <x v="7"/>
    <s v="1005"/>
    <n v="10"/>
    <x v="1"/>
    <n v="1"/>
    <m/>
    <x v="1"/>
    <x v="33"/>
    <x v="28"/>
    <x v="1"/>
    <m/>
    <n v="2489"/>
    <n v="3.8589147286821706"/>
    <n v="2489"/>
    <n v="3.8589147286821706"/>
    <s v="[]"/>
    <s v="[]"/>
  </r>
  <r>
    <x v="0"/>
    <s v="201 North Garland Court"/>
    <x v="6"/>
    <s v="2512"/>
    <n v="25"/>
    <x v="1"/>
    <n v="1"/>
    <m/>
    <x v="1"/>
    <x v="11"/>
    <x v="23"/>
    <x v="0"/>
    <n v="109"/>
    <n v="2495"/>
    <n v="3.8682170542635661"/>
    <n v="2495"/>
    <n v="3.8682170542635661"/>
    <s v="[]"/>
    <s v="[corner_unit]"/>
  </r>
  <r>
    <x v="0"/>
    <s v="201 North Garland Court"/>
    <x v="7"/>
    <s v="1705"/>
    <n v="17"/>
    <x v="1"/>
    <n v="1"/>
    <m/>
    <x v="1"/>
    <x v="50"/>
    <x v="27"/>
    <x v="0"/>
    <n v="8"/>
    <n v="2563"/>
    <n v="3.9736434108527132"/>
    <n v="2381"/>
    <n v="3.6914728682170543"/>
    <s v="[]"/>
    <s v="[corner_unit]"/>
  </r>
  <r>
    <x v="0"/>
    <s v="201 North Garland Court"/>
    <x v="7"/>
    <s v="2312"/>
    <n v="23"/>
    <x v="1"/>
    <n v="1"/>
    <m/>
    <x v="1"/>
    <x v="51"/>
    <x v="28"/>
    <x v="1"/>
    <m/>
    <n v="2609"/>
    <n v="4.0449612403100774"/>
    <n v="2609"/>
    <n v="4.0449612403100774"/>
    <s v="[]"/>
    <s v="[]"/>
  </r>
  <r>
    <x v="0"/>
    <s v="201 North Garland Court"/>
    <x v="7"/>
    <s v="2005"/>
    <n v="20"/>
    <x v="1"/>
    <n v="1"/>
    <m/>
    <x v="1"/>
    <x v="20"/>
    <x v="28"/>
    <x v="1"/>
    <m/>
    <n v="2629"/>
    <n v="4.075968992248062"/>
    <n v="2629"/>
    <n v="4.075968992248062"/>
    <s v="[]"/>
    <s v="[corner_unit]"/>
  </r>
  <r>
    <x v="0"/>
    <s v="201 North Garland Court"/>
    <x v="7"/>
    <s v="2712"/>
    <n v="27"/>
    <x v="1"/>
    <n v="1"/>
    <m/>
    <x v="1"/>
    <x v="52"/>
    <x v="28"/>
    <x v="1"/>
    <m/>
    <n v="2649"/>
    <n v="4.1069767441860465"/>
    <n v="2649"/>
    <n v="4.1069767441860465"/>
    <s v="[]"/>
    <s v="[]"/>
  </r>
  <r>
    <x v="0"/>
    <s v="201 North Garland Court"/>
    <x v="7"/>
    <s v="2912"/>
    <n v="29"/>
    <x v="1"/>
    <n v="1"/>
    <m/>
    <x v="1"/>
    <x v="53"/>
    <x v="28"/>
    <x v="1"/>
    <m/>
    <n v="2669"/>
    <n v="4.1379844961240311"/>
    <n v="2669"/>
    <n v="4.1379844961240311"/>
    <s v="[]"/>
    <s v="[]"/>
  </r>
  <r>
    <x v="0"/>
    <s v="201 North Garland Court"/>
    <x v="7"/>
    <s v="3705"/>
    <n v="37"/>
    <x v="1"/>
    <n v="1"/>
    <m/>
    <x v="1"/>
    <x v="54"/>
    <x v="28"/>
    <x v="1"/>
    <m/>
    <n v="2799"/>
    <n v="4.3395348837209307"/>
    <n v="2799"/>
    <n v="4.3395348837209307"/>
    <s v="[]"/>
    <s v="[corner_unit]"/>
  </r>
  <r>
    <x v="0"/>
    <s v="201 North Garland Court"/>
    <x v="7"/>
    <s v="3905"/>
    <n v="39"/>
    <x v="1"/>
    <n v="1"/>
    <m/>
    <x v="1"/>
    <x v="55"/>
    <x v="28"/>
    <x v="1"/>
    <m/>
    <n v="2819"/>
    <n v="4.3705426356589143"/>
    <n v="2819"/>
    <n v="4.3705426356589143"/>
    <s v="[]"/>
    <s v="[corner_unit]"/>
  </r>
  <r>
    <x v="0"/>
    <s v="201 North Garland Court"/>
    <x v="5"/>
    <s v="2805"/>
    <n v="28"/>
    <x v="1"/>
    <n v="1"/>
    <m/>
    <x v="1"/>
    <x v="16"/>
    <x v="57"/>
    <x v="0"/>
    <n v="11"/>
    <n v="3054"/>
    <n v="4.7348837209302328"/>
    <n v="3054"/>
    <n v="4.7348837209302328"/>
    <s v="[]"/>
    <s v="[]"/>
  </r>
  <r>
    <x v="0"/>
    <s v="201 North Garland Court"/>
    <x v="5"/>
    <s v="4005"/>
    <n v="40"/>
    <x v="1"/>
    <n v="1"/>
    <m/>
    <x v="1"/>
    <x v="56"/>
    <x v="58"/>
    <x v="0"/>
    <n v="5"/>
    <n v="3312"/>
    <n v="5.1348837209302323"/>
    <n v="3312"/>
    <n v="5.1348837209302323"/>
    <s v="[]"/>
    <s v="[]"/>
  </r>
  <r>
    <x v="0"/>
    <s v="201 North Garland Court"/>
    <x v="5"/>
    <s v="1205"/>
    <n v="12"/>
    <x v="1"/>
    <n v="1"/>
    <m/>
    <x v="1"/>
    <x v="57"/>
    <x v="59"/>
    <x v="0"/>
    <n v="47"/>
    <n v="3328"/>
    <n v="5.1596899224806201"/>
    <n v="3328"/>
    <n v="5.1596899224806201"/>
    <s v="[]"/>
    <s v="[]"/>
  </r>
  <r>
    <x v="0"/>
    <s v="201 North Garland Court"/>
    <x v="8"/>
    <s v="1603"/>
    <n v="16"/>
    <x v="1"/>
    <n v="1"/>
    <m/>
    <x v="2"/>
    <x v="10"/>
    <x v="60"/>
    <x v="0"/>
    <n v="14"/>
    <n v="2137"/>
    <n v="2.9804741980474199"/>
    <n v="2137"/>
    <n v="2.9804741980474199"/>
    <s v="[ADA Refrigerator Garbage disposal Large Closets Microwave Window Covering Dishwasher Wheel Chair View Stackable Washer/Dryter In Unit Range Private Balcony Individual Climate Control Heat Controlled Access Cable]"/>
    <s v="[balcony_patio.private view balcony_patio washer_dryer.stackable dishwasher washer_dryer]"/>
  </r>
  <r>
    <x v="0"/>
    <s v="201 North Garland Court"/>
    <x v="9"/>
    <s v="0902"/>
    <n v="9"/>
    <x v="1"/>
    <n v="1"/>
    <m/>
    <x v="2"/>
    <x v="0"/>
    <x v="41"/>
    <x v="0"/>
    <n v="5"/>
    <n v="2530"/>
    <n v="3.5285913528591353"/>
    <n v="2530"/>
    <n v="3.5285913528591353"/>
    <s v="[]"/>
    <s v="[]"/>
  </r>
  <r>
    <x v="0"/>
    <s v="201 North Garland Court"/>
    <x v="9"/>
    <s v="1202"/>
    <n v="12"/>
    <x v="1"/>
    <n v="1"/>
    <m/>
    <x v="2"/>
    <x v="0"/>
    <x v="61"/>
    <x v="0"/>
    <n v="18"/>
    <n v="2535"/>
    <n v="3.5355648535564854"/>
    <n v="2535"/>
    <n v="3.5355648535564854"/>
    <s v="[]"/>
    <s v="[]"/>
  </r>
  <r>
    <x v="0"/>
    <s v="201 North Garland Court"/>
    <x v="9"/>
    <s v="1002"/>
    <n v="10"/>
    <x v="1"/>
    <n v="1"/>
    <m/>
    <x v="2"/>
    <x v="0"/>
    <x v="62"/>
    <x v="0"/>
    <n v="14"/>
    <n v="2560"/>
    <n v="3.5704323570432357"/>
    <n v="2560"/>
    <n v="3.5704323570432357"/>
    <s v="[]"/>
    <s v="[]"/>
  </r>
  <r>
    <x v="0"/>
    <s v="201 North Garland Court"/>
    <x v="9"/>
    <s v="1602"/>
    <n v="16"/>
    <x v="1"/>
    <n v="1"/>
    <m/>
    <x v="2"/>
    <x v="58"/>
    <x v="52"/>
    <x v="0"/>
    <n v="123"/>
    <n v="2565"/>
    <n v="3.5774058577405858"/>
    <n v="2565"/>
    <n v="3.5774058577405858"/>
    <s v="[]"/>
    <s v="[]"/>
  </r>
  <r>
    <x v="0"/>
    <s v="201 North Garland Court"/>
    <x v="9"/>
    <s v="1102"/>
    <n v="11"/>
    <x v="1"/>
    <n v="1"/>
    <m/>
    <x v="2"/>
    <x v="59"/>
    <x v="63"/>
    <x v="0"/>
    <n v="44"/>
    <n v="2590"/>
    <n v="3.6122733612273361"/>
    <n v="2590"/>
    <n v="3.6122733612273361"/>
    <s v="[]"/>
    <s v="[]"/>
  </r>
  <r>
    <x v="0"/>
    <s v="201 North Garland Court"/>
    <x v="9"/>
    <s v="1902"/>
    <n v="19"/>
    <x v="1"/>
    <n v="1"/>
    <m/>
    <x v="2"/>
    <x v="0"/>
    <x v="52"/>
    <x v="0"/>
    <n v="43"/>
    <n v="2595"/>
    <n v="3.6192468619246863"/>
    <n v="2595"/>
    <n v="3.6192468619246863"/>
    <s v="[]"/>
    <s v="[]"/>
  </r>
  <r>
    <x v="0"/>
    <s v="201 North Garland Court"/>
    <x v="9"/>
    <s v="1503"/>
    <n v="15"/>
    <x v="1"/>
    <n v="1"/>
    <m/>
    <x v="2"/>
    <x v="5"/>
    <x v="64"/>
    <x v="0"/>
    <n v="14"/>
    <n v="2610"/>
    <n v="3.6401673640167362"/>
    <n v="2610"/>
    <n v="3.6401673640167362"/>
    <s v="[]"/>
    <s v="[]"/>
  </r>
  <r>
    <x v="0"/>
    <s v="201 North Garland Court"/>
    <x v="9"/>
    <s v="1703"/>
    <n v="17"/>
    <x v="1"/>
    <n v="1"/>
    <m/>
    <x v="2"/>
    <x v="0"/>
    <x v="2"/>
    <x v="0"/>
    <n v="7"/>
    <n v="2615"/>
    <n v="3.6471408647140864"/>
    <n v="2615"/>
    <n v="3.6471408647140864"/>
    <s v="[]"/>
    <s v="[]"/>
  </r>
  <r>
    <x v="0"/>
    <s v="201 North Garland Court"/>
    <x v="9"/>
    <s v="2103"/>
    <n v="21"/>
    <x v="1"/>
    <n v="1"/>
    <m/>
    <x v="2"/>
    <x v="25"/>
    <x v="43"/>
    <x v="0"/>
    <n v="348"/>
    <n v="2615"/>
    <n v="3.6471408647140864"/>
    <n v="2615"/>
    <n v="3.6471408647140864"/>
    <s v="[]"/>
    <s v="[]"/>
  </r>
  <r>
    <x v="0"/>
    <s v="201 North Garland Court"/>
    <x v="9"/>
    <s v="2102"/>
    <n v="21"/>
    <x v="1"/>
    <n v="1"/>
    <m/>
    <x v="2"/>
    <x v="13"/>
    <x v="4"/>
    <x v="0"/>
    <n v="11"/>
    <n v="2640"/>
    <n v="3.6820083682008367"/>
    <n v="2640"/>
    <n v="3.6820083682008367"/>
    <s v="[]"/>
    <s v="[]"/>
  </r>
  <r>
    <x v="0"/>
    <s v="201 North Garland Court"/>
    <x v="9"/>
    <s v="2503"/>
    <n v="25"/>
    <x v="1"/>
    <n v="1"/>
    <m/>
    <x v="2"/>
    <x v="0"/>
    <x v="49"/>
    <x v="0"/>
    <n v="21"/>
    <n v="2695"/>
    <n v="3.7587168758716878"/>
    <n v="2695"/>
    <n v="3.7587168758716878"/>
    <s v="[]"/>
    <s v="[]"/>
  </r>
  <r>
    <x v="0"/>
    <s v="201 North Garland Court"/>
    <x v="9"/>
    <s v="2602"/>
    <n v="26"/>
    <x v="1"/>
    <n v="1"/>
    <m/>
    <x v="2"/>
    <x v="60"/>
    <x v="5"/>
    <x v="0"/>
    <n v="5"/>
    <n v="2715"/>
    <n v="3.7866108786610879"/>
    <n v="2715"/>
    <n v="3.7866108786610879"/>
    <s v="[]"/>
    <s v="[]"/>
  </r>
  <r>
    <x v="0"/>
    <s v="201 North Garland Court"/>
    <x v="10"/>
    <s v="1C"/>
    <m/>
    <x v="1"/>
    <n v="1"/>
    <m/>
    <x v="2"/>
    <x v="61"/>
    <x v="8"/>
    <x v="0"/>
    <n v="47"/>
    <n v="2798"/>
    <n v="3.9023709902370989"/>
    <n v="2698"/>
    <n v="3.7629009762900978"/>
    <s v="[]"/>
    <s v="[]"/>
  </r>
  <r>
    <x v="0"/>
    <s v="201 North Garland Court"/>
    <x v="11"/>
    <s v="1403"/>
    <n v="14"/>
    <x v="1"/>
    <n v="1"/>
    <m/>
    <x v="2"/>
    <x v="52"/>
    <x v="65"/>
    <x v="0"/>
    <n v="22"/>
    <n v="2255"/>
    <n v="3.1450488145048814"/>
    <n v="1841"/>
    <n v="2.5676429567642955"/>
    <s v="[]"/>
    <s v="[]"/>
  </r>
  <r>
    <x v="0"/>
    <s v="201 North Garland Court"/>
    <x v="11"/>
    <s v="1402"/>
    <n v="14"/>
    <x v="1"/>
    <n v="1"/>
    <m/>
    <x v="2"/>
    <x v="32"/>
    <x v="66"/>
    <x v="0"/>
    <n v="8"/>
    <n v="2289"/>
    <n v="3.1924686192468621"/>
    <n v="2289"/>
    <n v="3.1924686192468621"/>
    <s v="[]"/>
    <s v="[]"/>
  </r>
  <r>
    <x v="0"/>
    <s v="201 North Garland Court"/>
    <x v="11"/>
    <s v="2302"/>
    <n v="23"/>
    <x v="1"/>
    <n v="1"/>
    <m/>
    <x v="2"/>
    <x v="62"/>
    <x v="67"/>
    <x v="0"/>
    <n v="104"/>
    <n v="2293"/>
    <n v="3.1980474198047419"/>
    <n v="1923"/>
    <n v="2.6820083682008367"/>
    <s v="[]"/>
    <s v="[]"/>
  </r>
  <r>
    <x v="0"/>
    <s v="201 North Garland Court"/>
    <x v="11"/>
    <s v="1803"/>
    <n v="18"/>
    <x v="1"/>
    <n v="1"/>
    <m/>
    <x v="2"/>
    <x v="63"/>
    <x v="68"/>
    <x v="0"/>
    <n v="12"/>
    <n v="2295"/>
    <n v="3.2008368200836821"/>
    <n v="2018"/>
    <n v="2.814504881450488"/>
    <s v="[]"/>
    <s v="[]"/>
  </r>
  <r>
    <x v="0"/>
    <s v="201 North Garland Court"/>
    <x v="11"/>
    <s v="2202"/>
    <n v="22"/>
    <x v="1"/>
    <n v="1"/>
    <m/>
    <x v="2"/>
    <x v="64"/>
    <x v="69"/>
    <x v="0"/>
    <n v="92"/>
    <n v="2335"/>
    <n v="3.2566248256624823"/>
    <n v="1919"/>
    <n v="2.6764295676429568"/>
    <s v="[]"/>
    <s v="[]"/>
  </r>
  <r>
    <x v="0"/>
    <s v="201 North Garland Court"/>
    <x v="12"/>
    <s v="1502"/>
    <n v="15"/>
    <x v="1"/>
    <n v="1"/>
    <m/>
    <x v="2"/>
    <x v="65"/>
    <x v="70"/>
    <x v="0"/>
    <n v="32"/>
    <n v="2365"/>
    <n v="3.2984658298465828"/>
    <n v="2365"/>
    <n v="3.2984658298465828"/>
    <s v="[]"/>
    <s v="[]"/>
  </r>
  <r>
    <x v="0"/>
    <s v="201 North Garland Court"/>
    <x v="11"/>
    <s v="2703"/>
    <n v="27"/>
    <x v="1"/>
    <n v="1"/>
    <m/>
    <x v="2"/>
    <x v="66"/>
    <x v="28"/>
    <x v="1"/>
    <m/>
    <n v="2574"/>
    <n v="3.5899581589958158"/>
    <n v="2574"/>
    <n v="3.5899581589958158"/>
    <s v="[]"/>
    <s v="[]"/>
  </r>
  <r>
    <x v="0"/>
    <s v="201 North Garland Court"/>
    <x v="8"/>
    <s v="1103"/>
    <n v="11"/>
    <x v="1"/>
    <n v="1"/>
    <m/>
    <x v="2"/>
    <x v="16"/>
    <x v="31"/>
    <x v="0"/>
    <n v="24"/>
    <n v="2716"/>
    <n v="3.7880055788005578"/>
    <n v="2716"/>
    <n v="3.7880055788005578"/>
    <s v="[]"/>
    <s v="[]"/>
  </r>
  <r>
    <x v="0"/>
    <s v="201 North Garland Court"/>
    <x v="11"/>
    <s v="0901"/>
    <n v="9"/>
    <x v="1"/>
    <n v="1"/>
    <m/>
    <x v="2"/>
    <x v="67"/>
    <x v="28"/>
    <x v="1"/>
    <m/>
    <n v="2819"/>
    <n v="3.9316596931659693"/>
    <n v="2819"/>
    <n v="3.9316596931659693"/>
    <s v="[]"/>
    <s v="[]"/>
  </r>
  <r>
    <x v="0"/>
    <s v="201 North Garland Court"/>
    <x v="12"/>
    <s v="3102"/>
    <n v="31"/>
    <x v="1"/>
    <n v="1"/>
    <m/>
    <x v="3"/>
    <x v="65"/>
    <x v="37"/>
    <x v="0"/>
    <n v="123"/>
    <n v="2501"/>
    <n v="3.4307270233196161"/>
    <n v="2501"/>
    <n v="3.4307270233196161"/>
    <s v="[Dishwasher Large Closets Microwave Window Covering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8"/>
    <s v="3503"/>
    <n v="35"/>
    <x v="1"/>
    <n v="1"/>
    <m/>
    <x v="3"/>
    <x v="68"/>
    <x v="37"/>
    <x v="0"/>
    <n v="228"/>
    <n v="2501"/>
    <n v="3.4307270233196161"/>
    <n v="2501"/>
    <n v="3.4307270233196161"/>
    <s v="[Refrigerator Garbage disposal Large Closets Microwave Window Covering Dishwasher Wheel Chair View Stackable Washer/Dryter In Unit Range Private Balcony Individual Climate Control Heat Controlled Access Cable]"/>
    <s v="[balcony_patio.private view balcony_patio washer_dryer.stackable dishwasher washer_dryer]"/>
  </r>
  <r>
    <x v="0"/>
    <s v="201 North Garland Court"/>
    <x v="11"/>
    <s v="3303"/>
    <n v="33"/>
    <x v="1"/>
    <n v="1"/>
    <m/>
    <x v="3"/>
    <x v="10"/>
    <x v="5"/>
    <x v="0"/>
    <n v="110"/>
    <n v="2810"/>
    <n v="3.8545953360768177"/>
    <n v="2810"/>
    <n v="3.8545953360768177"/>
    <s v="[]"/>
    <s v="[corner_unit]"/>
  </r>
  <r>
    <x v="0"/>
    <s v="201 North Garland Court"/>
    <x v="11"/>
    <s v="3902"/>
    <n v="39"/>
    <x v="1"/>
    <n v="1"/>
    <m/>
    <x v="3"/>
    <x v="69"/>
    <x v="41"/>
    <x v="0"/>
    <n v="155"/>
    <n v="2845"/>
    <n v="3.9026063100137174"/>
    <n v="2845"/>
    <n v="3.9026063100137174"/>
    <s v="[]"/>
    <s v="[corner_unit]"/>
  </r>
  <r>
    <x v="0"/>
    <s v="201 North Garland Court"/>
    <x v="11"/>
    <s v="3402"/>
    <n v="34"/>
    <x v="1"/>
    <n v="1"/>
    <m/>
    <x v="3"/>
    <x v="2"/>
    <x v="71"/>
    <x v="0"/>
    <n v="25"/>
    <n v="2880"/>
    <n v="3.9506172839506171"/>
    <n v="2880"/>
    <n v="3.9506172839506171"/>
    <s v="[]"/>
    <s v="[corner_unit]"/>
  </r>
  <r>
    <x v="0"/>
    <s v="201 North Garland Court"/>
    <x v="11"/>
    <s v="3403"/>
    <n v="34"/>
    <x v="1"/>
    <n v="1"/>
    <m/>
    <x v="3"/>
    <x v="70"/>
    <x v="72"/>
    <x v="0"/>
    <n v="7"/>
    <n v="2890"/>
    <n v="3.9643347050754456"/>
    <n v="2890"/>
    <n v="3.9643347050754456"/>
    <s v="[]"/>
    <s v="[corner_unit]"/>
  </r>
  <r>
    <x v="0"/>
    <s v="201 North Garland Court"/>
    <x v="13"/>
    <s v="3302"/>
    <n v="33"/>
    <x v="1"/>
    <n v="1"/>
    <m/>
    <x v="3"/>
    <x v="71"/>
    <x v="73"/>
    <x v="0"/>
    <n v="126"/>
    <n v="2469"/>
    <n v="3.3868312757201644"/>
    <n v="2124"/>
    <n v="2.9135802469135803"/>
    <s v="[]"/>
    <s v="[corner_unit]"/>
  </r>
  <r>
    <x v="0"/>
    <s v="201 North Garland Court"/>
    <x v="13"/>
    <s v="2803"/>
    <n v="28"/>
    <x v="1"/>
    <n v="1"/>
    <m/>
    <x v="3"/>
    <x v="72"/>
    <x v="27"/>
    <x v="0"/>
    <n v="130"/>
    <n v="2498"/>
    <n v="3.4266117969821672"/>
    <n v="2320"/>
    <n v="3.1824417009602195"/>
    <s v="[]"/>
    <s v="[corner_unit]"/>
  </r>
  <r>
    <x v="0"/>
    <s v="201 North Garland Court"/>
    <x v="13"/>
    <s v="3202"/>
    <n v="32"/>
    <x v="1"/>
    <n v="1"/>
    <m/>
    <x v="3"/>
    <x v="24"/>
    <x v="74"/>
    <x v="0"/>
    <n v="152"/>
    <n v="2619"/>
    <n v="3.5925925925925926"/>
    <n v="2401"/>
    <n v="3.2935528120713307"/>
    <s v="[]"/>
    <s v="[corner_unit]"/>
  </r>
  <r>
    <x v="0"/>
    <s v="201 North Garland Court"/>
    <x v="13"/>
    <s v="3803"/>
    <n v="38"/>
    <x v="1"/>
    <n v="1"/>
    <m/>
    <x v="3"/>
    <x v="73"/>
    <x v="75"/>
    <x v="0"/>
    <n v="99"/>
    <n v="2631"/>
    <n v="3.6090534979423867"/>
    <n v="2631"/>
    <n v="3.6090534979423867"/>
    <s v="[]"/>
    <s v="[]"/>
  </r>
  <r>
    <x v="0"/>
    <s v="201 North Garland Court"/>
    <x v="13"/>
    <s v="4003"/>
    <n v="40"/>
    <x v="1"/>
    <n v="1"/>
    <m/>
    <x v="3"/>
    <x v="52"/>
    <x v="76"/>
    <x v="0"/>
    <n v="152"/>
    <n v="2676"/>
    <n v="3.6707818930041154"/>
    <n v="2676"/>
    <n v="3.6707818930041154"/>
    <s v="[]"/>
    <s v="[]"/>
  </r>
  <r>
    <x v="0"/>
    <s v="201 North Garland Court"/>
    <x v="13"/>
    <s v="3203"/>
    <n v="32"/>
    <x v="1"/>
    <n v="1"/>
    <m/>
    <x v="3"/>
    <x v="32"/>
    <x v="28"/>
    <x v="1"/>
    <m/>
    <n v="2699"/>
    <n v="3.7023319615912209"/>
    <n v="2699"/>
    <n v="3.7023319615912209"/>
    <s v="[]"/>
    <s v="[]"/>
  </r>
  <r>
    <x v="0"/>
    <s v="201 North Garland Court"/>
    <x v="13"/>
    <s v="3502"/>
    <n v="35"/>
    <x v="1"/>
    <n v="1"/>
    <m/>
    <x v="3"/>
    <x v="74"/>
    <x v="28"/>
    <x v="1"/>
    <m/>
    <n v="2729"/>
    <n v="3.7434842249657065"/>
    <n v="2729"/>
    <n v="3.7434842249657065"/>
    <s v="[]"/>
    <s v="[]"/>
  </r>
  <r>
    <x v="0"/>
    <s v="201 North Garland Court"/>
    <x v="12"/>
    <s v="3002"/>
    <n v="30"/>
    <x v="1"/>
    <n v="1"/>
    <m/>
    <x v="3"/>
    <x v="19"/>
    <x v="77"/>
    <x v="0"/>
    <n v="11"/>
    <n v="3158"/>
    <n v="4.3319615912208507"/>
    <n v="3158"/>
    <n v="4.3319615912208507"/>
    <s v="[]"/>
    <s v="[]"/>
  </r>
  <r>
    <x v="0"/>
    <s v="201 North Garland Court"/>
    <x v="12"/>
    <s v="4002"/>
    <n v="40"/>
    <x v="1"/>
    <n v="1"/>
    <m/>
    <x v="3"/>
    <x v="75"/>
    <x v="78"/>
    <x v="0"/>
    <n v="68"/>
    <n v="3214"/>
    <n v="4.4087791495198907"/>
    <n v="3214"/>
    <n v="4.4087791495198907"/>
    <s v="[]"/>
    <s v="[]"/>
  </r>
  <r>
    <x v="0"/>
    <s v="201 North Garland Court"/>
    <x v="8"/>
    <s v="3003"/>
    <n v="30"/>
    <x v="1"/>
    <n v="1"/>
    <m/>
    <x v="3"/>
    <x v="16"/>
    <x v="32"/>
    <x v="0"/>
    <n v="10"/>
    <n v="3541"/>
    <n v="4.8573388203017833"/>
    <n v="3541"/>
    <n v="4.8573388203017833"/>
    <s v="[]"/>
    <s v="[]"/>
  </r>
  <r>
    <x v="0"/>
    <s v="201 North Garland Court"/>
    <x v="14"/>
    <s v="1109"/>
    <n v="11"/>
    <x v="1"/>
    <n v="1"/>
    <m/>
    <x v="4"/>
    <x v="10"/>
    <x v="79"/>
    <x v="0"/>
    <n v="10"/>
    <n v="2420"/>
    <n v="2.8139534883720931"/>
    <n v="2420"/>
    <n v="2.8139534883720931"/>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1809"/>
    <n v="18"/>
    <x v="1"/>
    <n v="1"/>
    <m/>
    <x v="4"/>
    <x v="76"/>
    <x v="37"/>
    <x v="0"/>
    <n v="74"/>
    <n v="2451"/>
    <n v="2.85"/>
    <n v="2451"/>
    <n v="2.85"/>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1709"/>
    <n v="17"/>
    <x v="1"/>
    <n v="1"/>
    <m/>
    <x v="4"/>
    <x v="14"/>
    <x v="37"/>
    <x v="0"/>
    <n v="232"/>
    <n v="2451"/>
    <n v="2.85"/>
    <n v="2451"/>
    <n v="2.85"/>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2409"/>
    <n v="24"/>
    <x v="1"/>
    <n v="1"/>
    <m/>
    <x v="4"/>
    <x v="77"/>
    <x v="80"/>
    <x v="0"/>
    <n v="63"/>
    <n v="2470"/>
    <n v="2.8720930232558142"/>
    <n v="2470"/>
    <n v="2.8720930232558142"/>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3"/>
    <s v="0808"/>
    <n v="8"/>
    <x v="1"/>
    <n v="1"/>
    <m/>
    <x v="4"/>
    <x v="78"/>
    <x v="6"/>
    <x v="0"/>
    <n v="30"/>
    <n v="2585"/>
    <n v="3.0058139534883721"/>
    <n v="2585"/>
    <n v="3.0058139534883721"/>
    <s v="[]"/>
    <s v="[corner_unit]"/>
  </r>
  <r>
    <x v="0"/>
    <s v="201 North Garland Court"/>
    <x v="10"/>
    <s v="1E"/>
    <m/>
    <x v="1"/>
    <n v="1"/>
    <m/>
    <x v="4"/>
    <x v="79"/>
    <x v="28"/>
    <x v="1"/>
    <m/>
    <n v="2639"/>
    <n v="3.0686046511627909"/>
    <n v="2639"/>
    <n v="3.0686046511627909"/>
    <s v="[]"/>
    <s v="[]"/>
  </r>
  <r>
    <x v="0"/>
    <s v="201 North Garland Court"/>
    <x v="13"/>
    <s v="0909"/>
    <n v="9"/>
    <x v="1"/>
    <n v="1"/>
    <m/>
    <x v="4"/>
    <x v="80"/>
    <x v="2"/>
    <x v="0"/>
    <n v="70"/>
    <n v="2680"/>
    <n v="3.1162790697674421"/>
    <n v="2680"/>
    <n v="3.1162790697674421"/>
    <s v="[]"/>
    <s v="[corner_unit]"/>
  </r>
  <r>
    <x v="0"/>
    <s v="201 North Garland Court"/>
    <x v="13"/>
    <s v="0708"/>
    <n v="7"/>
    <x v="1"/>
    <n v="1"/>
    <m/>
    <x v="4"/>
    <x v="81"/>
    <x v="52"/>
    <x v="0"/>
    <n v="206"/>
    <n v="2685"/>
    <n v="3.1220930232558142"/>
    <n v="2685"/>
    <n v="3.1220930232558142"/>
    <s v="[]"/>
    <s v="[corner_unit]"/>
  </r>
  <r>
    <x v="0"/>
    <s v="201 North Garland Court"/>
    <x v="13"/>
    <s v="1408"/>
    <n v="14"/>
    <x v="1"/>
    <n v="1"/>
    <m/>
    <x v="4"/>
    <x v="0"/>
    <x v="81"/>
    <x v="0"/>
    <n v="6"/>
    <n v="2745"/>
    <n v="3.191860465116279"/>
    <n v="2745"/>
    <n v="3.191860465116279"/>
    <s v="[]"/>
    <s v="[corner_unit]"/>
  </r>
  <r>
    <x v="0"/>
    <s v="201 North Garland Court"/>
    <x v="13"/>
    <s v="1209"/>
    <n v="12"/>
    <x v="1"/>
    <n v="1"/>
    <m/>
    <x v="4"/>
    <x v="5"/>
    <x v="49"/>
    <x v="0"/>
    <n v="2"/>
    <n v="2750"/>
    <n v="3.1976744186046511"/>
    <n v="2750"/>
    <n v="3.1976744186046511"/>
    <s v="[]"/>
    <s v="[corner_unit]"/>
  </r>
  <r>
    <x v="0"/>
    <s v="201 North Garland Court"/>
    <x v="9"/>
    <s v="0609"/>
    <n v="6"/>
    <x v="1"/>
    <n v="1"/>
    <m/>
    <x v="4"/>
    <x v="1"/>
    <x v="82"/>
    <x v="0"/>
    <n v="11"/>
    <n v="2870"/>
    <n v="3.3372093023255816"/>
    <n v="2870"/>
    <n v="3.3372093023255816"/>
    <s v="[]"/>
    <s v="[balcony_patio]"/>
  </r>
  <r>
    <x v="0"/>
    <s v="201 North Garland Court"/>
    <x v="13"/>
    <s v="2309"/>
    <n v="23"/>
    <x v="1"/>
    <n v="1"/>
    <m/>
    <x v="4"/>
    <x v="44"/>
    <x v="50"/>
    <x v="0"/>
    <n v="4"/>
    <n v="2895"/>
    <n v="3.3662790697674421"/>
    <n v="2895"/>
    <n v="3.3662790697674421"/>
    <s v="[]"/>
    <s v="[corner_unit]"/>
  </r>
  <r>
    <x v="0"/>
    <s v="201 North Garland Court"/>
    <x v="13"/>
    <s v="2509"/>
    <n v="25"/>
    <x v="1"/>
    <n v="1"/>
    <m/>
    <x v="4"/>
    <x v="0"/>
    <x v="4"/>
    <x v="0"/>
    <n v="25"/>
    <n v="2905"/>
    <n v="3.3779069767441858"/>
    <n v="2905"/>
    <n v="3.3779069767441858"/>
    <s v="[]"/>
    <s v="[corner_unit]"/>
  </r>
  <r>
    <x v="0"/>
    <s v="201 North Garland Court"/>
    <x v="13"/>
    <s v="2708"/>
    <n v="27"/>
    <x v="1"/>
    <n v="1"/>
    <m/>
    <x v="4"/>
    <x v="82"/>
    <x v="83"/>
    <x v="0"/>
    <n v="89"/>
    <n v="2930"/>
    <n v="3.4069767441860463"/>
    <n v="2930"/>
    <n v="3.4069767441860463"/>
    <s v="[]"/>
    <s v="[corner_unit]"/>
  </r>
  <r>
    <x v="0"/>
    <s v="201 North Garland Court"/>
    <x v="13"/>
    <s v="0807"/>
    <n v="8"/>
    <x v="1"/>
    <n v="1"/>
    <m/>
    <x v="4"/>
    <x v="70"/>
    <x v="11"/>
    <x v="0"/>
    <n v="21"/>
    <n v="2945"/>
    <n v="3.4244186046511627"/>
    <n v="2945"/>
    <n v="3.4244186046511627"/>
    <s v="[]"/>
    <s v="[corner_unit]"/>
  </r>
  <r>
    <x v="0"/>
    <s v="201 North Garland Court"/>
    <x v="13"/>
    <s v="2709"/>
    <n v="27"/>
    <x v="1"/>
    <n v="1"/>
    <m/>
    <x v="4"/>
    <x v="83"/>
    <x v="84"/>
    <x v="0"/>
    <n v="106"/>
    <n v="2955"/>
    <n v="3.4360465116279069"/>
    <n v="2955"/>
    <n v="3.4360465116279069"/>
    <s v="[]"/>
    <s v="[corner_unit]"/>
  </r>
  <r>
    <x v="0"/>
    <s v="201 North Garland Court"/>
    <x v="13"/>
    <s v="2608"/>
    <n v="26"/>
    <x v="1"/>
    <n v="1"/>
    <m/>
    <x v="4"/>
    <x v="2"/>
    <x v="13"/>
    <x v="0"/>
    <n v="40"/>
    <n v="2970"/>
    <n v="3.4534883720930232"/>
    <n v="2970"/>
    <n v="3.4534883720930232"/>
    <s v="[]"/>
    <s v="[corner_unit]"/>
  </r>
  <r>
    <x v="0"/>
    <s v="201 North Garland Court"/>
    <x v="13"/>
    <s v="2609"/>
    <n v="26"/>
    <x v="1"/>
    <n v="1"/>
    <m/>
    <x v="4"/>
    <x v="84"/>
    <x v="7"/>
    <x v="0"/>
    <n v="30"/>
    <n v="3090"/>
    <n v="3.5930232558139537"/>
    <n v="3090"/>
    <n v="3.5930232558139537"/>
    <s v="[]"/>
    <s v="[corner_unit]"/>
  </r>
  <r>
    <x v="0"/>
    <s v="201 North Garland Court"/>
    <x v="15"/>
    <s v="1608"/>
    <n v="16"/>
    <x v="1"/>
    <n v="1"/>
    <m/>
    <x v="4"/>
    <x v="31"/>
    <x v="85"/>
    <x v="0"/>
    <n v="14"/>
    <n v="2487"/>
    <n v="2.8918604651162791"/>
    <n v="2487"/>
    <n v="2.8918604651162791"/>
    <s v="[]"/>
    <s v="[]"/>
  </r>
  <r>
    <x v="0"/>
    <s v="201 North Garland Court"/>
    <x v="15"/>
    <s v="2208"/>
    <n v="22"/>
    <x v="1"/>
    <n v="1"/>
    <m/>
    <x v="4"/>
    <x v="28"/>
    <x v="86"/>
    <x v="0"/>
    <n v="165"/>
    <n v="2496"/>
    <n v="2.902325581395349"/>
    <n v="2079"/>
    <n v="2.4174418604651162"/>
    <s v="[]"/>
    <s v="[corner_unit]"/>
  </r>
  <r>
    <x v="0"/>
    <s v="201 North Garland Court"/>
    <x v="14"/>
    <s v="709"/>
    <n v="7"/>
    <x v="1"/>
    <n v="1"/>
    <m/>
    <x v="4"/>
    <x v="85"/>
    <x v="87"/>
    <x v="0"/>
    <n v="25"/>
    <n v="2505"/>
    <n v="2.9127906976744184"/>
    <n v="2505"/>
    <n v="2.9127906976744184"/>
    <s v="[]"/>
    <s v="[]"/>
  </r>
  <r>
    <x v="0"/>
    <s v="201 North Garland Court"/>
    <x v="15"/>
    <s v="1908"/>
    <n v="19"/>
    <x v="1"/>
    <n v="1"/>
    <m/>
    <x v="4"/>
    <x v="86"/>
    <x v="30"/>
    <x v="0"/>
    <n v="2"/>
    <n v="2571"/>
    <n v="2.9895348837209301"/>
    <n v="2571"/>
    <n v="2.9895348837209301"/>
    <s v="[]"/>
    <s v="[]"/>
  </r>
  <r>
    <x v="0"/>
    <s v="201 North Garland Court"/>
    <x v="15"/>
    <s v="0608"/>
    <n v="6"/>
    <x v="1"/>
    <n v="1"/>
    <m/>
    <x v="4"/>
    <x v="87"/>
    <x v="30"/>
    <x v="0"/>
    <n v="50"/>
    <n v="2601"/>
    <n v="3.0244186046511627"/>
    <n v="2601"/>
    <n v="3.0244186046511627"/>
    <s v="[]"/>
    <s v="[]"/>
  </r>
  <r>
    <x v="0"/>
    <s v="201 North Garland Court"/>
    <x v="15"/>
    <s v="2108"/>
    <n v="21"/>
    <x v="1"/>
    <n v="1"/>
    <m/>
    <x v="4"/>
    <x v="88"/>
    <x v="27"/>
    <x v="0"/>
    <n v="51"/>
    <n v="2603"/>
    <n v="3.0267441860465114"/>
    <n v="2418"/>
    <n v="2.811627906976744"/>
    <s v="[]"/>
    <s v="[]"/>
  </r>
  <r>
    <x v="0"/>
    <s v="201 North Garland Court"/>
    <x v="15"/>
    <s v="2209"/>
    <n v="22"/>
    <x v="1"/>
    <n v="1"/>
    <m/>
    <x v="4"/>
    <x v="89"/>
    <x v="27"/>
    <x v="0"/>
    <n v="179"/>
    <n v="2613"/>
    <n v="3.0383720930232556"/>
    <n v="2427"/>
    <n v="2.8220930232558139"/>
    <s v="[]"/>
    <s v="[corner_unit]"/>
  </r>
  <r>
    <x v="0"/>
    <s v="201 North Garland Court"/>
    <x v="15"/>
    <s v="2109"/>
    <n v="21"/>
    <x v="1"/>
    <n v="1"/>
    <m/>
    <x v="4"/>
    <x v="90"/>
    <x v="27"/>
    <x v="0"/>
    <n v="112"/>
    <n v="2628"/>
    <n v="3.0558139534883719"/>
    <n v="2441"/>
    <n v="2.8383720930232559"/>
    <s v="[]"/>
    <s v="[corner_unit]"/>
  </r>
  <r>
    <x v="0"/>
    <s v="201 North Garland Court"/>
    <x v="15"/>
    <s v="1609"/>
    <n v="16"/>
    <x v="1"/>
    <n v="1"/>
    <m/>
    <x v="4"/>
    <x v="91"/>
    <x v="28"/>
    <x v="1"/>
    <m/>
    <n v="2634"/>
    <n v="3.0627906976744188"/>
    <n v="2634"/>
    <n v="3.0627906976744188"/>
    <s v="[]"/>
    <s v="[]"/>
  </r>
  <r>
    <x v="0"/>
    <s v="201 North Garland Court"/>
    <x v="15"/>
    <s v="2408"/>
    <n v="24"/>
    <x v="1"/>
    <n v="1"/>
    <m/>
    <x v="4"/>
    <x v="26"/>
    <x v="27"/>
    <x v="0"/>
    <n v="116"/>
    <n v="2658"/>
    <n v="3.0906976744186045"/>
    <n v="2469"/>
    <n v="2.8709302325581394"/>
    <s v="[]"/>
    <s v="[corner_unit]"/>
  </r>
  <r>
    <x v="0"/>
    <s v="201 North Garland Court"/>
    <x v="14"/>
    <s v="1409"/>
    <n v="14"/>
    <x v="1"/>
    <n v="1"/>
    <m/>
    <x v="4"/>
    <x v="92"/>
    <x v="78"/>
    <x v="0"/>
    <n v="77"/>
    <n v="2944"/>
    <n v="3.4232558139534883"/>
    <n v="2944"/>
    <n v="3.4232558139534883"/>
    <s v="[]"/>
    <s v="[]"/>
  </r>
  <r>
    <x v="0"/>
    <s v="201 North Garland Court"/>
    <x v="16"/>
    <s v="1008"/>
    <n v="10"/>
    <x v="1"/>
    <n v="1"/>
    <m/>
    <x v="4"/>
    <x v="93"/>
    <x v="32"/>
    <x v="0"/>
    <n v="3"/>
    <n v="3483"/>
    <n v="4.05"/>
    <n v="3483"/>
    <n v="4.05"/>
    <s v="[]"/>
    <s v="[]"/>
  </r>
  <r>
    <x v="0"/>
    <s v="201 North Garland Court"/>
    <x v="16"/>
    <s v="2508"/>
    <n v="25"/>
    <x v="1"/>
    <n v="1"/>
    <m/>
    <x v="4"/>
    <x v="35"/>
    <x v="59"/>
    <x v="0"/>
    <n v="71"/>
    <n v="3896"/>
    <n v="4.5302325581395353"/>
    <n v="3896"/>
    <n v="4.5302325581395353"/>
    <s v="[]"/>
    <s v="[]"/>
  </r>
  <r>
    <x v="0"/>
    <s v="201 North Garland Court"/>
    <x v="15"/>
    <s v="3708"/>
    <n v="37"/>
    <x v="1"/>
    <n v="1"/>
    <m/>
    <x v="5"/>
    <x v="11"/>
    <x v="88"/>
    <x v="0"/>
    <n v="75"/>
    <n v="2985"/>
    <n v="3.434982738780207"/>
    <n v="2985"/>
    <n v="3.434982738780207"/>
    <s v="[]"/>
    <s v="[]"/>
  </r>
  <r>
    <x v="0"/>
    <s v="201 North Garland Court"/>
    <x v="15"/>
    <s v="3409"/>
    <n v="34"/>
    <x v="1"/>
    <n v="1"/>
    <m/>
    <x v="5"/>
    <x v="0"/>
    <x v="82"/>
    <x v="0"/>
    <n v="44"/>
    <n v="3015"/>
    <n v="3.4695051783659379"/>
    <n v="3015"/>
    <n v="3.4695051783659379"/>
    <s v="[]"/>
    <s v="[]"/>
  </r>
  <r>
    <x v="0"/>
    <s v="201 North Garland Court"/>
    <x v="15"/>
    <s v="3109"/>
    <n v="31"/>
    <x v="1"/>
    <n v="1"/>
    <m/>
    <x v="5"/>
    <x v="83"/>
    <x v="89"/>
    <x v="0"/>
    <n v="53"/>
    <n v="3070"/>
    <n v="3.5327963176064441"/>
    <n v="3070"/>
    <n v="3.5327963176064441"/>
    <s v="[]"/>
    <s v="[]"/>
  </r>
  <r>
    <x v="0"/>
    <s v="201 North Garland Court"/>
    <x v="15"/>
    <s v="2909"/>
    <n v="29"/>
    <x v="1"/>
    <n v="1"/>
    <m/>
    <x v="5"/>
    <x v="84"/>
    <x v="90"/>
    <x v="0"/>
    <n v="20"/>
    <n v="3120"/>
    <n v="3.5903337169159952"/>
    <n v="3120"/>
    <n v="3.5903337169159952"/>
    <s v="[]"/>
    <s v="[]"/>
  </r>
  <r>
    <x v="0"/>
    <s v="201 North Garland Court"/>
    <x v="15"/>
    <s v="3809"/>
    <n v="38"/>
    <x v="1"/>
    <n v="1"/>
    <m/>
    <x v="5"/>
    <x v="22"/>
    <x v="91"/>
    <x v="0"/>
    <n v="147"/>
    <n v="3235"/>
    <n v="3.7226697353279632"/>
    <n v="3235"/>
    <n v="3.7226697353279632"/>
    <s v="[]"/>
    <s v="[]"/>
  </r>
  <r>
    <x v="0"/>
    <s v="201 North Garland Court"/>
    <x v="15"/>
    <s v="3709"/>
    <n v="37"/>
    <x v="1"/>
    <n v="1"/>
    <m/>
    <x v="5"/>
    <x v="94"/>
    <x v="92"/>
    <x v="0"/>
    <n v="52"/>
    <n v="3260"/>
    <n v="3.751438434982739"/>
    <n v="3260"/>
    <n v="3.751438434982739"/>
    <s v="[]"/>
    <s v="[]"/>
  </r>
  <r>
    <x v="0"/>
    <s v="201 North Garland Court"/>
    <x v="17"/>
    <s v="4009"/>
    <n v="40"/>
    <x v="1"/>
    <n v="1"/>
    <m/>
    <x v="5"/>
    <x v="95"/>
    <x v="93"/>
    <x v="0"/>
    <n v="40"/>
    <n v="2790"/>
    <n v="3.2105868814729575"/>
    <n v="2423"/>
    <n v="2.7882623705408514"/>
    <s v="[]"/>
    <s v="[]"/>
  </r>
  <r>
    <x v="0"/>
    <s v="201 North Garland Court"/>
    <x v="17"/>
    <s v="3909"/>
    <n v="39"/>
    <x v="1"/>
    <n v="1"/>
    <m/>
    <x v="5"/>
    <x v="10"/>
    <x v="21"/>
    <x v="0"/>
    <n v="257"/>
    <n v="2810"/>
    <n v="3.2336018411967777"/>
    <n v="2576"/>
    <n v="2.9643268124280784"/>
    <s v="[]"/>
    <s v="[]"/>
  </r>
  <r>
    <x v="0"/>
    <s v="201 North Garland Court"/>
    <x v="17"/>
    <s v="3908"/>
    <n v="39"/>
    <x v="1"/>
    <n v="1"/>
    <m/>
    <x v="5"/>
    <x v="26"/>
    <x v="94"/>
    <x v="0"/>
    <n v="103"/>
    <n v="2815"/>
    <n v="3.2393555811277328"/>
    <n v="2514"/>
    <n v="2.8929804372842347"/>
    <s v="[]"/>
    <s v="[]"/>
  </r>
  <r>
    <x v="0"/>
    <s v="201 North Garland Court"/>
    <x v="17"/>
    <s v="2809"/>
    <n v="28"/>
    <x v="1"/>
    <n v="1"/>
    <m/>
    <x v="5"/>
    <x v="89"/>
    <x v="28"/>
    <x v="1"/>
    <m/>
    <n v="2829"/>
    <n v="3.2554660529344073"/>
    <n v="2829"/>
    <n v="3.2554660529344073"/>
    <s v="[]"/>
    <s v="[]"/>
  </r>
  <r>
    <x v="0"/>
    <s v="201 North Garland Court"/>
    <x v="17"/>
    <s v="3509"/>
    <n v="35"/>
    <x v="1"/>
    <n v="1"/>
    <m/>
    <x v="5"/>
    <x v="52"/>
    <x v="95"/>
    <x v="0"/>
    <n v="62"/>
    <n v="2842"/>
    <n v="3.2704257767548905"/>
    <n v="2632"/>
    <n v="3.0287686996547758"/>
    <s v="[]"/>
    <s v="[]"/>
  </r>
  <r>
    <x v="0"/>
    <s v="201 North Garland Court"/>
    <x v="17"/>
    <s v="3808"/>
    <n v="38"/>
    <x v="1"/>
    <n v="1"/>
    <m/>
    <x v="5"/>
    <x v="32"/>
    <x v="96"/>
    <x v="0"/>
    <n v="11"/>
    <n v="2848"/>
    <n v="3.2773302646720368"/>
    <n v="2848"/>
    <n v="3.2773302646720368"/>
    <s v="[]"/>
    <s v="[]"/>
  </r>
  <r>
    <x v="0"/>
    <s v="201 North Garland Court"/>
    <x v="16"/>
    <s v="3108"/>
    <n v="31"/>
    <x v="1"/>
    <n v="1"/>
    <m/>
    <x v="5"/>
    <x v="96"/>
    <x v="97"/>
    <x v="0"/>
    <n v="5"/>
    <n v="2850"/>
    <n v="3.2796317606444187"/>
    <n v="2850"/>
    <n v="3.2796317606444187"/>
    <s v="[]"/>
    <s v="[]"/>
  </r>
  <r>
    <x v="0"/>
    <s v="201 North Garland Court"/>
    <x v="17"/>
    <s v="3208"/>
    <n v="32"/>
    <x v="1"/>
    <n v="1"/>
    <m/>
    <x v="5"/>
    <x v="87"/>
    <x v="98"/>
    <x v="0"/>
    <n v="33"/>
    <n v="2865"/>
    <n v="3.2968929804372844"/>
    <n v="2865"/>
    <n v="3.2968929804372844"/>
    <s v="[]"/>
    <s v="[]"/>
  </r>
  <r>
    <x v="0"/>
    <s v="201 North Garland Court"/>
    <x v="17"/>
    <s v="3408"/>
    <n v="34"/>
    <x v="1"/>
    <n v="1"/>
    <m/>
    <x v="5"/>
    <x v="71"/>
    <x v="99"/>
    <x v="0"/>
    <n v="184"/>
    <n v="2889"/>
    <n v="3.324510932105869"/>
    <n v="2648"/>
    <n v="3.0471806674338322"/>
    <s v="[]"/>
    <s v="[]"/>
  </r>
  <r>
    <x v="0"/>
    <s v="201 North Garland Court"/>
    <x v="14"/>
    <s v="3209"/>
    <n v="32"/>
    <x v="1"/>
    <n v="1"/>
    <m/>
    <x v="5"/>
    <x v="40"/>
    <x v="100"/>
    <x v="0"/>
    <n v="63"/>
    <n v="3290"/>
    <n v="3.7859608745684694"/>
    <n v="3290"/>
    <n v="3.7859608745684694"/>
    <s v="[]"/>
    <s v="[]"/>
  </r>
  <r>
    <x v="0"/>
    <s v="201 North Garland Court"/>
    <x v="16"/>
    <s v="3508"/>
    <n v="35"/>
    <x v="1"/>
    <n v="1"/>
    <m/>
    <x v="5"/>
    <x v="16"/>
    <x v="101"/>
    <x v="0"/>
    <n v="34"/>
    <n v="4224"/>
    <n v="4.8607594936708862"/>
    <n v="4224"/>
    <n v="4.8607594936708862"/>
    <s v="[]"/>
    <s v="[]"/>
  </r>
  <r>
    <x v="0"/>
    <s v="201 North Garland Court"/>
    <x v="17"/>
    <s v="0803"/>
    <n v="8"/>
    <x v="1"/>
    <n v="1"/>
    <m/>
    <x v="6"/>
    <x v="11"/>
    <x v="89"/>
    <x v="0"/>
    <n v="8"/>
    <n v="2555"/>
    <n v="2.9067121729237768"/>
    <n v="2555"/>
    <n v="2.9067121729237768"/>
    <s v="[]"/>
    <s v="[balcony_patio]"/>
  </r>
  <r>
    <x v="0"/>
    <s v="201 North Garland Court"/>
    <x v="18"/>
    <s v="704"/>
    <n v="7"/>
    <x v="1"/>
    <n v="1"/>
    <m/>
    <x v="6"/>
    <x v="10"/>
    <x v="37"/>
    <x v="0"/>
    <n v="23"/>
    <n v="2707"/>
    <n v="3.0796359499431172"/>
    <n v="2707"/>
    <n v="3.0796359499431172"/>
    <s v="[Balcony ADA Microwave Garbage disposal Large Closets Refrigerator Dishwasher Window Covering Wheel Chair View Stackable Washer/Dryter In Unit Range Private Balcony Individual Climate Control Heat Controlled Access Cable]"/>
    <s v="[balcony_patio.private view balcony_patio washer_dryer.stackable dishwasher washer_dryer corner_unit]"/>
  </r>
  <r>
    <x v="0"/>
    <s v="201 North Garland Court"/>
    <x v="17"/>
    <s v="1701"/>
    <n v="17"/>
    <x v="1"/>
    <n v="1"/>
    <m/>
    <x v="6"/>
    <x v="0"/>
    <x v="102"/>
    <x v="0"/>
    <n v="23"/>
    <n v="2965"/>
    <n v="3.3731513083048918"/>
    <n v="2965"/>
    <n v="3.3731513083048918"/>
    <s v="[]"/>
    <s v="[balcony_patio]"/>
  </r>
  <r>
    <x v="0"/>
    <s v="201 North Garland Court"/>
    <x v="17"/>
    <s v="1101"/>
    <n v="11"/>
    <x v="1"/>
    <n v="1"/>
    <m/>
    <x v="6"/>
    <x v="97"/>
    <x v="103"/>
    <x v="0"/>
    <n v="9"/>
    <n v="2995"/>
    <n v="3.4072810011376564"/>
    <n v="2995"/>
    <n v="3.4072810011376564"/>
    <s v="[]"/>
    <s v="[balcony_patio]"/>
  </r>
  <r>
    <x v="0"/>
    <s v="201 North Garland Court"/>
    <x v="19"/>
    <s v="3001"/>
    <n v="30"/>
    <x v="1"/>
    <n v="1"/>
    <m/>
    <x v="6"/>
    <x v="98"/>
    <x v="37"/>
    <x v="0"/>
    <n v="19"/>
    <n v="3012"/>
    <n v="3.4266211604095562"/>
    <n v="3012"/>
    <n v="3.4266211604095562"/>
    <s v="[Balcony Large Closets Garbage disposal Refrigerator Window Covering Microwave Dishwasher Wheel Chair View Stackable Washer/Dryter In Unit Range Private Balcony Individual Climate Control Heat Controlled Access Cable]"/>
    <s v="[balcony_patio.private view balcony_patio washer_dryer.stackable dishwasher washer_dryer corner_unit]"/>
  </r>
  <r>
    <x v="0"/>
    <s v="201 North Garland Court"/>
    <x v="10"/>
    <s v="1G"/>
    <m/>
    <x v="1"/>
    <n v="1"/>
    <m/>
    <x v="6"/>
    <x v="99"/>
    <x v="28"/>
    <x v="1"/>
    <m/>
    <n v="3139"/>
    <n v="3.5711035267349263"/>
    <n v="3139"/>
    <n v="3.5711035267349263"/>
    <s v="[]"/>
    <s v="[]"/>
  </r>
  <r>
    <x v="0"/>
    <s v="201 North Garland Court"/>
    <x v="17"/>
    <s v="1004"/>
    <n v="10"/>
    <x v="1"/>
    <n v="1"/>
    <m/>
    <x v="6"/>
    <x v="7"/>
    <x v="104"/>
    <x v="0"/>
    <n v="45"/>
    <n v="3240"/>
    <n v="3.6860068259385668"/>
    <n v="3240"/>
    <n v="3.6860068259385668"/>
    <s v="[]"/>
    <s v="[balcony_patio]"/>
  </r>
  <r>
    <x v="0"/>
    <s v="201 North Garland Court"/>
    <x v="17"/>
    <s v="1804"/>
    <n v="18"/>
    <x v="1"/>
    <n v="1"/>
    <m/>
    <x v="6"/>
    <x v="100"/>
    <x v="64"/>
    <x v="0"/>
    <n v="26"/>
    <n v="3250"/>
    <n v="3.6973833902161548"/>
    <n v="3250"/>
    <n v="3.6973833902161548"/>
    <s v="[]"/>
    <s v="[balcony_patio]"/>
  </r>
  <r>
    <x v="0"/>
    <s v="201 North Garland Court"/>
    <x v="17"/>
    <s v="2104"/>
    <n v="21"/>
    <x v="1"/>
    <n v="1"/>
    <m/>
    <x v="6"/>
    <x v="100"/>
    <x v="103"/>
    <x v="0"/>
    <n v="49"/>
    <n v="3285"/>
    <n v="3.7372013651877132"/>
    <n v="3285"/>
    <n v="3.7372013651877132"/>
    <s v="[]"/>
    <s v="[balcony_patio]"/>
  </r>
  <r>
    <x v="0"/>
    <s v="201 North Garland Court"/>
    <x v="17"/>
    <s v="3301"/>
    <n v="33"/>
    <x v="1"/>
    <n v="1"/>
    <m/>
    <x v="6"/>
    <x v="98"/>
    <x v="44"/>
    <x v="0"/>
    <n v="115"/>
    <n v="3300"/>
    <n v="3.7542662116040955"/>
    <n v="3300"/>
    <n v="3.7542662116040955"/>
    <s v="[]"/>
    <s v="[balcony_patio corner_unit]"/>
  </r>
  <r>
    <x v="0"/>
    <s v="201 North Garland Court"/>
    <x v="17"/>
    <s v="2904"/>
    <n v="29"/>
    <x v="1"/>
    <n v="1"/>
    <m/>
    <x v="6"/>
    <x v="101"/>
    <x v="13"/>
    <x v="0"/>
    <n v="42"/>
    <n v="3340"/>
    <n v="3.7997724687144481"/>
    <n v="3340"/>
    <n v="3.7997724687144481"/>
    <s v="[]"/>
    <s v="[balcony_patio]"/>
  </r>
  <r>
    <x v="0"/>
    <s v="201 North Garland Court"/>
    <x v="17"/>
    <s v="3801"/>
    <n v="38"/>
    <x v="1"/>
    <n v="1"/>
    <m/>
    <x v="6"/>
    <x v="0"/>
    <x v="105"/>
    <x v="0"/>
    <n v="50"/>
    <n v="3380"/>
    <n v="3.8452787258248011"/>
    <n v="3380"/>
    <n v="3.8452787258248011"/>
    <s v="[]"/>
    <s v="[balcony_patio]"/>
  </r>
  <r>
    <x v="0"/>
    <s v="201 North Garland Court"/>
    <x v="17"/>
    <s v="4001"/>
    <n v="40"/>
    <x v="1"/>
    <n v="1"/>
    <m/>
    <x v="6"/>
    <x v="2"/>
    <x v="106"/>
    <x v="0"/>
    <n v="2"/>
    <n v="3400"/>
    <n v="3.8680318543799772"/>
    <n v="3400"/>
    <n v="3.8680318543799772"/>
    <s v="[]"/>
    <s v="[balcony_patio]"/>
  </r>
  <r>
    <x v="0"/>
    <s v="201 North Garland Court"/>
    <x v="17"/>
    <s v="3804"/>
    <n v="38"/>
    <x v="1"/>
    <n v="1"/>
    <m/>
    <x v="6"/>
    <x v="82"/>
    <x v="105"/>
    <x v="0"/>
    <n v="29"/>
    <n v="3515"/>
    <n v="3.9988623435722412"/>
    <n v="3515"/>
    <n v="3.9988623435722412"/>
    <s v="[]"/>
    <s v="[balcony_patio]"/>
  </r>
  <r>
    <x v="0"/>
    <s v="201 North Garland Court"/>
    <x v="17"/>
    <s v="3604"/>
    <n v="36"/>
    <x v="1"/>
    <n v="1"/>
    <m/>
    <x v="6"/>
    <x v="54"/>
    <x v="15"/>
    <x v="0"/>
    <n v="13"/>
    <n v="3605"/>
    <n v="4.1012514220705345"/>
    <n v="3605"/>
    <n v="4.1012514220705345"/>
    <s v="[]"/>
    <s v="[balcony_patio]"/>
  </r>
  <r>
    <x v="0"/>
    <s v="201 North Garland Court"/>
    <x v="19"/>
    <s v="2501"/>
    <n v="25"/>
    <x v="1"/>
    <n v="1"/>
    <m/>
    <x v="6"/>
    <x v="69"/>
    <x v="107"/>
    <x v="0"/>
    <n v="24"/>
    <n v="2570"/>
    <n v="2.9237770193401591"/>
    <n v="2570"/>
    <n v="2.9237770193401591"/>
    <s v="[]"/>
    <s v="[]"/>
  </r>
  <r>
    <x v="0"/>
    <s v="201 North Garland Court"/>
    <x v="20"/>
    <s v="2201"/>
    <n v="22"/>
    <x v="1"/>
    <n v="1"/>
    <m/>
    <x v="6"/>
    <x v="102"/>
    <x v="108"/>
    <x v="0"/>
    <n v="103"/>
    <n v="2711"/>
    <n v="3.0841865756541527"/>
    <n v="2303"/>
    <n v="2.6200227531285551"/>
    <s v="[]"/>
    <s v="[balcony_patio]"/>
  </r>
  <r>
    <x v="0"/>
    <s v="201 North Garland Court"/>
    <x v="20"/>
    <s v="1401"/>
    <n v="14"/>
    <x v="1"/>
    <n v="1"/>
    <m/>
    <x v="6"/>
    <x v="103"/>
    <x v="109"/>
    <x v="0"/>
    <n v="32"/>
    <n v="2725"/>
    <n v="3.1001137656427757"/>
    <n v="2501"/>
    <n v="2.8452787258248011"/>
    <s v="[]"/>
    <s v="[]"/>
  </r>
  <r>
    <x v="0"/>
    <s v="201 North Garland Court"/>
    <x v="20"/>
    <s v="2101"/>
    <n v="21"/>
    <x v="1"/>
    <n v="1"/>
    <m/>
    <x v="6"/>
    <x v="97"/>
    <x v="94"/>
    <x v="0"/>
    <n v="158"/>
    <n v="2780"/>
    <n v="3.1626848691695106"/>
    <n v="2483"/>
    <n v="2.8248009101251421"/>
    <s v="[]"/>
    <s v="[balcony_patio]"/>
  </r>
  <r>
    <x v="0"/>
    <s v="201 North Garland Court"/>
    <x v="18"/>
    <s v="2304"/>
    <n v="23"/>
    <x v="1"/>
    <n v="1"/>
    <m/>
    <x v="6"/>
    <x v="104"/>
    <x v="78"/>
    <x v="0"/>
    <n v="62"/>
    <n v="2791"/>
    <n v="3.1751990898748579"/>
    <n v="2791"/>
    <n v="3.1751990898748579"/>
    <s v="[]"/>
    <s v="[]"/>
  </r>
  <r>
    <x v="0"/>
    <s v="201 North Garland Court"/>
    <x v="18"/>
    <s v="2804"/>
    <n v="28"/>
    <x v="1"/>
    <n v="1"/>
    <m/>
    <x v="6"/>
    <x v="65"/>
    <x v="78"/>
    <x v="0"/>
    <n v="101"/>
    <n v="2833"/>
    <n v="3.222980659840728"/>
    <n v="2833"/>
    <n v="3.222980659840728"/>
    <s v="[]"/>
    <s v="[]"/>
  </r>
  <r>
    <x v="0"/>
    <s v="201 North Garland Court"/>
    <x v="20"/>
    <s v="1901"/>
    <n v="19"/>
    <x v="1"/>
    <n v="1"/>
    <m/>
    <x v="6"/>
    <x v="20"/>
    <x v="99"/>
    <x v="0"/>
    <n v="43"/>
    <n v="2859"/>
    <n v="3.2525597269624575"/>
    <n v="2621"/>
    <n v="2.981797497155859"/>
    <s v="[]"/>
    <s v="[]"/>
  </r>
  <r>
    <x v="0"/>
    <s v="201 North Garland Court"/>
    <x v="20"/>
    <s v="1904"/>
    <n v="19"/>
    <x v="1"/>
    <n v="1"/>
    <m/>
    <x v="6"/>
    <x v="105"/>
    <x v="86"/>
    <x v="0"/>
    <n v="2"/>
    <n v="2881"/>
    <n v="3.2775881683731511"/>
    <n v="2400"/>
    <n v="2.7303754266211606"/>
    <s v="[]"/>
    <s v="[]"/>
  </r>
  <r>
    <x v="0"/>
    <s v="201 North Garland Court"/>
    <x v="20"/>
    <s v="2601"/>
    <n v="26"/>
    <x v="1"/>
    <n v="1"/>
    <m/>
    <x v="6"/>
    <x v="86"/>
    <x v="30"/>
    <x v="0"/>
    <n v="2"/>
    <n v="2931"/>
    <n v="3.3344709897610922"/>
    <n v="2931"/>
    <n v="3.3344709897610922"/>
    <s v="[]"/>
    <s v="[]"/>
  </r>
  <r>
    <x v="0"/>
    <s v="201 North Garland Court"/>
    <x v="20"/>
    <s v="2901"/>
    <n v="29"/>
    <x v="1"/>
    <n v="1"/>
    <m/>
    <x v="6"/>
    <x v="106"/>
    <x v="110"/>
    <x v="0"/>
    <n v="6"/>
    <n v="2991"/>
    <n v="3.4027303754266214"/>
    <n v="2991"/>
    <n v="3.4027303754266214"/>
    <s v="[]"/>
    <s v="[]"/>
  </r>
  <r>
    <x v="0"/>
    <s v="201 North Garland Court"/>
    <x v="19"/>
    <s v="3201"/>
    <n v="32"/>
    <x v="1"/>
    <n v="1"/>
    <m/>
    <x v="6"/>
    <x v="107"/>
    <x v="78"/>
    <x v="0"/>
    <n v="88"/>
    <n v="3031"/>
    <n v="3.448236632536974"/>
    <n v="3031"/>
    <n v="3.448236632536974"/>
    <s v="[]"/>
    <s v="[]"/>
  </r>
  <r>
    <x v="0"/>
    <s v="201 North Garland Court"/>
    <x v="20"/>
    <s v="3901"/>
    <n v="39"/>
    <x v="1"/>
    <n v="1"/>
    <m/>
    <x v="6"/>
    <x v="6"/>
    <x v="111"/>
    <x v="0"/>
    <n v="87"/>
    <n v="3070"/>
    <n v="3.4926052332195678"/>
    <n v="2692"/>
    <n v="3.0625711035267349"/>
    <s v="[]"/>
    <s v="[balcony_patio]"/>
  </r>
  <r>
    <x v="0"/>
    <s v="201 North Garland Court"/>
    <x v="20"/>
    <s v="2204"/>
    <n v="22"/>
    <x v="1"/>
    <n v="1"/>
    <m/>
    <x v="6"/>
    <x v="66"/>
    <x v="28"/>
    <x v="1"/>
    <m/>
    <n v="3134"/>
    <n v="3.565415244596132"/>
    <n v="3134"/>
    <n v="3.565415244596132"/>
    <s v="[]"/>
    <s v="[]"/>
  </r>
  <r>
    <x v="0"/>
    <s v="201 North Garland Court"/>
    <x v="20"/>
    <s v="3101"/>
    <n v="31"/>
    <x v="1"/>
    <n v="1"/>
    <m/>
    <x v="6"/>
    <x v="108"/>
    <x v="112"/>
    <x v="0"/>
    <n v="34"/>
    <n v="3139"/>
    <n v="3.5711035267349263"/>
    <n v="2877"/>
    <n v="3.2730375426621161"/>
    <s v="[]"/>
    <s v="[]"/>
  </r>
  <r>
    <x v="0"/>
    <s v="201 North Garland Court"/>
    <x v="20"/>
    <s v="3304"/>
    <n v="33"/>
    <x v="1"/>
    <n v="1"/>
    <m/>
    <x v="6"/>
    <x v="109"/>
    <x v="113"/>
    <x v="0"/>
    <n v="147"/>
    <n v="3150"/>
    <n v="3.5836177474402731"/>
    <n v="2805"/>
    <n v="3.1911262798634814"/>
    <s v="[]"/>
    <s v="[balcony_patio]"/>
  </r>
  <r>
    <x v="0"/>
    <s v="201 North Garland Court"/>
    <x v="20"/>
    <s v="3204"/>
    <n v="32"/>
    <x v="1"/>
    <n v="1"/>
    <m/>
    <x v="6"/>
    <x v="71"/>
    <x v="114"/>
    <x v="0"/>
    <n v="187"/>
    <n v="3235"/>
    <n v="3.6803185437997725"/>
    <n v="2965"/>
    <n v="3.3731513083048918"/>
    <s v="[]"/>
    <s v="[balcony_patio]"/>
  </r>
  <r>
    <x v="0"/>
    <s v="201 North Garland Court"/>
    <x v="18"/>
    <s v="904"/>
    <n v="9"/>
    <x v="1"/>
    <n v="1"/>
    <m/>
    <x v="6"/>
    <x v="40"/>
    <x v="115"/>
    <x v="0"/>
    <n v="40"/>
    <n v="3364"/>
    <n v="3.8270762229806596"/>
    <n v="3364"/>
    <n v="3.8270762229806596"/>
    <s v="[]"/>
    <s v="[]"/>
  </r>
  <r>
    <x v="0"/>
    <s v="201 North Garland Court"/>
    <x v="18"/>
    <s v="3404"/>
    <n v="34"/>
    <x v="1"/>
    <n v="1"/>
    <m/>
    <x v="6"/>
    <x v="110"/>
    <x v="116"/>
    <x v="0"/>
    <n v="38"/>
    <n v="3623"/>
    <n v="4.1217292377701931"/>
    <n v="3623"/>
    <n v="4.1217292377701931"/>
    <s v="[]"/>
    <s v="[]"/>
  </r>
  <r>
    <x v="0"/>
    <s v="201 North Garland Court"/>
    <x v="18"/>
    <s v="3004"/>
    <n v="30"/>
    <x v="1"/>
    <n v="1"/>
    <m/>
    <x v="6"/>
    <x v="93"/>
    <x v="32"/>
    <x v="0"/>
    <n v="3"/>
    <n v="3990"/>
    <n v="4.5392491467576788"/>
    <n v="3990"/>
    <n v="4.5392491467576788"/>
    <s v="[]"/>
    <s v="[]"/>
  </r>
  <r>
    <x v="0"/>
    <s v="201 North Garland Court"/>
    <x v="18"/>
    <s v="1404"/>
    <n v="14"/>
    <x v="1"/>
    <n v="1"/>
    <m/>
    <x v="6"/>
    <x v="45"/>
    <x v="59"/>
    <x v="0"/>
    <n v="52"/>
    <n v="4175"/>
    <n v="4.7497155858930604"/>
    <n v="4175"/>
    <n v="4.7497155858930604"/>
    <s v="[]"/>
    <s v="[]"/>
  </r>
  <r>
    <x v="0"/>
    <s v="201 North Garland Court"/>
    <x v="19"/>
    <s v="3501"/>
    <n v="35"/>
    <x v="1"/>
    <n v="1"/>
    <m/>
    <x v="6"/>
    <x v="16"/>
    <x v="117"/>
    <x v="0"/>
    <n v="8"/>
    <n v="4242"/>
    <n v="4.8259385665529013"/>
    <n v="4242"/>
    <n v="4.8259385665529013"/>
    <s v="[]"/>
    <s v="[]"/>
  </r>
  <r>
    <x v="0"/>
    <s v="201 North Garland Court"/>
    <x v="21"/>
    <s v="707"/>
    <n v="7"/>
    <x v="2"/>
    <n v="2"/>
    <m/>
    <x v="7"/>
    <x v="19"/>
    <x v="37"/>
    <x v="0"/>
    <n v="172"/>
    <n v="3324"/>
    <n v="3.0027100271002709"/>
    <n v="3324"/>
    <n v="3.0027100271002709"/>
    <s v="[Balcony ADA Dishwasher Garbage disposal Large Closets Microwave Window Covering Refrigerator Wheel Chair View Stackable Washer/Dryter In Unit Range Private Balcony Individual Climate Control Heat Controlled Access Cable]"/>
    <s v="[balcony_patio.private view balcony_patio washer_dryer.stackable dishwasher washer_dryer balcony_patio]"/>
  </r>
  <r>
    <x v="0"/>
    <s v="201 North Garland Court"/>
    <x v="22"/>
    <s v="1010"/>
    <n v="10"/>
    <x v="2"/>
    <n v="2"/>
    <m/>
    <x v="7"/>
    <x v="12"/>
    <x v="48"/>
    <x v="0"/>
    <n v="31"/>
    <n v="3765"/>
    <n v="3.4010840108401084"/>
    <n v="3765"/>
    <n v="3.4010840108401084"/>
    <s v="[]"/>
    <s v="[balcony_patio]"/>
  </r>
  <r>
    <x v="0"/>
    <s v="201 North Garland Court"/>
    <x v="22"/>
    <s v="1810"/>
    <n v="18"/>
    <x v="2"/>
    <n v="2"/>
    <m/>
    <x v="7"/>
    <x v="16"/>
    <x v="118"/>
    <x v="0"/>
    <n v="368"/>
    <n v="3785"/>
    <n v="3.4191508581752483"/>
    <n v="3785"/>
    <n v="3.4191508581752483"/>
    <s v="[]"/>
    <s v="[balcony_patio]"/>
  </r>
  <r>
    <x v="0"/>
    <s v="201 North Garland Court"/>
    <x v="22"/>
    <s v="1510"/>
    <n v="15"/>
    <x v="2"/>
    <n v="2"/>
    <m/>
    <x v="7"/>
    <x v="2"/>
    <x v="47"/>
    <x v="0"/>
    <n v="4"/>
    <n v="3840"/>
    <n v="3.4688346883468837"/>
    <n v="3840"/>
    <n v="3.4688346883468837"/>
    <s v="[]"/>
    <s v="[balcony_patio]"/>
  </r>
  <r>
    <x v="0"/>
    <s v="201 North Garland Court"/>
    <x v="22"/>
    <s v="1507"/>
    <n v="15"/>
    <x v="2"/>
    <n v="2"/>
    <m/>
    <x v="7"/>
    <x v="0"/>
    <x v="119"/>
    <x v="0"/>
    <n v="47"/>
    <n v="3880"/>
    <n v="3.5049683830171636"/>
    <n v="3880"/>
    <n v="3.5049683830171636"/>
    <s v="[]"/>
    <s v="[balcony_patio]"/>
  </r>
  <r>
    <x v="0"/>
    <s v="201 North Garland Court"/>
    <x v="22"/>
    <s v="3910"/>
    <n v="39"/>
    <x v="2"/>
    <n v="2"/>
    <m/>
    <x v="7"/>
    <x v="0"/>
    <x v="120"/>
    <x v="0"/>
    <n v="106"/>
    <n v="4100"/>
    <n v="3.7037037037037037"/>
    <n v="4100"/>
    <n v="3.7037037037037037"/>
    <s v="[]"/>
    <s v="[balcony_patio]"/>
  </r>
  <r>
    <x v="0"/>
    <s v="201 North Garland Court"/>
    <x v="22"/>
    <s v="3010"/>
    <n v="30"/>
    <x v="2"/>
    <n v="2"/>
    <m/>
    <x v="7"/>
    <x v="111"/>
    <x v="121"/>
    <x v="0"/>
    <n v="263"/>
    <n v="4160"/>
    <n v="3.7579042457091236"/>
    <n v="4160"/>
    <n v="3.7579042457091236"/>
    <s v="[]"/>
    <s v="[balcony_patio]"/>
  </r>
  <r>
    <x v="0"/>
    <s v="201 North Garland Court"/>
    <x v="22"/>
    <s v="3210"/>
    <n v="32"/>
    <x v="2"/>
    <n v="2"/>
    <m/>
    <x v="7"/>
    <x v="0"/>
    <x v="122"/>
    <x v="0"/>
    <n v="68"/>
    <n v="4160"/>
    <n v="3.7579042457091236"/>
    <n v="4160"/>
    <n v="3.7579042457091236"/>
    <s v="[]"/>
    <s v="[balcony_patio]"/>
  </r>
  <r>
    <x v="0"/>
    <s v="201 North Garland Court"/>
    <x v="22"/>
    <s v="3310"/>
    <n v="33"/>
    <x v="2"/>
    <n v="2"/>
    <m/>
    <x v="7"/>
    <x v="0"/>
    <x v="7"/>
    <x v="0"/>
    <n v="85"/>
    <n v="4165"/>
    <n v="3.7624209575429086"/>
    <n v="4165"/>
    <n v="3.7624209575429086"/>
    <s v="[]"/>
    <s v="[balcony_patio]"/>
  </r>
  <r>
    <x v="0"/>
    <s v="201 North Garland Court"/>
    <x v="22"/>
    <s v="3907"/>
    <n v="39"/>
    <x v="2"/>
    <n v="2"/>
    <m/>
    <x v="7"/>
    <x v="10"/>
    <x v="123"/>
    <x v="0"/>
    <n v="168"/>
    <n v="4275"/>
    <n v="3.8617886178861789"/>
    <n v="4275"/>
    <n v="3.8617886178861789"/>
    <s v="[]"/>
    <s v="[balcony_patio]"/>
  </r>
  <r>
    <x v="0"/>
    <s v="201 North Garland Court"/>
    <x v="22"/>
    <s v="2310"/>
    <n v="23"/>
    <x v="2"/>
    <n v="2"/>
    <m/>
    <x v="7"/>
    <x v="44"/>
    <x v="124"/>
    <x v="0"/>
    <n v="202"/>
    <n v="3300"/>
    <n v="2.9810298102981028"/>
    <n v="3025"/>
    <n v="2.7326106594399278"/>
    <s v="[]"/>
    <s v="[balcony_patio]"/>
  </r>
  <r>
    <x v="0"/>
    <s v="201 North Garland Court"/>
    <x v="22"/>
    <s v="2510"/>
    <n v="25"/>
    <x v="2"/>
    <n v="2"/>
    <m/>
    <x v="7"/>
    <x v="112"/>
    <x v="125"/>
    <x v="0"/>
    <n v="186"/>
    <n v="3367"/>
    <n v="3.0415537488708222"/>
    <n v="3086"/>
    <n v="2.7877145438121049"/>
    <s v="[]"/>
    <s v="[balcony_patio]"/>
  </r>
  <r>
    <x v="0"/>
    <s v="201 North Garland Court"/>
    <x v="22"/>
    <s v="2707"/>
    <n v="27"/>
    <x v="2"/>
    <n v="2"/>
    <m/>
    <x v="7"/>
    <x v="5"/>
    <x v="126"/>
    <x v="0"/>
    <n v="207"/>
    <n v="3482"/>
    <n v="3.145438121047877"/>
    <n v="3310"/>
    <n v="2.9900632339656732"/>
    <s v="[]"/>
    <s v="[balcony_patio]"/>
  </r>
  <r>
    <x v="0"/>
    <s v="201 North Garland Court"/>
    <x v="22"/>
    <s v="1607"/>
    <n v="16"/>
    <x v="2"/>
    <n v="2"/>
    <m/>
    <x v="7"/>
    <x v="113"/>
    <x v="67"/>
    <x v="0"/>
    <n v="114"/>
    <n v="3514"/>
    <n v="3.174345076784101"/>
    <n v="2946"/>
    <n v="2.6612466124661247"/>
    <s v="[]"/>
    <s v="[balcony_patio]"/>
  </r>
  <r>
    <x v="0"/>
    <s v="201 North Garland Court"/>
    <x v="22"/>
    <s v="3407"/>
    <n v="34"/>
    <x v="2"/>
    <n v="2"/>
    <m/>
    <x v="7"/>
    <x v="98"/>
    <x v="127"/>
    <x v="0"/>
    <n v="301"/>
    <n v="3586"/>
    <n v="3.239385727190605"/>
    <n v="3390"/>
    <n v="3.0623306233062331"/>
    <s v="[]"/>
    <s v="[balcony_patio]"/>
  </r>
  <r>
    <x v="0"/>
    <s v="201 North Garland Court"/>
    <x v="22"/>
    <s v="2910"/>
    <n v="29"/>
    <x v="2"/>
    <n v="2"/>
    <m/>
    <x v="7"/>
    <x v="114"/>
    <x v="99"/>
    <x v="0"/>
    <n v="6"/>
    <n v="3619"/>
    <n v="3.2691960252935863"/>
    <n v="3317"/>
    <n v="2.9963866305329718"/>
    <s v="[]"/>
    <s v="[]"/>
  </r>
  <r>
    <x v="0"/>
    <s v="201 North Garland Court"/>
    <x v="22"/>
    <s v="2607"/>
    <n v="26"/>
    <x v="2"/>
    <n v="2"/>
    <m/>
    <x v="7"/>
    <x v="2"/>
    <x v="128"/>
    <x v="0"/>
    <n v="179"/>
    <n v="3628"/>
    <n v="3.2773261065943995"/>
    <n v="3131"/>
    <n v="2.8283649503161699"/>
    <s v="[]"/>
    <s v="[balcony_patio]"/>
  </r>
  <r>
    <x v="0"/>
    <s v="201 North Garland Court"/>
    <x v="22"/>
    <s v="3207"/>
    <n v="32"/>
    <x v="2"/>
    <n v="2"/>
    <m/>
    <x v="7"/>
    <x v="19"/>
    <x v="129"/>
    <x v="0"/>
    <n v="482"/>
    <n v="3677"/>
    <n v="3.3215898825654921"/>
    <n v="3371"/>
    <n v="3.0451671183378499"/>
    <s v="[]"/>
    <s v="[balcony_patio]"/>
  </r>
  <r>
    <x v="0"/>
    <s v="201 North Garland Court"/>
    <x v="22"/>
    <s v="3007"/>
    <n v="30"/>
    <x v="2"/>
    <n v="2"/>
    <m/>
    <x v="7"/>
    <x v="71"/>
    <x v="99"/>
    <x v="0"/>
    <n v="184"/>
    <n v="3704"/>
    <n v="3.3459801264679312"/>
    <n v="3395"/>
    <n v="3.0668473351400181"/>
    <s v="[]"/>
    <s v="[balcony_patio]"/>
  </r>
  <r>
    <x v="0"/>
    <s v="201 North Garland Court"/>
    <x v="22"/>
    <s v="2907"/>
    <n v="29"/>
    <x v="2"/>
    <n v="2"/>
    <m/>
    <x v="7"/>
    <x v="115"/>
    <x v="130"/>
    <x v="0"/>
    <n v="27"/>
    <n v="3739"/>
    <n v="3.3775971093044266"/>
    <n v="3427"/>
    <n v="3.0957542908762421"/>
    <s v="[]"/>
    <s v="[]"/>
  </r>
  <r>
    <x v="0"/>
    <s v="201 North Garland Court"/>
    <x v="22"/>
    <s v="3107"/>
    <n v="31"/>
    <x v="2"/>
    <n v="2"/>
    <m/>
    <x v="7"/>
    <x v="0"/>
    <x v="131"/>
    <x v="0"/>
    <n v="201"/>
    <n v="3739"/>
    <n v="3.3775971093044266"/>
    <n v="3299"/>
    <n v="2.9801264679313459"/>
    <s v="[]"/>
    <s v="[balcony_patio]"/>
  </r>
  <r>
    <x v="0"/>
    <s v="201 North Garland Court"/>
    <x v="22"/>
    <s v="0910"/>
    <n v="9"/>
    <x v="2"/>
    <n v="2"/>
    <m/>
    <x v="7"/>
    <x v="51"/>
    <x v="28"/>
    <x v="1"/>
    <m/>
    <n v="3860"/>
    <n v="3.4869015356820237"/>
    <n v="3860"/>
    <n v="3.4869015356820237"/>
    <s v="[]"/>
    <s v="[]"/>
  </r>
  <r>
    <x v="0"/>
    <s v="201 North Garland Court"/>
    <x v="22"/>
    <s v="1110"/>
    <n v="11"/>
    <x v="2"/>
    <n v="2"/>
    <m/>
    <x v="7"/>
    <x v="33"/>
    <x v="28"/>
    <x v="1"/>
    <m/>
    <n v="3880"/>
    <n v="3.5049683830171636"/>
    <n v="3880"/>
    <n v="3.5049683830171636"/>
    <s v="[]"/>
    <s v="[]"/>
  </r>
  <r>
    <x v="0"/>
    <s v="201 North Garland Court"/>
    <x v="22"/>
    <s v="1807"/>
    <n v="18"/>
    <x v="2"/>
    <n v="2"/>
    <m/>
    <x v="7"/>
    <x v="32"/>
    <x v="132"/>
    <x v="0"/>
    <n v="16"/>
    <n v="3962"/>
    <n v="3.5790424570912376"/>
    <n v="3962"/>
    <n v="3.5790424570912376"/>
    <s v="[]"/>
    <s v="[]"/>
  </r>
  <r>
    <x v="0"/>
    <s v="201 North Garland Court"/>
    <x v="22"/>
    <s v="3810"/>
    <n v="38"/>
    <x v="2"/>
    <n v="2"/>
    <m/>
    <x v="7"/>
    <x v="0"/>
    <x v="23"/>
    <x v="0"/>
    <n v="155"/>
    <n v="3990"/>
    <n v="3.6043360433604335"/>
    <n v="3990"/>
    <n v="3.6043360433604335"/>
    <s v="[]"/>
    <s v="[balcony_patio]"/>
  </r>
  <r>
    <x v="0"/>
    <s v="201 North Garland Court"/>
    <x v="22"/>
    <s v="2610"/>
    <n v="26"/>
    <x v="2"/>
    <n v="2"/>
    <m/>
    <x v="7"/>
    <x v="78"/>
    <x v="30"/>
    <x v="0"/>
    <n v="172"/>
    <n v="4131"/>
    <n v="3.7317073170731709"/>
    <n v="4131"/>
    <n v="3.7317073170731709"/>
    <s v="[]"/>
    <s v="[balcony_patio]"/>
  </r>
  <r>
    <x v="0"/>
    <s v="201 North Garland Court"/>
    <x v="21"/>
    <s v="1707"/>
    <n v="17"/>
    <x v="2"/>
    <n v="2"/>
    <m/>
    <x v="7"/>
    <x v="65"/>
    <x v="78"/>
    <x v="0"/>
    <n v="101"/>
    <n v="4471"/>
    <n v="4.0388437217705508"/>
    <n v="4471"/>
    <n v="4.0388437217705508"/>
    <s v="[]"/>
    <s v="[]"/>
  </r>
  <r>
    <x v="0"/>
    <s v="201 North Garland Court"/>
    <x v="21"/>
    <s v="2307"/>
    <n v="23"/>
    <x v="2"/>
    <n v="2"/>
    <m/>
    <x v="7"/>
    <x v="19"/>
    <x v="133"/>
    <x v="0"/>
    <n v="26"/>
    <n v="4710"/>
    <n v="4.2547425474254741"/>
    <n v="4710"/>
    <n v="4.2547425474254741"/>
    <s v="[]"/>
    <s v="[]"/>
  </r>
  <r>
    <x v="0"/>
    <s v="201 North Garland Court"/>
    <x v="23"/>
    <s v="2210"/>
    <n v="22"/>
    <x v="2"/>
    <n v="2"/>
    <m/>
    <x v="7"/>
    <x v="116"/>
    <x v="78"/>
    <x v="0"/>
    <n v="85"/>
    <n v="5338"/>
    <n v="4.8220415537488712"/>
    <n v="5338"/>
    <n v="4.8220415537488712"/>
    <s v="[]"/>
    <s v="[]"/>
  </r>
  <r>
    <x v="0"/>
    <s v="201 North Garland Court"/>
    <x v="23"/>
    <s v="3410"/>
    <n v="34"/>
    <x v="2"/>
    <n v="2"/>
    <m/>
    <x v="7"/>
    <x v="16"/>
    <x v="31"/>
    <x v="0"/>
    <n v="24"/>
    <n v="5504"/>
    <n v="4.9719963866305328"/>
    <n v="5504"/>
    <n v="4.9719963866305328"/>
    <s v="[]"/>
    <s v="[]"/>
  </r>
  <r>
    <x v="0"/>
    <s v="201 North Garland Court"/>
    <x v="23"/>
    <s v="3110"/>
    <n v="31"/>
    <x v="2"/>
    <n v="2"/>
    <m/>
    <x v="7"/>
    <x v="16"/>
    <x v="31"/>
    <x v="0"/>
    <n v="24"/>
    <n v="5504"/>
    <n v="4.9719963866305328"/>
    <n v="5504"/>
    <n v="4.9719963866305328"/>
    <s v="[]"/>
    <s v="[]"/>
  </r>
  <r>
    <x v="1"/>
    <s v="343 West Wolf Point Plaza"/>
    <x v="24"/>
    <s v="3607"/>
    <n v="36"/>
    <x v="0"/>
    <n v="1"/>
    <m/>
    <x v="8"/>
    <x v="117"/>
    <x v="29"/>
    <x v="0"/>
    <n v="154"/>
    <n v="1983"/>
    <n v="4.0223123732251524"/>
    <n v="1983"/>
    <n v="4.0223123732251524"/>
    <s v="[Pantry River West View Walk in Closet Floors 35-38]"/>
    <s v="[walk_in_closet view.direction view]"/>
  </r>
  <r>
    <x v="1"/>
    <s v="343 West Wolf Point Plaza"/>
    <x v="24"/>
    <s v="0407"/>
    <n v="4"/>
    <x v="0"/>
    <n v="1"/>
    <m/>
    <x v="8"/>
    <x v="109"/>
    <x v="95"/>
    <x v="0"/>
    <n v="160"/>
    <n v="1984"/>
    <n v="4.024340770791075"/>
    <n v="1984"/>
    <n v="4.024340770791075"/>
    <s v="[West View 2-20]"/>
    <s v="[view.direction view]"/>
  </r>
  <r>
    <x v="1"/>
    <s v="343 West Wolf Point Plaza"/>
    <x v="24"/>
    <s v="2107"/>
    <n v="21"/>
    <x v="0"/>
    <n v="1"/>
    <m/>
    <x v="8"/>
    <x v="8"/>
    <x v="134"/>
    <x v="0"/>
    <n v="3"/>
    <n v="1986"/>
    <n v="4.028397565922921"/>
    <n v="1986"/>
    <n v="4.028397565922921"/>
    <s v="[West View 21-43]"/>
    <s v="[view.direction view]"/>
  </r>
  <r>
    <x v="1"/>
    <s v="343 West Wolf Point Plaza"/>
    <x v="24"/>
    <s v="1707"/>
    <n v="17"/>
    <x v="0"/>
    <n v="1"/>
    <m/>
    <x v="8"/>
    <x v="109"/>
    <x v="135"/>
    <x v="0"/>
    <n v="170"/>
    <n v="2010"/>
    <n v="4.077079107505071"/>
    <n v="2010"/>
    <n v="4.077079107505071"/>
    <s v="[West View 2-20]"/>
    <s v="[view.direction view]"/>
  </r>
  <r>
    <x v="1"/>
    <s v="343 West Wolf Point Plaza"/>
    <x v="24"/>
    <s v="1807"/>
    <n v="18"/>
    <x v="0"/>
    <n v="1"/>
    <m/>
    <x v="8"/>
    <x v="101"/>
    <x v="136"/>
    <x v="0"/>
    <n v="81"/>
    <n v="2073"/>
    <n v="4.2048681541582154"/>
    <n v="2037"/>
    <n v="4.1318458417849895"/>
    <s v="[West View 2-20]"/>
    <s v="[view.direction view]"/>
  </r>
  <r>
    <x v="1"/>
    <s v="343 West Wolf Point Plaza"/>
    <x v="24"/>
    <s v="3007"/>
    <n v="30"/>
    <x v="0"/>
    <n v="1"/>
    <m/>
    <x v="8"/>
    <x v="118"/>
    <x v="137"/>
    <x v="0"/>
    <n v="123"/>
    <n v="2078"/>
    <n v="4.2150101419878299"/>
    <n v="2078"/>
    <n v="4.2150101419878299"/>
    <s v="[Floors 29-34 Pantry River West View Walk in Closet]"/>
    <s v="[walk_in_closet view.direction view]"/>
  </r>
  <r>
    <x v="1"/>
    <s v="343 West Wolf Point Plaza"/>
    <x v="24"/>
    <s v="4007"/>
    <n v="40"/>
    <x v="0"/>
    <n v="1"/>
    <m/>
    <x v="8"/>
    <x v="119"/>
    <x v="138"/>
    <x v="0"/>
    <n v="30"/>
    <n v="2112"/>
    <n v="4.2839756592292089"/>
    <n v="2112"/>
    <n v="4.2839756592292089"/>
    <s v="[ADA West View 21-43]"/>
    <s v="[view.direction view]"/>
  </r>
  <r>
    <x v="1"/>
    <s v="343 West Wolf Point Plaza"/>
    <x v="24"/>
    <s v="3207"/>
    <n v="32"/>
    <x v="0"/>
    <n v="1"/>
    <m/>
    <x v="8"/>
    <x v="120"/>
    <x v="137"/>
    <x v="0"/>
    <n v="11"/>
    <n v="2122"/>
    <n v="4.3042596348884379"/>
    <n v="2122"/>
    <n v="4.3042596348884379"/>
    <s v="[Floors 29-34 Pantry River West View Walk in Closet]"/>
    <s v="[walk_in_closet view.direction view]"/>
  </r>
  <r>
    <x v="1"/>
    <s v="343 West Wolf Point Plaza"/>
    <x v="24"/>
    <s v="3107"/>
    <n v="31"/>
    <x v="0"/>
    <n v="1"/>
    <m/>
    <x v="8"/>
    <x v="101"/>
    <x v="48"/>
    <x v="0"/>
    <n v="22"/>
    <n v="2156"/>
    <n v="4.3732251521298178"/>
    <n v="2156"/>
    <n v="4.3732251521298178"/>
    <s v="[West View 21-43]"/>
    <s v="[view.direction view]"/>
  </r>
  <r>
    <x v="1"/>
    <s v="343 West Wolf Point Plaza"/>
    <x v="24"/>
    <s v="1207"/>
    <n v="12"/>
    <x v="0"/>
    <n v="1"/>
    <m/>
    <x v="8"/>
    <x v="109"/>
    <x v="75"/>
    <x v="0"/>
    <n v="251"/>
    <n v="2178"/>
    <n v="4.4178498985801218"/>
    <n v="2178"/>
    <n v="4.4178498985801218"/>
    <s v="[Pantry River West View Walk in Closet Floors 12-14]"/>
    <s v="[walk_in_closet view.direction view]"/>
  </r>
  <r>
    <x v="1"/>
    <s v="343 West Wolf Point Plaza"/>
    <x v="24"/>
    <m/>
    <m/>
    <x v="0"/>
    <n v="1"/>
    <m/>
    <x v="8"/>
    <x v="121"/>
    <x v="62"/>
    <x v="0"/>
    <n v="102"/>
    <m/>
    <m/>
    <m/>
    <m/>
    <s v="[]"/>
    <s v="[]"/>
  </r>
  <r>
    <x v="1"/>
    <s v="343 West Wolf Point Plaza"/>
    <x v="24"/>
    <s v="0807"/>
    <n v="8"/>
    <x v="0"/>
    <n v="1"/>
    <m/>
    <x v="8"/>
    <x v="122"/>
    <x v="28"/>
    <x v="1"/>
    <m/>
    <n v="2251"/>
    <n v="4.5659229208924952"/>
    <n v="2251"/>
    <n v="4.5659229208924952"/>
    <s v="[Floors 5-8 Pantry River West View Walk in Closet]"/>
    <s v="[walk_in_closet view.direction view]"/>
  </r>
  <r>
    <x v="1"/>
    <s v="343 West Wolf Point Plaza"/>
    <x v="24"/>
    <s v="2007"/>
    <n v="20"/>
    <x v="0"/>
    <n v="1"/>
    <m/>
    <x v="8"/>
    <x v="123"/>
    <x v="28"/>
    <x v="1"/>
    <m/>
    <n v="2276"/>
    <n v="4.6166328600405677"/>
    <n v="2276"/>
    <n v="4.6166328600405677"/>
    <s v="[Pantry River West View Walk in Closet Floors 19-24]"/>
    <s v="[walk_in_closet view.direction view]"/>
  </r>
  <r>
    <x v="1"/>
    <s v="343 West Wolf Point Plaza"/>
    <x v="24"/>
    <s v="2807"/>
    <n v="28"/>
    <x v="0"/>
    <n v="1"/>
    <m/>
    <x v="8"/>
    <x v="66"/>
    <x v="28"/>
    <x v="1"/>
    <m/>
    <n v="2286"/>
    <n v="4.6369168356997967"/>
    <n v="2286"/>
    <n v="4.6369168356997967"/>
    <s v="[Floors 25-28 Pantry River West View Walk in Closet]"/>
    <s v="[walk_in_closet view.direction view]"/>
  </r>
  <r>
    <x v="1"/>
    <s v="343 West Wolf Point Plaza"/>
    <x v="25"/>
    <m/>
    <m/>
    <x v="0"/>
    <n v="1"/>
    <m/>
    <x v="8"/>
    <x v="124"/>
    <x v="62"/>
    <x v="0"/>
    <n v="76"/>
    <m/>
    <m/>
    <m/>
    <m/>
    <s v="[]"/>
    <s v="[]"/>
  </r>
  <r>
    <x v="1"/>
    <s v="343 West Wolf Point Plaza"/>
    <x v="24"/>
    <s v="2907"/>
    <n v="29"/>
    <x v="0"/>
    <n v="1"/>
    <m/>
    <x v="8"/>
    <x v="125"/>
    <x v="28"/>
    <x v="1"/>
    <m/>
    <n v="2301"/>
    <n v="4.6673427991886411"/>
    <n v="2301"/>
    <n v="4.6673427991886411"/>
    <s v="[Floors 29-34 Pantry River West View Walk in Closet]"/>
    <s v="[walk_in_closet view.direction view]"/>
  </r>
  <r>
    <x v="1"/>
    <s v="343 West Wolf Point Plaza"/>
    <x v="24"/>
    <s v="3707"/>
    <n v="37"/>
    <x v="0"/>
    <n v="1"/>
    <m/>
    <x v="8"/>
    <x v="109"/>
    <x v="139"/>
    <x v="0"/>
    <n v="42"/>
    <n v="2312"/>
    <n v="4.6896551724137927"/>
    <n v="2312"/>
    <n v="4.6896551724137927"/>
    <s v="[West View 21-43]"/>
    <s v="[view.direction view]"/>
  </r>
  <r>
    <x v="1"/>
    <s v="343 West Wolf Point Plaza"/>
    <x v="24"/>
    <s v="1407"/>
    <n v="14"/>
    <x v="0"/>
    <n v="1"/>
    <m/>
    <x v="8"/>
    <x v="126"/>
    <x v="140"/>
    <x v="0"/>
    <n v="258"/>
    <n v="2334"/>
    <n v="4.7342799188640976"/>
    <n v="2334"/>
    <n v="4.7342799188640976"/>
    <s v="[Pantry River West View Walk in Closet Floors 12-14]"/>
    <s v="[walk_in_closet view.direction view]"/>
  </r>
  <r>
    <x v="1"/>
    <s v="343 West Wolf Point Plaza"/>
    <x v="24"/>
    <s v="1007"/>
    <n v="10"/>
    <x v="0"/>
    <n v="1"/>
    <m/>
    <x v="8"/>
    <x v="127"/>
    <x v="141"/>
    <x v="0"/>
    <n v="179"/>
    <n v="2368"/>
    <n v="4.8032454361054766"/>
    <n v="2368"/>
    <n v="4.8032454361054766"/>
    <s v="[West View 2-20]"/>
    <s v="[view.direction view]"/>
  </r>
  <r>
    <x v="1"/>
    <s v="343 West Wolf Point Plaza"/>
    <x v="24"/>
    <s v="0507"/>
    <n v="5"/>
    <x v="0"/>
    <n v="1"/>
    <m/>
    <x v="8"/>
    <x v="128"/>
    <x v="52"/>
    <x v="0"/>
    <n v="6"/>
    <n v="2406"/>
    <n v="4.8803245436105476"/>
    <n v="2406"/>
    <n v="4.8803245436105476"/>
    <s v="[West View 2-20]"/>
    <s v="[view.direction view]"/>
  </r>
  <r>
    <x v="1"/>
    <s v="343 West Wolf Point Plaza"/>
    <x v="25"/>
    <s v="0206"/>
    <n v="2"/>
    <x v="0"/>
    <n v="1"/>
    <m/>
    <x v="8"/>
    <x v="101"/>
    <x v="142"/>
    <x v="0"/>
    <n v="33"/>
    <n v="2443"/>
    <n v="4.955375253549696"/>
    <n v="2443"/>
    <n v="4.955375253549696"/>
    <s v="[West View 2-20 Balcony]"/>
    <s v="[view.direction view balcony_patio]"/>
  </r>
  <r>
    <x v="1"/>
    <s v="343 West Wolf Point Plaza"/>
    <x v="10"/>
    <s v="2307"/>
    <n v="23"/>
    <x v="0"/>
    <n v="1"/>
    <m/>
    <x v="8"/>
    <x v="129"/>
    <x v="143"/>
    <x v="0"/>
    <n v="2"/>
    <n v="2025"/>
    <n v="4.1075050709939145"/>
    <n v="2025"/>
    <n v="4.1075050709939145"/>
    <s v="[]"/>
    <s v="[]"/>
  </r>
  <r>
    <x v="1"/>
    <s v="343 West Wolf Point Plaza"/>
    <x v="10"/>
    <s v="2707"/>
    <n v="27"/>
    <x v="0"/>
    <n v="1"/>
    <m/>
    <x v="8"/>
    <x v="68"/>
    <x v="144"/>
    <x v="0"/>
    <n v="2"/>
    <n v="2050"/>
    <n v="4.1582150101419879"/>
    <n v="2050"/>
    <n v="4.1582150101419879"/>
    <s v="[]"/>
    <s v="[]"/>
  </r>
  <r>
    <x v="1"/>
    <s v="343 West Wolf Point Plaza"/>
    <x v="10"/>
    <s v="1507"/>
    <n v="15"/>
    <x v="0"/>
    <n v="1"/>
    <m/>
    <x v="8"/>
    <x v="130"/>
    <x v="145"/>
    <x v="0"/>
    <m/>
    <n v="2150"/>
    <n v="4.3610547667342798"/>
    <n v="2150"/>
    <n v="4.3610547667342798"/>
    <s v="[]"/>
    <s v="[]"/>
  </r>
  <r>
    <x v="1"/>
    <s v="343 West Wolf Point Plaza"/>
    <x v="26"/>
    <s v="0207"/>
    <n v="2"/>
    <x v="0"/>
    <n v="1"/>
    <m/>
    <x v="9"/>
    <x v="131"/>
    <x v="146"/>
    <x v="0"/>
    <n v="42"/>
    <n v="2189"/>
    <n v="3.5593495934959352"/>
    <n v="2189"/>
    <n v="3.5593495934959352"/>
    <s v="[West View 2-20]"/>
    <s v="[view.direction view]"/>
  </r>
  <r>
    <x v="1"/>
    <s v="343 West Wolf Point Plaza"/>
    <x v="26"/>
    <m/>
    <m/>
    <x v="0"/>
    <n v="1"/>
    <m/>
    <x v="9"/>
    <x v="132"/>
    <x v="147"/>
    <x v="0"/>
    <n v="54"/>
    <m/>
    <m/>
    <m/>
    <m/>
    <s v="[]"/>
    <s v="[]"/>
  </r>
  <r>
    <x v="1"/>
    <s v="343 West Wolf Point Plaza"/>
    <x v="27"/>
    <s v="4108"/>
    <n v="41"/>
    <x v="0"/>
    <n v="1"/>
    <m/>
    <x v="10"/>
    <x v="7"/>
    <x v="44"/>
    <x v="0"/>
    <n v="2"/>
    <n v="2220"/>
    <n v="3.592233009708738"/>
    <n v="2220"/>
    <n v="3.592233009708738"/>
    <s v="[West View 21-43]"/>
    <s v="[view.direction view]"/>
  </r>
  <r>
    <x v="1"/>
    <s v="343 West Wolf Point Plaza"/>
    <x v="27"/>
    <s v="2608"/>
    <n v="26"/>
    <x v="0"/>
    <n v="1"/>
    <m/>
    <x v="10"/>
    <x v="7"/>
    <x v="148"/>
    <x v="0"/>
    <n v="3"/>
    <n v="2220"/>
    <n v="3.592233009708738"/>
    <n v="2220"/>
    <n v="3.592233009708738"/>
    <s v="[West View 21-43]"/>
    <s v="[view.direction view]"/>
  </r>
  <r>
    <x v="1"/>
    <s v="343 West Wolf Point Plaza"/>
    <x v="27"/>
    <s v="3808"/>
    <n v="38"/>
    <x v="0"/>
    <n v="1"/>
    <m/>
    <x v="10"/>
    <x v="133"/>
    <x v="139"/>
    <x v="0"/>
    <n v="15"/>
    <n v="2242"/>
    <n v="3.6278317152103559"/>
    <n v="2242"/>
    <n v="3.6278317152103559"/>
    <s v="[West View 21-43]"/>
    <s v="[view.direction view]"/>
  </r>
  <r>
    <x v="1"/>
    <s v="343 West Wolf Point Plaza"/>
    <x v="27"/>
    <s v="2008"/>
    <n v="20"/>
    <x v="0"/>
    <n v="1"/>
    <m/>
    <x v="10"/>
    <x v="134"/>
    <x v="139"/>
    <x v="0"/>
    <n v="2"/>
    <n v="2267"/>
    <n v="3.6682847896440132"/>
    <n v="2267"/>
    <n v="3.6682847896440132"/>
    <s v="[West View 2-20]"/>
    <s v="[view.direction view]"/>
  </r>
  <r>
    <x v="1"/>
    <s v="343 West Wolf Point Plaza"/>
    <x v="27"/>
    <s v="1608"/>
    <n v="16"/>
    <x v="0"/>
    <n v="1"/>
    <m/>
    <x v="10"/>
    <x v="135"/>
    <x v="110"/>
    <x v="0"/>
    <n v="54"/>
    <n v="2283"/>
    <n v="3.6941747572815533"/>
    <n v="2283"/>
    <n v="3.6941747572815533"/>
    <s v="[Pantry River West View Walk in Closet Floors 15-18]"/>
    <s v="[walk_in_closet view.direction view]"/>
  </r>
  <r>
    <x v="1"/>
    <s v="343 West Wolf Point Plaza"/>
    <x v="27"/>
    <s v="1008"/>
    <n v="10"/>
    <x v="0"/>
    <n v="1"/>
    <m/>
    <x v="10"/>
    <x v="101"/>
    <x v="40"/>
    <x v="0"/>
    <n v="15"/>
    <n v="2323"/>
    <n v="3.7588996763754046"/>
    <n v="2323"/>
    <n v="3.7588996763754046"/>
    <s v="[West View 2-20]"/>
    <s v="[view.direction view]"/>
  </r>
  <r>
    <x v="1"/>
    <s v="343 West Wolf Point Plaza"/>
    <x v="27"/>
    <s v="3108"/>
    <n v="31"/>
    <x v="0"/>
    <n v="1"/>
    <m/>
    <x v="10"/>
    <x v="89"/>
    <x v="43"/>
    <x v="0"/>
    <n v="2"/>
    <n v="2326"/>
    <n v="3.7637540453074432"/>
    <n v="2326"/>
    <n v="3.7637540453074432"/>
    <s v="[West View 21-43]"/>
    <s v="[view.direction view]"/>
  </r>
  <r>
    <x v="1"/>
    <s v="343 West Wolf Point Plaza"/>
    <x v="27"/>
    <s v="1408"/>
    <n v="14"/>
    <x v="0"/>
    <n v="1"/>
    <m/>
    <x v="10"/>
    <x v="136"/>
    <x v="149"/>
    <x v="0"/>
    <n v="5"/>
    <n v="2357"/>
    <n v="3.8139158576051782"/>
    <n v="2357"/>
    <n v="3.8139158576051782"/>
    <s v="[West View 2-20]"/>
    <s v="[view.direction view]"/>
  </r>
  <r>
    <x v="1"/>
    <s v="343 West Wolf Point Plaza"/>
    <x v="27"/>
    <s v="2108"/>
    <n v="21"/>
    <x v="0"/>
    <n v="1"/>
    <m/>
    <x v="10"/>
    <x v="133"/>
    <x v="150"/>
    <x v="0"/>
    <n v="8"/>
    <n v="2357"/>
    <n v="3.8139158576051782"/>
    <n v="2319"/>
    <n v="3.7524271844660193"/>
    <s v="[West View 21-43]"/>
    <s v="[view.direction view]"/>
  </r>
  <r>
    <x v="1"/>
    <s v="343 West Wolf Point Plaza"/>
    <x v="27"/>
    <s v="4008"/>
    <n v="40"/>
    <x v="0"/>
    <n v="1"/>
    <m/>
    <x v="10"/>
    <x v="137"/>
    <x v="151"/>
    <x v="0"/>
    <n v="40"/>
    <n v="2364"/>
    <n v="3.825242718446602"/>
    <n v="2364"/>
    <n v="3.825242718446602"/>
    <s v="[West View 21-43]"/>
    <s v="[view.direction view]"/>
  </r>
  <r>
    <x v="1"/>
    <s v="343 West Wolf Point Plaza"/>
    <x v="27"/>
    <s v="2208"/>
    <n v="22"/>
    <x v="0"/>
    <n v="1"/>
    <m/>
    <x v="10"/>
    <x v="101"/>
    <x v="49"/>
    <x v="0"/>
    <n v="8"/>
    <n v="2391"/>
    <n v="3.8689320388349513"/>
    <n v="2391"/>
    <n v="3.8689320388349513"/>
    <s v="[West View 21-43]"/>
    <s v="[view.direction view]"/>
  </r>
  <r>
    <x v="1"/>
    <s v="343 West Wolf Point Plaza"/>
    <x v="27"/>
    <s v="3908"/>
    <n v="39"/>
    <x v="0"/>
    <n v="1"/>
    <m/>
    <x v="10"/>
    <x v="101"/>
    <x v="49"/>
    <x v="0"/>
    <n v="8"/>
    <n v="2391"/>
    <n v="3.8689320388349513"/>
    <n v="2391"/>
    <n v="3.8689320388349513"/>
    <s v="[West View 21-43]"/>
    <s v="[view.direction view]"/>
  </r>
  <r>
    <x v="1"/>
    <s v="343 West Wolf Point Plaza"/>
    <x v="27"/>
    <s v="0608"/>
    <n v="6"/>
    <x v="0"/>
    <n v="1"/>
    <m/>
    <x v="10"/>
    <x v="133"/>
    <x v="152"/>
    <x v="0"/>
    <n v="34"/>
    <n v="2401"/>
    <n v="3.8851132686084142"/>
    <n v="2401"/>
    <n v="3.8851132686084142"/>
    <s v="[West View 2-20]"/>
    <s v="[view.direction view]"/>
  </r>
  <r>
    <x v="1"/>
    <s v="343 West Wolf Point Plaza"/>
    <x v="27"/>
    <m/>
    <m/>
    <x v="0"/>
    <n v="1"/>
    <m/>
    <x v="10"/>
    <x v="138"/>
    <x v="62"/>
    <x v="0"/>
    <n v="105"/>
    <m/>
    <m/>
    <m/>
    <m/>
    <s v="[]"/>
    <s v="[]"/>
  </r>
  <r>
    <x v="1"/>
    <s v="343 West Wolf Point Plaza"/>
    <x v="27"/>
    <s v="3608"/>
    <n v="36"/>
    <x v="0"/>
    <n v="1"/>
    <m/>
    <x v="10"/>
    <x v="139"/>
    <x v="153"/>
    <x v="0"/>
    <n v="7"/>
    <n v="2525"/>
    <n v="4.0857605177993523"/>
    <n v="2525"/>
    <n v="4.0857605177993523"/>
    <s v="[West View 21-43]"/>
    <s v="[view.direction view]"/>
  </r>
  <r>
    <x v="1"/>
    <s v="343 West Wolf Point Plaza"/>
    <x v="27"/>
    <s v="1908"/>
    <n v="19"/>
    <x v="0"/>
    <n v="1"/>
    <m/>
    <x v="10"/>
    <x v="99"/>
    <x v="28"/>
    <x v="1"/>
    <m/>
    <n v="2551"/>
    <n v="4.1278317152103563"/>
    <n v="2551"/>
    <n v="4.1278317152103563"/>
    <s v="[Pantry River West View Walk in Closet Floors 19-24]"/>
    <s v="[walk_in_closet view.direction view]"/>
  </r>
  <r>
    <x v="1"/>
    <s v="343 West Wolf Point Plaza"/>
    <x v="27"/>
    <s v="0508"/>
    <n v="5"/>
    <x v="0"/>
    <n v="1"/>
    <m/>
    <x v="10"/>
    <x v="140"/>
    <x v="154"/>
    <x v="0"/>
    <n v="27"/>
    <n v="2622"/>
    <n v="4.2427184466019421"/>
    <n v="2622"/>
    <n v="4.2427184466019421"/>
    <s v="[Floors 5-8 Pantry River West View Walk in Closet]"/>
    <s v="[walk_in_closet view.direction view]"/>
  </r>
  <r>
    <x v="1"/>
    <s v="343 West Wolf Point Plaza"/>
    <x v="27"/>
    <s v="0408"/>
    <n v="4"/>
    <x v="0"/>
    <n v="1"/>
    <m/>
    <x v="10"/>
    <x v="140"/>
    <x v="155"/>
    <x v="0"/>
    <n v="29"/>
    <n v="2675"/>
    <n v="4.3284789644012944"/>
    <n v="2675"/>
    <n v="4.3284789644012944"/>
    <s v="[Floors 2-4 Pantry River West View Walk in Closet Corner]"/>
    <s v="[walk_in_closet view.direction corner_unit view]"/>
  </r>
  <r>
    <x v="1"/>
    <s v="343 West Wolf Point Plaza"/>
    <x v="10"/>
    <s v="2508"/>
    <n v="25"/>
    <x v="0"/>
    <n v="1"/>
    <m/>
    <x v="10"/>
    <x v="141"/>
    <x v="156"/>
    <x v="0"/>
    <n v="4"/>
    <n v="2350"/>
    <n v="3.8025889967637538"/>
    <n v="2350"/>
    <n v="3.8025889967637538"/>
    <s v="[]"/>
    <s v="[]"/>
  </r>
  <r>
    <x v="1"/>
    <s v="343 West Wolf Point Plaza"/>
    <x v="10"/>
    <s v="2408"/>
    <n v="24"/>
    <x v="0"/>
    <n v="1"/>
    <m/>
    <x v="10"/>
    <x v="142"/>
    <x v="157"/>
    <x v="0"/>
    <n v="2"/>
    <n v="2350"/>
    <n v="3.8025889967637538"/>
    <n v="2350"/>
    <n v="3.8025889967637538"/>
    <s v="[]"/>
    <s v="[]"/>
  </r>
  <r>
    <x v="1"/>
    <s v="343 West Wolf Point Plaza"/>
    <x v="10"/>
    <s v="3208"/>
    <n v="32"/>
    <x v="0"/>
    <n v="1"/>
    <m/>
    <x v="10"/>
    <x v="130"/>
    <x v="145"/>
    <x v="0"/>
    <m/>
    <n v="2425"/>
    <n v="3.9239482200647249"/>
    <n v="2425"/>
    <n v="3.9239482200647249"/>
    <s v="[]"/>
    <s v="[]"/>
  </r>
  <r>
    <x v="1"/>
    <s v="343 West Wolf Point Plaza"/>
    <x v="10"/>
    <s v="3708"/>
    <n v="37"/>
    <x v="0"/>
    <n v="1"/>
    <m/>
    <x v="10"/>
    <x v="68"/>
    <x v="59"/>
    <x v="0"/>
    <n v="57"/>
    <n v="2475"/>
    <n v="4.0048543689320386"/>
    <n v="2475"/>
    <n v="4.0048543689320386"/>
    <s v="[]"/>
    <s v="[]"/>
  </r>
  <r>
    <x v="1"/>
    <s v="343 West Wolf Point Plaza"/>
    <x v="27"/>
    <s v="1808"/>
    <n v="18"/>
    <x v="0"/>
    <n v="1"/>
    <m/>
    <x v="10"/>
    <x v="140"/>
    <x v="74"/>
    <x v="0"/>
    <n v="13"/>
    <n v="2585"/>
    <n v="4.1828478964401299"/>
    <n v="2585"/>
    <n v="4.1828478964401299"/>
    <s v="[ADA West View 2-20]"/>
    <s v="[view.direction view]"/>
  </r>
  <r>
    <x v="1"/>
    <s v="343 West Wolf Point Plaza"/>
    <x v="28"/>
    <s v="3001"/>
    <n v="30"/>
    <x v="3"/>
    <n v="1"/>
    <m/>
    <x v="11"/>
    <x v="102"/>
    <x v="136"/>
    <x v="0"/>
    <n v="8"/>
    <n v="2202"/>
    <n v="3.4299065420560746"/>
    <n v="2164"/>
    <n v="3.3707165109034269"/>
    <s v="[East View 2-32]"/>
    <s v="[view.direction view]"/>
  </r>
  <r>
    <x v="1"/>
    <s v="343 West Wolf Point Plaza"/>
    <x v="28"/>
    <s v="3201"/>
    <n v="32"/>
    <x v="0"/>
    <n v="1"/>
    <m/>
    <x v="11"/>
    <x v="135"/>
    <x v="158"/>
    <x v="0"/>
    <n v="6"/>
    <n v="2284"/>
    <n v="3.5576323987538943"/>
    <n v="2284"/>
    <n v="3.5576323987538943"/>
    <s v="[East View 2-32]"/>
    <s v="[view.direction view]"/>
  </r>
  <r>
    <x v="1"/>
    <s v="343 West Wolf Point Plaza"/>
    <x v="28"/>
    <m/>
    <m/>
    <x v="0"/>
    <n v="1"/>
    <m/>
    <x v="11"/>
    <x v="143"/>
    <x v="62"/>
    <x v="0"/>
    <n v="158"/>
    <m/>
    <m/>
    <m/>
    <m/>
    <s v="[]"/>
    <s v="[]"/>
  </r>
  <r>
    <x v="1"/>
    <s v="343 West Wolf Point Plaza"/>
    <x v="28"/>
    <s v="4101"/>
    <n v="41"/>
    <x v="0"/>
    <n v="1"/>
    <m/>
    <x v="11"/>
    <x v="101"/>
    <x v="0"/>
    <x v="0"/>
    <n v="7"/>
    <n v="2370"/>
    <n v="3.6915887850467288"/>
    <n v="2271"/>
    <n v="3.5373831775700935"/>
    <s v="[Best View East View 33-43]"/>
    <s v="[view.direction view]"/>
  </r>
  <r>
    <x v="1"/>
    <s v="343 West Wolf Point Plaza"/>
    <x v="28"/>
    <s v="1001"/>
    <n v="10"/>
    <x v="0"/>
    <n v="1"/>
    <m/>
    <x v="11"/>
    <x v="102"/>
    <x v="159"/>
    <x v="0"/>
    <n v="23"/>
    <n v="2449"/>
    <n v="3.8146417445482865"/>
    <n v="2449"/>
    <n v="3.8146417445482865"/>
    <s v="[East View 2-32]"/>
    <s v="[view.direction view]"/>
  </r>
  <r>
    <x v="1"/>
    <s v="343 West Wolf Point Plaza"/>
    <x v="10"/>
    <s v="1801"/>
    <n v="18"/>
    <x v="0"/>
    <n v="1"/>
    <m/>
    <x v="11"/>
    <x v="144"/>
    <x v="160"/>
    <x v="0"/>
    <n v="5"/>
    <n v="2275"/>
    <n v="3.5436137071651088"/>
    <n v="2275"/>
    <n v="3.5436137071651088"/>
    <s v="[]"/>
    <s v="[]"/>
  </r>
  <r>
    <x v="1"/>
    <s v="343 West Wolf Point Plaza"/>
    <x v="10"/>
    <s v="1601"/>
    <n v="16"/>
    <x v="0"/>
    <n v="1"/>
    <m/>
    <x v="11"/>
    <x v="144"/>
    <x v="161"/>
    <x v="0"/>
    <n v="2"/>
    <n v="2275"/>
    <n v="3.5436137071651088"/>
    <n v="2275"/>
    <n v="3.5436137071651088"/>
    <s v="[]"/>
    <s v="[]"/>
  </r>
  <r>
    <x v="1"/>
    <s v="343 West Wolf Point Plaza"/>
    <x v="10"/>
    <s v="2201"/>
    <n v="22"/>
    <x v="0"/>
    <n v="1"/>
    <m/>
    <x v="11"/>
    <x v="68"/>
    <x v="162"/>
    <x v="0"/>
    <n v="33"/>
    <n v="2295"/>
    <n v="3.5747663551401869"/>
    <n v="2295"/>
    <n v="3.5747663551401869"/>
    <s v="[]"/>
    <s v="[]"/>
  </r>
  <r>
    <x v="1"/>
    <s v="343 West Wolf Point Plaza"/>
    <x v="10"/>
    <s v="3801"/>
    <n v="38"/>
    <x v="0"/>
    <n v="1"/>
    <m/>
    <x v="11"/>
    <x v="145"/>
    <x v="163"/>
    <x v="0"/>
    <n v="9"/>
    <n v="2475"/>
    <n v="3.8551401869158877"/>
    <n v="2475"/>
    <n v="3.8551401869158877"/>
    <s v="[]"/>
    <s v="[]"/>
  </r>
  <r>
    <x v="1"/>
    <s v="343 West Wolf Point Plaza"/>
    <x v="10"/>
    <s v="4001"/>
    <n v="40"/>
    <x v="0"/>
    <n v="1"/>
    <m/>
    <x v="11"/>
    <x v="16"/>
    <x v="164"/>
    <x v="0"/>
    <n v="47"/>
    <n v="2495"/>
    <n v="3.8862928348909658"/>
    <n v="2495"/>
    <n v="3.8862928348909658"/>
    <s v="[]"/>
    <s v="[]"/>
  </r>
  <r>
    <x v="1"/>
    <s v="343 West Wolf Point Plaza"/>
    <x v="29"/>
    <s v="0301"/>
    <n v="3"/>
    <x v="0"/>
    <n v="1"/>
    <m/>
    <x v="12"/>
    <x v="34"/>
    <x v="110"/>
    <x v="0"/>
    <n v="8"/>
    <n v="2132"/>
    <n v="3.3157076205287712"/>
    <n v="2132"/>
    <n v="3.3157076205287712"/>
    <s v="[Floors 2-4 Pantry East View Walk in Closet]"/>
    <s v="[walk_in_closet view.direction view]"/>
  </r>
  <r>
    <x v="1"/>
    <s v="343 West Wolf Point Plaza"/>
    <x v="29"/>
    <m/>
    <m/>
    <x v="0"/>
    <n v="1"/>
    <m/>
    <x v="12"/>
    <x v="80"/>
    <x v="165"/>
    <x v="0"/>
    <n v="20"/>
    <m/>
    <m/>
    <m/>
    <m/>
    <s v="[]"/>
    <s v="[]"/>
  </r>
  <r>
    <x v="1"/>
    <s v="343 West Wolf Point Plaza"/>
    <x v="10"/>
    <s v="401"/>
    <n v="4"/>
    <x v="0"/>
    <n v="1"/>
    <m/>
    <x v="12"/>
    <x v="146"/>
    <x v="166"/>
    <x v="0"/>
    <n v="11"/>
    <n v="2295"/>
    <n v="3.5692068429237946"/>
    <n v="2295"/>
    <n v="3.5692068429237946"/>
    <s v="[]"/>
    <s v="[]"/>
  </r>
  <r>
    <x v="1"/>
    <s v="343 West Wolf Point Plaza"/>
    <x v="27"/>
    <s v="2908"/>
    <n v="29"/>
    <x v="0"/>
    <n v="1"/>
    <m/>
    <x v="13"/>
    <x v="147"/>
    <x v="167"/>
    <x v="0"/>
    <n v="3"/>
    <n v="2487"/>
    <m/>
    <n v="2487"/>
    <m/>
    <s v="[West View 21-43]"/>
    <s v="[view.direction view]"/>
  </r>
  <r>
    <x v="1"/>
    <s v="343 West Wolf Point Plaza"/>
    <x v="27"/>
    <s v="0308"/>
    <n v="3"/>
    <x v="0"/>
    <n v="1"/>
    <m/>
    <x v="13"/>
    <x v="148"/>
    <x v="28"/>
    <x v="1"/>
    <m/>
    <n v="2536"/>
    <m/>
    <n v="2536"/>
    <m/>
    <s v="[Floors 2-4 Pantry River West View Walk in Closet ADA Corner]"/>
    <s v="[walk_in_closet view.direction corner_unit view]"/>
  </r>
  <r>
    <x v="1"/>
    <s v="343 West Wolf Point Plaza"/>
    <x v="27"/>
    <s v="3308"/>
    <n v="33"/>
    <x v="0"/>
    <n v="1"/>
    <m/>
    <x v="13"/>
    <x v="149"/>
    <x v="28"/>
    <x v="1"/>
    <m/>
    <n v="2576"/>
    <m/>
    <n v="2576"/>
    <m/>
    <s v="[Floors 29-34 Pantry River West View Walk in Closet]"/>
    <s v="[walk_in_closet view.direction view]"/>
  </r>
  <r>
    <x v="1"/>
    <s v="343 West Wolf Point Plaza"/>
    <x v="30"/>
    <m/>
    <m/>
    <x v="1"/>
    <n v="1"/>
    <n v="1"/>
    <x v="14"/>
    <x v="75"/>
    <x v="168"/>
    <x v="0"/>
    <n v="62"/>
    <m/>
    <m/>
    <m/>
    <m/>
    <s v="[]"/>
    <s v="[]"/>
  </r>
  <r>
    <x v="1"/>
    <s v="343 West Wolf Point Plaza"/>
    <x v="30"/>
    <s v="4405"/>
    <n v="44"/>
    <x v="1"/>
    <n v="1"/>
    <n v="1"/>
    <x v="14"/>
    <x v="7"/>
    <x v="169"/>
    <x v="0"/>
    <n v="53"/>
    <n v="3439"/>
    <n v="3.8211111111111111"/>
    <n v="3389"/>
    <n v="3.7655555555555558"/>
    <s v="[West View 21-43 Stand Up Shower Penthouse]"/>
    <s v="[floor view.direction floor.penthouse view]"/>
  </r>
  <r>
    <x v="1"/>
    <s v="343 West Wolf Point Plaza"/>
    <x v="10"/>
    <s v="4305"/>
    <n v="43"/>
    <x v="1"/>
    <n v="1"/>
    <n v="1"/>
    <x v="14"/>
    <x v="145"/>
    <x v="35"/>
    <x v="0"/>
    <n v="105"/>
    <n v="3570"/>
    <n v="3.9666666666666668"/>
    <n v="3570"/>
    <n v="3.9666666666666668"/>
    <s v="[]"/>
    <s v="[]"/>
  </r>
  <r>
    <x v="1"/>
    <s v="343 West Wolf Point Plaza"/>
    <x v="31"/>
    <s v="4501"/>
    <n v="45"/>
    <x v="1"/>
    <n v="1"/>
    <n v="1"/>
    <x v="15"/>
    <x v="32"/>
    <x v="76"/>
    <x v="0"/>
    <n v="6"/>
    <n v="3809"/>
    <n v="3.5268518518518519"/>
    <n v="3809"/>
    <n v="3.5268518518518519"/>
    <s v="[Floors 43-45 High Ceilings (Floors 43-45) Penthouse Terrace Linen Closet Penthouse Package (43-45) Sales Force Tower Walk in Closet Stand Up Shower Balcony East View Double Linen Closet Double Sink]"/>
    <s v="[floor.penthouse walk_in_closet balcony_patio view floor view.direction]"/>
  </r>
  <r>
    <x v="1"/>
    <s v="343 West Wolf Point Plaza"/>
    <x v="32"/>
    <m/>
    <m/>
    <x v="1"/>
    <n v="1"/>
    <m/>
    <x v="16"/>
    <x v="75"/>
    <x v="62"/>
    <x v="0"/>
    <n v="162"/>
    <m/>
    <m/>
    <m/>
    <m/>
    <s v="[]"/>
    <s v="[]"/>
  </r>
  <r>
    <x v="1"/>
    <s v="343 West Wolf Point Plaza"/>
    <x v="32"/>
    <s v="3312"/>
    <n v="33"/>
    <x v="1"/>
    <n v="1"/>
    <m/>
    <x v="16"/>
    <x v="150"/>
    <x v="112"/>
    <x v="0"/>
    <n v="104"/>
    <n v="2553"/>
    <n v="3.7654867256637168"/>
    <n v="2553"/>
    <n v="3.7654867256637168"/>
    <s v="[Best View East View 33-43]"/>
    <s v="[view.direction view]"/>
  </r>
  <r>
    <x v="1"/>
    <s v="343 West Wolf Point Plaza"/>
    <x v="32"/>
    <s v="3012"/>
    <n v="30"/>
    <x v="1"/>
    <n v="1"/>
    <m/>
    <x v="16"/>
    <x v="151"/>
    <x v="170"/>
    <x v="0"/>
    <n v="27"/>
    <n v="2555"/>
    <n v="3.7684365781710913"/>
    <n v="2555"/>
    <n v="3.7684365781710913"/>
    <s v="[East View 2-32]"/>
    <s v="[view.direction view]"/>
  </r>
  <r>
    <x v="1"/>
    <s v="343 West Wolf Point Plaza"/>
    <x v="33"/>
    <m/>
    <m/>
    <x v="1"/>
    <n v="1"/>
    <m/>
    <x v="16"/>
    <x v="98"/>
    <x v="62"/>
    <x v="0"/>
    <n v="91"/>
    <m/>
    <m/>
    <m/>
    <m/>
    <s v="[]"/>
    <s v="[]"/>
  </r>
  <r>
    <x v="1"/>
    <s v="343 West Wolf Point Plaza"/>
    <x v="33"/>
    <s v="0806"/>
    <n v="8"/>
    <x v="1"/>
    <n v="1"/>
    <m/>
    <x v="16"/>
    <x v="101"/>
    <x v="171"/>
    <x v="0"/>
    <n v="2"/>
    <n v="2567"/>
    <n v="3.7861356932153392"/>
    <n v="2396"/>
    <n v="3.5339233038348081"/>
    <s v="[West View 2-20 Linen Closet Balcony]"/>
    <s v="[view.direction view balcony_patio]"/>
  </r>
  <r>
    <x v="1"/>
    <s v="343 West Wolf Point Plaza"/>
    <x v="33"/>
    <s v="2406"/>
    <n v="24"/>
    <x v="1"/>
    <n v="1"/>
    <m/>
    <x v="16"/>
    <x v="152"/>
    <x v="172"/>
    <x v="0"/>
    <n v="93"/>
    <n v="2570"/>
    <n v="3.7905604719764012"/>
    <n v="2570"/>
    <n v="3.7905604719764012"/>
    <s v="[Linen Closet West View 21-43 Balcony]"/>
    <s v="[view.direction view balcony_patio]"/>
  </r>
  <r>
    <x v="1"/>
    <s v="343 West Wolf Point Plaza"/>
    <x v="33"/>
    <s v="1506"/>
    <n v="15"/>
    <x v="1"/>
    <n v="1"/>
    <m/>
    <x v="16"/>
    <x v="101"/>
    <x v="0"/>
    <x v="0"/>
    <n v="7"/>
    <n v="2607"/>
    <n v="3.8451327433628317"/>
    <n v="2520"/>
    <n v="3.7168141592920354"/>
    <s v="[West View 2-20 ADA Linen Closet Balcony]"/>
    <s v="[view.direction view balcony_patio]"/>
  </r>
  <r>
    <x v="1"/>
    <s v="343 West Wolf Point Plaza"/>
    <x v="32"/>
    <s v="1612"/>
    <n v="16"/>
    <x v="1"/>
    <n v="1"/>
    <m/>
    <x v="16"/>
    <x v="101"/>
    <x v="102"/>
    <x v="0"/>
    <n v="10"/>
    <n v="2610"/>
    <n v="3.8495575221238938"/>
    <n v="2392"/>
    <n v="3.528023598820059"/>
    <s v="[East View 2-32]"/>
    <s v="[view.direction view]"/>
  </r>
  <r>
    <x v="1"/>
    <s v="343 West Wolf Point Plaza"/>
    <x v="32"/>
    <s v="2012"/>
    <n v="20"/>
    <x v="1"/>
    <n v="1"/>
    <m/>
    <x v="16"/>
    <x v="101"/>
    <x v="102"/>
    <x v="0"/>
    <n v="10"/>
    <n v="2610"/>
    <n v="3.8495575221238938"/>
    <n v="2392"/>
    <n v="3.528023598820059"/>
    <s v="[East View 2-32]"/>
    <s v="[view.direction view]"/>
  </r>
  <r>
    <x v="1"/>
    <s v="343 West Wolf Point Plaza"/>
    <x v="32"/>
    <s v="2812"/>
    <n v="28"/>
    <x v="1"/>
    <n v="1"/>
    <m/>
    <x v="16"/>
    <x v="101"/>
    <x v="102"/>
    <x v="0"/>
    <n v="10"/>
    <n v="2610"/>
    <n v="3.8495575221238938"/>
    <n v="2392"/>
    <n v="3.528023598820059"/>
    <s v="[East View 2-32]"/>
    <s v="[view.direction view]"/>
  </r>
  <r>
    <x v="1"/>
    <s v="343 West Wolf Point Plaza"/>
    <x v="32"/>
    <s v="1212"/>
    <n v="12"/>
    <x v="1"/>
    <n v="1"/>
    <m/>
    <x v="16"/>
    <x v="4"/>
    <x v="14"/>
    <x v="0"/>
    <n v="2"/>
    <n v="2617"/>
    <n v="3.859882005899705"/>
    <n v="2399"/>
    <n v="3.5383480825958702"/>
    <s v="[East View 2-32]"/>
    <s v="[view.direction view]"/>
  </r>
  <r>
    <x v="1"/>
    <s v="343 West Wolf Point Plaza"/>
    <x v="32"/>
    <s v="3612"/>
    <n v="36"/>
    <x v="1"/>
    <n v="1"/>
    <m/>
    <x v="16"/>
    <x v="153"/>
    <x v="19"/>
    <x v="0"/>
    <n v="115"/>
    <n v="2619"/>
    <n v="3.8628318584070795"/>
    <n v="2619"/>
    <n v="3.8628318584070795"/>
    <s v="[Best View East View 33-43]"/>
    <s v="[view.direction view]"/>
  </r>
  <r>
    <x v="1"/>
    <s v="343 West Wolf Point Plaza"/>
    <x v="32"/>
    <s v="1112"/>
    <n v="11"/>
    <x v="1"/>
    <n v="1"/>
    <m/>
    <x v="16"/>
    <x v="154"/>
    <x v="4"/>
    <x v="0"/>
    <n v="5"/>
    <n v="2637"/>
    <n v="3.8893805309734515"/>
    <n v="2472"/>
    <n v="3.6460176991150441"/>
    <s v="[East View 2-32]"/>
    <s v="[view.direction view]"/>
  </r>
  <r>
    <x v="1"/>
    <s v="343 West Wolf Point Plaza"/>
    <x v="33"/>
    <s v="3606"/>
    <n v="36"/>
    <x v="1"/>
    <n v="1"/>
    <m/>
    <x v="16"/>
    <x v="155"/>
    <x v="173"/>
    <x v="0"/>
    <n v="9"/>
    <n v="2655"/>
    <n v="3.915929203539823"/>
    <n v="2655"/>
    <n v="3.915929203539823"/>
    <s v="[Linen Closet West View 21-43 Balcony]"/>
    <s v="[view.direction view balcony_patio]"/>
  </r>
  <r>
    <x v="1"/>
    <s v="343 West Wolf Point Plaza"/>
    <x v="33"/>
    <s v="1306"/>
    <n v="13"/>
    <x v="1"/>
    <n v="1"/>
    <m/>
    <x v="16"/>
    <x v="156"/>
    <x v="45"/>
    <x v="0"/>
    <n v="28"/>
    <n v="2729"/>
    <n v="4.0250737463126844"/>
    <n v="2729"/>
    <n v="4.0250737463126844"/>
    <s v="[ADA Linen Closet West View 2-20 Balcony]"/>
    <s v="[view.direction view balcony_patio]"/>
  </r>
  <r>
    <x v="1"/>
    <s v="343 West Wolf Point Plaza"/>
    <x v="33"/>
    <s v="1906"/>
    <n v="19"/>
    <x v="1"/>
    <n v="1"/>
    <m/>
    <x v="16"/>
    <x v="157"/>
    <x v="174"/>
    <x v="0"/>
    <n v="58"/>
    <n v="2752"/>
    <n v="4.058997050147493"/>
    <n v="2752"/>
    <n v="4.058997050147493"/>
    <s v="[ADA Linen Closet West View 2-20 Balcony]"/>
    <s v="[view.direction view balcony_patio]"/>
  </r>
  <r>
    <x v="1"/>
    <s v="343 West Wolf Point Plaza"/>
    <x v="33"/>
    <s v="0706"/>
    <n v="7"/>
    <x v="1"/>
    <n v="1"/>
    <m/>
    <x v="16"/>
    <x v="158"/>
    <x v="113"/>
    <x v="0"/>
    <n v="129"/>
    <n v="2756"/>
    <n v="4.0648967551622421"/>
    <n v="2756"/>
    <n v="4.0648967551622421"/>
    <s v="[ADA Linen Closet West View 2-20 Balcony]"/>
    <s v="[view.direction view balcony_patio]"/>
  </r>
  <r>
    <x v="1"/>
    <s v="343 West Wolf Point Plaza"/>
    <x v="32"/>
    <s v="3712"/>
    <n v="37"/>
    <x v="1"/>
    <n v="1"/>
    <m/>
    <x v="16"/>
    <x v="159"/>
    <x v="175"/>
    <x v="0"/>
    <n v="24"/>
    <n v="2854"/>
    <n v="4.2094395280235988"/>
    <n v="2854"/>
    <n v="4.2094395280235988"/>
    <s v="[Best View East View 33-43]"/>
    <s v="[view.direction view]"/>
  </r>
  <r>
    <x v="1"/>
    <s v="343 West Wolf Point Plaza"/>
    <x v="33"/>
    <s v="1006"/>
    <n v="10"/>
    <x v="1"/>
    <n v="1"/>
    <m/>
    <x v="16"/>
    <x v="160"/>
    <x v="176"/>
    <x v="0"/>
    <n v="69"/>
    <n v="2858"/>
    <n v="4.2153392330383479"/>
    <n v="2858"/>
    <n v="4.2153392330383479"/>
    <s v="[Linen Closet Balcony West View 2-20]"/>
    <s v="[view view.direction balcony_patio]"/>
  </r>
  <r>
    <x v="1"/>
    <s v="343 West Wolf Point Plaza"/>
    <x v="32"/>
    <s v="0912"/>
    <n v="9"/>
    <x v="1"/>
    <n v="1"/>
    <m/>
    <x v="16"/>
    <x v="150"/>
    <x v="86"/>
    <x v="0"/>
    <n v="37"/>
    <n v="2887"/>
    <n v="4.2581120943952806"/>
    <n v="2887"/>
    <n v="4.2581120943952806"/>
    <s v="[East View 2-32]"/>
    <s v="[view.direction view]"/>
  </r>
  <r>
    <x v="1"/>
    <s v="343 West Wolf Point Plaza"/>
    <x v="32"/>
    <s v="3412"/>
    <n v="34"/>
    <x v="1"/>
    <n v="1"/>
    <m/>
    <x v="16"/>
    <x v="105"/>
    <x v="28"/>
    <x v="1"/>
    <m/>
    <n v="2915"/>
    <n v="4.2994100294985254"/>
    <n v="2915"/>
    <n v="4.2994100294985254"/>
    <s v="[Floors 29-34 Pantry East View]"/>
    <s v="[view.direction view]"/>
  </r>
  <r>
    <x v="1"/>
    <s v="343 West Wolf Point Plaza"/>
    <x v="32"/>
    <s v="3812"/>
    <n v="38"/>
    <x v="1"/>
    <n v="1"/>
    <m/>
    <x v="16"/>
    <x v="161"/>
    <x v="28"/>
    <x v="1"/>
    <m/>
    <n v="3004"/>
    <n v="4.4306784660766958"/>
    <n v="3004"/>
    <n v="4.4306784660766958"/>
    <s v="[Floors 35-38 Pantry East View]"/>
    <s v="[view.direction view]"/>
  </r>
  <r>
    <x v="1"/>
    <s v="343 West Wolf Point Plaza"/>
    <x v="32"/>
    <s v="2412"/>
    <n v="24"/>
    <x v="1"/>
    <n v="1"/>
    <m/>
    <x v="16"/>
    <x v="162"/>
    <x v="28"/>
    <x v="1"/>
    <m/>
    <n v="3006"/>
    <n v="4.4336283185840708"/>
    <n v="3006"/>
    <n v="4.4336283185840708"/>
    <s v="[Pantry East View Floors 19-24]"/>
    <s v="[view.direction view]"/>
  </r>
  <r>
    <x v="1"/>
    <s v="343 West Wolf Point Plaza"/>
    <x v="33"/>
    <s v="3506"/>
    <n v="35"/>
    <x v="1"/>
    <n v="1"/>
    <m/>
    <x v="16"/>
    <x v="163"/>
    <x v="137"/>
    <x v="0"/>
    <n v="31"/>
    <n v="3174"/>
    <n v="4.6814159292035402"/>
    <n v="3174"/>
    <n v="4.6814159292035402"/>
    <s v="[Pantry Linen Closet River West View Walk in Closet Floors 35-38 Balcony]"/>
    <s v="[walk_in_closet view.direction view balcony_patio]"/>
  </r>
  <r>
    <x v="1"/>
    <s v="343 West Wolf Point Plaza"/>
    <x v="33"/>
    <s v="3206"/>
    <n v="32"/>
    <x v="1"/>
    <n v="1"/>
    <m/>
    <x v="16"/>
    <x v="163"/>
    <x v="28"/>
    <x v="1"/>
    <m/>
    <n v="3189"/>
    <n v="4.7035398230088497"/>
    <n v="3189"/>
    <n v="4.7035398230088497"/>
    <s v="[Floors 29-34 Pantry Linen Closet River West View Walk in Closet Balcony ADA]"/>
    <s v="[walk_in_closet view.direction view balcony_patio]"/>
  </r>
  <r>
    <x v="1"/>
    <s v="343 West Wolf Point Plaza"/>
    <x v="10"/>
    <s v="512"/>
    <n v="5"/>
    <x v="1"/>
    <n v="1"/>
    <m/>
    <x v="16"/>
    <x v="164"/>
    <x v="177"/>
    <x v="0"/>
    <n v="6"/>
    <n v="2425"/>
    <n v="3.5766961651917404"/>
    <n v="2425"/>
    <n v="3.5766961651917404"/>
    <s v="[]"/>
    <s v="[]"/>
  </r>
  <r>
    <x v="1"/>
    <s v="343 West Wolf Point Plaza"/>
    <x v="10"/>
    <s v="1012"/>
    <n v="10"/>
    <x v="1"/>
    <n v="1"/>
    <m/>
    <x v="16"/>
    <x v="25"/>
    <x v="178"/>
    <x v="0"/>
    <n v="5"/>
    <n v="2450"/>
    <n v="3.6135693215339235"/>
    <n v="2450"/>
    <n v="3.6135693215339235"/>
    <s v="[]"/>
    <s v="[]"/>
  </r>
  <r>
    <x v="1"/>
    <s v="343 West Wolf Point Plaza"/>
    <x v="10"/>
    <s v="1312"/>
    <n v="13"/>
    <x v="1"/>
    <n v="1"/>
    <m/>
    <x v="16"/>
    <x v="165"/>
    <x v="179"/>
    <x v="0"/>
    <n v="31"/>
    <n v="2475"/>
    <n v="3.6504424778761062"/>
    <n v="2475"/>
    <n v="3.6504424778761062"/>
    <s v="[]"/>
    <s v="[]"/>
  </r>
  <r>
    <x v="1"/>
    <s v="343 West Wolf Point Plaza"/>
    <x v="10"/>
    <s v="2112"/>
    <n v="21"/>
    <x v="1"/>
    <n v="1"/>
    <m/>
    <x v="16"/>
    <x v="166"/>
    <x v="180"/>
    <x v="0"/>
    <n v="61"/>
    <n v="2595"/>
    <n v="3.8274336283185839"/>
    <n v="2595"/>
    <n v="3.8274336283185839"/>
    <s v="[]"/>
    <s v="[]"/>
  </r>
  <r>
    <x v="1"/>
    <s v="343 West Wolf Point Plaza"/>
    <x v="10"/>
    <s v="606"/>
    <n v="6"/>
    <x v="1"/>
    <n v="1"/>
    <m/>
    <x v="16"/>
    <x v="167"/>
    <x v="181"/>
    <x v="0"/>
    <n v="41"/>
    <n v="2650"/>
    <n v="3.9085545722713864"/>
    <n v="2650"/>
    <n v="3.9085545722713864"/>
    <s v="[]"/>
    <s v="[]"/>
  </r>
  <r>
    <x v="1"/>
    <s v="343 West Wolf Point Plaza"/>
    <x v="10"/>
    <s v="2512 - 3"/>
    <n v="25"/>
    <x v="1"/>
    <n v="1"/>
    <m/>
    <x v="16"/>
    <x v="168"/>
    <x v="182"/>
    <x v="0"/>
    <n v="8"/>
    <n v="2725"/>
    <n v="4.0191740412979353"/>
    <n v="2725"/>
    <n v="4.0191740412979353"/>
    <s v="[]"/>
    <s v="[]"/>
  </r>
  <r>
    <x v="1"/>
    <s v="343 West Wolf Point Plaza"/>
    <x v="10"/>
    <s v="2506 - 3"/>
    <n v="25"/>
    <x v="1"/>
    <n v="1"/>
    <m/>
    <x v="16"/>
    <x v="145"/>
    <x v="181"/>
    <x v="0"/>
    <n v="10"/>
    <n v="2725"/>
    <n v="4.0191740412979353"/>
    <n v="2725"/>
    <n v="4.0191740412979353"/>
    <s v="[]"/>
    <s v="[]"/>
  </r>
  <r>
    <x v="1"/>
    <s v="343 West Wolf Point Plaza"/>
    <x v="10"/>
    <s v="2512"/>
    <n v="25"/>
    <x v="1"/>
    <n v="1"/>
    <m/>
    <x v="16"/>
    <x v="169"/>
    <x v="183"/>
    <x v="0"/>
    <n v="57"/>
    <n v="2725"/>
    <n v="4.0191740412979353"/>
    <n v="2725"/>
    <n v="4.0191740412979353"/>
    <s v="[]"/>
    <s v="[]"/>
  </r>
  <r>
    <x v="1"/>
    <s v="343 West Wolf Point Plaza"/>
    <x v="10"/>
    <s v="2512 - 1"/>
    <n v="25"/>
    <x v="1"/>
    <n v="1"/>
    <m/>
    <x v="16"/>
    <x v="170"/>
    <x v="184"/>
    <x v="0"/>
    <n v="13"/>
    <n v="2725"/>
    <n v="4.0191740412979353"/>
    <n v="2725"/>
    <n v="4.0191740412979353"/>
    <s v="[]"/>
    <s v="[]"/>
  </r>
  <r>
    <x v="1"/>
    <s v="343 West Wolf Point Plaza"/>
    <x v="10"/>
    <s v="2512 - 2"/>
    <n v="25"/>
    <x v="1"/>
    <n v="1"/>
    <m/>
    <x v="16"/>
    <x v="170"/>
    <x v="184"/>
    <x v="0"/>
    <n v="13"/>
    <n v="2725"/>
    <n v="4.0191740412979353"/>
    <n v="2725"/>
    <n v="4.0191740412979353"/>
    <s v="[]"/>
    <s v="[]"/>
  </r>
  <r>
    <x v="1"/>
    <s v="343 West Wolf Point Plaza"/>
    <x v="10"/>
    <s v="2512 - 8"/>
    <n v="25"/>
    <x v="1"/>
    <n v="1"/>
    <m/>
    <x v="16"/>
    <x v="145"/>
    <x v="181"/>
    <x v="0"/>
    <n v="10"/>
    <n v="2725"/>
    <n v="4.0191740412979353"/>
    <n v="2725"/>
    <n v="4.0191740412979353"/>
    <s v="[]"/>
    <s v="[]"/>
  </r>
  <r>
    <x v="1"/>
    <s v="343 West Wolf Point Plaza"/>
    <x v="10"/>
    <s v="2512 - 4"/>
    <n v="25"/>
    <x v="1"/>
    <n v="1"/>
    <m/>
    <x v="16"/>
    <x v="168"/>
    <x v="182"/>
    <x v="0"/>
    <n v="8"/>
    <n v="2725"/>
    <n v="4.0191740412979353"/>
    <n v="2725"/>
    <n v="4.0191740412979353"/>
    <s v="[]"/>
    <s v="[]"/>
  </r>
  <r>
    <x v="1"/>
    <s v="343 West Wolf Point Plaza"/>
    <x v="10"/>
    <s v="2512 - 5"/>
    <n v="25"/>
    <x v="1"/>
    <n v="1"/>
    <m/>
    <x v="16"/>
    <x v="171"/>
    <x v="185"/>
    <x v="0"/>
    <n v="3"/>
    <n v="2725"/>
    <n v="4.0191740412979353"/>
    <n v="2725"/>
    <n v="4.0191740412979353"/>
    <s v="[]"/>
    <s v="[]"/>
  </r>
  <r>
    <x v="1"/>
    <s v="343 West Wolf Point Plaza"/>
    <x v="10"/>
    <s v="2512 - 7"/>
    <n v="25"/>
    <x v="1"/>
    <n v="1"/>
    <m/>
    <x v="16"/>
    <x v="145"/>
    <x v="181"/>
    <x v="0"/>
    <n v="10"/>
    <n v="2725"/>
    <n v="4.0191740412979353"/>
    <n v="2725"/>
    <n v="4.0191740412979353"/>
    <s v="[]"/>
    <s v="[]"/>
  </r>
  <r>
    <x v="1"/>
    <s v="343 West Wolf Point Plaza"/>
    <x v="10"/>
    <s v="2512 - 6"/>
    <n v="25"/>
    <x v="1"/>
    <n v="1"/>
    <m/>
    <x v="16"/>
    <x v="171"/>
    <x v="185"/>
    <x v="0"/>
    <n v="3"/>
    <n v="2725"/>
    <n v="4.0191740412979353"/>
    <n v="2725"/>
    <n v="4.0191740412979353"/>
    <s v="[]"/>
    <s v="[]"/>
  </r>
  <r>
    <x v="1"/>
    <s v="343 West Wolf Point Plaza"/>
    <x v="10"/>
    <s v="3406"/>
    <n v="34"/>
    <x v="1"/>
    <n v="1"/>
    <m/>
    <x v="16"/>
    <x v="172"/>
    <x v="186"/>
    <x v="0"/>
    <n v="59"/>
    <n v="2750"/>
    <n v="4.056047197640118"/>
    <n v="2750"/>
    <n v="4.056047197640118"/>
    <s v="[]"/>
    <s v="[]"/>
  </r>
  <r>
    <x v="1"/>
    <s v="343 West Wolf Point Plaza"/>
    <x v="10"/>
    <s v="3406 - 6"/>
    <n v="34"/>
    <x v="1"/>
    <n v="1"/>
    <m/>
    <x v="16"/>
    <x v="145"/>
    <x v="187"/>
    <x v="0"/>
    <n v="6"/>
    <n v="2750"/>
    <n v="4.056047197640118"/>
    <n v="2750"/>
    <n v="4.056047197640118"/>
    <s v="[]"/>
    <s v="[]"/>
  </r>
  <r>
    <x v="1"/>
    <s v="343 West Wolf Point Plaza"/>
    <x v="10"/>
    <s v="3406 - 4"/>
    <n v="34"/>
    <x v="1"/>
    <n v="1"/>
    <m/>
    <x v="16"/>
    <x v="173"/>
    <x v="185"/>
    <x v="0"/>
    <n v="7"/>
    <n v="2750"/>
    <n v="4.056047197640118"/>
    <n v="2750"/>
    <n v="4.056047197640118"/>
    <s v="[]"/>
    <s v="[]"/>
  </r>
  <r>
    <x v="1"/>
    <s v="343 West Wolf Point Plaza"/>
    <x v="10"/>
    <s v="3406 - 3"/>
    <m/>
    <x v="1"/>
    <n v="1"/>
    <m/>
    <x v="16"/>
    <x v="173"/>
    <x v="185"/>
    <x v="0"/>
    <n v="7"/>
    <n v="2750"/>
    <n v="4.056047197640118"/>
    <n v="2750"/>
    <n v="4.056047197640118"/>
    <s v="[]"/>
    <s v="[]"/>
  </r>
  <r>
    <x v="1"/>
    <s v="343 West Wolf Point Plaza"/>
    <x v="10"/>
    <s v="3406 - 5"/>
    <n v="34"/>
    <x v="1"/>
    <n v="1"/>
    <m/>
    <x v="16"/>
    <x v="145"/>
    <x v="181"/>
    <x v="0"/>
    <n v="10"/>
    <n v="2750"/>
    <n v="4.056047197640118"/>
    <n v="2750"/>
    <n v="4.056047197640118"/>
    <s v="[]"/>
    <s v="[]"/>
  </r>
  <r>
    <x v="1"/>
    <s v="343 West Wolf Point Plaza"/>
    <x v="10"/>
    <s v="2506"/>
    <n v="25"/>
    <x v="1"/>
    <n v="1"/>
    <m/>
    <x v="16"/>
    <x v="25"/>
    <x v="186"/>
    <x v="0"/>
    <n v="55"/>
    <n v="2795"/>
    <n v="4.1224188790560472"/>
    <n v="2795"/>
    <n v="4.1224188790560472"/>
    <s v="[]"/>
    <s v="[]"/>
  </r>
  <r>
    <x v="1"/>
    <s v="343 West Wolf Point Plaza"/>
    <x v="10"/>
    <s v="2506 - 5"/>
    <n v="25"/>
    <x v="1"/>
    <n v="1"/>
    <m/>
    <x v="16"/>
    <x v="173"/>
    <x v="188"/>
    <x v="0"/>
    <n v="3"/>
    <n v="2795"/>
    <n v="4.1224188790560472"/>
    <n v="2795"/>
    <n v="4.1224188790560472"/>
    <s v="[]"/>
    <s v="[]"/>
  </r>
  <r>
    <x v="1"/>
    <s v="343 West Wolf Point Plaza"/>
    <x v="10"/>
    <s v="2506 - 6"/>
    <n v="25"/>
    <x v="1"/>
    <n v="1"/>
    <m/>
    <x v="16"/>
    <x v="173"/>
    <x v="181"/>
    <x v="0"/>
    <n v="5"/>
    <n v="2795"/>
    <n v="4.1224188790560472"/>
    <n v="2795"/>
    <n v="4.1224188790560472"/>
    <s v="[]"/>
    <s v="[]"/>
  </r>
  <r>
    <x v="1"/>
    <s v="343 West Wolf Point Plaza"/>
    <x v="10"/>
    <s v="4212"/>
    <n v="42"/>
    <x v="1"/>
    <n v="1"/>
    <m/>
    <x v="16"/>
    <x v="68"/>
    <x v="189"/>
    <x v="0"/>
    <n v="19"/>
    <n v="2795"/>
    <n v="4.1224188790560472"/>
    <n v="2795"/>
    <n v="4.1224188790560472"/>
    <s v="[]"/>
    <s v="[]"/>
  </r>
  <r>
    <x v="1"/>
    <s v="343 West Wolf Point Plaza"/>
    <x v="10"/>
    <s v="2506 - 4"/>
    <n v="25"/>
    <x v="1"/>
    <n v="1"/>
    <m/>
    <x v="16"/>
    <x v="145"/>
    <x v="187"/>
    <x v="0"/>
    <n v="6"/>
    <n v="2795"/>
    <n v="4.1224188790560472"/>
    <n v="2795"/>
    <n v="4.1224188790560472"/>
    <s v="[]"/>
    <s v="[]"/>
  </r>
  <r>
    <x v="1"/>
    <s v="343 West Wolf Point Plaza"/>
    <x v="10"/>
    <s v="4006"/>
    <n v="40"/>
    <x v="1"/>
    <n v="1"/>
    <m/>
    <x v="16"/>
    <x v="130"/>
    <x v="156"/>
    <x v="0"/>
    <m/>
    <n v="2795"/>
    <n v="4.1224188790560472"/>
    <n v="2795"/>
    <n v="4.1224188790560472"/>
    <s v="[]"/>
    <s v="[]"/>
  </r>
  <r>
    <x v="1"/>
    <s v="343 West Wolf Point Plaza"/>
    <x v="10"/>
    <s v="1806"/>
    <n v="18"/>
    <x v="1"/>
    <n v="1"/>
    <m/>
    <x v="16"/>
    <x v="141"/>
    <x v="190"/>
    <x v="0"/>
    <n v="24"/>
    <n v="2795"/>
    <n v="4.1224188790560472"/>
    <n v="2795"/>
    <n v="4.1224188790560472"/>
    <s v="[]"/>
    <s v="[]"/>
  </r>
  <r>
    <x v="1"/>
    <s v="343 West Wolf Point Plaza"/>
    <x v="10"/>
    <s v="2206"/>
    <n v="22"/>
    <x v="1"/>
    <n v="1"/>
    <m/>
    <x v="16"/>
    <x v="130"/>
    <x v="143"/>
    <x v="0"/>
    <m/>
    <n v="2875"/>
    <n v="4.2404129793510323"/>
    <n v="2875"/>
    <n v="4.2404129793510323"/>
    <s v="[]"/>
    <s v="[]"/>
  </r>
  <r>
    <x v="1"/>
    <s v="343 West Wolf Point Plaza"/>
    <x v="34"/>
    <s v="0303"/>
    <n v="3"/>
    <x v="1"/>
    <n v="1"/>
    <m/>
    <x v="17"/>
    <x v="128"/>
    <x v="172"/>
    <x v="0"/>
    <n v="100"/>
    <n v="2359"/>
    <n v="3.4538799414348462"/>
    <n v="2359"/>
    <n v="3.4538799414348462"/>
    <s v="[Stand Up Shower Linen Closet East View 2-32 Balcony]"/>
    <s v="[view.direction view balcony_patio]"/>
  </r>
  <r>
    <x v="1"/>
    <s v="343 West Wolf Point Plaza"/>
    <x v="10"/>
    <s v="203"/>
    <n v="2"/>
    <x v="1"/>
    <n v="1"/>
    <m/>
    <x v="17"/>
    <x v="144"/>
    <x v="191"/>
    <x v="0"/>
    <n v="8"/>
    <n v="2550"/>
    <n v="3.7335285505124451"/>
    <n v="2550"/>
    <n v="3.7335285505124451"/>
    <s v="[]"/>
    <s v="[]"/>
  </r>
  <r>
    <x v="1"/>
    <s v="343 West Wolf Point Plaza"/>
    <x v="35"/>
    <s v="2002"/>
    <n v="20"/>
    <x v="1"/>
    <n v="1"/>
    <m/>
    <x v="18"/>
    <x v="174"/>
    <x v="112"/>
    <x v="0"/>
    <n v="125"/>
    <n v="2417"/>
    <n v="3.5233236151603498"/>
    <n v="2417"/>
    <n v="3.5233236151603498"/>
    <s v="[East View 2-32 Balcony]"/>
    <s v="[view.direction view balcony_patio]"/>
  </r>
  <r>
    <x v="1"/>
    <s v="343 West Wolf Point Plaza"/>
    <x v="35"/>
    <s v="3002"/>
    <n v="30"/>
    <x v="1"/>
    <n v="1"/>
    <m/>
    <x v="18"/>
    <x v="175"/>
    <x v="192"/>
    <x v="0"/>
    <n v="115"/>
    <n v="2418"/>
    <n v="3.5247813411078717"/>
    <n v="2418"/>
    <n v="3.5247813411078717"/>
    <s v="[ADA East View 2-32 Balcony]"/>
    <s v="[view.direction view balcony_patio]"/>
  </r>
  <r>
    <x v="1"/>
    <s v="343 West Wolf Point Plaza"/>
    <x v="35"/>
    <s v="1802"/>
    <n v="18"/>
    <x v="1"/>
    <n v="1"/>
    <m/>
    <x v="18"/>
    <x v="109"/>
    <x v="193"/>
    <x v="0"/>
    <n v="81"/>
    <n v="2425"/>
    <n v="3.5349854227405246"/>
    <n v="2425"/>
    <n v="3.5349854227405246"/>
    <s v="[ADA East View 2-32 Balcony]"/>
    <s v="[view.direction view balcony_patio]"/>
  </r>
  <r>
    <x v="1"/>
    <s v="343 West Wolf Point Plaza"/>
    <x v="35"/>
    <s v="1102"/>
    <n v="11"/>
    <x v="1"/>
    <n v="1"/>
    <m/>
    <x v="18"/>
    <x v="101"/>
    <x v="194"/>
    <x v="0"/>
    <n v="3"/>
    <n v="2482"/>
    <n v="3.6180758017492711"/>
    <n v="2275"/>
    <n v="3.3163265306122449"/>
    <s v="[East View 2-32 Balcony]"/>
    <s v="[view.direction view balcony_patio]"/>
  </r>
  <r>
    <x v="1"/>
    <s v="343 West Wolf Point Plaza"/>
    <x v="35"/>
    <m/>
    <m/>
    <x v="1"/>
    <n v="1"/>
    <m/>
    <x v="18"/>
    <x v="75"/>
    <x v="62"/>
    <x v="0"/>
    <n v="162"/>
    <m/>
    <m/>
    <m/>
    <m/>
    <s v="[]"/>
    <s v="[]"/>
  </r>
  <r>
    <x v="1"/>
    <s v="343 West Wolf Point Plaza"/>
    <x v="35"/>
    <s v="4002"/>
    <n v="40"/>
    <x v="1"/>
    <n v="1"/>
    <m/>
    <x v="18"/>
    <x v="42"/>
    <x v="193"/>
    <x v="0"/>
    <n v="46"/>
    <n v="2540"/>
    <n v="3.7026239067055395"/>
    <n v="2540"/>
    <n v="3.7026239067055395"/>
    <s v="[ADA Best View East View 33-43 Balcony]"/>
    <s v="[view.direction view balcony_patio]"/>
  </r>
  <r>
    <x v="1"/>
    <s v="343 West Wolf Point Plaza"/>
    <x v="35"/>
    <s v="1202"/>
    <n v="12"/>
    <x v="1"/>
    <n v="1"/>
    <m/>
    <x v="18"/>
    <x v="176"/>
    <x v="23"/>
    <x v="0"/>
    <n v="60"/>
    <n v="2653"/>
    <n v="3.8673469387755102"/>
    <n v="2653"/>
    <n v="3.8673469387755102"/>
    <s v="[ADA East View 2-32 Balcony]"/>
    <s v="[view.direction view balcony_patio]"/>
  </r>
  <r>
    <x v="1"/>
    <s v="343 West Wolf Point Plaza"/>
    <x v="35"/>
    <s v="3902"/>
    <n v="39"/>
    <x v="1"/>
    <n v="1"/>
    <m/>
    <x v="18"/>
    <x v="62"/>
    <x v="6"/>
    <x v="0"/>
    <n v="52"/>
    <n v="2685"/>
    <n v="3.9139941690962101"/>
    <n v="2685"/>
    <n v="3.9139941690962101"/>
    <s v="[Best View East View 33-43 Balcony]"/>
    <s v="[view.direction view balcony_patio]"/>
  </r>
  <r>
    <x v="1"/>
    <s v="343 West Wolf Point Plaza"/>
    <x v="35"/>
    <s v="3502"/>
    <n v="35"/>
    <x v="1"/>
    <n v="1"/>
    <m/>
    <x v="18"/>
    <x v="177"/>
    <x v="128"/>
    <x v="0"/>
    <n v="49"/>
    <n v="2780"/>
    <n v="4.0524781341107872"/>
    <n v="2780"/>
    <n v="4.0524781341107872"/>
    <s v="[Best View East View 33-43 Balcony]"/>
    <s v="[view.direction view balcony_patio]"/>
  </r>
  <r>
    <x v="1"/>
    <s v="343 West Wolf Point Plaza"/>
    <x v="35"/>
    <s v="3302"/>
    <n v="33"/>
    <x v="1"/>
    <n v="1"/>
    <m/>
    <x v="18"/>
    <x v="44"/>
    <x v="195"/>
    <x v="0"/>
    <n v="52"/>
    <n v="2840"/>
    <n v="4.1399416909620994"/>
    <n v="2795"/>
    <n v="4.074344023323615"/>
    <s v="[East View 2-32 Balcony]"/>
    <s v="[view.direction view balcony_patio]"/>
  </r>
  <r>
    <x v="1"/>
    <s v="343 West Wolf Point Plaza"/>
    <x v="35"/>
    <s v="3702"/>
    <n v="37"/>
    <x v="1"/>
    <n v="1"/>
    <m/>
    <x v="18"/>
    <x v="177"/>
    <x v="67"/>
    <x v="0"/>
    <n v="40"/>
    <n v="2869"/>
    <n v="4.1822157434402332"/>
    <n v="2869"/>
    <n v="4.1822157434402332"/>
    <s v="[ADA Best View East View 33-43 Balcony]"/>
    <s v="[view.direction view balcony_patio]"/>
  </r>
  <r>
    <x v="1"/>
    <s v="343 West Wolf Point Plaza"/>
    <x v="35"/>
    <s v="1302"/>
    <n v="13"/>
    <x v="1"/>
    <n v="1"/>
    <m/>
    <x v="18"/>
    <x v="178"/>
    <x v="28"/>
    <x v="1"/>
    <m/>
    <n v="2935"/>
    <n v="4.278425655976676"/>
    <n v="2935"/>
    <n v="4.278425655976676"/>
    <s v="[Linen Closet Walk in Closet East View Balcony Floors 12-14]"/>
    <s v="[view.direction walk_in_closet view balcony_patio]"/>
  </r>
  <r>
    <x v="1"/>
    <s v="343 West Wolf Point Plaza"/>
    <x v="35"/>
    <s v="1902"/>
    <n v="19"/>
    <x v="1"/>
    <n v="1"/>
    <m/>
    <x v="18"/>
    <x v="163"/>
    <x v="28"/>
    <x v="1"/>
    <m/>
    <n v="3019"/>
    <n v="4.4008746355685133"/>
    <n v="3019"/>
    <n v="4.4008746355685133"/>
    <s v="[Linen Closet Walk in Closet East View Balcony ADA Floors 19-24]"/>
    <s v="[view.direction walk_in_closet view balcony_patio]"/>
  </r>
  <r>
    <x v="1"/>
    <s v="343 West Wolf Point Plaza"/>
    <x v="35"/>
    <s v="1502"/>
    <n v="15"/>
    <x v="1"/>
    <n v="1"/>
    <m/>
    <x v="18"/>
    <x v="32"/>
    <x v="28"/>
    <x v="1"/>
    <m/>
    <n v="3019"/>
    <n v="4.4008746355685133"/>
    <n v="3019"/>
    <n v="4.4008746355685133"/>
    <s v="[Linen Closet Walk in Closet East View Balcony Floors 15-18]"/>
    <s v="[view.direction walk_in_closet view balcony_patio]"/>
  </r>
  <r>
    <x v="1"/>
    <s v="343 West Wolf Point Plaza"/>
    <x v="35"/>
    <s v="2602"/>
    <n v="26"/>
    <x v="1"/>
    <n v="1"/>
    <m/>
    <x v="18"/>
    <x v="179"/>
    <x v="28"/>
    <x v="1"/>
    <m/>
    <n v="3029"/>
    <n v="4.4154518950437316"/>
    <n v="3029"/>
    <n v="4.4154518950437316"/>
    <s v="[Linen Closet Walk in Closet Floors 25-28 Balcony ADA East View]"/>
    <s v="[view.direction walk_in_closet balcony_patio view]"/>
  </r>
  <r>
    <x v="1"/>
    <s v="343 West Wolf Point Plaza"/>
    <x v="35"/>
    <s v="3602"/>
    <n v="36"/>
    <x v="1"/>
    <n v="1"/>
    <m/>
    <x v="18"/>
    <x v="180"/>
    <x v="28"/>
    <x v="1"/>
    <m/>
    <n v="3173"/>
    <n v="4.6253644314868803"/>
    <n v="3173"/>
    <n v="4.6253644314868803"/>
    <s v="[Linen Closet Walk in Closet Floors 35-38 Balcony East View]"/>
    <s v="[view.direction walk_in_closet balcony_patio view]"/>
  </r>
  <r>
    <x v="1"/>
    <s v="343 West Wolf Point Plaza"/>
    <x v="10"/>
    <s v="1402"/>
    <n v="14"/>
    <x v="1"/>
    <n v="1"/>
    <m/>
    <x v="18"/>
    <x v="144"/>
    <x v="160"/>
    <x v="0"/>
    <n v="5"/>
    <n v="2360"/>
    <n v="3.4402332361516037"/>
    <n v="2163"/>
    <n v="3.1530612244897958"/>
    <s v="[]"/>
    <s v="[]"/>
  </r>
  <r>
    <x v="1"/>
    <s v="343 West Wolf Point Plaza"/>
    <x v="10"/>
    <s v="1002"/>
    <n v="10"/>
    <x v="1"/>
    <n v="1"/>
    <m/>
    <x v="18"/>
    <x v="181"/>
    <x v="117"/>
    <x v="0"/>
    <n v="5"/>
    <n v="2520"/>
    <n v="3.6734693877551021"/>
    <n v="2520"/>
    <n v="3.6734693877551021"/>
    <s v="[]"/>
    <s v="[]"/>
  </r>
  <r>
    <x v="1"/>
    <s v="343 West Wolf Point Plaza"/>
    <x v="10"/>
    <s v="2102"/>
    <n v="21"/>
    <x v="1"/>
    <n v="1"/>
    <m/>
    <x v="18"/>
    <x v="182"/>
    <x v="196"/>
    <x v="0"/>
    <n v="20"/>
    <n v="2620"/>
    <n v="3.8192419825072887"/>
    <n v="2620"/>
    <n v="3.8192419825072887"/>
    <s v="[]"/>
    <s v="[]"/>
  </r>
  <r>
    <x v="1"/>
    <s v="343 West Wolf Point Plaza"/>
    <x v="10"/>
    <s v="3102"/>
    <n v="31"/>
    <x v="1"/>
    <n v="1"/>
    <m/>
    <x v="18"/>
    <x v="164"/>
    <x v="183"/>
    <x v="0"/>
    <n v="50"/>
    <n v="2725"/>
    <n v="3.9723032069970845"/>
    <n v="2725"/>
    <n v="3.9723032069970845"/>
    <s v="[]"/>
    <s v="[]"/>
  </r>
  <r>
    <x v="1"/>
    <s v="343 West Wolf Point Plaza"/>
    <x v="10"/>
    <s v="3202"/>
    <n v="32"/>
    <x v="1"/>
    <n v="1"/>
    <m/>
    <x v="18"/>
    <x v="130"/>
    <x v="197"/>
    <x v="0"/>
    <m/>
    <n v="2775"/>
    <n v="4.0451895043731776"/>
    <n v="2775"/>
    <n v="4.0451895043731776"/>
    <s v="[]"/>
    <s v="[]"/>
  </r>
  <r>
    <x v="1"/>
    <s v="343 West Wolf Point Plaza"/>
    <x v="36"/>
    <s v="1603"/>
    <n v="16"/>
    <x v="1"/>
    <n v="1"/>
    <m/>
    <x v="19"/>
    <x v="183"/>
    <x v="192"/>
    <x v="0"/>
    <n v="107"/>
    <n v="2481"/>
    <n v="3.5442857142857145"/>
    <n v="2481"/>
    <n v="3.5442857142857145"/>
    <s v="[Stand Up Shower Linen Closet East View 2-32 Balcony]"/>
    <s v="[view.direction view balcony_patio]"/>
  </r>
  <r>
    <x v="1"/>
    <s v="343 West Wolf Point Plaza"/>
    <x v="36"/>
    <s v="3303"/>
    <n v="33"/>
    <x v="1"/>
    <n v="1"/>
    <m/>
    <x v="19"/>
    <x v="109"/>
    <x v="172"/>
    <x v="0"/>
    <n v="80"/>
    <n v="2490"/>
    <n v="3.5571428571428569"/>
    <n v="2490"/>
    <n v="3.5571428571428569"/>
    <s v="[East View 2-32 Linen Closet Stand Up Shower Balcony]"/>
    <s v="[view.direction view balcony_patio]"/>
  </r>
  <r>
    <x v="1"/>
    <s v="343 West Wolf Point Plaza"/>
    <x v="36"/>
    <m/>
    <m/>
    <x v="1"/>
    <n v="1"/>
    <m/>
    <x v="19"/>
    <x v="75"/>
    <x v="62"/>
    <x v="0"/>
    <n v="162"/>
    <m/>
    <m/>
    <m/>
    <m/>
    <s v="[]"/>
    <s v="[]"/>
  </r>
  <r>
    <x v="1"/>
    <s v="343 West Wolf Point Plaza"/>
    <x v="36"/>
    <s v="2403"/>
    <n v="24"/>
    <x v="1"/>
    <n v="1"/>
    <m/>
    <x v="19"/>
    <x v="101"/>
    <x v="198"/>
    <x v="0"/>
    <n v="9"/>
    <n v="2577"/>
    <n v="3.6814285714285715"/>
    <n v="2577"/>
    <n v="3.6814285714285715"/>
    <s v="[Stand Up Shower East View 2-32 Linen Closet Balcony]"/>
    <s v="[view.direction view balcony_patio]"/>
  </r>
  <r>
    <x v="1"/>
    <s v="343 West Wolf Point Plaza"/>
    <x v="36"/>
    <s v="2703"/>
    <n v="27"/>
    <x v="1"/>
    <n v="1"/>
    <m/>
    <x v="19"/>
    <x v="101"/>
    <x v="49"/>
    <x v="0"/>
    <n v="8"/>
    <n v="2577"/>
    <n v="3.6814285714285715"/>
    <n v="2577"/>
    <n v="3.6814285714285715"/>
    <s v="[Stand Up Shower East View 2-32 Linen Closet Balcony]"/>
    <s v="[view.direction view balcony_patio]"/>
  </r>
  <r>
    <x v="1"/>
    <s v="343 West Wolf Point Plaza"/>
    <x v="36"/>
    <s v="2503"/>
    <n v="25"/>
    <x v="1"/>
    <n v="1"/>
    <m/>
    <x v="19"/>
    <x v="184"/>
    <x v="199"/>
    <x v="0"/>
    <n v="11"/>
    <n v="2646"/>
    <n v="3.78"/>
    <n v="2646"/>
    <n v="3.78"/>
    <s v="[Stand Up Shower Linen Closet East View 2-32 Balcony]"/>
    <s v="[view.direction view balcony_patio]"/>
  </r>
  <r>
    <x v="1"/>
    <s v="343 West Wolf Point Plaza"/>
    <x v="36"/>
    <s v="2103"/>
    <n v="21"/>
    <x v="1"/>
    <n v="1"/>
    <m/>
    <x v="19"/>
    <x v="26"/>
    <x v="200"/>
    <x v="0"/>
    <n v="27"/>
    <n v="2700"/>
    <n v="3.8571428571428572"/>
    <n v="2700"/>
    <n v="3.8571428571428572"/>
    <s v="[Stand Up Shower Linen Closet East View 2-32 Balcony]"/>
    <s v="[view.direction view balcony_patio]"/>
  </r>
  <r>
    <x v="1"/>
    <s v="343 West Wolf Point Plaza"/>
    <x v="36"/>
    <s v="0603"/>
    <n v="6"/>
    <x v="1"/>
    <n v="1"/>
    <m/>
    <x v="19"/>
    <x v="101"/>
    <x v="14"/>
    <x v="0"/>
    <n v="11"/>
    <n v="2705"/>
    <n v="3.8642857142857143"/>
    <n v="2480"/>
    <n v="3.5428571428571427"/>
    <s v="[Stand Up Shower East View 2-32 Linen Closet Balcony]"/>
    <s v="[view.direction view balcony_patio]"/>
  </r>
  <r>
    <x v="1"/>
    <s v="343 West Wolf Point Plaza"/>
    <x v="36"/>
    <s v="3603"/>
    <n v="36"/>
    <x v="1"/>
    <n v="1"/>
    <m/>
    <x v="19"/>
    <x v="18"/>
    <x v="201"/>
    <x v="0"/>
    <n v="75"/>
    <n v="2720"/>
    <n v="3.8857142857142857"/>
    <n v="2720"/>
    <n v="3.8857142857142857"/>
    <s v="[Best View East View 33-43 Linen Closet Stand Up Shower Balcony]"/>
    <s v="[view.direction view balcony_patio]"/>
  </r>
  <r>
    <x v="1"/>
    <s v="343 West Wolf Point Plaza"/>
    <x v="36"/>
    <s v="3503"/>
    <n v="35"/>
    <x v="1"/>
    <n v="1"/>
    <m/>
    <x v="19"/>
    <x v="2"/>
    <x v="102"/>
    <x v="0"/>
    <n v="8"/>
    <n v="2755"/>
    <n v="3.9357142857142855"/>
    <n v="2505"/>
    <n v="3.5785714285714287"/>
    <s v="[Stand Up Shower Linen Closet Balcony Best View East View 33-43]"/>
    <s v="[view view.direction balcony_patio]"/>
  </r>
  <r>
    <x v="1"/>
    <s v="343 West Wolf Point Plaza"/>
    <x v="36"/>
    <s v="1203"/>
    <n v="12"/>
    <x v="1"/>
    <n v="1"/>
    <m/>
    <x v="19"/>
    <x v="159"/>
    <x v="202"/>
    <x v="0"/>
    <n v="23"/>
    <n v="2849"/>
    <n v="4.07"/>
    <n v="2849"/>
    <n v="4.07"/>
    <s v="[Stand Up Shower Linen Closet East View 2-32 Balcony]"/>
    <s v="[view.direction view balcony_patio]"/>
  </r>
  <r>
    <x v="1"/>
    <s v="343 West Wolf Point Plaza"/>
    <x v="36"/>
    <s v="0703"/>
    <n v="7"/>
    <x v="1"/>
    <n v="1"/>
    <m/>
    <x v="19"/>
    <x v="185"/>
    <x v="29"/>
    <x v="0"/>
    <n v="163"/>
    <n v="2913"/>
    <n v="4.161428571428571"/>
    <n v="2913"/>
    <n v="4.161428571428571"/>
    <s v="[Floors 5-8 Linen Closet Sales Force Tower Walk in Closet East View Stand Up Shower Balcony]"/>
    <s v="[view.direction walk_in_closet view balcony_patio]"/>
  </r>
  <r>
    <x v="1"/>
    <s v="343 West Wolf Point Plaza"/>
    <x v="36"/>
    <s v="1703"/>
    <n v="17"/>
    <x v="1"/>
    <n v="1"/>
    <m/>
    <x v="19"/>
    <x v="186"/>
    <x v="203"/>
    <x v="0"/>
    <n v="12"/>
    <n v="2922"/>
    <n v="4.1742857142857144"/>
    <n v="2922"/>
    <n v="4.1742857142857144"/>
    <s v="[Linen Closet Sales Force Tower Walk in Closet Stand Up Shower East View Balcony Floors 15-18]"/>
    <s v="[view.direction walk_in_closet view balcony_patio]"/>
  </r>
  <r>
    <x v="1"/>
    <s v="343 West Wolf Point Plaza"/>
    <x v="36"/>
    <s v="3703"/>
    <n v="37"/>
    <x v="1"/>
    <n v="1"/>
    <m/>
    <x v="19"/>
    <x v="17"/>
    <x v="167"/>
    <x v="0"/>
    <n v="201"/>
    <n v="2961"/>
    <n v="4.2300000000000004"/>
    <n v="2961"/>
    <n v="4.2300000000000004"/>
    <s v="[Best View East View 33-43 Linen Closet Stand Up Shower Balcony]"/>
    <s v="[view.direction view balcony_patio]"/>
  </r>
  <r>
    <x v="1"/>
    <s v="343 West Wolf Point Plaza"/>
    <x v="36"/>
    <s v="3103"/>
    <n v="31"/>
    <x v="1"/>
    <n v="1"/>
    <m/>
    <x v="19"/>
    <x v="187"/>
    <x v="204"/>
    <x v="0"/>
    <n v="23"/>
    <n v="2966"/>
    <n v="4.2371428571428575"/>
    <n v="2966"/>
    <n v="4.2371428571428575"/>
    <s v="[Floors 29-34 Linen Closet Sales Force Tower Walk in Closet Stand Up Shower Balcony East View]"/>
    <s v="[view.direction walk_in_closet balcony_patio view]"/>
  </r>
  <r>
    <x v="1"/>
    <s v="343 West Wolf Point Plaza"/>
    <x v="36"/>
    <s v="2603"/>
    <n v="26"/>
    <x v="1"/>
    <n v="1"/>
    <m/>
    <x v="19"/>
    <x v="135"/>
    <x v="28"/>
    <x v="1"/>
    <m/>
    <n v="3019"/>
    <n v="4.3128571428571432"/>
    <n v="3019"/>
    <n v="4.3128571428571432"/>
    <s v="[Linen Closet Sales Force Tower Walk in Closet Floors 25-28 Stand Up Shower Balcony East View]"/>
    <s v="[view.direction walk_in_closet balcony_patio view]"/>
  </r>
  <r>
    <x v="1"/>
    <s v="343 West Wolf Point Plaza"/>
    <x v="36"/>
    <s v="2803"/>
    <n v="28"/>
    <x v="1"/>
    <n v="1"/>
    <m/>
    <x v="19"/>
    <x v="188"/>
    <x v="28"/>
    <x v="1"/>
    <m/>
    <n v="3019"/>
    <n v="4.3128571428571432"/>
    <n v="3019"/>
    <n v="4.3128571428571432"/>
    <s v="[Floors 25-28 Linen Closet Sales Force Tower Walk in Closet Stand Up Shower Balcony East View]"/>
    <s v="[view.direction walk_in_closet balcony_patio view]"/>
  </r>
  <r>
    <x v="1"/>
    <s v="343 West Wolf Point Plaza"/>
    <x v="36"/>
    <s v="1303"/>
    <n v="13"/>
    <x v="1"/>
    <n v="1"/>
    <m/>
    <x v="19"/>
    <x v="189"/>
    <x v="205"/>
    <x v="0"/>
    <n v="77"/>
    <n v="3040"/>
    <n v="4.3428571428571425"/>
    <n v="3040"/>
    <n v="4.3428571428571425"/>
    <s v="[Linen Closet Sales Force Tower Walk in Closet Stand Up Shower East View Balcony Floors 12-14]"/>
    <s v="[view.direction walk_in_closet view balcony_patio]"/>
  </r>
  <r>
    <x v="1"/>
    <s v="343 West Wolf Point Plaza"/>
    <x v="10"/>
    <s v="1103"/>
    <n v="11"/>
    <x v="1"/>
    <n v="1"/>
    <m/>
    <x v="19"/>
    <x v="190"/>
    <x v="35"/>
    <x v="0"/>
    <n v="60"/>
    <n v="2625"/>
    <n v="3.75"/>
    <n v="2625"/>
    <n v="3.75"/>
    <s v="[]"/>
    <s v="[]"/>
  </r>
  <r>
    <x v="1"/>
    <s v="343 West Wolf Point Plaza"/>
    <x v="10"/>
    <s v="1903"/>
    <n v="19"/>
    <x v="1"/>
    <n v="1"/>
    <m/>
    <x v="19"/>
    <x v="129"/>
    <x v="206"/>
    <x v="0"/>
    <n v="15"/>
    <n v="2675"/>
    <n v="3.8214285714285716"/>
    <n v="2675"/>
    <n v="3.8214285714285716"/>
    <s v="[]"/>
    <s v="[]"/>
  </r>
  <r>
    <x v="1"/>
    <s v="343 West Wolf Point Plaza"/>
    <x v="10"/>
    <s v="2003"/>
    <n v="20"/>
    <x v="1"/>
    <n v="1"/>
    <m/>
    <x v="19"/>
    <x v="165"/>
    <x v="35"/>
    <x v="0"/>
    <n v="80"/>
    <n v="2695"/>
    <n v="3.85"/>
    <n v="2695"/>
    <n v="3.85"/>
    <s v="[]"/>
    <s v="[]"/>
  </r>
  <r>
    <x v="1"/>
    <s v="343 West Wolf Point Plaza"/>
    <x v="10"/>
    <s v="3403"/>
    <n v="34"/>
    <x v="1"/>
    <n v="1"/>
    <m/>
    <x v="19"/>
    <x v="165"/>
    <x v="35"/>
    <x v="0"/>
    <n v="80"/>
    <n v="2895"/>
    <n v="4.1357142857142861"/>
    <n v="2895"/>
    <n v="4.1357142857142861"/>
    <s v="[]"/>
    <s v="[]"/>
  </r>
  <r>
    <x v="1"/>
    <s v="343 West Wolf Point Plaza"/>
    <x v="10"/>
    <s v="4003"/>
    <n v="40"/>
    <x v="1"/>
    <n v="1"/>
    <m/>
    <x v="19"/>
    <x v="142"/>
    <x v="207"/>
    <x v="0"/>
    <n v="37"/>
    <n v="2950"/>
    <n v="4.2142857142857144"/>
    <n v="2950"/>
    <n v="4.2142857142857144"/>
    <s v="[]"/>
    <s v="[]"/>
  </r>
  <r>
    <x v="1"/>
    <s v="343 West Wolf Point Plaza"/>
    <x v="10"/>
    <s v="208"/>
    <n v="2"/>
    <x v="1"/>
    <n v="1"/>
    <m/>
    <x v="20"/>
    <x v="130"/>
    <x v="31"/>
    <x v="0"/>
    <m/>
    <n v="2562"/>
    <n v="3.5583333333333331"/>
    <n v="2562"/>
    <n v="3.5583333333333331"/>
    <s v="[]"/>
    <s v="[]"/>
  </r>
  <r>
    <x v="1"/>
    <s v="343 West Wolf Point Plaza"/>
    <x v="37"/>
    <s v="1309"/>
    <n v="13"/>
    <x v="1"/>
    <n v="1"/>
    <m/>
    <x v="21"/>
    <x v="31"/>
    <x v="110"/>
    <x v="0"/>
    <n v="61"/>
    <n v="2529"/>
    <n v="3.5076282940360612"/>
    <n v="2529"/>
    <n v="3.5076282940360612"/>
    <s v="[Pantry Linen Closet River West View Stand Up Shower Floors 12-14]"/>
    <s v="[view.direction view]"/>
  </r>
  <r>
    <x v="1"/>
    <s v="343 West Wolf Point Plaza"/>
    <x v="37"/>
    <s v="4009"/>
    <n v="40"/>
    <x v="1"/>
    <n v="1"/>
    <m/>
    <x v="21"/>
    <x v="13"/>
    <x v="208"/>
    <x v="0"/>
    <n v="125"/>
    <n v="2570"/>
    <n v="3.5644937586685161"/>
    <n v="2570"/>
    <n v="3.5644937586685161"/>
    <s v="[Linen Closet Stand Up Shower West View 21-43]"/>
    <s v="[view.direction view]"/>
  </r>
  <r>
    <x v="1"/>
    <s v="343 West Wolf Point Plaza"/>
    <x v="37"/>
    <m/>
    <m/>
    <x v="1"/>
    <n v="1"/>
    <m/>
    <x v="21"/>
    <x v="75"/>
    <x v="62"/>
    <x v="0"/>
    <n v="162"/>
    <m/>
    <m/>
    <m/>
    <m/>
    <s v="[]"/>
    <s v="[]"/>
  </r>
  <r>
    <x v="1"/>
    <s v="343 West Wolf Point Plaza"/>
    <x v="37"/>
    <s v="3509"/>
    <n v="35"/>
    <x v="1"/>
    <n v="1"/>
    <m/>
    <x v="21"/>
    <x v="191"/>
    <x v="29"/>
    <x v="0"/>
    <n v="36"/>
    <n v="2579"/>
    <n v="3.576976421636616"/>
    <n v="2579"/>
    <n v="3.576976421636616"/>
    <s v="[Pantry Linen Closet River West View Stand Up Shower Floors 35-38]"/>
    <s v="[view.direction view]"/>
  </r>
  <r>
    <x v="1"/>
    <s v="343 West Wolf Point Plaza"/>
    <x v="37"/>
    <s v="2409"/>
    <n v="24"/>
    <x v="1"/>
    <n v="1"/>
    <m/>
    <x v="21"/>
    <x v="183"/>
    <x v="209"/>
    <x v="0"/>
    <n v="172"/>
    <n v="2629"/>
    <n v="3.6463245492371708"/>
    <n v="2629"/>
    <n v="3.6463245492371708"/>
    <s v="[Pantry Linen Closet River West View Stand Up Shower Floors 19-24]"/>
    <s v="[view.direction view]"/>
  </r>
  <r>
    <x v="1"/>
    <s v="343 West Wolf Point Plaza"/>
    <x v="37"/>
    <s v="3209"/>
    <n v="32"/>
    <x v="1"/>
    <n v="1"/>
    <m/>
    <x v="21"/>
    <x v="62"/>
    <x v="199"/>
    <x v="0"/>
    <n v="60"/>
    <n v="2693"/>
    <n v="3.7350901525658808"/>
    <n v="2693"/>
    <n v="3.7350901525658808"/>
    <s v="[Linen Closet Stand Up Shower West View 21-43]"/>
    <s v="[view.direction view]"/>
  </r>
  <r>
    <x v="1"/>
    <s v="343 West Wolf Point Plaza"/>
    <x v="37"/>
    <s v="3109"/>
    <n v="31"/>
    <x v="1"/>
    <n v="1"/>
    <m/>
    <x v="21"/>
    <x v="101"/>
    <x v="171"/>
    <x v="0"/>
    <n v="2"/>
    <n v="2711"/>
    <n v="3.7600554785020806"/>
    <n v="2485"/>
    <n v="3.4466019417475726"/>
    <s v="[West View 21-43 Stand Up Shower Linen Closet]"/>
    <s v="[view.direction view]"/>
  </r>
  <r>
    <x v="1"/>
    <s v="343 West Wolf Point Plaza"/>
    <x v="37"/>
    <s v="3309"/>
    <n v="33"/>
    <x v="1"/>
    <n v="1"/>
    <m/>
    <x v="21"/>
    <x v="101"/>
    <x v="210"/>
    <x v="0"/>
    <n v="117"/>
    <n v="2722"/>
    <n v="3.7753120665742026"/>
    <n v="2722"/>
    <n v="3.7753120665742026"/>
    <s v="[Linen Closet Stand Up Shower West View 21-43]"/>
    <s v="[view.direction view]"/>
  </r>
  <r>
    <x v="1"/>
    <s v="343 West Wolf Point Plaza"/>
    <x v="37"/>
    <s v="3009"/>
    <n v="30"/>
    <x v="1"/>
    <n v="1"/>
    <m/>
    <x v="21"/>
    <x v="131"/>
    <x v="26"/>
    <x v="0"/>
    <n v="98"/>
    <n v="2733"/>
    <n v="3.7905686546463246"/>
    <n v="2733"/>
    <n v="3.7905686546463246"/>
    <s v="[Linen Closet Stand Up Shower West View 21-43]"/>
    <s v="[view.direction view]"/>
  </r>
  <r>
    <x v="1"/>
    <s v="343 West Wolf Point Plaza"/>
    <x v="37"/>
    <s v="3909"/>
    <n v="39"/>
    <x v="1"/>
    <n v="1"/>
    <m/>
    <x v="21"/>
    <x v="192"/>
    <x v="68"/>
    <x v="0"/>
    <n v="82"/>
    <n v="2753"/>
    <n v="3.8183079056865465"/>
    <n v="2753"/>
    <n v="3.8183079056865465"/>
    <s v="[ADA Linen Closet Stand Up Shower West View 21-43]"/>
    <s v="[view.direction view]"/>
  </r>
  <r>
    <x v="1"/>
    <s v="343 West Wolf Point Plaza"/>
    <x v="37"/>
    <s v="3609"/>
    <n v="36"/>
    <x v="1"/>
    <n v="1"/>
    <m/>
    <x v="21"/>
    <x v="101"/>
    <x v="104"/>
    <x v="0"/>
    <n v="68"/>
    <n v="2760"/>
    <n v="3.8280166435506242"/>
    <n v="2715"/>
    <n v="3.7656033287101249"/>
    <s v="[West View 21-43 Stand Up Shower Linen Closet]"/>
    <s v="[view.direction view]"/>
  </r>
  <r>
    <x v="1"/>
    <s v="343 West Wolf Point Plaza"/>
    <x v="37"/>
    <s v="3809"/>
    <n v="38"/>
    <x v="1"/>
    <n v="1"/>
    <m/>
    <x v="21"/>
    <x v="158"/>
    <x v="112"/>
    <x v="0"/>
    <n v="175"/>
    <n v="2767"/>
    <n v="3.8377253814147019"/>
    <n v="2767"/>
    <n v="3.8377253814147019"/>
    <s v="[Linen Closet Stand Up Shower West View 21-43]"/>
    <s v="[view.direction view]"/>
  </r>
  <r>
    <x v="1"/>
    <s v="343 West Wolf Point Plaza"/>
    <x v="37"/>
    <s v="0309"/>
    <n v="3"/>
    <x v="1"/>
    <n v="1"/>
    <m/>
    <x v="21"/>
    <x v="193"/>
    <x v="211"/>
    <x v="0"/>
    <n v="126"/>
    <n v="2808"/>
    <n v="3.8945908460471568"/>
    <n v="2808"/>
    <n v="3.8945908460471568"/>
    <s v="[Stand Up Shower Linen Closet West View 2-20]"/>
    <s v="[view.direction view]"/>
  </r>
  <r>
    <x v="1"/>
    <s v="343 West Wolf Point Plaza"/>
    <x v="37"/>
    <s v="0909"/>
    <n v="9"/>
    <x v="1"/>
    <n v="1"/>
    <m/>
    <x v="21"/>
    <x v="147"/>
    <x v="28"/>
    <x v="1"/>
    <m/>
    <n v="2823"/>
    <n v="3.9153952843273232"/>
    <n v="2823"/>
    <n v="3.9153952843273232"/>
    <s v="[Floors 9-11 Pantry Linen Closet River West View Stand Up Shower]"/>
    <s v="[view.direction view]"/>
  </r>
  <r>
    <x v="1"/>
    <s v="343 West Wolf Point Plaza"/>
    <x v="37"/>
    <s v="1409"/>
    <n v="14"/>
    <x v="1"/>
    <n v="1"/>
    <m/>
    <x v="21"/>
    <x v="159"/>
    <x v="28"/>
    <x v="1"/>
    <m/>
    <n v="2828"/>
    <n v="3.9223300970873787"/>
    <n v="2828"/>
    <n v="3.9223300970873787"/>
    <s v="[Pantry Linen Closet River West View Stand Up Shower Floors 12-14]"/>
    <s v="[view.direction view]"/>
  </r>
  <r>
    <x v="1"/>
    <s v="343 West Wolf Point Plaza"/>
    <x v="37"/>
    <s v="1909"/>
    <n v="19"/>
    <x v="1"/>
    <n v="1"/>
    <m/>
    <x v="21"/>
    <x v="109"/>
    <x v="212"/>
    <x v="0"/>
    <n v="26"/>
    <n v="2843"/>
    <n v="3.9431345353675451"/>
    <n v="2798"/>
    <n v="3.8807212205270458"/>
    <s v="[Stand Up Shower West View 2-20 Linen Closet]"/>
    <s v="[view.direction view]"/>
  </r>
  <r>
    <x v="1"/>
    <s v="343 West Wolf Point Plaza"/>
    <x v="37"/>
    <s v="0809"/>
    <n v="8"/>
    <x v="1"/>
    <n v="1"/>
    <m/>
    <x v="21"/>
    <x v="148"/>
    <x v="110"/>
    <x v="0"/>
    <n v="2"/>
    <n v="2949"/>
    <n v="4.0901525658807216"/>
    <n v="2949"/>
    <n v="4.0901525658807216"/>
    <s v="[Floors 5-8 Pantry Linen Closet River West View Stand Up Shower]"/>
    <s v="[view.direction view]"/>
  </r>
  <r>
    <x v="1"/>
    <s v="343 West Wolf Point Plaza"/>
    <x v="37"/>
    <s v="1509"/>
    <n v="15"/>
    <x v="1"/>
    <n v="1"/>
    <m/>
    <x v="21"/>
    <x v="43"/>
    <x v="213"/>
    <x v="0"/>
    <n v="197"/>
    <n v="3064"/>
    <n v="4.2496532593619971"/>
    <n v="3064"/>
    <n v="4.2496532593619971"/>
    <s v="[Pantry Linen Closet River West View Stand Up Shower Floors 15-18]"/>
    <s v="[view.direction view]"/>
  </r>
  <r>
    <x v="1"/>
    <s v="343 West Wolf Point Plaza"/>
    <x v="37"/>
    <s v="1109"/>
    <n v="11"/>
    <x v="1"/>
    <n v="1"/>
    <m/>
    <x v="21"/>
    <x v="109"/>
    <x v="212"/>
    <x v="0"/>
    <n v="26"/>
    <n v="3149"/>
    <n v="4.3675450762829406"/>
    <n v="3113"/>
    <n v="4.3176144244105412"/>
    <s v="[Stand Up Shower West View 2-20 Linen Closet]"/>
    <s v="[view.direction view]"/>
  </r>
  <r>
    <x v="1"/>
    <s v="343 West Wolf Point Plaza"/>
    <x v="37"/>
    <s v="1609"/>
    <n v="16"/>
    <x v="1"/>
    <n v="1"/>
    <m/>
    <x v="21"/>
    <x v="154"/>
    <x v="214"/>
    <x v="0"/>
    <n v="144"/>
    <n v="3167"/>
    <n v="4.3925104022191404"/>
    <n v="3167"/>
    <n v="4.3925104022191404"/>
    <s v="[Stand Up Shower Linen Closet West View 2-20]"/>
    <s v="[view.direction view]"/>
  </r>
  <r>
    <x v="1"/>
    <s v="343 West Wolf Point Plaza"/>
    <x v="37"/>
    <s v="2009"/>
    <n v="20"/>
    <x v="1"/>
    <n v="1"/>
    <m/>
    <x v="21"/>
    <x v="194"/>
    <x v="209"/>
    <x v="0"/>
    <n v="2"/>
    <n v="3462"/>
    <n v="4.801664355062413"/>
    <n v="3462"/>
    <n v="4.801664355062413"/>
    <s v="[Pantry Linen Closet River West View Stand Up Shower Floors 19-24]"/>
    <s v="[view.direction view]"/>
  </r>
  <r>
    <x v="1"/>
    <s v="343 West Wolf Point Plaza"/>
    <x v="10"/>
    <s v="1209"/>
    <n v="12"/>
    <x v="1"/>
    <n v="1"/>
    <m/>
    <x v="21"/>
    <x v="130"/>
    <x v="215"/>
    <x v="0"/>
    <m/>
    <n v="2521"/>
    <n v="3.496532593619972"/>
    <n v="2311"/>
    <n v="3.2052704576976421"/>
    <s v="[]"/>
    <s v="[]"/>
  </r>
  <r>
    <x v="1"/>
    <s v="343 West Wolf Point Plaza"/>
    <x v="10"/>
    <s v="3409 - 1"/>
    <n v="34"/>
    <x v="1"/>
    <n v="1"/>
    <m/>
    <x v="21"/>
    <x v="145"/>
    <x v="182"/>
    <x v="0"/>
    <n v="19"/>
    <n v="2695"/>
    <n v="3.737864077669903"/>
    <n v="2695"/>
    <n v="3.737864077669903"/>
    <s v="[]"/>
    <s v="[]"/>
  </r>
  <r>
    <x v="1"/>
    <s v="343 West Wolf Point Plaza"/>
    <x v="10"/>
    <s v="3409 - 2"/>
    <n v="34"/>
    <x v="1"/>
    <n v="1"/>
    <m/>
    <x v="21"/>
    <x v="145"/>
    <x v="182"/>
    <x v="0"/>
    <n v="19"/>
    <n v="2695"/>
    <n v="3.737864077669903"/>
    <n v="2695"/>
    <n v="3.737864077669903"/>
    <s v="[]"/>
    <s v="[]"/>
  </r>
  <r>
    <x v="1"/>
    <s v="343 West Wolf Point Plaza"/>
    <x v="10"/>
    <s v="3409"/>
    <n v="34"/>
    <x v="1"/>
    <n v="1"/>
    <m/>
    <x v="21"/>
    <x v="195"/>
    <x v="186"/>
    <x v="0"/>
    <n v="16"/>
    <n v="2695"/>
    <n v="3.737864077669903"/>
    <n v="2695"/>
    <n v="3.737864077669903"/>
    <s v="[]"/>
    <s v="[]"/>
  </r>
  <r>
    <x v="1"/>
    <s v="343 West Wolf Point Plaza"/>
    <x v="10"/>
    <s v="509"/>
    <n v="5"/>
    <x v="1"/>
    <n v="1"/>
    <m/>
    <x v="21"/>
    <x v="182"/>
    <x v="35"/>
    <x v="0"/>
    <n v="103"/>
    <n v="2795"/>
    <n v="3.8765603328710125"/>
    <n v="2795"/>
    <n v="3.8765603328710125"/>
    <s v="[]"/>
    <s v="[]"/>
  </r>
  <r>
    <x v="1"/>
    <s v="343 West Wolf Point Plaza"/>
    <x v="10"/>
    <s v="4209"/>
    <n v="42"/>
    <x v="1"/>
    <n v="1"/>
    <m/>
    <x v="21"/>
    <x v="196"/>
    <x v="35"/>
    <x v="0"/>
    <n v="56"/>
    <n v="2950"/>
    <n v="4.0915395284327323"/>
    <n v="2950"/>
    <n v="4.0915395284327323"/>
    <s v="[]"/>
    <s v="[]"/>
  </r>
  <r>
    <x v="1"/>
    <s v="343 West Wolf Point Plaza"/>
    <x v="38"/>
    <s v="0610"/>
    <n v="6"/>
    <x v="1"/>
    <n v="1"/>
    <m/>
    <x v="22"/>
    <x v="197"/>
    <x v="216"/>
    <x v="0"/>
    <n v="37"/>
    <n v="2831"/>
    <n v="3.8780821917808219"/>
    <n v="2793"/>
    <n v="3.8260273972602739"/>
    <s v="[Northwest View 2-33 Linen Closet Balcony]"/>
    <s v="[view.direction view balcony_patio]"/>
  </r>
  <r>
    <x v="1"/>
    <s v="343 West Wolf Point Plaza"/>
    <x v="38"/>
    <s v="1510"/>
    <n v="15"/>
    <x v="1"/>
    <n v="1"/>
    <m/>
    <x v="22"/>
    <x v="179"/>
    <x v="217"/>
    <x v="0"/>
    <n v="5"/>
    <n v="2898"/>
    <n v="3.9698630136986299"/>
    <n v="2898"/>
    <n v="3.9698630136986299"/>
    <s v="[ADA Northwest View 2-33 Linen Closet Balcony]"/>
    <s v="[view.direction view balcony_patio]"/>
  </r>
  <r>
    <x v="1"/>
    <s v="343 West Wolf Point Plaza"/>
    <x v="38"/>
    <s v="2510"/>
    <n v="25"/>
    <x v="1"/>
    <n v="1"/>
    <m/>
    <x v="22"/>
    <x v="198"/>
    <x v="218"/>
    <x v="0"/>
    <n v="140"/>
    <n v="2958"/>
    <n v="4.0520547945205481"/>
    <n v="2958"/>
    <n v="4.0520547945205481"/>
    <s v="[Holiday Inn (2-34) Pantry NW View Walk in Closet Floors 25-28 Balcony]"/>
    <s v="[walk_in_closet view balcony_patio]"/>
  </r>
  <r>
    <x v="1"/>
    <s v="343 West Wolf Point Plaza"/>
    <x v="38"/>
    <m/>
    <m/>
    <x v="1"/>
    <n v="1"/>
    <m/>
    <x v="22"/>
    <x v="199"/>
    <x v="219"/>
    <x v="0"/>
    <n v="131"/>
    <m/>
    <m/>
    <m/>
    <m/>
    <s v="[]"/>
    <s v="[]"/>
  </r>
  <r>
    <x v="1"/>
    <s v="343 West Wolf Point Plaza"/>
    <x v="38"/>
    <s v="1610"/>
    <n v="16"/>
    <x v="1"/>
    <n v="1"/>
    <m/>
    <x v="22"/>
    <x v="7"/>
    <x v="136"/>
    <x v="0"/>
    <n v="58"/>
    <n v="2991"/>
    <n v="4.0972602739726032"/>
    <n v="2955"/>
    <n v="4.0479452054794525"/>
    <s v="[Northwest View 2-33 Linen Closet Balcony]"/>
    <s v="[view.direction view balcony_patio]"/>
  </r>
  <r>
    <x v="1"/>
    <s v="343 West Wolf Point Plaza"/>
    <x v="38"/>
    <s v="2810"/>
    <n v="28"/>
    <x v="1"/>
    <n v="1"/>
    <m/>
    <x v="22"/>
    <x v="71"/>
    <x v="84"/>
    <x v="0"/>
    <n v="40"/>
    <n v="2991"/>
    <n v="4.0972602739726032"/>
    <n v="2991"/>
    <n v="4.0972602739726032"/>
    <s v="[Northwest View 2-33 Linen Closet Balcony]"/>
    <s v="[view.direction view balcony_patio]"/>
  </r>
  <r>
    <x v="1"/>
    <s v="343 West Wolf Point Plaza"/>
    <x v="38"/>
    <s v="3210"/>
    <n v="32"/>
    <x v="1"/>
    <n v="1"/>
    <m/>
    <x v="22"/>
    <x v="200"/>
    <x v="153"/>
    <x v="0"/>
    <n v="35"/>
    <n v="3032"/>
    <n v="4.1534246575342468"/>
    <n v="3032"/>
    <n v="4.1534246575342468"/>
    <s v="[Linen Closet Balcony]"/>
    <s v="[balcony_patio]"/>
  </r>
  <r>
    <x v="1"/>
    <s v="343 West Wolf Point Plaza"/>
    <x v="38"/>
    <s v="3010"/>
    <n v="30"/>
    <x v="1"/>
    <n v="1"/>
    <m/>
    <x v="22"/>
    <x v="101"/>
    <x v="49"/>
    <x v="0"/>
    <n v="8"/>
    <n v="3094"/>
    <n v="4.2383561643835614"/>
    <n v="3094"/>
    <n v="4.2383561643835614"/>
    <s v="[Northwest View 2-33 Linen Closet Balcony]"/>
    <s v="[view.direction view balcony_patio]"/>
  </r>
  <r>
    <x v="1"/>
    <s v="343 West Wolf Point Plaza"/>
    <x v="10"/>
    <s v="710"/>
    <n v="7"/>
    <x v="1"/>
    <n v="1"/>
    <m/>
    <x v="22"/>
    <x v="145"/>
    <x v="220"/>
    <x v="0"/>
    <n v="26"/>
    <n v="2795"/>
    <n v="3.8287671232876712"/>
    <n v="2795"/>
    <n v="3.8287671232876712"/>
    <s v="[]"/>
    <s v="[]"/>
  </r>
  <r>
    <x v="1"/>
    <s v="343 West Wolf Point Plaza"/>
    <x v="10"/>
    <s v="1210"/>
    <n v="12"/>
    <x v="1"/>
    <n v="1"/>
    <m/>
    <x v="22"/>
    <x v="201"/>
    <x v="221"/>
    <x v="0"/>
    <n v="22"/>
    <n v="2825"/>
    <n v="3.8698630136986303"/>
    <n v="2825"/>
    <n v="3.8698630136986303"/>
    <s v="[]"/>
    <s v="[]"/>
  </r>
  <r>
    <x v="1"/>
    <s v="343 West Wolf Point Plaza"/>
    <x v="10"/>
    <s v="2610"/>
    <n v="26"/>
    <x v="1"/>
    <n v="1"/>
    <m/>
    <x v="22"/>
    <x v="68"/>
    <x v="180"/>
    <x v="0"/>
    <n v="115"/>
    <n v="2825"/>
    <n v="3.8698630136986303"/>
    <n v="2825"/>
    <n v="3.8698630136986303"/>
    <s v="[]"/>
    <s v="[]"/>
  </r>
  <r>
    <x v="1"/>
    <s v="343 West Wolf Point Plaza"/>
    <x v="10"/>
    <s v="2010"/>
    <n v="20"/>
    <x v="1"/>
    <n v="1"/>
    <m/>
    <x v="22"/>
    <x v="68"/>
    <x v="183"/>
    <x v="0"/>
    <n v="69"/>
    <n v="2845"/>
    <n v="3.8972602739726026"/>
    <n v="2845"/>
    <n v="3.8972602739726026"/>
    <s v="[]"/>
    <s v="[]"/>
  </r>
  <r>
    <x v="1"/>
    <s v="343 West Wolf Point Plaza"/>
    <x v="10"/>
    <s v="3310"/>
    <n v="33"/>
    <x v="1"/>
    <n v="1"/>
    <m/>
    <x v="22"/>
    <x v="130"/>
    <x v="189"/>
    <x v="0"/>
    <m/>
    <n v="2850"/>
    <n v="3.904109589041096"/>
    <n v="2850"/>
    <n v="3.904109589041096"/>
    <s v="[]"/>
    <s v="[]"/>
  </r>
  <r>
    <x v="1"/>
    <s v="343 West Wolf Point Plaza"/>
    <x v="10"/>
    <s v="1710"/>
    <n v="17"/>
    <x v="1"/>
    <n v="1"/>
    <m/>
    <x v="22"/>
    <x v="181"/>
    <x v="222"/>
    <x v="0"/>
    <n v="10"/>
    <n v="2850"/>
    <n v="3.904109589041096"/>
    <n v="2850"/>
    <n v="3.904109589041096"/>
    <s v="[]"/>
    <s v="[]"/>
  </r>
  <r>
    <x v="1"/>
    <s v="343 West Wolf Point Plaza"/>
    <x v="10"/>
    <s v="3510"/>
    <n v="35"/>
    <x v="1"/>
    <n v="1"/>
    <m/>
    <x v="22"/>
    <x v="130"/>
    <x v="223"/>
    <x v="0"/>
    <m/>
    <n v="2850"/>
    <n v="3.904109589041096"/>
    <n v="2850"/>
    <n v="3.904109589041096"/>
    <s v="[]"/>
    <s v="[]"/>
  </r>
  <r>
    <x v="1"/>
    <s v="343 West Wolf Point Plaza"/>
    <x v="10"/>
    <s v="2210"/>
    <n v="22"/>
    <x v="1"/>
    <n v="1"/>
    <m/>
    <x v="22"/>
    <x v="68"/>
    <x v="224"/>
    <x v="0"/>
    <n v="20"/>
    <n v="2895"/>
    <n v="3.9657534246575343"/>
    <n v="2895"/>
    <n v="3.9657534246575343"/>
    <s v="[]"/>
    <s v="[]"/>
  </r>
  <r>
    <x v="1"/>
    <s v="343 West Wolf Point Plaza"/>
    <x v="10"/>
    <s v="3810"/>
    <n v="38"/>
    <x v="1"/>
    <n v="1"/>
    <m/>
    <x v="22"/>
    <x v="168"/>
    <x v="225"/>
    <x v="0"/>
    <n v="40"/>
    <n v="2950"/>
    <n v="4.0410958904109586"/>
    <n v="2950"/>
    <n v="4.0410958904109586"/>
    <s v="[]"/>
    <s v="[]"/>
  </r>
  <r>
    <x v="1"/>
    <s v="343 West Wolf Point Plaza"/>
    <x v="39"/>
    <s v="3011"/>
    <n v="30"/>
    <x v="1"/>
    <n v="1"/>
    <m/>
    <x v="23"/>
    <x v="202"/>
    <x v="113"/>
    <x v="0"/>
    <n v="84"/>
    <n v="2631"/>
    <n v="3.4986702127659575"/>
    <n v="2631"/>
    <n v="3.4986702127659575"/>
    <s v="[NorthEast 3-34 Balcony]"/>
    <s v="[balcony_patio]"/>
  </r>
  <r>
    <x v="1"/>
    <s v="343 West Wolf Point Plaza"/>
    <x v="39"/>
    <s v="1911"/>
    <n v="19"/>
    <x v="1"/>
    <n v="1"/>
    <m/>
    <x v="23"/>
    <x v="203"/>
    <x v="45"/>
    <x v="0"/>
    <n v="86"/>
    <n v="2672"/>
    <n v="3.5531914893617023"/>
    <n v="2672"/>
    <n v="3.5531914893617023"/>
    <s v="[NorthEast 3-34 Balcony]"/>
    <s v="[balcony_patio]"/>
  </r>
  <r>
    <x v="1"/>
    <s v="343 West Wolf Point Plaza"/>
    <x v="39"/>
    <m/>
    <m/>
    <x v="1"/>
    <n v="1"/>
    <m/>
    <x v="23"/>
    <x v="199"/>
    <x v="226"/>
    <x v="0"/>
    <n v="157"/>
    <m/>
    <m/>
    <m/>
    <m/>
    <s v="[]"/>
    <s v="[]"/>
  </r>
  <r>
    <x v="1"/>
    <s v="343 West Wolf Point Plaza"/>
    <x v="39"/>
    <s v="1811"/>
    <n v="18"/>
    <x v="1"/>
    <n v="1"/>
    <m/>
    <x v="23"/>
    <x v="20"/>
    <x v="227"/>
    <x v="0"/>
    <n v="30"/>
    <n v="2684"/>
    <n v="3.5691489361702127"/>
    <n v="2684"/>
    <n v="3.5691489361702127"/>
    <s v="[NorthEast 3-34 Balcony]"/>
    <s v="[balcony_patio]"/>
  </r>
  <r>
    <x v="1"/>
    <s v="343 West Wolf Point Plaza"/>
    <x v="39"/>
    <s v="2911"/>
    <n v="29"/>
    <x v="1"/>
    <n v="1"/>
    <m/>
    <x v="23"/>
    <x v="127"/>
    <x v="228"/>
    <x v="0"/>
    <n v="51"/>
    <n v="2781"/>
    <n v="3.6981382978723403"/>
    <n v="2781"/>
    <n v="3.6981382978723403"/>
    <s v="[NorthEast 3-34 Balcony]"/>
    <s v="[balcony_patio]"/>
  </r>
  <r>
    <x v="1"/>
    <s v="343 West Wolf Point Plaza"/>
    <x v="39"/>
    <s v="4211"/>
    <n v="42"/>
    <x v="1"/>
    <n v="1"/>
    <m/>
    <x v="23"/>
    <x v="101"/>
    <x v="47"/>
    <x v="0"/>
    <n v="6"/>
    <n v="2863"/>
    <n v="3.8071808510638299"/>
    <n v="2863"/>
    <n v="3.8071808510638299"/>
    <s v="[NorthEast 35-45 Balcony]"/>
    <s v="[balcony_patio]"/>
  </r>
  <r>
    <x v="1"/>
    <s v="343 West Wolf Point Plaza"/>
    <x v="39"/>
    <s v="0611"/>
    <n v="6"/>
    <x v="1"/>
    <n v="1"/>
    <m/>
    <x v="23"/>
    <x v="20"/>
    <x v="229"/>
    <x v="0"/>
    <n v="45"/>
    <n v="2893"/>
    <n v="3.8470744680851063"/>
    <n v="2893"/>
    <n v="3.8470744680851063"/>
    <s v="[NorthEast 3-34 Balcony]"/>
    <s v="[balcony_patio]"/>
  </r>
  <r>
    <x v="1"/>
    <s v="343 West Wolf Point Plaza"/>
    <x v="39"/>
    <s v="3611"/>
    <n v="36"/>
    <x v="1"/>
    <n v="1"/>
    <m/>
    <x v="23"/>
    <x v="109"/>
    <x v="230"/>
    <x v="0"/>
    <n v="29"/>
    <n v="2901"/>
    <n v="3.8577127659574466"/>
    <n v="2859"/>
    <n v="3.8018617021276597"/>
    <s v="[NorthEast 35-45 Balcony]"/>
    <s v="[balcony_patio]"/>
  </r>
  <r>
    <x v="1"/>
    <s v="343 West Wolf Point Plaza"/>
    <x v="39"/>
    <s v="2511"/>
    <n v="25"/>
    <x v="1"/>
    <n v="1"/>
    <m/>
    <x v="23"/>
    <x v="32"/>
    <x v="209"/>
    <x v="0"/>
    <n v="12"/>
    <n v="3122"/>
    <n v="4.1515957446808507"/>
    <n v="3122"/>
    <n v="4.1515957446808507"/>
    <s v="[Holiday Inn (2-34) NE View Walk in Closet Floors 25-28 Balcony]"/>
    <s v="[walk_in_closet view balcony_patio]"/>
  </r>
  <r>
    <x v="1"/>
    <s v="343 West Wolf Point Plaza"/>
    <x v="39"/>
    <s v="4011"/>
    <n v="40"/>
    <x v="1"/>
    <n v="1"/>
    <m/>
    <x v="23"/>
    <x v="180"/>
    <x v="28"/>
    <x v="1"/>
    <m/>
    <n v="3164"/>
    <n v="4.207446808510638"/>
    <n v="3164"/>
    <n v="4.207446808510638"/>
    <s v="[Floors 39-42 NE View Walk in Closet Balcony]"/>
    <s v="[walk_in_closet view balcony_patio]"/>
  </r>
  <r>
    <x v="1"/>
    <s v="343 West Wolf Point Plaza"/>
    <x v="39"/>
    <s v="3111"/>
    <n v="31"/>
    <x v="1"/>
    <n v="1"/>
    <m/>
    <x v="23"/>
    <x v="86"/>
    <x v="28"/>
    <x v="1"/>
    <m/>
    <n v="3179"/>
    <n v="4.2273936170212769"/>
    <n v="3179"/>
    <n v="4.2273936170212769"/>
    <s v="[Floors 29-34 Holiday Inn (2-34) Walk in Closet Balcony]"/>
    <s v="[walk_in_closet balcony_patio]"/>
  </r>
  <r>
    <x v="1"/>
    <s v="343 West Wolf Point Plaza"/>
    <x v="39"/>
    <s v="3311"/>
    <n v="33"/>
    <x v="1"/>
    <n v="1"/>
    <m/>
    <x v="23"/>
    <x v="204"/>
    <x v="76"/>
    <x v="0"/>
    <n v="68"/>
    <n v="3193"/>
    <n v="4.2460106382978724"/>
    <n v="3193"/>
    <n v="4.2460106382978724"/>
    <s v="[Floors 29-34 Holiday Inn (2-34) NE View Walk in Closet Balcony]"/>
    <s v="[walk_in_closet view balcony_patio]"/>
  </r>
  <r>
    <x v="1"/>
    <s v="343 West Wolf Point Plaza"/>
    <x v="10"/>
    <s v="511"/>
    <n v="5"/>
    <x v="1"/>
    <n v="1"/>
    <m/>
    <x v="23"/>
    <x v="142"/>
    <x v="24"/>
    <x v="0"/>
    <n v="13"/>
    <n v="2675"/>
    <n v="3.5571808510638299"/>
    <n v="2675"/>
    <n v="3.5571808510638299"/>
    <s v="[]"/>
    <s v="[]"/>
  </r>
  <r>
    <x v="1"/>
    <s v="343 West Wolf Point Plaza"/>
    <x v="10"/>
    <s v="1011"/>
    <n v="10"/>
    <x v="1"/>
    <n v="1"/>
    <m/>
    <x v="23"/>
    <x v="130"/>
    <x v="231"/>
    <x v="0"/>
    <m/>
    <n v="2775"/>
    <n v="3.6901595744680851"/>
    <n v="2775"/>
    <n v="3.6901595744680851"/>
    <s v="[]"/>
    <s v="[]"/>
  </r>
  <r>
    <x v="1"/>
    <s v="343 West Wolf Point Plaza"/>
    <x v="10"/>
    <s v="2011"/>
    <n v="20"/>
    <x v="1"/>
    <n v="1"/>
    <m/>
    <x v="23"/>
    <x v="205"/>
    <x v="232"/>
    <x v="0"/>
    <n v="3"/>
    <n v="2775"/>
    <n v="3.6901595744680851"/>
    <n v="2775"/>
    <n v="3.6901595744680851"/>
    <s v="[]"/>
    <s v="[]"/>
  </r>
  <r>
    <x v="1"/>
    <s v="343 West Wolf Point Plaza"/>
    <x v="10"/>
    <s v="2111"/>
    <n v="21"/>
    <x v="1"/>
    <n v="1"/>
    <m/>
    <x v="23"/>
    <x v="164"/>
    <x v="233"/>
    <x v="0"/>
    <n v="61"/>
    <n v="2795"/>
    <n v="3.7167553191489362"/>
    <n v="2795"/>
    <n v="3.7167553191489362"/>
    <s v="[]"/>
    <s v="[]"/>
  </r>
  <r>
    <x v="1"/>
    <s v="343 West Wolf Point Plaza"/>
    <x v="10"/>
    <s v="2211"/>
    <n v="22"/>
    <x v="1"/>
    <n v="1"/>
    <m/>
    <x v="23"/>
    <x v="130"/>
    <x v="234"/>
    <x v="0"/>
    <m/>
    <n v="2850"/>
    <n v="3.7898936170212765"/>
    <n v="2850"/>
    <n v="3.7898936170212765"/>
    <s v="[]"/>
    <s v="[]"/>
  </r>
  <r>
    <x v="1"/>
    <s v="343 West Wolf Point Plaza"/>
    <x v="40"/>
    <s v="0201"/>
    <n v="2"/>
    <x v="1"/>
    <n v="1"/>
    <m/>
    <x v="24"/>
    <x v="206"/>
    <x v="28"/>
    <x v="1"/>
    <m/>
    <n v="3034"/>
    <n v="3.8600508905852418"/>
    <n v="3034"/>
    <n v="3.8600508905852418"/>
    <s v="[East View Walk in Closet Floors 2-4]"/>
    <s v="[walk_in_closet view.direction view]"/>
  </r>
  <r>
    <x v="1"/>
    <s v="343 West Wolf Point Plaza"/>
    <x v="10"/>
    <s v="304"/>
    <n v="3"/>
    <x v="1"/>
    <n v="1"/>
    <m/>
    <x v="25"/>
    <x v="141"/>
    <x v="190"/>
    <x v="0"/>
    <n v="24"/>
    <n v="3295"/>
    <n v="3.9987864077669903"/>
    <n v="3295"/>
    <n v="3.9987864077669903"/>
    <s v="[]"/>
    <s v="[]"/>
  </r>
  <r>
    <x v="1"/>
    <s v="343 West Wolf Point Plaza"/>
    <x v="41"/>
    <s v="2004"/>
    <n v="20"/>
    <x v="1"/>
    <n v="1"/>
    <m/>
    <x v="26"/>
    <x v="74"/>
    <x v="235"/>
    <x v="0"/>
    <n v="22"/>
    <n v="2799"/>
    <n v="3.3682310469314078"/>
    <n v="2799"/>
    <n v="3.3682310469314078"/>
    <s v="[Southeast View 2-32 Balcony]"/>
    <s v="[view.direction view balcony_patio]"/>
  </r>
  <r>
    <x v="1"/>
    <s v="343 West Wolf Point Plaza"/>
    <x v="41"/>
    <s v="2604"/>
    <n v="26"/>
    <x v="1"/>
    <n v="1"/>
    <m/>
    <x v="26"/>
    <x v="71"/>
    <x v="236"/>
    <x v="0"/>
    <n v="4"/>
    <n v="2989"/>
    <n v="3.5968712394705173"/>
    <n v="2944"/>
    <n v="3.542719614921781"/>
    <s v="[Southeast View 2-32 Balcony]"/>
    <s v="[view.direction view balcony_patio]"/>
  </r>
  <r>
    <x v="1"/>
    <s v="343 West Wolf Point Plaza"/>
    <x v="41"/>
    <s v="1704"/>
    <n v="17"/>
    <x v="1"/>
    <n v="1"/>
    <m/>
    <x v="26"/>
    <x v="133"/>
    <x v="123"/>
    <x v="0"/>
    <n v="3"/>
    <n v="3061"/>
    <n v="3.6835138387484956"/>
    <n v="3019"/>
    <n v="3.6329723225030084"/>
    <s v="[Southeast View 2-32 Balcony]"/>
    <s v="[view.direction view balcony_patio]"/>
  </r>
  <r>
    <x v="1"/>
    <s v="343 West Wolf Point Plaza"/>
    <x v="41"/>
    <s v="1404"/>
    <n v="14"/>
    <x v="1"/>
    <n v="1"/>
    <m/>
    <x v="26"/>
    <x v="101"/>
    <x v="122"/>
    <x v="0"/>
    <n v="55"/>
    <n v="3127"/>
    <n v="3.762936221419976"/>
    <n v="2843"/>
    <n v="3.421179302045728"/>
    <s v="[Southeast View 2-32 ADA Balcony]"/>
    <s v="[view.direction view balcony_patio]"/>
  </r>
  <r>
    <x v="1"/>
    <s v="343 West Wolf Point Plaza"/>
    <x v="41"/>
    <m/>
    <m/>
    <x v="1"/>
    <n v="1"/>
    <m/>
    <x v="26"/>
    <x v="75"/>
    <x v="62"/>
    <x v="0"/>
    <n v="162"/>
    <m/>
    <m/>
    <m/>
    <m/>
    <s v="[]"/>
    <s v="[]"/>
  </r>
  <r>
    <x v="1"/>
    <s v="343 West Wolf Point Plaza"/>
    <x v="41"/>
    <s v="4104"/>
    <n v="41"/>
    <x v="1"/>
    <n v="1"/>
    <m/>
    <x v="26"/>
    <x v="207"/>
    <x v="122"/>
    <x v="0"/>
    <n v="40"/>
    <n v="3187"/>
    <n v="3.8351383874849581"/>
    <n v="2897"/>
    <n v="3.4861612515042117"/>
    <s v="[Balcony Southeast View 32-43]"/>
    <s v="[view view.direction balcony_patio]"/>
  </r>
  <r>
    <x v="1"/>
    <s v="343 West Wolf Point Plaza"/>
    <x v="41"/>
    <s v="3404"/>
    <n v="34"/>
    <x v="1"/>
    <n v="1"/>
    <m/>
    <x v="26"/>
    <x v="117"/>
    <x v="237"/>
    <x v="0"/>
    <n v="6"/>
    <n v="3207"/>
    <n v="3.8592057761732854"/>
    <n v="3207"/>
    <n v="3.8592057761732854"/>
    <s v="[Southeast View 32-43 Balcony]"/>
    <s v="[view.direction view balcony_patio]"/>
  </r>
  <r>
    <x v="1"/>
    <s v="343 West Wolf Point Plaza"/>
    <x v="41"/>
    <s v="3004"/>
    <n v="30"/>
    <x v="1"/>
    <n v="1"/>
    <m/>
    <x v="26"/>
    <x v="101"/>
    <x v="238"/>
    <x v="0"/>
    <n v="47"/>
    <n v="3266"/>
    <n v="3.9302045728038508"/>
    <n v="3266"/>
    <n v="3.9302045728038508"/>
    <s v="[Southeast View 2-32 ADA Balcony]"/>
    <s v="[view.direction view balcony_patio]"/>
  </r>
  <r>
    <x v="1"/>
    <s v="343 West Wolf Point Plaza"/>
    <x v="41"/>
    <s v="3204"/>
    <n v="32"/>
    <x v="1"/>
    <n v="1"/>
    <m/>
    <x v="26"/>
    <x v="208"/>
    <x v="238"/>
    <x v="0"/>
    <n v="17"/>
    <n v="3312"/>
    <n v="3.9855595667870034"/>
    <n v="3312"/>
    <n v="3.9855595667870034"/>
    <s v="[Southeast View 2-32 Balcony]"/>
    <s v="[view.direction view balcony_patio]"/>
  </r>
  <r>
    <x v="1"/>
    <s v="343 West Wolf Point Plaza"/>
    <x v="41"/>
    <s v="2504"/>
    <n v="25"/>
    <x v="1"/>
    <n v="1"/>
    <m/>
    <x v="26"/>
    <x v="101"/>
    <x v="61"/>
    <x v="0"/>
    <n v="5"/>
    <n v="3343"/>
    <n v="4.0228640192539107"/>
    <n v="3343"/>
    <n v="4.0228640192539107"/>
    <s v="[Southeast View 2-32 Balcony]"/>
    <s v="[view.direction view balcony_patio]"/>
  </r>
  <r>
    <x v="1"/>
    <s v="343 West Wolf Point Plaza"/>
    <x v="41"/>
    <s v="2304"/>
    <n v="23"/>
    <x v="1"/>
    <n v="1"/>
    <m/>
    <x v="26"/>
    <x v="209"/>
    <x v="235"/>
    <x v="0"/>
    <n v="2"/>
    <n v="2777"/>
    <n v="3.341756919374248"/>
    <n v="2777"/>
    <n v="3.341756919374248"/>
    <s v="[Southeast View 2-32 ADA Balcony]"/>
    <s v="[view.direction view balcony_patio]"/>
  </r>
  <r>
    <x v="1"/>
    <s v="343 West Wolf Point Plaza"/>
    <x v="10"/>
    <s v="704"/>
    <n v="7"/>
    <x v="1"/>
    <n v="1"/>
    <m/>
    <x v="26"/>
    <x v="16"/>
    <x v="223"/>
    <x v="0"/>
    <n v="37"/>
    <n v="3295"/>
    <n v="3.9651022864019252"/>
    <n v="3295"/>
    <n v="3.9651022864019252"/>
    <s v="[]"/>
    <s v="[]"/>
  </r>
  <r>
    <x v="1"/>
    <s v="343 West Wolf Point Plaza"/>
    <x v="10"/>
    <s v="1104"/>
    <n v="11"/>
    <x v="1"/>
    <n v="1"/>
    <m/>
    <x v="26"/>
    <x v="130"/>
    <x v="57"/>
    <x v="0"/>
    <m/>
    <n v="3325"/>
    <n v="4.0012033694344167"/>
    <n v="3048"/>
    <n v="3.6678700361010832"/>
    <s v="[]"/>
    <s v="[]"/>
  </r>
  <r>
    <x v="1"/>
    <s v="343 West Wolf Point Plaza"/>
    <x v="10"/>
    <s v="1304"/>
    <n v="13"/>
    <x v="1"/>
    <n v="1"/>
    <m/>
    <x v="26"/>
    <x v="166"/>
    <x v="239"/>
    <x v="0"/>
    <n v="15"/>
    <n v="3325"/>
    <n v="4.0012033694344167"/>
    <n v="3325"/>
    <n v="4.0012033694344167"/>
    <s v="[]"/>
    <s v="[]"/>
  </r>
  <r>
    <x v="1"/>
    <s v="343 West Wolf Point Plaza"/>
    <x v="10"/>
    <s v="904"/>
    <n v="9"/>
    <x v="1"/>
    <n v="1"/>
    <m/>
    <x v="26"/>
    <x v="168"/>
    <x v="240"/>
    <x v="0"/>
    <n v="47"/>
    <n v="3325"/>
    <n v="4.0012033694344167"/>
    <n v="3325"/>
    <n v="4.0012033694344167"/>
    <s v="[]"/>
    <s v="[]"/>
  </r>
  <r>
    <x v="1"/>
    <s v="343 West Wolf Point Plaza"/>
    <x v="10"/>
    <s v="1804"/>
    <n v="18"/>
    <x v="1"/>
    <n v="1"/>
    <m/>
    <x v="26"/>
    <x v="196"/>
    <x v="35"/>
    <x v="0"/>
    <n v="56"/>
    <n v="3350"/>
    <n v="4.0312876052948257"/>
    <n v="3350"/>
    <n v="4.0312876052948257"/>
    <s v="[]"/>
    <s v="[]"/>
  </r>
  <r>
    <x v="1"/>
    <s v="343 West Wolf Point Plaza"/>
    <x v="10"/>
    <s v="3804"/>
    <n v="38"/>
    <x v="1"/>
    <n v="1"/>
    <m/>
    <x v="26"/>
    <x v="130"/>
    <x v="183"/>
    <x v="0"/>
    <m/>
    <n v="3375"/>
    <n v="4.0613718411552346"/>
    <n v="3375"/>
    <n v="4.0613718411552346"/>
    <s v="[]"/>
    <s v="[]"/>
  </r>
  <r>
    <x v="1"/>
    <s v="343 West Wolf Point Plaza"/>
    <x v="10"/>
    <s v="2804"/>
    <n v="28"/>
    <x v="1"/>
    <n v="1"/>
    <m/>
    <x v="26"/>
    <x v="196"/>
    <x v="35"/>
    <x v="0"/>
    <n v="56"/>
    <n v="3375"/>
    <n v="4.0613718411552346"/>
    <n v="3375"/>
    <n v="4.0613718411552346"/>
    <s v="[]"/>
    <s v="[]"/>
  </r>
  <r>
    <x v="1"/>
    <s v="343 West Wolf Point Plaza"/>
    <x v="10"/>
    <s v="3104"/>
    <n v="31"/>
    <x v="1"/>
    <n v="1"/>
    <m/>
    <x v="26"/>
    <x v="16"/>
    <x v="178"/>
    <x v="0"/>
    <n v="7"/>
    <n v="3395"/>
    <n v="4.085439229843562"/>
    <n v="3395"/>
    <n v="4.085439229843562"/>
    <s v="[]"/>
    <s v="[]"/>
  </r>
  <r>
    <x v="1"/>
    <s v="343 West Wolf Point Plaza"/>
    <x v="10"/>
    <s v="4204"/>
    <n v="42"/>
    <x v="1"/>
    <n v="1"/>
    <m/>
    <x v="26"/>
    <x v="210"/>
    <x v="35"/>
    <x v="0"/>
    <n v="79"/>
    <n v="3450"/>
    <n v="4.1516245487364625"/>
    <n v="3450"/>
    <n v="4.1516245487364625"/>
    <s v="[]"/>
    <s v="[]"/>
  </r>
  <r>
    <x v="1"/>
    <s v="343 West Wolf Point Plaza"/>
    <x v="35"/>
    <s v="0902"/>
    <n v="9"/>
    <x v="1"/>
    <n v="1"/>
    <m/>
    <x v="27"/>
    <x v="211"/>
    <x v="28"/>
    <x v="1"/>
    <m/>
    <n v="3223"/>
    <n v="3.6918671248568158"/>
    <n v="3223"/>
    <n v="3.6918671248568158"/>
    <s v="[Floors 9-11 Linen Closet Walk in Closet East View Balcony]"/>
    <s v="[view.direction walk_in_closet view balcony_patio]"/>
  </r>
  <r>
    <x v="1"/>
    <s v="343 West Wolf Point Plaza"/>
    <x v="10"/>
    <s v="406"/>
    <n v="4"/>
    <x v="1"/>
    <n v="1"/>
    <m/>
    <x v="28"/>
    <x v="145"/>
    <x v="241"/>
    <x v="0"/>
    <n v="72"/>
    <n v="3295"/>
    <n v="3.6408839779005526"/>
    <n v="3295"/>
    <n v="3.6408839779005526"/>
    <s v="[]"/>
    <s v="[]"/>
  </r>
  <r>
    <x v="1"/>
    <s v="343 West Wolf Point Plaza"/>
    <x v="41"/>
    <s v="2404"/>
    <n v="24"/>
    <x v="1"/>
    <n v="1"/>
    <m/>
    <x v="29"/>
    <x v="209"/>
    <x v="235"/>
    <x v="0"/>
    <n v="2"/>
    <n v="2787"/>
    <n v="2.4404553415061296"/>
    <n v="2787"/>
    <n v="2.4404553415061296"/>
    <s v="[Southeast View 2-32 Balcony]"/>
    <s v="[view.direction view balcony_patio]"/>
  </r>
  <r>
    <x v="1"/>
    <s v="343 West Wolf Point Plaza"/>
    <x v="37"/>
    <s v="0409"/>
    <n v="4"/>
    <x v="1"/>
    <n v="1"/>
    <m/>
    <x v="13"/>
    <x v="99"/>
    <x v="29"/>
    <x v="0"/>
    <n v="2"/>
    <n v="2529"/>
    <m/>
    <n v="2529"/>
    <m/>
    <s v="[Floors 2-4 Pantry River West View Stand Up Shower Corner]"/>
    <s v="[corner_unit view.direction view]"/>
  </r>
  <r>
    <x v="1"/>
    <s v="343 West Wolf Point Plaza"/>
    <x v="39"/>
    <s v="0711"/>
    <n v="7"/>
    <x v="1"/>
    <n v="1"/>
    <m/>
    <x v="13"/>
    <x v="79"/>
    <x v="28"/>
    <x v="1"/>
    <m/>
    <n v="3094"/>
    <m/>
    <n v="3094"/>
    <m/>
    <s v="[Floors 5-8 NE View Walk in Closet Balcony]"/>
    <s v="[walk_in_closet view balcony_patio]"/>
  </r>
  <r>
    <x v="1"/>
    <s v="343 West Wolf Point Plaza"/>
    <x v="33"/>
    <s v="2306"/>
    <n v="23"/>
    <x v="1"/>
    <n v="1"/>
    <m/>
    <x v="13"/>
    <x v="163"/>
    <x v="242"/>
    <x v="0"/>
    <n v="17"/>
    <n v="3095"/>
    <m/>
    <n v="3095"/>
    <m/>
    <s v="[Pantry Linen Closet River West View Walk in Closet Balcony Floors 19-24]"/>
    <s v="[walk_in_closet view.direction view balcony_patio]"/>
  </r>
  <r>
    <x v="1"/>
    <s v="343 West Wolf Point Plaza"/>
    <x v="38"/>
    <s v="1010"/>
    <n v="10"/>
    <x v="1"/>
    <n v="1"/>
    <m/>
    <x v="13"/>
    <x v="79"/>
    <x v="28"/>
    <x v="1"/>
    <m/>
    <n v="3189"/>
    <m/>
    <n v="3189"/>
    <m/>
    <s v="[Holiday Inn (2-34) Pantry NW View River Walk in Closet Floors 9-11 Balcony ADA]"/>
    <s v="[walk_in_closet view balcony_patio]"/>
  </r>
  <r>
    <x v="1"/>
    <s v="343 West Wolf Point Plaza"/>
    <x v="42"/>
    <m/>
    <m/>
    <x v="2"/>
    <n v="2"/>
    <m/>
    <x v="30"/>
    <x v="75"/>
    <x v="243"/>
    <x v="0"/>
    <n v="33"/>
    <m/>
    <m/>
    <m/>
    <m/>
    <s v="[]"/>
    <s v="[]"/>
  </r>
  <r>
    <x v="1"/>
    <s v="343 West Wolf Point Plaza"/>
    <x v="43"/>
    <m/>
    <m/>
    <x v="2"/>
    <n v="2"/>
    <m/>
    <x v="31"/>
    <x v="212"/>
    <x v="62"/>
    <x v="0"/>
    <n v="81"/>
    <m/>
    <m/>
    <m/>
    <m/>
    <s v="[]"/>
    <s v="[]"/>
  </r>
  <r>
    <x v="1"/>
    <s v="343 West Wolf Point Plaza"/>
    <x v="43"/>
    <s v="4402"/>
    <n v="44"/>
    <x v="2"/>
    <n v="2"/>
    <m/>
    <x v="31"/>
    <x v="101"/>
    <x v="28"/>
    <x v="1"/>
    <m/>
    <n v="4832"/>
    <n v="4.503261882572227"/>
    <n v="4832"/>
    <n v="4.503261882572227"/>
    <s v="[Floors 43-45 High Ceilings (Floors 43-45) Penthouse Package (43-45) Stand Up Shower]"/>
    <s v="[floor.penthouse floor corner_unit]"/>
  </r>
  <r>
    <x v="1"/>
    <s v="343 West Wolf Point Plaza"/>
    <x v="43"/>
    <s v="4302"/>
    <n v="43"/>
    <x v="2"/>
    <n v="2"/>
    <m/>
    <x v="31"/>
    <x v="32"/>
    <x v="28"/>
    <x v="1"/>
    <m/>
    <n v="4901"/>
    <n v="4.5675675675675675"/>
    <n v="4901"/>
    <n v="4.5675675675675675"/>
    <s v="[Floors 43-45 High Ceilings (Floors 43-45) Pantry Penthouse Package (43-45) Sales Force Tower Stand Up Shower Balcony East View Double Sink Double Walk in Closet]"/>
    <s v="[floor.penthouse view balcony_patio walk_in_closet floor view.direction corner_unit]"/>
  </r>
  <r>
    <x v="1"/>
    <s v="343 West Wolf Point Plaza"/>
    <x v="44"/>
    <s v="1105"/>
    <n v="11"/>
    <x v="2"/>
    <n v="2"/>
    <m/>
    <x v="32"/>
    <x v="1"/>
    <x v="244"/>
    <x v="0"/>
    <n v="110"/>
    <n v="3996"/>
    <n v="3.508340649692713"/>
    <n v="3996"/>
    <n v="3.508340649692713"/>
    <s v="[Stand Up Shower Southwest View Balcony]"/>
    <s v="[view.direction view balcony_patio balcony_patio]"/>
  </r>
  <r>
    <x v="1"/>
    <s v="343 West Wolf Point Plaza"/>
    <x v="44"/>
    <s v="1305"/>
    <n v="13"/>
    <x v="2"/>
    <n v="2"/>
    <m/>
    <x v="32"/>
    <x v="101"/>
    <x v="245"/>
    <x v="0"/>
    <n v="107"/>
    <n v="4112"/>
    <n v="3.6101843722563651"/>
    <n v="4112"/>
    <n v="3.6101843722563651"/>
    <s v="[Stand Up Shower Southwest View Balcony]"/>
    <s v="[view.direction view balcony_patio balcony_patio]"/>
  </r>
  <r>
    <x v="1"/>
    <s v="343 West Wolf Point Plaza"/>
    <x v="44"/>
    <s v="2005"/>
    <n v="20"/>
    <x v="2"/>
    <n v="2"/>
    <m/>
    <x v="32"/>
    <x v="177"/>
    <x v="126"/>
    <x v="0"/>
    <n v="81"/>
    <n v="4140"/>
    <n v="3.6347673397717295"/>
    <n v="4140"/>
    <n v="3.6347673397717295"/>
    <s v="[Stand Up Shower Southwest View Balcony]"/>
    <s v="[view.direction view balcony_patio balcony_patio]"/>
  </r>
  <r>
    <x v="1"/>
    <s v="343 West Wolf Point Plaza"/>
    <x v="44"/>
    <s v="1605"/>
    <n v="16"/>
    <x v="2"/>
    <n v="2"/>
    <m/>
    <x v="32"/>
    <x v="151"/>
    <x v="246"/>
    <x v="0"/>
    <n v="13"/>
    <n v="4170"/>
    <n v="3.6611062335381912"/>
    <n v="4170"/>
    <n v="3.6611062335381912"/>
    <s v="[Stand Up Shower Southwest View Balcony]"/>
    <s v="[view.direction view balcony_patio balcony_patio]"/>
  </r>
  <r>
    <x v="1"/>
    <s v="343 West Wolf Point Plaza"/>
    <x v="44"/>
    <s v="1405"/>
    <n v="14"/>
    <x v="2"/>
    <n v="2"/>
    <m/>
    <x v="32"/>
    <x v="101"/>
    <x v="247"/>
    <x v="0"/>
    <n v="103"/>
    <n v="4193"/>
    <n v="3.6812993854258123"/>
    <n v="4193"/>
    <n v="3.6812993854258123"/>
    <s v="[Stand Up Shower Southwest View ADA Balcony]"/>
    <s v="[view.direction view balcony_patio balcony_patio]"/>
  </r>
  <r>
    <x v="1"/>
    <s v="343 West Wolf Point Plaza"/>
    <x v="44"/>
    <s v="2205"/>
    <n v="22"/>
    <x v="2"/>
    <n v="2"/>
    <m/>
    <x v="32"/>
    <x v="109"/>
    <x v="212"/>
    <x v="0"/>
    <n v="26"/>
    <n v="4355"/>
    <n v="3.8235294117647061"/>
    <n v="4319"/>
    <n v="3.7919227392449515"/>
    <s v="[Southwest View Stand Up Shower Balcony]"/>
    <s v="[view.direction view balcony_patio balcony_patio]"/>
  </r>
  <r>
    <x v="1"/>
    <s v="343 West Wolf Point Plaza"/>
    <x v="44"/>
    <s v="3505"/>
    <n v="35"/>
    <x v="2"/>
    <n v="2"/>
    <m/>
    <x v="32"/>
    <x v="174"/>
    <x v="248"/>
    <x v="0"/>
    <n v="83"/>
    <n v="4361"/>
    <n v="3.8287971905179981"/>
    <n v="4361"/>
    <n v="3.8287971905179981"/>
    <s v="[Southwest View Stand Up Shower Balcony]"/>
    <s v="[view.direction view balcony_patio balcony_patio]"/>
  </r>
  <r>
    <x v="1"/>
    <s v="343 West Wolf Point Plaza"/>
    <x v="44"/>
    <s v="3405"/>
    <n v="34"/>
    <x v="2"/>
    <n v="2"/>
    <m/>
    <x v="32"/>
    <x v="151"/>
    <x v="249"/>
    <x v="0"/>
    <n v="29"/>
    <n v="4412"/>
    <n v="3.8735733099209835"/>
    <n v="4412"/>
    <n v="3.8735733099209835"/>
    <s v="[Southwest View Stand Up Shower Balcony]"/>
    <s v="[view.direction view balcony_patio balcony_patio]"/>
  </r>
  <r>
    <x v="1"/>
    <s v="343 West Wolf Point Plaza"/>
    <x v="44"/>
    <s v="1205"/>
    <n v="12"/>
    <x v="2"/>
    <n v="2"/>
    <m/>
    <x v="32"/>
    <x v="101"/>
    <x v="194"/>
    <x v="0"/>
    <n v="3"/>
    <n v="4449"/>
    <n v="3.9060579455662863"/>
    <n v="4171"/>
    <n v="3.6619841966637403"/>
    <s v="[Stand Up Shower Southwest View Balcony]"/>
    <s v="[view.direction view balcony_patio balcony_patio]"/>
  </r>
  <r>
    <x v="1"/>
    <s v="343 West Wolf Point Plaza"/>
    <x v="44"/>
    <m/>
    <m/>
    <x v="2"/>
    <n v="2"/>
    <m/>
    <x v="32"/>
    <x v="75"/>
    <x v="62"/>
    <x v="0"/>
    <n v="162"/>
    <m/>
    <m/>
    <m/>
    <m/>
    <s v="[]"/>
    <s v="[]"/>
  </r>
  <r>
    <x v="1"/>
    <s v="343 West Wolf Point Plaza"/>
    <x v="44"/>
    <s v="0705"/>
    <n v="7"/>
    <x v="2"/>
    <n v="2"/>
    <m/>
    <x v="32"/>
    <x v="101"/>
    <x v="236"/>
    <x v="0"/>
    <n v="58"/>
    <n v="4529"/>
    <n v="3.9762949956101843"/>
    <n v="4496"/>
    <n v="3.9473222124670766"/>
    <s v="[Stand Up Shower Southwest View ADA Balcony]"/>
    <s v="[view.direction view balcony_patio balcony_patio]"/>
  </r>
  <r>
    <x v="1"/>
    <s v="343 West Wolf Point Plaza"/>
    <x v="44"/>
    <s v="2605"/>
    <n v="26"/>
    <x v="2"/>
    <n v="2"/>
    <m/>
    <x v="32"/>
    <x v="213"/>
    <x v="137"/>
    <x v="0"/>
    <n v="32"/>
    <n v="4636"/>
    <n v="4.0702370500438985"/>
    <n v="4636"/>
    <n v="4.0702370500438985"/>
    <s v="[Corner Floors 25-28 River Stand Up Shower SW View Balcony Double Sink Double Walk in Closet]"/>
    <s v="[corner_unit walk_in_closet view balcony_patio balcony_patio]"/>
  </r>
  <r>
    <x v="1"/>
    <s v="343 West Wolf Point Plaza"/>
    <x v="44"/>
    <s v="3705"/>
    <n v="37"/>
    <x v="2"/>
    <n v="2"/>
    <m/>
    <x v="32"/>
    <x v="74"/>
    <x v="28"/>
    <x v="1"/>
    <m/>
    <n v="4897"/>
    <n v="4.2993854258121162"/>
    <n v="4897"/>
    <n v="4.2993854258121162"/>
    <s v="[Corner Floors 35-38 River Stand Up Shower SW View Balcony Double Sink Double Walk in Closet]"/>
    <s v="[corner_unit walk_in_closet view balcony_patio balcony_patio]"/>
  </r>
  <r>
    <x v="1"/>
    <s v="343 West Wolf Point Plaza"/>
    <x v="44"/>
    <s v="2905"/>
    <n v="29"/>
    <x v="2"/>
    <n v="2"/>
    <m/>
    <x v="32"/>
    <x v="214"/>
    <x v="149"/>
    <x v="0"/>
    <n v="7"/>
    <n v="5342"/>
    <n v="4.6900790166812998"/>
    <n v="5342"/>
    <n v="4.6900790166812998"/>
    <s v="[Stand Up Shower Southwest View Balcony]"/>
    <s v="[view.direction view balcony_patio balcony_patio]"/>
  </r>
  <r>
    <x v="1"/>
    <s v="343 West Wolf Point Plaza"/>
    <x v="44"/>
    <s v="2505"/>
    <n v="25"/>
    <x v="2"/>
    <n v="2"/>
    <m/>
    <x v="32"/>
    <x v="140"/>
    <x v="250"/>
    <x v="0"/>
    <n v="39"/>
    <n v="5878"/>
    <n v="5.1606672519754166"/>
    <n v="5878"/>
    <n v="5.1606672519754166"/>
    <s v="[Corner River Floors 25-28 Stand Up Shower SW View Balcony Double Sink Double Walk in Closet]"/>
    <s v="[corner_unit walk_in_closet view balcony_patio balcony_patio]"/>
  </r>
  <r>
    <x v="1"/>
    <s v="343 West Wolf Point Plaza"/>
    <x v="10"/>
    <s v="805"/>
    <n v="8"/>
    <x v="2"/>
    <n v="2"/>
    <m/>
    <x v="32"/>
    <x v="145"/>
    <x v="35"/>
    <x v="0"/>
    <n v="105"/>
    <n v="4495"/>
    <n v="3.9464442493415275"/>
    <n v="4495"/>
    <n v="3.9464442493415275"/>
    <s v="[]"/>
    <s v="[]"/>
  </r>
  <r>
    <x v="1"/>
    <s v="343 West Wolf Point Plaza"/>
    <x v="10"/>
    <s v="1705"/>
    <n v="17"/>
    <x v="2"/>
    <n v="2"/>
    <m/>
    <x v="32"/>
    <x v="215"/>
    <x v="35"/>
    <x v="0"/>
    <n v="8"/>
    <n v="4550"/>
    <n v="3.9947322212467076"/>
    <n v="4550"/>
    <n v="3.9947322212467076"/>
    <s v="[]"/>
    <s v="[]"/>
  </r>
  <r>
    <x v="1"/>
    <s v="343 West Wolf Point Plaza"/>
    <x v="10"/>
    <s v="4301"/>
    <n v="43"/>
    <x v="2"/>
    <n v="2"/>
    <m/>
    <x v="33"/>
    <x v="130"/>
    <x v="35"/>
    <x v="0"/>
    <m/>
    <n v="5129"/>
    <n v="4.4291882556131261"/>
    <n v="5129"/>
    <n v="4.4291882556131261"/>
    <s v="[]"/>
    <s v="[]"/>
  </r>
  <r>
    <x v="1"/>
    <s v="343 West Wolf Point Plaza"/>
    <x v="45"/>
    <m/>
    <m/>
    <x v="2"/>
    <n v="2"/>
    <m/>
    <x v="34"/>
    <x v="216"/>
    <x v="62"/>
    <x v="0"/>
    <n v="68"/>
    <m/>
    <m/>
    <m/>
    <m/>
    <s v="[]"/>
    <s v="[]"/>
  </r>
  <r>
    <x v="1"/>
    <s v="343 West Wolf Point Plaza"/>
    <x v="45"/>
    <s v="4306"/>
    <n v="43"/>
    <x v="2"/>
    <n v="2"/>
    <m/>
    <x v="34"/>
    <x v="101"/>
    <x v="28"/>
    <x v="1"/>
    <m/>
    <n v="4896"/>
    <n v="4.1917808219178081"/>
    <n v="4896"/>
    <n v="4.1917808219178081"/>
    <s v="[Corner Floors 43-45 High Ceilings (Floors 43-45) Pantry Linen Closet NW View River Penthouse Package (43-45) Stand Up Shower Balcony Double Sink Double Walk in Closet]"/>
    <s v="[corner_unit floor.penthouse view balcony_patio walk_in_closet floor]"/>
  </r>
  <r>
    <x v="1"/>
    <s v="343 West Wolf Point Plaza"/>
    <x v="46"/>
    <s v="4503"/>
    <n v="45"/>
    <x v="2"/>
    <n v="2"/>
    <m/>
    <x v="35"/>
    <x v="101"/>
    <x v="194"/>
    <x v="0"/>
    <n v="3"/>
    <n v="4620"/>
    <n v="3.6724960254372019"/>
    <n v="4331"/>
    <n v="3.4427662957074721"/>
    <s v="[West View 21-43 Stand Up Shower ADA Penthouse Linen Closet]"/>
    <s v="[floor view.direction floor.penthouse view]"/>
  </r>
  <r>
    <x v="1"/>
    <s v="343 West Wolf Point Plaza"/>
    <x v="46"/>
    <m/>
    <m/>
    <x v="2"/>
    <n v="2"/>
    <m/>
    <x v="35"/>
    <x v="217"/>
    <x v="62"/>
    <x v="0"/>
    <n v="117"/>
    <m/>
    <m/>
    <m/>
    <m/>
    <s v="[]"/>
    <s v="[]"/>
  </r>
  <r>
    <x v="1"/>
    <s v="343 West Wolf Point Plaza"/>
    <x v="47"/>
    <s v="0210"/>
    <n v="2"/>
    <x v="2"/>
    <n v="2"/>
    <m/>
    <x v="36"/>
    <x v="101"/>
    <x v="28"/>
    <x v="1"/>
    <m/>
    <n v="4319"/>
    <n v="3.4277777777777776"/>
    <n v="4319"/>
    <n v="3.4277777777777776"/>
    <s v="[Double Walk in Closet NE View Holiday Inn (2-34) Floors 2-4 Linen Closet Stand Up Shower Balcony ADA Upgraded Appliances]"/>
    <s v="[renovated walk_in_closet view balcony_patio]"/>
  </r>
  <r>
    <x v="1"/>
    <s v="343 West Wolf Point Plaza"/>
    <x v="47"/>
    <m/>
    <m/>
    <x v="2"/>
    <n v="2"/>
    <m/>
    <x v="36"/>
    <x v="199"/>
    <x v="42"/>
    <x v="0"/>
    <n v="145"/>
    <m/>
    <m/>
    <m/>
    <m/>
    <s v="[]"/>
    <s v="[]"/>
  </r>
  <r>
    <x v="1"/>
    <s v="343 West Wolf Point Plaza"/>
    <x v="48"/>
    <s v="4407"/>
    <n v="44"/>
    <x v="2"/>
    <n v="2"/>
    <m/>
    <x v="37"/>
    <x v="101"/>
    <x v="251"/>
    <x v="0"/>
    <n v="59"/>
    <n v="4532"/>
    <n v="3.5600942655145325"/>
    <n v="4499"/>
    <n v="3.5341712490180677"/>
    <s v="[West View 21-43 Stand Up Shower Penthouse]"/>
    <s v="[floor view.direction floor.penthouse view]"/>
  </r>
  <r>
    <x v="1"/>
    <s v="343 West Wolf Point Plaza"/>
    <x v="48"/>
    <m/>
    <m/>
    <x v="2"/>
    <n v="2"/>
    <m/>
    <x v="37"/>
    <x v="218"/>
    <x v="62"/>
    <x v="0"/>
    <n v="52"/>
    <m/>
    <m/>
    <m/>
    <m/>
    <s v="[]"/>
    <s v="[]"/>
  </r>
  <r>
    <x v="1"/>
    <s v="343 West Wolf Point Plaza"/>
    <x v="49"/>
    <m/>
    <m/>
    <x v="2"/>
    <n v="2"/>
    <m/>
    <x v="38"/>
    <x v="199"/>
    <x v="252"/>
    <x v="0"/>
    <n v="139"/>
    <m/>
    <m/>
    <m/>
    <m/>
    <s v="[]"/>
    <s v="[]"/>
  </r>
  <r>
    <x v="1"/>
    <s v="343 West Wolf Point Plaza"/>
    <x v="10"/>
    <s v="4304"/>
    <n v="43"/>
    <x v="2"/>
    <n v="2"/>
    <m/>
    <x v="38"/>
    <x v="130"/>
    <x v="183"/>
    <x v="0"/>
    <m/>
    <n v="5220"/>
    <n v="3.8269794721407626"/>
    <n v="5220"/>
    <n v="3.8269794721407626"/>
    <s v="[]"/>
    <s v="[]"/>
  </r>
  <r>
    <x v="1"/>
    <s v="343 West Wolf Point Plaza"/>
    <x v="10"/>
    <s v="4404"/>
    <n v="44"/>
    <x v="2"/>
    <n v="2"/>
    <m/>
    <x v="38"/>
    <x v="182"/>
    <x v="35"/>
    <x v="0"/>
    <n v="103"/>
    <n v="5220"/>
    <n v="3.8269794721407626"/>
    <n v="5220"/>
    <n v="3.8269794721407626"/>
    <s v="[]"/>
    <s v="[]"/>
  </r>
  <r>
    <x v="1"/>
    <s v="343 West Wolf Point Plaza"/>
    <x v="50"/>
    <s v="4504"/>
    <n v="45"/>
    <x v="2"/>
    <n v="2"/>
    <m/>
    <x v="39"/>
    <x v="219"/>
    <x v="236"/>
    <x v="0"/>
    <n v="33"/>
    <n v="5071"/>
    <n v="3.5436757512229211"/>
    <n v="5038"/>
    <n v="3.5206149545772187"/>
    <s v="[West View 21-43 Stand Up Shower Penthouse Linen Closet Balcony Southeast View 32-43]"/>
    <s v="[floor.penthouse view balcony_patio floor view.direction]"/>
  </r>
  <r>
    <x v="1"/>
    <s v="343 West Wolf Point Plaza"/>
    <x v="50"/>
    <m/>
    <m/>
    <x v="2"/>
    <n v="2"/>
    <m/>
    <x v="39"/>
    <x v="220"/>
    <x v="253"/>
    <x v="0"/>
    <n v="28"/>
    <m/>
    <m/>
    <m/>
    <m/>
    <s v="[]"/>
    <s v="[]"/>
  </r>
  <r>
    <x v="1"/>
    <s v="343 West Wolf Point Plaza"/>
    <x v="44"/>
    <s v="4105"/>
    <n v="41"/>
    <x v="2"/>
    <n v="2"/>
    <m/>
    <x v="13"/>
    <x v="221"/>
    <x v="113"/>
    <x v="0"/>
    <n v="7"/>
    <n v="4145"/>
    <m/>
    <n v="4145"/>
    <m/>
    <s v="[Southwest View Stand Up Shower Balcony]"/>
    <s v="[view.direction view balcony_patio balcony_patio]"/>
  </r>
  <r>
    <x v="1"/>
    <s v="343 West Wolf Point Plaza"/>
    <x v="51"/>
    <s v="4403"/>
    <n v="44"/>
    <x v="4"/>
    <n v="2"/>
    <n v="1"/>
    <x v="40"/>
    <x v="101"/>
    <x v="28"/>
    <x v="1"/>
    <m/>
    <n v="7142"/>
    <n v="3.9048660470202297"/>
    <n v="7142"/>
    <n v="3.9048660470202297"/>
    <s v="[Floors 43-45 High Ceilings (Floors 43-45) Penthouse Package (43-45) Sales Force Tower Stand Up Shower]"/>
    <s v="[floor.penthouse floor corner_unit]"/>
  </r>
  <r>
    <x v="1"/>
    <s v="343 West Wolf Point Plaza"/>
    <x v="51"/>
    <m/>
    <m/>
    <x v="4"/>
    <n v="2"/>
    <n v="1"/>
    <x v="40"/>
    <x v="100"/>
    <x v="62"/>
    <x v="0"/>
    <n v="7"/>
    <m/>
    <m/>
    <m/>
    <m/>
    <s v="[]"/>
    <s v="[]"/>
  </r>
  <r>
    <x v="2"/>
    <s v="71 West Hubbard Street"/>
    <x v="52"/>
    <s v="3809"/>
    <n v="38"/>
    <x v="0"/>
    <n v="1"/>
    <m/>
    <x v="41"/>
    <x v="160"/>
    <x v="254"/>
    <x v="0"/>
    <n v="189"/>
    <n v="2216"/>
    <n v="3.9571428571428573"/>
    <n v="2216"/>
    <n v="3.9571428571428573"/>
    <s v="[Smoke Free Community Lake View Tier Two Level 38 - Studio NEST Thermostats Eastern Exposure Pantry Closet Smoke Free Unit Graphite Oak Floors Upgraded Home Cats - 2 pet max per unit Dog&lt;75lbs - 2 pet max/unit Dog Floor]"/>
    <s v="[renovated view.water floor view]"/>
  </r>
  <r>
    <x v="2"/>
    <s v="71 West Hubbard Street"/>
    <x v="52"/>
    <s v="4409"/>
    <n v="44"/>
    <x v="0"/>
    <n v="1"/>
    <m/>
    <x v="41"/>
    <x v="222"/>
    <x v="255"/>
    <x v="0"/>
    <n v="553"/>
    <n v="2274"/>
    <n v="4.0607142857142859"/>
    <n v="2274"/>
    <n v="4.0607142857142859"/>
    <s v="[Smoke Free Community Lake View Tier Two Level 44 - Studio NEST Thermostats Eastern Exposure Pantry Closet Smoke Free Unit Dog Floor Graphite Oak Floors Wood floors throughout Upgraded Home Cats - 2 pet max per unit 7 FT 8 IN Kitchen Ceiling Dog&lt;75lbs - 2 pet max/unit]"/>
    <s v="[renovated view.water floor view]"/>
  </r>
  <r>
    <x v="2"/>
    <s v="71 West Hubbard Street"/>
    <x v="52"/>
    <s v="3409"/>
    <n v="34"/>
    <x v="0"/>
    <n v="1"/>
    <m/>
    <x v="41"/>
    <x v="223"/>
    <x v="28"/>
    <x v="1"/>
    <m/>
    <n v="2309"/>
    <n v="4.1232142857142859"/>
    <n v="2309"/>
    <n v="4.1232142857142859"/>
    <s v="[Smoke Free Community Lake View Tier Two Level 34 - Studio NEST Thermostats Eastern Exposure Pantry Closet Smoke Free Unit Graphite Oak Floors Wood floors throughout Upgraded Home Cats - 2 pet max per unit]"/>
    <s v="[renovated view.water floor view]"/>
  </r>
  <r>
    <x v="2"/>
    <s v="71 West Hubbard Street"/>
    <x v="52"/>
    <s v="3509"/>
    <n v="35"/>
    <x v="0"/>
    <n v="1"/>
    <m/>
    <x v="41"/>
    <x v="224"/>
    <x v="28"/>
    <x v="1"/>
    <m/>
    <n v="2334"/>
    <n v="4.1678571428571427"/>
    <n v="2334"/>
    <n v="4.1678571428571427"/>
    <s v="[Smoke Free Community Lake View Tier Two Level 35 - Studio NEST Thermostats Eastern Exposure Pantry Closet Smoke Free Unit Graphite Oak Floors Upgraded Home Cats - 2 pet max per unit Dog Floor]"/>
    <s v="[renovated view.water floor view]"/>
  </r>
  <r>
    <x v="2"/>
    <s v="71 West Hubbard Street"/>
    <x v="52"/>
    <s v="4109"/>
    <n v="41"/>
    <x v="0"/>
    <n v="1"/>
    <m/>
    <x v="41"/>
    <x v="225"/>
    <x v="256"/>
    <x v="0"/>
    <n v="92"/>
    <n v="2371"/>
    <n v="4.2339285714285717"/>
    <n v="2371"/>
    <n v="4.2339285714285717"/>
    <s v="[Lake View Tier Two Level 41 - Studio NEST Thermostats Eastern Exposure Pantry Closet Smoke Free Unit Wood floors throughout White Oak Floors Upgraded Home Cats - 2 pet max per unit Smoke Free Community]"/>
    <s v="[renovated view.water floor view]"/>
  </r>
  <r>
    <x v="2"/>
    <s v="71 West Hubbard Street"/>
    <x v="52"/>
    <s v="4309"/>
    <n v="43"/>
    <x v="0"/>
    <n v="1"/>
    <m/>
    <x v="41"/>
    <x v="203"/>
    <x v="18"/>
    <x v="0"/>
    <n v="57"/>
    <n v="2470"/>
    <n v="4.4107142857142856"/>
    <n v="2470"/>
    <n v="4.4107142857142856"/>
    <s v="[Smoke Free Community Lake View Tier Two Level 43 - Studio NEST Thermostats Eastern Exposure Pantry Closet Smoke Free Unit Dog Floor Graphite Oak Floors Wood floors throughout Upgraded Home Cats - 2 pet max per unit Dog&lt;75lbs - 2 pet max/unit Light Fixture Upgrade]"/>
    <s v="[view view.water floor renovated]"/>
  </r>
  <r>
    <x v="2"/>
    <s v="71 West Hubbard Street"/>
    <x v="52"/>
    <s v="4009"/>
    <n v="40"/>
    <x v="0"/>
    <n v="1"/>
    <m/>
    <x v="41"/>
    <x v="130"/>
    <x v="31"/>
    <x v="0"/>
    <m/>
    <n v="2238"/>
    <n v="3.9964285714285714"/>
    <n v="2238"/>
    <n v="3.9964285714285714"/>
    <s v="[]"/>
    <s v="[]"/>
  </r>
  <r>
    <x v="2"/>
    <s v="71 West Hubbard Street"/>
    <x v="52"/>
    <s v="3909"/>
    <n v="39"/>
    <x v="0"/>
    <n v="1"/>
    <m/>
    <x v="41"/>
    <x v="226"/>
    <x v="257"/>
    <x v="0"/>
    <n v="35"/>
    <n v="2277"/>
    <n v="4.066071428571429"/>
    <n v="2277"/>
    <n v="4.066071428571429"/>
    <s v="[]"/>
    <s v="[]"/>
  </r>
  <r>
    <x v="2"/>
    <s v="71 West Hubbard Street"/>
    <x v="52"/>
    <s v="3709"/>
    <n v="37"/>
    <x v="0"/>
    <n v="1"/>
    <m/>
    <x v="41"/>
    <x v="25"/>
    <x v="162"/>
    <x v="0"/>
    <n v="54"/>
    <n v="2316"/>
    <n v="4.1357142857142861"/>
    <n v="2316"/>
    <n v="4.1357142857142861"/>
    <s v="[]"/>
    <s v="[]"/>
  </r>
  <r>
    <x v="2"/>
    <s v="71 West Hubbard Street"/>
    <x v="53"/>
    <s v="2807"/>
    <n v="28"/>
    <x v="0"/>
    <n v="1"/>
    <m/>
    <x v="42"/>
    <x v="159"/>
    <x v="130"/>
    <x v="0"/>
    <n v="9"/>
    <n v="2240"/>
    <n v="3.9160839160839163"/>
    <n v="2240"/>
    <n v="3.9160839160839163"/>
    <s v="[Smoke Free Community Level 28 - Studio NEST Thermostats Upgraded Home Smoke Free Unit South View Tier One Southern Exposure Graphite Oak Floors Cats - 2 pet max per unit]"/>
    <s v="[view.direction floor renovated view]"/>
  </r>
  <r>
    <x v="2"/>
    <s v="71 West Hubbard Street"/>
    <x v="53"/>
    <s v="1707"/>
    <n v="17"/>
    <x v="0"/>
    <n v="1"/>
    <m/>
    <x v="42"/>
    <x v="227"/>
    <x v="258"/>
    <x v="0"/>
    <n v="4"/>
    <n v="2263"/>
    <n v="3.9562937062937062"/>
    <n v="2263"/>
    <n v="3.9562937062937062"/>
    <s v="[Smoke Free Community Level 17 - Studio Location - Pool View NEST Thermostats Smoke Free Unit Southern Exposure White Oak Floors Cats - 2 pet max per unit Upgraded Home]"/>
    <s v="[renovated floor view view.pool]"/>
  </r>
  <r>
    <x v="2"/>
    <s v="71 West Hubbard Street"/>
    <x v="53"/>
    <s v="2307"/>
    <n v="23"/>
    <x v="0"/>
    <n v="1"/>
    <m/>
    <x v="42"/>
    <x v="53"/>
    <x v="217"/>
    <x v="0"/>
    <n v="70"/>
    <n v="2280"/>
    <n v="3.9860139860139858"/>
    <n v="2280"/>
    <n v="3.9860139860139858"/>
    <s v="[Smoke Free Community Level 23 - Studio NEST Thermostats Upgraded Home Smoke Free Unit South View Tier One Southern Exposure Dog Floor Graphite Oak Floors Cats - 2 pet max per unit Dog&lt;75lbs - 2 pet max/unit]"/>
    <s v="[view.direction floor renovated view]"/>
  </r>
  <r>
    <x v="2"/>
    <s v="71 West Hubbard Street"/>
    <x v="53"/>
    <s v="2007"/>
    <n v="20"/>
    <x v="0"/>
    <n v="1"/>
    <m/>
    <x v="42"/>
    <x v="48"/>
    <x v="259"/>
    <x v="0"/>
    <n v="228"/>
    <n v="2294"/>
    <n v="4.0104895104895109"/>
    <n v="2294"/>
    <n v="4.0104895104895109"/>
    <s v="[Smoke Free Community Level 20 - Studio Location - Pool View NEST Thermostats Smoke Free Unit Southern Exposure Graphite Oak Floors Upgraded Home Cats - 2 pet max per unit Dog&lt;75lbs - 2 pet max/unit Dog Floor]"/>
    <s v="[renovated floor view view.pool]"/>
  </r>
  <r>
    <x v="2"/>
    <s v="71 West Hubbard Street"/>
    <x v="53"/>
    <s v="4106"/>
    <n v="41"/>
    <x v="0"/>
    <n v="1"/>
    <m/>
    <x v="42"/>
    <x v="228"/>
    <x v="98"/>
    <x v="0"/>
    <n v="157"/>
    <n v="2321"/>
    <n v="4.0576923076923075"/>
    <n v="2321"/>
    <n v="4.0576923076923075"/>
    <s v="[Smoke Free Community Level 41 - Studio NEST Thermostats Smoke Free Unit South View Tier Two Southern Exposure Wood floors throughout White Oak Floors Upgraded Home Cats - 2 pet max per unit]"/>
    <s v="[renovated floor view.direction view]"/>
  </r>
  <r>
    <x v="2"/>
    <s v="71 West Hubbard Street"/>
    <x v="53"/>
    <s v="2507"/>
    <n v="25"/>
    <x v="0"/>
    <n v="1"/>
    <m/>
    <x v="42"/>
    <x v="229"/>
    <x v="259"/>
    <x v="0"/>
    <n v="16"/>
    <n v="2329"/>
    <n v="4.0716783216783217"/>
    <n v="2329"/>
    <n v="4.0716783216783217"/>
    <s v="[Smoke Free Community Level 25 - Studio NEST Thermostats Smoke Free Unit South View Tier One Southern Exposure Graphite Oak Floors Front Loading Washer and Dryer Upgraded Home Cats - 2 pet max per unit Dog&lt;75lbs - 2 pet max/unit Dog Floor]"/>
    <s v="[renovated view washer_dryer floor view.direction]"/>
  </r>
  <r>
    <x v="2"/>
    <s v="71 West Hubbard Street"/>
    <x v="53"/>
    <s v="3406"/>
    <n v="34"/>
    <x v="0"/>
    <n v="1"/>
    <m/>
    <x v="42"/>
    <x v="230"/>
    <x v="260"/>
    <x v="0"/>
    <n v="28"/>
    <n v="2410"/>
    <n v="4.2132867132867133"/>
    <n v="2410"/>
    <n v="4.2132867132867133"/>
    <s v="[Level 34 - Studio NEST Thermostats Smoke Free Unit South View Tier Two Southern Exposure Graphite Oak Floors Wood floors throughout Upgraded Home Cats - 2 pet max per unit Smoke Free Community Light Fixture Upgrade]"/>
    <s v="[view.direction view floor renovated]"/>
  </r>
  <r>
    <x v="2"/>
    <s v="71 West Hubbard Street"/>
    <x v="53"/>
    <s v="4406"/>
    <n v="44"/>
    <x v="0"/>
    <n v="1"/>
    <m/>
    <x v="42"/>
    <x v="185"/>
    <x v="125"/>
    <x v="0"/>
    <n v="94"/>
    <n v="2424"/>
    <n v="4.2377622377622375"/>
    <n v="2424"/>
    <n v="4.2377622377622375"/>
    <s v="[Smoke Free Community Level 44 - Studio NEST Thermostats Smoke Free Unit South View Tier Two Southern Exposure Dog Floor Graphite Oak Floors Wood floors throughout Upgraded Home Cats - 2 pet max per unit 7 FT 8 IN Kitchen Ceiling Dog&lt;75lbs - 2 pet max/unit]"/>
    <s v="[renovated floor view.direction view]"/>
  </r>
  <r>
    <x v="2"/>
    <s v="71 West Hubbard Street"/>
    <x v="53"/>
    <s v="2207"/>
    <n v="22"/>
    <x v="0"/>
    <n v="1"/>
    <m/>
    <x v="42"/>
    <x v="32"/>
    <x v="96"/>
    <x v="0"/>
    <n v="11"/>
    <n v="2435"/>
    <n v="4.2569930069930066"/>
    <n v="2435"/>
    <n v="4.2569930069930066"/>
    <s v="[Smoke Free Community Level 22 - Studio NEST Thermostats Smoke Free Unit South View Tier One Southern Exposure White Oak Floors Upgraded Home Cats - 2 pet max per unit Dog&lt;75lbs - 2 pet max/unit Dog Floor]"/>
    <s v="[renovated floor view.direction view]"/>
  </r>
  <r>
    <x v="2"/>
    <s v="71 West Hubbard Street"/>
    <x v="53"/>
    <s v="2607"/>
    <n v="26"/>
    <x v="0"/>
    <n v="1"/>
    <m/>
    <x v="42"/>
    <x v="99"/>
    <x v="28"/>
    <x v="1"/>
    <m/>
    <n v="2461"/>
    <n v="4.3024475524475525"/>
    <n v="2461"/>
    <n v="4.3024475524475525"/>
    <s v="[Smoke Free Community Level 26 - Studio NEST Thermostats Smoke Free Unit South View Tier One Southern Exposure White Oak Floors Upgraded Home Cats - 2 pet max per unit 8 FT 6 IN Foyer Ceiling Dog&lt;75lbs - 2 pet max/unit Dog Floor]"/>
    <s v="[renovated floor view.direction view]"/>
  </r>
  <r>
    <x v="2"/>
    <s v="71 West Hubbard Street"/>
    <x v="53"/>
    <s v="3107"/>
    <n v="31"/>
    <x v="0"/>
    <n v="1"/>
    <m/>
    <x v="42"/>
    <x v="231"/>
    <x v="261"/>
    <x v="0"/>
    <n v="156"/>
    <n v="2494"/>
    <n v="4.36013986013986"/>
    <n v="2494"/>
    <n v="4.36013986013986"/>
    <s v="[Smoke Free Community Level 31 - Studio NEST Thermostats Smoke Free Unit South View Tier One Southern Exposure Dog Floor White Oak Floors Cats - 2 pet max per unit Upgraded Home Dog&lt;75lbs - 2 pet max/unit]"/>
    <s v="[renovated floor view.direction view]"/>
  </r>
  <r>
    <x v="2"/>
    <s v="71 West Hubbard Street"/>
    <x v="53"/>
    <s v="4006"/>
    <n v="40"/>
    <x v="0"/>
    <n v="1"/>
    <m/>
    <x v="42"/>
    <x v="140"/>
    <x v="28"/>
    <x v="1"/>
    <m/>
    <n v="2496"/>
    <n v="4.3636363636363633"/>
    <n v="2496"/>
    <n v="4.3636363636363633"/>
    <s v="[Smoke Free Community Level 40 - Studio NEST Thermostats Smoke Free Unit South View Tier Two Southern Exposure Graphite Oak Floors Wood floors throughout Cats - 2 pet max per unit Upgraded Home]"/>
    <s v="[renovated floor view.direction view]"/>
  </r>
  <r>
    <x v="2"/>
    <s v="71 West Hubbard Street"/>
    <x v="53"/>
    <s v="3906"/>
    <n v="39"/>
    <x v="0"/>
    <n v="1"/>
    <m/>
    <x v="42"/>
    <x v="232"/>
    <x v="28"/>
    <x v="1"/>
    <m/>
    <n v="2516"/>
    <n v="4.3986013986013983"/>
    <n v="2516"/>
    <n v="4.3986013986013983"/>
    <s v="[Smoke Free Community Level 39 - Studio NEST Thermostats Smoke Free Unit South View Tier Two Southern Exposure Graphite Oak Floors Upgraded Home Cats - 2 pet max per unit Dog&lt;75lbs - 2 pet max/unit Dog Floor]"/>
    <s v="[renovated floor view.direction view]"/>
  </r>
  <r>
    <x v="2"/>
    <s v="71 West Hubbard Street"/>
    <x v="53"/>
    <s v="3606"/>
    <n v="36"/>
    <x v="0"/>
    <n v="1"/>
    <m/>
    <x v="42"/>
    <x v="233"/>
    <x v="13"/>
    <x v="0"/>
    <n v="90"/>
    <n v="2535"/>
    <n v="4.4318181818181817"/>
    <n v="2535"/>
    <n v="4.4318181818181817"/>
    <s v="[Cats - 2 pet max per unit Southern Exposure Graphite Oak Floors Upgraded Home Smoke Free Community Level 36 - Studio NEST Thermostats Smoke Free Unit South View Tier Two Light Fixture Upgrade]"/>
    <s v="[renovated view floor view.direction]"/>
  </r>
  <r>
    <x v="2"/>
    <s v="71 West Hubbard Street"/>
    <x v="53"/>
    <s v="3207"/>
    <n v="32"/>
    <x v="0"/>
    <n v="1"/>
    <m/>
    <x v="42"/>
    <x v="101"/>
    <x v="262"/>
    <x v="0"/>
    <n v="69"/>
    <n v="2553"/>
    <n v="4.4632867132867133"/>
    <n v="2553"/>
    <n v="4.4632867132867133"/>
    <s v="[Smoke Free Community NEST Thermostats Smoke Free Unit South View Tier One Southern Exposure Dog Floor California Closets White Oak Floors Front Loading Washer and Dryer Cats - 2 pet max per unit Dog&lt;75lbs - 2 pet max/unit Light Fixture Upgrade]"/>
    <s v="[renovated view.direction washer_dryer view]"/>
  </r>
  <r>
    <x v="2"/>
    <s v="71 West Hubbard Street"/>
    <x v="53"/>
    <s v="3706"/>
    <n v="37"/>
    <x v="0"/>
    <n v="1"/>
    <m/>
    <x v="42"/>
    <x v="48"/>
    <x v="28"/>
    <x v="1"/>
    <m/>
    <n v="2566"/>
    <n v="4.4860139860139858"/>
    <n v="2566"/>
    <n v="4.4860139860139858"/>
    <s v="[Smoke Free Community Level 37 - Studio NEST Thermostats Smoke Free Unit South View Tier Two Southern Exposure Front Loading Washer and Dryer Wood floors throughout White Oak Floors Upgraded Home Cats - 2 pet max per unit Dog&lt;75lbs - 2 pet max/unit Dog Floor]"/>
    <s v="[renovated view washer_dryer floor view.direction]"/>
  </r>
  <r>
    <x v="2"/>
    <s v="71 West Hubbard Street"/>
    <x v="53"/>
    <s v="2407"/>
    <n v="24"/>
    <x v="0"/>
    <n v="1"/>
    <m/>
    <x v="42"/>
    <x v="113"/>
    <x v="169"/>
    <x v="0"/>
    <n v="18"/>
    <n v="2588"/>
    <n v="4.5244755244755241"/>
    <n v="2588"/>
    <n v="4.5244755244755241"/>
    <s v="[Smoke Free Community Level 24 - Studio NEST Thermostats Smoke Free Unit South View Tier One Southern Exposure Dog Floor Graphite Oak Floors Wood floors throughout Upgraded Home Cats - 2 pet max per unit Dog&lt;75lbs - 2 pet max/unit Light Fixture Upgrade]"/>
    <s v="[view.direction view floor renovated]"/>
  </r>
  <r>
    <x v="2"/>
    <s v="71 West Hubbard Street"/>
    <x v="53"/>
    <s v="4306"/>
    <n v="43"/>
    <x v="0"/>
    <n v="1"/>
    <m/>
    <x v="42"/>
    <x v="234"/>
    <x v="12"/>
    <x v="0"/>
    <n v="81"/>
    <n v="2630"/>
    <n v="4.5979020979020975"/>
    <n v="2630"/>
    <n v="4.5979020979020975"/>
    <s v="[Smoke Free Community Level 43 - Studio NEST Thermostats Smoke Free Unit South View Tier Two Southern Exposure Dog Floor Graphite Oak Floors Wood floors throughout Upgraded Home Cats - 2 pet max per unit Dog&lt;75lbs - 2 pet max/unit Light Fixture Upgrade]"/>
    <s v="[view.direction view floor renovated]"/>
  </r>
  <r>
    <x v="2"/>
    <s v="71 West Hubbard Street"/>
    <x v="53"/>
    <s v="2107"/>
    <n v="21"/>
    <x v="0"/>
    <n v="1"/>
    <m/>
    <x v="42"/>
    <x v="235"/>
    <x v="263"/>
    <x v="0"/>
    <n v="10"/>
    <n v="2283"/>
    <n v="3.9912587412587412"/>
    <n v="2283"/>
    <n v="3.9912587412587412"/>
    <s v="[]"/>
    <s v="[]"/>
  </r>
  <r>
    <x v="2"/>
    <s v="71 West Hubbard Street"/>
    <x v="53"/>
    <s v="1607"/>
    <n v="16"/>
    <x v="0"/>
    <n v="1"/>
    <m/>
    <x v="42"/>
    <x v="236"/>
    <x v="264"/>
    <x v="0"/>
    <n v="21"/>
    <n v="2289"/>
    <n v="4.0017482517482517"/>
    <n v="2289"/>
    <n v="4.0017482517482517"/>
    <s v="[]"/>
    <s v="[]"/>
  </r>
  <r>
    <x v="2"/>
    <s v="71 West Hubbard Street"/>
    <x v="53"/>
    <s v="1507"/>
    <n v="15"/>
    <x v="0"/>
    <n v="1"/>
    <m/>
    <x v="42"/>
    <x v="237"/>
    <x v="265"/>
    <x v="0"/>
    <n v="77"/>
    <n v="2301"/>
    <n v="4.0227272727272725"/>
    <n v="2301"/>
    <n v="4.0227272727272725"/>
    <s v="[]"/>
    <s v="[]"/>
  </r>
  <r>
    <x v="2"/>
    <s v="71 West Hubbard Street"/>
    <x v="53"/>
    <s v="4206"/>
    <n v="42"/>
    <x v="0"/>
    <n v="1"/>
    <m/>
    <x v="42"/>
    <x v="238"/>
    <x v="266"/>
    <x v="0"/>
    <n v="47"/>
    <n v="2308"/>
    <n v="4.034965034965035"/>
    <n v="2308"/>
    <n v="4.034965034965035"/>
    <s v="[]"/>
    <s v="[]"/>
  </r>
  <r>
    <x v="2"/>
    <s v="71 West Hubbard Street"/>
    <x v="53"/>
    <s v="2907"/>
    <n v="29"/>
    <x v="0"/>
    <n v="1"/>
    <m/>
    <x v="42"/>
    <x v="172"/>
    <x v="234"/>
    <x v="0"/>
    <n v="3"/>
    <n v="2374"/>
    <n v="4.15034965034965"/>
    <n v="2374"/>
    <n v="4.15034965034965"/>
    <s v="[]"/>
    <s v="[]"/>
  </r>
  <r>
    <x v="2"/>
    <s v="71 West Hubbard Street"/>
    <x v="53"/>
    <s v="3806"/>
    <n v="38"/>
    <x v="0"/>
    <n v="1"/>
    <m/>
    <x v="42"/>
    <x v="239"/>
    <x v="267"/>
    <x v="0"/>
    <n v="3"/>
    <n v="2524"/>
    <n v="4.4125874125874125"/>
    <n v="2524"/>
    <n v="4.4125874125874125"/>
    <s v="[]"/>
    <s v="[]"/>
  </r>
  <r>
    <x v="2"/>
    <s v="71 West Hubbard Street"/>
    <x v="54"/>
    <s v="2410"/>
    <n v="24"/>
    <x v="0"/>
    <n v="1"/>
    <m/>
    <x v="43"/>
    <x v="240"/>
    <x v="268"/>
    <x v="0"/>
    <n v="187"/>
    <n v="2050"/>
    <n v="3.5652173913043477"/>
    <n v="2050"/>
    <n v="3.5652173913043477"/>
    <s v="[Smoke Free Community Level 24 - Studio NEST Thermostats Pantry Closet Smoke Free Unit Dog Floor Graphite Oak Floors Hotel Roof View Wood floors throughout Eastern Exposure Upgraded Home Cats - 2 pet max per unit Dog&lt;75lbs - 2 pet max/unit]"/>
    <s v="[renovated floor view]"/>
  </r>
  <r>
    <x v="2"/>
    <s v="71 West Hubbard Street"/>
    <x v="54"/>
    <s v="1410"/>
    <n v="14"/>
    <x v="0"/>
    <n v="1"/>
    <m/>
    <x v="43"/>
    <x v="227"/>
    <x v="202"/>
    <x v="0"/>
    <n v="33"/>
    <n v="2053"/>
    <n v="3.5704347826086957"/>
    <n v="2053"/>
    <n v="3.5704347826086957"/>
    <s v="[Smoke Free Community NEST Thermostats Eastern Exposure Level 14 - Studio Dog Floor Pantry Closet Smoke Free Unit Graphite Oak Floors Hotel View Upgraded Home Cats - 2 pet max per unit Dog&lt;75lbs - 2 pet max/unit]"/>
    <s v="[renovated floor view]"/>
  </r>
  <r>
    <x v="2"/>
    <s v="71 West Hubbard Street"/>
    <x v="54"/>
    <s v="2010"/>
    <n v="20"/>
    <x v="0"/>
    <n v="1"/>
    <m/>
    <x v="43"/>
    <x v="241"/>
    <x v="269"/>
    <x v="0"/>
    <n v="26"/>
    <n v="2059"/>
    <n v="3.5808695652173914"/>
    <n v="2059"/>
    <n v="3.5808695652173914"/>
    <s v="[Smoke Free Community Level 20 - Studio NEST Thermostats Eastern Exposure Pantry Closet Smoke Free Unit Graphite Oak Floors Hotel View Upgraded Home Cats - 2 pet max per unit Dog&lt;75lbs - 2 pet max/unit Dog Floor]"/>
    <s v="[renovated floor view]"/>
  </r>
  <r>
    <x v="2"/>
    <s v="71 West Hubbard Street"/>
    <x v="54"/>
    <s v="2310"/>
    <n v="23"/>
    <x v="0"/>
    <n v="1"/>
    <m/>
    <x v="43"/>
    <x v="112"/>
    <x v="20"/>
    <x v="0"/>
    <n v="170"/>
    <n v="2059"/>
    <n v="3.5808695652173914"/>
    <n v="2059"/>
    <n v="3.5808695652173914"/>
    <s v="[Smoke Free Community Level 23 - Studio NEST Thermostats Eastern Exposure Pantry Closet Smoke Free Unit Dog Floor Graphite Oak Floors Hotel Roof View Front Loading Washer and Dryer Cats - 2 pet max per unit Dog&lt;75lbs - 2 pet max/unit]"/>
    <s v="[floor view washer_dryer]"/>
  </r>
  <r>
    <x v="2"/>
    <s v="71 West Hubbard Street"/>
    <x v="54"/>
    <s v="1710"/>
    <n v="17"/>
    <x v="0"/>
    <n v="1"/>
    <m/>
    <x v="43"/>
    <x v="242"/>
    <x v="270"/>
    <x v="0"/>
    <n v="13"/>
    <n v="2098"/>
    <n v="3.6486956521739131"/>
    <n v="2098"/>
    <n v="3.6486956521739131"/>
    <s v="[Smoke Free Community Level 17 - Studio NEST Thermostats Eastern Exposure Pantry Closet Smoke Free Unit Hotel View White Oak Floors Upgraded Home Cats - 2 pet max per unit]"/>
    <s v="[renovated floor view]"/>
  </r>
  <r>
    <x v="2"/>
    <s v="71 West Hubbard Street"/>
    <x v="54"/>
    <s v="2810"/>
    <n v="28"/>
    <x v="0"/>
    <n v="1"/>
    <m/>
    <x v="43"/>
    <x v="148"/>
    <x v="271"/>
    <x v="0"/>
    <n v="6"/>
    <n v="2157"/>
    <n v="3.7513043478260868"/>
    <n v="2157"/>
    <n v="3.7513043478260868"/>
    <s v="[Smoke Free Community Level 28 - Studio NEST Thermostats Eastern Exposure Pantry Closet Smoke Free Unit Graphite Oak Floors Hotel Roof View Upgraded Home Cats - 2 pet max per unit]"/>
    <s v="[renovated floor view]"/>
  </r>
  <r>
    <x v="2"/>
    <s v="71 West Hubbard Street"/>
    <x v="54"/>
    <s v="2910"/>
    <n v="29"/>
    <x v="0"/>
    <n v="1"/>
    <m/>
    <x v="43"/>
    <x v="243"/>
    <x v="272"/>
    <x v="0"/>
    <n v="4"/>
    <n v="2163"/>
    <n v="3.7617391304347825"/>
    <n v="2163"/>
    <n v="3.7617391304347825"/>
    <s v="[Smoke Free Community Level 29 - Studio NEST Thermostats Eastern Exposure Pantry Closet Smoke Free Unit Graphite Oak Floors Hotel Roof View Upgraded Home Cats - 2 pet max per unit Light Fixture Upgrade]"/>
    <s v="[renovated floor view]"/>
  </r>
  <r>
    <x v="2"/>
    <s v="71 West Hubbard Street"/>
    <x v="54"/>
    <s v="1610"/>
    <n v="16"/>
    <x v="0"/>
    <n v="1"/>
    <m/>
    <x v="43"/>
    <x v="71"/>
    <x v="51"/>
    <x v="0"/>
    <n v="28"/>
    <n v="2215"/>
    <n v="3.8521739130434782"/>
    <n v="2215"/>
    <n v="3.8521739130434782"/>
    <s v="[Smoke Free Community Level 16 - Studio NEST Thermostats Eastern Exposure Pantry Closet Smoke Free Unit Graphite Oak Floors Hotel View Upgraded Home Cats - 2 pet max per unit Light Fixture Upgrade]"/>
    <s v="[renovated floor view]"/>
  </r>
  <r>
    <x v="2"/>
    <s v="71 West Hubbard Street"/>
    <x v="54"/>
    <s v="2510"/>
    <n v="25"/>
    <x v="0"/>
    <n v="1"/>
    <m/>
    <x v="43"/>
    <x v="89"/>
    <x v="18"/>
    <x v="0"/>
    <n v="59"/>
    <n v="2268"/>
    <n v="3.9443478260869567"/>
    <n v="2268"/>
    <n v="3.9443478260869567"/>
    <s v="[Smoke Free Community Upgraded Home Dog Floor Cats - 2 pet max per unit Dog&lt;75lbs - 2 pet max/unit Level 25 - Studio NEST Thermostats Eastern Exposure Pantry Closet Smoke Free Unit Graphite Oak Floors Hotel Roof View Light Fixture Upgrade]"/>
    <s v="[floor renovated view]"/>
  </r>
  <r>
    <x v="2"/>
    <s v="71 West Hubbard Street"/>
    <x v="54"/>
    <s v="2610"/>
    <n v="26"/>
    <x v="0"/>
    <n v="1"/>
    <m/>
    <x v="43"/>
    <x v="101"/>
    <x v="54"/>
    <x v="0"/>
    <n v="89"/>
    <n v="2289"/>
    <n v="3.9808695652173913"/>
    <n v="2289"/>
    <n v="3.9808695652173913"/>
    <s v="[Smoke Free Community Level 26 - Studio NEST Thermostats Eastern Exposure Pantry Closet Smoke Free Unit Hotel Roof View White Oak Floors Upgraded Home Dog Floor Cats - 2 pet max per unit Dog&lt;75lbs - 2 pet max/unit Light Fixture Upgrade]"/>
    <s v="[renovated floor view]"/>
  </r>
  <r>
    <x v="2"/>
    <s v="71 West Hubbard Street"/>
    <x v="54"/>
    <s v="1810"/>
    <n v="18"/>
    <x v="0"/>
    <n v="1"/>
    <m/>
    <x v="43"/>
    <x v="244"/>
    <x v="273"/>
    <x v="0"/>
    <n v="169"/>
    <n v="2030"/>
    <n v="3.5304347826086957"/>
    <n v="2030"/>
    <n v="3.5304347826086957"/>
    <s v="[]"/>
    <s v="[]"/>
  </r>
  <r>
    <x v="2"/>
    <s v="71 West Hubbard Street"/>
    <x v="54"/>
    <s v="3310"/>
    <n v="33"/>
    <x v="0"/>
    <n v="1"/>
    <m/>
    <x v="43"/>
    <x v="245"/>
    <x v="274"/>
    <x v="0"/>
    <n v="125"/>
    <n v="2144"/>
    <n v="3.7286956521739132"/>
    <n v="2144"/>
    <n v="3.7286956521739132"/>
    <s v="[]"/>
    <s v="[]"/>
  </r>
  <r>
    <x v="2"/>
    <s v="71 West Hubbard Street"/>
    <x v="55"/>
    <s v="1603"/>
    <n v="16"/>
    <x v="0"/>
    <n v="1"/>
    <m/>
    <x v="44"/>
    <x v="246"/>
    <x v="275"/>
    <x v="0"/>
    <n v="96"/>
    <n v="2015"/>
    <n v="3.4444444444444446"/>
    <n v="2015"/>
    <n v="3.4444444444444446"/>
    <s v="[Smoke Free Community Level 16 - Studio NEST Thermostats Pantry Closet Smoke Free Unit Graphite Oak Floors Western Exposure Upgraded Home West View Tier One Cats - 2 pet max per unit]"/>
    <s v="[view.direction floor renovated view]"/>
  </r>
  <r>
    <x v="2"/>
    <s v="71 West Hubbard Street"/>
    <x v="55"/>
    <s v="2103"/>
    <n v="21"/>
    <x v="0"/>
    <n v="1"/>
    <m/>
    <x v="44"/>
    <x v="247"/>
    <x v="276"/>
    <x v="0"/>
    <n v="16"/>
    <n v="2068"/>
    <n v="3.5350427350427349"/>
    <n v="2068"/>
    <n v="3.5350427350427349"/>
    <s v="[Smoke Free Community Level 21 - Studio NEST Thermostats Dog Floor Pantry Closet Smoke Free Unit Western Exposure Upgraded Home West View Tier One White Oak Floors Cats - 2 pet max per unit Dog&lt;75lbs - 2 pet max/unit]"/>
    <s v="[view.direction floor renovated view]"/>
  </r>
  <r>
    <x v="2"/>
    <s v="71 West Hubbard Street"/>
    <x v="55"/>
    <s v="2703"/>
    <n v="27"/>
    <x v="0"/>
    <n v="1"/>
    <m/>
    <x v="44"/>
    <x v="44"/>
    <x v="239"/>
    <x v="0"/>
    <n v="162"/>
    <n v="2110"/>
    <n v="3.6068376068376069"/>
    <n v="2110"/>
    <n v="3.6068376068376069"/>
    <s v="[Smoke Free Community Level 27 - Studio NEST Thermostats Pantry Closet Smoke Free Unit Western Exposure Wood floors throughout Upgraded Home West View Tier Two White Oak Floors Cats - 2 pet max per unit]"/>
    <s v="[view.direction floor renovated view]"/>
  </r>
  <r>
    <x v="2"/>
    <s v="71 West Hubbard Street"/>
    <x v="55"/>
    <s v="1703"/>
    <n v="17"/>
    <x v="0"/>
    <n v="1"/>
    <m/>
    <x v="44"/>
    <x v="62"/>
    <x v="277"/>
    <x v="0"/>
    <n v="85"/>
    <n v="2154"/>
    <n v="3.6820512820512818"/>
    <n v="2154"/>
    <n v="3.6820512820512818"/>
    <s v="[Smoke Free Community Level 17 - Studio NEST Thermostats Pantry Closet Smoke Free Unit Western Exposure West View Tier One White Oak Floors Upgraded Home Cats - 2 pet max per unit]"/>
    <s v="[renovated floor view.direction view]"/>
  </r>
  <r>
    <x v="2"/>
    <s v="71 West Hubbard Street"/>
    <x v="55"/>
    <s v="1803"/>
    <n v="18"/>
    <x v="0"/>
    <n v="1"/>
    <m/>
    <x v="44"/>
    <x v="248"/>
    <x v="219"/>
    <x v="0"/>
    <n v="3"/>
    <n v="2182"/>
    <n v="3.72991452991453"/>
    <n v="2182"/>
    <n v="3.72991452991453"/>
    <s v="[Dog&lt;75lbs - 2 pet max/unit Smoke Free Community Level 18 - Studio NEST Thermostats Dog Floor Pantry Closet Smoke Free Unit Western Exposure West View Tier One White Oak Floors California Closets Front Loading Washer and Dryer Cats - 2 pet max per unit Light Fixture Upgrade]"/>
    <s v="[renovated view washer_dryer floor view.direction]"/>
  </r>
  <r>
    <x v="2"/>
    <s v="71 West Hubbard Street"/>
    <x v="55"/>
    <s v="3303"/>
    <n v="33"/>
    <x v="0"/>
    <n v="1"/>
    <m/>
    <x v="44"/>
    <x v="7"/>
    <x v="278"/>
    <x v="0"/>
    <n v="16"/>
    <n v="2185"/>
    <n v="3.7350427350427351"/>
    <n v="2185"/>
    <n v="3.7350427350427351"/>
    <s v="[Dog&lt;75lbs - 2 pet max/unit Front Loading Washer and Dryer Cats - 2 pet max per unit 7 FT 8 IN Kitchen Ceiling Smoke Free Community Level 33 - Studio NEST Thermostats Pantry Closet Smoke Free Unit Dog Floor Graphite Oak Floors Western Exposure West View Tier Two Light Fixture Upgrade]"/>
    <s v="[renovated floor view washer_dryer view.direction]"/>
  </r>
  <r>
    <x v="2"/>
    <s v="71 West Hubbard Street"/>
    <x v="55"/>
    <s v="2303"/>
    <n v="23"/>
    <x v="0"/>
    <n v="1"/>
    <m/>
    <x v="44"/>
    <x v="207"/>
    <x v="278"/>
    <x v="0"/>
    <n v="24"/>
    <n v="2215"/>
    <n v="3.7863247863247862"/>
    <n v="2215"/>
    <n v="3.7863247863247862"/>
    <s v="[Smoke Free Community Level 23 - Studio NEST Thermostats Pantry Closet Smoke Free Unit Dog Floor Graphite Oak Floors Western Exposure West View Tier One Upgraded Home Cats - 2 pet max per unit Dog&lt;75lbs - 2 pet max/unit Light Fixture Upgrade]"/>
    <s v="[view.direction view floor renovated]"/>
  </r>
  <r>
    <x v="2"/>
    <s v="71 West Hubbard Street"/>
    <x v="55"/>
    <s v="3203"/>
    <n v="32"/>
    <x v="0"/>
    <n v="1"/>
    <m/>
    <x v="44"/>
    <x v="249"/>
    <x v="279"/>
    <x v="0"/>
    <n v="12"/>
    <n v="2231"/>
    <n v="3.8136752136752139"/>
    <n v="2231"/>
    <n v="3.8136752136752139"/>
    <s v="[Smoke Free Community NEST Thermostats Level 32 - Studio Pantry Closet Smoke Free Unit Western Exposure West View Tier Two White Oak Floors Upgraded Home Dog Floor Cats - 2 pet max per unit Dog&lt;75lbs - 2 pet max/unit Light Fixture Upgrade]"/>
    <s v="[view.direction view floor renovated]"/>
  </r>
  <r>
    <x v="2"/>
    <s v="71 West Hubbard Street"/>
    <x v="55"/>
    <s v="2903"/>
    <n v="29"/>
    <x v="0"/>
    <n v="1"/>
    <m/>
    <x v="44"/>
    <x v="117"/>
    <x v="28"/>
    <x v="1"/>
    <m/>
    <n v="2234"/>
    <n v="3.818803418803419"/>
    <n v="2234"/>
    <n v="3.818803418803419"/>
    <s v="[Smoke Free Community Level 29 - Studio NEST Thermostats Pantry Closet Smoke Free Unit Graphite Oak Floors Western Exposure West View Tier Two Upgraded Home Cats - 2 pet max per unit Dog Floor]"/>
    <s v="[renovated floor view.direction view]"/>
  </r>
  <r>
    <x v="2"/>
    <s v="71 West Hubbard Street"/>
    <x v="55"/>
    <s v="1903"/>
    <n v="19"/>
    <x v="0"/>
    <n v="1"/>
    <m/>
    <x v="44"/>
    <x v="207"/>
    <x v="280"/>
    <x v="0"/>
    <n v="42"/>
    <n v="2237"/>
    <n v="3.8239316239316241"/>
    <n v="2237"/>
    <n v="3.8239316239316241"/>
    <s v="[Smoke Free Community Level 19 - Studio NEST Thermostats Pantry Closet Smoke Free Unit Graphite Oak Floors Western Exposure Wood floors throughout West View Tier One Upgraded Home Cats - 2 pet max per unit Light Fixture Upgrade]"/>
    <s v="[view.direction view floor renovated]"/>
  </r>
  <r>
    <x v="2"/>
    <s v="71 West Hubbard Street"/>
    <x v="55"/>
    <s v="2203"/>
    <n v="22"/>
    <x v="0"/>
    <n v="1"/>
    <m/>
    <x v="44"/>
    <x v="44"/>
    <x v="281"/>
    <x v="0"/>
    <n v="32"/>
    <n v="2239"/>
    <n v="3.8273504273504275"/>
    <n v="2239"/>
    <n v="3.8273504273504275"/>
    <s v="[Smoke Free Community Level 22 - Studio NEST Thermostats Dog Floor Pantry Closet Smoke Free Unit Western Exposure West View Tier One White Oak Floors Upgraded Home Cats - 2 pet max per unit Dog&lt;75lbs - 2 pet max/unit Light Fixture Upgrade]"/>
    <s v="[view.direction view floor renovated]"/>
  </r>
  <r>
    <x v="2"/>
    <s v="71 West Hubbard Street"/>
    <x v="55"/>
    <s v="3103"/>
    <n v="31"/>
    <x v="0"/>
    <n v="1"/>
    <m/>
    <x v="44"/>
    <x v="197"/>
    <x v="103"/>
    <x v="0"/>
    <n v="5"/>
    <n v="2240"/>
    <n v="3.8290598290598292"/>
    <n v="2240"/>
    <n v="3.8290598290598292"/>
    <s v="[Upgraded Home Dog&lt;75lbs - 2 pet max/unit Smoke Free Community Level 31 - Studio NEST Thermostats Pantry Closet Smoke Free Unit Dog Floor Western Exposure West View Tier Two White Oak Floors Cats - 2 pet max per unit]"/>
    <s v="[view.direction floor renovated view]"/>
  </r>
  <r>
    <x v="2"/>
    <s v="71 West Hubbard Street"/>
    <x v="55"/>
    <s v="2003"/>
    <n v="20"/>
    <x v="0"/>
    <n v="1"/>
    <m/>
    <x v="44"/>
    <x v="250"/>
    <x v="72"/>
    <x v="0"/>
    <n v="10"/>
    <n v="2287"/>
    <n v="3.9094017094017093"/>
    <n v="2287"/>
    <n v="3.9094017094017093"/>
    <s v="[Dog&lt;75lbs - 2 pet max/unit Smoke Free Community Level 20 - Studio NEST Thermostats Dog Floor Pantry Closet Smoke Free Unit Graphite Oak Floors Western Exposure West View Tier One Upgraded Home Cats - 2 pet max per unit]"/>
    <s v="[renovated floor view.direction view]"/>
  </r>
  <r>
    <x v="2"/>
    <s v="71 West Hubbard Street"/>
    <x v="55"/>
    <s v="1503"/>
    <n v="15"/>
    <x v="0"/>
    <n v="1"/>
    <m/>
    <x v="44"/>
    <x v="251"/>
    <x v="282"/>
    <x v="0"/>
    <n v="168"/>
    <n v="1973"/>
    <n v="3.3726495726495727"/>
    <n v="1973"/>
    <n v="3.3726495726495727"/>
    <s v="[]"/>
    <s v="[]"/>
  </r>
  <r>
    <x v="2"/>
    <s v="71 West Hubbard Street"/>
    <x v="55"/>
    <s v="3003"/>
    <n v="30"/>
    <x v="0"/>
    <n v="1"/>
    <m/>
    <x v="44"/>
    <x v="252"/>
    <x v="283"/>
    <x v="0"/>
    <n v="25"/>
    <n v="2031"/>
    <n v="3.4717948717948719"/>
    <n v="2031"/>
    <n v="3.4717948717948719"/>
    <s v="[]"/>
    <s v="[]"/>
  </r>
  <r>
    <x v="2"/>
    <s v="71 West Hubbard Street"/>
    <x v="55"/>
    <s v="2803"/>
    <n v="28"/>
    <x v="0"/>
    <n v="1"/>
    <m/>
    <x v="44"/>
    <x v="253"/>
    <x v="284"/>
    <x v="0"/>
    <n v="13"/>
    <n v="2038"/>
    <n v="3.4837606837606838"/>
    <n v="2038"/>
    <n v="3.4837606837606838"/>
    <s v="[]"/>
    <s v="[]"/>
  </r>
  <r>
    <x v="2"/>
    <s v="71 West Hubbard Street"/>
    <x v="55"/>
    <s v="2603"/>
    <n v="26"/>
    <x v="0"/>
    <n v="1"/>
    <m/>
    <x v="44"/>
    <x v="130"/>
    <x v="161"/>
    <x v="0"/>
    <m/>
    <n v="2110"/>
    <n v="3.6068376068376069"/>
    <n v="2110"/>
    <n v="3.6068376068376069"/>
    <s v="[]"/>
    <s v="[]"/>
  </r>
  <r>
    <x v="2"/>
    <s v="71 West Hubbard Street"/>
    <x v="56"/>
    <s v="1609"/>
    <n v="16"/>
    <x v="0"/>
    <n v="1"/>
    <m/>
    <x v="45"/>
    <x v="254"/>
    <x v="285"/>
    <x v="0"/>
    <n v="7"/>
    <n v="2323"/>
    <n v="3.9173693086003372"/>
    <n v="2323"/>
    <n v="3.9173693086003372"/>
    <s v="[Cats - 2 pet max per unit Level 16 - Studio NEST Thermostats Eastern Exposure Smoke Free Unit Graphite Oak Floors Hotel View Upgraded Home Smoke Free Community Balcony Light Fixture Upgrade]"/>
    <s v="[view balcony_patio floor renovated]"/>
  </r>
  <r>
    <x v="2"/>
    <s v="71 West Hubbard Street"/>
    <x v="56"/>
    <s v="2009"/>
    <n v="20"/>
    <x v="0"/>
    <n v="1"/>
    <m/>
    <x v="45"/>
    <x v="71"/>
    <x v="286"/>
    <x v="0"/>
    <n v="10"/>
    <n v="2386"/>
    <n v="4.0236087689713322"/>
    <n v="2386"/>
    <n v="4.0236087689713322"/>
    <s v="[Level 20 - Studio NEST Thermostats Eastern Exposure Dog Floor Smoke Free Unit Graphite Oak Floors Hotel View California Closets Balcony Cats - 2 pet max per unit Dog&lt;75lbs - 2 pet max/unit Smoke Free Community]"/>
    <s v="[floor view balcony_patio]"/>
  </r>
  <r>
    <x v="2"/>
    <s v="71 West Hubbard Street"/>
    <x v="56"/>
    <s v="2809"/>
    <n v="28"/>
    <x v="0"/>
    <n v="1"/>
    <m/>
    <x v="45"/>
    <x v="255"/>
    <x v="136"/>
    <x v="0"/>
    <n v="35"/>
    <n v="2399"/>
    <n v="4.0455311973018553"/>
    <n v="2399"/>
    <n v="4.0455311973018553"/>
    <s v="[Cats - 2 pet max per unit Smoke Free Community Level 28 - Studio NEST Thermostats Eastern Exposure Smoke Free Unit Hotel Roof View Balcony Graphite Oak Floors Upgraded Home]"/>
    <s v="[renovated floor view balcony_patio]"/>
  </r>
  <r>
    <x v="2"/>
    <s v="71 West Hubbard Street"/>
    <x v="56"/>
    <s v="1509"/>
    <n v="15"/>
    <x v="0"/>
    <n v="1"/>
    <m/>
    <x v="45"/>
    <x v="213"/>
    <x v="28"/>
    <x v="1"/>
    <m/>
    <n v="2411"/>
    <n v="4.0657672849915683"/>
    <n v="2411"/>
    <n v="4.0657672849915683"/>
    <s v="[Smoke Free Community Level 15 - Studio NEST Thermostats Eastern Exposure Smoke Free Unit Graphite Oak Floors Hotel View Upgraded Home Balcony Cats - 2 pet max per unit Dog&lt;75lbs - 2 pet max/unit Dog Floor]"/>
    <s v="[renovated floor view balcony_patio]"/>
  </r>
  <r>
    <x v="2"/>
    <s v="71 West Hubbard Street"/>
    <x v="56"/>
    <s v="2509"/>
    <n v="25"/>
    <x v="0"/>
    <n v="1"/>
    <m/>
    <x v="45"/>
    <x v="256"/>
    <x v="28"/>
    <x v="1"/>
    <m/>
    <n v="2421"/>
    <n v="4.0826306913996628"/>
    <n v="2421"/>
    <n v="4.0826306913996628"/>
    <s v="[Smoke Free Community Level 25 - Studio NEST Thermostats Eastern Exposure Smoke Free Unit Graphite Oak Floors Hotel Roof View Upgraded Home Balcony Cats - 2 pet max per unit Dog&lt;75lbs - 2 pet max/unit Dog Floor]"/>
    <s v="[renovated floor view balcony_patio]"/>
  </r>
  <r>
    <x v="2"/>
    <s v="71 West Hubbard Street"/>
    <x v="56"/>
    <s v="2609"/>
    <n v="26"/>
    <x v="0"/>
    <n v="1"/>
    <m/>
    <x v="45"/>
    <x v="257"/>
    <x v="28"/>
    <x v="1"/>
    <m/>
    <n v="2421"/>
    <n v="4.0826306913996628"/>
    <n v="2421"/>
    <n v="4.0826306913996628"/>
    <s v="[Smoke Free Community Level 26 - Studio NEST Thermostats Eastern Exposure Smoke Free Unit Hotel Roof View White Oak Floors Upgraded Home Balcony Cats - 2 pet max per unit 8 FT 6 IN Foyer Ceiling Dog&lt;75lbs - 2 pet max/unit Dog Floor]"/>
    <s v="[renovated floor view balcony_patio]"/>
  </r>
  <r>
    <x v="2"/>
    <s v="71 West Hubbard Street"/>
    <x v="56"/>
    <s v="2209"/>
    <n v="22"/>
    <x v="0"/>
    <n v="1"/>
    <m/>
    <x v="45"/>
    <x v="11"/>
    <x v="139"/>
    <x v="0"/>
    <n v="53"/>
    <n v="2451"/>
    <n v="4.1332209106239457"/>
    <n v="2451"/>
    <n v="4.1332209106239457"/>
    <s v="[Smoke Free Community Level 22 - Studio NEST Thermostats Eastern Exposure Dog Floor Smoke Free Unit Hotel View White Oak Floors Upgraded Home Balcony Cats - 2 pet max per unit Dog&lt;75lbs - 2 pet max/unit Light Fixture Upgrade]"/>
    <s v="[view balcony_patio floor renovated]"/>
  </r>
  <r>
    <x v="2"/>
    <s v="71 West Hubbard Street"/>
    <x v="56"/>
    <s v="3209"/>
    <n v="32"/>
    <x v="0"/>
    <n v="1"/>
    <m/>
    <x v="45"/>
    <x v="32"/>
    <x v="28"/>
    <x v="1"/>
    <m/>
    <n v="2561"/>
    <n v="4.3187183811129852"/>
    <n v="2561"/>
    <n v="4.3187183811129852"/>
    <s v="[Smoke Free Community NEST Thermostats Eastern Exposure Level 32 - Studio Smoke Free Unit East View Tier One White Oak Floors Upgraded Home Balcony Cats - 2 pet max per unit Dog&lt;75lbs - 2 pet max/unit Dog Floor]"/>
    <s v="[view.direction view balcony_patio floor renovated]"/>
  </r>
  <r>
    <x v="2"/>
    <s v="71 West Hubbard Street"/>
    <x v="56"/>
    <s v="3109"/>
    <n v="31"/>
    <x v="0"/>
    <n v="1"/>
    <m/>
    <x v="45"/>
    <x v="5"/>
    <x v="64"/>
    <x v="0"/>
    <n v="14"/>
    <n v="2569"/>
    <n v="4.3322091062394605"/>
    <n v="2569"/>
    <n v="4.3322091062394605"/>
    <s v="[Dog&lt;75lbs - 2 pet max/unit Level 31 - Studio NEST Thermostats Eastern Exposure Smoke Free Unit Dog Floor East View Tier One White Oak Floors Upgraded Home Front Loading Washer and Dryer Balcony Cats - 2 pet max per unit Smoke Free Community Light Fixture Upgrade]"/>
    <s v="[view.direction view washer_dryer balcony_patio floor renovated]"/>
  </r>
  <r>
    <x v="2"/>
    <s v="71 West Hubbard Street"/>
    <x v="56"/>
    <s v="2709"/>
    <n v="27"/>
    <x v="0"/>
    <n v="1"/>
    <m/>
    <x v="45"/>
    <x v="146"/>
    <x v="287"/>
    <x v="0"/>
    <n v="66"/>
    <n v="2249"/>
    <n v="3.7925801011804383"/>
    <n v="2249"/>
    <n v="3.7925801011804383"/>
    <s v="[]"/>
    <s v="[]"/>
  </r>
  <r>
    <x v="2"/>
    <s v="71 West Hubbard Street"/>
    <x v="56"/>
    <s v="1409"/>
    <n v="14"/>
    <x v="0"/>
    <n v="1"/>
    <m/>
    <x v="45"/>
    <x v="258"/>
    <x v="164"/>
    <x v="0"/>
    <n v="34"/>
    <n v="2386"/>
    <n v="4.0236087689713322"/>
    <n v="2386"/>
    <n v="4.0236087689713322"/>
    <s v="[]"/>
    <s v="[]"/>
  </r>
  <r>
    <x v="2"/>
    <s v="71 West Hubbard Street"/>
    <x v="57"/>
    <s v="1905"/>
    <n v="19"/>
    <x v="0"/>
    <n v="1"/>
    <m/>
    <x v="46"/>
    <x v="241"/>
    <x v="16"/>
    <x v="0"/>
    <n v="14"/>
    <n v="2059"/>
    <n v="3.4089403973509933"/>
    <n v="2059"/>
    <n v="3.4089403973509933"/>
    <s v="[Smoke Free Community Level 19 - Studio NEST Thermostats Pantry Closet Smoke Free Unit Graphite Oak Floors Western Exposure Wood floors throughout Upgraded Home West View Tier One Cats - 2 pet max per unit]"/>
    <s v="[view.direction floor renovated view]"/>
  </r>
  <r>
    <x v="2"/>
    <s v="71 West Hubbard Street"/>
    <x v="57"/>
    <s v="2905"/>
    <n v="29"/>
    <x v="0"/>
    <n v="1"/>
    <m/>
    <x v="46"/>
    <x v="259"/>
    <x v="288"/>
    <x v="0"/>
    <n v="63"/>
    <n v="2063"/>
    <n v="3.4155629139072849"/>
    <n v="2063"/>
    <n v="3.4155629139072849"/>
    <s v="[Smoke Free Community Level 29 - Studio NEST Thermostats Pantry Closet Smoke Free Unit Graphite Oak Floors Western Exposure Upgraded Home West View Tier Two Cats - 2 pet max per unit]"/>
    <s v="[view.direction floor renovated view]"/>
  </r>
  <r>
    <x v="2"/>
    <s v="71 West Hubbard Street"/>
    <x v="57"/>
    <s v="1505"/>
    <n v="15"/>
    <x v="0"/>
    <n v="1"/>
    <m/>
    <x v="46"/>
    <x v="260"/>
    <x v="268"/>
    <x v="0"/>
    <n v="102"/>
    <n v="2080"/>
    <n v="3.443708609271523"/>
    <n v="2080"/>
    <n v="3.443708609271523"/>
    <s v="[Smoke Free Community Level 15 - Studio NEST Thermostats Dog Floor Pantry Closet Smoke Free Unit Graphite Oak Floors Western Exposure Upgraded Home West View Tier One Cats - 2 pet max per unit Dog&lt;75lbs - 2 pet max/unit]"/>
    <s v="[view.direction floor renovated view]"/>
  </r>
  <r>
    <x v="2"/>
    <s v="71 West Hubbard Street"/>
    <x v="57"/>
    <s v="1705"/>
    <n v="17"/>
    <x v="0"/>
    <n v="1"/>
    <m/>
    <x v="46"/>
    <x v="246"/>
    <x v="289"/>
    <x v="0"/>
    <n v="27"/>
    <n v="2101"/>
    <n v="3.4784768211920531"/>
    <n v="2101"/>
    <n v="3.4784768211920531"/>
    <s v="[Smoke Free Community Level 17 - Studio NEST Thermostats Pantry Closet Smoke Free Unit Western Exposure California Closets West View Tier One White Oak Floors Front Loading Washer and Dryer Cats - 2 pet max per unit]"/>
    <s v="[floor view.direction view washer_dryer]"/>
  </r>
  <r>
    <x v="2"/>
    <s v="71 West Hubbard Street"/>
    <x v="57"/>
    <s v="2805"/>
    <n v="28"/>
    <x v="0"/>
    <n v="1"/>
    <m/>
    <x v="46"/>
    <x v="261"/>
    <x v="129"/>
    <x v="0"/>
    <n v="54"/>
    <n v="2112"/>
    <n v="3.4966887417218544"/>
    <n v="2112"/>
    <n v="3.4966887417218544"/>
    <s v="[Smoke Free Community Level 28 - Studio NEST Thermostats Pantry Closet Smoke Free Unit Western Exposure West View Tier Two Upgraded Home Graphite Oak Floors Cats - 2 pet max per unit]"/>
    <s v="[renovated floor view.direction view]"/>
  </r>
  <r>
    <x v="2"/>
    <s v="71 West Hubbard Street"/>
    <x v="57"/>
    <s v="3005"/>
    <n v="30"/>
    <x v="0"/>
    <n v="1"/>
    <m/>
    <x v="46"/>
    <x v="249"/>
    <x v="290"/>
    <x v="0"/>
    <n v="60"/>
    <n v="2114"/>
    <n v="3.5"/>
    <n v="2114"/>
    <n v="3.5"/>
    <s v="[Cats - 2 pet max per unit Smoke Free Community NEST Thermostats Level 30 - Studio Pantry Closet Smoke Free Unit Graphite Oak Floors Western Exposure Wood floors throughout West View Tier Two Light Fixture Upgrade]"/>
    <s v="[renovated floor view.direction view]"/>
  </r>
  <r>
    <x v="2"/>
    <s v="71 West Hubbard Street"/>
    <x v="57"/>
    <s v="2605"/>
    <n v="26"/>
    <x v="0"/>
    <n v="1"/>
    <m/>
    <x v="46"/>
    <x v="262"/>
    <x v="250"/>
    <x v="0"/>
    <n v="28"/>
    <n v="2135"/>
    <n v="3.5347682119205297"/>
    <n v="2135"/>
    <n v="3.5347682119205297"/>
    <s v="[Smoke Free Community Level 26 - Studio NEST Thermostats Pantry Closet Smoke Free Unit Western Exposure West View Tier Two White Oak Floors Upgraded Home 8 FT 6 IN Foyer Ceiling Cats - 2 pet max per unit Dog&lt;75lbs - 2 pet max/unit Dog Floor]"/>
    <s v="[renovated floor view.direction view]"/>
  </r>
  <r>
    <x v="2"/>
    <s v="71 West Hubbard Street"/>
    <x v="57"/>
    <s v="1405"/>
    <n v="14"/>
    <x v="0"/>
    <n v="1"/>
    <m/>
    <x v="46"/>
    <x v="176"/>
    <x v="291"/>
    <x v="0"/>
    <n v="78"/>
    <n v="2166"/>
    <n v="3.5860927152317883"/>
    <n v="2166"/>
    <n v="3.5860927152317883"/>
    <s v="[Smoke Free Community NEST Thermostats Dog Floor Level 14 - Studio Pantry Closet Smoke Free Unit Graphite Oak Floors Western Exposure California Closets West View Tier One Front Loading Washer and Dryer Cats - 2 pet max per unit Dog&lt;75lbs - 2 pet max/unit]"/>
    <s v="[floor view.direction view washer_dryer]"/>
  </r>
  <r>
    <x v="2"/>
    <s v="71 West Hubbard Street"/>
    <x v="57"/>
    <s v="2305"/>
    <n v="23"/>
    <x v="0"/>
    <n v="1"/>
    <m/>
    <x v="46"/>
    <x v="89"/>
    <x v="13"/>
    <x v="0"/>
    <n v="16"/>
    <n v="2204"/>
    <n v="3.6490066225165565"/>
    <n v="2204"/>
    <n v="3.6490066225165565"/>
    <s v="[Smoke Free Community Level 23 - Studio NEST Thermostats Pantry Closet Smoke Free Unit Dog Floor Graphite Oak Floors Western Exposure West View Tier One Upgraded Home Cats - 2 pet max per unit Dog&lt;75lbs - 2 pet max/unit Light Fixture Upgrade]"/>
    <s v="[view.direction view floor renovated]"/>
  </r>
  <r>
    <x v="2"/>
    <s v="71 West Hubbard Street"/>
    <x v="57"/>
    <s v="2105"/>
    <n v="21"/>
    <x v="0"/>
    <n v="1"/>
    <m/>
    <x v="46"/>
    <x v="263"/>
    <x v="292"/>
    <x v="0"/>
    <n v="87"/>
    <n v="2056"/>
    <n v="3.4039735099337749"/>
    <n v="2056"/>
    <n v="3.4039735099337749"/>
    <s v="[]"/>
    <s v="[]"/>
  </r>
  <r>
    <x v="2"/>
    <s v="71 West Hubbard Street"/>
    <x v="57"/>
    <s v="3205"/>
    <n v="32"/>
    <x v="0"/>
    <n v="1"/>
    <m/>
    <x v="46"/>
    <x v="69"/>
    <x v="293"/>
    <x v="0"/>
    <n v="38"/>
    <n v="2076"/>
    <n v="3.4370860927152318"/>
    <n v="2076"/>
    <n v="3.4370860927152318"/>
    <s v="[]"/>
    <s v="[]"/>
  </r>
  <r>
    <x v="2"/>
    <s v="71 West Hubbard Street"/>
    <x v="57"/>
    <s v="3105"/>
    <n v="31"/>
    <x v="0"/>
    <n v="1"/>
    <m/>
    <x v="46"/>
    <x v="264"/>
    <x v="70"/>
    <x v="0"/>
    <n v="69"/>
    <n v="2121"/>
    <n v="3.51158940397351"/>
    <n v="2121"/>
    <n v="3.51158940397351"/>
    <s v="[]"/>
    <s v="[]"/>
  </r>
  <r>
    <x v="2"/>
    <s v="71 West Hubbard Street"/>
    <x v="58"/>
    <s v="4208"/>
    <n v="42"/>
    <x v="0"/>
    <n v="1"/>
    <m/>
    <x v="47"/>
    <x v="265"/>
    <x v="294"/>
    <x v="0"/>
    <n v="29"/>
    <n v="2325"/>
    <n v="3.560490045941807"/>
    <n v="2325"/>
    <n v="3.560490045941807"/>
    <s v="[Smoke Free Community Lake View Tier Two Level 42 - Studio NEST Thermostats Eastern Exposure Pantry Closet Smoke Free Unit Graphite Oak Floors Cats - 2 pet max per unit Upgraded Home]"/>
    <s v="[renovated view.water floor view]"/>
  </r>
  <r>
    <x v="2"/>
    <s v="71 West Hubbard Street"/>
    <x v="58"/>
    <s v="3408"/>
    <n v="34"/>
    <x v="0"/>
    <n v="1"/>
    <m/>
    <x v="47"/>
    <x v="266"/>
    <x v="295"/>
    <x v="0"/>
    <n v="23"/>
    <n v="2330"/>
    <n v="3.568147013782542"/>
    <n v="2330"/>
    <n v="3.568147013782542"/>
    <s v="[Smoke Free Community Lake View Tier Two Level 34 - Studio NEST Thermostats Eastern Exposure Pantry Closet Smoke Free Unit Graphite Oak Floors Wood floors throughout Upgraded Home Cats - 2 pet max per unit]"/>
    <s v="[renovated view.water floor view]"/>
  </r>
  <r>
    <x v="2"/>
    <s v="71 West Hubbard Street"/>
    <x v="58"/>
    <s v="3808"/>
    <n v="38"/>
    <x v="0"/>
    <n v="1"/>
    <m/>
    <x v="47"/>
    <x v="267"/>
    <x v="294"/>
    <x v="0"/>
    <n v="198"/>
    <n v="2365"/>
    <n v="3.6217457886676878"/>
    <n v="2365"/>
    <n v="3.6217457886676878"/>
    <s v="[Smoke Free Community Lake View Tier Two Level 38 - Studio NEST Thermostats Eastern Exposure Pantry Closet Smoke Free Unit Graphite Oak Floors Upgraded Home Cats - 2 pet max per unit 8 FT 6 IN Foyer Ceiling Dog&lt;75lbs - 2 pet max/unit Dog Floor]"/>
    <s v="[renovated view.water floor view]"/>
  </r>
  <r>
    <x v="2"/>
    <s v="71 West Hubbard Street"/>
    <x v="58"/>
    <s v="3508"/>
    <n v="35"/>
    <x v="0"/>
    <n v="1"/>
    <m/>
    <x v="47"/>
    <x v="268"/>
    <x v="268"/>
    <x v="0"/>
    <n v="129"/>
    <n v="2372"/>
    <n v="3.6324655436447166"/>
    <n v="2372"/>
    <n v="3.6324655436447166"/>
    <s v="[Smoke Free Community Lake View Tier Two Level 35 - Studio NEST Thermostats Eastern Exposure Pantry Closet Smoke Free Unit Graphite Oak Floors Upgraded Home Cats - 2 pet max per unit]"/>
    <s v="[renovated view.water floor view]"/>
  </r>
  <r>
    <x v="2"/>
    <s v="71 West Hubbard Street"/>
    <x v="58"/>
    <s v="3908"/>
    <n v="39"/>
    <x v="0"/>
    <n v="1"/>
    <m/>
    <x v="47"/>
    <x v="269"/>
    <x v="28"/>
    <x v="1"/>
    <m/>
    <n v="2609"/>
    <n v="3.9954058192955588"/>
    <n v="2609"/>
    <n v="3.9954058192955588"/>
    <s v="[Smoke Free Community Lake View Tier Two Level 39 - Studio NEST Thermostats Eastern Exposure Pantry Closet Smoke Free Unit Graphite Oak Floors Upgraded Home Cats - 2 pet max per unit Dog&lt;75lbs - 2 pet max/unit Dog Floor]"/>
    <s v="[renovated view.water floor view]"/>
  </r>
  <r>
    <x v="2"/>
    <s v="71 West Hubbard Street"/>
    <x v="58"/>
    <s v="3608"/>
    <n v="36"/>
    <x v="0"/>
    <n v="1"/>
    <m/>
    <x v="47"/>
    <x v="181"/>
    <x v="296"/>
    <x v="0"/>
    <n v="56"/>
    <n v="2581"/>
    <n v="3.9525267993874427"/>
    <n v="2581"/>
    <n v="3.9525267993874427"/>
    <s v="[]"/>
    <s v="[]"/>
  </r>
  <r>
    <x v="2"/>
    <s v="71 West Hubbard Street"/>
    <x v="59"/>
    <s v="3001"/>
    <n v="30"/>
    <x v="0"/>
    <n v="1"/>
    <m/>
    <x v="48"/>
    <x v="108"/>
    <x v="141"/>
    <x v="0"/>
    <n v="31"/>
    <n v="2458"/>
    <n v="3.7242424242424241"/>
    <n v="2458"/>
    <n v="3.7242424242424241"/>
    <s v="[Smoke Free Community Northern Exposure NEST Thermostats Level 30 - Studio Smoke Free Unit Graphite Oak Floors Wood floors throughout Upgraded Home Cats - 2 pet max per unit]"/>
    <s v="[floor renovated]"/>
  </r>
  <r>
    <x v="2"/>
    <s v="71 West Hubbard Street"/>
    <x v="59"/>
    <s v="3401"/>
    <n v="34"/>
    <x v="0"/>
    <n v="1"/>
    <m/>
    <x v="48"/>
    <x v="241"/>
    <x v="99"/>
    <x v="0"/>
    <n v="3"/>
    <n v="2469"/>
    <n v="3.7409090909090907"/>
    <n v="2469"/>
    <n v="3.7409090909090907"/>
    <s v="[Smoke Free Community Northern Exposure Level 34 - Studio NEST Thermostats Smoke Free Unit Graphite Oak Floors Wood floors throughout Upgraded Home Cats - 2 pet max per unit]"/>
    <s v="[floor renovated]"/>
  </r>
  <r>
    <x v="2"/>
    <s v="71 West Hubbard Street"/>
    <x v="59"/>
    <s v="2301"/>
    <n v="23"/>
    <x v="0"/>
    <n v="1"/>
    <m/>
    <x v="48"/>
    <x v="270"/>
    <x v="60"/>
    <x v="0"/>
    <n v="12"/>
    <n v="2477"/>
    <n v="3.7530303030303029"/>
    <n v="2477"/>
    <n v="3.7530303030303029"/>
    <s v="[Smoke Free Community Level 23 - Studio Northern Exposure NEST Thermostats Smoke Free Unit Dog Floor Graphite Oak Floors Upgraded Home Cats - 2 pet max per unit Dog&lt;75lbs - 2 pet max/unit Light Fixture Upgrade]"/>
    <s v="[floor renovated]"/>
  </r>
  <r>
    <x v="2"/>
    <s v="71 West Hubbard Street"/>
    <x v="59"/>
    <s v="2201"/>
    <n v="22"/>
    <x v="0"/>
    <n v="1"/>
    <m/>
    <x v="48"/>
    <x v="246"/>
    <x v="140"/>
    <x v="0"/>
    <n v="153"/>
    <n v="2479"/>
    <n v="3.7560606060606059"/>
    <n v="2479"/>
    <n v="3.7560606060606059"/>
    <s v="[Smoke Free Community Level 22 - Studio Northern Exposure NEST Thermostats Smoke Free Unit White Oak Floors Upgraded Home Cats - 2 pet max per unit Dog&lt;75lbs - 2 pet max/unit Dog Floor]"/>
    <s v="[floor renovated]"/>
  </r>
  <r>
    <x v="2"/>
    <s v="71 West Hubbard Street"/>
    <x v="59"/>
    <s v="2001"/>
    <n v="20"/>
    <x v="0"/>
    <n v="1"/>
    <m/>
    <x v="48"/>
    <x v="101"/>
    <x v="294"/>
    <x v="0"/>
    <n v="290"/>
    <n v="2480"/>
    <n v="3.7575757575757578"/>
    <n v="2480"/>
    <n v="3.7575757575757578"/>
    <s v="[Smoke Free Community Level 20 - Studio Northern Exposure NEST Thermostats Smoke Free Unit Graphite Oak Floors Upgraded Home Cats - 2 pet max per unit Dog&lt;75lbs - 2 pet max/unit Dog Floor]"/>
    <s v="[floor renovated]"/>
  </r>
  <r>
    <x v="2"/>
    <s v="71 West Hubbard Street"/>
    <x v="59"/>
    <s v="3501"/>
    <n v="35"/>
    <x v="0"/>
    <n v="1"/>
    <m/>
    <x v="48"/>
    <x v="271"/>
    <x v="297"/>
    <x v="0"/>
    <n v="47"/>
    <n v="2481"/>
    <n v="3.7590909090909093"/>
    <n v="2481"/>
    <n v="3.7590909090909093"/>
    <s v="[Cats - 2 pet max per unit Level 35 - Studio NEST Thermostats Northern Exposure Smoke Free Unit Graphite Oak Floors Smoke Free Community Upgraded Home Light Fixture Upgrade]"/>
    <s v="[floor renovated]"/>
  </r>
  <r>
    <x v="2"/>
    <s v="71 West Hubbard Street"/>
    <x v="59"/>
    <s v="1801"/>
    <n v="18"/>
    <x v="0"/>
    <n v="1"/>
    <m/>
    <x v="48"/>
    <x v="191"/>
    <x v="16"/>
    <x v="0"/>
    <n v="3"/>
    <n v="2495"/>
    <n v="3.7803030303030303"/>
    <n v="2495"/>
    <n v="3.7803030303030303"/>
    <s v="[Smoke Free Community Level 18 - Studio Northern Exposure NEST Thermostats Smoke Free Unit White Oak Floors Upgraded Home Cats - 2 pet max per unit Dog&lt;75lbs - 2 pet max/unit Dog Floor]"/>
    <s v="[floor renovated]"/>
  </r>
  <r>
    <x v="2"/>
    <s v="71 West Hubbard Street"/>
    <x v="59"/>
    <s v="1601"/>
    <n v="16"/>
    <x v="0"/>
    <n v="1"/>
    <m/>
    <x v="48"/>
    <x v="272"/>
    <x v="204"/>
    <x v="0"/>
    <n v="207"/>
    <n v="2497"/>
    <n v="3.7833333333333332"/>
    <n v="2497"/>
    <n v="3.7833333333333332"/>
    <s v="[Smoke Free Community Level 16 - Studio Northern Exposure NEST Thermostats Smoke Free Unit Graphite Oak Floors Upgraded Home Cats - 2 pet max per unit Dog Floor]"/>
    <s v="[floor renovated]"/>
  </r>
  <r>
    <x v="2"/>
    <s v="71 West Hubbard Street"/>
    <x v="59"/>
    <s v="3101"/>
    <n v="31"/>
    <x v="3"/>
    <n v="1"/>
    <m/>
    <x v="48"/>
    <x v="273"/>
    <x v="27"/>
    <x v="0"/>
    <n v="40"/>
    <n v="2498"/>
    <n v="3.7848484848484847"/>
    <n v="2498"/>
    <n v="3.7848484848484847"/>
    <s v="[Smoke Free Community Northern Exposure Level 31 - Studio NEST Thermostats Smoke Free Unit Dog Floor Upgraded Home White Oak Floors Cats - 2 pet max per unit Dog&lt;75lbs - 2 pet max/unit]"/>
    <s v="[floor renovated]"/>
  </r>
  <r>
    <x v="2"/>
    <s v="71 West Hubbard Street"/>
    <x v="59"/>
    <s v="3201"/>
    <n v="32"/>
    <x v="0"/>
    <n v="1"/>
    <m/>
    <x v="48"/>
    <x v="274"/>
    <x v="140"/>
    <x v="0"/>
    <n v="71"/>
    <n v="2499"/>
    <n v="3.7863636363636362"/>
    <n v="2499"/>
    <n v="3.7863636363636362"/>
    <s v="[Smoke Free Community Northern Exposure NEST Thermostats Level 32 - Studio Smoke Free Unit White Oak Floors Upgraded Home Cats - 2 pet max per unit Dog&lt;75lbs - 2 pet max/unit Dog Floor]"/>
    <s v="[floor renovated]"/>
  </r>
  <r>
    <x v="2"/>
    <s v="71 West Hubbard Street"/>
    <x v="59"/>
    <s v="1901"/>
    <n v="19"/>
    <x v="0"/>
    <n v="1"/>
    <m/>
    <x v="48"/>
    <x v="275"/>
    <x v="140"/>
    <x v="0"/>
    <n v="12"/>
    <n v="2504"/>
    <n v="3.7939393939393939"/>
    <n v="2504"/>
    <n v="3.7939393939393939"/>
    <s v="[Smoke Free Community Level 19 - Studio Northern Exposure NEST Thermostats Smoke Free Unit Graphite Oak Floors Wood floors throughout Upgraded Home Cats - 2 pet max per unit Dog Floor]"/>
    <s v="[floor renovated]"/>
  </r>
  <r>
    <x v="2"/>
    <s v="71 West Hubbard Street"/>
    <x v="59"/>
    <s v="4301"/>
    <n v="43"/>
    <x v="0"/>
    <n v="1"/>
    <m/>
    <x v="48"/>
    <x v="178"/>
    <x v="298"/>
    <x v="0"/>
    <n v="15"/>
    <n v="2541"/>
    <n v="3.85"/>
    <n v="2541"/>
    <n v="3.85"/>
    <s v="[Smoke Free Community Level 43 - Studio NEST Thermostats Northern Exposure Smoke Free Unit Dog Floor Graphite Oak Floors Wood floors throughout Upgraded Home Cats - 2 pet max per unit Dog&lt;75lbs - 2 pet max/unit]"/>
    <s v="[floor renovated]"/>
  </r>
  <r>
    <x v="2"/>
    <s v="71 West Hubbard Street"/>
    <x v="59"/>
    <s v="4001"/>
    <n v="40"/>
    <x v="0"/>
    <n v="1"/>
    <m/>
    <x v="48"/>
    <x v="276"/>
    <x v="55"/>
    <x v="0"/>
    <n v="23"/>
    <n v="2561"/>
    <n v="3.8803030303030304"/>
    <n v="2561"/>
    <n v="3.8803030303030304"/>
    <s v="[Smoke Free Community Level 40 - Studio NEST Thermostats Northern Exposure Smoke Free Unit Graphite Oak Floors Wood floors throughout Upgraded Home Cats - 2 pet max per unit]"/>
    <s v="[floor renovated]"/>
  </r>
  <r>
    <x v="2"/>
    <s v="71 West Hubbard Street"/>
    <x v="59"/>
    <s v="4401"/>
    <n v="44"/>
    <x v="0"/>
    <n v="1"/>
    <m/>
    <x v="48"/>
    <x v="229"/>
    <x v="299"/>
    <x v="0"/>
    <n v="10"/>
    <n v="2578"/>
    <n v="3.9060606060606062"/>
    <n v="2578"/>
    <n v="3.9060606060606062"/>
    <s v="[Smoke Free Community Level 44 - Studio NEST Thermostats Northern Exposure Smoke Free Unit Graphite Oak Floors Wood floors throughout 7 FT 8 IN Kitchen Ceiling Cats - 2 pet max per unit Dog&lt;75lbs - 2 pet max/unit Upgraded Home Dog Floor]"/>
    <s v="[floor renovated]"/>
  </r>
  <r>
    <x v="2"/>
    <s v="71 West Hubbard Street"/>
    <x v="59"/>
    <s v="1401"/>
    <n v="14"/>
    <x v="0"/>
    <n v="1"/>
    <m/>
    <x v="48"/>
    <x v="7"/>
    <x v="148"/>
    <x v="0"/>
    <n v="3"/>
    <n v="2626"/>
    <n v="3.978787878787879"/>
    <n v="2626"/>
    <n v="3.978787878787879"/>
    <s v="[Smoke Free Community Northern Exposure NEST Thermostats Dog Floor Level 14 - Studio Smoke Free Unit Graphite Oak Floors Cats - 2 pet max per unit Dog&lt;75lbs - 2 pet max/unit Light Fixture Upgrade]"/>
    <s v="[floor renovated]"/>
  </r>
  <r>
    <x v="2"/>
    <s v="71 West Hubbard Street"/>
    <x v="59"/>
    <s v="3901"/>
    <n v="39"/>
    <x v="3"/>
    <n v="1"/>
    <m/>
    <x v="48"/>
    <x v="232"/>
    <x v="28"/>
    <x v="1"/>
    <m/>
    <n v="2652"/>
    <n v="4.0181818181818185"/>
    <n v="2652"/>
    <n v="4.0181818181818185"/>
    <s v="[Smoke Free Community Level 39 - Studio NEST Thermostats Northern Exposure Smoke Free Unit Graphite Oak Floors Upgraded Home Cats - 2 pet max per unit Dog&lt;75lbs - 2 pet max/unit Dog Floor]"/>
    <s v="[floor renovated]"/>
  </r>
  <r>
    <x v="2"/>
    <s v="71 West Hubbard Street"/>
    <x v="59"/>
    <s v="4201"/>
    <n v="42"/>
    <x v="0"/>
    <n v="1"/>
    <m/>
    <x v="48"/>
    <x v="70"/>
    <x v="300"/>
    <x v="0"/>
    <n v="38"/>
    <n v="2660"/>
    <n v="4.0303030303030303"/>
    <n v="2660"/>
    <n v="4.0303030303030303"/>
    <s v="[Smoke Free Community Level 42 - Studio NEST Thermostats Northern Exposure Smoke Free Unit Graphite Oak Floors Upgraded Home Cats - 2 pet max per unit Light Fixture Upgrade]"/>
    <s v="[floor renovated]"/>
  </r>
  <r>
    <x v="2"/>
    <s v="71 West Hubbard Street"/>
    <x v="59"/>
    <s v="3301"/>
    <n v="33"/>
    <x v="0"/>
    <n v="1"/>
    <m/>
    <x v="48"/>
    <x v="255"/>
    <x v="236"/>
    <x v="0"/>
    <n v="12"/>
    <n v="2676"/>
    <n v="4.0545454545454547"/>
    <n v="2676"/>
    <n v="4.0545454545454547"/>
    <s v="[Upgraded Home Northern Exposure Level 33 - Studio NEST Thermostats Smoke Free Unit Dog Floor Graphite Oak Floors Cats - 2 pet max per unit Dog&lt;75lbs - 2 pet max/unit Smoke Free Community Light Fixture Upgrade]"/>
    <s v="[floor renovated]"/>
  </r>
  <r>
    <x v="2"/>
    <s v="71 West Hubbard Street"/>
    <x v="59"/>
    <s v="2101"/>
    <n v="21"/>
    <x v="0"/>
    <n v="1"/>
    <m/>
    <x v="48"/>
    <x v="177"/>
    <x v="28"/>
    <x v="1"/>
    <m/>
    <n v="2687"/>
    <n v="4.0712121212121213"/>
    <n v="2687"/>
    <n v="4.0712121212121213"/>
    <s v="[Smoke Free Community Level 21 - Studio Northern Exposure NEST Thermostats Smoke Free Unit White Oak Floors Upgraded Home Cats - 2 pet max per unit Dog&lt;75lbs - 2 pet max/unit Dog Floor]"/>
    <s v="[floor renovated]"/>
  </r>
  <r>
    <x v="2"/>
    <s v="71 West Hubbard Street"/>
    <x v="59"/>
    <s v="2501"/>
    <n v="25"/>
    <x v="0"/>
    <n v="1"/>
    <m/>
    <x v="48"/>
    <x v="104"/>
    <x v="301"/>
    <x v="0"/>
    <n v="50"/>
    <n v="2462"/>
    <n v="3.7303030303030305"/>
    <n v="2462"/>
    <n v="3.7303030303030305"/>
    <s v="[]"/>
    <s v="[]"/>
  </r>
  <r>
    <x v="2"/>
    <s v="71 West Hubbard Street"/>
    <x v="59"/>
    <s v="2901"/>
    <n v="29"/>
    <x v="0"/>
    <n v="1"/>
    <m/>
    <x v="48"/>
    <x v="172"/>
    <x v="161"/>
    <x v="0"/>
    <n v="14"/>
    <n v="2465"/>
    <n v="3.7348484848484849"/>
    <n v="2465"/>
    <n v="3.7348484848484849"/>
    <s v="[]"/>
    <s v="[]"/>
  </r>
  <r>
    <x v="2"/>
    <s v="71 West Hubbard Street"/>
    <x v="59"/>
    <s v="3701"/>
    <n v="37"/>
    <x v="0"/>
    <n v="1"/>
    <m/>
    <x v="48"/>
    <x v="65"/>
    <x v="302"/>
    <x v="0"/>
    <n v="65"/>
    <n v="2475"/>
    <n v="3.75"/>
    <n v="2475"/>
    <n v="3.75"/>
    <s v="[]"/>
    <s v="[]"/>
  </r>
  <r>
    <x v="2"/>
    <s v="71 West Hubbard Street"/>
    <x v="60"/>
    <s v="3604"/>
    <n v="36"/>
    <x v="1"/>
    <n v="1"/>
    <n v="1"/>
    <x v="49"/>
    <x v="277"/>
    <x v="303"/>
    <x v="0"/>
    <n v="9"/>
    <n v="3140"/>
    <n v="3.1621349446122862"/>
    <n v="3140"/>
    <n v="3.1621349446122862"/>
    <s v="[Desk Smoke Free Community Level 36 Master Bath - Double Vanity Sinks Master Bath - Linen Closet NEST Thermostats Pantry Closet Smoke Free Unit Graphite Oak Floors Western Exposure West View Tier Three Upgraded Home Cats - 2 pet max per unit Light Fixture Upgrade]"/>
    <s v="[view.direction view floor renovated]"/>
  </r>
  <r>
    <x v="2"/>
    <s v="71 West Hubbard Street"/>
    <x v="60"/>
    <s v="4004"/>
    <n v="40"/>
    <x v="1"/>
    <n v="1"/>
    <n v="1"/>
    <x v="49"/>
    <x v="30"/>
    <x v="304"/>
    <x v="0"/>
    <n v="35"/>
    <n v="3211"/>
    <n v="3.2336354481369587"/>
    <n v="3211"/>
    <n v="3.2336354481369587"/>
    <s v="[Smoke Free Community Level 40 Master Bath - Double Vanity Sinks Master Bath - Linen Closet NEST Thermostats Pantry Closet Smoke Free Unit Graphite Oak Floors Western Exposure Wood floors throughout West View Tier Three Upgraded Home Cats - 2 pet max per unit Desk]"/>
    <s v="[renovated floor view.direction view]"/>
  </r>
  <r>
    <x v="2"/>
    <s v="71 West Hubbard Street"/>
    <x v="60"/>
    <s v="4304"/>
    <n v="43"/>
    <x v="1"/>
    <n v="1"/>
    <n v="1"/>
    <x v="49"/>
    <x v="27"/>
    <x v="167"/>
    <x v="0"/>
    <n v="145"/>
    <n v="3239"/>
    <n v="3.2618328298086605"/>
    <n v="3239"/>
    <n v="3.2618328298086605"/>
    <s v="[Smoke Free Community Level 43 Master Bath - Double Vanity Sinks Master Bath - Linen Closet NEST Thermostats Pantry Closet Smoke Free Unit Dog Floor Graphite Oak Floors Western Exposure Wood floors throughout West View Tier Three Upgraded Home Cats - 2 pet max per unit Desk Dog&lt;75lbs - 2 pet max/unit]"/>
    <s v="[renovated floor view.direction view]"/>
  </r>
  <r>
    <x v="2"/>
    <s v="71 West Hubbard Street"/>
    <x v="60"/>
    <s v="3704"/>
    <n v="37"/>
    <x v="1"/>
    <n v="1"/>
    <n v="1"/>
    <x v="49"/>
    <x v="278"/>
    <x v="305"/>
    <x v="0"/>
    <n v="27"/>
    <n v="3255"/>
    <n v="3.2779456193353473"/>
    <n v="3255"/>
    <n v="3.2779456193353473"/>
    <s v="[Smoke Free Community Level 37 Master Bath - Double Vanity Sinks Master Bath - Linen Closet NEST Thermostats Pantry Closet Smoke Free Unit Western Exposure Wood floors throughout West View Tier Three White Oak Floors Upgraded Home Cats - 2 pet max per unit Desk Dog&lt;75lbs - 2 pet max/unit Dog Floor]"/>
    <s v="[renovated floor view.direction view]"/>
  </r>
  <r>
    <x v="2"/>
    <s v="71 West Hubbard Street"/>
    <x v="60"/>
    <s v="3804"/>
    <n v="38"/>
    <x v="1"/>
    <n v="1"/>
    <n v="1"/>
    <x v="49"/>
    <x v="11"/>
    <x v="306"/>
    <x v="0"/>
    <n v="2"/>
    <n v="3338"/>
    <n v="3.3615307150050353"/>
    <n v="3338"/>
    <n v="3.3615307150050353"/>
    <s v="[Dog&lt;75lbs - 2 pet max/unit Level 38 Master Bath - Double Vanity Sinks Master Bath - Linen Closet NEST Thermostats Smoke Free Community Pantry Closet Smoke Free Unit Dog Floor Graphite Oak Floors Western Exposure West View Tier Three Upgraded Home Cats - 2 pet max per unit Desk 8 FT 6 IN Foyer Ceiling Light Fixture Upgrade]"/>
    <s v="[view.direction view floor renovated]"/>
  </r>
  <r>
    <x v="2"/>
    <s v="71 West Hubbard Street"/>
    <x v="60"/>
    <s v="3904"/>
    <n v="39"/>
    <x v="1"/>
    <n v="1"/>
    <n v="1"/>
    <x v="49"/>
    <x v="239"/>
    <x v="307"/>
    <x v="0"/>
    <n v="113"/>
    <n v="2945"/>
    <n v="2.9657603222557904"/>
    <n v="2945"/>
    <n v="2.9657603222557904"/>
    <s v="[]"/>
    <s v="[]"/>
  </r>
  <r>
    <x v="2"/>
    <s v="71 West Hubbard Street"/>
    <x v="60"/>
    <s v="3404"/>
    <n v="34"/>
    <x v="1"/>
    <n v="1"/>
    <n v="1"/>
    <x v="49"/>
    <x v="217"/>
    <x v="308"/>
    <x v="0"/>
    <n v="30"/>
    <n v="3133"/>
    <n v="3.1550855991943605"/>
    <n v="3133"/>
    <n v="3.1550855991943605"/>
    <s v="[]"/>
    <s v="[]"/>
  </r>
  <r>
    <x v="2"/>
    <s v="71 West Hubbard Street"/>
    <x v="61"/>
    <s v="1611"/>
    <n v="16"/>
    <x v="1"/>
    <n v="1"/>
    <m/>
    <x v="50"/>
    <x v="270"/>
    <x v="309"/>
    <x v="0"/>
    <n v="25"/>
    <n v="2844"/>
    <n v="3.5505617977528088"/>
    <n v="2844"/>
    <n v="3.5505617977528088"/>
    <s v="[Smoke Free Community Level 16 Master Bath - Linen Closet NEST Thermostats Eastern Exposure Pantry Closet Smoke Free Unit Graphite Oak Floors Hotel View Upgraded Home Balcony Cats - 2 pet max per unit Desk Light Fixture Upgrade]"/>
    <s v="[view balcony_patio floor renovated]"/>
  </r>
  <r>
    <x v="2"/>
    <s v="71 West Hubbard Street"/>
    <x v="61"/>
    <s v="1711"/>
    <n v="17"/>
    <x v="1"/>
    <n v="1"/>
    <m/>
    <x v="50"/>
    <x v="233"/>
    <x v="310"/>
    <x v="0"/>
    <n v="30"/>
    <n v="2946"/>
    <n v="3.6779026217228465"/>
    <n v="2946"/>
    <n v="3.6779026217228465"/>
    <s v="[Smoke Free Community Level 17 Master Bath - Linen Closet NEST Thermostats Eastern Exposure Pantry Closet Smoke Free Unit Hotel View White Oak Floors Upgraded Home Balcony Cats - 2 pet max per unit Desk Light Fixture Upgrade]"/>
    <s v="[view balcony_patio floor renovated]"/>
  </r>
  <r>
    <x v="2"/>
    <s v="71 West Hubbard Street"/>
    <x v="61"/>
    <s v="1411"/>
    <n v="14"/>
    <x v="1"/>
    <n v="1"/>
    <m/>
    <x v="50"/>
    <x v="243"/>
    <x v="253"/>
    <x v="0"/>
    <n v="29"/>
    <n v="2966"/>
    <n v="3.7028714107365794"/>
    <n v="2966"/>
    <n v="3.7028714107365794"/>
    <s v="[Smoke Free Community Master Bath - Linen Closet NEST Thermostats Eastern Exposure Level 14 Dog Floor Pantry Closet Smoke Free Unit Graphite Oak Floors Hotel View Upgraded Home Balcony Cats - 2 pet max per unit Desk Dog&lt;75lbs - 2 pet max/unit Light Fixture Upgrade]"/>
    <s v="[view balcony_patio floor renovated]"/>
  </r>
  <r>
    <x v="2"/>
    <s v="71 West Hubbard Street"/>
    <x v="61"/>
    <s v="1511"/>
    <n v="15"/>
    <x v="1"/>
    <n v="1"/>
    <m/>
    <x v="50"/>
    <x v="148"/>
    <x v="28"/>
    <x v="1"/>
    <m/>
    <n v="3080"/>
    <n v="3.8451935081148565"/>
    <n v="3080"/>
    <n v="3.8451935081148565"/>
    <s v="[Smoke Free Community Level 15 Master Bath - Linen Closet NEST Thermostats Eastern Exposure Pantry Closet Smoke Free Unit Graphite Oak Floors Hotel View Upgraded Home Balcony Cats - 2 pet max per unit Desk Dog&lt;75lbs - 2 pet max/unit Dog Floor]"/>
    <s v="[renovated floor view balcony_patio]"/>
  </r>
  <r>
    <x v="2"/>
    <s v="71 West Hubbard Street"/>
    <x v="61"/>
    <s v="2411"/>
    <n v="24"/>
    <x v="1"/>
    <n v="1"/>
    <m/>
    <x v="50"/>
    <x v="274"/>
    <x v="294"/>
    <x v="0"/>
    <n v="74"/>
    <n v="3096"/>
    <n v="3.8651685393258428"/>
    <n v="3096"/>
    <n v="3.8651685393258428"/>
    <s v="[Smoke Free Community Level 24 Master Bath - Linen Closet NEST Thermostats Eastern Exposure Pantry Closet Smoke Free Unit Graphite Oak Floors Hotel Roof View Wood floors throughout Upgraded Home Balcony Desk Cats - 2 pet max per unit Dog&lt;75lbs - 2 pet max/unit Dog Floor]"/>
    <s v="[renovated floor view balcony_patio]"/>
  </r>
  <r>
    <x v="2"/>
    <s v="71 West Hubbard Street"/>
    <x v="61"/>
    <s v="2711"/>
    <n v="27"/>
    <x v="1"/>
    <n v="1"/>
    <m/>
    <x v="50"/>
    <x v="131"/>
    <x v="173"/>
    <x v="0"/>
    <n v="25"/>
    <n v="3134"/>
    <n v="3.9126092384519349"/>
    <n v="3134"/>
    <n v="3.9126092384519349"/>
    <s v="[Level 27 Master Bath - Linen Closet NEST Thermostats Eastern Exposure Pantry Closet Smoke Free Unit Hotel Roof View Wood floors throughout White Oak Floors Upgraded Home Balcony Smoke Free Community Cats - 2 pet max per unit Desk Light Fixture Upgrade]"/>
    <s v="[view balcony_patio floor renovated]"/>
  </r>
  <r>
    <x v="2"/>
    <s v="71 West Hubbard Street"/>
    <x v="61"/>
    <s v="3111"/>
    <n v="31"/>
    <x v="1"/>
    <n v="1"/>
    <m/>
    <x v="50"/>
    <x v="27"/>
    <x v="311"/>
    <x v="0"/>
    <n v="163"/>
    <n v="3203"/>
    <n v="3.9987515605493136"/>
    <n v="3203"/>
    <n v="3.9987515605493136"/>
    <s v="[Smoke Free Community Level 31 Master Bath - Linen Closet NEST Thermostats Eastern Exposure Pantry Closet Smoke Free Unit East View Tier One White Oak Floors Upgraded Home Balcony Cats - 2 pet max per unit Desk Dog&lt;75lbs - 2 pet max/unit Dog Floor]"/>
    <s v="[view.direction view balcony_patio floor renovated]"/>
  </r>
  <r>
    <x v="2"/>
    <s v="71 West Hubbard Street"/>
    <x v="61"/>
    <s v="2911"/>
    <n v="29"/>
    <x v="1"/>
    <n v="1"/>
    <m/>
    <x v="50"/>
    <x v="279"/>
    <x v="312"/>
    <x v="0"/>
    <n v="81"/>
    <n v="2739"/>
    <n v="3.4194756554307117"/>
    <n v="2739"/>
    <n v="3.4194756554307117"/>
    <s v="[]"/>
    <s v="[]"/>
  </r>
  <r>
    <x v="2"/>
    <s v="71 West Hubbard Street"/>
    <x v="61"/>
    <s v="2211"/>
    <n v="22"/>
    <x v="1"/>
    <n v="1"/>
    <m/>
    <x v="50"/>
    <x v="271"/>
    <x v="313"/>
    <x v="0"/>
    <n v="3"/>
    <n v="2909"/>
    <n v="3.6317103620474409"/>
    <n v="2909"/>
    <n v="3.6317103620474409"/>
    <s v="[]"/>
    <s v="[]"/>
  </r>
  <r>
    <x v="2"/>
    <s v="71 West Hubbard Street"/>
    <x v="61"/>
    <s v="3311"/>
    <n v="33"/>
    <x v="1"/>
    <n v="1"/>
    <m/>
    <x v="50"/>
    <x v="35"/>
    <x v="314"/>
    <x v="0"/>
    <n v="147"/>
    <n v="3021"/>
    <n v="3.7715355805243447"/>
    <n v="3021"/>
    <n v="3.7715355805243447"/>
    <s v="[]"/>
    <s v="[]"/>
  </r>
  <r>
    <x v="2"/>
    <s v="71 West Hubbard Street"/>
    <x v="61"/>
    <s v="2511"/>
    <n v="25"/>
    <x v="1"/>
    <n v="1"/>
    <m/>
    <x v="50"/>
    <x v="280"/>
    <x v="315"/>
    <x v="0"/>
    <n v="4"/>
    <n v="3109"/>
    <n v="3.881398252184769"/>
    <n v="3109"/>
    <n v="3.881398252184769"/>
    <s v="[]"/>
    <s v="[]"/>
  </r>
  <r>
    <x v="2"/>
    <s v="71 West Hubbard Street"/>
    <x v="62"/>
    <s v="1604"/>
    <n v="16"/>
    <x v="1"/>
    <n v="1"/>
    <m/>
    <x v="51"/>
    <x v="176"/>
    <x v="316"/>
    <x v="0"/>
    <n v="184"/>
    <n v="2815"/>
    <n v="3.4038694074969769"/>
    <n v="2815"/>
    <n v="3.4038694074969769"/>
    <s v="[Smoke Free Community Level 16 Master Bath - Linen Closet NEST Thermostats Smoke Free Unit Graphite Oak Floors Western Exposure West View Tier One Two Juliet Balcony Upgraded Home Cats - 2 pet max per unit Dog Floor]"/>
    <s v="[renovated view balcony_patio floor view.direction]"/>
  </r>
  <r>
    <x v="2"/>
    <s v="71 West Hubbard Street"/>
    <x v="62"/>
    <s v="2904"/>
    <n v="29"/>
    <x v="1"/>
    <n v="1"/>
    <m/>
    <x v="51"/>
    <x v="49"/>
    <x v="311"/>
    <x v="0"/>
    <n v="122"/>
    <n v="2917"/>
    <n v="3.5272067714631197"/>
    <n v="2917"/>
    <n v="3.5272067714631197"/>
    <s v="[Smoke Free Community Level 29 Master Bath - Linen Closet NEST Thermostats Smoke Free Unit Graphite Oak Floors Western Exposure West View Tier Two Two Juliet Balcony Upgraded Home Cats - 2 pet max per unit Dog Floor]"/>
    <s v="[renovated view balcony_patio floor view.direction]"/>
  </r>
  <r>
    <x v="2"/>
    <s v="71 West Hubbard Street"/>
    <x v="62"/>
    <s v="1704"/>
    <n v="17"/>
    <x v="1"/>
    <n v="1"/>
    <m/>
    <x v="51"/>
    <x v="249"/>
    <x v="0"/>
    <x v="0"/>
    <n v="31"/>
    <n v="2968"/>
    <n v="3.5888754534461911"/>
    <n v="2968"/>
    <n v="3.5888754534461911"/>
    <s v="[Smoke Free Community Level 17 Master Bath - Linen Closet NEST Thermostats Smoke Free Unit Western Exposure White Oak Floors Two Juliet Balcony West View Tier One Upgraded Home Cats - 2 pet max per unit Light Fixture Upgrade]"/>
    <s v="[renovated view balcony_patio floor view.direction]"/>
  </r>
  <r>
    <x v="2"/>
    <s v="71 West Hubbard Street"/>
    <x v="62"/>
    <s v="1804"/>
    <n v="18"/>
    <x v="1"/>
    <n v="1"/>
    <m/>
    <x v="51"/>
    <x v="281"/>
    <x v="289"/>
    <x v="0"/>
    <n v="89"/>
    <n v="2999"/>
    <n v="3.6263603385731562"/>
    <n v="2999"/>
    <n v="3.6263603385731562"/>
    <s v="[Smoke Free Community Level 18 Master Bath - Linen Closet NEST Thermostats Dog Floor Smoke Free Unit Western Exposure West View Tier One White Oak Floors Two Juliet Balcony Upgraded Home Cats - 2 pet max per unit Dog&lt;75lbs - 2 pet max/unit]"/>
    <s v="[renovated view balcony_patio floor view.direction]"/>
  </r>
  <r>
    <x v="2"/>
    <s v="71 West Hubbard Street"/>
    <x v="62"/>
    <s v="2004"/>
    <n v="20"/>
    <x v="1"/>
    <n v="1"/>
    <m/>
    <x v="51"/>
    <x v="176"/>
    <x v="289"/>
    <x v="0"/>
    <n v="79"/>
    <n v="3019"/>
    <n v="3.6505441354292625"/>
    <n v="3019"/>
    <n v="3.6505441354292625"/>
    <s v="[Smoke Free Community Level 20 Master Bath - Linen Closet NEST Thermostats Dog Floor Smoke Free Unit Western Exposure West View Tier One White Oak Floors Two Juliet Balcony Upgraded Home Cats - 2 pet max per unit Dog&lt;75lbs - 2 pet max/unit]"/>
    <s v="[renovated view balcony_patio floor view.direction]"/>
  </r>
  <r>
    <x v="2"/>
    <s v="71 West Hubbard Street"/>
    <x v="62"/>
    <s v="2304"/>
    <n v="23"/>
    <x v="1"/>
    <n v="1"/>
    <m/>
    <x v="51"/>
    <x v="282"/>
    <x v="113"/>
    <x v="0"/>
    <n v="62"/>
    <n v="3039"/>
    <n v="3.6747279322853688"/>
    <n v="3039"/>
    <n v="3.6747279322853688"/>
    <s v="[Smoke Free Community Level 23 Master Bath - Linen Closet NEST Thermostats Smoke Free Unit Dog Floor Graphite Oak Floors Western Exposure Upgraded Home West View Tier One Two Juliet Balcony Front Loading Washer and Dryer Cats - 2 pet max per unit Dog&lt;75lbs - 2 pet max/unit]"/>
    <s v="[renovated view balcony_patio washer_dryer floor view.direction]"/>
  </r>
  <r>
    <x v="2"/>
    <s v="71 West Hubbard Street"/>
    <x v="62"/>
    <s v="2804"/>
    <n v="28"/>
    <x v="1"/>
    <n v="1"/>
    <m/>
    <x v="51"/>
    <x v="164"/>
    <x v="279"/>
    <x v="0"/>
    <n v="268"/>
    <n v="3066"/>
    <n v="3.7073760580411124"/>
    <n v="3066"/>
    <n v="3.7073760580411124"/>
    <s v="[Cats - 2 pet max per unit Graphite Oak Floors Western Exposure West View Tier Two Two Juliet Balcony Upgraded Home Front Loading Washer and Dryer Smoke Free Community Level 28 Master Bath - Linen Closet NEST Thermostats Smoke Free Unit Light Fixture Upgrade]"/>
    <s v="[view.direction view balcony_patio floor washer_dryer renovated]"/>
  </r>
  <r>
    <x v="2"/>
    <s v="71 West Hubbard Street"/>
    <x v="62"/>
    <s v="2104"/>
    <n v="21"/>
    <x v="1"/>
    <n v="1"/>
    <m/>
    <x v="51"/>
    <x v="283"/>
    <x v="317"/>
    <x v="0"/>
    <n v="35"/>
    <n v="3135"/>
    <n v="3.7908101571946795"/>
    <n v="3135"/>
    <n v="3.7908101571946795"/>
    <s v="[Dog&lt;75lbs - 2 pet max/unit Smoke Free Community Level 21 Master Bath - Linen Closet NEST Thermostats Dog Floor Smoke Free Unit Western Exposure West View Tier One White Oak Floors Two Juliet Balcony Upgraded Home Cats - 2 pet max per unit Light Fixture Upgrade]"/>
    <s v="[renovated view balcony_patio floor view.direction]"/>
  </r>
  <r>
    <x v="2"/>
    <s v="71 West Hubbard Street"/>
    <x v="62"/>
    <s v="2204"/>
    <n v="22"/>
    <x v="1"/>
    <n v="1"/>
    <m/>
    <x v="51"/>
    <x v="284"/>
    <x v="5"/>
    <x v="0"/>
    <n v="46"/>
    <n v="3139"/>
    <n v="3.795646916565901"/>
    <n v="3139"/>
    <n v="3.795646916565901"/>
    <s v="[Smoke Free Community Level 22 Master Bath - Linen Closet NEST Thermostats Dog Floor Smoke Free Unit Western Exposure West View Tier One White Oak Floors Two Juliet Balcony Upgraded Home Cats - 2 pet max per unit Dog&lt;75lbs - 2 pet max/unit Light Fixture Upgrade]"/>
    <s v="[renovated view balcony_patio floor view.direction]"/>
  </r>
  <r>
    <x v="2"/>
    <s v="71 West Hubbard Street"/>
    <x v="62"/>
    <s v="3104"/>
    <n v="31"/>
    <x v="1"/>
    <n v="1"/>
    <m/>
    <x v="51"/>
    <x v="98"/>
    <x v="49"/>
    <x v="0"/>
    <n v="98"/>
    <n v="3144"/>
    <n v="3.8016928657799274"/>
    <n v="3144"/>
    <n v="3.8016928657799274"/>
    <s v="[Smoke Free Community Level 31 Master Bath - Linen Closet NEST Thermostats Smoke Free Unit Dog Floor Western Exposure West View Tier Two White Oak Floors Two Juliet Balcony Cats - 2 pet max per unit Dog&lt;75lbs - 2 pet max/unit Upgraded Home Light Fixture Upgrade]"/>
    <s v="[renovated view balcony_patio floor view.direction]"/>
  </r>
  <r>
    <x v="2"/>
    <s v="71 West Hubbard Street"/>
    <x v="62"/>
    <s v="3204"/>
    <n v="32"/>
    <x v="1"/>
    <n v="1"/>
    <m/>
    <x v="51"/>
    <x v="285"/>
    <x v="102"/>
    <x v="0"/>
    <n v="247"/>
    <n v="3176"/>
    <n v="3.8403869407496978"/>
    <n v="3176"/>
    <n v="3.8403869407496978"/>
    <s v="[Smoke Free Community Level 32 Master Bath - Linen Closet NEST Thermostats Smoke Free Unit Dog Floor Western Exposure West View Tier Two White Oak Floors Two Juliet Balcony Upgraded Home Cats - 2 pet max per unit Dog&lt;75lbs - 2 pet max/unit Light Fixture Upgrade]"/>
    <s v="[renovated view balcony_patio floor view.direction]"/>
  </r>
  <r>
    <x v="2"/>
    <s v="71 West Hubbard Street"/>
    <x v="62"/>
    <s v="3304"/>
    <n v="33"/>
    <x v="1"/>
    <n v="1"/>
    <m/>
    <x v="51"/>
    <x v="286"/>
    <x v="43"/>
    <x v="0"/>
    <n v="187"/>
    <n v="3220"/>
    <n v="3.8935912938331319"/>
    <n v="3220"/>
    <n v="3.8935912938331319"/>
    <s v="[Smoke Free Community Level 33 Master Bath - Linen Closet NEST Thermostats Smoke Free Unit Dog Floor Graphite Oak Floors Western Exposure West View Tier Two Two Juliet Balcony Cats - 2 pet max per unit 7 FT 8 IN Kitchen Ceiling Dog&lt;75lbs - 2 pet max/unit Upgraded Home Light Fixture Upgrade]"/>
    <s v="[renovated view balcony_patio floor view.direction]"/>
  </r>
  <r>
    <x v="2"/>
    <s v="71 West Hubbard Street"/>
    <x v="62"/>
    <s v="3004"/>
    <n v="30"/>
    <x v="1"/>
    <n v="1"/>
    <m/>
    <x v="51"/>
    <x v="160"/>
    <x v="318"/>
    <x v="0"/>
    <n v="42"/>
    <n v="3220"/>
    <n v="3.8935912938331319"/>
    <n v="3220"/>
    <n v="3.8935912938331319"/>
    <s v="[Smoke Free Community Level 30 Master Bath - Linen Closet NEST Thermostats Smoke Free Unit Graphite Oak Floors Western Exposure Wood floors throughout West View Tier Two Two Juliet Balcony Upgraded Home Cats - 2 pet max per unit Light Fixture Upgrade]"/>
    <s v="[renovated view balcony_patio floor view.direction]"/>
  </r>
  <r>
    <x v="2"/>
    <s v="71 West Hubbard Street"/>
    <x v="62"/>
    <s v="2704"/>
    <n v="27"/>
    <x v="1"/>
    <n v="1"/>
    <m/>
    <x v="51"/>
    <x v="32"/>
    <x v="28"/>
    <x v="1"/>
    <m/>
    <n v="3225"/>
    <n v="3.8996372430471582"/>
    <n v="3225"/>
    <n v="3.8996372430471582"/>
    <s v="[Smoke Free Community Level 27 Master Bath - Linen Closet NEST Thermostats Smoke Free Unit Front Loading Washer and Dryer Western Exposure Wood floors throughout West View Tier Two White Oak Floors Two Juliet Balcony Upgraded Home Cats - 2 pet max per unit]"/>
    <s v="[renovated view washer_dryer balcony_patio floor view.direction]"/>
  </r>
  <r>
    <x v="2"/>
    <s v="71 West Hubbard Street"/>
    <x v="62"/>
    <s v="2604"/>
    <n v="26"/>
    <x v="1"/>
    <n v="1"/>
    <m/>
    <x v="51"/>
    <x v="97"/>
    <x v="122"/>
    <x v="0"/>
    <n v="21"/>
    <n v="3254"/>
    <n v="3.9347037484885128"/>
    <n v="3254"/>
    <n v="3.9347037484885128"/>
    <s v="[Smoke Free Community Level 26 Master Bath - Linen Closet NEST Thermostats Smoke Free Unit Dog Floor Western Exposure West View Tier Two White Oak Floors Two Juliet Balcony Upgraded Home 8 FT 6 IN Foyer Ceiling Cats - 2 pet max per unit 8 FT 6 IN Kitchen Ceiling Dog&lt;75lbs - 2 pet max/unit Light Fixture Upgrade]"/>
    <s v="[renovated view balcony_patio floor view.direction]"/>
  </r>
  <r>
    <x v="2"/>
    <s v="71 West Hubbard Street"/>
    <x v="62"/>
    <s v="1404"/>
    <n v="14"/>
    <x v="1"/>
    <n v="1"/>
    <m/>
    <x v="51"/>
    <x v="287"/>
    <x v="240"/>
    <x v="0"/>
    <n v="15"/>
    <n v="2832"/>
    <n v="3.4244256348246673"/>
    <n v="2832"/>
    <n v="3.4244256348246673"/>
    <s v="[]"/>
    <s v="[]"/>
  </r>
  <r>
    <x v="2"/>
    <s v="71 West Hubbard Street"/>
    <x v="63"/>
    <s v="3510"/>
    <n v="35"/>
    <x v="1"/>
    <n v="1"/>
    <m/>
    <x v="52"/>
    <x v="139"/>
    <x v="74"/>
    <x v="0"/>
    <n v="109"/>
    <n v="2937"/>
    <n v="3.4552941176470586"/>
    <n v="2937"/>
    <n v="3.4552941176470586"/>
    <s v="[Smoke Free Community Lake View Tier Two Level 35 Master Bath - Double Vanity Sinks Master Bath - Linen Closet NEST Thermostats Eastern Exposure Pantry Closet Smoke Free Unit Graphite Oak Floors Upgraded Home Cats - 2 pet max per unit Desk]"/>
    <s v="[renovated view.water floor view corner_unit]"/>
  </r>
  <r>
    <x v="2"/>
    <s v="71 West Hubbard Street"/>
    <x v="63"/>
    <s v="3410"/>
    <n v="34"/>
    <x v="1"/>
    <n v="1"/>
    <m/>
    <x v="52"/>
    <x v="179"/>
    <x v="319"/>
    <x v="0"/>
    <n v="10"/>
    <n v="2958"/>
    <n v="3.48"/>
    <n v="2958"/>
    <n v="3.48"/>
    <s v="[Smoke Free Community Lake View Tier Two Level 34 Master Bath - Double Vanity Sinks Master Bath - Linen Closet NEST Thermostats Eastern Exposure Pantry Closet Smoke Free Unit Graphite Oak Floors Wood floors throughout Upgraded Home Cats - 2 pet max per unit Desk]"/>
    <s v="[renovated view.water floor view corner_unit]"/>
  </r>
  <r>
    <x v="2"/>
    <s v="71 West Hubbard Street"/>
    <x v="63"/>
    <s v="4410"/>
    <n v="44"/>
    <x v="1"/>
    <n v="1"/>
    <m/>
    <x v="52"/>
    <x v="288"/>
    <x v="320"/>
    <x v="0"/>
    <n v="3"/>
    <n v="3136"/>
    <n v="3.6894117647058824"/>
    <n v="3136"/>
    <n v="3.6894117647058824"/>
    <s v="[Smoke Free Community Lake View Tier Two Level 44 Master Bath - Double Vanity Sinks Master Bath - Linen Closet NEST Thermostats Eastern Exposure Pantry Closet Smoke Free Unit Graphite Oak Floors Wood floors throughout Desk Cats - 2 pet max per unit 7 FT 8 IN Kitchen Ceiling Dog&lt;75lbs - 2 pet max/unit Upgraded Home Dog Floor]"/>
    <s v="[renovated view.water floor view corner_unit]"/>
  </r>
  <r>
    <x v="2"/>
    <s v="71 West Hubbard Street"/>
    <x v="63"/>
    <s v="3710"/>
    <n v="37"/>
    <x v="1"/>
    <n v="1"/>
    <m/>
    <x v="52"/>
    <x v="289"/>
    <x v="198"/>
    <x v="0"/>
    <n v="107"/>
    <n v="3243"/>
    <n v="3.8152941176470589"/>
    <n v="3243"/>
    <n v="3.8152941176470589"/>
    <s v="[Dog&lt;75lbs - 2 pet max/unit Smoke Free Community Lake View Tier Two Level 37 Master Bath - Double Vanity Sinks Master Bath - Linen Closet NEST Thermostats Eastern Exposure Pantry Closet Smoke Free Unit Dog Floor Wood floors throughout White Oak Floors Upgraded Home Cats - 2 pet max per unit Desk Light Fixture Upgrade]"/>
    <s v="[view view.water floor renovated corner_unit]"/>
  </r>
  <r>
    <x v="2"/>
    <s v="71 West Hubbard Street"/>
    <x v="63"/>
    <s v="3610"/>
    <n v="36"/>
    <x v="1"/>
    <n v="1"/>
    <m/>
    <x v="52"/>
    <x v="185"/>
    <x v="299"/>
    <x v="0"/>
    <n v="124"/>
    <n v="2991"/>
    <n v="3.5188235294117649"/>
    <n v="2991"/>
    <n v="3.5188235294117649"/>
    <s v="[Smoke Free Community Lake View Tier Two Level 36 Master Bath - Double Vanity Sinks Master Bath - Linen Closet NEST Thermostats Eastern Exposure Pantry Closet Smoke Free Unit Graphite Oak Floors Upgraded Home Cats - 2 pet max per unit Desk Dog Floor]"/>
    <s v="[renovated view.water floor view corner_unit]"/>
  </r>
  <r>
    <x v="2"/>
    <s v="71 West Hubbard Street"/>
    <x v="64"/>
    <s v="4607"/>
    <n v="46"/>
    <x v="1"/>
    <n v="1"/>
    <m/>
    <x v="53"/>
    <x v="125"/>
    <x v="321"/>
    <x v="0"/>
    <n v="23"/>
    <n v="3515"/>
    <n v="4.1015169194865813"/>
    <n v="3515"/>
    <n v="4.1015169194865813"/>
    <s v="[Smoke Free Community Lake View Penthouse Level 46 Master Bath - Double Vanity Sinks Master Bath - Linen Closet NEST Thermostats Eastern Exposure Pantry Closet Smoke Free Unit Dry Bar Full-size washer dryer included Walnut Floors Cats - 2 pet max per unit]"/>
    <s v="[floor.penthouse view washer_dryer washer_dryer.full_size view.water floor]"/>
  </r>
  <r>
    <x v="2"/>
    <s v="71 West Hubbard Street"/>
    <x v="65"/>
    <s v="2008"/>
    <n v="20"/>
    <x v="1"/>
    <n v="1"/>
    <m/>
    <x v="54"/>
    <x v="8"/>
    <x v="138"/>
    <x v="0"/>
    <n v="6"/>
    <n v="3045"/>
    <n v="3.5202312138728322"/>
    <n v="3045"/>
    <n v="3.5202312138728322"/>
    <s v="[Smoke Free Community Level 20 Location - Pool View Master Bath - Linen Closet NEST Thermostats Dog Floor Smoke Free Unit Southern/Eastern Exposure Graphite Oak Floors Upgraded Home Balcony Cats - 2 pet max per unit Corner/End Desk Dog&lt;75lbs - 2 pet max/unit]"/>
    <s v="[corner_unit view balcony_patio floor renovated view.pool]"/>
  </r>
  <r>
    <x v="2"/>
    <s v="71 West Hubbard Street"/>
    <x v="65"/>
    <s v="2908"/>
    <n v="29"/>
    <x v="1"/>
    <n v="1"/>
    <m/>
    <x v="54"/>
    <x v="290"/>
    <x v="167"/>
    <x v="0"/>
    <n v="83"/>
    <n v="3066"/>
    <n v="3.5445086705202313"/>
    <n v="3066"/>
    <n v="3.5445086705202313"/>
    <s v="[Smoke Free Community Level 29 Master Bath - Linen Closet NEST Thermostats Smoke Free Unit South View Tier One Southern/Eastern Exposure Graphite Oak Floors Upgraded Home Balcony Cats - 2 pet max per unit Corner/End Desk]"/>
    <s v="[corner_unit view.direction view balcony_patio floor renovated]"/>
  </r>
  <r>
    <x v="2"/>
    <s v="71 West Hubbard Street"/>
    <x v="65"/>
    <s v="1708"/>
    <n v="17"/>
    <x v="1"/>
    <n v="1"/>
    <m/>
    <x v="54"/>
    <x v="211"/>
    <x v="137"/>
    <x v="0"/>
    <n v="17"/>
    <n v="3143"/>
    <n v="3.6335260115606935"/>
    <n v="3143"/>
    <n v="3.6335260115606935"/>
    <s v="[Smoke Free Community Level 17 Location - Pool View Master Bath - Linen Closet NEST Thermostats Smoke Free Unit Southern/Eastern Exposure White Oak Floors Upgraded Home Balcony Cats - 2 pet max per unit Corner/End Desk]"/>
    <s v="[corner_unit view balcony_patio floor renovated view.pool]"/>
  </r>
  <r>
    <x v="2"/>
    <s v="71 West Hubbard Street"/>
    <x v="65"/>
    <s v="2808"/>
    <n v="28"/>
    <x v="1"/>
    <n v="1"/>
    <m/>
    <x v="54"/>
    <x v="291"/>
    <x v="279"/>
    <x v="0"/>
    <n v="7"/>
    <n v="3158"/>
    <n v="3.6508670520231212"/>
    <n v="3158"/>
    <n v="3.6508670520231212"/>
    <s v="[NEST Thermostats Cats - 2 pet max per unit Corner/End Desk Smoke Free Community Level 28 Master Bath - Linen Closet Smoke Free Unit South View Tier One Southern/Eastern Exposure Graphite Oak Floors Upgraded Home Balcony Light Fixture Upgrade]"/>
    <s v="[corner_unit renovated view balcony_patio floor view.direction]"/>
  </r>
  <r>
    <x v="2"/>
    <s v="71 West Hubbard Street"/>
    <x v="65"/>
    <s v="3308"/>
    <n v="33"/>
    <x v="1"/>
    <n v="1"/>
    <m/>
    <x v="54"/>
    <x v="256"/>
    <x v="76"/>
    <x v="0"/>
    <n v="66"/>
    <n v="3190"/>
    <n v="3.6878612716763004"/>
    <n v="3190"/>
    <n v="3.6878612716763004"/>
    <s v="[Smoke Free Community Level 33 Master Bath - Linen Closet NEST Thermostats Smoke Free Unit South View Tier One Southern/Eastern Exposure Graphite Oak Floors Upgraded Home Balcony Cats - 2 pet max per unit Corner/End Desk Dog&lt;75lbs - 2 pet max/unit Dog Floor]"/>
    <s v="[corner_unit view.direction view balcony_patio floor renovated]"/>
  </r>
  <r>
    <x v="2"/>
    <s v="71 West Hubbard Street"/>
    <x v="65"/>
    <s v="4307"/>
    <n v="43"/>
    <x v="1"/>
    <n v="1"/>
    <m/>
    <x v="54"/>
    <x v="131"/>
    <x v="85"/>
    <x v="0"/>
    <n v="156"/>
    <n v="3203"/>
    <n v="3.7028901734104047"/>
    <n v="3203"/>
    <n v="3.7028901734104047"/>
    <s v="[Smoke Free Community Level 43 Master Bath - Linen Closet NEST Thermostats Smoke Free Unit South View Tier Two Southern/Eastern Exposure Dog Floor Graphite Oak Floors Wood floors throughout Upgraded Home Balcony Cats - 2 pet max per unit Corner/End Desk Dog&lt;75lbs - 2 pet max/unit]"/>
    <s v="[corner_unit view.direction view balcony_patio floor renovated]"/>
  </r>
  <r>
    <x v="2"/>
    <s v="71 West Hubbard Street"/>
    <x v="65"/>
    <s v="1508"/>
    <n v="15"/>
    <x v="1"/>
    <n v="1"/>
    <m/>
    <x v="54"/>
    <x v="36"/>
    <x v="256"/>
    <x v="0"/>
    <n v="253"/>
    <n v="3207"/>
    <n v="3.7075144508670519"/>
    <n v="3207"/>
    <n v="3.7075144508670519"/>
    <s v="[Dog&lt;75lbs - 2 pet max/unit Smoke Free Community Level 15 Location - Pool View Master Bath - Linen Closet NEST Thermostats Dog Floor Smoke Free Unit Southern/Eastern Exposure Graphite Oak Floors Upgraded Home Balcony Cats - 2 pet max per unit Corner/End Desk Light Fixture Upgrade]"/>
    <s v="[corner_unit view balcony_patio floor renovated view.pool]"/>
  </r>
  <r>
    <x v="2"/>
    <s v="71 West Hubbard Street"/>
    <x v="65"/>
    <s v="4007"/>
    <n v="40"/>
    <x v="1"/>
    <n v="1"/>
    <m/>
    <x v="54"/>
    <x v="292"/>
    <x v="279"/>
    <x v="0"/>
    <n v="57"/>
    <n v="3240"/>
    <n v="3.745664739884393"/>
    <n v="3240"/>
    <n v="3.745664739884393"/>
    <s v="[Level 40 Master Bath - Linen Closet NEST Thermostats Smoke Free Unit South View Tier Two Southern/Eastern Exposure Graphite Oak Floors Wood floors throughout Upgraded Home Balcony Cats - 2 pet max per unit Corner/End Desk Smoke Free Community Light Fixture Upgrade]"/>
    <s v="[corner_unit view.direction view balcony_patio floor renovated]"/>
  </r>
  <r>
    <x v="2"/>
    <s v="71 West Hubbard Street"/>
    <x v="65"/>
    <s v="3208"/>
    <n v="32"/>
    <x v="1"/>
    <n v="1"/>
    <m/>
    <x v="54"/>
    <x v="293"/>
    <x v="113"/>
    <x v="0"/>
    <n v="32"/>
    <n v="3274"/>
    <n v="3.784971098265896"/>
    <n v="3274"/>
    <n v="3.784971098265896"/>
    <s v="[Smoke Free Community Level 32 Master Bath - Linen Closet NEST Thermostats Smoke Free Unit South View Tier One Southern/Eastern Exposure Dog Floor Upgraded Home White Oak Floors Balcony Cats - 2 pet max per unit Corner/End Desk Dog&lt;75lbs - 2 pet max/unit]"/>
    <s v="[corner_unit view.direction view balcony_patio floor renovated]"/>
  </r>
  <r>
    <x v="2"/>
    <s v="71 West Hubbard Street"/>
    <x v="65"/>
    <s v="2608"/>
    <n v="26"/>
    <x v="1"/>
    <n v="1"/>
    <m/>
    <x v="54"/>
    <x v="294"/>
    <x v="322"/>
    <x v="0"/>
    <n v="124"/>
    <n v="3284"/>
    <n v="3.7965317919075146"/>
    <n v="3284"/>
    <n v="3.7965317919075146"/>
    <s v="[Smoke Free Community Level 26 Master Bath - Linen Closet NEST Thermostats Smoke Free Unit South View Tier One Southern/Eastern Exposure White Oak Floors Upgraded Home Balcony Cats - 2 pet max per unit Corner/End Desk 8 FT 6 IN Foyer Ceiling Dog&lt;75lbs - 2 pet max/unit Dog Floor]"/>
    <s v="[corner_unit view.direction view balcony_patio floor renovated]"/>
  </r>
  <r>
    <x v="2"/>
    <s v="71 West Hubbard Street"/>
    <x v="65"/>
    <s v="3807"/>
    <n v="38"/>
    <x v="1"/>
    <n v="1"/>
    <m/>
    <x v="54"/>
    <x v="5"/>
    <x v="4"/>
    <x v="0"/>
    <n v="6"/>
    <n v="3333"/>
    <n v="3.8531791907514452"/>
    <n v="3333"/>
    <n v="3.8531791907514452"/>
    <s v="[Dog&lt;75lbs - 2 pet max/unit Smoke Free Community Level 38 Master Bath - Linen Closet NEST Thermostats Smoke Free Unit South View Tier Two Southern/Eastern Exposure Graphite Oak Floors Upgraded Home Dog Floor Balcony Cats - 2 pet max per unit Corner/End Desk 8 FT 6 IN Foyer Ceiling]"/>
    <s v="[corner_unit view.direction view balcony_patio floor renovated]"/>
  </r>
  <r>
    <x v="2"/>
    <s v="71 West Hubbard Street"/>
    <x v="65"/>
    <s v="2708"/>
    <n v="27"/>
    <x v="1"/>
    <n v="1"/>
    <m/>
    <x v="54"/>
    <x v="48"/>
    <x v="323"/>
    <x v="0"/>
    <n v="51"/>
    <n v="3380"/>
    <n v="3.9075144508670521"/>
    <n v="3380"/>
    <n v="3.9075144508670521"/>
    <s v="[Desk Level 27 Master Bath - Linen Closet NEST Thermostats Smoke Free Unit South View Tier One Southern/Eastern Exposure Wood floors throughout Smoke Free Community White Oak Floors Upgraded Home Balcony Cats - 2 pet max per unit Corner/End Light Fixture Upgrade]"/>
    <s v="[corner_unit view.direction view balcony_patio floor renovated]"/>
  </r>
  <r>
    <x v="2"/>
    <s v="71 West Hubbard Street"/>
    <x v="65"/>
    <s v="1808"/>
    <n v="18"/>
    <x v="1"/>
    <n v="1"/>
    <m/>
    <x v="54"/>
    <x v="130"/>
    <x v="10"/>
    <x v="0"/>
    <m/>
    <n v="2901"/>
    <n v="3.3537572254335259"/>
    <n v="2901"/>
    <n v="3.3537572254335259"/>
    <s v="[]"/>
    <s v="[]"/>
  </r>
  <r>
    <x v="2"/>
    <s v="71 West Hubbard Street"/>
    <x v="65"/>
    <s v="4107"/>
    <n v="41"/>
    <x v="1"/>
    <n v="1"/>
    <m/>
    <x v="54"/>
    <x v="295"/>
    <x v="274"/>
    <x v="0"/>
    <n v="4"/>
    <n v="2910"/>
    <n v="3.3641618497109826"/>
    <n v="2910"/>
    <n v="3.3641618497109826"/>
    <s v="[]"/>
    <s v="[]"/>
  </r>
  <r>
    <x v="2"/>
    <s v="71 West Hubbard Street"/>
    <x v="65"/>
    <s v="1408"/>
    <n v="14"/>
    <x v="1"/>
    <n v="1"/>
    <m/>
    <x v="54"/>
    <x v="237"/>
    <x v="324"/>
    <x v="0"/>
    <n v="51"/>
    <n v="2927"/>
    <n v="3.3838150289017341"/>
    <n v="2927"/>
    <n v="3.3838150289017341"/>
    <s v="[]"/>
    <s v="[]"/>
  </r>
  <r>
    <x v="2"/>
    <s v="71 West Hubbard Street"/>
    <x v="65"/>
    <s v="3607"/>
    <n v="36"/>
    <x v="1"/>
    <n v="1"/>
    <m/>
    <x v="54"/>
    <x v="22"/>
    <x v="325"/>
    <x v="0"/>
    <n v="4"/>
    <n v="3063"/>
    <n v="3.5410404624277456"/>
    <n v="3063"/>
    <n v="3.5410404624277456"/>
    <s v="[]"/>
    <s v="[]"/>
  </r>
  <r>
    <x v="2"/>
    <s v="71 West Hubbard Street"/>
    <x v="65"/>
    <s v="3507"/>
    <n v="35"/>
    <x v="1"/>
    <n v="1"/>
    <m/>
    <x v="54"/>
    <x v="201"/>
    <x v="326"/>
    <x v="0"/>
    <n v="49"/>
    <n v="3195"/>
    <n v="3.6936416184971099"/>
    <n v="3195"/>
    <n v="3.6936416184971099"/>
    <s v="[]"/>
    <s v="[]"/>
  </r>
  <r>
    <x v="2"/>
    <s v="71 West Hubbard Street"/>
    <x v="65"/>
    <s v="4207"/>
    <n v="42"/>
    <x v="1"/>
    <n v="1"/>
    <m/>
    <x v="54"/>
    <x v="296"/>
    <x v="224"/>
    <x v="0"/>
    <n v="29"/>
    <n v="3221"/>
    <n v="3.7236994219653181"/>
    <n v="3221"/>
    <n v="3.7236994219653181"/>
    <s v="[]"/>
    <s v="[]"/>
  </r>
  <r>
    <x v="2"/>
    <s v="71 West Hubbard Street"/>
    <x v="65"/>
    <s v="3907"/>
    <n v="39"/>
    <x v="1"/>
    <n v="1"/>
    <m/>
    <x v="54"/>
    <x v="142"/>
    <x v="24"/>
    <x v="0"/>
    <n v="13"/>
    <n v="3431"/>
    <n v="3.9664739884393065"/>
    <n v="3431"/>
    <n v="3.9664739884393065"/>
    <s v="[]"/>
    <s v="[]"/>
  </r>
  <r>
    <x v="2"/>
    <s v="71 West Hubbard Street"/>
    <x v="66"/>
    <s v="4606"/>
    <n v="46"/>
    <x v="1"/>
    <n v="1"/>
    <m/>
    <x v="55"/>
    <x v="284"/>
    <x v="327"/>
    <x v="0"/>
    <n v="306"/>
    <n v="3518"/>
    <n v="3.8532311062431543"/>
    <n v="3518"/>
    <n v="3.8532311062431543"/>
    <s v="[Smoke Free Community Lake View Penthouse Level 46 Master Bath - Double Vanity Sinks NEST Thermostats Eastern Exposure Smoke Free Unit Dry Bar Full-size washer dryer included Walnut Floors Cats - 2 pet max per unit]"/>
    <s v="[floor.penthouse view washer_dryer washer_dryer.full_size view.water floor]"/>
  </r>
  <r>
    <x v="2"/>
    <s v="71 West Hubbard Street"/>
    <x v="66"/>
    <s v="4506"/>
    <n v="45"/>
    <x v="1"/>
    <n v="1"/>
    <m/>
    <x v="55"/>
    <x v="297"/>
    <x v="188"/>
    <x v="0"/>
    <n v="25"/>
    <n v="3546"/>
    <n v="3.8838992332968236"/>
    <n v="3546"/>
    <n v="3.8838992332968236"/>
    <s v="[]"/>
    <s v="[]"/>
  </r>
  <r>
    <x v="2"/>
    <s v="71 West Hubbard Street"/>
    <x v="67"/>
    <s v="3703"/>
    <n v="37"/>
    <x v="1"/>
    <n v="1"/>
    <m/>
    <x v="56"/>
    <x v="175"/>
    <x v="275"/>
    <x v="0"/>
    <n v="110"/>
    <n v="3164"/>
    <n v="3.2924037460978148"/>
    <n v="3164"/>
    <n v="3.2924037460978148"/>
    <s v="[Smoke Free Community Level 37 Master Bath - Double Vanity Sinks Master Bath - Linen Closet NEST Thermostats Pantry Closet Smoke Free Unit Western Exposure Wood floors throughout West View Tier Three White Oak Floors Upgraded Home Dog Floor Cats - 2 pet max per unit Dog&lt;75lbs - 2 pet max/unit]"/>
    <s v="[renovated floor view.direction view corner_unit]"/>
  </r>
  <r>
    <x v="2"/>
    <s v="71 West Hubbard Street"/>
    <x v="67"/>
    <s v="4203"/>
    <n v="42"/>
    <x v="1"/>
    <n v="1"/>
    <m/>
    <x v="56"/>
    <x v="58"/>
    <x v="328"/>
    <x v="0"/>
    <n v="20"/>
    <n v="3181"/>
    <n v="3.3100936524453695"/>
    <n v="3181"/>
    <n v="3.3100936524453695"/>
    <s v="[Smoke Free Community Level 42 Master Bath - Double Vanity Sinks Master Bath - Linen Closet NEST Thermostats Pantry Closet Smoke Free Unit Graphite Oak Floors Western Exposure West View Tier Three Upgraded Home Cats - 2 pet max per unit Light Fixture Upgrade]"/>
    <s v="[view.direction view floor renovated corner_unit]"/>
  </r>
  <r>
    <x v="2"/>
    <s v="71 West Hubbard Street"/>
    <x v="67"/>
    <s v="4003"/>
    <n v="40"/>
    <x v="1"/>
    <n v="1"/>
    <m/>
    <x v="56"/>
    <x v="233"/>
    <x v="329"/>
    <x v="0"/>
    <n v="17"/>
    <n v="3304"/>
    <n v="3.4380853277835586"/>
    <n v="3304"/>
    <n v="3.4380853277835586"/>
    <s v="[Upgraded Home Cats - 2 pet max per unit Smoke Free Community Level 40 Master Bath - Double Vanity Sinks Master Bath - Linen Closet NEST Thermostats Pantry Closet Smoke Free Unit Graphite Oak Floors Western Exposure Wood floors throughout West View Tier Three Light Fixture Upgrade]"/>
    <s v="[renovated view floor view.direction corner_unit]"/>
  </r>
  <r>
    <x v="2"/>
    <s v="71 West Hubbard Street"/>
    <x v="67"/>
    <s v="3803"/>
    <n v="38"/>
    <x v="1"/>
    <n v="1"/>
    <m/>
    <x v="56"/>
    <x v="264"/>
    <x v="330"/>
    <x v="0"/>
    <n v="82"/>
    <n v="2996"/>
    <n v="3.1175858480749219"/>
    <n v="2996"/>
    <n v="3.1175858480749219"/>
    <s v="[]"/>
    <s v="[]"/>
  </r>
  <r>
    <x v="2"/>
    <s v="71 West Hubbard Street"/>
    <x v="67"/>
    <s v="3603"/>
    <n v="36"/>
    <x v="1"/>
    <n v="1"/>
    <m/>
    <x v="56"/>
    <x v="298"/>
    <x v="115"/>
    <x v="0"/>
    <n v="15"/>
    <n v="3019"/>
    <n v="3.141519250780437"/>
    <n v="3019"/>
    <n v="3.141519250780437"/>
    <s v="[]"/>
    <s v="[]"/>
  </r>
  <r>
    <x v="2"/>
    <s v="71 West Hubbard Street"/>
    <x v="68"/>
    <s v="4502"/>
    <n v="45"/>
    <x v="1"/>
    <n v="1"/>
    <m/>
    <x v="57"/>
    <x v="233"/>
    <x v="331"/>
    <x v="0"/>
    <n v="14"/>
    <n v="3269"/>
    <n v="3.3840579710144927"/>
    <n v="3269"/>
    <n v="3.3840579710144927"/>
    <s v="[Smoke Free Community Level 45 Master Bath - Double Vanity Sinks Master Bath - Linen Closet NEST Thermostats Pantry Closet Smoke Free Unit Dog Floor Western Exposure Full-size washer dryer included Walnut Floors West View Penthouse Cats - 2 pet max per unit Light Fixture Upgrade]"/>
    <s v="[renovated floor.penthouse washer_dryer.full_size washer_dryer view floor view.direction]"/>
  </r>
  <r>
    <x v="2"/>
    <s v="71 West Hubbard Street"/>
    <x v="68"/>
    <s v="4602"/>
    <n v="46"/>
    <x v="1"/>
    <n v="1"/>
    <m/>
    <x v="57"/>
    <x v="268"/>
    <x v="270"/>
    <x v="0"/>
    <n v="37"/>
    <n v="3424"/>
    <n v="3.5445134575569357"/>
    <n v="3424"/>
    <n v="3.5445134575569357"/>
    <s v="[Smoke Free Community Level 46 Master Bath - Double Vanity Sinks Master Bath - Linen Closet NEST Thermostats Pantry Closet Smoke Free Unit Western Exposure Full-size washer dryer included Walnut Floors West View Penthouse Cats - 2 pet max per unit]"/>
    <s v="[floor.penthouse washer_dryer.full_size washer_dryer view floor view.direction]"/>
  </r>
  <r>
    <x v="2"/>
    <s v="71 West Hubbard Street"/>
    <x v="68"/>
    <s v="5002"/>
    <n v="50"/>
    <x v="1"/>
    <n v="1"/>
    <m/>
    <x v="57"/>
    <x v="299"/>
    <x v="328"/>
    <x v="0"/>
    <n v="104"/>
    <n v="3446"/>
    <n v="3.5672877846790891"/>
    <n v="3446"/>
    <n v="3.5672877846790891"/>
    <s v="[Smoke Free Community Level 50 Master Bath - Double Vanity Sinks Master Bath - Linen Closet NEST Thermostats Pantry Closet Smoke Free Unit Dog Floor Western Exposure Full-size washer dryer included Walnut Floors West View Penthouse Cats - 2 pet max per unit Dog&lt;75lbs - 2 pet max/unit Light Fixture Upgrade]"/>
    <s v="[renovated floor.penthouse washer_dryer.full_size washer_dryer view floor view.direction]"/>
  </r>
  <r>
    <x v="2"/>
    <s v="71 West Hubbard Street"/>
    <x v="69"/>
    <s v="4603"/>
    <n v="46"/>
    <x v="1"/>
    <n v="1"/>
    <m/>
    <x v="58"/>
    <x v="138"/>
    <x v="171"/>
    <x v="0"/>
    <n v="106"/>
    <n v="3451"/>
    <n v="3.5214285714285714"/>
    <n v="3451"/>
    <n v="3.5214285714285714"/>
    <s v="[Smoke Free Community Level 46 Master Bath - Double Vanity Sinks Master Bath - Linen Closet NEST Thermostats Pantry Closet Smoke Free Unit Dry Bar Western Exposure Full-size washer dryer included Walnut Floors West View Penthouse Cats - 2 pet max per unit Light Fixture Upgrade]"/>
    <s v="[renovated floor.penthouse washer_dryer.full_size washer_dryer view floor view.direction]"/>
  </r>
  <r>
    <x v="2"/>
    <s v="71 West Hubbard Street"/>
    <x v="69"/>
    <s v="4503"/>
    <n v="45"/>
    <x v="1"/>
    <n v="1"/>
    <m/>
    <x v="58"/>
    <x v="300"/>
    <x v="110"/>
    <x v="0"/>
    <n v="44"/>
    <n v="3456"/>
    <n v="3.5265306122448981"/>
    <n v="3456"/>
    <n v="3.5265306122448981"/>
    <s v="[Smoke Free Community Full-size washer dryer included Level 45 Master Bath - Double Vanity Sinks Master Bath - Linen Closet NEST Thermostats Pantry Closet Smoke Free Unit Dry Bar Western Exposure Walnut Floors West View Penthouse Cats - 2 pet max per unit Dog Floor]"/>
    <s v="[floor.penthouse washer_dryer.full_size washer_dryer view floor view.direction]"/>
  </r>
  <r>
    <x v="2"/>
    <s v="71 West Hubbard Street"/>
    <x v="69"/>
    <s v="4703"/>
    <n v="47"/>
    <x v="1"/>
    <n v="1"/>
    <m/>
    <x v="58"/>
    <x v="213"/>
    <x v="332"/>
    <x v="0"/>
    <n v="26"/>
    <n v="3508"/>
    <n v="3.5795918367346937"/>
    <n v="3508"/>
    <n v="3.5795918367346937"/>
    <s v="[Smoke Free Community Level 47 Master Bath - Double Vanity Sinks Master Bath - Linen Closet NEST Thermostats Pantry Closet Smoke Free Unit Dry Bar Full-size washer dryer included Western Exposure Walnut Floors West View Penthouse Cats - 2 pet max per unit]"/>
    <s v="[floor.penthouse washer_dryer.full_size washer_dryer view floor view.direction]"/>
  </r>
  <r>
    <x v="2"/>
    <s v="71 West Hubbard Street"/>
    <x v="69"/>
    <s v="4803"/>
    <n v="48"/>
    <x v="1"/>
    <n v="1"/>
    <m/>
    <x v="58"/>
    <x v="301"/>
    <x v="28"/>
    <x v="1"/>
    <m/>
    <n v="3602"/>
    <n v="3.6755102040816325"/>
    <n v="3602"/>
    <n v="3.6755102040816325"/>
    <s v="[Smoke Free Community Level 48 Master Bath - Double Vanity Sinks Master Bath - Linen Closet NEST Thermostats Full-size washer dryer included Pantry Closet Smoke Free Unit Dry Bar Western Exposure Walnut Floors West View Penthouse Cats - 2 pet max per unit]"/>
    <s v="[floor.penthouse washer_dryer.full_size washer_dryer view floor view.direction]"/>
  </r>
  <r>
    <x v="2"/>
    <s v="71 West Hubbard Street"/>
    <x v="69"/>
    <s v="4903"/>
    <n v="49"/>
    <x v="1"/>
    <n v="1"/>
    <m/>
    <x v="58"/>
    <x v="48"/>
    <x v="104"/>
    <x v="0"/>
    <n v="27"/>
    <n v="3710"/>
    <n v="3.7857142857142856"/>
    <n v="3710"/>
    <n v="3.7857142857142856"/>
    <s v="[Dog&lt;75lbs - 2 pet max/unit Smoke Free Community Level 49 Master Bath - Double Vanity Sinks Master Bath - Linen Closet NEST Thermostats Pantry Closet Smoke Free Unit Dog Floor Dry Bar Western Exposure Full-size washer dryer included West View Penthouse Walnut Floors Cats - 2 pet max per unit Light Fixture Upgrade]"/>
    <s v="[renovated floor.penthouse washer_dryer.full_size washer_dryer view floor view.direction]"/>
  </r>
  <r>
    <x v="2"/>
    <s v="71 West Hubbard Street"/>
    <x v="70"/>
    <s v="1612"/>
    <n v="16"/>
    <x v="1"/>
    <n v="1"/>
    <m/>
    <x v="59"/>
    <x v="302"/>
    <x v="333"/>
    <x v="0"/>
    <n v="86"/>
    <n v="3373"/>
    <n v="3.1202590194264568"/>
    <n v="3373"/>
    <n v="3.1202590194264568"/>
    <s v="[Level 16 Master Bath - Double Vanity Sinks Master Bath - Linen Closet NEST Thermostats North/Eastern Exposure Smoke Free Unit Graphite Oak Floors Upgraded Home Balcony Cats - 2 pet max per unit Corner/End Smoke Free Community Light Fixture Upgrade]"/>
    <s v="[corner_unit balcony_patio floor renovated]"/>
  </r>
  <r>
    <x v="2"/>
    <s v="71 West Hubbard Street"/>
    <x v="70"/>
    <s v="1712"/>
    <n v="17"/>
    <x v="1"/>
    <n v="1"/>
    <m/>
    <x v="59"/>
    <x v="245"/>
    <x v="260"/>
    <x v="0"/>
    <n v="196"/>
    <n v="3515"/>
    <n v="3.251618871415356"/>
    <n v="3515"/>
    <n v="3.251618871415356"/>
    <s v="[Smoke Free Community Level 17 Master Bath - Double Vanity Sinks Master Bath - Linen Closet NEST Thermostats North/Eastern Exposure Smoke Free Unit White Oak Floors Upgraded Home Balcony Cats - 2 pet max per unit Corner/End Light Fixture Upgrade]"/>
    <s v="[corner_unit balcony_patio floor renovated]"/>
  </r>
  <r>
    <x v="2"/>
    <s v="71 West Hubbard Street"/>
    <x v="70"/>
    <s v="3611"/>
    <n v="36"/>
    <x v="1"/>
    <n v="1"/>
    <m/>
    <x v="59"/>
    <x v="303"/>
    <x v="333"/>
    <x v="0"/>
    <n v="138"/>
    <n v="3637"/>
    <n v="3.3644773358001849"/>
    <n v="3637"/>
    <n v="3.3644773358001849"/>
    <s v="[Master Bath - Double Vanity Sinks Balcony Corner/End Cats - 2 pet max per unit Smoke Free Community Lake View Tier Two Level 36 Master Bath - Linen Closet NEST Thermostats North/Eastern Exposure Smoke Free Unit Graphite Oak Floors Upgraded Home Light Fixture Upgrade]"/>
    <s v="[corner_unit view balcony_patio view.water floor renovated]"/>
  </r>
  <r>
    <x v="2"/>
    <s v="71 West Hubbard Street"/>
    <x v="70"/>
    <s v="3212"/>
    <n v="32"/>
    <x v="1"/>
    <n v="1"/>
    <m/>
    <x v="59"/>
    <x v="304"/>
    <x v="334"/>
    <x v="0"/>
    <n v="2"/>
    <n v="3639"/>
    <n v="3.3663274745605922"/>
    <n v="3639"/>
    <n v="3.3663274745605922"/>
    <s v="[Smoke Free Community Level 32 Master Bath - Double Vanity Sinks Master Bath - Linen Closet NEST Thermostats North/Eastern Exposure Smoke Free Unit Dog Floor White Oak Floors Balcony Cats - 2 pet max per unit Corner/End Dog&lt;75lbs - 2 pet max/unit]"/>
    <s v="[corner_unit floor balcony_patio]"/>
  </r>
  <r>
    <x v="2"/>
    <s v="71 West Hubbard Street"/>
    <x v="70"/>
    <s v="2812"/>
    <n v="28"/>
    <x v="1"/>
    <n v="1"/>
    <m/>
    <x v="59"/>
    <x v="86"/>
    <x v="209"/>
    <x v="0"/>
    <n v="40"/>
    <n v="3696"/>
    <n v="3.4190564292321923"/>
    <n v="3696"/>
    <n v="3.4190564292321923"/>
    <s v="[Smoke Free Community Level 28 Master Bath - Double Vanity Sinks Master Bath - Linen Closet NEST Thermostats North/Eastern Exposure Smoke Free Unit Graphite Oak Floors Upgraded Home Balcony Cats - 2 pet max per unit Corner/End]"/>
    <s v="[corner_unit floor renovated balcony_patio]"/>
  </r>
  <r>
    <x v="2"/>
    <s v="71 West Hubbard Street"/>
    <x v="70"/>
    <s v="2012"/>
    <n v="20"/>
    <x v="1"/>
    <n v="1"/>
    <m/>
    <x v="59"/>
    <x v="305"/>
    <x v="335"/>
    <x v="0"/>
    <n v="36"/>
    <n v="3716"/>
    <n v="3.4375578168362626"/>
    <n v="3716"/>
    <n v="3.4375578168362626"/>
    <s v="[Smoke Free Community Level 20 Master Bath - Double Vanity Sinks Master Bath - Linen Closet NEST Thermostats North/Eastern Exposure Smoke Free Unit Graphite Oak Floors Front Loading Washer and Dryer Upgraded Home Balcony Cats - 2 pet max per unit Corner/End Dog&lt;75lbs - 2 pet max/unit Dog Floor]"/>
    <s v="[corner_unit washer_dryer balcony_patio floor renovated]"/>
  </r>
  <r>
    <x v="2"/>
    <s v="71 West Hubbard Street"/>
    <x v="70"/>
    <s v="2512"/>
    <n v="25"/>
    <x v="1"/>
    <n v="1"/>
    <m/>
    <x v="59"/>
    <x v="106"/>
    <x v="137"/>
    <x v="0"/>
    <n v="8"/>
    <n v="3739"/>
    <n v="3.4588344125809436"/>
    <n v="3739"/>
    <n v="3.4588344125809436"/>
    <s v="[Smoke Free Community Level 25 Master Bath - Double Vanity Sinks Master Bath - Linen Closet NEST Thermostats North/Eastern Exposure Smoke Free Unit Graphite Oak Floors Upgraded Home Balcony Cats - 2 pet max per unit Corner/End Dog&lt;75lbs - 2 pet max/unit Dog Floor]"/>
    <s v="[corner_unit floor renovated balcony_patio]"/>
  </r>
  <r>
    <x v="2"/>
    <s v="71 West Hubbard Street"/>
    <x v="70"/>
    <s v="3811"/>
    <n v="38"/>
    <x v="1"/>
    <n v="1"/>
    <m/>
    <x v="59"/>
    <x v="306"/>
    <x v="250"/>
    <x v="0"/>
    <n v="33"/>
    <n v="3872"/>
    <n v="3.5818686401480111"/>
    <n v="3872"/>
    <n v="3.5818686401480111"/>
    <s v="[Smoke Free Community Lake View Tier Two Level 38 Master Bath - Double Vanity Sinks Master Bath - Linen Closet NEST Thermostats North/Eastern Exposure Smoke Free Unit Graphite Oak Floors Upgraded Home Balcony Cats - 2 pet max per unit Corner/End 8 FT 6 IN Foyer Ceiling Dog&lt;75lbs - 2 pet max/unit Dog Floor]"/>
    <s v="[corner_unit view balcony_patio view.water floor renovated]"/>
  </r>
  <r>
    <x v="2"/>
    <s v="71 West Hubbard Street"/>
    <x v="70"/>
    <s v="4111"/>
    <n v="41"/>
    <x v="1"/>
    <n v="1"/>
    <m/>
    <x v="59"/>
    <x v="91"/>
    <x v="336"/>
    <x v="0"/>
    <n v="52"/>
    <n v="3892"/>
    <n v="3.6003700277520814"/>
    <n v="3892"/>
    <n v="3.6003700277520814"/>
    <s v="[Smoke Free Community Lake View Tier Two Level 41 Master Bath - Double Vanity Sinks Master Bath - Linen Closet NEST Thermostats North/Eastern Exposure Smoke Free Unit Wood floors throughout White Oak Floors Balcony Cats - 2 pet max per unit Corner/End Upgraded Home Dog Floor]"/>
    <s v="[corner_unit view balcony_patio view.water floor renovated]"/>
  </r>
  <r>
    <x v="2"/>
    <s v="71 West Hubbard Street"/>
    <x v="70"/>
    <s v="3411"/>
    <n v="34"/>
    <x v="1"/>
    <n v="1"/>
    <m/>
    <x v="59"/>
    <x v="307"/>
    <x v="337"/>
    <x v="0"/>
    <n v="15"/>
    <n v="3930"/>
    <n v="3.6355226641998151"/>
    <n v="3930"/>
    <n v="3.6355226641998151"/>
    <s v="[Smoke Free Community Lake View Tier Two Level 34 Master Bath - Double Vanity Sinks Master Bath - Linen Closet NEST Thermostats North/Eastern Exposure Smoke Free Unit Graphite Oak Floors Full-size washer dryer included Wood floors throughout Upgraded Home Balcony Cats - 2 pet max per unit Corner/End]"/>
    <s v="[corner_unit view washer_dryer washer_dryer.full_size balcony_patio view.water floor renovated]"/>
  </r>
  <r>
    <x v="2"/>
    <s v="71 West Hubbard Street"/>
    <x v="70"/>
    <s v="1912"/>
    <n v="19"/>
    <x v="1"/>
    <n v="1"/>
    <m/>
    <x v="59"/>
    <x v="236"/>
    <x v="283"/>
    <x v="0"/>
    <n v="2"/>
    <n v="3378"/>
    <n v="3.1248843663274743"/>
    <n v="3378"/>
    <n v="3.1248843663274743"/>
    <s v="[]"/>
    <s v="[]"/>
  </r>
  <r>
    <x v="2"/>
    <s v="71 West Hubbard Street"/>
    <x v="70"/>
    <s v="2712"/>
    <n v="27"/>
    <x v="1"/>
    <n v="1"/>
    <m/>
    <x v="59"/>
    <x v="308"/>
    <x v="266"/>
    <x v="0"/>
    <n v="19"/>
    <n v="3384"/>
    <n v="3.1304347826086958"/>
    <n v="3384"/>
    <n v="3.1304347826086958"/>
    <s v="[]"/>
    <s v="[]"/>
  </r>
  <r>
    <x v="2"/>
    <s v="71 West Hubbard Street"/>
    <x v="70"/>
    <s v="2212"/>
    <n v="22"/>
    <x v="1"/>
    <n v="1"/>
    <m/>
    <x v="59"/>
    <x v="309"/>
    <x v="338"/>
    <x v="0"/>
    <n v="58"/>
    <n v="3400"/>
    <n v="3.1452358926919519"/>
    <n v="3400"/>
    <n v="3.1452358926919519"/>
    <s v="[]"/>
    <s v="[]"/>
  </r>
  <r>
    <x v="2"/>
    <s v="71 West Hubbard Street"/>
    <x v="70"/>
    <s v="3511"/>
    <n v="35"/>
    <x v="1"/>
    <n v="1"/>
    <m/>
    <x v="59"/>
    <x v="310"/>
    <x v="339"/>
    <x v="0"/>
    <n v="39"/>
    <n v="3691"/>
    <n v="3.4144310823311748"/>
    <n v="3691"/>
    <n v="3.4144310823311748"/>
    <s v="[]"/>
    <s v="[]"/>
  </r>
  <r>
    <x v="2"/>
    <s v="71 West Hubbard Street"/>
    <x v="70"/>
    <s v="1512"/>
    <n v="15"/>
    <x v="1"/>
    <n v="1"/>
    <m/>
    <x v="59"/>
    <x v="258"/>
    <x v="224"/>
    <x v="0"/>
    <n v="30"/>
    <n v="3791"/>
    <n v="3.5069380203515266"/>
    <n v="3791"/>
    <n v="3.5069380203515266"/>
    <s v="[]"/>
    <s v="[]"/>
  </r>
  <r>
    <x v="2"/>
    <s v="71 West Hubbard Street"/>
    <x v="70"/>
    <s v="4311"/>
    <n v="43"/>
    <x v="1"/>
    <n v="1"/>
    <m/>
    <x v="59"/>
    <x v="251"/>
    <x v="340"/>
    <x v="0"/>
    <n v="88"/>
    <n v="3886"/>
    <n v="3.5948196114708604"/>
    <n v="3886"/>
    <n v="3.5948196114708604"/>
    <s v="[]"/>
    <s v="[]"/>
  </r>
  <r>
    <x v="2"/>
    <s v="71 West Hubbard Street"/>
    <x v="71"/>
    <s v="2202"/>
    <n v="22"/>
    <x v="2"/>
    <n v="2"/>
    <m/>
    <x v="60"/>
    <x v="311"/>
    <x v="341"/>
    <x v="0"/>
    <n v="23"/>
    <n v="3996"/>
    <n v="3.3383458646616542"/>
    <n v="3996"/>
    <n v="3.3383458646616542"/>
    <s v="[Smoke Free Community Level 22 - 2br Master Bath - Double Vanity Sinks Master Bath - Separate Shower NEST Thermostats North/Western Exposure Dog Floor Pantry Closet Smoke Free Unit West View Tier One White Oak Floors Upgraded Home Balcony Cats - 2 pet max per unit Corner/End Dog&lt;75lbs - 2 pet max/unit Light Fixture Upgrade]"/>
    <s v="[corner_unit view.direction view balcony_patio floor renovated]"/>
  </r>
  <r>
    <x v="2"/>
    <s v="71 West Hubbard Street"/>
    <x v="71"/>
    <s v="2702"/>
    <n v="27"/>
    <x v="2"/>
    <n v="2"/>
    <m/>
    <x v="60"/>
    <x v="298"/>
    <x v="147"/>
    <x v="0"/>
    <n v="136"/>
    <n v="4016"/>
    <n v="3.3550543024227233"/>
    <n v="4016"/>
    <n v="3.3550543024227233"/>
    <s v="[Smoke Free Community Level 27 - 2br Master Bath - Double Vanity Sinks Master Bath - Separate Shower NEST Thermostats North/Western Exposure Pantry Closet Smoke Free Unit Wood floors throughout West View Tier Two White Oak Floors Upgraded Home Balcony Cats - 2 pet max per unit Corner/End Light Fixture Upgrade]"/>
    <s v="[corner_unit view.direction view balcony_patio floor renovated]"/>
  </r>
  <r>
    <x v="2"/>
    <s v="71 West Hubbard Street"/>
    <x v="71"/>
    <s v="1902"/>
    <n v="19"/>
    <x v="2"/>
    <n v="2"/>
    <m/>
    <x v="60"/>
    <x v="135"/>
    <x v="175"/>
    <x v="0"/>
    <n v="10"/>
    <n v="4062"/>
    <n v="3.3934837092731831"/>
    <n v="4062"/>
    <n v="3.3934837092731831"/>
    <s v="[Smoke Free Community Level 19 - 2br Master Bath - Double Vanity Sinks Master Bath - Separate Shower NEST Thermostats North/Western Exposure Pantry Closet Smoke Free Unit Graphite Oak Floors Wood floors throughout Upgraded Home West View Tier One Balcony Cats - 2 pet max per unit Corner/End]"/>
    <s v="[renovated corner_unit view balcony_patio floor view.direction]"/>
  </r>
  <r>
    <x v="2"/>
    <s v="71 West Hubbard Street"/>
    <x v="71"/>
    <s v="1402"/>
    <n v="14"/>
    <x v="2"/>
    <n v="2"/>
    <m/>
    <x v="60"/>
    <x v="101"/>
    <x v="106"/>
    <x v="0"/>
    <n v="4"/>
    <n v="4113"/>
    <n v="3.4360902255639099"/>
    <n v="4113"/>
    <n v="3.4360902255639099"/>
    <s v="[Dog&lt;75lbs - 2 pet max/unit Corner/End Smoke Free Community Level 14 - 2br Master Bath - Double Vanity Sinks Master Bath - Separate Shower NEST Thermostats Dog Floor North/Western Exposure Pantry Closet Smoke Free Unit Graphite Oak Floors California Closets West View Tier One Balcony Cats - 2 pet max per unit Light Fixture Upgrade]"/>
    <s v="[corner_unit renovated view balcony_patio floor view.direction]"/>
  </r>
  <r>
    <x v="2"/>
    <s v="71 West Hubbard Street"/>
    <x v="71"/>
    <s v="1602"/>
    <n v="16"/>
    <x v="2"/>
    <n v="2"/>
    <m/>
    <x v="60"/>
    <x v="101"/>
    <x v="14"/>
    <x v="0"/>
    <n v="11"/>
    <n v="4156"/>
    <n v="3.4720133667502089"/>
    <n v="4156"/>
    <n v="3.4720133667502089"/>
    <s v="[Smoke Free Community Level 16 - 2br Master Bath - Double Vanity Sinks Master Bath - Separate Shower NEST Thermostats North/Western Exposure Pantry Closet Smoke Free Unit Graphite Oak Floors West View Tier One Upgraded Home Balcony Cats - 2 pet max per unit Corner/End Light Fixture Upgrade]"/>
    <s v="[corner_unit view.direction view balcony_patio floor renovated]"/>
  </r>
  <r>
    <x v="2"/>
    <s v="71 West Hubbard Street"/>
    <x v="71"/>
    <s v="3202"/>
    <n v="32"/>
    <x v="2"/>
    <n v="2"/>
    <m/>
    <x v="60"/>
    <x v="312"/>
    <x v="294"/>
    <x v="0"/>
    <n v="5"/>
    <n v="4189"/>
    <n v="3.4995822890559731"/>
    <n v="4189"/>
    <n v="3.4995822890559731"/>
    <s v="[Smoke Free Community Level 32 - 2br Master Bath - Double Vanity Sinks Master Bath - Separate Shower NEST Thermostats North/Western Exposure Pantry Closet Smoke Free Unit West View Tier Two White Oak Floors Upgraded Home Balcony Cats - 2 pet max per unit Corner/End Dog&lt;75lbs - 2 pet max/unit Dog Floor]"/>
    <s v="[corner_unit view.direction view balcony_patio floor renovated]"/>
  </r>
  <r>
    <x v="2"/>
    <s v="71 West Hubbard Street"/>
    <x v="71"/>
    <s v="1702"/>
    <n v="17"/>
    <x v="2"/>
    <n v="2"/>
    <m/>
    <x v="60"/>
    <x v="119"/>
    <x v="28"/>
    <x v="1"/>
    <m/>
    <n v="4219"/>
    <n v="3.5246449456975775"/>
    <n v="4219"/>
    <n v="3.5246449456975775"/>
    <s v="[Smoke Free Community Level 17 - 2br Master Bath - Double Vanity Sinks Master Bath - Separate Shower NEST Thermostats North/Western Exposure Pantry Closet Smoke Free Unit West View Tier One White Oak Floors Upgraded Home Balcony Cats - 2 pet max per unit Corner/End]"/>
    <s v="[corner_unit view.direction view balcony_patio floor renovated]"/>
  </r>
  <r>
    <x v="2"/>
    <s v="71 West Hubbard Street"/>
    <x v="71"/>
    <s v="3702"/>
    <n v="37"/>
    <x v="2"/>
    <n v="2"/>
    <m/>
    <x v="60"/>
    <x v="150"/>
    <x v="250"/>
    <x v="0"/>
    <n v="151"/>
    <n v="4267"/>
    <n v="3.5647451963241439"/>
    <n v="4267"/>
    <n v="3.5647451963241439"/>
    <s v="[Smoke Free Community Level 37 - 2br Master Bath - Double Vanity Sinks Master Bath - Separate Shower NEST Thermostats North/Western Exposure Pantry Closet Smoke Free Unit Wood floors throughout West View Tier Three White Oak Floors Upgraded Home Balcony Cats - 2 pet max per unit Corner/End Dog&lt;75lbs - 2 pet max/unit Dog Floor]"/>
    <s v="[corner_unit view.direction view balcony_patio floor renovated]"/>
  </r>
  <r>
    <x v="2"/>
    <s v="71 West Hubbard Street"/>
    <x v="71"/>
    <s v="3302"/>
    <n v="33"/>
    <x v="2"/>
    <n v="2"/>
    <m/>
    <x v="60"/>
    <x v="5"/>
    <x v="40"/>
    <x v="0"/>
    <n v="9"/>
    <n v="4319"/>
    <n v="3.6081871345029239"/>
    <n v="4319"/>
    <n v="3.6081871345029239"/>
    <s v="[Upgraded Home Smoke Free Community Level 33 - 2br Master Bath - Double Vanity Sinks Master Bath - Separate Shower NEST Thermostats North/Western Exposure Pantry Closet Smoke Free Unit Dog Floor Graphite Oak Floors West View Tier Two Balcony Cats - 2 pet max per unit Corner/End Dog&lt;75lbs - 2 pet max/unit Light Fixture Upgrade]"/>
    <s v="[renovated corner_unit view balcony_patio floor view.direction]"/>
  </r>
  <r>
    <x v="2"/>
    <s v="71 West Hubbard Street"/>
    <x v="71"/>
    <s v="2802"/>
    <n v="28"/>
    <x v="2"/>
    <n v="2"/>
    <m/>
    <x v="60"/>
    <x v="313"/>
    <x v="28"/>
    <x v="1"/>
    <m/>
    <n v="4334"/>
    <n v="3.6207184628237261"/>
    <n v="4334"/>
    <n v="3.6207184628237261"/>
    <s v="[Smoke Free Community Level 28 - 2br Master Bath - Double Vanity Sinks Master Bath - Separate Shower NEST Thermostats North/Western Exposure Pantry Closet Smoke Free Unit West View Tier Two Graphite Oak Floors Upgraded Home Balcony Corner/End Cats - 2 pet max per unit]"/>
    <s v="[corner_unit view.direction view balcony_patio floor renovated]"/>
  </r>
  <r>
    <x v="2"/>
    <s v="71 West Hubbard Street"/>
    <x v="71"/>
    <s v="4302"/>
    <n v="43"/>
    <x v="2"/>
    <n v="2"/>
    <m/>
    <x v="60"/>
    <x v="314"/>
    <x v="8"/>
    <x v="0"/>
    <n v="14"/>
    <n v="4359"/>
    <n v="3.6416040100250626"/>
    <n v="4359"/>
    <n v="3.6416040100250626"/>
    <s v="[Smoke Free Community Level 43 - 2br Master Bath - Double Vanity Sinks Master Bath - Separate Shower NEST Thermostats North/Western Exposure Pantry Closet Smoke Free Unit Dog Floor Graphite Oak Floors Wood floors throughout Upgraded Home West View Tier Three Balcony Cats - 2 pet max per unit Corner/End Dog&lt;75lbs - 2 pet max/unit]"/>
    <s v="[renovated corner_unit view balcony_patio floor view.direction]"/>
  </r>
  <r>
    <x v="2"/>
    <s v="71 West Hubbard Street"/>
    <x v="71"/>
    <s v="4402"/>
    <n v="44"/>
    <x v="2"/>
    <n v="2"/>
    <m/>
    <x v="60"/>
    <x v="114"/>
    <x v="259"/>
    <x v="0"/>
    <n v="37"/>
    <n v="4371"/>
    <n v="3.6516290726817044"/>
    <n v="4371"/>
    <n v="3.6516290726817044"/>
    <s v="[Smoke Free Community Level 44 - 2br Master Bath - Double Vanity Sinks Master Bath - Separate Shower NEST Thermostats North/Western Exposure Pantry Closet Smoke Free Unit Graphite Oak Floors Wood floors throughout West View Tier Three Balcony Cats - 2 pet max per unit Corner/End Dog&lt;75lbs - 2 pet max/unit Upgraded Home Dog Floor]"/>
    <s v="[corner_unit renovated view balcony_patio floor view.direction]"/>
  </r>
  <r>
    <x v="2"/>
    <s v="71 West Hubbard Street"/>
    <x v="71"/>
    <s v="4102"/>
    <n v="41"/>
    <x v="2"/>
    <n v="2"/>
    <m/>
    <x v="60"/>
    <x v="269"/>
    <x v="289"/>
    <x v="0"/>
    <n v="34"/>
    <n v="4413"/>
    <n v="3.6867167919799497"/>
    <n v="4413"/>
    <n v="3.6867167919799497"/>
    <s v="[Smoke Free Community Level 41 - 2br Master Bath - Double Vanity Sinks Master Bath - Separate Shower NEST Thermostats North/Western Exposure Pantry Closet Smoke Free Unit Wood floors throughout West View Tier Three Balcony White Oak Floors Upgraded Home Cats - 2 pet max per unit Corner/End]"/>
    <s v="[renovated corner_unit view balcony_patio floor view.direction]"/>
  </r>
  <r>
    <x v="2"/>
    <s v="71 West Hubbard Street"/>
    <x v="71"/>
    <s v="2402"/>
    <n v="24"/>
    <x v="2"/>
    <n v="2"/>
    <m/>
    <x v="60"/>
    <x v="219"/>
    <x v="342"/>
    <x v="0"/>
    <n v="66"/>
    <n v="4433"/>
    <n v="3.7034252297410193"/>
    <n v="4433"/>
    <n v="3.7034252297410193"/>
    <s v="[Dog&lt;75lbs - 2 pet max/unit Level 24 - 2br Master Bath - Double Vanity Sinks Master Bath - Separate Shower NEST Thermostats Dog Floor North/Western Exposure Pantry Closet Smoke Free Unit Graphite Oak Floors Wood floors throughout West View Tier Two Smoke Free Community Upgraded Home Balcony Cats - 2 pet max per unit Corner/End Light Fixture Upgrade]"/>
    <s v="[corner_unit view.direction view balcony_patio floor renovated]"/>
  </r>
  <r>
    <x v="2"/>
    <s v="71 West Hubbard Street"/>
    <x v="71"/>
    <s v="1802"/>
    <n v="18"/>
    <x v="2"/>
    <n v="2"/>
    <m/>
    <x v="60"/>
    <x v="315"/>
    <x v="343"/>
    <x v="0"/>
    <n v="58"/>
    <n v="3981"/>
    <n v="3.325814536340852"/>
    <n v="3981"/>
    <n v="3.325814536340852"/>
    <s v="[]"/>
    <s v="[]"/>
  </r>
  <r>
    <x v="2"/>
    <s v="71 West Hubbard Street"/>
    <x v="71"/>
    <s v="4002"/>
    <n v="40"/>
    <x v="2"/>
    <n v="2"/>
    <m/>
    <x v="60"/>
    <x v="297"/>
    <x v="344"/>
    <x v="0"/>
    <n v="143"/>
    <n v="3981"/>
    <n v="3.325814536340852"/>
    <n v="3981"/>
    <n v="3.325814536340852"/>
    <s v="[]"/>
    <s v="[]"/>
  </r>
  <r>
    <x v="2"/>
    <s v="71 West Hubbard Street"/>
    <x v="71"/>
    <s v="2602"/>
    <n v="26"/>
    <x v="2"/>
    <n v="2"/>
    <m/>
    <x v="60"/>
    <x v="130"/>
    <x v="59"/>
    <x v="0"/>
    <m/>
    <n v="4112"/>
    <n v="3.4352548036758561"/>
    <n v="4112"/>
    <n v="3.4352548036758561"/>
    <s v="[]"/>
    <s v="[]"/>
  </r>
  <r>
    <x v="2"/>
    <s v="71 West Hubbard Street"/>
    <x v="71"/>
    <s v="2502"/>
    <n v="25"/>
    <x v="2"/>
    <n v="2"/>
    <m/>
    <x v="60"/>
    <x v="130"/>
    <x v="161"/>
    <x v="0"/>
    <m/>
    <n v="4278"/>
    <n v="3.573934837092732"/>
    <n v="4278"/>
    <n v="3.573934837092732"/>
    <s v="[]"/>
    <s v="[]"/>
  </r>
  <r>
    <x v="2"/>
    <s v="71 West Hubbard Street"/>
    <x v="71"/>
    <s v="3602"/>
    <n v="36"/>
    <x v="2"/>
    <n v="2"/>
    <m/>
    <x v="60"/>
    <x v="130"/>
    <x v="345"/>
    <x v="0"/>
    <m/>
    <n v="4278"/>
    <n v="3.573934837092732"/>
    <n v="4278"/>
    <n v="3.573934837092732"/>
    <s v="[]"/>
    <s v="[]"/>
  </r>
  <r>
    <x v="2"/>
    <s v="71 West Hubbard Street"/>
    <x v="72"/>
    <s v="2406"/>
    <n v="24"/>
    <x v="2"/>
    <n v="2"/>
    <m/>
    <x v="61"/>
    <x v="102"/>
    <x v="316"/>
    <x v="0"/>
    <n v="193"/>
    <n v="4102"/>
    <n v="3.4211843202668892"/>
    <n v="4102"/>
    <n v="3.4211843202668892"/>
    <s v="[Smoke Free Community Level 24 - 2br Master Bath - Double Vanity Sinks Master Bath - Separate Shower NEST Thermostats Pantry Closet Smoke Free Unit South View Tier One Southern/Western Exposure Graphite Oak Floors Wood floors throughout Upgraded Home Balcony Cats - 2 pet max per unit Corner/End Dog&lt;75lbs - 2 pet max/unit Dog Floor]"/>
    <s v="[corner_unit view.direction view balcony_patio floor renovated]"/>
  </r>
  <r>
    <x v="2"/>
    <s v="71 West Hubbard Street"/>
    <x v="72"/>
    <s v="2306"/>
    <n v="23"/>
    <x v="2"/>
    <n v="2"/>
    <m/>
    <x v="61"/>
    <x v="177"/>
    <x v="227"/>
    <x v="0"/>
    <n v="93"/>
    <n v="4131"/>
    <n v="3.4453711426188489"/>
    <n v="4131"/>
    <n v="3.4453711426188489"/>
    <s v="[Smoke Free Community Level 23 - 2br Master Bath - Double Vanity Sinks Master Bath - Separate Shower NEST Thermostats Pantry Closet Smoke Free Unit South View Tier One Southern/Western Exposure Dog Floor Graphite Oak Floors Upgraded Home Front Loading Washer and Dryer Balcony Cats - 2 pet max per unit Corner/End Dog&lt;75lbs - 2 pet max/unit]"/>
    <s v="[corner_unit view.direction view washer_dryer balcony_patio floor renovated]"/>
  </r>
  <r>
    <x v="2"/>
    <s v="71 West Hubbard Street"/>
    <x v="72"/>
    <s v="1806"/>
    <n v="18"/>
    <x v="2"/>
    <n v="2"/>
    <m/>
    <x v="61"/>
    <x v="269"/>
    <x v="335"/>
    <x v="0"/>
    <n v="171"/>
    <n v="4225"/>
    <n v="3.5237698081734781"/>
    <n v="4225"/>
    <n v="3.5237698081734781"/>
    <s v="[Smoke Free Community Level 18 - 2br Location - Pool View Master Bath - Double Vanity Sinks Master Bath - Separate Shower NEST Thermostats Pantry Closet Smoke Free Unit Southern/Western Exposure White Oak Floors Upgraded Home Balcony Cats - 2 pet max per unit Corner/End Dog&lt;75lbs - 2 pet max/unit Dog Floor]"/>
    <s v="[corner_unit view balcony_patio floor renovated view.pool]"/>
  </r>
  <r>
    <x v="2"/>
    <s v="71 West Hubbard Street"/>
    <x v="72"/>
    <s v="3705"/>
    <n v="37"/>
    <x v="2"/>
    <n v="2"/>
    <m/>
    <x v="61"/>
    <x v="305"/>
    <x v="213"/>
    <x v="0"/>
    <n v="31"/>
    <n v="4268"/>
    <n v="3.5596330275229358"/>
    <n v="4268"/>
    <n v="3.5596330275229358"/>
    <s v="[Smoke Free Community Level 37 - 2br Master Bath - Double Vanity Sinks Master Bath - Separate Shower NEST Thermostats Pantry Closet Smoke Free Unit South View Tier Two Southern/Western Exposure Wood floors throughout White Oak Floors Upgraded Home Balcony Cats - 2 pet max per unit Corner/End Dog&lt;75lbs - 2 pet max/unit Dog Floor]"/>
    <s v="[corner_unit view.direction view balcony_patio floor renovated]"/>
  </r>
  <r>
    <x v="2"/>
    <s v="71 West Hubbard Street"/>
    <x v="72"/>
    <s v="2206"/>
    <n v="22"/>
    <x v="2"/>
    <n v="2"/>
    <m/>
    <x v="61"/>
    <x v="176"/>
    <x v="176"/>
    <x v="0"/>
    <n v="63"/>
    <n v="4270"/>
    <n v="3.561301084236864"/>
    <n v="4270"/>
    <n v="3.561301084236864"/>
    <s v="[Smoke Free Community Level 22 - 2br Master Bath - Double Vanity Sinks Master Bath - Separate Shower NEST Thermostats Dog Floor Pantry Closet Smoke Free Unit South View Tier One Southern/Western Exposure White Oak Floors Upgraded Home Balcony Corner/End Cats - 2 pet max per unit Dog&lt;75lbs - 2 pet max/unit]"/>
    <s v="[corner_unit view.direction view balcony_patio floor renovated]"/>
  </r>
  <r>
    <x v="2"/>
    <s v="71 West Hubbard Street"/>
    <x v="72"/>
    <s v="1906"/>
    <n v="19"/>
    <x v="2"/>
    <n v="2"/>
    <m/>
    <x v="61"/>
    <x v="316"/>
    <x v="346"/>
    <x v="0"/>
    <n v="16"/>
    <n v="4292"/>
    <n v="3.5796497080900749"/>
    <n v="4292"/>
    <n v="3.5796497080900749"/>
    <s v="[Corner/End Upgraded Home Balcony Cats - 2 pet max per unit Smoke Free Community Level 19 - 2br Location - Pool View Master Bath - Double Vanity Sinks Master Bath - Separate Shower NEST Thermostats Pantry Closet Smoke Free Unit Southern/Western Exposure Graphite Oak Floors Wood floors throughout Light Fixture Upgrade]"/>
    <s v="[corner_unit view balcony_patio floor renovated view.pool]"/>
  </r>
  <r>
    <x v="2"/>
    <s v="71 West Hubbard Street"/>
    <x v="72"/>
    <s v="3006"/>
    <n v="30"/>
    <x v="2"/>
    <n v="2"/>
    <m/>
    <x v="61"/>
    <x v="269"/>
    <x v="347"/>
    <x v="0"/>
    <n v="8"/>
    <n v="4322"/>
    <n v="3.6046705587989991"/>
    <n v="4322"/>
    <n v="3.6046705587989991"/>
    <s v="[Smoke Free Community Level 30 - 2br Master Bath - Double Vanity Sinks Master Bath - Separate Shower NEST Thermostats Pantry Closet Smoke Free Unit South View Tier One Southern/Western Exposure Graphite Oak Floors Wood floors throughout Balcony Cats - 2 pet max per unit Corner/End Upgraded Home]"/>
    <s v="[corner_unit renovated view balcony_patio floor view.direction]"/>
  </r>
  <r>
    <x v="2"/>
    <s v="71 West Hubbard Street"/>
    <x v="72"/>
    <s v="1506"/>
    <n v="15"/>
    <x v="2"/>
    <n v="2"/>
    <m/>
    <x v="61"/>
    <x v="284"/>
    <x v="348"/>
    <x v="0"/>
    <n v="132"/>
    <n v="4341"/>
    <n v="3.6205170975813177"/>
    <n v="4341"/>
    <n v="3.6205170975813177"/>
    <s v="[Smoke Free Community Level 15 - 2br Location - Pool View Master Bath - Double Vanity Sinks Master Bath - Separate Shower NEST Thermostats Dog Floor Pantry Closet Smoke Free Unit Southern/Western Exposure Graphite Oak Floors Upgraded Home Balcony Cats - 2 pet max per unit Corner/End Dog&lt;75lbs - 2 pet max/unit Light Fixture Upgrade]"/>
    <s v="[corner_unit view balcony_patio floor renovated view.pool]"/>
  </r>
  <r>
    <x v="2"/>
    <s v="71 West Hubbard Street"/>
    <x v="72"/>
    <s v="2506"/>
    <n v="25"/>
    <x v="2"/>
    <n v="2"/>
    <m/>
    <x v="61"/>
    <x v="44"/>
    <x v="349"/>
    <x v="0"/>
    <n v="138"/>
    <n v="4363"/>
    <n v="3.6388657214345286"/>
    <n v="4363"/>
    <n v="3.6388657214345286"/>
    <s v="[Smoke Free Community Level 25 - 2br Master Bath - Double Vanity Sinks Master Bath - Separate Shower NEST Thermostats Pantry Closet Smoke Free Unit South View Tier One Southern/Western Exposure Dog Floor Graphite Oak Floors California Closets Upgraded Home Balcony Cats - 2 pet max per unit Corner/End Dog&lt;75lbs - 2 pet max/unit]"/>
    <s v="[corner_unit view.direction view balcony_patio floor renovated]"/>
  </r>
  <r>
    <x v="2"/>
    <s v="71 West Hubbard Street"/>
    <x v="72"/>
    <s v="3206"/>
    <n v="32"/>
    <x v="2"/>
    <n v="2"/>
    <m/>
    <x v="61"/>
    <x v="265"/>
    <x v="332"/>
    <x v="0"/>
    <n v="36"/>
    <n v="4370"/>
    <n v="3.6447039199332778"/>
    <n v="4370"/>
    <n v="3.6447039199332778"/>
    <s v="[Smoke Free Community Level 32 - 2br Master Bath - Double Vanity Sinks Master Bath - Separate Shower NEST Thermostats Pantry Closet Smoke Free Unit South View Tier One Southern/Western Exposure White Oak Floors Balcony Cats - 2 pet max per unit Corner/End Dog&lt;75lbs - 2 pet max/unit Upgraded Home Dog Floor]"/>
    <s v="[corner_unit renovated view balcony_patio floor view.direction]"/>
  </r>
  <r>
    <x v="2"/>
    <s v="71 West Hubbard Street"/>
    <x v="72"/>
    <s v="4105"/>
    <n v="41"/>
    <x v="2"/>
    <n v="2"/>
    <m/>
    <x v="61"/>
    <x v="151"/>
    <x v="350"/>
    <x v="0"/>
    <n v="63"/>
    <n v="4379"/>
    <n v="3.6522101751459548"/>
    <n v="4379"/>
    <n v="3.6522101751459548"/>
    <s v="[Smoke Free Community Level 41 - 2br Master Bath - Double Vanity Sinks Master Bath - Separate Shower NEST Thermostats Pantry Closet Smoke Free Unit South View Tier Two Southern/Western Exposure Wood floors throughout Upgraded Home White Oak Floors Balcony Cats - 2 pet max per unit Corner/End]"/>
    <s v="[corner_unit view.direction view balcony_patio floor renovated]"/>
  </r>
  <r>
    <x v="2"/>
    <s v="71 West Hubbard Street"/>
    <x v="72"/>
    <s v="4005"/>
    <n v="40"/>
    <x v="2"/>
    <n v="2"/>
    <m/>
    <x v="61"/>
    <x v="225"/>
    <x v="351"/>
    <x v="0"/>
    <n v="14"/>
    <n v="4432"/>
    <n v="3.6964136780650541"/>
    <n v="4432"/>
    <n v="3.6964136780650541"/>
    <s v="[Smoke Free Community Level 40 - 2br Master Bath - Double Vanity Sinks Master Bath - Separate Shower NEST Thermostats Pantry Closet Smoke Free Unit South View Tier Two Southern/Western Exposure Graphite Oak Floors Wood floors throughout Upgraded Home Balcony Cats - 2 pet max per unit Corner/End Light Fixture Upgrade]"/>
    <s v="[corner_unit view.direction view balcony_patio floor renovated]"/>
  </r>
  <r>
    <x v="2"/>
    <s v="71 West Hubbard Street"/>
    <x v="72"/>
    <s v="3106"/>
    <n v="31"/>
    <x v="2"/>
    <n v="2"/>
    <m/>
    <x v="61"/>
    <x v="317"/>
    <x v="253"/>
    <x v="0"/>
    <n v="25"/>
    <n v="4437"/>
    <n v="3.7005838198498751"/>
    <n v="4437"/>
    <n v="3.7005838198498751"/>
    <s v="[Smoke Free Community Level 31 - 2br Master Bath - Double Vanity Sinks Master Bath - Separate Shower NEST Thermostats Pantry Closet Smoke Free Unit South View Tier One Southern/Western Exposure Dog Floor White Oak Floors Upgraded Home Balcony Cats - 2 pet max per unit Corner/End Dog&lt;75lbs - 2 pet max/unit Light Fixture Upgrade]"/>
    <s v="[corner_unit view.direction view balcony_patio floor renovated]"/>
  </r>
  <r>
    <x v="2"/>
    <s v="71 West Hubbard Street"/>
    <x v="72"/>
    <s v="3405"/>
    <n v="34"/>
    <x v="2"/>
    <n v="2"/>
    <m/>
    <x v="61"/>
    <x v="230"/>
    <x v="253"/>
    <x v="0"/>
    <n v="70"/>
    <n v="4442"/>
    <n v="3.7047539616346956"/>
    <n v="4442"/>
    <n v="3.7047539616346956"/>
    <s v="[Level 34 - 2br Master Bath - Double Vanity Sinks Master Bath - Separate Shower NEST Thermostats Pantry Closet Smoke Free Unit South View Tier Two Southern/Western Exposure Graphite Oak Floors Wood floors throughout Smoke Free Community Upgraded Home Balcony Cats - 2 pet max per unit Corner/End Light Fixture Upgrade]"/>
    <s v="[corner_unit view.direction view balcony_patio floor renovated]"/>
  </r>
  <r>
    <x v="2"/>
    <s v="71 West Hubbard Street"/>
    <x v="72"/>
    <s v="3905"/>
    <n v="39"/>
    <x v="2"/>
    <n v="2"/>
    <m/>
    <x v="61"/>
    <x v="318"/>
    <x v="331"/>
    <x v="0"/>
    <n v="267"/>
    <n v="4503"/>
    <n v="3.7556296914095078"/>
    <n v="4503"/>
    <n v="3.7556296914095078"/>
    <s v="[Dog&lt;75lbs - 2 pet max/unit Cats - 2 pet max per unit Corner/End Smoke Free Community Level 39 - 2br Master Bath - Double Vanity Sinks Master Bath - Separate Shower NEST Thermostats Pantry Closet Smoke Free Unit South View Tier Two Southern/Western Exposure Dog Floor Graphite Oak Floors Upgraded Home Balcony Light Fixture Upgrade]"/>
    <s v="[corner_unit renovated view balcony_patio floor view.direction]"/>
  </r>
  <r>
    <x v="2"/>
    <s v="71 West Hubbard Street"/>
    <x v="72"/>
    <s v="2706"/>
    <n v="27"/>
    <x v="2"/>
    <n v="2"/>
    <m/>
    <x v="61"/>
    <x v="44"/>
    <x v="148"/>
    <x v="0"/>
    <n v="7"/>
    <n v="4557"/>
    <n v="3.8006672226855711"/>
    <n v="4557"/>
    <n v="3.8006672226855711"/>
    <s v="[Smoke Free Community Level 27 - 2br Master Bath - Double Vanity Sinks Master Bath - Separate Shower NEST Thermostats Pantry Closet Smoke Free Unit South View Tier One Southern/Western Exposure Wood floors throughout White Oak Floors Upgraded Home Balcony Cats - 2 pet max per unit Corner/End Light Fixture Upgrade]"/>
    <s v="[corner_unit view.direction view balcony_patio floor renovated]"/>
  </r>
  <r>
    <x v="2"/>
    <s v="71 West Hubbard Street"/>
    <x v="72"/>
    <s v="3605"/>
    <n v="36"/>
    <x v="2"/>
    <n v="2"/>
    <m/>
    <x v="61"/>
    <x v="44"/>
    <x v="278"/>
    <x v="0"/>
    <n v="20"/>
    <n v="4632"/>
    <n v="3.8632193494578817"/>
    <n v="4632"/>
    <n v="3.8632193494578817"/>
    <s v="[Corner/End Cats - 2 pet max per unit Smoke Free Community Level 36 - 2br Master Bath - Double Vanity Sinks Master Bath - Separate Shower NEST Thermostats Pantry Closet Smoke Free Unit South View Tier Two Southern/Western Exposure Graphite Oak Floors Upgraded Home Balcony Light Fixture Upgrade]"/>
    <s v="[corner_unit renovated view balcony_patio floor view.direction]"/>
  </r>
  <r>
    <x v="2"/>
    <s v="71 West Hubbard Street"/>
    <x v="72"/>
    <s v="2906"/>
    <n v="29"/>
    <x v="2"/>
    <n v="2"/>
    <m/>
    <x v="61"/>
    <x v="298"/>
    <x v="352"/>
    <x v="0"/>
    <n v="71"/>
    <n v="4081"/>
    <n v="3.403669724770642"/>
    <n v="4081"/>
    <n v="3.403669724770642"/>
    <s v="[]"/>
    <s v="[]"/>
  </r>
  <r>
    <x v="2"/>
    <s v="71 West Hubbard Street"/>
    <x v="72"/>
    <s v="1406"/>
    <n v="14"/>
    <x v="2"/>
    <n v="2"/>
    <m/>
    <x v="61"/>
    <x v="130"/>
    <x v="57"/>
    <x v="0"/>
    <m/>
    <n v="4180"/>
    <n v="3.4862385321100917"/>
    <n v="4180"/>
    <n v="3.4862385321100917"/>
    <s v="[]"/>
    <s v="[]"/>
  </r>
  <r>
    <x v="2"/>
    <s v="71 West Hubbard Street"/>
    <x v="72"/>
    <s v="2106"/>
    <n v="21"/>
    <x v="2"/>
    <n v="2"/>
    <m/>
    <x v="61"/>
    <x v="130"/>
    <x v="353"/>
    <x v="0"/>
    <m/>
    <n v="4249"/>
    <n v="3.5437864887406172"/>
    <n v="4249"/>
    <n v="3.5437864887406172"/>
    <s v="[]"/>
    <s v="[]"/>
  </r>
  <r>
    <x v="2"/>
    <s v="71 West Hubbard Street"/>
    <x v="72"/>
    <s v="4305"/>
    <n v="43"/>
    <x v="2"/>
    <n v="2"/>
    <m/>
    <x v="61"/>
    <x v="308"/>
    <x v="354"/>
    <x v="0"/>
    <n v="24"/>
    <n v="4297"/>
    <n v="3.5838198498748959"/>
    <n v="4297"/>
    <n v="3.5838198498748959"/>
    <s v="[]"/>
    <s v="[]"/>
  </r>
  <r>
    <x v="2"/>
    <s v="71 West Hubbard Street"/>
    <x v="73"/>
    <s v="4501"/>
    <n v="45"/>
    <x v="2"/>
    <n v="2"/>
    <m/>
    <x v="62"/>
    <x v="34"/>
    <x v="96"/>
    <x v="0"/>
    <n v="6"/>
    <n v="4523"/>
    <n v="3.5982498011137629"/>
    <n v="4523"/>
    <n v="3.5982498011137629"/>
    <s v="[Smoke Free Community Level 45 Master Bath - Double Vanity Sinks Master Bath - Separate Shower NEST Thermostats North/Western Exposure Pantry Closet Smoke Free Unit Full-size washer dryer included Walnut Floors Cats - 2 pet max per unit Corner/End Dog Floor]"/>
    <s v="[corner_unit floor washer_dryer.full_size washer_dryer]"/>
  </r>
  <r>
    <x v="2"/>
    <s v="71 West Hubbard Street"/>
    <x v="73"/>
    <s v="5001"/>
    <n v="50"/>
    <x v="2"/>
    <n v="2"/>
    <m/>
    <x v="62"/>
    <x v="319"/>
    <x v="258"/>
    <x v="0"/>
    <n v="37"/>
    <n v="4731"/>
    <n v="3.7637231503579951"/>
    <n v="4731"/>
    <n v="3.7637231503579951"/>
    <s v="[Smoke Free Community North/Western Exposure Level 50 Master Bath - Double Vanity Sinks Master Bath - Separate Shower NEST Thermostats Pantry Closet Smoke Free Unit Dog Floor Full-size washer dryer included Walnut Floors Corner/End Cats - 2 pet max per unit Dog&lt;75lbs - 2 pet max/unit]"/>
    <s v="[corner_unit floor washer_dryer.full_size washer_dryer]"/>
  </r>
  <r>
    <x v="2"/>
    <s v="71 West Hubbard Street"/>
    <x v="73"/>
    <s v="4901"/>
    <n v="49"/>
    <x v="2"/>
    <n v="2"/>
    <m/>
    <x v="62"/>
    <x v="104"/>
    <x v="355"/>
    <x v="0"/>
    <n v="44"/>
    <n v="4269"/>
    <n v="3.39618138424821"/>
    <n v="4269"/>
    <n v="3.39618138424821"/>
    <s v="[]"/>
    <s v="[]"/>
  </r>
  <r>
    <x v="2"/>
    <s v="71 West Hubbard Street"/>
    <x v="74"/>
    <s v="4504"/>
    <n v="45"/>
    <x v="2"/>
    <n v="2"/>
    <m/>
    <x v="63"/>
    <x v="262"/>
    <x v="311"/>
    <x v="0"/>
    <n v="11"/>
    <n v="4643"/>
    <n v="3.5908739365815934"/>
    <n v="4643"/>
    <n v="3.5908739365815934"/>
    <s v="[Smoke Free Community Level 45 Master Bath - Double Vanity Sinks Master Bath - Separate Shower NEST Thermostats Pantry Closet Smoke Free Unit South View Penthouse Southern/Western Exposure Full-size washer dryer included Walnut Floors Cats - 2 pet max per unit Corner/End Dog Floor]"/>
    <s v="[corner_unit floor.penthouse view washer_dryer washer_dryer.full_size floor view.direction]"/>
  </r>
  <r>
    <x v="2"/>
    <s v="71 West Hubbard Street"/>
    <x v="74"/>
    <s v="5004"/>
    <n v="50"/>
    <x v="2"/>
    <n v="2"/>
    <m/>
    <x v="63"/>
    <x v="320"/>
    <x v="356"/>
    <x v="0"/>
    <n v="104"/>
    <n v="4699"/>
    <n v="3.634184068058778"/>
    <n v="4699"/>
    <n v="3.634184068058778"/>
    <s v="[Smoke Free Community Level 50 Master Bath - Double Vanity Sinks Master Bath - Separate Shower NEST Thermostats Pantry Closet Smoke Free Unit South View Penthouse Southern/Western Exposure Dog Floor Full-size washer dryer included Walnut Floors Cats - 2 pet max per unit Corner/End Dog&lt;75lbs - 2 pet max/unit]"/>
    <s v="[corner_unit floor.penthouse view washer_dryer washer_dryer.full_size floor view.direction]"/>
  </r>
  <r>
    <x v="2"/>
    <s v="71 West Hubbard Street"/>
    <x v="74"/>
    <s v="4904"/>
    <n v="49"/>
    <x v="2"/>
    <n v="2"/>
    <m/>
    <x v="63"/>
    <x v="171"/>
    <x v="357"/>
    <x v="0"/>
    <n v="109"/>
    <n v="4705"/>
    <n v="3.6388244392884763"/>
    <n v="4705"/>
    <n v="3.6388244392884763"/>
    <s v="[]"/>
    <s v="[]"/>
  </r>
  <r>
    <x v="2"/>
    <s v="71 West Hubbard Street"/>
    <x v="75"/>
    <s v="4605"/>
    <n v="46"/>
    <x v="2"/>
    <n v="2"/>
    <m/>
    <x v="64"/>
    <x v="160"/>
    <x v="176"/>
    <x v="0"/>
    <n v="69"/>
    <n v="5853"/>
    <n v="3.3599311136624568"/>
    <n v="5853"/>
    <n v="3.3599311136624568"/>
    <s v="[Smoke Free Community Lake View Penthouse Level 46 Master Bath - Double Vanity Sinks Master Bath - Separate Shower NEST Thermostats Pantry Closet Separate Shower Guest Bath Smoke Free Unit Southern/Eastern Exposure Full-size washer dryer included Walnut Floors Two double vanity Cats - 2 pet max per unit Corner/End]"/>
    <s v="[corner_unit floor.penthouse view washer_dryer washer_dryer.full_size view.water floor]"/>
  </r>
  <r>
    <x v="2"/>
    <s v="71 West Hubbard Street"/>
    <x v="75"/>
    <s v="5005"/>
    <n v="50"/>
    <x v="2"/>
    <n v="2"/>
    <m/>
    <x v="64"/>
    <x v="130"/>
    <x v="358"/>
    <x v="0"/>
    <m/>
    <n v="5992"/>
    <n v="3.4397244546498276"/>
    <n v="5992"/>
    <n v="3.4397244546498276"/>
    <s v="[Smoke Free Community Lake View Penthouse Level 50 Master Bath - Double Vanity Sinks Master Bath - Separate Shower NEST Thermostats Pantry Closet Separate Shower Guest Bath Smoke Free Unit Southern/Eastern Exposure Dog Floor Full-size washer dryer included Walnut Floors Two double vanity Cats - 2 pet max per unit Corner/End Dog&lt;75lbs - 2 pet max/unit Light Fixture Upgrade]"/>
    <s v="[corner_unit floor.penthouse view washer_dryer washer_dryer.full_size view.water floor renovated]"/>
  </r>
  <r>
    <x v="2"/>
    <s v="71 West Hubbard Street"/>
    <x v="75"/>
    <s v="4805"/>
    <n v="48"/>
    <x v="2"/>
    <n v="2"/>
    <m/>
    <x v="64"/>
    <x v="101"/>
    <x v="105"/>
    <x v="0"/>
    <n v="37"/>
    <n v="6152"/>
    <n v="3.5315729047072333"/>
    <n v="6152"/>
    <n v="3.5315729047072333"/>
    <s v="[Smoke Free Community Lake View Penthouse Level 48 Master Bath - Double Vanity Sinks Master Bath - Separate Shower NEST Thermostats Pantry Closet Separate Shower Guest Bath Smoke Free Unit Southern/Eastern Exposure Full-size washer dryer included Walnut Floors Two double vanity Cats - 2 pet max per unit Corner/End Light Fixture Upgrade]"/>
    <s v="[corner_unit floor.penthouse view washer_dryer washer_dryer.full_size view.water floor renovated]"/>
  </r>
  <r>
    <x v="2"/>
    <s v="71 West Hubbard Street"/>
    <x v="76"/>
    <s v="4508"/>
    <n v="45"/>
    <x v="4"/>
    <n v="2"/>
    <m/>
    <x v="65"/>
    <x v="243"/>
    <x v="359"/>
    <x v="0"/>
    <n v="286"/>
    <n v="6430"/>
    <n v="3.6700913242009134"/>
    <n v="6430"/>
    <n v="3.6700913242009134"/>
    <s v="[Smoke Free Community Lake View Penthouse Level 45 Master Bath - Double Vanity Sinks Master Bath - Linen Closet Master Bath - Separate Shower NEST Thermostats North/Eastern Exposure Separate Shower Guest Bath Smoke Free Unit Dog Floor Full-size washer dryer included Walnut Floors Two double vanity Cats - 2 pet max per unit Corner/End]"/>
    <s v="[corner_unit floor.penthouse view washer_dryer washer_dryer.full_size view.water floor]"/>
  </r>
  <r>
    <x v="2"/>
    <s v="71 West Hubbard Street"/>
    <x v="76"/>
    <s v="4608"/>
    <n v="46"/>
    <x v="4"/>
    <n v="2"/>
    <m/>
    <x v="65"/>
    <x v="321"/>
    <x v="360"/>
    <x v="0"/>
    <n v="6"/>
    <n v="6741"/>
    <n v="3.8476027397260273"/>
    <n v="6741"/>
    <n v="3.8476027397260273"/>
    <s v="[Smoke Free Community Lake View Penthouse Level 46 Master Bath - Double Vanity Sinks Master Bath - Linen Closet Master Bath - Separate Shower NEST Thermostats North/Eastern Exposure Separate Shower Guest Bath Smoke Free Unit Full-size washer dryer included Walnut Floors Two double vanity Cats - 2 pet max per unit Corner/End Light Fixture Upgrade]"/>
    <s v="[corner_unit floor.penthouse view washer_dryer washer_dryer.full_size view.water floor renovated]"/>
  </r>
  <r>
    <x v="3"/>
    <s v="25 West Randolph Street"/>
    <x v="77"/>
    <s v="2405"/>
    <n v="24"/>
    <x v="0"/>
    <n v="1"/>
    <m/>
    <x v="42"/>
    <x v="322"/>
    <x v="361"/>
    <x v="0"/>
    <n v="11"/>
    <n v="2110"/>
    <n v="3.6888111888111887"/>
    <n v="2110"/>
    <n v="3.6888111888111887"/>
    <s v="[Floor 24 North View Floors 20-29]"/>
    <s v="[floor view.direction view]"/>
  </r>
  <r>
    <x v="3"/>
    <s v="25 West Randolph Street"/>
    <x v="78"/>
    <s v="1305"/>
    <n v="13"/>
    <x v="0"/>
    <n v="1"/>
    <m/>
    <x v="42"/>
    <x v="157"/>
    <x v="306"/>
    <x v="0"/>
    <n v="2"/>
    <n v="2120"/>
    <n v="3.7062937062937062"/>
    <n v="2120"/>
    <n v="3.7062937062937062"/>
    <s v="[Floor 13]"/>
    <s v="[floor]"/>
  </r>
  <r>
    <x v="3"/>
    <s v="25 West Randolph Street"/>
    <x v="78"/>
    <s v="1005"/>
    <n v="10"/>
    <x v="0"/>
    <n v="1"/>
    <m/>
    <x v="42"/>
    <x v="123"/>
    <x v="76"/>
    <x v="0"/>
    <n v="7"/>
    <n v="2135"/>
    <n v="3.7325174825174825"/>
    <n v="2135"/>
    <n v="3.7325174825174825"/>
    <s v="[Floor 10]"/>
    <s v="[floor]"/>
  </r>
  <r>
    <x v="3"/>
    <s v="25 West Randolph Street"/>
    <x v="78"/>
    <s v="3305"/>
    <n v="33"/>
    <x v="0"/>
    <n v="1"/>
    <m/>
    <x v="42"/>
    <x v="243"/>
    <x v="89"/>
    <x v="0"/>
    <n v="83"/>
    <n v="2194"/>
    <n v="3.8356643356643358"/>
    <n v="2194"/>
    <n v="3.8356643356643358"/>
    <s v="[North View Floors 30-37 South View Floors 30-37 ADA Suites Extra Windows Floor 33]"/>
    <s v="[view.direction floor view]"/>
  </r>
  <r>
    <x v="3"/>
    <s v="25 West Randolph Street"/>
    <x v="78"/>
    <s v="905"/>
    <n v="9"/>
    <x v="0"/>
    <n v="1"/>
    <m/>
    <x v="42"/>
    <x v="323"/>
    <x v="362"/>
    <x v="0"/>
    <n v="20"/>
    <n v="2201"/>
    <n v="3.8479020979020979"/>
    <n v="2201"/>
    <n v="3.8479020979020979"/>
    <s v="[Floor 9]"/>
    <s v="[floor]"/>
  </r>
  <r>
    <x v="3"/>
    <s v="25 West Randolph Street"/>
    <x v="78"/>
    <s v="3405"/>
    <n v="34"/>
    <x v="0"/>
    <n v="1"/>
    <m/>
    <x v="42"/>
    <x v="324"/>
    <x v="218"/>
    <x v="0"/>
    <n v="61"/>
    <n v="2214"/>
    <n v="3.8706293706293708"/>
    <n v="2214"/>
    <n v="3.8706293706293708"/>
    <s v="[ADA Suites Extra Windows Floor 34 North View Floors 30-37 South View Floors 30-37]"/>
    <s v="[view floor view.direction]"/>
  </r>
  <r>
    <x v="3"/>
    <s v="25 West Randolph Street"/>
    <x v="78"/>
    <s v="3505"/>
    <n v="35"/>
    <x v="0"/>
    <n v="1"/>
    <m/>
    <x v="42"/>
    <x v="325"/>
    <x v="363"/>
    <x v="0"/>
    <n v="87"/>
    <n v="2367"/>
    <n v="4.1381118881118883"/>
    <n v="2367"/>
    <n v="4.1381118881118883"/>
    <s v="[North View Floors 30-37 Extra Windows Floor 35 South View Floors 30-37 ADA Suites]"/>
    <s v="[view floor view.direction]"/>
  </r>
  <r>
    <x v="3"/>
    <s v="25 West Randolph Street"/>
    <x v="78"/>
    <s v="3205"/>
    <n v="32"/>
    <x v="0"/>
    <n v="1"/>
    <m/>
    <x v="42"/>
    <x v="148"/>
    <x v="28"/>
    <x v="1"/>
    <m/>
    <n v="2378"/>
    <n v="4.1573426573426575"/>
    <n v="2378"/>
    <n v="4.1573426573426575"/>
    <s v="[ADA Suites Extra Windows Floor 32 North View Floors 30-37 South View Floors 30-37]"/>
    <s v="[view floor view.direction]"/>
  </r>
  <r>
    <x v="3"/>
    <s v="25 West Randolph Street"/>
    <x v="77"/>
    <s v="1105"/>
    <n v="11"/>
    <x v="0"/>
    <n v="1"/>
    <m/>
    <x v="42"/>
    <x v="326"/>
    <x v="364"/>
    <x v="0"/>
    <n v="87"/>
    <n v="2015"/>
    <n v="3.5227272727272729"/>
    <n v="2015"/>
    <n v="3.5227272727272729"/>
    <s v="[]"/>
    <s v="[]"/>
  </r>
  <r>
    <x v="3"/>
    <s v="25 West Randolph Street"/>
    <x v="77"/>
    <s v="2205"/>
    <n v="22"/>
    <x v="0"/>
    <n v="1"/>
    <m/>
    <x v="42"/>
    <x v="327"/>
    <x v="365"/>
    <x v="0"/>
    <n v="155"/>
    <n v="2057"/>
    <n v="3.5961538461538463"/>
    <n v="2057"/>
    <n v="3.5961538461538463"/>
    <s v="[]"/>
    <s v="[]"/>
  </r>
  <r>
    <x v="3"/>
    <s v="25 West Randolph Street"/>
    <x v="79"/>
    <s v="2003"/>
    <n v="20"/>
    <x v="0"/>
    <n v="1"/>
    <m/>
    <x v="66"/>
    <x v="200"/>
    <x v="23"/>
    <x v="0"/>
    <n v="21"/>
    <n v="2047"/>
    <n v="3.5662020905923346"/>
    <n v="2047"/>
    <n v="3.5662020905923346"/>
    <s v="[Floor 20 North View Floors 20-29]"/>
    <s v="[floor view.direction view]"/>
  </r>
  <r>
    <x v="3"/>
    <s v="25 West Randolph Street"/>
    <x v="79"/>
    <s v="2103"/>
    <n v="21"/>
    <x v="0"/>
    <n v="1"/>
    <m/>
    <x v="66"/>
    <x v="328"/>
    <x v="346"/>
    <x v="0"/>
    <n v="11"/>
    <n v="2065"/>
    <n v="3.5975609756097562"/>
    <n v="2065"/>
    <n v="3.5975609756097562"/>
    <s v="[Floor 21 North View Floors 20-29]"/>
    <s v="[floor view.direction view]"/>
  </r>
  <r>
    <x v="3"/>
    <s v="25 West Randolph Street"/>
    <x v="79"/>
    <s v="1503"/>
    <n v="15"/>
    <x v="0"/>
    <n v="1"/>
    <m/>
    <x v="66"/>
    <x v="329"/>
    <x v="44"/>
    <x v="0"/>
    <n v="4"/>
    <n v="2169"/>
    <n v="3.7787456445993031"/>
    <n v="2169"/>
    <n v="3.7787456445993031"/>
    <s v="[Floor 15]"/>
    <s v="[floor]"/>
  </r>
  <r>
    <x v="3"/>
    <s v="25 West Randolph Street"/>
    <x v="79"/>
    <s v="2603"/>
    <n v="26"/>
    <x v="0"/>
    <n v="1"/>
    <m/>
    <x v="66"/>
    <x v="254"/>
    <x v="194"/>
    <x v="0"/>
    <n v="38"/>
    <n v="2187"/>
    <n v="3.8101045296167246"/>
    <n v="2187"/>
    <n v="3.8101045296167246"/>
    <s v="[Floor 26 North View Floors 25 &amp; 26 South View Floors 25 &amp; 26 North View Floors 20-29]"/>
    <s v="[view floor view.direction]"/>
  </r>
  <r>
    <x v="3"/>
    <s v="25 West Randolph Street"/>
    <x v="80"/>
    <s v="2703"/>
    <n v="27"/>
    <x v="0"/>
    <n v="1"/>
    <m/>
    <x v="66"/>
    <x v="63"/>
    <x v="28"/>
    <x v="1"/>
    <m/>
    <n v="2467"/>
    <n v="4.2979094076655056"/>
    <n v="2467"/>
    <n v="4.2979094076655056"/>
    <s v="[North View Floors 20-29 Floor 27 Vaulted Ceilings]"/>
    <s v="[view.direction floor view]"/>
  </r>
  <r>
    <x v="3"/>
    <s v="25 West Randolph Street"/>
    <x v="79"/>
    <s v="903"/>
    <n v="9"/>
    <x v="0"/>
    <n v="1"/>
    <m/>
    <x v="66"/>
    <x v="330"/>
    <x v="366"/>
    <x v="0"/>
    <n v="13"/>
    <n v="2095"/>
    <n v="3.6498257839721253"/>
    <n v="2095"/>
    <n v="3.6498257839721253"/>
    <s v="[]"/>
    <s v="[]"/>
  </r>
  <r>
    <x v="3"/>
    <s v="25 West Randolph Street"/>
    <x v="79"/>
    <s v="1003"/>
    <n v="10"/>
    <x v="0"/>
    <n v="1"/>
    <m/>
    <x v="66"/>
    <x v="130"/>
    <x v="367"/>
    <x v="0"/>
    <m/>
    <n v="2193"/>
    <n v="3.8205574912891986"/>
    <n v="2193"/>
    <n v="3.8205574912891986"/>
    <s v="[]"/>
    <s v="[]"/>
  </r>
  <r>
    <x v="3"/>
    <s v="25 West Randolph Street"/>
    <x v="79"/>
    <s v="2503"/>
    <n v="25"/>
    <x v="0"/>
    <n v="1"/>
    <m/>
    <x v="66"/>
    <x v="181"/>
    <x v="368"/>
    <x v="0"/>
    <n v="103"/>
    <n v="2367"/>
    <n v="4.1236933797909412"/>
    <n v="2367"/>
    <n v="4.1236933797909412"/>
    <s v="[]"/>
    <s v="[]"/>
  </r>
  <r>
    <x v="3"/>
    <s v="25 West Randolph Street"/>
    <x v="78"/>
    <s v="1405"/>
    <n v="14"/>
    <x v="0"/>
    <n v="1"/>
    <m/>
    <x v="67"/>
    <x v="331"/>
    <x v="142"/>
    <x v="0"/>
    <n v="85"/>
    <n v="2018"/>
    <n v="3.4378194207836454"/>
    <n v="2018"/>
    <n v="3.4378194207836454"/>
    <s v="[Floor 14 Extended Window- 587 Square Feet]"/>
    <s v="[floor]"/>
  </r>
  <r>
    <x v="3"/>
    <s v="25 West Randolph Street"/>
    <x v="78"/>
    <s v="2005"/>
    <n v="20"/>
    <x v="0"/>
    <n v="1"/>
    <m/>
    <x v="67"/>
    <x v="332"/>
    <x v="369"/>
    <x v="0"/>
    <n v="26"/>
    <n v="2135"/>
    <n v="3.6371379897785348"/>
    <n v="2135"/>
    <n v="3.6371379897785348"/>
    <s v="[North View Floors 20-29 Floor 20]"/>
    <s v="[view.direction floor view]"/>
  </r>
  <r>
    <x v="3"/>
    <s v="25 West Randolph Street"/>
    <x v="78"/>
    <s v="1505"/>
    <n v="15"/>
    <x v="0"/>
    <n v="1"/>
    <m/>
    <x v="67"/>
    <x v="276"/>
    <x v="28"/>
    <x v="1"/>
    <m/>
    <n v="2156"/>
    <n v="3.6729131175468486"/>
    <n v="2156"/>
    <n v="3.6729131175468486"/>
    <s v="[Floor 15]"/>
    <s v="[floor]"/>
  </r>
  <r>
    <x v="3"/>
    <s v="25 West Randolph Street"/>
    <x v="81"/>
    <s v="2105"/>
    <n v="21"/>
    <x v="0"/>
    <n v="1"/>
    <m/>
    <x v="67"/>
    <x v="94"/>
    <x v="370"/>
    <x v="0"/>
    <n v="6"/>
    <n v="2166"/>
    <n v="3.6899488926746167"/>
    <n v="2166"/>
    <n v="3.6899488926746167"/>
    <s v="[Floor 21 North View Floors 20-29]"/>
    <s v="[floor view.direction view]"/>
  </r>
  <r>
    <x v="3"/>
    <s v="25 West Randolph Street"/>
    <x v="78"/>
    <s v="2705"/>
    <n v="27"/>
    <x v="0"/>
    <n v="1"/>
    <m/>
    <x v="67"/>
    <x v="291"/>
    <x v="363"/>
    <x v="0"/>
    <n v="169"/>
    <n v="2297"/>
    <n v="3.9131175468483814"/>
    <n v="2297"/>
    <n v="3.9131175468483814"/>
    <s v="[Extra Windows Floor 27 Vaulted Ceilings North View Floors 20-29 Extended Window- 587 Square Feet]"/>
    <s v="[floor view.direction view]"/>
  </r>
  <r>
    <x v="3"/>
    <s v="25 West Randolph Street"/>
    <x v="78"/>
    <s v="2605"/>
    <n v="26"/>
    <x v="0"/>
    <n v="1"/>
    <m/>
    <x v="67"/>
    <x v="2"/>
    <x v="159"/>
    <x v="0"/>
    <n v="94"/>
    <n v="2319"/>
    <n v="3.950596252129472"/>
    <n v="2319"/>
    <n v="3.950596252129472"/>
    <s v="[Floor 26 North View Floors 20-29 Extended Window- 587 Square Feet]"/>
    <s v="[floor view.direction view]"/>
  </r>
  <r>
    <x v="3"/>
    <s v="25 West Randolph Street"/>
    <x v="82"/>
    <s v="3005"/>
    <n v="30"/>
    <x v="0"/>
    <n v="1"/>
    <m/>
    <x v="68"/>
    <x v="292"/>
    <x v="371"/>
    <x v="0"/>
    <n v="22"/>
    <n v="2150"/>
    <n v="3.6195286195286194"/>
    <n v="2150"/>
    <n v="3.6195286195286194"/>
    <s v="[ADA Suites Extra Windows Floor 30 North View Floors 30-37 South View Floors 30-37]"/>
    <s v="[view floor view.direction]"/>
  </r>
  <r>
    <x v="3"/>
    <s v="25 West Randolph Street"/>
    <x v="78"/>
    <s v="1805"/>
    <n v="18"/>
    <x v="0"/>
    <n v="1"/>
    <m/>
    <x v="68"/>
    <x v="200"/>
    <x v="28"/>
    <x v="1"/>
    <m/>
    <n v="2181"/>
    <n v="3.6717171717171717"/>
    <n v="2181"/>
    <n v="3.6717171717171717"/>
    <s v="[Floor 18]"/>
    <s v="[floor]"/>
  </r>
  <r>
    <x v="3"/>
    <s v="25 West Randolph Street"/>
    <x v="78"/>
    <s v="1705"/>
    <n v="17"/>
    <x v="0"/>
    <n v="1"/>
    <m/>
    <x v="68"/>
    <x v="333"/>
    <x v="120"/>
    <x v="0"/>
    <n v="71"/>
    <n v="2315"/>
    <n v="3.8973063973063975"/>
    <n v="2315"/>
    <n v="3.8973063973063975"/>
    <s v="[Floor 17 Vaulted Ceilings Extended Windows- 594 Square Feet]"/>
    <s v="[floor]"/>
  </r>
  <r>
    <x v="3"/>
    <s v="25 West Randolph Street"/>
    <x v="78"/>
    <s v="3605"/>
    <m/>
    <x v="0"/>
    <n v="1"/>
    <m/>
    <x v="68"/>
    <x v="334"/>
    <x v="28"/>
    <x v="1"/>
    <m/>
    <n v="2371"/>
    <n v="3.9915824915824918"/>
    <n v="2371"/>
    <n v="3.9915824915824918"/>
    <s v="[ADA Suites Extra Windows Floor 36 North View Floors 30-37 South View Floors 30-37]"/>
    <s v="[view floor view.direction]"/>
  </r>
  <r>
    <x v="3"/>
    <s v="25 West Randolph Street"/>
    <x v="82"/>
    <s v="2905"/>
    <n v="29"/>
    <x v="0"/>
    <n v="1"/>
    <m/>
    <x v="68"/>
    <x v="164"/>
    <x v="166"/>
    <x v="0"/>
    <n v="44"/>
    <n v="2248"/>
    <n v="3.7845117845117846"/>
    <n v="2248"/>
    <n v="3.7845117845117846"/>
    <s v="[]"/>
    <s v="[]"/>
  </r>
  <r>
    <x v="3"/>
    <s v="25 West Randolph Street"/>
    <x v="83"/>
    <s v="1203"/>
    <n v="12"/>
    <x v="0"/>
    <n v="1"/>
    <m/>
    <x v="69"/>
    <x v="335"/>
    <x v="279"/>
    <x v="0"/>
    <n v="15"/>
    <n v="2014"/>
    <n v="3.3848739495798319"/>
    <n v="2014"/>
    <n v="3.3848739495798319"/>
    <s v="[Floor 12]"/>
    <s v="[floor]"/>
  </r>
  <r>
    <x v="3"/>
    <s v="25 West Randolph Street"/>
    <x v="83"/>
    <s v="2303"/>
    <n v="23"/>
    <x v="0"/>
    <n v="1"/>
    <m/>
    <x v="69"/>
    <x v="336"/>
    <x v="372"/>
    <x v="0"/>
    <n v="21"/>
    <n v="2105"/>
    <n v="3.53781512605042"/>
    <n v="2105"/>
    <n v="3.53781512605042"/>
    <s v="[Floor 23 North View Floors 20-29]"/>
    <s v="[floor view.direction view]"/>
  </r>
  <r>
    <x v="3"/>
    <s v="25 West Randolph Street"/>
    <x v="83"/>
    <s v="2203"/>
    <n v="22"/>
    <x v="0"/>
    <n v="1"/>
    <m/>
    <x v="69"/>
    <x v="177"/>
    <x v="373"/>
    <x v="0"/>
    <n v="47"/>
    <n v="2262"/>
    <n v="3.8016806722689074"/>
    <n v="2262"/>
    <n v="3.8016806722689074"/>
    <s v="[Floor 22 North View Floors 20-29]"/>
    <s v="[floor view.direction view]"/>
  </r>
  <r>
    <x v="3"/>
    <s v="25 West Randolph Street"/>
    <x v="83"/>
    <s v="3103"/>
    <n v="31"/>
    <x v="0"/>
    <n v="1"/>
    <m/>
    <x v="69"/>
    <x v="130"/>
    <x v="24"/>
    <x v="0"/>
    <m/>
    <n v="2089"/>
    <n v="3.5109243697478991"/>
    <n v="2089"/>
    <n v="3.5109243697478991"/>
    <s v="[]"/>
    <s v="[]"/>
  </r>
  <r>
    <x v="3"/>
    <s v="25 West Randolph Street"/>
    <x v="84"/>
    <s v="703"/>
    <n v="7"/>
    <x v="0"/>
    <n v="1"/>
    <m/>
    <x v="70"/>
    <x v="337"/>
    <x v="253"/>
    <x v="0"/>
    <n v="10"/>
    <n v="2073"/>
    <n v="3.4207920792079207"/>
    <n v="2073"/>
    <n v="3.4207920792079207"/>
    <s v="[Floor 7]"/>
    <s v="[floor]"/>
  </r>
  <r>
    <x v="3"/>
    <s v="25 West Randolph Street"/>
    <x v="80"/>
    <s v="2803"/>
    <n v="28"/>
    <x v="0"/>
    <n v="1"/>
    <m/>
    <x v="70"/>
    <x v="63"/>
    <x v="374"/>
    <x v="0"/>
    <n v="79"/>
    <n v="2089"/>
    <n v="3.447194719471947"/>
    <n v="2089"/>
    <n v="3.447194719471947"/>
    <s v="[South View Floors 25-29 Extra Windows Floor 28 North View Floors 20-29]"/>
    <s v="[view floor view.direction]"/>
  </r>
  <r>
    <x v="3"/>
    <s v="25 West Randolph Street"/>
    <x v="84"/>
    <s v="1603"/>
    <n v="16"/>
    <x v="0"/>
    <n v="1"/>
    <m/>
    <x v="70"/>
    <x v="13"/>
    <x v="5"/>
    <x v="0"/>
    <n v="15"/>
    <n v="2163"/>
    <n v="3.5693069306930694"/>
    <n v="2163"/>
    <n v="3.5693069306930694"/>
    <s v="[Floor 16]"/>
    <s v="[floor]"/>
  </r>
  <r>
    <x v="3"/>
    <s v="25 West Randolph Street"/>
    <x v="84"/>
    <s v="3003"/>
    <n v="30"/>
    <x v="0"/>
    <n v="1"/>
    <m/>
    <x v="70"/>
    <x v="64"/>
    <x v="150"/>
    <x v="0"/>
    <n v="5"/>
    <n v="2277"/>
    <n v="3.7574257425742572"/>
    <n v="2277"/>
    <n v="3.7574257425742572"/>
    <s v="[ADA Suites Extra Windows Floor 30 North View Floors 30-37]"/>
    <s v="[floor view.direction view]"/>
  </r>
  <r>
    <x v="3"/>
    <s v="25 West Randolph Street"/>
    <x v="80"/>
    <s v="2903"/>
    <n v="29"/>
    <x v="0"/>
    <n v="1"/>
    <m/>
    <x v="70"/>
    <x v="338"/>
    <x v="28"/>
    <x v="1"/>
    <m/>
    <n v="2444"/>
    <n v="4.0330033003300327"/>
    <n v="2444"/>
    <n v="4.0330033003300327"/>
    <s v="[South View Floors 25-29 ADA Suites Extra Windows Floor 29 North View Floors 20-29]"/>
    <s v="[view floor view.direction]"/>
  </r>
  <r>
    <x v="3"/>
    <s v="25 West Randolph Street"/>
    <x v="84"/>
    <s v="1803"/>
    <n v="18"/>
    <x v="0"/>
    <n v="1"/>
    <m/>
    <x v="70"/>
    <x v="339"/>
    <x v="375"/>
    <x v="0"/>
    <n v="5"/>
    <n v="2067"/>
    <n v="3.4108910891089108"/>
    <n v="2067"/>
    <n v="3.4108910891089108"/>
    <s v="[]"/>
    <s v="[]"/>
  </r>
  <r>
    <x v="3"/>
    <s v="25 West Randolph Street"/>
    <x v="85"/>
    <s v="821"/>
    <n v="8"/>
    <x v="0"/>
    <n v="1"/>
    <m/>
    <x v="71"/>
    <x v="241"/>
    <x v="28"/>
    <x v="1"/>
    <m/>
    <n v="2224"/>
    <n v="3.3902439024390243"/>
    <n v="2224"/>
    <n v="3.3902439024390243"/>
    <s v="[Floor 8 South West City View]"/>
    <s v="[floor view.direction view view.city]"/>
  </r>
  <r>
    <x v="3"/>
    <s v="25 West Randolph Street"/>
    <x v="86"/>
    <s v="3021"/>
    <n v="30"/>
    <x v="0"/>
    <n v="1"/>
    <m/>
    <x v="71"/>
    <x v="193"/>
    <x v="84"/>
    <x v="0"/>
    <n v="27"/>
    <n v="2234"/>
    <n v="3.4054878048780486"/>
    <n v="2234"/>
    <n v="3.4054878048780486"/>
    <s v="[South View Floors 30-37 Floor 30 South West City View ADA Suites Extra Windows]"/>
    <s v="[view floor view.direction view.city]"/>
  </r>
  <r>
    <x v="3"/>
    <s v="25 West Randolph Street"/>
    <x v="85"/>
    <s v="1821"/>
    <n v="18"/>
    <x v="0"/>
    <n v="1"/>
    <m/>
    <x v="71"/>
    <x v="340"/>
    <x v="28"/>
    <x v="1"/>
    <m/>
    <n v="2242"/>
    <n v="3.4176829268292681"/>
    <n v="2242"/>
    <n v="3.4176829268292681"/>
    <s v="[Floor 18 South West City View]"/>
    <s v="[floor view.direction view view.city]"/>
  </r>
  <r>
    <x v="3"/>
    <s v="25 West Randolph Street"/>
    <x v="85"/>
    <s v="1721"/>
    <n v="17"/>
    <x v="0"/>
    <n v="1"/>
    <m/>
    <x v="71"/>
    <x v="34"/>
    <x v="28"/>
    <x v="1"/>
    <m/>
    <n v="2376"/>
    <n v="3.6219512195121952"/>
    <n v="2376"/>
    <n v="3.6219512195121952"/>
    <s v="[Floor 17 South West City View Vaulted Ceilings]"/>
    <s v="[floor view.direction view view.city]"/>
  </r>
  <r>
    <x v="3"/>
    <s v="25 West Randolph Street"/>
    <x v="86"/>
    <s v="921"/>
    <n v="9"/>
    <x v="0"/>
    <n v="1"/>
    <m/>
    <x v="71"/>
    <x v="341"/>
    <x v="274"/>
    <x v="0"/>
    <n v="82"/>
    <n v="2020"/>
    <n v="3.0792682926829267"/>
    <n v="2020"/>
    <n v="3.0792682926829267"/>
    <s v="[]"/>
    <s v="[]"/>
  </r>
  <r>
    <x v="3"/>
    <s v="25 West Randolph Street"/>
    <x v="87"/>
    <s v="2421"/>
    <n v="24"/>
    <x v="0"/>
    <n v="1"/>
    <m/>
    <x v="72"/>
    <x v="28"/>
    <x v="342"/>
    <x v="0"/>
    <n v="86"/>
    <n v="2228"/>
    <n v="3.3303437967115097"/>
    <n v="2228"/>
    <n v="3.3303437967115097"/>
    <s v="[ADA Suites Floor 24 South West City View North View Floors 20-29]"/>
    <s v="[view floor view.direction view.city]"/>
  </r>
  <r>
    <x v="3"/>
    <s v="25 West Randolph Street"/>
    <x v="85"/>
    <s v="2321"/>
    <n v="23"/>
    <x v="0"/>
    <n v="1"/>
    <m/>
    <x v="72"/>
    <x v="174"/>
    <x v="74"/>
    <x v="0"/>
    <n v="146"/>
    <n v="2275"/>
    <n v="3.4005979073243648"/>
    <n v="2275"/>
    <n v="3.4005979073243648"/>
    <s v="[Floor 23 South West City View North View Floors 20-29]"/>
    <s v="[view floor view.direction view.city]"/>
  </r>
  <r>
    <x v="3"/>
    <s v="25 West Randolph Street"/>
    <x v="85"/>
    <s v="1321"/>
    <n v="13"/>
    <x v="0"/>
    <n v="1"/>
    <m/>
    <x v="72"/>
    <x v="232"/>
    <x v="28"/>
    <x v="1"/>
    <m/>
    <n v="2306"/>
    <n v="3.4469357249626307"/>
    <n v="2306"/>
    <n v="3.4469357249626307"/>
    <s v="[Floor 13 South West City View]"/>
    <s v="[floor view.direction view view.city]"/>
  </r>
  <r>
    <x v="3"/>
    <s v="25 West Randolph Street"/>
    <x v="87"/>
    <s v="2721"/>
    <n v="27"/>
    <x v="0"/>
    <n v="1"/>
    <m/>
    <x v="72"/>
    <x v="39"/>
    <x v="88"/>
    <x v="0"/>
    <n v="81"/>
    <n v="2342"/>
    <n v="3.5007473841554559"/>
    <n v="2342"/>
    <n v="3.5007473841554559"/>
    <s v="[South View Floors 25-29 Extra Windows Floor 27 South West City View Vaulted Ceilings North View Floors 20-29]"/>
    <s v="[view floor view.direction view.city]"/>
  </r>
  <r>
    <x v="3"/>
    <s v="25 West Randolph Street"/>
    <x v="85"/>
    <s v="3521"/>
    <n v="35"/>
    <x v="0"/>
    <n v="1"/>
    <m/>
    <x v="72"/>
    <x v="262"/>
    <x v="322"/>
    <x v="0"/>
    <n v="50"/>
    <n v="2434"/>
    <n v="3.6382660687593424"/>
    <n v="2434"/>
    <n v="3.6382660687593424"/>
    <s v="[ADA Suites Extra Windows Floor 35 South View Floors 30-37 South West City View]"/>
    <s v="[view floor view.direction view.city]"/>
  </r>
  <r>
    <x v="3"/>
    <s v="25 West Randolph Street"/>
    <x v="85"/>
    <s v="2821"/>
    <n v="28"/>
    <x v="0"/>
    <n v="1"/>
    <m/>
    <x v="72"/>
    <x v="29"/>
    <x v="28"/>
    <x v="1"/>
    <m/>
    <n v="2481"/>
    <n v="3.7085201793721971"/>
    <n v="2481"/>
    <n v="3.7085201793721971"/>
    <s v="[South View Floors 25-29 ADA Suites Extra Windows Floor 28 South West City View North View Floors 20-29]"/>
    <s v="[view floor view.direction view.city]"/>
  </r>
  <r>
    <x v="3"/>
    <s v="25 West Randolph Street"/>
    <x v="87"/>
    <s v="1221"/>
    <n v="12"/>
    <x v="0"/>
    <n v="1"/>
    <m/>
    <x v="72"/>
    <x v="210"/>
    <x v="376"/>
    <x v="0"/>
    <n v="85"/>
    <n v="2038"/>
    <n v="3.0463378176382663"/>
    <n v="2038"/>
    <n v="3.0463378176382663"/>
    <s v="[]"/>
    <s v="[]"/>
  </r>
  <r>
    <x v="3"/>
    <s v="25 West Randolph Street"/>
    <x v="88"/>
    <s v="2214"/>
    <n v="22"/>
    <x v="0"/>
    <n v="1"/>
    <m/>
    <x v="73"/>
    <x v="81"/>
    <x v="377"/>
    <x v="0"/>
    <n v="131"/>
    <n v="2183"/>
    <n v="3.2533532041728761"/>
    <n v="2183"/>
    <n v="3.2533532041728761"/>
    <s v="[ADA Suites Floor 22]"/>
    <s v="[floor]"/>
  </r>
  <r>
    <x v="3"/>
    <s v="25 West Randolph Street"/>
    <x v="88"/>
    <s v="814"/>
    <n v="8"/>
    <x v="0"/>
    <n v="1"/>
    <m/>
    <x v="73"/>
    <x v="342"/>
    <x v="378"/>
    <x v="0"/>
    <n v="90"/>
    <n v="2189"/>
    <n v="3.262295081967213"/>
    <n v="2189"/>
    <n v="3.262295081967213"/>
    <s v="[Floor 8 South View Floors 6-9]"/>
    <s v="[floor view.direction view]"/>
  </r>
  <r>
    <x v="3"/>
    <s v="25 West Randolph Street"/>
    <x v="88"/>
    <s v="2914"/>
    <n v="29"/>
    <x v="0"/>
    <n v="1"/>
    <m/>
    <x v="73"/>
    <x v="271"/>
    <x v="279"/>
    <x v="0"/>
    <n v="99"/>
    <n v="2231"/>
    <n v="3.324888226527571"/>
    <n v="2231"/>
    <n v="3.324888226527571"/>
    <s v="[ADA Suites Extra Windows Floor 29 North View Floors 20-29]"/>
    <s v="[floor view.direction view]"/>
  </r>
  <r>
    <x v="3"/>
    <s v="25 West Randolph Street"/>
    <x v="88"/>
    <s v="714"/>
    <n v="7"/>
    <x v="0"/>
    <n v="1"/>
    <m/>
    <x v="73"/>
    <x v="28"/>
    <x v="49"/>
    <x v="0"/>
    <n v="3"/>
    <n v="2290"/>
    <n v="3.412816691505216"/>
    <n v="2290"/>
    <n v="3.412816691505216"/>
    <s v="[Floor 7 South View Floors 6-9]"/>
    <s v="[floor view.direction view]"/>
  </r>
  <r>
    <x v="3"/>
    <s v="25 West Randolph Street"/>
    <x v="88"/>
    <s v="1014"/>
    <n v="10"/>
    <x v="0"/>
    <n v="1"/>
    <m/>
    <x v="73"/>
    <x v="343"/>
    <x v="118"/>
    <x v="0"/>
    <n v="6"/>
    <n v="2293"/>
    <n v="3.4172876304023845"/>
    <n v="2293"/>
    <n v="3.4172876304023845"/>
    <s v="[Floor 10]"/>
    <s v="[floor]"/>
  </r>
  <r>
    <x v="3"/>
    <s v="25 West Randolph Street"/>
    <x v="88"/>
    <s v="1514"/>
    <n v="15"/>
    <x v="0"/>
    <n v="1"/>
    <m/>
    <x v="73"/>
    <x v="112"/>
    <x v="123"/>
    <x v="0"/>
    <n v="27"/>
    <n v="2319"/>
    <n v="3.4560357675111772"/>
    <n v="2319"/>
    <n v="3.4560357675111772"/>
    <s v="[Floor 15]"/>
    <s v="[floor]"/>
  </r>
  <r>
    <x v="3"/>
    <s v="25 West Randolph Street"/>
    <x v="88"/>
    <s v="1814"/>
    <n v="18"/>
    <x v="0"/>
    <n v="1"/>
    <m/>
    <x v="73"/>
    <x v="11"/>
    <x v="63"/>
    <x v="0"/>
    <n v="7"/>
    <n v="2359"/>
    <n v="3.5156482861400895"/>
    <n v="2359"/>
    <n v="3.5156482861400895"/>
    <s v="[Floor 18]"/>
    <s v="[floor]"/>
  </r>
  <r>
    <x v="3"/>
    <s v="25 West Randolph Street"/>
    <x v="88"/>
    <s v="1614"/>
    <n v="16"/>
    <x v="0"/>
    <n v="1"/>
    <m/>
    <x v="73"/>
    <x v="203"/>
    <x v="105"/>
    <x v="0"/>
    <n v="9"/>
    <n v="2361"/>
    <n v="3.5186289120715348"/>
    <n v="2361"/>
    <n v="3.5186289120715348"/>
    <s v="[ADA Suites Floor 16]"/>
    <s v="[floor]"/>
  </r>
  <r>
    <x v="3"/>
    <s v="25 West Randolph Street"/>
    <x v="89"/>
    <s v="1314"/>
    <n v="13"/>
    <x v="0"/>
    <n v="1"/>
    <m/>
    <x v="73"/>
    <x v="274"/>
    <x v="28"/>
    <x v="1"/>
    <m/>
    <n v="2368"/>
    <n v="3.5290611028315948"/>
    <n v="2368"/>
    <n v="3.5290611028315948"/>
    <s v="[Floor 13]"/>
    <s v="[floor]"/>
  </r>
  <r>
    <x v="3"/>
    <s v="25 West Randolph Street"/>
    <x v="88"/>
    <s v="3614"/>
    <m/>
    <x v="0"/>
    <n v="1"/>
    <m/>
    <x v="73"/>
    <x v="322"/>
    <x v="103"/>
    <x v="0"/>
    <n v="108"/>
    <n v="2369"/>
    <n v="3.5305514157973175"/>
    <n v="2369"/>
    <n v="3.5305514157973175"/>
    <s v="[Floor 36 South View Floors 30-37 North View Floors 30-37 Extra Windows]"/>
    <s v="[view floor view.direction]"/>
  </r>
  <r>
    <x v="3"/>
    <s v="25 West Randolph Street"/>
    <x v="88"/>
    <s v="2414"/>
    <n v="24"/>
    <x v="0"/>
    <n v="1"/>
    <m/>
    <x v="73"/>
    <x v="17"/>
    <x v="379"/>
    <x v="0"/>
    <n v="35"/>
    <n v="2381"/>
    <n v="3.5484351713859912"/>
    <n v="2381"/>
    <n v="3.5484351713859912"/>
    <s v="[Floor 24 North View Floors 20-29]"/>
    <s v="[floor view.direction view]"/>
  </r>
  <r>
    <x v="3"/>
    <s v="25 West Randolph Street"/>
    <x v="89"/>
    <s v="1114"/>
    <n v="11"/>
    <x v="0"/>
    <n v="1"/>
    <m/>
    <x v="73"/>
    <x v="344"/>
    <x v="140"/>
    <x v="0"/>
    <n v="8"/>
    <n v="2406"/>
    <n v="3.5856929955290613"/>
    <n v="2406"/>
    <n v="3.5856929955290613"/>
    <s v="[Floor 11]"/>
    <s v="[floor]"/>
  </r>
  <r>
    <x v="3"/>
    <s v="25 West Randolph Street"/>
    <x v="88"/>
    <s v="3014"/>
    <n v="30"/>
    <x v="0"/>
    <n v="1"/>
    <m/>
    <x v="73"/>
    <x v="345"/>
    <x v="380"/>
    <x v="0"/>
    <n v="5"/>
    <n v="2462"/>
    <n v="3.6691505216095379"/>
    <n v="2462"/>
    <n v="3.6691505216095379"/>
    <s v="[ADA Suites Extra Windows Floor 30 South View Floors 30-37 North View Floors 30-37]"/>
    <s v="[view floor view.direction]"/>
  </r>
  <r>
    <x v="3"/>
    <s v="25 West Randolph Street"/>
    <x v="88"/>
    <s v="2314"/>
    <n v="23"/>
    <x v="0"/>
    <n v="1"/>
    <m/>
    <x v="73"/>
    <x v="234"/>
    <x v="61"/>
    <x v="0"/>
    <n v="42"/>
    <n v="2474"/>
    <n v="3.6870342771982116"/>
    <n v="2474"/>
    <n v="3.6870342771982116"/>
    <s v="[Floor 23]"/>
    <s v="[floor]"/>
  </r>
  <r>
    <x v="3"/>
    <s v="25 West Randolph Street"/>
    <x v="89"/>
    <s v="2814"/>
    <n v="28"/>
    <x v="0"/>
    <n v="1"/>
    <m/>
    <x v="73"/>
    <x v="346"/>
    <x v="28"/>
    <x v="1"/>
    <m/>
    <n v="2519"/>
    <n v="3.7540983606557377"/>
    <n v="2519"/>
    <n v="3.7540983606557377"/>
    <s v="[ADA Suites Extra Windows Floor 28 North View Floors 20-29]"/>
    <s v="[floor view.direction view]"/>
  </r>
  <r>
    <x v="3"/>
    <s v="25 West Randolph Street"/>
    <x v="88"/>
    <s v="3514"/>
    <n v="35"/>
    <x v="0"/>
    <n v="1"/>
    <m/>
    <x v="73"/>
    <x v="347"/>
    <x v="186"/>
    <x v="0"/>
    <n v="65"/>
    <n v="2595"/>
    <n v="3.8673621460506706"/>
    <n v="2595"/>
    <n v="3.8673621460506706"/>
    <s v="[]"/>
    <s v="[]"/>
  </r>
  <r>
    <x v="3"/>
    <s v="25 West Randolph Street"/>
    <x v="90"/>
    <s v="1712"/>
    <n v="17"/>
    <x v="0"/>
    <n v="1"/>
    <m/>
    <x v="74"/>
    <x v="64"/>
    <x v="141"/>
    <x v="0"/>
    <n v="160"/>
    <n v="2014"/>
    <n v="2.9837037037037035"/>
    <n v="2014"/>
    <n v="2.9837037037037035"/>
    <s v="[Floor 17 Vaulted Ceilings]"/>
    <s v="[floor]"/>
  </r>
  <r>
    <x v="3"/>
    <s v="25 West Randolph Street"/>
    <x v="90"/>
    <s v="612"/>
    <n v="6"/>
    <x v="0"/>
    <n v="1"/>
    <m/>
    <x v="74"/>
    <x v="133"/>
    <x v="126"/>
    <x v="0"/>
    <n v="142"/>
    <n v="2028"/>
    <n v="3.0044444444444443"/>
    <n v="1934"/>
    <n v="2.8651851851851853"/>
    <s v="[Floor 6 South View Floors 6-9 Vaulted Ceilings]"/>
    <s v="[floor view.direction view]"/>
  </r>
  <r>
    <x v="3"/>
    <s v="25 West Randolph Street"/>
    <x v="91"/>
    <s v="2312"/>
    <n v="23"/>
    <x v="0"/>
    <n v="1"/>
    <m/>
    <x v="74"/>
    <x v="288"/>
    <x v="304"/>
    <x v="0"/>
    <n v="2"/>
    <n v="2060"/>
    <n v="3.0518518518518518"/>
    <n v="2060"/>
    <n v="3.0518518518518518"/>
    <s v="[Floor 23]"/>
    <s v="[floor]"/>
  </r>
  <r>
    <x v="3"/>
    <s v="25 West Randolph Street"/>
    <x v="91"/>
    <s v="2512"/>
    <n v="25"/>
    <x v="0"/>
    <n v="1"/>
    <m/>
    <x v="74"/>
    <x v="179"/>
    <x v="269"/>
    <x v="0"/>
    <n v="23"/>
    <n v="2062"/>
    <n v="3.0548148148148146"/>
    <n v="2062"/>
    <n v="3.0548148148148146"/>
    <s v="[Floor 25 South View Floors 25-29 North View Floors 20-29 North View Floors 25 &amp; 26 South View Floors 25 &amp; 26]"/>
    <s v="[view floor view.direction]"/>
  </r>
  <r>
    <x v="3"/>
    <s v="25 West Randolph Street"/>
    <x v="90"/>
    <s v="1812"/>
    <n v="18"/>
    <x v="0"/>
    <n v="1"/>
    <m/>
    <x v="74"/>
    <x v="91"/>
    <x v="359"/>
    <x v="0"/>
    <n v="8"/>
    <n v="2103"/>
    <n v="3.1155555555555554"/>
    <n v="2103"/>
    <n v="3.1155555555555554"/>
    <s v="[Floor 18]"/>
    <s v="[floor]"/>
  </r>
  <r>
    <x v="3"/>
    <s v="25 West Randolph Street"/>
    <x v="90"/>
    <s v="2712"/>
    <n v="27"/>
    <x v="0"/>
    <n v="1"/>
    <m/>
    <x v="74"/>
    <x v="47"/>
    <x v="167"/>
    <x v="0"/>
    <n v="179"/>
    <n v="2135"/>
    <n v="3.162962962962963"/>
    <n v="2135"/>
    <n v="3.162962962962963"/>
    <s v="[Extra Windows Floor 27 Vaulted Ceilings South View Floors 25-29 North View Floors 20-29]"/>
    <s v="[view floor view.direction]"/>
  </r>
  <r>
    <x v="3"/>
    <s v="25 West Randolph Street"/>
    <x v="90"/>
    <s v="3012"/>
    <n v="30"/>
    <x v="0"/>
    <n v="1"/>
    <m/>
    <x v="74"/>
    <x v="157"/>
    <x v="381"/>
    <x v="0"/>
    <n v="151"/>
    <n v="2138"/>
    <n v="3.1674074074074072"/>
    <n v="2044"/>
    <n v="3.0281481481481483"/>
    <s v="[ADA Suites Extra Windows Floor 30 South View Floors 30-37 North View Floors 30-37]"/>
    <s v="[view floor view.direction]"/>
  </r>
  <r>
    <x v="3"/>
    <s v="25 West Randolph Street"/>
    <x v="90"/>
    <s v="2912"/>
    <n v="29"/>
    <x v="0"/>
    <n v="1"/>
    <m/>
    <x v="74"/>
    <x v="184"/>
    <x v="27"/>
    <x v="0"/>
    <n v="88"/>
    <n v="2173"/>
    <n v="3.219259259259259"/>
    <n v="2037"/>
    <n v="3.0177777777777779"/>
    <s v="[South View Floors 25-29 ADA Suites Extra Windows Floor 29 North View Floors 20-29]"/>
    <s v="[view floor view.direction]"/>
  </r>
  <r>
    <x v="3"/>
    <s v="25 West Randolph Street"/>
    <x v="90"/>
    <s v="3712"/>
    <m/>
    <x v="0"/>
    <n v="1"/>
    <m/>
    <x v="74"/>
    <x v="70"/>
    <x v="382"/>
    <x v="0"/>
    <n v="168"/>
    <n v="2186"/>
    <n v="3.2385185185185184"/>
    <n v="2186"/>
    <n v="3.2385185185185184"/>
    <s v="[Extra Windows Floor 37 South View Floors 30-37 Vaulted Ceilings North View Floors 30-37]"/>
    <s v="[view floor view.direction]"/>
  </r>
  <r>
    <x v="3"/>
    <s v="25 West Randolph Street"/>
    <x v="90"/>
    <s v="912"/>
    <n v="9"/>
    <x v="0"/>
    <n v="1"/>
    <m/>
    <x v="74"/>
    <x v="207"/>
    <x v="43"/>
    <x v="0"/>
    <n v="13"/>
    <n v="2218"/>
    <n v="3.2859259259259259"/>
    <n v="2218"/>
    <n v="3.2859259259259259"/>
    <s v="[Floor 9 South View Floors 6-9]"/>
    <s v="[floor view.direction view]"/>
  </r>
  <r>
    <x v="3"/>
    <s v="25 West Randolph Street"/>
    <x v="90"/>
    <s v="3612"/>
    <m/>
    <x v="0"/>
    <n v="1"/>
    <m/>
    <x v="74"/>
    <x v="70"/>
    <x v="126"/>
    <x v="0"/>
    <n v="130"/>
    <n v="2232"/>
    <n v="3.3066666666666666"/>
    <n v="2138"/>
    <n v="3.1674074074074072"/>
    <s v="[Extra Windows Floor 36 North View Floors 30-37 South View Floors 30-37]"/>
    <s v="[view floor view.direction]"/>
  </r>
  <r>
    <x v="3"/>
    <s v="25 West Randolph Street"/>
    <x v="90"/>
    <s v="712"/>
    <n v="7"/>
    <x v="0"/>
    <n v="1"/>
    <m/>
    <x v="74"/>
    <x v="337"/>
    <x v="279"/>
    <x v="0"/>
    <n v="11"/>
    <n v="2263"/>
    <n v="3.3525925925925928"/>
    <n v="2263"/>
    <n v="3.3525925925925928"/>
    <s v="[Floor 7 South View Floors 6-9]"/>
    <s v="[floor view.direction view]"/>
  </r>
  <r>
    <x v="3"/>
    <s v="25 West Randolph Street"/>
    <x v="90"/>
    <s v="1512"/>
    <n v="15"/>
    <x v="0"/>
    <n v="1"/>
    <m/>
    <x v="74"/>
    <x v="348"/>
    <x v="381"/>
    <x v="0"/>
    <n v="62"/>
    <n v="2291"/>
    <n v="3.3940740740740742"/>
    <n v="2197"/>
    <n v="3.2548148148148148"/>
    <s v="[Floor 15]"/>
    <s v="[floor]"/>
  </r>
  <r>
    <x v="3"/>
    <s v="25 West Randolph Street"/>
    <x v="90"/>
    <s v="1912"/>
    <n v="19"/>
    <x v="0"/>
    <n v="1"/>
    <m/>
    <x v="74"/>
    <x v="349"/>
    <x v="139"/>
    <x v="0"/>
    <n v="47"/>
    <n v="2365"/>
    <n v="3.5037037037037035"/>
    <n v="2365"/>
    <n v="3.5037037037037035"/>
    <s v="[Floor 19]"/>
    <s v="[floor]"/>
  </r>
  <r>
    <x v="3"/>
    <s v="25 West Randolph Street"/>
    <x v="90"/>
    <s v="1012"/>
    <n v="10"/>
    <x v="0"/>
    <n v="1"/>
    <m/>
    <x v="74"/>
    <x v="350"/>
    <x v="383"/>
    <x v="0"/>
    <n v="65"/>
    <n v="2435"/>
    <n v="3.6074074074074076"/>
    <n v="2435"/>
    <n v="3.6074074074074076"/>
    <s v="[Floor 10]"/>
    <s v="[floor]"/>
  </r>
  <r>
    <x v="3"/>
    <s v="25 West Randolph Street"/>
    <x v="91"/>
    <s v="3512"/>
    <n v="35"/>
    <x v="0"/>
    <n v="1"/>
    <m/>
    <x v="74"/>
    <x v="32"/>
    <x v="322"/>
    <x v="0"/>
    <n v="18"/>
    <n v="2441"/>
    <n v="3.6162962962962961"/>
    <n v="2441"/>
    <n v="3.6162962962962961"/>
    <s v="[South View Floors 30-37 ADA Suites Extra Windows Floor 35 North View Floors 30-37]"/>
    <s v="[view floor view.direction]"/>
  </r>
  <r>
    <x v="3"/>
    <s v="25 West Randolph Street"/>
    <x v="90"/>
    <s v="3312"/>
    <n v="33"/>
    <x v="0"/>
    <n v="1"/>
    <m/>
    <x v="74"/>
    <x v="345"/>
    <x v="384"/>
    <x v="0"/>
    <n v="121"/>
    <n v="2445"/>
    <n v="3.6222222222222222"/>
    <n v="2445"/>
    <n v="3.6222222222222222"/>
    <s v="[ADA Suites Extra Windows Floor 33 South View Floors 30-37 North View Floors 30-37]"/>
    <s v="[view floor view.direction]"/>
  </r>
  <r>
    <x v="3"/>
    <s v="25 West Randolph Street"/>
    <x v="90"/>
    <s v="2112"/>
    <n v="21"/>
    <x v="0"/>
    <n v="1"/>
    <m/>
    <x v="74"/>
    <x v="216"/>
    <x v="64"/>
    <x v="0"/>
    <n v="87"/>
    <n v="2449"/>
    <n v="3.6281481481481483"/>
    <n v="2449"/>
    <n v="3.6281481481481483"/>
    <s v="[Floor 21]"/>
    <s v="[floor]"/>
  </r>
  <r>
    <x v="3"/>
    <s v="25 West Randolph Street"/>
    <x v="90"/>
    <s v="2412"/>
    <n v="24"/>
    <x v="0"/>
    <n v="1"/>
    <m/>
    <x v="74"/>
    <x v="78"/>
    <x v="245"/>
    <x v="0"/>
    <n v="17"/>
    <n v="2458"/>
    <n v="3.6414814814814815"/>
    <n v="2458"/>
    <n v="3.6414814814814815"/>
    <s v="[Floor 24 North View Floors 20-29]"/>
    <s v="[floor view.direction view]"/>
  </r>
  <r>
    <x v="3"/>
    <s v="25 West Randolph Street"/>
    <x v="90"/>
    <s v="2812"/>
    <n v="2"/>
    <x v="0"/>
    <n v="1"/>
    <m/>
    <x v="74"/>
    <x v="336"/>
    <x v="385"/>
    <x v="0"/>
    <n v="22"/>
    <n v="2516"/>
    <n v="3.7274074074074073"/>
    <n v="2516"/>
    <n v="3.7274074074074073"/>
    <s v="[South View Floors 25-29 ADA Suites Extra Windows Floor 28 North View Floors 20-29]"/>
    <s v="[view floor view.direction]"/>
  </r>
  <r>
    <x v="3"/>
    <s v="25 West Randolph Street"/>
    <x v="90"/>
    <s v="3112"/>
    <n v="31"/>
    <x v="0"/>
    <n v="1"/>
    <m/>
    <x v="74"/>
    <x v="351"/>
    <x v="236"/>
    <x v="0"/>
    <n v="129"/>
    <n v="2636"/>
    <n v="3.9051851851851853"/>
    <n v="2636"/>
    <n v="3.9051851851851853"/>
    <s v="[ADA Suites Extra Windows Floor 31 South View Floors 30-37 North View Floors 30-37]"/>
    <s v="[view floor view.direction]"/>
  </r>
  <r>
    <x v="3"/>
    <s v="25 West Randolph Street"/>
    <x v="90"/>
    <s v="2212"/>
    <n v="22"/>
    <x v="0"/>
    <n v="1"/>
    <m/>
    <x v="74"/>
    <x v="94"/>
    <x v="386"/>
    <x v="0"/>
    <n v="36"/>
    <n v="2662"/>
    <n v="3.9437037037037035"/>
    <n v="2662"/>
    <n v="3.9437037037037035"/>
    <s v="[Floor 22]"/>
    <s v="[floor]"/>
  </r>
  <r>
    <x v="3"/>
    <s v="25 West Randolph Street"/>
    <x v="90"/>
    <s v="1412"/>
    <n v="14"/>
    <x v="0"/>
    <n v="1"/>
    <m/>
    <x v="74"/>
    <x v="130"/>
    <x v="387"/>
    <x v="0"/>
    <m/>
    <n v="2250"/>
    <n v="3.3333333333333335"/>
    <n v="2250"/>
    <n v="3.3333333333333335"/>
    <s v="[]"/>
    <s v="[]"/>
  </r>
  <r>
    <x v="3"/>
    <s v="25 West Randolph Street"/>
    <x v="90"/>
    <s v="1212"/>
    <n v="12"/>
    <x v="0"/>
    <n v="1"/>
    <m/>
    <x v="74"/>
    <x v="130"/>
    <x v="315"/>
    <x v="0"/>
    <m/>
    <n v="2335"/>
    <n v="3.4592592592592593"/>
    <n v="2335"/>
    <n v="3.4592592592592593"/>
    <s v="[]"/>
    <s v="[]"/>
  </r>
  <r>
    <x v="3"/>
    <s v="25 West Randolph Street"/>
    <x v="90"/>
    <s v="2612"/>
    <n v="26"/>
    <x v="0"/>
    <n v="1"/>
    <m/>
    <x v="74"/>
    <x v="352"/>
    <x v="58"/>
    <x v="0"/>
    <n v="16"/>
    <n v="2411"/>
    <n v="3.5718518518518518"/>
    <n v="2411"/>
    <n v="3.5718518518518518"/>
    <s v="[]"/>
    <s v="[]"/>
  </r>
  <r>
    <x v="3"/>
    <s v="25 West Randolph Street"/>
    <x v="92"/>
    <s v="1921"/>
    <n v="19"/>
    <x v="0"/>
    <n v="1"/>
    <m/>
    <x v="18"/>
    <x v="322"/>
    <x v="147"/>
    <x v="0"/>
    <n v="17"/>
    <n v="2134"/>
    <n v="3.110787172011662"/>
    <n v="2134"/>
    <n v="3.110787172011662"/>
    <s v="[ADA Suites Floor 19 South West City View]"/>
    <s v="[floor view.direction view view.city]"/>
  </r>
  <r>
    <x v="3"/>
    <s v="25 West Randolph Street"/>
    <x v="92"/>
    <s v="2621"/>
    <n v="26"/>
    <x v="0"/>
    <n v="1"/>
    <m/>
    <x v="18"/>
    <x v="331"/>
    <x v="351"/>
    <x v="0"/>
    <n v="9"/>
    <n v="2146"/>
    <n v="3.1282798833819241"/>
    <n v="2146"/>
    <n v="3.1282798833819241"/>
    <s v="[Floor 26 North View Floors 25 &amp; 26 South View Floors 25 &amp; 26 South West City View North View Floors 20-29]"/>
    <s v="[view floor view.direction view.city]"/>
  </r>
  <r>
    <x v="3"/>
    <s v="25 West Randolph Street"/>
    <x v="92"/>
    <s v="2021"/>
    <n v="20"/>
    <x v="0"/>
    <n v="1"/>
    <m/>
    <x v="18"/>
    <x v="345"/>
    <x v="253"/>
    <x v="0"/>
    <n v="8"/>
    <n v="2181"/>
    <n v="3.1793002915451893"/>
    <n v="2181"/>
    <n v="3.1793002915451893"/>
    <s v="[South West City View Floor 20 North View Floors 20-29]"/>
    <s v="[view floor view.direction view.city]"/>
  </r>
  <r>
    <x v="3"/>
    <s v="25 West Randolph Street"/>
    <x v="92"/>
    <s v="1621"/>
    <n v="16"/>
    <x v="0"/>
    <n v="1"/>
    <m/>
    <x v="18"/>
    <x v="13"/>
    <x v="61"/>
    <x v="0"/>
    <n v="4"/>
    <n v="2195"/>
    <n v="3.1997084548104957"/>
    <n v="2195"/>
    <n v="3.1997084548104957"/>
    <s v="[ADA Suites Floor 16 South West City View]"/>
    <s v="[floor view.direction view view.city]"/>
  </r>
  <r>
    <x v="3"/>
    <s v="25 West Randolph Street"/>
    <x v="92"/>
    <s v="2521"/>
    <n v="25"/>
    <x v="0"/>
    <n v="1"/>
    <m/>
    <x v="18"/>
    <x v="234"/>
    <x v="388"/>
    <x v="0"/>
    <n v="16"/>
    <n v="2204"/>
    <n v="3.2128279883381925"/>
    <n v="2204"/>
    <n v="3.2128279883381925"/>
    <s v="[Floor 25 North View Floors 25 &amp; 26 South View Floors 25 &amp; 26 South West City View North View Floors 20-29]"/>
    <s v="[view floor view.direction view.city]"/>
  </r>
  <r>
    <x v="3"/>
    <s v="25 West Randolph Street"/>
    <x v="92"/>
    <s v="1521"/>
    <n v="15"/>
    <x v="0"/>
    <n v="1"/>
    <m/>
    <x v="18"/>
    <x v="11"/>
    <x v="323"/>
    <x v="0"/>
    <n v="59"/>
    <n v="2228"/>
    <n v="3.2478134110787171"/>
    <n v="2228"/>
    <n v="3.2478134110787171"/>
    <s v="[ADA Suites Floor 15 South West City View]"/>
    <s v="[floor view.direction view view.city]"/>
  </r>
  <r>
    <x v="3"/>
    <s v="25 West Randolph Street"/>
    <x v="92"/>
    <m/>
    <m/>
    <x v="0"/>
    <n v="1"/>
    <m/>
    <x v="18"/>
    <x v="297"/>
    <x v="389"/>
    <x v="0"/>
    <n v="2"/>
    <m/>
    <m/>
    <m/>
    <m/>
    <s v="[]"/>
    <s v="[]"/>
  </r>
  <r>
    <x v="3"/>
    <s v="25 West Randolph Street"/>
    <x v="85"/>
    <s v="1021"/>
    <n v="10"/>
    <x v="0"/>
    <n v="1"/>
    <m/>
    <x v="18"/>
    <x v="288"/>
    <x v="28"/>
    <x v="1"/>
    <m/>
    <n v="2301"/>
    <n v="3.3542274052478134"/>
    <n v="2301"/>
    <n v="3.3542274052478134"/>
    <s v="[ADA Suites Floor 10 South West City View]"/>
    <s v="[floor view.direction view view.city]"/>
  </r>
  <r>
    <x v="3"/>
    <s v="25 West Randolph Street"/>
    <x v="85"/>
    <s v="3421"/>
    <n v="34"/>
    <x v="0"/>
    <n v="1"/>
    <m/>
    <x v="18"/>
    <x v="119"/>
    <x v="28"/>
    <x v="1"/>
    <m/>
    <n v="2307"/>
    <n v="3.3629737609329444"/>
    <n v="2307"/>
    <n v="3.3629737609329444"/>
    <s v="[ADA Suites Extra Windows Floor 34 South View Floors 30-37 South West City View]"/>
    <s v="[view floor view.direction view.city]"/>
  </r>
  <r>
    <x v="3"/>
    <s v="25 West Randolph Street"/>
    <x v="92"/>
    <s v="3721"/>
    <m/>
    <x v="0"/>
    <n v="1"/>
    <m/>
    <x v="18"/>
    <x v="353"/>
    <x v="390"/>
    <x v="0"/>
    <n v="4"/>
    <n v="2131"/>
    <n v="3.1064139941690962"/>
    <n v="2131"/>
    <n v="3.1064139941690962"/>
    <s v="[]"/>
    <s v="[]"/>
  </r>
  <r>
    <x v="3"/>
    <s v="25 West Randolph Street"/>
    <x v="92"/>
    <s v="3321"/>
    <n v="33"/>
    <x v="0"/>
    <n v="1"/>
    <m/>
    <x v="18"/>
    <x v="130"/>
    <x v="391"/>
    <x v="0"/>
    <m/>
    <n v="2210"/>
    <n v="3.2215743440233235"/>
    <n v="2210"/>
    <n v="3.2215743440233235"/>
    <s v="[]"/>
    <s v="[]"/>
  </r>
  <r>
    <x v="3"/>
    <s v="25 West Randolph Street"/>
    <x v="93"/>
    <s v="1719"/>
    <n v="17"/>
    <x v="0"/>
    <n v="1"/>
    <m/>
    <x v="75"/>
    <x v="329"/>
    <x v="392"/>
    <x v="0"/>
    <n v="189"/>
    <n v="1993"/>
    <n v="2.8309659090909092"/>
    <n v="1899"/>
    <n v="2.6974431818181817"/>
    <s v="[Extra Windows Floor 17 Vaulted Ceilings]"/>
    <s v="[floor]"/>
  </r>
  <r>
    <x v="3"/>
    <s v="25 West Randolph Street"/>
    <x v="93"/>
    <s v="619"/>
    <n v="6"/>
    <x v="0"/>
    <n v="1"/>
    <m/>
    <x v="75"/>
    <x v="214"/>
    <x v="176"/>
    <x v="0"/>
    <n v="131"/>
    <n v="2072"/>
    <n v="2.9431818181818183"/>
    <n v="2072"/>
    <n v="2.9431818181818183"/>
    <s v="[Extra Windows Floor 6 Vaulted Ceilings]"/>
    <s v="[floor]"/>
  </r>
  <r>
    <x v="3"/>
    <s v="25 West Randolph Street"/>
    <x v="93"/>
    <s v="1219"/>
    <n v="12"/>
    <x v="0"/>
    <n v="1"/>
    <m/>
    <x v="75"/>
    <x v="200"/>
    <x v="393"/>
    <x v="0"/>
    <n v="15"/>
    <n v="2077"/>
    <n v="2.9502840909090908"/>
    <n v="2077"/>
    <n v="2.9502840909090908"/>
    <s v="[Extra Windows Floor 12]"/>
    <s v="[floor]"/>
  </r>
  <r>
    <x v="3"/>
    <s v="25 West Randolph Street"/>
    <x v="93"/>
    <s v="919"/>
    <n v="9"/>
    <x v="0"/>
    <n v="1"/>
    <m/>
    <x v="75"/>
    <x v="39"/>
    <x v="82"/>
    <x v="0"/>
    <n v="4"/>
    <n v="2118"/>
    <n v="3.0085227272727271"/>
    <n v="2118"/>
    <n v="3.0085227272727271"/>
    <s v="[Extra Windows Floor 9]"/>
    <s v="[floor]"/>
  </r>
  <r>
    <x v="3"/>
    <s v="25 West Randolph Street"/>
    <x v="93"/>
    <s v="2819"/>
    <n v="28"/>
    <x v="0"/>
    <n v="1"/>
    <m/>
    <x v="75"/>
    <x v="254"/>
    <x v="362"/>
    <x v="0"/>
    <n v="91"/>
    <n v="2341"/>
    <n v="3.3252840909090908"/>
    <n v="2341"/>
    <n v="3.3252840909090908"/>
    <s v="[South View Floors 25-29 ADA Suites Extra Windows Floor 28 North View Floors 20-29]"/>
    <s v="[view floor view.direction]"/>
  </r>
  <r>
    <x v="3"/>
    <s v="25 West Randolph Street"/>
    <x v="93"/>
    <s v="2919"/>
    <n v="29"/>
    <x v="0"/>
    <n v="1"/>
    <m/>
    <x v="75"/>
    <x v="284"/>
    <x v="238"/>
    <x v="0"/>
    <n v="77"/>
    <n v="2353"/>
    <n v="3.3423295454545454"/>
    <n v="2353"/>
    <n v="3.3423295454545454"/>
    <s v="[South View Floors 25-29 ADA Suites Extra Windows Floor 29 North View Floors 20-29]"/>
    <s v="[view floor view.direction]"/>
  </r>
  <r>
    <x v="3"/>
    <s v="25 West Randolph Street"/>
    <x v="94"/>
    <s v="3619"/>
    <m/>
    <x v="0"/>
    <n v="1"/>
    <m/>
    <x v="75"/>
    <x v="332"/>
    <x v="218"/>
    <x v="0"/>
    <n v="22"/>
    <n v="2393"/>
    <n v="3.3991477272727271"/>
    <n v="2393"/>
    <n v="3.3991477272727271"/>
    <s v="[ADA Suites Extra Windows Floor 36 South View Floors 30-37 North View Floors 30-37]"/>
    <s v="[view floor view.direction]"/>
  </r>
  <r>
    <x v="3"/>
    <s v="25 West Randolph Street"/>
    <x v="93"/>
    <s v="2319"/>
    <n v="23"/>
    <x v="0"/>
    <n v="1"/>
    <m/>
    <x v="75"/>
    <x v="354"/>
    <x v="394"/>
    <x v="0"/>
    <n v="5"/>
    <n v="2120"/>
    <n v="3.0113636363636362"/>
    <n v="2120"/>
    <n v="3.0113636363636362"/>
    <s v="[]"/>
    <s v="[]"/>
  </r>
  <r>
    <x v="3"/>
    <s v="25 West Randolph Street"/>
    <x v="93"/>
    <s v="719"/>
    <n v="7"/>
    <x v="0"/>
    <n v="1"/>
    <m/>
    <x v="75"/>
    <x v="130"/>
    <x v="368"/>
    <x v="0"/>
    <m/>
    <n v="2278"/>
    <n v="3.2357954545454546"/>
    <n v="2278"/>
    <n v="3.2357954545454546"/>
    <s v="[]"/>
    <s v="[]"/>
  </r>
  <r>
    <x v="3"/>
    <s v="25 West Randolph Street"/>
    <x v="93"/>
    <s v="2419"/>
    <n v="24"/>
    <x v="0"/>
    <n v="1"/>
    <m/>
    <x v="75"/>
    <x v="130"/>
    <x v="206"/>
    <x v="0"/>
    <m/>
    <n v="2304"/>
    <n v="3.2727272727272729"/>
    <n v="2304"/>
    <n v="3.2727272727272729"/>
    <s v="[]"/>
    <s v="[]"/>
  </r>
  <r>
    <x v="3"/>
    <s v="25 West Randolph Street"/>
    <x v="93"/>
    <s v="3119"/>
    <n v="31"/>
    <x v="0"/>
    <n v="1"/>
    <m/>
    <x v="75"/>
    <x v="130"/>
    <x v="232"/>
    <x v="0"/>
    <m/>
    <n v="2424"/>
    <n v="3.4431818181818183"/>
    <n v="2424"/>
    <n v="3.4431818181818183"/>
    <s v="[]"/>
    <s v="[]"/>
  </r>
  <r>
    <x v="3"/>
    <s v="25 West Randolph Street"/>
    <x v="95"/>
    <s v="704"/>
    <n v="7"/>
    <x v="0"/>
    <n v="1"/>
    <m/>
    <x v="76"/>
    <x v="203"/>
    <x v="280"/>
    <x v="0"/>
    <n v="29"/>
    <n v="2493"/>
    <n v="3.5261669024045261"/>
    <n v="2493"/>
    <n v="3.5261669024045261"/>
    <s v="[Extra Windows Floor 7]"/>
    <s v="[floor]"/>
  </r>
  <r>
    <x v="3"/>
    <s v="25 West Randolph Street"/>
    <x v="96"/>
    <s v="1116"/>
    <n v="11"/>
    <x v="0"/>
    <n v="1"/>
    <m/>
    <x v="77"/>
    <x v="323"/>
    <x v="395"/>
    <x v="0"/>
    <n v="107"/>
    <n v="2220"/>
    <n v="3.1179775280898876"/>
    <n v="2220"/>
    <n v="3.1179775280898876"/>
    <s v="[Extra Windows Floor 11]"/>
    <s v="[floor corner_unit]"/>
  </r>
  <r>
    <x v="3"/>
    <s v="25 West Randolph Street"/>
    <x v="96"/>
    <s v="816"/>
    <n v="8"/>
    <x v="0"/>
    <n v="1"/>
    <m/>
    <x v="77"/>
    <x v="39"/>
    <x v="119"/>
    <x v="0"/>
    <n v="7"/>
    <n v="2252"/>
    <n v="3.1629213483146068"/>
    <n v="2252"/>
    <n v="3.1629213483146068"/>
    <s v="[Extra Windows Floor 8]"/>
    <s v="[floor corner_unit]"/>
  </r>
  <r>
    <x v="3"/>
    <s v="25 West Randolph Street"/>
    <x v="96"/>
    <s v="1216"/>
    <n v="12"/>
    <x v="0"/>
    <n v="1"/>
    <m/>
    <x v="77"/>
    <x v="256"/>
    <x v="359"/>
    <x v="0"/>
    <n v="16"/>
    <n v="2252"/>
    <n v="3.1629213483146068"/>
    <n v="2252"/>
    <n v="3.1629213483146068"/>
    <s v="[Extra Windows Floor 12]"/>
    <s v="[floor corner_unit]"/>
  </r>
  <r>
    <x v="3"/>
    <s v="25 West Randolph Street"/>
    <x v="96"/>
    <s v="3116"/>
    <n v="31"/>
    <x v="0"/>
    <n v="1"/>
    <m/>
    <x v="77"/>
    <x v="284"/>
    <x v="23"/>
    <x v="0"/>
    <n v="172"/>
    <n v="2256"/>
    <n v="3.1685393258426968"/>
    <n v="2256"/>
    <n v="3.1685393258426968"/>
    <s v="[ADA Suites Extra Windows Floor 31 North View Floors 30-37 South View Floors 30-37]"/>
    <s v="[view floor view.direction corner_unit]"/>
  </r>
  <r>
    <x v="3"/>
    <s v="25 West Randolph Street"/>
    <x v="96"/>
    <s v="3216"/>
    <n v="32"/>
    <x v="0"/>
    <n v="1"/>
    <m/>
    <x v="77"/>
    <x v="70"/>
    <x v="68"/>
    <x v="0"/>
    <n v="104"/>
    <n v="2259"/>
    <n v="3.172752808988764"/>
    <n v="2259"/>
    <n v="3.172752808988764"/>
    <s v="[South View Floors 30-37 ADA Suites Extra Windows Floor 32 North View Floors 30-37]"/>
    <s v="[view floor view.direction corner_unit]"/>
  </r>
  <r>
    <x v="3"/>
    <s v="25 West Randolph Street"/>
    <x v="97"/>
    <s v="1016"/>
    <n v="10"/>
    <x v="0"/>
    <n v="1"/>
    <m/>
    <x v="77"/>
    <x v="224"/>
    <x v="16"/>
    <x v="0"/>
    <n v="11"/>
    <n v="2311"/>
    <n v="3.2457865168539324"/>
    <n v="2311"/>
    <n v="3.2457865168539324"/>
    <s v="[Extra Windows Floor 10]"/>
    <s v="[floor corner_unit]"/>
  </r>
  <r>
    <x v="3"/>
    <s v="25 West Randolph Street"/>
    <x v="96"/>
    <s v="3516"/>
    <n v="35"/>
    <x v="0"/>
    <n v="1"/>
    <m/>
    <x v="77"/>
    <x v="355"/>
    <x v="135"/>
    <x v="0"/>
    <n v="59"/>
    <n v="2314"/>
    <n v="3.25"/>
    <n v="2220"/>
    <n v="3.1179775280898876"/>
    <s v="[ADA Suites Extra Windows Floor 35 North View Floors 30-37 South View Floors 30-37]"/>
    <s v="[view floor view.direction corner_unit]"/>
  </r>
  <r>
    <x v="3"/>
    <s v="25 West Randolph Street"/>
    <x v="97"/>
    <s v="2416"/>
    <n v="24"/>
    <x v="0"/>
    <n v="1"/>
    <m/>
    <x v="77"/>
    <x v="340"/>
    <x v="396"/>
    <x v="0"/>
    <n v="58"/>
    <n v="2346"/>
    <n v="3.2949438202247192"/>
    <n v="2346"/>
    <n v="3.2949438202247192"/>
    <s v="[North View Floors 20-29 Extra Windows Floor 24]"/>
    <s v="[view.direction floor view corner_unit]"/>
  </r>
  <r>
    <x v="3"/>
    <s v="25 West Randolph Street"/>
    <x v="96"/>
    <s v="916"/>
    <n v="9"/>
    <x v="0"/>
    <n v="1"/>
    <m/>
    <x v="77"/>
    <x v="84"/>
    <x v="92"/>
    <x v="0"/>
    <n v="23"/>
    <n v="2362"/>
    <n v="3.3174157303370788"/>
    <n v="2362"/>
    <n v="3.3174157303370788"/>
    <s v="[Extra Windows Floor 9]"/>
    <s v="[floor corner_unit]"/>
  </r>
  <r>
    <x v="3"/>
    <s v="25 West Randolph Street"/>
    <x v="96"/>
    <s v="1616"/>
    <n v="16"/>
    <x v="0"/>
    <n v="1"/>
    <m/>
    <x v="77"/>
    <x v="323"/>
    <x v="236"/>
    <x v="0"/>
    <n v="22"/>
    <n v="2407"/>
    <n v="3.38061797752809"/>
    <n v="2407"/>
    <n v="3.38061797752809"/>
    <s v="[Extra Windows Floor 16]"/>
    <s v="[floor corner_unit]"/>
  </r>
  <r>
    <x v="3"/>
    <s v="25 West Randolph Street"/>
    <x v="96"/>
    <s v="2816"/>
    <n v="28"/>
    <x v="0"/>
    <n v="1"/>
    <m/>
    <x v="77"/>
    <x v="184"/>
    <x v="373"/>
    <x v="0"/>
    <n v="62"/>
    <n v="2439"/>
    <n v="3.4255617977528088"/>
    <n v="2439"/>
    <n v="3.4255617977528088"/>
    <s v="[South View Floors 25-29 ADA Suites Extra Windows Floor 28 North View Floors 20-29]"/>
    <s v="[view floor view.direction corner_unit]"/>
  </r>
  <r>
    <x v="3"/>
    <s v="25 West Randolph Street"/>
    <x v="96"/>
    <s v="1716"/>
    <n v="17"/>
    <x v="0"/>
    <n v="1"/>
    <m/>
    <x v="77"/>
    <x v="292"/>
    <x v="362"/>
    <x v="0"/>
    <n v="125"/>
    <n v="2439"/>
    <n v="3.4255617977528088"/>
    <n v="2439"/>
    <n v="3.4255617977528088"/>
    <s v="[Extra Windows Floor 17 Vaulted Ceilings]"/>
    <s v="[floor corner_unit]"/>
  </r>
  <r>
    <x v="3"/>
    <s v="25 West Randolph Street"/>
    <x v="97"/>
    <s v="2116"/>
    <n v="21"/>
    <x v="0"/>
    <n v="1"/>
    <m/>
    <x v="77"/>
    <x v="356"/>
    <x v="28"/>
    <x v="1"/>
    <m/>
    <n v="2461"/>
    <n v="3.4564606741573032"/>
    <n v="2461"/>
    <n v="3.4564606741573032"/>
    <s v="[Extra Windows Floor 21]"/>
    <s v="[floor corner_unit]"/>
  </r>
  <r>
    <x v="3"/>
    <s v="25 West Randolph Street"/>
    <x v="96"/>
    <s v="3316"/>
    <n v="33"/>
    <x v="0"/>
    <n v="1"/>
    <m/>
    <x v="77"/>
    <x v="343"/>
    <x v="397"/>
    <x v="0"/>
    <n v="125"/>
    <n v="2497"/>
    <n v="3.5070224719101124"/>
    <n v="2497"/>
    <n v="3.5070224719101124"/>
    <s v="[ADA Suites Extra Windows Floor 33 North View Floors 30-37 South View Floors 30-37]"/>
    <s v="[view floor view.direction corner_unit]"/>
  </r>
  <r>
    <x v="3"/>
    <s v="25 West Randolph Street"/>
    <x v="96"/>
    <s v="2916"/>
    <n v="29"/>
    <x v="0"/>
    <n v="1"/>
    <m/>
    <x v="77"/>
    <x v="243"/>
    <x v="388"/>
    <x v="0"/>
    <n v="21"/>
    <n v="2554"/>
    <n v="3.5870786516853932"/>
    <n v="2554"/>
    <n v="3.5870786516853932"/>
    <s v="[South View Floors 25-29 ADA Suites Extra Windows Floor 29 North View Floors 20-29]"/>
    <s v="[view floor view.direction corner_unit]"/>
  </r>
  <r>
    <x v="3"/>
    <s v="25 West Randolph Street"/>
    <x v="96"/>
    <s v="3616"/>
    <m/>
    <x v="0"/>
    <n v="1"/>
    <m/>
    <x v="77"/>
    <x v="183"/>
    <x v="349"/>
    <x v="0"/>
    <n v="29"/>
    <n v="2582"/>
    <n v="3.6264044943820224"/>
    <n v="2582"/>
    <n v="3.6264044943820224"/>
    <s v="[Floor 36 South View Floors 30-37 North View Floors 30-37 Extra Windows]"/>
    <s v="[view floor view.direction corner_unit]"/>
  </r>
  <r>
    <x v="3"/>
    <s v="25 West Randolph Street"/>
    <x v="96"/>
    <s v="616"/>
    <n v="6"/>
    <x v="0"/>
    <n v="1"/>
    <m/>
    <x v="77"/>
    <x v="357"/>
    <x v="398"/>
    <x v="0"/>
    <n v="52"/>
    <n v="2639"/>
    <n v="3.7064606741573032"/>
    <n v="2639"/>
    <n v="3.7064606741573032"/>
    <s v="[Extra Windows Floor 6 Vaulted Ceilings]"/>
    <s v="[floor corner_unit]"/>
  </r>
  <r>
    <x v="3"/>
    <s v="25 West Randolph Street"/>
    <x v="97"/>
    <s v="3716"/>
    <m/>
    <x v="0"/>
    <n v="1"/>
    <m/>
    <x v="77"/>
    <x v="103"/>
    <x v="76"/>
    <x v="0"/>
    <n v="125"/>
    <n v="2655"/>
    <n v="3.7289325842696628"/>
    <n v="2655"/>
    <n v="3.7289325842696628"/>
    <s v="[Extra Windows Floor 37 South View Floors 30-37 Vaulted Ceilings North View Floors 30-37]"/>
    <s v="[view floor view.direction corner_unit]"/>
  </r>
  <r>
    <x v="3"/>
    <s v="25 West Randolph Street"/>
    <x v="96"/>
    <s v="2616"/>
    <n v="26"/>
    <x v="0"/>
    <n v="1"/>
    <m/>
    <x v="77"/>
    <x v="129"/>
    <x v="267"/>
    <x v="0"/>
    <n v="64"/>
    <n v="2427"/>
    <n v="3.4087078651685392"/>
    <n v="2427"/>
    <n v="3.4087078651685392"/>
    <s v="[]"/>
    <s v="[]"/>
  </r>
  <r>
    <x v="3"/>
    <s v="25 West Randolph Street"/>
    <x v="96"/>
    <s v="2716"/>
    <n v="27"/>
    <x v="0"/>
    <n v="1"/>
    <m/>
    <x v="77"/>
    <x v="56"/>
    <x v="399"/>
    <x v="0"/>
    <n v="69"/>
    <n v="2464"/>
    <n v="3.4606741573033708"/>
    <n v="2464"/>
    <n v="3.4606741573033708"/>
    <s v="[]"/>
    <s v="[]"/>
  </r>
  <r>
    <x v="3"/>
    <s v="25 West Randolph Street"/>
    <x v="96"/>
    <s v="3416"/>
    <n v="34"/>
    <x v="0"/>
    <n v="1"/>
    <m/>
    <x v="77"/>
    <x v="296"/>
    <x v="267"/>
    <x v="0"/>
    <n v="44"/>
    <n v="2503"/>
    <n v="3.5154494382022472"/>
    <n v="2503"/>
    <n v="3.5154494382022472"/>
    <s v="[]"/>
    <s v="[]"/>
  </r>
  <r>
    <x v="3"/>
    <s v="25 West Randolph Street"/>
    <x v="98"/>
    <s v="1110"/>
    <n v="11"/>
    <x v="0"/>
    <n v="1"/>
    <m/>
    <x v="78"/>
    <x v="184"/>
    <x v="229"/>
    <x v="0"/>
    <n v="123"/>
    <n v="2081"/>
    <n v="2.9104895104895103"/>
    <n v="2081"/>
    <n v="2.9104895104895103"/>
    <s v="[ADA Suites Corner Unit Floor 11 Structure Column (Living Room)]"/>
    <s v="[corner_unit floor]"/>
  </r>
  <r>
    <x v="3"/>
    <s v="25 West Randolph Street"/>
    <x v="98"/>
    <s v="2410"/>
    <n v="24"/>
    <x v="0"/>
    <n v="1"/>
    <m/>
    <x v="78"/>
    <x v="358"/>
    <x v="381"/>
    <x v="0"/>
    <n v="117"/>
    <n v="2102"/>
    <n v="2.9398601398601398"/>
    <n v="2008"/>
    <n v="2.8083916083916085"/>
    <s v="[Corner Unit Floor 24 Structure Column (Living Room) North View Floors 20-29]"/>
    <s v="[corner_unit floor view.direction view]"/>
  </r>
  <r>
    <x v="3"/>
    <s v="25 West Randolph Street"/>
    <x v="98"/>
    <s v="1510"/>
    <n v="15"/>
    <x v="0"/>
    <n v="1"/>
    <m/>
    <x v="78"/>
    <x v="332"/>
    <x v="268"/>
    <x v="0"/>
    <n v="3"/>
    <n v="2152"/>
    <n v="3.0097902097902098"/>
    <n v="2152"/>
    <n v="3.0097902097902098"/>
    <s v="[Corner Unit Floor 15 Structure Column (Living Room)]"/>
    <s v="[corner_unit floor]"/>
  </r>
  <r>
    <x v="3"/>
    <s v="25 West Randolph Street"/>
    <x v="98"/>
    <s v="910"/>
    <n v="9"/>
    <x v="0"/>
    <n v="1"/>
    <m/>
    <x v="78"/>
    <x v="70"/>
    <x v="27"/>
    <x v="0"/>
    <n v="122"/>
    <n v="2161"/>
    <n v="3.0223776223776224"/>
    <n v="2026"/>
    <n v="2.8335664335664337"/>
    <s v="[Corner Unit Floor 9 Structure Column (Living Room)]"/>
    <s v="[corner_unit floor]"/>
  </r>
  <r>
    <x v="3"/>
    <s v="25 West Randolph Street"/>
    <x v="98"/>
    <s v="2510"/>
    <n v="25"/>
    <x v="0"/>
    <n v="1"/>
    <m/>
    <x v="78"/>
    <x v="184"/>
    <x v="217"/>
    <x v="0"/>
    <n v="126"/>
    <n v="2193"/>
    <n v="3.0671328671328673"/>
    <n v="2193"/>
    <n v="3.0671328671328673"/>
    <s v="[Corner Unit Floor 25 South View Floors 25-29 Structure Column (Living Room) North View Floors 20-29 North View Floors 25 &amp; 26 South View Floors 25 &amp; 26]"/>
    <s v="[corner_unit view floor view.direction]"/>
  </r>
  <r>
    <x v="3"/>
    <s v="25 West Randolph Street"/>
    <x v="98"/>
    <s v="610"/>
    <n v="6"/>
    <x v="0"/>
    <n v="1"/>
    <m/>
    <x v="78"/>
    <x v="359"/>
    <x v="44"/>
    <x v="0"/>
    <n v="68"/>
    <n v="2238"/>
    <n v="3.1300699300699302"/>
    <n v="2238"/>
    <n v="3.1300699300699302"/>
    <s v="[ADA Suites Corner Unit Floor 6 Structure Column (Living Room) Vaulted Ceilings]"/>
    <s v="[corner_unit floor]"/>
  </r>
  <r>
    <x v="3"/>
    <s v="25 West Randolph Street"/>
    <x v="98"/>
    <s v="2010"/>
    <n v="20"/>
    <x v="0"/>
    <n v="1"/>
    <m/>
    <x v="78"/>
    <x v="360"/>
    <x v="279"/>
    <x v="0"/>
    <n v="102"/>
    <n v="2258"/>
    <n v="3.1580419580419581"/>
    <n v="2258"/>
    <n v="3.1580419580419581"/>
    <s v="[Corner Unit Floor 20 Structure Column (Living Room)]"/>
    <s v="[corner_unit floor]"/>
  </r>
  <r>
    <x v="3"/>
    <s v="25 West Randolph Street"/>
    <x v="98"/>
    <s v="3210"/>
    <n v="32"/>
    <x v="0"/>
    <n v="1"/>
    <m/>
    <x v="78"/>
    <x v="17"/>
    <x v="138"/>
    <x v="0"/>
    <n v="171"/>
    <n v="2267"/>
    <n v="3.1706293706293707"/>
    <n v="2173"/>
    <n v="3.0391608391608393"/>
    <s v="[ADA Suites Corner Unit Extra Windows Floor 32 South View Floors 30-37 Structure Column (Living Room) North View Floors 30-37]"/>
    <s v="[corner_unit view floor view.direction]"/>
  </r>
  <r>
    <x v="3"/>
    <s v="25 West Randolph Street"/>
    <x v="98"/>
    <s v="3710"/>
    <n v="3"/>
    <x v="0"/>
    <n v="1"/>
    <m/>
    <x v="78"/>
    <x v="13"/>
    <x v="400"/>
    <x v="0"/>
    <n v="249"/>
    <n v="2323"/>
    <n v="3.2489510489510489"/>
    <n v="2323"/>
    <n v="3.2489510489510489"/>
    <s v="[Corner Unit Extra Windows Floor 37 North View Floors 30-37 South View Floors 30-37 Structure Column (Living Room) Vaulted Ceilings]"/>
    <s v="[corner_unit view floor view.direction]"/>
  </r>
  <r>
    <x v="3"/>
    <s v="25 West Randolph Street"/>
    <x v="98"/>
    <s v="810"/>
    <n v="8"/>
    <x v="0"/>
    <n v="1"/>
    <m/>
    <x v="78"/>
    <x v="207"/>
    <x v="50"/>
    <x v="0"/>
    <n v="8"/>
    <n v="2344"/>
    <n v="3.2783216783216784"/>
    <n v="2344"/>
    <n v="3.2783216783216784"/>
    <s v="[ADA Suites Corner Unit Floor 8 Structure Column (Living Room)]"/>
    <s v="[corner_unit floor]"/>
  </r>
  <r>
    <x v="3"/>
    <s v="25 West Randolph Street"/>
    <x v="99"/>
    <s v="3010"/>
    <n v="30"/>
    <x v="0"/>
    <n v="1"/>
    <m/>
    <x v="78"/>
    <x v="21"/>
    <x v="28"/>
    <x v="1"/>
    <m/>
    <n v="2369"/>
    <n v="3.3132867132867134"/>
    <n v="2369"/>
    <n v="3.3132867132867134"/>
    <s v="[Structure Column (Living Room) ADA Suites Corner Unit Extra Windows Floor 30 South View Floors 30-37 North View Floors 30-37]"/>
    <s v="[corner_unit view floor view.direction]"/>
  </r>
  <r>
    <x v="3"/>
    <s v="25 West Randolph Street"/>
    <x v="98"/>
    <s v="2210"/>
    <n v="22"/>
    <x v="0"/>
    <n v="1"/>
    <m/>
    <x v="78"/>
    <x v="308"/>
    <x v="383"/>
    <x v="0"/>
    <n v="92"/>
    <n v="2371"/>
    <n v="3.3160839160839162"/>
    <n v="2371"/>
    <n v="3.3160839160839162"/>
    <s v="[Corner Unit Floor 22 Structure Column (Living Room)]"/>
    <s v="[corner_unit floor]"/>
  </r>
  <r>
    <x v="3"/>
    <s v="25 West Randolph Street"/>
    <x v="98"/>
    <s v="1310"/>
    <n v="13"/>
    <x v="0"/>
    <n v="1"/>
    <m/>
    <x v="78"/>
    <x v="64"/>
    <x v="347"/>
    <x v="0"/>
    <n v="61"/>
    <n v="2380"/>
    <n v="3.3286713286713288"/>
    <n v="2380"/>
    <n v="3.3286713286713288"/>
    <s v="[ADA Suites Corner Unit Floor 13 Structure Column (Living Room)]"/>
    <s v="[corner_unit floor]"/>
  </r>
  <r>
    <x v="3"/>
    <s v="25 West Randolph Street"/>
    <x v="98"/>
    <s v="3410"/>
    <n v="34"/>
    <x v="0"/>
    <n v="1"/>
    <m/>
    <x v="78"/>
    <x v="243"/>
    <x v="256"/>
    <x v="0"/>
    <n v="77"/>
    <n v="2383"/>
    <n v="3.3328671328671327"/>
    <n v="2383"/>
    <n v="3.3328671328671327"/>
    <s v="[Structure Column (Living Room) Floor 34 South View Floors 30-37 ADA Suites Corner Unit Extra Windows North View Floors 30-37]"/>
    <s v="[corner_unit view floor view.direction]"/>
  </r>
  <r>
    <x v="3"/>
    <s v="25 West Randolph Street"/>
    <x v="98"/>
    <s v="3310"/>
    <n v="33"/>
    <x v="0"/>
    <n v="1"/>
    <m/>
    <x v="78"/>
    <x v="270"/>
    <x v="401"/>
    <x v="0"/>
    <n v="68"/>
    <n v="2430"/>
    <n v="3.3986013986013988"/>
    <n v="2430"/>
    <n v="3.3986013986013988"/>
    <s v="[ADA Suites Corner Unit Extra Windows Floor 33 South View Floors 30-37 Structure Column (Living Room) North View Floors 30-37]"/>
    <s v="[corner_unit view floor view.direction]"/>
  </r>
  <r>
    <x v="3"/>
    <s v="25 West Randolph Street"/>
    <x v="98"/>
    <s v="1610"/>
    <n v="16"/>
    <x v="0"/>
    <n v="1"/>
    <m/>
    <x v="78"/>
    <x v="361"/>
    <x v="279"/>
    <x v="0"/>
    <n v="85"/>
    <n v="2488"/>
    <n v="3.4797202797202798"/>
    <n v="2488"/>
    <n v="3.4797202797202798"/>
    <s v="[Structure Column (Living Room) ADA Suites Corner Unit Floor 16]"/>
    <s v="[corner_unit floor]"/>
  </r>
  <r>
    <x v="3"/>
    <s v="25 West Randolph Street"/>
    <x v="98"/>
    <s v="3110"/>
    <n v="31"/>
    <x v="0"/>
    <n v="1"/>
    <m/>
    <x v="78"/>
    <x v="302"/>
    <x v="402"/>
    <x v="0"/>
    <n v="125"/>
    <n v="2488"/>
    <n v="3.4797202797202798"/>
    <n v="2488"/>
    <n v="3.4797202797202798"/>
    <s v="[ADA Suites Corner Unit Extra Windows Floor 31 South View Floors 30-37 Structure Column (Living Room) North View Floors 30-37]"/>
    <s v="[corner_unit view floor view.direction]"/>
  </r>
  <r>
    <x v="3"/>
    <s v="25 West Randolph Street"/>
    <x v="98"/>
    <s v="3610"/>
    <m/>
    <x v="0"/>
    <n v="1"/>
    <m/>
    <x v="78"/>
    <x v="270"/>
    <x v="383"/>
    <x v="0"/>
    <n v="50"/>
    <n v="2499"/>
    <n v="3.4951048951048951"/>
    <n v="2499"/>
    <n v="3.4951048951048951"/>
    <s v="[ADA Suites Corner Unit Extra Windows Floor 36 South View Floors 30-37 Structure Column (Living Room) North View Floors 30-37]"/>
    <s v="[corner_unit view floor view.direction]"/>
  </r>
  <r>
    <x v="3"/>
    <s v="25 West Randolph Street"/>
    <x v="98"/>
    <s v="1710"/>
    <n v="17"/>
    <x v="0"/>
    <n v="1"/>
    <m/>
    <x v="78"/>
    <x v="362"/>
    <x v="245"/>
    <x v="0"/>
    <n v="143"/>
    <n v="2565"/>
    <n v="3.5874125874125875"/>
    <n v="2565"/>
    <n v="3.5874125874125875"/>
    <s v="[Structure Column (Living Room) Vaulted Ceilings Corner Unit Floor 17]"/>
    <s v="[corner_unit floor]"/>
  </r>
  <r>
    <x v="3"/>
    <s v="25 West Randolph Street"/>
    <x v="98"/>
    <s v="2110"/>
    <n v="21"/>
    <x v="0"/>
    <n v="1"/>
    <m/>
    <x v="78"/>
    <x v="130"/>
    <x v="296"/>
    <x v="0"/>
    <m/>
    <n v="2034"/>
    <n v="2.8447552447552447"/>
    <n v="2034"/>
    <n v="2.8447552447552447"/>
    <s v="[]"/>
    <s v="[]"/>
  </r>
  <r>
    <x v="3"/>
    <s v="25 West Randolph Street"/>
    <x v="98"/>
    <s v="1910"/>
    <n v="19"/>
    <x v="0"/>
    <n v="1"/>
    <m/>
    <x v="78"/>
    <x v="130"/>
    <x v="296"/>
    <x v="0"/>
    <m/>
    <n v="2060"/>
    <n v="2.8811188811188813"/>
    <n v="2060"/>
    <n v="2.8811188811188813"/>
    <s v="[]"/>
    <s v="[]"/>
  </r>
  <r>
    <x v="3"/>
    <s v="25 West Randolph Street"/>
    <x v="98"/>
    <s v="1210"/>
    <n v="12"/>
    <x v="0"/>
    <n v="1"/>
    <m/>
    <x v="78"/>
    <x v="130"/>
    <x v="234"/>
    <x v="0"/>
    <m/>
    <n v="2480"/>
    <n v="3.4685314685314683"/>
    <n v="2480"/>
    <n v="3.4685314685314683"/>
    <s v="[]"/>
    <s v="[]"/>
  </r>
  <r>
    <x v="3"/>
    <s v="25 West Randolph Street"/>
    <x v="98"/>
    <s v="2910"/>
    <n v="29"/>
    <x v="0"/>
    <n v="1"/>
    <m/>
    <x v="78"/>
    <x v="141"/>
    <x v="156"/>
    <x v="0"/>
    <n v="4"/>
    <n v="2539"/>
    <n v="3.5510489510489509"/>
    <n v="2539"/>
    <n v="3.5510489510489509"/>
    <s v="[]"/>
    <s v="[]"/>
  </r>
  <r>
    <x v="3"/>
    <s v="25 West Randolph Street"/>
    <x v="100"/>
    <s v="1019"/>
    <n v="10"/>
    <x v="0"/>
    <n v="1"/>
    <m/>
    <x v="79"/>
    <x v="174"/>
    <x v="403"/>
    <x v="0"/>
    <n v="100"/>
    <n v="2110"/>
    <n v="2.8983516483516483"/>
    <n v="2016"/>
    <n v="2.7692307692307692"/>
    <s v="[Extra Windows Floor 10]"/>
    <s v="[floor]"/>
  </r>
  <r>
    <x v="3"/>
    <s v="25 West Randolph Street"/>
    <x v="94"/>
    <s v="1119"/>
    <n v="11"/>
    <x v="0"/>
    <n v="1"/>
    <m/>
    <x v="79"/>
    <x v="63"/>
    <x v="255"/>
    <x v="0"/>
    <n v="80"/>
    <n v="2159"/>
    <n v="2.9656593406593408"/>
    <n v="2159"/>
    <n v="2.9656593406593408"/>
    <s v="[Extra Windows Floor 11]"/>
    <s v="[floor]"/>
  </r>
  <r>
    <x v="3"/>
    <s v="25 West Randolph Street"/>
    <x v="100"/>
    <s v="2019"/>
    <n v="20"/>
    <x v="0"/>
    <n v="1"/>
    <m/>
    <x v="79"/>
    <x v="284"/>
    <x v="195"/>
    <x v="0"/>
    <n v="101"/>
    <n v="2208"/>
    <n v="3.0329670329670328"/>
    <n v="2208"/>
    <n v="3.0329670329670328"/>
    <s v="[Extra Windows Floor 20 North View Floors 20-29]"/>
    <s v="[floor view.direction view]"/>
  </r>
  <r>
    <x v="3"/>
    <s v="25 West Randolph Street"/>
    <x v="94"/>
    <s v="1919"/>
    <n v="19"/>
    <x v="0"/>
    <n v="1"/>
    <m/>
    <x v="79"/>
    <x v="140"/>
    <x v="316"/>
    <x v="0"/>
    <n v="21"/>
    <n v="2223"/>
    <n v="3.0535714285714284"/>
    <n v="2223"/>
    <n v="3.0535714285714284"/>
    <s v="[Extra Windows Floor 19]"/>
    <s v="[floor]"/>
  </r>
  <r>
    <x v="3"/>
    <s v="25 West Randolph Street"/>
    <x v="94"/>
    <s v="1619"/>
    <n v="16"/>
    <x v="0"/>
    <n v="1"/>
    <m/>
    <x v="79"/>
    <x v="356"/>
    <x v="28"/>
    <x v="1"/>
    <m/>
    <n v="2299"/>
    <n v="3.1579670329670328"/>
    <n v="2299"/>
    <n v="3.1579670329670328"/>
    <s v="[Extra Windows Floor 16]"/>
    <s v="[floor]"/>
  </r>
  <r>
    <x v="3"/>
    <s v="25 West Randolph Street"/>
    <x v="94"/>
    <s v="3219"/>
    <n v="32"/>
    <x v="0"/>
    <n v="1"/>
    <m/>
    <x v="79"/>
    <x v="191"/>
    <x v="140"/>
    <x v="0"/>
    <n v="21"/>
    <n v="2334"/>
    <n v="3.2060439560439562"/>
    <n v="2334"/>
    <n v="3.2060439560439562"/>
    <s v="[ADA Suites Extra Windows Floor 32 North View Floors 30-37 South View Floors 30-37]"/>
    <s v="[view floor view.direction]"/>
  </r>
  <r>
    <x v="3"/>
    <s v="25 West Randolph Street"/>
    <x v="94"/>
    <s v="3319"/>
    <n v="33"/>
    <x v="0"/>
    <n v="1"/>
    <m/>
    <x v="79"/>
    <x v="288"/>
    <x v="140"/>
    <x v="0"/>
    <n v="10"/>
    <n v="2339"/>
    <n v="3.212912087912088"/>
    <n v="2339"/>
    <n v="3.212912087912088"/>
    <s v="[ADA Suites Extra Windows Floor 33 North View Floors 30-37 South View Floors 30-37]"/>
    <s v="[view floor view.direction]"/>
  </r>
  <r>
    <x v="3"/>
    <s v="25 West Randolph Street"/>
    <x v="100"/>
    <s v="3719"/>
    <m/>
    <x v="0"/>
    <n v="1"/>
    <m/>
    <x v="79"/>
    <x v="174"/>
    <x v="404"/>
    <x v="0"/>
    <n v="35"/>
    <n v="2505"/>
    <n v="3.4409340659340661"/>
    <n v="2505"/>
    <n v="3.4409340659340661"/>
    <s v="[Extra Windows Floor 37 North View Floors 30-37 South View Floors 30-37 Vaulted Ceilings]"/>
    <s v="[view floor view.direction]"/>
  </r>
  <r>
    <x v="3"/>
    <s v="25 West Randolph Street"/>
    <x v="100"/>
    <s v="1519"/>
    <n v="15"/>
    <x v="0"/>
    <n v="1"/>
    <m/>
    <x v="79"/>
    <x v="130"/>
    <x v="394"/>
    <x v="0"/>
    <m/>
    <n v="2275"/>
    <n v="3.125"/>
    <n v="2275"/>
    <n v="3.125"/>
    <s v="[]"/>
    <s v="[]"/>
  </r>
  <r>
    <x v="3"/>
    <s v="25 West Randolph Street"/>
    <x v="100"/>
    <s v="3419"/>
    <n v="34"/>
    <x v="0"/>
    <n v="1"/>
    <m/>
    <x v="79"/>
    <x v="347"/>
    <x v="224"/>
    <x v="0"/>
    <n v="51"/>
    <n v="2351"/>
    <n v="3.2293956043956045"/>
    <n v="2351"/>
    <n v="3.2293956043956045"/>
    <s v="[]"/>
    <s v="[]"/>
  </r>
  <r>
    <x v="3"/>
    <s v="25 West Randolph Street"/>
    <x v="101"/>
    <s v="622"/>
    <n v="6"/>
    <x v="1"/>
    <n v="1"/>
    <m/>
    <x v="78"/>
    <x v="363"/>
    <x v="383"/>
    <x v="0"/>
    <n v="106"/>
    <n v="2418"/>
    <n v="3.3818181818181818"/>
    <n v="2418"/>
    <n v="3.3818181818181818"/>
    <s v="[Vaulted Ceilings Floor 6]"/>
    <s v="[floor]"/>
  </r>
  <r>
    <x v="3"/>
    <s v="25 West Randolph Street"/>
    <x v="101"/>
    <s v="1622"/>
    <n v="16"/>
    <x v="1"/>
    <n v="1"/>
    <m/>
    <x v="78"/>
    <x v="276"/>
    <x v="214"/>
    <x v="0"/>
    <n v="5"/>
    <n v="2431"/>
    <n v="3.4"/>
    <n v="2431"/>
    <n v="3.4"/>
    <s v="[Floor 16]"/>
    <s v="[floor]"/>
  </r>
  <r>
    <x v="3"/>
    <s v="25 West Randolph Street"/>
    <x v="101"/>
    <s v="2922"/>
    <n v="29"/>
    <x v="1"/>
    <n v="1"/>
    <m/>
    <x v="78"/>
    <x v="274"/>
    <x v="229"/>
    <x v="0"/>
    <n v="24"/>
    <n v="2434"/>
    <n v="3.4041958041958043"/>
    <n v="2434"/>
    <n v="3.4041958041958043"/>
    <s v="[South View Floors 25-29 ADA Suites Extra Windows Floor 29 North View Floors 20-29]"/>
    <s v="[view floor view.direction]"/>
  </r>
  <r>
    <x v="3"/>
    <s v="25 West Randolph Street"/>
    <x v="101"/>
    <s v="1222"/>
    <n v="12"/>
    <x v="1"/>
    <n v="1"/>
    <m/>
    <x v="78"/>
    <x v="101"/>
    <x v="89"/>
    <x v="0"/>
    <n v="41"/>
    <n v="2448"/>
    <n v="3.4237762237762239"/>
    <n v="2448"/>
    <n v="3.4237762237762239"/>
    <s v="[Floor 12]"/>
    <s v="[floor]"/>
  </r>
  <r>
    <x v="3"/>
    <s v="25 West Randolph Street"/>
    <x v="101"/>
    <s v="1522"/>
    <n v="15"/>
    <x v="1"/>
    <n v="1"/>
    <m/>
    <x v="78"/>
    <x v="291"/>
    <x v="405"/>
    <x v="0"/>
    <n v="120"/>
    <n v="2464"/>
    <n v="3.4461538461538463"/>
    <n v="2464"/>
    <n v="3.4461538461538463"/>
    <s v="[Floor 15]"/>
    <s v="[floor]"/>
  </r>
  <r>
    <x v="3"/>
    <s v="25 West Randolph Street"/>
    <x v="101"/>
    <s v="2822"/>
    <n v="28"/>
    <x v="1"/>
    <n v="1"/>
    <m/>
    <x v="78"/>
    <x v="21"/>
    <x v="95"/>
    <x v="0"/>
    <n v="42"/>
    <n v="2527"/>
    <n v="3.5342657342657344"/>
    <n v="2527"/>
    <n v="3.5342657342657344"/>
    <s v="[South View Floors 25-29 ADA Suites Extra Windows Floor 28 North View Floors 20-29]"/>
    <s v="[view floor view.direction]"/>
  </r>
  <r>
    <x v="3"/>
    <s v="25 West Randolph Street"/>
    <x v="102"/>
    <s v="2622"/>
    <n v="26"/>
    <x v="1"/>
    <n v="1"/>
    <m/>
    <x v="78"/>
    <x v="356"/>
    <x v="96"/>
    <x v="0"/>
    <n v="5"/>
    <n v="2541"/>
    <n v="3.5538461538461537"/>
    <n v="2541"/>
    <n v="3.5538461538461537"/>
    <s v="[Floor 26 South View Floors 25-29 North View Floors 20-29 North View Floors 25 &amp; 26 South View Floors 25 &amp; 26]"/>
    <s v="[view floor view.direction]"/>
  </r>
  <r>
    <x v="3"/>
    <s v="25 West Randolph Street"/>
    <x v="102"/>
    <s v="2022"/>
    <n v="20"/>
    <x v="1"/>
    <n v="1"/>
    <m/>
    <x v="78"/>
    <x v="32"/>
    <x v="76"/>
    <x v="0"/>
    <n v="6"/>
    <n v="2549"/>
    <n v="3.5650349650349651"/>
    <n v="2549"/>
    <n v="3.5650349650349651"/>
    <s v="[Floor 20]"/>
    <s v="[floor]"/>
  </r>
  <r>
    <x v="3"/>
    <s v="25 West Randolph Street"/>
    <x v="101"/>
    <s v="1722"/>
    <n v="17"/>
    <x v="1"/>
    <n v="1"/>
    <m/>
    <x v="78"/>
    <x v="64"/>
    <x v="6"/>
    <x v="0"/>
    <n v="46"/>
    <n v="2565"/>
    <n v="3.5874125874125875"/>
    <n v="2565"/>
    <n v="3.5874125874125875"/>
    <s v="[Floor 17 Vaulted Ceilings]"/>
    <s v="[floor]"/>
  </r>
  <r>
    <x v="3"/>
    <s v="25 West Randolph Street"/>
    <x v="101"/>
    <s v="1422"/>
    <n v="14"/>
    <x v="1"/>
    <n v="1"/>
    <m/>
    <x v="78"/>
    <x v="335"/>
    <x v="279"/>
    <x v="0"/>
    <n v="15"/>
    <n v="2593"/>
    <n v="3.6265734265734264"/>
    <n v="2593"/>
    <n v="3.6265734265734264"/>
    <s v="[Floor 14]"/>
    <s v="[floor]"/>
  </r>
  <r>
    <x v="3"/>
    <s v="25 West Randolph Street"/>
    <x v="101"/>
    <s v="3422"/>
    <n v="34"/>
    <x v="1"/>
    <n v="1"/>
    <m/>
    <x v="78"/>
    <x v="358"/>
    <x v="289"/>
    <x v="0"/>
    <n v="58"/>
    <n v="2602"/>
    <n v="3.639160839160839"/>
    <n v="2602"/>
    <n v="3.639160839160839"/>
    <s v="[ADA Suites Extra Windows Floor 34 South View Floors 30-37 North View Floors 30-37]"/>
    <s v="[view floor view.direction]"/>
  </r>
  <r>
    <x v="3"/>
    <s v="25 West Randolph Street"/>
    <x v="101"/>
    <s v="3722"/>
    <m/>
    <x v="1"/>
    <n v="1"/>
    <m/>
    <x v="78"/>
    <x v="341"/>
    <x v="383"/>
    <x v="0"/>
    <n v="166"/>
    <n v="2627"/>
    <n v="3.674125874125874"/>
    <n v="2627"/>
    <n v="3.674125874125874"/>
    <s v="[South View Floors 30-37 Floor 37 Vaulted Ceilings North View Floors 30-37]"/>
    <s v="[view floor view.direction]"/>
  </r>
  <r>
    <x v="3"/>
    <s v="25 West Randolph Street"/>
    <x v="101"/>
    <s v="1122"/>
    <n v="11"/>
    <x v="1"/>
    <n v="1"/>
    <m/>
    <x v="78"/>
    <x v="364"/>
    <x v="71"/>
    <x v="0"/>
    <n v="9"/>
    <n v="2642"/>
    <n v="3.6951048951048953"/>
    <n v="2642"/>
    <n v="3.6951048951048953"/>
    <s v="[Floor 11]"/>
    <s v="[floor]"/>
  </r>
  <r>
    <x v="3"/>
    <s v="25 West Randolph Street"/>
    <x v="101"/>
    <s v="3322"/>
    <n v="33"/>
    <x v="1"/>
    <n v="1"/>
    <m/>
    <x v="78"/>
    <x v="98"/>
    <x v="38"/>
    <x v="0"/>
    <n v="14"/>
    <n v="2719"/>
    <n v="3.802797202797203"/>
    <n v="2719"/>
    <n v="3.802797202797203"/>
    <s v="[ADA Suites Extra Windows Floor 33 South View Floors 30-37 North View Floors 30-37]"/>
    <s v="[view floor view.direction]"/>
  </r>
  <r>
    <x v="3"/>
    <s v="25 West Randolph Street"/>
    <x v="101"/>
    <s v="1822"/>
    <n v="18"/>
    <x v="1"/>
    <n v="1"/>
    <m/>
    <x v="78"/>
    <x v="48"/>
    <x v="236"/>
    <x v="0"/>
    <n v="17"/>
    <n v="2752"/>
    <n v="3.848951048951049"/>
    <n v="2752"/>
    <n v="3.848951048951049"/>
    <s v="[Floor 18]"/>
    <s v="[floor]"/>
  </r>
  <r>
    <x v="3"/>
    <s v="25 West Randolph Street"/>
    <x v="101"/>
    <s v="1322"/>
    <n v="13"/>
    <x v="1"/>
    <n v="1"/>
    <m/>
    <x v="78"/>
    <x v="37"/>
    <x v="325"/>
    <x v="0"/>
    <n v="107"/>
    <n v="2285"/>
    <n v="3.1958041958041958"/>
    <n v="2285"/>
    <n v="3.1958041958041958"/>
    <s v="[]"/>
    <s v="[]"/>
  </r>
  <r>
    <x v="3"/>
    <s v="25 West Randolph Street"/>
    <x v="101"/>
    <s v="2422"/>
    <n v="24"/>
    <x v="1"/>
    <n v="1"/>
    <m/>
    <x v="78"/>
    <x v="303"/>
    <x v="406"/>
    <x v="0"/>
    <n v="130"/>
    <n v="2360"/>
    <n v="3.3006993006993008"/>
    <n v="2360"/>
    <n v="3.3006993006993008"/>
    <s v="[]"/>
    <s v="[]"/>
  </r>
  <r>
    <x v="3"/>
    <s v="25 West Randolph Street"/>
    <x v="101"/>
    <s v="3022"/>
    <n v="30"/>
    <x v="1"/>
    <n v="1"/>
    <m/>
    <x v="78"/>
    <x v="45"/>
    <x v="225"/>
    <x v="0"/>
    <n v="79"/>
    <n v="2808"/>
    <n v="3.9272727272727272"/>
    <n v="2808"/>
    <n v="3.9272727272727272"/>
    <s v="[]"/>
    <s v="[]"/>
  </r>
  <r>
    <x v="3"/>
    <s v="25 West Randolph Street"/>
    <x v="101"/>
    <s v="3222"/>
    <n v="32"/>
    <x v="1"/>
    <n v="1"/>
    <m/>
    <x v="78"/>
    <x v="130"/>
    <x v="407"/>
    <x v="0"/>
    <m/>
    <n v="2989"/>
    <n v="4.1804195804195805"/>
    <n v="2989"/>
    <n v="4.1804195804195805"/>
    <s v="[]"/>
    <s v="[]"/>
  </r>
  <r>
    <x v="3"/>
    <s v="25 West Randolph Street"/>
    <x v="103"/>
    <s v="2420"/>
    <n v="24"/>
    <x v="1"/>
    <n v="1"/>
    <m/>
    <x v="79"/>
    <x v="174"/>
    <x v="125"/>
    <x v="0"/>
    <n v="121"/>
    <n v="2228"/>
    <n v="3.0604395604395602"/>
    <n v="2228"/>
    <n v="3.0604395604395602"/>
    <s v="[Floor 24 North View Floors 20-29]"/>
    <s v="[floor view.direction view]"/>
  </r>
  <r>
    <x v="3"/>
    <s v="25 West Randolph Street"/>
    <x v="103"/>
    <s v="820"/>
    <n v="8"/>
    <x v="1"/>
    <n v="1"/>
    <m/>
    <x v="79"/>
    <x v="174"/>
    <x v="408"/>
    <x v="0"/>
    <n v="95"/>
    <n v="2281"/>
    <n v="3.1332417582417582"/>
    <n v="2187"/>
    <n v="3.0041208791208791"/>
    <s v="[Floor 8]"/>
    <s v="[floor]"/>
  </r>
  <r>
    <x v="3"/>
    <s v="25 West Randolph Street"/>
    <x v="103"/>
    <s v="2520"/>
    <n v="25"/>
    <x v="1"/>
    <n v="1"/>
    <m/>
    <x v="79"/>
    <x v="357"/>
    <x v="95"/>
    <x v="0"/>
    <n v="127"/>
    <n v="2361"/>
    <n v="3.2431318681318682"/>
    <n v="2213"/>
    <n v="3.0398351648351647"/>
    <s v="[Floor 25 South View Floors 25-29 North View Floors 20-29 North View Floors 25 &amp; 26 South View Floors 25 &amp; 26]"/>
    <s v="[view floor view.direction]"/>
  </r>
  <r>
    <x v="3"/>
    <s v="25 West Randolph Street"/>
    <x v="103"/>
    <s v="2620"/>
    <n v="26"/>
    <x v="1"/>
    <n v="1"/>
    <m/>
    <x v="79"/>
    <x v="70"/>
    <x v="409"/>
    <x v="0"/>
    <n v="120"/>
    <n v="2366"/>
    <n v="3.25"/>
    <n v="2218"/>
    <n v="3.0467032967032965"/>
    <s v="[Floor 26 South View Floors 25-29 North View Floors 20-29 North View Floors 25 &amp; 26 South View Floors 25 &amp; 26]"/>
    <s v="[view floor view.direction]"/>
  </r>
  <r>
    <x v="3"/>
    <s v="25 West Randolph Street"/>
    <x v="104"/>
    <s v="1920"/>
    <n v="19"/>
    <x v="1"/>
    <n v="1"/>
    <m/>
    <x v="79"/>
    <x v="365"/>
    <x v="299"/>
    <x v="0"/>
    <n v="32"/>
    <n v="2367"/>
    <n v="3.2513736263736264"/>
    <n v="2367"/>
    <n v="3.2513736263736264"/>
    <s v="[Floor 19]"/>
    <s v="[floor]"/>
  </r>
  <r>
    <x v="3"/>
    <s v="25 West Randolph Street"/>
    <x v="104"/>
    <s v="1420"/>
    <n v="14"/>
    <x v="1"/>
    <n v="1"/>
    <m/>
    <x v="79"/>
    <x v="366"/>
    <x v="316"/>
    <x v="0"/>
    <n v="24"/>
    <n v="2368"/>
    <n v="3.2527472527472527"/>
    <n v="2368"/>
    <n v="3.2527472527472527"/>
    <s v="[Floor 14]"/>
    <s v="[floor]"/>
  </r>
  <r>
    <x v="3"/>
    <s v="25 West Randolph Street"/>
    <x v="103"/>
    <s v="1220"/>
    <n v="12"/>
    <x v="1"/>
    <n v="1"/>
    <m/>
    <x v="79"/>
    <x v="64"/>
    <x v="410"/>
    <x v="0"/>
    <n v="120"/>
    <n v="2417"/>
    <n v="3.3200549450549453"/>
    <n v="2266"/>
    <n v="3.1126373626373627"/>
    <s v="[Floor 12]"/>
    <s v="[floor]"/>
  </r>
  <r>
    <x v="3"/>
    <s v="25 West Randolph Street"/>
    <x v="103"/>
    <s v="2720"/>
    <n v="27"/>
    <x v="1"/>
    <n v="1"/>
    <m/>
    <x v="79"/>
    <x v="78"/>
    <x v="85"/>
    <x v="0"/>
    <n v="164"/>
    <n v="2456"/>
    <n v="3.3736263736263736"/>
    <n v="2456"/>
    <n v="3.3736263736263736"/>
    <s v="[South View Floors 25-29 Extra Windows Floor 27 Vaulted Ceilings North View Floors 20-29]"/>
    <s v="[view floor view.direction]"/>
  </r>
  <r>
    <x v="3"/>
    <s v="25 West Randolph Street"/>
    <x v="103"/>
    <s v="2020"/>
    <n v="20"/>
    <x v="1"/>
    <n v="1"/>
    <m/>
    <x v="79"/>
    <x v="367"/>
    <x v="411"/>
    <x v="0"/>
    <n v="133"/>
    <n v="2464"/>
    <n v="3.3846153846153846"/>
    <n v="2464"/>
    <n v="3.3846153846153846"/>
    <s v="[Floor 20]"/>
    <s v="[floor]"/>
  </r>
  <r>
    <x v="3"/>
    <s v="25 West Randolph Street"/>
    <x v="103"/>
    <s v="720"/>
    <n v="7"/>
    <x v="1"/>
    <n v="1"/>
    <m/>
    <x v="79"/>
    <x v="207"/>
    <x v="412"/>
    <x v="0"/>
    <n v="152"/>
    <n v="2492"/>
    <n v="3.4230769230769229"/>
    <n v="2492"/>
    <n v="3.4230769230769229"/>
    <s v="[Floor 7]"/>
    <s v="[floor]"/>
  </r>
  <r>
    <x v="3"/>
    <s v="25 West Randolph Street"/>
    <x v="104"/>
    <s v="2120"/>
    <n v="21"/>
    <x v="1"/>
    <n v="1"/>
    <m/>
    <x v="79"/>
    <x v="29"/>
    <x v="271"/>
    <x v="0"/>
    <n v="9"/>
    <n v="2498"/>
    <n v="3.4313186813186811"/>
    <n v="2498"/>
    <n v="3.4313186813186811"/>
    <s v="[Floor 21]"/>
    <s v="[floor]"/>
  </r>
  <r>
    <x v="3"/>
    <s v="25 West Randolph Street"/>
    <x v="105"/>
    <s v="918"/>
    <n v="9"/>
    <x v="1"/>
    <n v="1"/>
    <m/>
    <x v="79"/>
    <x v="133"/>
    <x v="412"/>
    <x v="0"/>
    <n v="96"/>
    <n v="2502"/>
    <n v="3.4368131868131866"/>
    <n v="2502"/>
    <n v="3.4368131868131866"/>
    <s v="[ADA Suites Floor 9]"/>
    <s v="[floor]"/>
  </r>
  <r>
    <x v="3"/>
    <s v="25 West Randolph Street"/>
    <x v="104"/>
    <s v="3620"/>
    <m/>
    <x v="1"/>
    <n v="1"/>
    <m/>
    <x v="79"/>
    <x v="186"/>
    <x v="413"/>
    <x v="0"/>
    <n v="10"/>
    <n v="2551"/>
    <n v="3.5041208791208791"/>
    <n v="2551"/>
    <n v="3.5041208791208791"/>
    <s v="[Extra Windows Floor 36 North View Floors 30-37 South View Floors 30-37]"/>
    <s v="[view floor view.direction]"/>
  </r>
  <r>
    <x v="3"/>
    <s v="25 West Randolph Street"/>
    <x v="103"/>
    <s v="620"/>
    <n v="6"/>
    <x v="1"/>
    <n v="1"/>
    <m/>
    <x v="79"/>
    <x v="216"/>
    <x v="18"/>
    <x v="0"/>
    <n v="152"/>
    <n v="2624"/>
    <n v="3.6043956043956045"/>
    <n v="2624"/>
    <n v="3.6043956043956045"/>
    <s v="[Floor 6 Vaulted Ceilings]"/>
    <s v="[floor]"/>
  </r>
  <r>
    <x v="3"/>
    <s v="25 West Randolph Street"/>
    <x v="103"/>
    <s v="1020"/>
    <n v="10"/>
    <x v="1"/>
    <n v="1"/>
    <m/>
    <x v="79"/>
    <x v="336"/>
    <x v="72"/>
    <x v="0"/>
    <n v="134"/>
    <n v="2626"/>
    <n v="3.6071428571428572"/>
    <n v="2626"/>
    <n v="3.6071428571428572"/>
    <s v="[Floor 10]"/>
    <s v="[floor]"/>
  </r>
  <r>
    <x v="3"/>
    <s v="25 West Randolph Street"/>
    <x v="105"/>
    <s v="2318"/>
    <n v="23"/>
    <x v="1"/>
    <n v="1"/>
    <m/>
    <x v="79"/>
    <x v="39"/>
    <x v="82"/>
    <x v="0"/>
    <n v="4"/>
    <n v="2662"/>
    <n v="3.6565934065934065"/>
    <n v="2662"/>
    <n v="3.6565934065934065"/>
    <s v="[Floor 23 North View Floors 20-29]"/>
    <s v="[floor view.direction view]"/>
  </r>
  <r>
    <x v="3"/>
    <s v="25 West Randolph Street"/>
    <x v="105"/>
    <s v="2718"/>
    <n v="27"/>
    <x v="1"/>
    <n v="1"/>
    <m/>
    <x v="79"/>
    <x v="368"/>
    <x v="152"/>
    <x v="0"/>
    <n v="138"/>
    <n v="2663"/>
    <n v="3.6579670329670328"/>
    <n v="2663"/>
    <n v="3.6579670329670328"/>
    <s v="[Vaulted Ceilings Extra Windows Floor 27 South View Floors 25-29 North View Floors 20-29]"/>
    <s v="[view floor view.direction]"/>
  </r>
  <r>
    <x v="3"/>
    <s v="25 West Randolph Street"/>
    <x v="103"/>
    <s v="3720"/>
    <m/>
    <x v="1"/>
    <n v="1"/>
    <m/>
    <x v="79"/>
    <x v="284"/>
    <x v="363"/>
    <x v="0"/>
    <n v="180"/>
    <n v="2664"/>
    <n v="3.6593406593406592"/>
    <n v="2664"/>
    <n v="3.6593406593406592"/>
    <s v="[Floor 37 North View Floors 30-37 South View Floors 30-37 Vaulted Ceilings]"/>
    <s v="[view floor view.direction]"/>
  </r>
  <r>
    <x v="3"/>
    <s v="25 West Randolph Street"/>
    <x v="103"/>
    <s v="1320"/>
    <n v="13"/>
    <x v="1"/>
    <n v="1"/>
    <m/>
    <x v="79"/>
    <x v="133"/>
    <x v="136"/>
    <x v="0"/>
    <n v="10"/>
    <n v="2667"/>
    <n v="3.6634615384615383"/>
    <n v="2667"/>
    <n v="3.6634615384615383"/>
    <s v="[Floor 13]"/>
    <s v="[floor]"/>
  </r>
  <r>
    <x v="3"/>
    <s v="25 West Randolph Street"/>
    <x v="103"/>
    <s v="920"/>
    <n v="9"/>
    <x v="1"/>
    <n v="1"/>
    <m/>
    <x v="79"/>
    <x v="364"/>
    <x v="152"/>
    <x v="0"/>
    <n v="87"/>
    <n v="2667"/>
    <n v="3.6634615384615383"/>
    <n v="2667"/>
    <n v="3.6634615384615383"/>
    <s v="[Floor 9]"/>
    <s v="[floor]"/>
  </r>
  <r>
    <x v="3"/>
    <s v="25 West Randolph Street"/>
    <x v="106"/>
    <s v="2918"/>
    <n v="29"/>
    <x v="1"/>
    <n v="1"/>
    <m/>
    <x v="79"/>
    <x v="109"/>
    <x v="28"/>
    <x v="1"/>
    <m/>
    <n v="2678"/>
    <n v="3.6785714285714284"/>
    <n v="2678"/>
    <n v="3.6785714285714284"/>
    <s v="[South View Floors 25-29 ADA Suites Extra Windows Floor 29 North View Floors 20-29]"/>
    <s v="[view floor view.direction]"/>
  </r>
  <r>
    <x v="3"/>
    <s v="25 West Randolph Street"/>
    <x v="103"/>
    <s v="2820"/>
    <n v="28"/>
    <x v="1"/>
    <n v="1"/>
    <m/>
    <x v="79"/>
    <x v="284"/>
    <x v="152"/>
    <x v="0"/>
    <n v="135"/>
    <n v="2689"/>
    <n v="3.6936813186813189"/>
    <n v="2689"/>
    <n v="3.6936813186813189"/>
    <s v="[South View Floors 25-29 ADA Suites Extra Windows Floor 28 North View Floors 20-29]"/>
    <s v="[view floor view.direction]"/>
  </r>
  <r>
    <x v="3"/>
    <s v="25 West Randolph Street"/>
    <x v="104"/>
    <s v="3020"/>
    <n v="30"/>
    <x v="1"/>
    <n v="1"/>
    <m/>
    <x v="79"/>
    <x v="123"/>
    <x v="28"/>
    <x v="1"/>
    <m/>
    <n v="2693"/>
    <n v="3.6991758241758244"/>
    <n v="2693"/>
    <n v="3.6991758241758244"/>
    <s v="[ADA Suites Extra Windows Floor 30 North View Floors 30-37 South View Floors 30-37]"/>
    <s v="[view floor view.direction]"/>
  </r>
  <r>
    <x v="3"/>
    <s v="25 West Randolph Street"/>
    <x v="105"/>
    <s v="1918"/>
    <n v="19"/>
    <x v="1"/>
    <n v="1"/>
    <m/>
    <x v="79"/>
    <x v="253"/>
    <x v="252"/>
    <x v="0"/>
    <n v="86"/>
    <n v="2741"/>
    <n v="3.7651098901098901"/>
    <n v="2741"/>
    <n v="3.7651098901098901"/>
    <s v="[ADA Suites Floor 19]"/>
    <s v="[floor]"/>
  </r>
  <r>
    <x v="3"/>
    <s v="25 West Randolph Street"/>
    <x v="105"/>
    <s v="3118"/>
    <n v="31"/>
    <x v="1"/>
    <n v="1"/>
    <m/>
    <x v="79"/>
    <x v="64"/>
    <x v="414"/>
    <x v="0"/>
    <n v="4"/>
    <n v="2777"/>
    <n v="3.8145604395604398"/>
    <n v="2777"/>
    <n v="3.8145604395604398"/>
    <s v="[ADA Suites Extra Windows Floor 31 North View Floors 30-37 South View Floors 30-37]"/>
    <s v="[view floor view.direction]"/>
  </r>
  <r>
    <x v="3"/>
    <s v="25 West Randolph Street"/>
    <x v="105"/>
    <s v="1618"/>
    <n v="16"/>
    <x v="1"/>
    <n v="1"/>
    <m/>
    <x v="79"/>
    <x v="351"/>
    <x v="383"/>
    <x v="0"/>
    <n v="29"/>
    <n v="2810"/>
    <n v="3.8598901098901099"/>
    <n v="2810"/>
    <n v="3.8598901098901099"/>
    <s v="[ADA Suites Floor 16]"/>
    <s v="[floor]"/>
  </r>
  <r>
    <x v="3"/>
    <s v="25 West Randolph Street"/>
    <x v="105"/>
    <s v="3218"/>
    <n v="32"/>
    <x v="1"/>
    <n v="1"/>
    <m/>
    <x v="79"/>
    <x v="207"/>
    <x v="152"/>
    <x v="0"/>
    <n v="90"/>
    <n v="2817"/>
    <n v="3.8695054945054945"/>
    <n v="2817"/>
    <n v="3.8695054945054945"/>
    <s v="[ADA Suites Extra Windows Floor 32 North View Floors 30-37 South View Floors 30-37]"/>
    <s v="[view floor view.direction]"/>
  </r>
  <r>
    <x v="3"/>
    <s v="25 West Randolph Street"/>
    <x v="106"/>
    <s v="3618"/>
    <m/>
    <x v="1"/>
    <n v="1"/>
    <m/>
    <x v="79"/>
    <x v="256"/>
    <x v="28"/>
    <x v="1"/>
    <m/>
    <n v="2850"/>
    <n v="3.9148351648351647"/>
    <n v="2850"/>
    <n v="3.9148351648351647"/>
    <s v="[Extra Windows Floor 36 South View Floors 30-37 North View Floors 30-37]"/>
    <s v="[view floor view.direction]"/>
  </r>
  <r>
    <x v="3"/>
    <s v="25 West Randolph Street"/>
    <x v="103"/>
    <s v="3120"/>
    <n v="31"/>
    <x v="1"/>
    <n v="1"/>
    <m/>
    <x v="79"/>
    <x v="351"/>
    <x v="309"/>
    <x v="0"/>
    <n v="4"/>
    <n v="2866"/>
    <n v="3.9368131868131866"/>
    <n v="2866"/>
    <n v="3.9368131868131866"/>
    <s v="[ADA Suites Extra Windows Floor 31 North View Floors 30-37 South View Floors 30-37]"/>
    <s v="[view floor view.direction]"/>
  </r>
  <r>
    <x v="3"/>
    <s v="25 West Randolph Street"/>
    <x v="105"/>
    <s v="3018"/>
    <n v="30"/>
    <x v="1"/>
    <n v="1"/>
    <m/>
    <x v="79"/>
    <x v="254"/>
    <x v="236"/>
    <x v="0"/>
    <n v="93"/>
    <n v="2956"/>
    <n v="4.0604395604395602"/>
    <n v="2956"/>
    <n v="4.0604395604395602"/>
    <s v="[ADA Suites Extra Windows Floor 30 South View Floors 30-37 North View Floors 30-37]"/>
    <s v="[view floor view.direction]"/>
  </r>
  <r>
    <x v="3"/>
    <s v="25 West Randolph Street"/>
    <x v="103"/>
    <s v="1120"/>
    <n v="11"/>
    <x v="1"/>
    <n v="1"/>
    <m/>
    <x v="79"/>
    <x v="133"/>
    <x v="414"/>
    <x v="0"/>
    <n v="7"/>
    <n v="2523"/>
    <n v="3.4656593406593408"/>
    <n v="2523"/>
    <n v="3.4656593406593408"/>
    <s v="[Floor 11]"/>
    <s v="[floor]"/>
  </r>
  <r>
    <x v="3"/>
    <s v="25 West Randolph Street"/>
    <x v="103"/>
    <s v="2320"/>
    <n v="23"/>
    <x v="1"/>
    <n v="1"/>
    <m/>
    <x v="79"/>
    <x v="130"/>
    <x v="415"/>
    <x v="0"/>
    <m/>
    <n v="2682"/>
    <n v="3.6840659340659339"/>
    <n v="2682"/>
    <n v="3.6840659340659339"/>
    <s v="[]"/>
    <s v="[]"/>
  </r>
  <r>
    <x v="3"/>
    <s v="25 West Randolph Street"/>
    <x v="103"/>
    <s v="2220"/>
    <n v="22"/>
    <x v="1"/>
    <n v="1"/>
    <m/>
    <x v="79"/>
    <x v="369"/>
    <x v="416"/>
    <x v="0"/>
    <n v="19"/>
    <n v="2706"/>
    <n v="3.7170329670329672"/>
    <n v="2706"/>
    <n v="3.7170329670329672"/>
    <s v="[]"/>
    <s v="[]"/>
  </r>
  <r>
    <x v="3"/>
    <s v="25 West Randolph Street"/>
    <x v="105"/>
    <s v="3418"/>
    <n v="34"/>
    <x v="1"/>
    <n v="1"/>
    <m/>
    <x v="79"/>
    <x v="130"/>
    <x v="417"/>
    <x v="0"/>
    <m/>
    <n v="2800"/>
    <n v="3.8461538461538463"/>
    <n v="2800"/>
    <n v="3.8461538461538463"/>
    <s v="[]"/>
    <s v="[]"/>
  </r>
  <r>
    <x v="3"/>
    <s v="25 West Randolph Street"/>
    <x v="103"/>
    <s v="3420"/>
    <n v="34"/>
    <x v="1"/>
    <n v="1"/>
    <m/>
    <x v="79"/>
    <x v="130"/>
    <x v="418"/>
    <x v="0"/>
    <m/>
    <n v="2891"/>
    <n v="3.9711538461538463"/>
    <n v="2891"/>
    <n v="3.9711538461538463"/>
    <s v="[]"/>
    <s v="[]"/>
  </r>
  <r>
    <x v="3"/>
    <s v="25 West Randolph Street"/>
    <x v="107"/>
    <s v="2208"/>
    <n v="22"/>
    <x v="1"/>
    <n v="1"/>
    <m/>
    <x v="80"/>
    <x v="24"/>
    <x v="99"/>
    <x v="0"/>
    <n v="132"/>
    <n v="2380"/>
    <n v="2.9937106918238992"/>
    <n v="2380"/>
    <n v="2.9937106918238992"/>
    <s v="[Extra Windows Floor 22]"/>
    <s v="[floor]"/>
  </r>
  <r>
    <x v="3"/>
    <s v="25 West Randolph Street"/>
    <x v="107"/>
    <s v="708"/>
    <n v="7"/>
    <x v="1"/>
    <n v="1"/>
    <m/>
    <x v="80"/>
    <x v="78"/>
    <x v="228"/>
    <x v="0"/>
    <n v="16"/>
    <n v="2400"/>
    <n v="3.0188679245283021"/>
    <n v="2400"/>
    <n v="3.0188679245283021"/>
    <s v="[Extra Windows Floor 7]"/>
    <s v="[floor]"/>
  </r>
  <r>
    <x v="3"/>
    <s v="25 West Randolph Street"/>
    <x v="107"/>
    <s v="1508"/>
    <n v="15"/>
    <x v="1"/>
    <n v="1"/>
    <m/>
    <x v="80"/>
    <x v="331"/>
    <x v="341"/>
    <x v="0"/>
    <n v="2"/>
    <n v="2460"/>
    <n v="3.0943396226415096"/>
    <n v="2460"/>
    <n v="3.0943396226415096"/>
    <s v="[Extra Windows Floor 15]"/>
    <s v="[floor]"/>
  </r>
  <r>
    <x v="3"/>
    <s v="25 West Randolph Street"/>
    <x v="107"/>
    <s v="2408"/>
    <n v="24"/>
    <x v="1"/>
    <n v="1"/>
    <m/>
    <x v="80"/>
    <x v="329"/>
    <x v="135"/>
    <x v="0"/>
    <n v="193"/>
    <n v="2555"/>
    <n v="3.2138364779874213"/>
    <n v="2461"/>
    <n v="3.0955974842767295"/>
    <s v="[Extra Windows Floor 24 North View Floors 20-29]"/>
    <s v="[floor view.direction view]"/>
  </r>
  <r>
    <x v="3"/>
    <s v="25 West Randolph Street"/>
    <x v="107"/>
    <s v="3608"/>
    <m/>
    <x v="1"/>
    <n v="1"/>
    <m/>
    <x v="80"/>
    <x v="157"/>
    <x v="229"/>
    <x v="0"/>
    <n v="171"/>
    <n v="2561"/>
    <n v="3.2213836477987421"/>
    <n v="2561"/>
    <n v="3.2213836477987421"/>
    <s v="[ADA Suites Extra Windows Floor 36 South View Floors 30-37 North View Floors 30-37]"/>
    <s v="[view floor view.direction]"/>
  </r>
  <r>
    <x v="3"/>
    <s v="25 West Randolph Street"/>
    <x v="107"/>
    <s v="3108"/>
    <n v="31"/>
    <x v="1"/>
    <n v="1"/>
    <m/>
    <x v="80"/>
    <x v="64"/>
    <x v="229"/>
    <x v="0"/>
    <n v="166"/>
    <n v="2597"/>
    <n v="3.2666666666666666"/>
    <n v="2597"/>
    <n v="3.2666666666666666"/>
    <s v="[ADA Suites Extra Windows Floor 31 South View Floors 30-37 North View Floors 30-37]"/>
    <s v="[view floor view.direction]"/>
  </r>
  <r>
    <x v="3"/>
    <s v="25 West Randolph Street"/>
    <x v="107"/>
    <s v="3408"/>
    <n v="34"/>
    <x v="1"/>
    <n v="1"/>
    <m/>
    <x v="80"/>
    <x v="90"/>
    <x v="409"/>
    <x v="0"/>
    <n v="110"/>
    <n v="2727"/>
    <n v="3.4301886792452829"/>
    <n v="2557"/>
    <n v="3.2163522012578616"/>
    <s v="[South View Floors 30-37 ADA Suites Extra Windows Floor 34 North View Floors 30-37]"/>
    <s v="[view floor view.direction]"/>
  </r>
  <r>
    <x v="3"/>
    <s v="25 West Randolph Street"/>
    <x v="107"/>
    <s v="1908"/>
    <n v="19"/>
    <x v="1"/>
    <n v="1"/>
    <m/>
    <x v="80"/>
    <x v="94"/>
    <x v="419"/>
    <x v="0"/>
    <n v="41"/>
    <n v="2766"/>
    <n v="3.479245283018868"/>
    <n v="2766"/>
    <n v="3.479245283018868"/>
    <s v="[Extra Windows Floor 19]"/>
    <s v="[floor]"/>
  </r>
  <r>
    <x v="3"/>
    <s v="25 West Randolph Street"/>
    <x v="107"/>
    <s v="1708"/>
    <n v="17"/>
    <x v="1"/>
    <n v="1"/>
    <m/>
    <x v="80"/>
    <x v="203"/>
    <x v="12"/>
    <x v="0"/>
    <n v="16"/>
    <n v="2789"/>
    <n v="3.5081761006289307"/>
    <n v="2789"/>
    <n v="3.5081761006289307"/>
    <s v="[Extra Windows Floor 17 Vaulted Ceilings]"/>
    <s v="[floor]"/>
  </r>
  <r>
    <x v="3"/>
    <s v="25 West Randolph Street"/>
    <x v="107"/>
    <s v="3208"/>
    <n v="32"/>
    <x v="1"/>
    <n v="1"/>
    <m/>
    <x v="80"/>
    <x v="370"/>
    <x v="152"/>
    <x v="0"/>
    <n v="48"/>
    <n v="2791"/>
    <n v="3.510691823899371"/>
    <n v="2791"/>
    <n v="3.510691823899371"/>
    <s v="[ADA Suites Extra Windows Floor 32 South View Floors 30-37 North View Floors 30-37]"/>
    <s v="[view floor view.direction]"/>
  </r>
  <r>
    <x v="3"/>
    <s v="25 West Randolph Street"/>
    <x v="107"/>
    <s v="2008"/>
    <n v="20"/>
    <x v="1"/>
    <n v="1"/>
    <m/>
    <x v="80"/>
    <x v="335"/>
    <x v="401"/>
    <x v="0"/>
    <n v="3"/>
    <n v="2793"/>
    <n v="3.5132075471698112"/>
    <n v="2793"/>
    <n v="3.5132075471698112"/>
    <s v="[Extra Windows Floor 20]"/>
    <s v="[floor]"/>
  </r>
  <r>
    <x v="3"/>
    <s v="25 West Randolph Street"/>
    <x v="107"/>
    <s v="2908"/>
    <n v="29"/>
    <x v="1"/>
    <n v="1"/>
    <m/>
    <x v="80"/>
    <x v="39"/>
    <x v="142"/>
    <x v="0"/>
    <n v="6"/>
    <n v="2854"/>
    <n v="3.5899371069182391"/>
    <n v="2854"/>
    <n v="3.5899371069182391"/>
    <s v="[South View Floors 25-29 ADA Suites Extra Windows Floor 29 North View Floors 20-29]"/>
    <s v="[view floor view.direction]"/>
  </r>
  <r>
    <x v="3"/>
    <s v="25 West Randolph Street"/>
    <x v="107"/>
    <s v="2808"/>
    <n v="28"/>
    <x v="1"/>
    <n v="1"/>
    <m/>
    <x v="80"/>
    <x v="101"/>
    <x v="142"/>
    <x v="0"/>
    <n v="33"/>
    <n v="2895"/>
    <n v="3.641509433962264"/>
    <n v="2895"/>
    <n v="3.641509433962264"/>
    <s v="[South View Floors 25-29 ADA Suites Extra Windows Floor 28 North View Floors 20-29]"/>
    <s v="[view floor view.direction]"/>
  </r>
  <r>
    <x v="3"/>
    <s v="25 West Randolph Street"/>
    <x v="107"/>
    <s v="3708"/>
    <m/>
    <x v="1"/>
    <n v="1"/>
    <m/>
    <x v="80"/>
    <x v="39"/>
    <x v="39"/>
    <x v="0"/>
    <n v="2"/>
    <n v="3053"/>
    <n v="3.8402515723270438"/>
    <n v="3053"/>
    <n v="3.8402515723270438"/>
    <s v="[Extra Windows Floor 37 South View Floors 30-37 Vaulted Ceilings North View Floors 30-37]"/>
    <s v="[view floor view.direction]"/>
  </r>
  <r>
    <x v="3"/>
    <s v="25 West Randolph Street"/>
    <x v="107"/>
    <s v="3008"/>
    <n v="30"/>
    <x v="1"/>
    <n v="1"/>
    <m/>
    <x v="80"/>
    <x v="370"/>
    <x v="15"/>
    <x v="0"/>
    <n v="20"/>
    <n v="3073"/>
    <n v="3.8654088050314463"/>
    <n v="3073"/>
    <n v="3.8654088050314463"/>
    <s v="[ADA Suites Extra Windows Floor 30 North View Floors 30-37 South View Floors 30-37]"/>
    <s v="[view floor view.direction]"/>
  </r>
  <r>
    <x v="3"/>
    <s v="25 West Randolph Street"/>
    <x v="107"/>
    <s v="3508"/>
    <n v="35"/>
    <x v="1"/>
    <n v="1"/>
    <m/>
    <x v="80"/>
    <x v="5"/>
    <x v="54"/>
    <x v="0"/>
    <n v="83"/>
    <n v="3077"/>
    <n v="3.8704402515723269"/>
    <n v="3077"/>
    <n v="3.8704402515723269"/>
    <s v="[ADA Suites Extra Windows Floor 35 South View Floors 30-37 North View Floors 30-37]"/>
    <s v="[view floor view.direction]"/>
  </r>
  <r>
    <x v="3"/>
    <s v="25 West Randolph Street"/>
    <x v="107"/>
    <s v="2308"/>
    <n v="23"/>
    <x v="1"/>
    <n v="1"/>
    <m/>
    <x v="80"/>
    <x v="371"/>
    <x v="420"/>
    <x v="0"/>
    <n v="5"/>
    <n v="2550"/>
    <n v="3.2075471698113209"/>
    <n v="2550"/>
    <n v="3.2075471698113209"/>
    <s v="[]"/>
    <s v="[]"/>
  </r>
  <r>
    <x v="3"/>
    <s v="25 West Randolph Street"/>
    <x v="107"/>
    <s v="1408"/>
    <n v="14"/>
    <x v="1"/>
    <n v="1"/>
    <m/>
    <x v="80"/>
    <x v="372"/>
    <x v="421"/>
    <x v="0"/>
    <n v="27"/>
    <n v="2678"/>
    <n v="3.368553459119497"/>
    <n v="2678"/>
    <n v="3.368553459119497"/>
    <s v="[]"/>
    <s v="[]"/>
  </r>
  <r>
    <x v="3"/>
    <s v="25 West Randolph Street"/>
    <x v="107"/>
    <s v="1008"/>
    <n v="10"/>
    <x v="1"/>
    <n v="1"/>
    <m/>
    <x v="80"/>
    <x v="354"/>
    <x v="32"/>
    <x v="0"/>
    <n v="15"/>
    <n v="2703"/>
    <n v="3.4"/>
    <n v="2703"/>
    <n v="3.4"/>
    <s v="[]"/>
    <s v="[]"/>
  </r>
  <r>
    <x v="3"/>
    <s v="25 West Randolph Street"/>
    <x v="107"/>
    <s v="2108"/>
    <n v="21"/>
    <x v="1"/>
    <n v="1"/>
    <m/>
    <x v="80"/>
    <x v="373"/>
    <x v="115"/>
    <x v="0"/>
    <n v="43"/>
    <n v="2766"/>
    <n v="3.479245283018868"/>
    <n v="2766"/>
    <n v="3.479245283018868"/>
    <s v="[]"/>
    <s v="[]"/>
  </r>
  <r>
    <x v="3"/>
    <s v="25 West Randolph Street"/>
    <x v="107"/>
    <s v="3308"/>
    <n v="33"/>
    <x v="1"/>
    <n v="1"/>
    <m/>
    <x v="80"/>
    <x v="347"/>
    <x v="25"/>
    <x v="0"/>
    <n v="14"/>
    <n v="2805"/>
    <n v="3.5283018867924527"/>
    <n v="2805"/>
    <n v="3.5283018867924527"/>
    <s v="[]"/>
    <s v="[]"/>
  </r>
  <r>
    <x v="3"/>
    <s v="25 West Randolph Street"/>
    <x v="108"/>
    <s v="609"/>
    <n v="6"/>
    <x v="1"/>
    <n v="1"/>
    <m/>
    <x v="81"/>
    <x v="228"/>
    <x v="227"/>
    <x v="0"/>
    <n v="137"/>
    <n v="2307"/>
    <n v="2.8551980198019802"/>
    <n v="2307"/>
    <n v="2.8551980198019802"/>
    <s v="[Floor 6 Vaulted Ceilings]"/>
    <s v="[floor]"/>
  </r>
  <r>
    <x v="3"/>
    <s v="25 West Randolph Street"/>
    <x v="109"/>
    <s v="1809"/>
    <n v="18"/>
    <x v="1"/>
    <n v="1"/>
    <m/>
    <x v="82"/>
    <x v="364"/>
    <x v="337"/>
    <x v="0"/>
    <n v="134"/>
    <n v="2525"/>
    <n v="3.1096059113300494"/>
    <n v="2525"/>
    <n v="3.1096059113300494"/>
    <s v="[Floor 18]"/>
    <s v="[floor corner_unit]"/>
  </r>
  <r>
    <x v="3"/>
    <s v="25 West Randolph Street"/>
    <x v="109"/>
    <s v="2809"/>
    <n v="28"/>
    <x v="1"/>
    <n v="1"/>
    <m/>
    <x v="82"/>
    <x v="374"/>
    <x v="165"/>
    <x v="0"/>
    <n v="71"/>
    <n v="2526"/>
    <n v="3.1108374384236455"/>
    <n v="2526"/>
    <n v="3.1108374384236455"/>
    <s v="[North View Floors 20-29 South View Floors 25-29 ADA Suites Extra Windows Floor 28]"/>
    <s v="[view.direction floor view corner_unit]"/>
  </r>
  <r>
    <x v="3"/>
    <s v="25 West Randolph Street"/>
    <x v="109"/>
    <s v="3609"/>
    <m/>
    <x v="1"/>
    <n v="1"/>
    <m/>
    <x v="82"/>
    <x v="177"/>
    <x v="95"/>
    <x v="0"/>
    <n v="72"/>
    <n v="2535"/>
    <n v="3.1219211822660098"/>
    <n v="2377"/>
    <n v="2.9273399014778323"/>
    <s v="[ADA Suites Extra Windows Floor 36 South View Floors 30-37 North View Floors 30-37]"/>
    <s v="[view floor view.direction corner_unit]"/>
  </r>
  <r>
    <x v="3"/>
    <s v="25 West Randolph Street"/>
    <x v="109"/>
    <s v="2909"/>
    <n v="29"/>
    <x v="1"/>
    <n v="1"/>
    <m/>
    <x v="82"/>
    <x v="39"/>
    <x v="384"/>
    <x v="0"/>
    <n v="73"/>
    <n v="2621"/>
    <n v="3.2278325123152709"/>
    <n v="2621"/>
    <n v="3.2278325123152709"/>
    <s v="[South View Floors 25-29 ADA Suites Extra Windows Floor 29 North View Floors 20-29]"/>
    <s v="[view floor view.direction corner_unit]"/>
  </r>
  <r>
    <x v="3"/>
    <s v="25 West Randolph Street"/>
    <x v="109"/>
    <s v="3209"/>
    <n v="32"/>
    <x v="1"/>
    <n v="1"/>
    <m/>
    <x v="82"/>
    <x v="369"/>
    <x v="194"/>
    <x v="0"/>
    <n v="281"/>
    <n v="2689"/>
    <n v="3.3115763546798029"/>
    <n v="2689"/>
    <n v="3.3115763546798029"/>
    <s v="[ADA Suites Extra Windows Floor 32 South View Floors 30-37 North View Floors 30-37]"/>
    <s v="[view floor view.direction corner_unit]"/>
  </r>
  <r>
    <x v="3"/>
    <s v="25 West Randolph Street"/>
    <x v="110"/>
    <s v="3709"/>
    <m/>
    <x v="1"/>
    <n v="1"/>
    <m/>
    <x v="82"/>
    <x v="256"/>
    <x v="137"/>
    <x v="0"/>
    <n v="75"/>
    <n v="2862"/>
    <n v="3.5246305418719213"/>
    <n v="2862"/>
    <n v="3.5246305418719213"/>
    <s v="[Extra Windows Floor 37 South View Floors 30-37 Vaulted Ceilings North View Floors 30-37]"/>
    <s v="[view floor view.direction corner_unit]"/>
  </r>
  <r>
    <x v="3"/>
    <s v="25 West Randolph Street"/>
    <x v="109"/>
    <s v="2309"/>
    <n v="23"/>
    <x v="1"/>
    <n v="1"/>
    <m/>
    <x v="82"/>
    <x v="375"/>
    <x v="422"/>
    <x v="0"/>
    <n v="22"/>
    <n v="2720"/>
    <n v="3.3497536945812807"/>
    <n v="2720"/>
    <n v="3.3497536945812807"/>
    <s v="[]"/>
    <s v="[]"/>
  </r>
  <r>
    <x v="3"/>
    <s v="25 West Randolph Street"/>
    <x v="111"/>
    <s v="1506"/>
    <n v="15"/>
    <x v="1"/>
    <n v="1"/>
    <m/>
    <x v="83"/>
    <x v="157"/>
    <x v="229"/>
    <x v="0"/>
    <n v="171"/>
    <n v="2606"/>
    <n v="3.2054120541205413"/>
    <n v="2606"/>
    <n v="3.2054120541205413"/>
    <s v="[ADA Suites Extra Windows Floor 15]"/>
    <s v="[floor corner_unit]"/>
  </r>
  <r>
    <x v="3"/>
    <s v="25 West Randolph Street"/>
    <x v="112"/>
    <s v="1606"/>
    <n v="16"/>
    <x v="1"/>
    <n v="1"/>
    <m/>
    <x v="83"/>
    <x v="70"/>
    <x v="423"/>
    <x v="0"/>
    <n v="198"/>
    <n v="2738"/>
    <n v="3.3677736777367775"/>
    <n v="2738"/>
    <n v="3.3677736777367775"/>
    <s v="[Extra Windows Floor 16]"/>
    <s v="[floor corner_unit]"/>
  </r>
  <r>
    <x v="3"/>
    <s v="25 West Randolph Street"/>
    <x v="111"/>
    <s v="1306"/>
    <n v="13"/>
    <x v="1"/>
    <n v="1"/>
    <m/>
    <x v="83"/>
    <x v="214"/>
    <x v="424"/>
    <x v="0"/>
    <n v="3"/>
    <n v="2784"/>
    <n v="3.4243542435424352"/>
    <n v="2784"/>
    <n v="3.4243542435424352"/>
    <s v="[Extra Windows Floor 13]"/>
    <s v="[floor corner_unit]"/>
  </r>
  <r>
    <x v="3"/>
    <s v="25 West Randolph Street"/>
    <x v="112"/>
    <s v="1906"/>
    <n v="19"/>
    <x v="1"/>
    <n v="1"/>
    <m/>
    <x v="83"/>
    <x v="358"/>
    <x v="423"/>
    <x v="0"/>
    <n v="178"/>
    <n v="2793"/>
    <n v="3.4354243542435423"/>
    <n v="2793"/>
    <n v="3.4354243542435423"/>
    <s v="[Extra Windows Floor 19]"/>
    <s v="[floor corner_unit]"/>
  </r>
  <r>
    <x v="3"/>
    <s v="25 West Randolph Street"/>
    <x v="111"/>
    <s v="1106"/>
    <n v="11"/>
    <x v="1"/>
    <n v="1"/>
    <m/>
    <x v="83"/>
    <x v="28"/>
    <x v="18"/>
    <x v="0"/>
    <n v="80"/>
    <n v="2844"/>
    <n v="3.4981549815498156"/>
    <n v="2844"/>
    <n v="3.4981549815498156"/>
    <s v="[Extra Windows Floor 11]"/>
    <s v="[floor corner_unit]"/>
  </r>
  <r>
    <x v="3"/>
    <s v="25 West Randolph Street"/>
    <x v="111"/>
    <s v="1206"/>
    <n v="12"/>
    <x v="1"/>
    <n v="1"/>
    <m/>
    <x v="83"/>
    <x v="370"/>
    <x v="139"/>
    <x v="0"/>
    <n v="29"/>
    <n v="2847"/>
    <n v="3.5018450184501844"/>
    <n v="2847"/>
    <n v="3.5018450184501844"/>
    <s v="[ADA Suites Extra Windows Floor 12]"/>
    <s v="[floor corner_unit]"/>
  </r>
  <r>
    <x v="3"/>
    <s v="25 West Randolph Street"/>
    <x v="111"/>
    <s v="2906"/>
    <n v="29"/>
    <x v="1"/>
    <n v="1"/>
    <m/>
    <x v="83"/>
    <x v="335"/>
    <x v="350"/>
    <x v="0"/>
    <n v="209"/>
    <n v="2866"/>
    <n v="3.5252152521525217"/>
    <n v="2866"/>
    <n v="3.5252152521525217"/>
    <s v="[South View Floors 25-29 ADA Suites Extra Windows Floor 29 North View Floors 20-29]"/>
    <s v="[view floor view.direction corner_unit]"/>
  </r>
  <r>
    <x v="3"/>
    <s v="25 West Randolph Street"/>
    <x v="111"/>
    <s v="2206"/>
    <n v="22"/>
    <x v="1"/>
    <n v="1"/>
    <m/>
    <x v="83"/>
    <x v="154"/>
    <x v="236"/>
    <x v="0"/>
    <n v="51"/>
    <n v="2886"/>
    <n v="3.5498154981549814"/>
    <n v="2886"/>
    <n v="3.5498154981549814"/>
    <s v="[Extra Windows Floor 22]"/>
    <s v="[floor corner_unit]"/>
  </r>
  <r>
    <x v="3"/>
    <s v="25 West Randolph Street"/>
    <x v="111"/>
    <s v="2706"/>
    <n v="27"/>
    <x v="1"/>
    <n v="1"/>
    <m/>
    <x v="83"/>
    <x v="376"/>
    <x v="383"/>
    <x v="0"/>
    <n v="71"/>
    <n v="2897"/>
    <n v="3.5633456334563345"/>
    <n v="2897"/>
    <n v="3.5633456334563345"/>
    <s v="[Extra Windows Floor 27 Vaulted Ceilings South View Floors 25-29 North View Floors 20-29]"/>
    <s v="[view floor view.direction corner_unit]"/>
  </r>
  <r>
    <x v="3"/>
    <s v="25 West Randolph Street"/>
    <x v="111"/>
    <s v="2006"/>
    <n v="20"/>
    <x v="1"/>
    <n v="1"/>
    <m/>
    <x v="83"/>
    <x v="325"/>
    <x v="212"/>
    <x v="0"/>
    <n v="7"/>
    <n v="2919"/>
    <n v="3.5904059040590406"/>
    <n v="2919"/>
    <n v="3.5904059040590406"/>
    <s v="[Floor 20 ADA Suites Extra Windows]"/>
    <s v="[floor corner_unit]"/>
  </r>
  <r>
    <x v="3"/>
    <s v="25 West Randolph Street"/>
    <x v="111"/>
    <s v="3206"/>
    <n v="32"/>
    <x v="1"/>
    <n v="1"/>
    <m/>
    <x v="83"/>
    <x v="377"/>
    <x v="255"/>
    <x v="0"/>
    <n v="62"/>
    <n v="2926"/>
    <n v="3.5990159901599017"/>
    <n v="2926"/>
    <n v="3.5990159901599017"/>
    <s v="[ADA Suites Extra Windows Floor 32 North View Floors 30-37 South View Floors 30-37]"/>
    <s v="[view floor view.direction corner_unit]"/>
  </r>
  <r>
    <x v="3"/>
    <s v="25 West Randolph Street"/>
    <x v="112"/>
    <s v="2406"/>
    <n v="24"/>
    <x v="1"/>
    <n v="1"/>
    <m/>
    <x v="83"/>
    <x v="148"/>
    <x v="28"/>
    <x v="1"/>
    <m/>
    <n v="3025"/>
    <n v="3.7207872078720787"/>
    <n v="3025"/>
    <n v="3.7207872078720787"/>
    <s v="[Floor 24 ADA Suites Extra Windows North View Floors 20-29]"/>
    <s v="[floor view.direction view corner_unit]"/>
  </r>
  <r>
    <x v="3"/>
    <s v="25 West Randolph Street"/>
    <x v="111"/>
    <s v="3706"/>
    <m/>
    <x v="1"/>
    <n v="1"/>
    <m/>
    <x v="83"/>
    <x v="331"/>
    <x v="279"/>
    <x v="0"/>
    <n v="40"/>
    <n v="3199"/>
    <n v="3.9348093480934812"/>
    <n v="3199"/>
    <n v="3.9348093480934812"/>
    <s v="[Extra Windows Floor 37 South View Floors 30-37 Vaulted Ceilings North View Floors 30-37]"/>
    <s v="[view floor view.direction corner_unit]"/>
  </r>
  <r>
    <x v="3"/>
    <s v="25 West Randolph Street"/>
    <x v="111"/>
    <s v="3006"/>
    <n v="30"/>
    <x v="1"/>
    <n v="1"/>
    <m/>
    <x v="83"/>
    <x v="45"/>
    <x v="425"/>
    <x v="0"/>
    <n v="16"/>
    <n v="2849"/>
    <n v="3.5043050430504303"/>
    <n v="2849"/>
    <n v="3.5043050430504303"/>
    <s v="[]"/>
    <s v="[]"/>
  </r>
  <r>
    <x v="3"/>
    <s v="25 West Randolph Street"/>
    <x v="111"/>
    <s v="2806"/>
    <n v="28"/>
    <x v="1"/>
    <n v="1"/>
    <m/>
    <x v="83"/>
    <x v="296"/>
    <x v="425"/>
    <x v="0"/>
    <n v="30"/>
    <n v="2857"/>
    <n v="3.5141451414514147"/>
    <n v="2857"/>
    <n v="3.5141451414514147"/>
    <s v="[]"/>
    <s v="[]"/>
  </r>
  <r>
    <x v="3"/>
    <s v="25 West Randolph Street"/>
    <x v="113"/>
    <s v="1307"/>
    <n v="13"/>
    <x v="1"/>
    <n v="1"/>
    <m/>
    <x v="84"/>
    <x v="173"/>
    <x v="426"/>
    <x v="0"/>
    <n v="183"/>
    <n v="2366"/>
    <n v="2.8995098039215685"/>
    <n v="2366"/>
    <n v="2.8995098039215685"/>
    <s v="[ADA Suites Extra Windows Floor 13]"/>
    <s v="[floor balcony_patio]"/>
  </r>
  <r>
    <x v="3"/>
    <s v="25 West Randolph Street"/>
    <x v="113"/>
    <s v="1207"/>
    <n v="12"/>
    <x v="1"/>
    <n v="1"/>
    <m/>
    <x v="84"/>
    <x v="341"/>
    <x v="411"/>
    <x v="0"/>
    <n v="155"/>
    <n v="2413"/>
    <n v="2.9571078431372548"/>
    <n v="2413"/>
    <n v="2.9571078431372548"/>
    <s v="[ADA Suites Extra Windows Floor 12]"/>
    <s v="[floor balcony_patio]"/>
  </r>
  <r>
    <x v="3"/>
    <s v="25 West Randolph Street"/>
    <x v="113"/>
    <s v="1007"/>
    <n v="10"/>
    <x v="1"/>
    <n v="1"/>
    <m/>
    <x v="84"/>
    <x v="345"/>
    <x v="427"/>
    <x v="0"/>
    <n v="7"/>
    <n v="2464"/>
    <n v="3.0196078431372548"/>
    <n v="2464"/>
    <n v="3.0196078431372548"/>
    <s v="[Extra Windows Floor 10 ADA Suites]"/>
    <s v="[floor balcony_patio]"/>
  </r>
  <r>
    <x v="3"/>
    <s v="25 West Randolph Street"/>
    <x v="113"/>
    <s v="1107"/>
    <n v="11"/>
    <x v="1"/>
    <n v="1"/>
    <m/>
    <x v="84"/>
    <x v="373"/>
    <x v="91"/>
    <x v="0"/>
    <n v="273"/>
    <n v="2569"/>
    <n v="3.1482843137254903"/>
    <n v="2569"/>
    <n v="3.1482843137254903"/>
    <s v="[ADA Suites Extra Windows Floor 11]"/>
    <s v="[floor balcony_patio]"/>
  </r>
  <r>
    <x v="3"/>
    <s v="25 West Randolph Street"/>
    <x v="113"/>
    <s v="907"/>
    <n v="9"/>
    <x v="1"/>
    <n v="1"/>
    <m/>
    <x v="84"/>
    <x v="11"/>
    <x v="428"/>
    <x v="0"/>
    <n v="27"/>
    <n v="2609"/>
    <n v="3.1973039215686274"/>
    <n v="2609"/>
    <n v="3.1973039215686274"/>
    <s v="[Extra Windows Floor 9 ADA Suites]"/>
    <s v="[floor balcony_patio]"/>
  </r>
  <r>
    <x v="3"/>
    <s v="25 West Randolph Street"/>
    <x v="114"/>
    <s v="3507"/>
    <n v="35"/>
    <x v="1"/>
    <n v="1"/>
    <m/>
    <x v="84"/>
    <x v="265"/>
    <x v="311"/>
    <x v="0"/>
    <n v="6"/>
    <n v="2647"/>
    <n v="3.2438725490196076"/>
    <n v="2647"/>
    <n v="3.2438725490196076"/>
    <s v="[ADA Suites Extra Windows Floor 35 South View Floors 30-37 North View Floors 30-37]"/>
    <s v="[view floor view.direction]"/>
  </r>
  <r>
    <x v="3"/>
    <s v="25 West Randolph Street"/>
    <x v="113"/>
    <s v="3207"/>
    <n v="32"/>
    <x v="1"/>
    <n v="1"/>
    <m/>
    <x v="84"/>
    <x v="378"/>
    <x v="328"/>
    <x v="0"/>
    <n v="52"/>
    <n v="2862"/>
    <n v="3.5073529411764706"/>
    <n v="2862"/>
    <n v="3.5073529411764706"/>
    <s v="[South View Floors 30-37 ADA Suites Extra Windows Floor 32 North View Floors 30-37]"/>
    <s v="[view floor view.direction balcony_patio]"/>
  </r>
  <r>
    <x v="3"/>
    <s v="25 West Randolph Street"/>
    <x v="113"/>
    <s v="2207"/>
    <n v="22"/>
    <x v="1"/>
    <n v="1"/>
    <m/>
    <x v="84"/>
    <x v="296"/>
    <x v="224"/>
    <x v="0"/>
    <n v="29"/>
    <n v="2823"/>
    <n v="3.4595588235294117"/>
    <n v="2823"/>
    <n v="3.4595588235294117"/>
    <s v="[]"/>
    <s v="[]"/>
  </r>
  <r>
    <x v="3"/>
    <s v="25 West Randolph Street"/>
    <x v="115"/>
    <s v="606"/>
    <n v="6"/>
    <x v="1"/>
    <n v="1"/>
    <m/>
    <x v="85"/>
    <x v="2"/>
    <x v="89"/>
    <x v="0"/>
    <n v="39"/>
    <n v="3036"/>
    <n v="3.7069597069597071"/>
    <n v="3036"/>
    <n v="3.7069597069597071"/>
    <s v="[6th Floor Terrace Medium ADA Suites Extra Windows Floor 6 Vaulted Ceilings]"/>
    <s v="[floor balcony_patio corner_unit]"/>
  </r>
  <r>
    <x v="3"/>
    <s v="25 West Randolph Street"/>
    <x v="116"/>
    <s v="2609"/>
    <n v="26"/>
    <x v="1"/>
    <n v="1"/>
    <m/>
    <x v="86"/>
    <x v="357"/>
    <x v="429"/>
    <x v="0"/>
    <n v="135"/>
    <n v="2427"/>
    <n v="2.9525547445255476"/>
    <n v="2333"/>
    <n v="2.8381995133819951"/>
    <s v="[Floor 26 North View Floors 20-29 North View Floors 25 &amp; 26 South View Floors 25 &amp; 26]"/>
    <s v="[view floor view.direction corner_unit]"/>
  </r>
  <r>
    <x v="3"/>
    <s v="25 West Randolph Street"/>
    <x v="116"/>
    <s v="1909"/>
    <n v="19"/>
    <x v="1"/>
    <n v="1"/>
    <m/>
    <x v="86"/>
    <x v="336"/>
    <x v="272"/>
    <x v="0"/>
    <n v="6"/>
    <n v="2456"/>
    <n v="2.9878345498783454"/>
    <n v="2456"/>
    <n v="2.9878345498783454"/>
    <s v="[Floor 19]"/>
    <s v="[floor corner_unit]"/>
  </r>
  <r>
    <x v="3"/>
    <s v="25 West Randolph Street"/>
    <x v="117"/>
    <s v="2807"/>
    <n v="28"/>
    <x v="1"/>
    <n v="1"/>
    <m/>
    <x v="86"/>
    <x v="137"/>
    <x v="94"/>
    <x v="0"/>
    <n v="16"/>
    <n v="2545"/>
    <n v="3.0961070559610704"/>
    <n v="2386"/>
    <n v="2.9026763990267641"/>
    <s v="[South View Floors 25-29 ADA Suites Extra Windows Floor 28 North View Floors 20-29]"/>
    <s v="[view floor view.direction balcony_patio]"/>
  </r>
  <r>
    <x v="3"/>
    <s v="25 West Randolph Street"/>
    <x v="117"/>
    <s v="807"/>
    <n v="8"/>
    <x v="1"/>
    <n v="1"/>
    <m/>
    <x v="86"/>
    <x v="39"/>
    <x v="89"/>
    <x v="0"/>
    <n v="14"/>
    <n v="2604"/>
    <n v="3.167883211678832"/>
    <n v="2604"/>
    <n v="3.167883211678832"/>
    <s v="[ADA Suites Extra Windows Floor 8]"/>
    <s v="[floor balcony_patio]"/>
  </r>
  <r>
    <x v="3"/>
    <s v="25 West Randolph Street"/>
    <x v="117"/>
    <s v="3607"/>
    <m/>
    <x v="1"/>
    <n v="1"/>
    <m/>
    <x v="86"/>
    <x v="63"/>
    <x v="430"/>
    <x v="0"/>
    <n v="33"/>
    <n v="2612"/>
    <n v="3.1776155717761556"/>
    <n v="2612"/>
    <n v="3.1776155717761556"/>
    <s v="[ADA Suites Extra Windows Floor 36 South View Floors 30-37 North View Floors 30-37]"/>
    <s v="[view floor view.direction balcony_patio]"/>
  </r>
  <r>
    <x v="3"/>
    <s v="25 West Randolph Street"/>
    <x v="116"/>
    <s v="2009"/>
    <n v="20"/>
    <x v="1"/>
    <n v="1"/>
    <m/>
    <x v="86"/>
    <x v="101"/>
    <x v="150"/>
    <x v="0"/>
    <n v="79"/>
    <n v="2681"/>
    <n v="3.2615571776155718"/>
    <n v="2681"/>
    <n v="3.2615571776155718"/>
    <s v="[Floor 20 North View Floors 20-29]"/>
    <s v="[floor view.direction view corner_unit]"/>
  </r>
  <r>
    <x v="3"/>
    <s v="25 West Randolph Street"/>
    <x v="117"/>
    <s v="2907"/>
    <n v="29"/>
    <x v="1"/>
    <n v="1"/>
    <m/>
    <x v="86"/>
    <x v="368"/>
    <x v="431"/>
    <x v="0"/>
    <n v="3"/>
    <n v="2791"/>
    <n v="3.3953771289537711"/>
    <n v="2791"/>
    <n v="3.3953771289537711"/>
    <s v="[South View Floors 25-29 ADA Suites Extra Windows Floor 29 North View Floors 20-29]"/>
    <s v="[view floor view.direction balcony_patio]"/>
  </r>
  <r>
    <x v="3"/>
    <s v="25 West Randolph Street"/>
    <x v="116"/>
    <s v="2109"/>
    <n v="21"/>
    <x v="1"/>
    <n v="1"/>
    <m/>
    <x v="86"/>
    <x v="345"/>
    <x v="40"/>
    <x v="0"/>
    <n v="36"/>
    <n v="2821"/>
    <n v="3.4318734793187349"/>
    <n v="2821"/>
    <n v="3.4318734793187349"/>
    <s v="[Floor 21 North View Floors 20-29]"/>
    <s v="[floor view.direction view corner_unit]"/>
  </r>
  <r>
    <x v="3"/>
    <s v="25 West Randolph Street"/>
    <x v="117"/>
    <s v="1707"/>
    <n v="17"/>
    <x v="1"/>
    <n v="1"/>
    <m/>
    <x v="86"/>
    <x v="343"/>
    <x v="208"/>
    <x v="0"/>
    <n v="86"/>
    <n v="2838"/>
    <n v="3.4525547445255476"/>
    <n v="2838"/>
    <n v="3.4525547445255476"/>
    <s v="[Extra Windows Floor 17 Vaulted Ceilings]"/>
    <s v="[floor balcony_patio]"/>
  </r>
  <r>
    <x v="3"/>
    <s v="25 West Randolph Street"/>
    <x v="116"/>
    <s v="2709"/>
    <n v="27"/>
    <x v="1"/>
    <n v="1"/>
    <m/>
    <x v="86"/>
    <x v="11"/>
    <x v="432"/>
    <x v="0"/>
    <n v="19"/>
    <n v="2953"/>
    <n v="3.5924574209245743"/>
    <n v="2953"/>
    <n v="3.5924574209245743"/>
    <s v="[Extra Windows Floor 27 Vaulted Ceilings North View Floors 20-29]"/>
    <s v="[floor view.direction view corner_unit]"/>
  </r>
  <r>
    <x v="3"/>
    <s v="25 West Randolph Street"/>
    <x v="117"/>
    <s v="3007"/>
    <n v="30"/>
    <x v="1"/>
    <n v="1"/>
    <m/>
    <x v="86"/>
    <x v="379"/>
    <x v="433"/>
    <x v="0"/>
    <n v="20"/>
    <n v="2903"/>
    <n v="3.5316301703163018"/>
    <n v="2903"/>
    <n v="3.5316301703163018"/>
    <s v="[]"/>
    <s v="[]"/>
  </r>
  <r>
    <x v="3"/>
    <s v="25 West Randolph Street"/>
    <x v="118"/>
    <s v="1009"/>
    <n v="10"/>
    <x v="1"/>
    <n v="1"/>
    <m/>
    <x v="87"/>
    <x v="357"/>
    <x v="17"/>
    <x v="0"/>
    <n v="7"/>
    <n v="2558"/>
    <n v="3.0634730538922157"/>
    <n v="2558"/>
    <n v="3.0634730538922157"/>
    <s v="[Floor 10]"/>
    <s v="[floor corner_unit]"/>
  </r>
  <r>
    <x v="3"/>
    <s v="25 West Randolph Street"/>
    <x v="118"/>
    <s v="2409"/>
    <n v="24"/>
    <x v="1"/>
    <n v="1"/>
    <m/>
    <x v="87"/>
    <x v="346"/>
    <x v="227"/>
    <x v="0"/>
    <n v="4"/>
    <n v="2720"/>
    <n v="3.2574850299401197"/>
    <n v="2720"/>
    <n v="3.2574850299401197"/>
    <s v="[Floor 24 North View Floors 20-29]"/>
    <s v="[floor view.direction view corner_unit]"/>
  </r>
  <r>
    <x v="3"/>
    <s v="25 West Randolph Street"/>
    <x v="118"/>
    <s v="3309"/>
    <n v="33"/>
    <x v="1"/>
    <n v="1"/>
    <m/>
    <x v="87"/>
    <x v="323"/>
    <x v="412"/>
    <x v="0"/>
    <n v="131"/>
    <n v="2756"/>
    <n v="3.3005988023952098"/>
    <n v="2756"/>
    <n v="3.3005988023952098"/>
    <s v="[ADA Suites Extra Windows Floor 33 South View Floors 30-37 North View Floors 30-37]"/>
    <s v="[view floor view.direction corner_unit]"/>
  </r>
  <r>
    <x v="3"/>
    <s v="25 West Randolph Street"/>
    <x v="118"/>
    <s v="909"/>
    <n v="9"/>
    <x v="1"/>
    <n v="1"/>
    <m/>
    <x v="87"/>
    <x v="370"/>
    <x v="434"/>
    <x v="0"/>
    <n v="23"/>
    <n v="2776"/>
    <n v="3.3245508982035927"/>
    <n v="2776"/>
    <n v="3.3245508982035927"/>
    <s v="[Floor 9]"/>
    <s v="[floor corner_unit]"/>
  </r>
  <r>
    <x v="3"/>
    <s v="25 West Randolph Street"/>
    <x v="118"/>
    <s v="3509"/>
    <n v="35"/>
    <x v="1"/>
    <n v="1"/>
    <m/>
    <x v="87"/>
    <x v="101"/>
    <x v="171"/>
    <x v="0"/>
    <n v="2"/>
    <n v="2893"/>
    <n v="3.4646706586826346"/>
    <n v="2893"/>
    <n v="3.4646706586826346"/>
    <s v="[ADA Suites Extra Windows Floor 35 North View Floors 30-37]"/>
    <s v="[floor view.direction view corner_unit]"/>
  </r>
  <r>
    <x v="3"/>
    <s v="25 West Randolph Street"/>
    <x v="118"/>
    <s v="3409"/>
    <n v="34"/>
    <x v="1"/>
    <n v="1"/>
    <m/>
    <x v="87"/>
    <x v="181"/>
    <x v="435"/>
    <x v="0"/>
    <n v="26"/>
    <n v="2898"/>
    <n v="3.4706586826347303"/>
    <n v="2898"/>
    <n v="3.4706586826347303"/>
    <s v="[]"/>
    <s v="[]"/>
  </r>
  <r>
    <x v="3"/>
    <s v="25 West Randolph Street"/>
    <x v="119"/>
    <s v="811"/>
    <n v="8"/>
    <x v="1"/>
    <n v="1"/>
    <m/>
    <x v="52"/>
    <x v="88"/>
    <x v="436"/>
    <x v="0"/>
    <n v="52"/>
    <n v="2480"/>
    <n v="2.9176470588235293"/>
    <n v="2386"/>
    <n v="2.8070588235294118"/>
    <s v="[Extra Nook Floor 8]"/>
    <s v="[floor corner_unit]"/>
  </r>
  <r>
    <x v="3"/>
    <s v="25 West Randolph Street"/>
    <x v="119"/>
    <s v="2211"/>
    <n v="22"/>
    <x v="1"/>
    <n v="1"/>
    <m/>
    <x v="52"/>
    <x v="332"/>
    <x v="437"/>
    <x v="0"/>
    <n v="11"/>
    <n v="2583"/>
    <n v="3.0388235294117649"/>
    <n v="2583"/>
    <n v="3.0388235294117649"/>
    <s v="[Extra Nook Floor 22 North View Floors 20-29]"/>
    <s v="[floor view.direction view corner_unit]"/>
  </r>
  <r>
    <x v="3"/>
    <s v="25 West Randolph Street"/>
    <x v="119"/>
    <s v="2111"/>
    <n v="21"/>
    <x v="1"/>
    <n v="1"/>
    <m/>
    <x v="52"/>
    <x v="353"/>
    <x v="383"/>
    <x v="0"/>
    <n v="78"/>
    <n v="2678"/>
    <n v="3.1505882352941175"/>
    <n v="2678"/>
    <n v="3.1505882352941175"/>
    <s v="[Extra Nook Floor 21 North View Floors 20-29]"/>
    <s v="[floor view.direction view corner_unit]"/>
  </r>
  <r>
    <x v="3"/>
    <s v="25 West Randolph Street"/>
    <x v="119"/>
    <s v="1911"/>
    <n v="19"/>
    <x v="1"/>
    <n v="1"/>
    <m/>
    <x v="52"/>
    <x v="325"/>
    <x v="347"/>
    <x v="0"/>
    <n v="72"/>
    <n v="2711"/>
    <n v="3.1894117647058824"/>
    <n v="2711"/>
    <n v="3.1894117647058824"/>
    <s v="[Extra Nook Floor 19]"/>
    <s v="[floor corner_unit]"/>
  </r>
  <r>
    <x v="3"/>
    <s v="25 West Randolph Street"/>
    <x v="119"/>
    <s v="2311"/>
    <n v="23"/>
    <x v="1"/>
    <n v="1"/>
    <m/>
    <x v="52"/>
    <x v="380"/>
    <x v="165"/>
    <x v="0"/>
    <n v="84"/>
    <n v="2718"/>
    <n v="3.1976470588235295"/>
    <n v="2718"/>
    <n v="3.1976470588235295"/>
    <s v="[Extra Nook Floor 23 North View Floors 20-29]"/>
    <s v="[floor view.direction view corner_unit]"/>
  </r>
  <r>
    <x v="3"/>
    <s v="25 West Randolph Street"/>
    <x v="119"/>
    <s v="1711"/>
    <n v="17"/>
    <x v="1"/>
    <n v="1"/>
    <m/>
    <x v="52"/>
    <x v="193"/>
    <x v="170"/>
    <x v="0"/>
    <n v="79"/>
    <n v="2791"/>
    <n v="3.283529411764706"/>
    <n v="2791"/>
    <n v="3.283529411764706"/>
    <s v="[Extra Nook Floor 17 Vaulted Ceilings]"/>
    <s v="[floor corner_unit]"/>
  </r>
  <r>
    <x v="3"/>
    <s v="25 West Randolph Street"/>
    <x v="119"/>
    <s v="1311"/>
    <n v="13"/>
    <x v="1"/>
    <n v="1"/>
    <m/>
    <x v="52"/>
    <x v="331"/>
    <x v="279"/>
    <x v="0"/>
    <n v="40"/>
    <n v="2852"/>
    <n v="3.355294117647059"/>
    <n v="2852"/>
    <n v="3.355294117647059"/>
    <s v="[Extra Nook Floor 13]"/>
    <s v="[floor corner_unit]"/>
  </r>
  <r>
    <x v="3"/>
    <s v="25 West Randolph Street"/>
    <x v="119"/>
    <s v="1811"/>
    <n v="18"/>
    <x v="1"/>
    <n v="1"/>
    <m/>
    <x v="52"/>
    <x v="296"/>
    <x v="224"/>
    <x v="0"/>
    <n v="29"/>
    <n v="2824"/>
    <n v="3.3223529411764705"/>
    <n v="2824"/>
    <n v="3.3223529411764705"/>
    <s v="[]"/>
    <s v="[]"/>
  </r>
  <r>
    <x v="3"/>
    <s v="25 West Randolph Street"/>
    <x v="119"/>
    <s v="1211"/>
    <n v="12"/>
    <x v="1"/>
    <n v="1"/>
    <m/>
    <x v="52"/>
    <x v="372"/>
    <x v="368"/>
    <x v="0"/>
    <n v="16"/>
    <n v="2836"/>
    <n v="3.3364705882352941"/>
    <n v="2836"/>
    <n v="3.3364705882352941"/>
    <s v="[]"/>
    <s v="[]"/>
  </r>
  <r>
    <x v="3"/>
    <s v="25 West Randolph Street"/>
    <x v="119"/>
    <s v="1611"/>
    <n v="16"/>
    <x v="1"/>
    <n v="1"/>
    <m/>
    <x v="52"/>
    <x v="130"/>
    <x v="191"/>
    <x v="0"/>
    <m/>
    <n v="2895"/>
    <n v="3.4058823529411764"/>
    <n v="2895"/>
    <n v="3.4058823529411764"/>
    <s v="[]"/>
    <s v="[]"/>
  </r>
  <r>
    <x v="3"/>
    <s v="25 West Randolph Street"/>
    <x v="119"/>
    <s v="3711"/>
    <n v="3"/>
    <x v="1"/>
    <n v="1"/>
    <m/>
    <x v="52"/>
    <x v="130"/>
    <x v="438"/>
    <x v="0"/>
    <m/>
    <n v="2999"/>
    <n v="3.5282352941176471"/>
    <n v="2999"/>
    <n v="3.5282352941176471"/>
    <s v="[]"/>
    <s v="[]"/>
  </r>
  <r>
    <x v="3"/>
    <s v="25 West Randolph Street"/>
    <x v="119"/>
    <s v="2911"/>
    <n v="29"/>
    <x v="1"/>
    <n v="1"/>
    <m/>
    <x v="52"/>
    <x v="130"/>
    <x v="22"/>
    <x v="0"/>
    <m/>
    <n v="3051"/>
    <n v="3.5894117647058823"/>
    <n v="3051"/>
    <n v="3.5894117647058823"/>
    <s v="[]"/>
    <s v="[]"/>
  </r>
  <r>
    <x v="3"/>
    <s v="25 West Randolph Street"/>
    <x v="120"/>
    <s v="2304"/>
    <n v="23"/>
    <x v="1"/>
    <n v="1"/>
    <m/>
    <x v="88"/>
    <x v="184"/>
    <x v="359"/>
    <x v="0"/>
    <n v="127"/>
    <n v="2642"/>
    <n v="3.0900584795321637"/>
    <n v="2642"/>
    <n v="3.0900584795321637"/>
    <s v="[Extra Windows Floor 23]"/>
    <s v="[floor]"/>
  </r>
  <r>
    <x v="3"/>
    <s v="25 West Randolph Street"/>
    <x v="120"/>
    <s v="1904"/>
    <n v="19"/>
    <x v="1"/>
    <n v="1"/>
    <m/>
    <x v="88"/>
    <x v="276"/>
    <x v="214"/>
    <x v="0"/>
    <n v="5"/>
    <n v="2733"/>
    <n v="3.1964912280701756"/>
    <n v="2733"/>
    <n v="3.1964912280701756"/>
    <s v="[Extra Windows Floor 19]"/>
    <s v="[floor]"/>
  </r>
  <r>
    <x v="3"/>
    <s v="25 West Randolph Street"/>
    <x v="120"/>
    <s v="1404"/>
    <n v="14"/>
    <x v="1"/>
    <n v="1"/>
    <m/>
    <x v="88"/>
    <x v="308"/>
    <x v="383"/>
    <x v="0"/>
    <n v="92"/>
    <n v="2747"/>
    <n v="3.2128654970760233"/>
    <n v="2747"/>
    <n v="3.2128654970760233"/>
    <s v="[Extra Windows Floor 14]"/>
    <s v="[floor]"/>
  </r>
  <r>
    <x v="3"/>
    <s v="25 West Randolph Street"/>
    <x v="121"/>
    <s v="1004"/>
    <n v="10"/>
    <x v="1"/>
    <n v="1"/>
    <m/>
    <x v="88"/>
    <x v="224"/>
    <x v="439"/>
    <x v="0"/>
    <n v="3"/>
    <n v="2764"/>
    <n v="3.232748538011696"/>
    <n v="2764"/>
    <n v="3.232748538011696"/>
    <s v="[Floor 10 Extra Windows]"/>
    <s v="[floor]"/>
  </r>
  <r>
    <x v="3"/>
    <s v="25 West Randolph Street"/>
    <x v="120"/>
    <s v="2804"/>
    <n v="28"/>
    <x v="1"/>
    <n v="1"/>
    <m/>
    <x v="88"/>
    <x v="357"/>
    <x v="136"/>
    <x v="0"/>
    <n v="4"/>
    <n v="2819"/>
    <n v="3.297076023391813"/>
    <n v="2819"/>
    <n v="3.297076023391813"/>
    <s v="[South View Floors 25-29 Extra Windows Floor 28 North View Floors 20-29]"/>
    <s v="[view floor view.direction]"/>
  </r>
  <r>
    <x v="3"/>
    <s v="25 West Randolph Street"/>
    <x v="120"/>
    <s v="1804"/>
    <n v="18"/>
    <x v="1"/>
    <n v="1"/>
    <m/>
    <x v="88"/>
    <x v="343"/>
    <x v="236"/>
    <x v="0"/>
    <n v="18"/>
    <n v="2849"/>
    <n v="3.3321637426900583"/>
    <n v="2849"/>
    <n v="3.3321637426900583"/>
    <s v="[Extra Windows Floor 18]"/>
    <s v="[floor]"/>
  </r>
  <r>
    <x v="3"/>
    <s v="25 West Randolph Street"/>
    <x v="120"/>
    <s v="2404"/>
    <n v="24"/>
    <x v="1"/>
    <n v="1"/>
    <m/>
    <x v="88"/>
    <x v="207"/>
    <x v="1"/>
    <x v="0"/>
    <n v="9"/>
    <n v="2862"/>
    <n v="3.3473684210526318"/>
    <n v="2862"/>
    <n v="3.3473684210526318"/>
    <s v="[Floor 24 North View Floors 20-29 Extra Windows]"/>
    <s v="[floor view.direction view]"/>
  </r>
  <r>
    <x v="3"/>
    <s v="25 West Randolph Street"/>
    <x v="120"/>
    <s v="1704"/>
    <n v="17"/>
    <x v="1"/>
    <n v="1"/>
    <m/>
    <x v="88"/>
    <x v="357"/>
    <x v="18"/>
    <x v="0"/>
    <n v="8"/>
    <n v="2889"/>
    <n v="3.3789473684210525"/>
    <n v="2889"/>
    <n v="3.3789473684210525"/>
    <s v="[Extra Windows Floor 17 Vaulted Ceilings]"/>
    <s v="[floor]"/>
  </r>
  <r>
    <x v="3"/>
    <s v="25 West Randolph Street"/>
    <x v="120"/>
    <s v="2004"/>
    <n v="20"/>
    <x v="1"/>
    <n v="1"/>
    <m/>
    <x v="88"/>
    <x v="101"/>
    <x v="61"/>
    <x v="0"/>
    <n v="5"/>
    <n v="2914"/>
    <n v="3.4081871345029238"/>
    <n v="2914"/>
    <n v="3.4081871345029238"/>
    <s v="[Extra Windows Floor 20]"/>
    <s v="[floor]"/>
  </r>
  <r>
    <x v="3"/>
    <s v="25 West Randolph Street"/>
    <x v="120"/>
    <s v="2604"/>
    <n v="26"/>
    <x v="1"/>
    <n v="1"/>
    <m/>
    <x v="88"/>
    <x v="381"/>
    <x v="105"/>
    <x v="0"/>
    <n v="5"/>
    <n v="2961"/>
    <n v="3.4631578947368422"/>
    <n v="2961"/>
    <n v="3.4631578947368422"/>
    <s v="[Extra Windows Floor 26 South View Floors 25-29 North View Floors 20-29 North View Floors 25 &amp; 26 South View Floors 25 &amp; 26]"/>
    <s v="[view floor view.direction]"/>
  </r>
  <r>
    <x v="3"/>
    <s v="25 West Randolph Street"/>
    <x v="121"/>
    <s v="2504"/>
    <n v="25"/>
    <x v="1"/>
    <n v="1"/>
    <m/>
    <x v="88"/>
    <x v="382"/>
    <x v="336"/>
    <x v="0"/>
    <n v="10"/>
    <n v="3063"/>
    <n v="3.5824561403508772"/>
    <n v="3063"/>
    <n v="3.5824561403508772"/>
    <s v="[Extra Windows Floor 25 South View Floors 25-29 North View Floors 20-29 South View Floors 25 &amp; 26]"/>
    <s v="[view floor view.direction]"/>
  </r>
  <r>
    <x v="3"/>
    <s v="25 West Randolph Street"/>
    <x v="120"/>
    <s v="1204"/>
    <n v="12"/>
    <x v="1"/>
    <n v="1"/>
    <m/>
    <x v="88"/>
    <x v="258"/>
    <x v="440"/>
    <x v="0"/>
    <n v="3"/>
    <n v="2658"/>
    <n v="3.1087719298245613"/>
    <n v="2658"/>
    <n v="3.1087719298245613"/>
    <s v="[]"/>
    <s v="[]"/>
  </r>
  <r>
    <x v="3"/>
    <s v="25 West Randolph Street"/>
    <x v="120"/>
    <s v="2104"/>
    <n v="21"/>
    <x v="1"/>
    <n v="1"/>
    <m/>
    <x v="88"/>
    <x v="383"/>
    <x v="389"/>
    <x v="0"/>
    <n v="12"/>
    <n v="2804"/>
    <n v="3.2795321637426902"/>
    <n v="2804"/>
    <n v="3.2795321637426902"/>
    <s v="[]"/>
    <s v="[]"/>
  </r>
  <r>
    <x v="3"/>
    <s v="25 West Randolph Street"/>
    <x v="120"/>
    <s v="1104"/>
    <n v="11"/>
    <x v="1"/>
    <n v="1"/>
    <m/>
    <x v="88"/>
    <x v="181"/>
    <x v="32"/>
    <x v="0"/>
    <n v="7"/>
    <n v="2870"/>
    <n v="3.3567251461988303"/>
    <n v="2870"/>
    <n v="3.3567251461988303"/>
    <s v="[]"/>
    <s v="[]"/>
  </r>
  <r>
    <x v="3"/>
    <s v="25 West Randolph Street"/>
    <x v="122"/>
    <s v="1907"/>
    <n v="19"/>
    <x v="1"/>
    <n v="1"/>
    <m/>
    <x v="89"/>
    <x v="365"/>
    <x v="359"/>
    <x v="0"/>
    <n v="13"/>
    <n v="2492"/>
    <n v="2.8943089430894311"/>
    <n v="2492"/>
    <n v="2.8943089430894311"/>
    <s v="[ADA Suites Extra Windows Floor 19]"/>
    <s v="[floor balcony_patio]"/>
  </r>
  <r>
    <x v="3"/>
    <s v="25 West Randolph Street"/>
    <x v="122"/>
    <s v="2107"/>
    <n v="21"/>
    <x v="1"/>
    <n v="1"/>
    <m/>
    <x v="89"/>
    <x v="274"/>
    <x v="437"/>
    <x v="0"/>
    <n v="44"/>
    <n v="2583"/>
    <n v="3"/>
    <n v="2583"/>
    <n v="3"/>
    <s v="[ADA Suites Extra Windows Floor 21 North View Floors 20-29]"/>
    <s v="[floor view.direction view balcony_patio]"/>
  </r>
  <r>
    <x v="3"/>
    <s v="25 West Randolph Street"/>
    <x v="122"/>
    <s v="2707"/>
    <n v="27"/>
    <x v="1"/>
    <n v="1"/>
    <m/>
    <x v="89"/>
    <x v="183"/>
    <x v="430"/>
    <x v="0"/>
    <n v="80"/>
    <n v="2586"/>
    <n v="3.0034843205574915"/>
    <n v="2492"/>
    <n v="2.8943089430894311"/>
    <s v="[Extra Windows Floor 27 Vaulted Ceilings North View Floors 20-29]"/>
    <s v="[floor view.direction view balcony_patio]"/>
  </r>
  <r>
    <x v="3"/>
    <s v="25 West Randolph Street"/>
    <x v="122"/>
    <s v="1507"/>
    <n v="15"/>
    <x v="1"/>
    <n v="1"/>
    <m/>
    <x v="89"/>
    <x v="357"/>
    <x v="150"/>
    <x v="0"/>
    <n v="2"/>
    <n v="2686"/>
    <n v="3.1196283391405344"/>
    <n v="2686"/>
    <n v="3.1196283391405344"/>
    <s v="[ADA Suites Extra Windows Floor 15]"/>
    <s v="[floor balcony_patio]"/>
  </r>
  <r>
    <x v="3"/>
    <s v="25 West Randolph Street"/>
    <x v="114"/>
    <s v="2007"/>
    <n v="20"/>
    <x v="1"/>
    <n v="1"/>
    <m/>
    <x v="89"/>
    <x v="194"/>
    <x v="271"/>
    <x v="0"/>
    <n v="7"/>
    <n v="2698"/>
    <n v="3.1335656213704994"/>
    <n v="2698"/>
    <n v="3.1335656213704994"/>
    <s v="[ADA Suites Extra Windows Floor 20 North View Floors 20-29]"/>
    <s v="[floor view.direction view balcony_patio]"/>
  </r>
  <r>
    <x v="3"/>
    <s v="25 West Randolph Street"/>
    <x v="122"/>
    <s v="1407"/>
    <n v="14"/>
    <x v="1"/>
    <n v="1"/>
    <m/>
    <x v="89"/>
    <x v="353"/>
    <x v="383"/>
    <x v="0"/>
    <n v="78"/>
    <n v="2788"/>
    <n v="3.2380952380952381"/>
    <n v="2788"/>
    <n v="3.2380952380952381"/>
    <s v="[ADA Suites Extra Windows Floor 14]"/>
    <s v="[floor balcony_patio]"/>
  </r>
  <r>
    <x v="3"/>
    <s v="25 West Randolph Street"/>
    <x v="122"/>
    <s v="2607"/>
    <n v="26"/>
    <x v="1"/>
    <n v="1"/>
    <m/>
    <x v="89"/>
    <x v="39"/>
    <x v="89"/>
    <x v="0"/>
    <n v="14"/>
    <n v="2837"/>
    <n v="3.2950058072009289"/>
    <n v="2837"/>
    <n v="3.2950058072009289"/>
    <s v="[ADA Suites Extra Windows Floor 26 North View Floors 20-29 North View Floors 25 &amp; 26 South View Floors 25 &amp; 26]"/>
    <s v="[view floor view.direction balcony_patio]"/>
  </r>
  <r>
    <x v="3"/>
    <s v="25 West Randolph Street"/>
    <x v="123"/>
    <s v="2623"/>
    <n v="26"/>
    <x v="1"/>
    <n v="1"/>
    <m/>
    <x v="27"/>
    <x v="200"/>
    <x v="409"/>
    <x v="0"/>
    <n v="82"/>
    <n v="2421"/>
    <n v="2.7731958762886597"/>
    <n v="2270"/>
    <n v="2.600229095074456"/>
    <s v="[Floor 26 North View Floors 20-29 North View Floors 25 &amp; 26]"/>
    <s v="[view floor view.direction]"/>
  </r>
  <r>
    <x v="3"/>
    <s v="25 West Randolph Street"/>
    <x v="123"/>
    <s v="2023"/>
    <n v="20"/>
    <x v="1"/>
    <n v="1"/>
    <m/>
    <x v="27"/>
    <x v="256"/>
    <x v="269"/>
    <x v="0"/>
    <n v="33"/>
    <n v="2606"/>
    <n v="2.9851088201603666"/>
    <n v="2606"/>
    <n v="2.9851088201603666"/>
    <s v="[Floor 20 North View Floors 20-29]"/>
    <s v="[floor view.direction view]"/>
  </r>
  <r>
    <x v="3"/>
    <s v="25 West Randolph Street"/>
    <x v="123"/>
    <s v="723"/>
    <n v="7"/>
    <x v="1"/>
    <n v="1"/>
    <m/>
    <x v="27"/>
    <x v="355"/>
    <x v="128"/>
    <x v="0"/>
    <n v="26"/>
    <n v="2619"/>
    <n v="3"/>
    <n v="2619"/>
    <n v="3"/>
    <s v="[Floor 7]"/>
    <s v="[floor]"/>
  </r>
  <r>
    <x v="3"/>
    <s v="25 West Randolph Street"/>
    <x v="123"/>
    <s v="2523"/>
    <n v="25"/>
    <x v="1"/>
    <n v="1"/>
    <m/>
    <x v="27"/>
    <x v="384"/>
    <x v="377"/>
    <x v="0"/>
    <n v="180"/>
    <n v="2635"/>
    <n v="3.0183276059564719"/>
    <n v="2635"/>
    <n v="3.0183276059564719"/>
    <s v="[Floor 25 North View Floors 25 &amp; 26 South View Floors 25 &amp; 26 North View Floors 20-29]"/>
    <s v="[view floor view.direction]"/>
  </r>
  <r>
    <x v="3"/>
    <s v="25 West Randolph Street"/>
    <x v="123"/>
    <s v="3423"/>
    <n v="34"/>
    <x v="1"/>
    <n v="1"/>
    <m/>
    <x v="27"/>
    <x v="341"/>
    <x v="441"/>
    <x v="0"/>
    <n v="150"/>
    <n v="2705"/>
    <n v="3.0985108820160367"/>
    <n v="2705"/>
    <n v="3.0985108820160367"/>
    <s v="[ADA Suites Extra Windows Floor 34 South View Floors 30-37 North View Floors 30-37]"/>
    <s v="[view floor view.direction]"/>
  </r>
  <r>
    <x v="3"/>
    <s v="25 West Randolph Street"/>
    <x v="123"/>
    <s v="1923"/>
    <n v="19"/>
    <x v="1"/>
    <n v="1"/>
    <m/>
    <x v="27"/>
    <x v="347"/>
    <x v="407"/>
    <x v="0"/>
    <n v="2"/>
    <n v="2975"/>
    <n v="3.4077892325315005"/>
    <n v="2975"/>
    <n v="3.4077892325315005"/>
    <s v="[]"/>
    <s v="[]"/>
  </r>
  <r>
    <x v="3"/>
    <s v="25 West Randolph Street"/>
    <x v="123"/>
    <s v="3723"/>
    <m/>
    <x v="1"/>
    <n v="1"/>
    <m/>
    <x v="27"/>
    <x v="130"/>
    <x v="206"/>
    <x v="0"/>
    <m/>
    <n v="3048"/>
    <n v="3.4914089347079038"/>
    <n v="3048"/>
    <n v="3.4914089347079038"/>
    <s v="[]"/>
    <s v="[]"/>
  </r>
  <r>
    <x v="3"/>
    <s v="25 West Randolph Street"/>
    <x v="124"/>
    <s v="923"/>
    <n v="9"/>
    <x v="1"/>
    <n v="1"/>
    <m/>
    <x v="90"/>
    <x v="332"/>
    <x v="268"/>
    <x v="0"/>
    <n v="3"/>
    <n v="2448"/>
    <n v="2.7661016949152541"/>
    <n v="2448"/>
    <n v="2.7661016949152541"/>
    <s v="[Floor 9]"/>
    <s v="[floor]"/>
  </r>
  <r>
    <x v="3"/>
    <s v="25 West Randolph Street"/>
    <x v="124"/>
    <s v="1823"/>
    <n v="18"/>
    <x v="1"/>
    <n v="1"/>
    <m/>
    <x v="90"/>
    <x v="39"/>
    <x v="39"/>
    <x v="0"/>
    <n v="2"/>
    <n v="2550"/>
    <n v="2.8813559322033897"/>
    <n v="2550"/>
    <n v="2.8813559322033897"/>
    <s v="[Floor 18]"/>
    <s v="[floor]"/>
  </r>
  <r>
    <x v="3"/>
    <s v="25 West Randolph Street"/>
    <x v="124"/>
    <s v="2123"/>
    <n v="21"/>
    <x v="1"/>
    <n v="1"/>
    <m/>
    <x v="90"/>
    <x v="346"/>
    <x v="125"/>
    <x v="0"/>
    <n v="12"/>
    <n v="2635"/>
    <n v="2.977401129943503"/>
    <n v="2635"/>
    <n v="2.977401129943503"/>
    <s v="[North View Floors 20-29 Floor 21]"/>
    <s v="[view.direction floor view]"/>
  </r>
  <r>
    <x v="3"/>
    <s v="25 West Randolph Street"/>
    <x v="124"/>
    <s v="3123"/>
    <n v="31"/>
    <x v="1"/>
    <n v="1"/>
    <m/>
    <x v="90"/>
    <x v="358"/>
    <x v="363"/>
    <x v="0"/>
    <n v="47"/>
    <n v="2795"/>
    <n v="3.1581920903954801"/>
    <n v="2795"/>
    <n v="3.1581920903954801"/>
    <s v="[ADA Suites Extra Windows Floor 31 North View Floors 30-37]"/>
    <s v="[floor view.direction view]"/>
  </r>
  <r>
    <x v="3"/>
    <s v="25 West Randolph Street"/>
    <x v="125"/>
    <s v="2923"/>
    <n v="29"/>
    <x v="1"/>
    <n v="1"/>
    <m/>
    <x v="90"/>
    <x v="332"/>
    <x v="28"/>
    <x v="1"/>
    <m/>
    <n v="2895"/>
    <n v="3.2711864406779663"/>
    <n v="2895"/>
    <n v="3.2711864406779663"/>
    <s v="[South View Floors 25-29 ADA Suites Extra Windows Floor 29 North View Floors 20-29]"/>
    <s v="[view floor view.direction]"/>
  </r>
  <r>
    <x v="3"/>
    <s v="25 West Randolph Street"/>
    <x v="126"/>
    <s v="911"/>
    <n v="9"/>
    <x v="1"/>
    <n v="1"/>
    <m/>
    <x v="91"/>
    <x v="63"/>
    <x v="155"/>
    <x v="0"/>
    <n v="99"/>
    <n v="2597"/>
    <n v="2.872787610619469"/>
    <n v="2597"/>
    <n v="2.872787610619469"/>
    <s v="[Floor 9 Extra Nook]"/>
    <s v="[floor corner_unit]"/>
  </r>
  <r>
    <x v="3"/>
    <s v="25 West Randolph Street"/>
    <x v="127"/>
    <s v="1011"/>
    <n v="10"/>
    <x v="1"/>
    <n v="1"/>
    <m/>
    <x v="91"/>
    <x v="323"/>
    <x v="152"/>
    <x v="0"/>
    <n v="69"/>
    <n v="2690"/>
    <n v="2.9756637168141591"/>
    <n v="2690"/>
    <n v="2.9756637168141591"/>
    <s v="[Extra Nook Floor 10]"/>
    <s v="[floor corner_unit]"/>
  </r>
  <r>
    <x v="3"/>
    <s v="25 West Randolph Street"/>
    <x v="127"/>
    <s v="2511"/>
    <n v="25"/>
    <x v="1"/>
    <n v="1"/>
    <m/>
    <x v="91"/>
    <x v="328"/>
    <x v="427"/>
    <x v="0"/>
    <n v="12"/>
    <n v="2717"/>
    <n v="3.0055309734513274"/>
    <n v="2717"/>
    <n v="3.0055309734513274"/>
    <s v="[Extra Nook Floor 25 North View Floors 25 &amp; 26 North View Floors 20-29]"/>
    <s v="[view floor view.direction corner_unit]"/>
  </r>
  <r>
    <x v="3"/>
    <s v="25 West Randolph Street"/>
    <x v="126"/>
    <s v="3511"/>
    <n v="3"/>
    <x v="1"/>
    <n v="1"/>
    <m/>
    <x v="91"/>
    <x v="186"/>
    <x v="203"/>
    <x v="0"/>
    <n v="12"/>
    <n v="2952"/>
    <n v="3.2654867256637168"/>
    <n v="2952"/>
    <n v="3.2654867256637168"/>
    <s v="[Extra Nook ADA Suites Extra Windows Floor 35 South View Floors 30-37 North View Floors 30-37]"/>
    <s v="[view floor view.direction corner_unit]"/>
  </r>
  <r>
    <x v="3"/>
    <s v="25 West Randolph Street"/>
    <x v="127"/>
    <s v="3311"/>
    <n v="33"/>
    <x v="1"/>
    <n v="1"/>
    <m/>
    <x v="91"/>
    <x v="234"/>
    <x v="310"/>
    <x v="0"/>
    <n v="19"/>
    <n v="3139"/>
    <n v="3.4723451327433628"/>
    <n v="3139"/>
    <n v="3.4723451327433628"/>
    <s v="[ADA Suites Extra Nook Extra Windows Floor 33 South View Floors 30-37 North View Floors 30-37]"/>
    <s v="[view floor view.direction corner_unit]"/>
  </r>
  <r>
    <x v="3"/>
    <s v="25 West Randolph Street"/>
    <x v="127"/>
    <s v="3411"/>
    <n v="34"/>
    <x v="1"/>
    <n v="1"/>
    <m/>
    <x v="91"/>
    <x v="331"/>
    <x v="0"/>
    <x v="0"/>
    <n v="59"/>
    <n v="3147"/>
    <n v="3.4811946902654869"/>
    <n v="3147"/>
    <n v="3.4811946902654869"/>
    <s v="[ADA Suites Extra Nook Extra Windows Floor 34 South View Floors 30-37 North View Floors 30-37]"/>
    <s v="[view floor view.direction corner_unit]"/>
  </r>
  <r>
    <x v="3"/>
    <s v="25 West Randolph Street"/>
    <x v="125"/>
    <s v="2323"/>
    <n v="23"/>
    <x v="1"/>
    <n v="1"/>
    <m/>
    <x v="92"/>
    <x v="385"/>
    <x v="140"/>
    <x v="0"/>
    <n v="3"/>
    <n v="2799"/>
    <n v="3.0894039735099339"/>
    <n v="2799"/>
    <n v="3.0894039735099339"/>
    <s v="[Floor 23 North View Floors 20-29]"/>
    <s v="[floor view.direction view]"/>
  </r>
  <r>
    <x v="3"/>
    <s v="25 West Randolph Street"/>
    <x v="128"/>
    <s v="3623"/>
    <m/>
    <x v="1"/>
    <n v="1"/>
    <m/>
    <x v="92"/>
    <x v="325"/>
    <x v="442"/>
    <x v="0"/>
    <n v="92"/>
    <n v="2811"/>
    <n v="3.1026490066225167"/>
    <n v="2811"/>
    <n v="3.1026490066225167"/>
    <s v="[Extra Windows Floor 36 North View Floors 30-37 South View Floors 30-37]"/>
    <s v="[view floor view.direction]"/>
  </r>
  <r>
    <x v="3"/>
    <s v="25 West Randolph Street"/>
    <x v="128"/>
    <s v="1323"/>
    <n v="13"/>
    <x v="1"/>
    <n v="1"/>
    <m/>
    <x v="92"/>
    <x v="349"/>
    <x v="84"/>
    <x v="0"/>
    <n v="55"/>
    <n v="2912"/>
    <n v="3.2141280353200883"/>
    <n v="2912"/>
    <n v="3.2141280353200883"/>
    <s v="[Floor 13]"/>
    <s v="[floor]"/>
  </r>
  <r>
    <x v="3"/>
    <s v="25 West Randolph Street"/>
    <x v="128"/>
    <s v="2723"/>
    <n v="27"/>
    <x v="1"/>
    <n v="1"/>
    <m/>
    <x v="92"/>
    <x v="357"/>
    <x v="51"/>
    <x v="0"/>
    <n v="5"/>
    <n v="2943"/>
    <n v="3.2483443708609272"/>
    <n v="2943"/>
    <n v="3.2483443708609272"/>
    <s v="[South View Floors 25-29 Extra Windows Floor 27 Vaulted Ceilings North View Floors 20-29]"/>
    <s v="[view floor view.direction]"/>
  </r>
  <r>
    <x v="3"/>
    <s v="25 West Randolph Street"/>
    <x v="128"/>
    <s v="2423"/>
    <n v="24"/>
    <x v="1"/>
    <n v="1"/>
    <m/>
    <x v="92"/>
    <x v="130"/>
    <x v="117"/>
    <x v="0"/>
    <m/>
    <n v="2814"/>
    <n v="3.1059602649006623"/>
    <n v="2814"/>
    <n v="3.1059602649006623"/>
    <s v="[]"/>
    <s v="[]"/>
  </r>
  <r>
    <x v="3"/>
    <s v="25 West Randolph Street"/>
    <x v="129"/>
    <s v="603"/>
    <n v="6"/>
    <x v="1"/>
    <n v="1"/>
    <m/>
    <x v="93"/>
    <x v="179"/>
    <x v="28"/>
    <x v="1"/>
    <m/>
    <n v="2910"/>
    <n v="2.9543147208121829"/>
    <n v="2910"/>
    <n v="2.9543147208121829"/>
    <s v="[Floor 6 Vaulted Ceilings]"/>
    <s v="[floor]"/>
  </r>
  <r>
    <x v="3"/>
    <s v="25 West Randolph Street"/>
    <x v="130"/>
    <s v="924"/>
    <n v="9"/>
    <x v="2"/>
    <n v="2"/>
    <m/>
    <x v="94"/>
    <x v="276"/>
    <x v="437"/>
    <x v="0"/>
    <n v="114"/>
    <n v="3561"/>
    <n v="2.8998371335504887"/>
    <n v="3561"/>
    <n v="2.8998371335504887"/>
    <s v="[Floor 9]"/>
    <s v="[floor corner_unit]"/>
  </r>
  <r>
    <x v="3"/>
    <s v="25 West Randolph Street"/>
    <x v="130"/>
    <s v="1224"/>
    <n v="12"/>
    <x v="2"/>
    <n v="2"/>
    <m/>
    <x v="94"/>
    <x v="386"/>
    <x v="378"/>
    <x v="0"/>
    <n v="159"/>
    <n v="3596"/>
    <n v="2.9283387622149837"/>
    <n v="3596"/>
    <n v="2.9283387622149837"/>
    <s v="[Floor 12]"/>
    <s v="[floor corner_unit]"/>
  </r>
  <r>
    <x v="3"/>
    <s v="25 West Randolph Street"/>
    <x v="130"/>
    <s v="1024"/>
    <n v="10"/>
    <x v="2"/>
    <n v="2"/>
    <m/>
    <x v="94"/>
    <x v="243"/>
    <x v="7"/>
    <x v="0"/>
    <n v="114"/>
    <n v="3706"/>
    <n v="3.0179153094462539"/>
    <n v="3706"/>
    <n v="3.0179153094462539"/>
    <s v="[Floor 10]"/>
    <s v="[floor corner_unit]"/>
  </r>
  <r>
    <x v="3"/>
    <s v="25 West Randolph Street"/>
    <x v="131"/>
    <s v="2224"/>
    <n v="22"/>
    <x v="2"/>
    <n v="2"/>
    <m/>
    <x v="94"/>
    <x v="276"/>
    <x v="443"/>
    <x v="0"/>
    <n v="137"/>
    <n v="3713"/>
    <n v="3.0236156351791532"/>
    <n v="3713"/>
    <n v="3.0236156351791532"/>
    <s v="[Floor 22]"/>
    <s v="[floor corner_unit]"/>
  </r>
  <r>
    <x v="3"/>
    <s v="25 West Randolph Street"/>
    <x v="130"/>
    <s v="824"/>
    <n v="8"/>
    <x v="2"/>
    <n v="2"/>
    <m/>
    <x v="94"/>
    <x v="254"/>
    <x v="12"/>
    <x v="0"/>
    <n v="79"/>
    <n v="3724"/>
    <n v="3.0325732899022801"/>
    <n v="3724"/>
    <n v="3.0325732899022801"/>
    <s v="[Floor 8]"/>
    <s v="[floor corner_unit]"/>
  </r>
  <r>
    <x v="3"/>
    <s v="25 West Randolph Street"/>
    <x v="130"/>
    <s v="2824"/>
    <n v="28"/>
    <x v="2"/>
    <n v="2"/>
    <m/>
    <x v="94"/>
    <x v="387"/>
    <x v="39"/>
    <x v="0"/>
    <n v="227"/>
    <n v="3729"/>
    <n v="3.0366449511400653"/>
    <n v="3729"/>
    <n v="3.0366449511400653"/>
    <s v="[North View Floors 20-29 South View Floors 25-29 ADA Suites Extra Windows Floor 28 South West View Floors 25-29]"/>
    <s v="[view floor view.direction corner_unit]"/>
  </r>
  <r>
    <x v="3"/>
    <s v="25 West Randolph Street"/>
    <x v="131"/>
    <s v="2324"/>
    <n v="23"/>
    <x v="2"/>
    <n v="2"/>
    <m/>
    <x v="94"/>
    <x v="388"/>
    <x v="443"/>
    <x v="0"/>
    <n v="111"/>
    <n v="3743"/>
    <n v="3.0480456026058631"/>
    <n v="3743"/>
    <n v="3.0480456026058631"/>
    <s v="[Floor 23 North View Floors 20-29]"/>
    <s v="[floor view.direction view corner_unit]"/>
  </r>
  <r>
    <x v="3"/>
    <s v="25 West Randolph Street"/>
    <x v="130"/>
    <s v="2524"/>
    <n v="25"/>
    <x v="2"/>
    <n v="2"/>
    <m/>
    <x v="94"/>
    <x v="112"/>
    <x v="153"/>
    <x v="0"/>
    <n v="109"/>
    <n v="3797"/>
    <n v="3.0920195439739415"/>
    <n v="3797"/>
    <n v="3.0920195439739415"/>
    <s v="[Floor 25 South West View Floors 25-29 South View Floors 25-29 North View Floors 20-29 North View Floors 25 &amp; 26 South View Floors 25 &amp; 26]"/>
    <s v="[view floor view.direction corner_unit]"/>
  </r>
  <r>
    <x v="3"/>
    <s v="25 West Randolph Street"/>
    <x v="130"/>
    <s v="1124"/>
    <n v="11"/>
    <x v="2"/>
    <n v="2"/>
    <m/>
    <x v="94"/>
    <x v="370"/>
    <x v="152"/>
    <x v="0"/>
    <n v="48"/>
    <n v="3804"/>
    <n v="3.0977198697068404"/>
    <n v="3804"/>
    <n v="3.0977198697068404"/>
    <s v="[Floor 11]"/>
    <s v="[floor corner_unit]"/>
  </r>
  <r>
    <x v="3"/>
    <s v="25 West Randolph Street"/>
    <x v="130"/>
    <s v="3324"/>
    <n v="33"/>
    <x v="2"/>
    <n v="2"/>
    <m/>
    <x v="94"/>
    <x v="254"/>
    <x v="216"/>
    <x v="0"/>
    <n v="110"/>
    <n v="3829"/>
    <n v="3.1180781758957656"/>
    <n v="3829"/>
    <n v="3.1180781758957656"/>
    <s v="[ADA Suites Extra Windows Floor 33 South View Floors 30-37 South West View Floors 30-37 North View Floors 30-37]"/>
    <s v="[view floor view.direction corner_unit]"/>
  </r>
  <r>
    <x v="3"/>
    <s v="25 West Randolph Street"/>
    <x v="130"/>
    <s v="2424"/>
    <n v="24"/>
    <x v="2"/>
    <n v="2"/>
    <m/>
    <x v="94"/>
    <x v="370"/>
    <x v="152"/>
    <x v="0"/>
    <n v="48"/>
    <n v="3854"/>
    <n v="3.1384364820846904"/>
    <n v="3854"/>
    <n v="3.1384364820846904"/>
    <s v="[ADA Suites Floor 24 North View Floors 20-29]"/>
    <s v="[floor view.direction view corner_unit]"/>
  </r>
  <r>
    <x v="3"/>
    <s v="25 West Randolph Street"/>
    <x v="130"/>
    <s v="3424"/>
    <n v="34"/>
    <x v="2"/>
    <n v="2"/>
    <m/>
    <x v="94"/>
    <x v="174"/>
    <x v="85"/>
    <x v="0"/>
    <n v="142"/>
    <n v="3886"/>
    <n v="3.1644951140065145"/>
    <n v="3886"/>
    <n v="3.1644951140065145"/>
    <s v="[Floor 34 South View Floors 30-37 South West View Floors 30-37 North View Floors 30-37 ADA Suites Extra Windows]"/>
    <s v="[view floor view.direction corner_unit]"/>
  </r>
  <r>
    <x v="3"/>
    <s v="25 West Randolph Street"/>
    <x v="130"/>
    <s v="1624"/>
    <n v="16"/>
    <x v="2"/>
    <n v="2"/>
    <m/>
    <x v="94"/>
    <x v="5"/>
    <x v="63"/>
    <x v="0"/>
    <n v="34"/>
    <n v="3899"/>
    <n v="3.1750814332247557"/>
    <n v="3899"/>
    <n v="3.1750814332247557"/>
    <s v="[Floor 16]"/>
    <s v="[floor corner_unit]"/>
  </r>
  <r>
    <x v="3"/>
    <s v="25 West Randolph Street"/>
    <x v="130"/>
    <s v="3024"/>
    <n v="30"/>
    <x v="2"/>
    <n v="2"/>
    <m/>
    <x v="94"/>
    <x v="39"/>
    <x v="54"/>
    <x v="0"/>
    <n v="62"/>
    <n v="3913"/>
    <n v="3.1864820846905539"/>
    <n v="3913"/>
    <n v="3.1864820846905539"/>
    <s v="[ADA Suites Extra Windows Floor 30 South View Floors 30-37 South West View Floors 30-37 North View Floors 30-37]"/>
    <s v="[view floor view.direction corner_unit]"/>
  </r>
  <r>
    <x v="3"/>
    <s v="25 West Randolph Street"/>
    <x v="130"/>
    <s v="3524"/>
    <n v="35"/>
    <x v="2"/>
    <n v="2"/>
    <m/>
    <x v="94"/>
    <x v="109"/>
    <x v="444"/>
    <x v="0"/>
    <n v="68"/>
    <n v="3926"/>
    <n v="3.1970684039087947"/>
    <n v="3926"/>
    <n v="3.1970684039087947"/>
    <s v="[ADA Suites Extra Windows Floor 35 South View Floors 30-37 South West View Floors 30-37 North View Floors 30-37]"/>
    <s v="[view floor view.direction corner_unit]"/>
  </r>
  <r>
    <x v="3"/>
    <s v="25 West Randolph Street"/>
    <x v="130"/>
    <s v="2124"/>
    <n v="21"/>
    <x v="2"/>
    <n v="2"/>
    <m/>
    <x v="94"/>
    <x v="357"/>
    <x v="153"/>
    <x v="0"/>
    <n v="79"/>
    <n v="3940"/>
    <n v="3.2084690553745929"/>
    <n v="3940"/>
    <n v="3.2084690553745929"/>
    <s v="[Floor 21]"/>
    <s v="[floor corner_unit]"/>
  </r>
  <r>
    <x v="3"/>
    <s v="25 West Randolph Street"/>
    <x v="131"/>
    <s v="2624"/>
    <n v="26"/>
    <x v="2"/>
    <n v="2"/>
    <m/>
    <x v="94"/>
    <x v="256"/>
    <x v="439"/>
    <x v="0"/>
    <n v="45"/>
    <n v="4005"/>
    <n v="3.2614006514657978"/>
    <n v="4005"/>
    <n v="3.2614006514657978"/>
    <s v="[Floor 26 South West View Floors 25-29 South View Floors 25-29 North View Floors 20-29]"/>
    <s v="[view floor view.direction corner_unit]"/>
  </r>
  <r>
    <x v="3"/>
    <s v="25 West Randolph Street"/>
    <x v="130"/>
    <s v="3724"/>
    <m/>
    <x v="2"/>
    <n v="2"/>
    <m/>
    <x v="94"/>
    <x v="101"/>
    <x v="445"/>
    <x v="0"/>
    <n v="113"/>
    <n v="4047"/>
    <n v="3.2956026058631922"/>
    <n v="4047"/>
    <n v="3.2956026058631922"/>
    <s v="[Floor 37 South View Floors 30-37 South West View Floors 30-37 Vaulted Ceilings]"/>
    <s v="[view floor view.direction corner_unit]"/>
  </r>
  <r>
    <x v="3"/>
    <s v="25 West Randolph Street"/>
    <x v="130"/>
    <s v="2924"/>
    <n v="29"/>
    <x v="2"/>
    <n v="2"/>
    <m/>
    <x v="94"/>
    <x v="389"/>
    <x v="446"/>
    <x v="0"/>
    <n v="53"/>
    <n v="4142"/>
    <n v="3.3729641693811074"/>
    <n v="4142"/>
    <n v="3.3729641693811074"/>
    <s v="[South View Floors 25-29 ADA Suites Extra Windows Floor 29 South West View Floors 25-29 North View Floors 20-29]"/>
    <s v="[view floor view.direction corner_unit]"/>
  </r>
  <r>
    <x v="3"/>
    <s v="25 West Randolph Street"/>
    <x v="130"/>
    <s v="3124"/>
    <n v="31"/>
    <x v="2"/>
    <n v="2"/>
    <m/>
    <x v="94"/>
    <x v="56"/>
    <x v="190"/>
    <x v="0"/>
    <n v="56"/>
    <n v="4162"/>
    <n v="3.3892508143322475"/>
    <n v="4162"/>
    <n v="3.3892508143322475"/>
    <s v="[]"/>
    <s v="[]"/>
  </r>
  <r>
    <x v="3"/>
    <s v="25 West Randolph Street"/>
    <x v="130"/>
    <s v="3624"/>
    <m/>
    <x v="2"/>
    <n v="2"/>
    <m/>
    <x v="94"/>
    <x v="56"/>
    <x v="267"/>
    <x v="0"/>
    <n v="43"/>
    <n v="4234"/>
    <n v="3.4478827361563518"/>
    <n v="4234"/>
    <n v="3.4478827361563518"/>
    <s v="[]"/>
    <s v="[]"/>
  </r>
  <r>
    <x v="3"/>
    <s v="25 West Randolph Street"/>
    <x v="132"/>
    <s v="802"/>
    <n v="8"/>
    <x v="2"/>
    <n v="2"/>
    <m/>
    <x v="95"/>
    <x v="36"/>
    <x v="44"/>
    <x v="0"/>
    <n v="243"/>
    <n v="3555"/>
    <n v="2.8485576923076925"/>
    <n v="3555"/>
    <n v="2.8485576923076925"/>
    <s v="[Floor 8]"/>
    <s v="[floor corner_unit]"/>
  </r>
  <r>
    <x v="3"/>
    <s v="25 West Randolph Street"/>
    <x v="132"/>
    <s v="1402"/>
    <n v="14"/>
    <x v="2"/>
    <n v="2"/>
    <m/>
    <x v="95"/>
    <x v="357"/>
    <x v="8"/>
    <x v="0"/>
    <n v="141"/>
    <n v="3583"/>
    <n v="2.8709935897435899"/>
    <n v="3489"/>
    <n v="2.7956730769230771"/>
    <s v="[Floor 14]"/>
    <s v="[floor corner_unit]"/>
  </r>
  <r>
    <x v="3"/>
    <s v="25 West Randolph Street"/>
    <x v="132"/>
    <s v="1202"/>
    <n v="12"/>
    <x v="2"/>
    <n v="2"/>
    <m/>
    <x v="95"/>
    <x v="307"/>
    <x v="125"/>
    <x v="0"/>
    <n v="96"/>
    <n v="3595"/>
    <n v="2.8806089743589745"/>
    <n v="3595"/>
    <n v="2.8806089743589745"/>
    <s v="[Floor 12]"/>
    <s v="[floor corner_unit]"/>
  </r>
  <r>
    <x v="3"/>
    <s v="25 West Randolph Street"/>
    <x v="132"/>
    <s v="1502"/>
    <n v="15"/>
    <x v="2"/>
    <n v="2"/>
    <m/>
    <x v="95"/>
    <x v="193"/>
    <x v="146"/>
    <x v="0"/>
    <n v="73"/>
    <n v="3611"/>
    <n v="2.8934294871794872"/>
    <n v="3611"/>
    <n v="2.8934294871794872"/>
    <s v="[Floor 15]"/>
    <s v="[floor corner_unit]"/>
  </r>
  <r>
    <x v="3"/>
    <s v="25 West Randolph Street"/>
    <x v="132"/>
    <s v="2102"/>
    <n v="21"/>
    <x v="2"/>
    <n v="2"/>
    <m/>
    <x v="95"/>
    <x v="253"/>
    <x v="447"/>
    <x v="0"/>
    <n v="135"/>
    <n v="3650"/>
    <n v="2.9246794871794872"/>
    <n v="3650"/>
    <n v="2.9246794871794872"/>
    <s v="[Floor 21 North View Floors 20-29]"/>
    <s v="[floor view.direction view corner_unit]"/>
  </r>
  <r>
    <x v="3"/>
    <s v="25 West Randolph Street"/>
    <x v="132"/>
    <s v="902"/>
    <n v="9"/>
    <x v="2"/>
    <n v="2"/>
    <m/>
    <x v="95"/>
    <x v="43"/>
    <x v="350"/>
    <x v="0"/>
    <n v="86"/>
    <n v="3690"/>
    <n v="2.9567307692307692"/>
    <n v="3690"/>
    <n v="2.9567307692307692"/>
    <s v="[Floor 9]"/>
    <s v="[floor corner_unit]"/>
  </r>
  <r>
    <x v="3"/>
    <s v="25 West Randolph Street"/>
    <x v="132"/>
    <s v="1002"/>
    <n v="10"/>
    <x v="2"/>
    <n v="2"/>
    <m/>
    <x v="95"/>
    <x v="94"/>
    <x v="91"/>
    <x v="0"/>
    <n v="48"/>
    <n v="3730"/>
    <n v="2.9887820512820511"/>
    <n v="3730"/>
    <n v="2.9887820512820511"/>
    <s v="[Floor 10]"/>
    <s v="[floor corner_unit]"/>
  </r>
  <r>
    <x v="3"/>
    <s v="25 West Randolph Street"/>
    <x v="132"/>
    <s v="1602"/>
    <n v="16"/>
    <x v="2"/>
    <n v="2"/>
    <m/>
    <x v="95"/>
    <x v="154"/>
    <x v="216"/>
    <x v="0"/>
    <n v="68"/>
    <n v="3747"/>
    <n v="3.0024038461538463"/>
    <n v="3747"/>
    <n v="3.0024038461538463"/>
    <s v="[Floor 16]"/>
    <s v="[floor corner_unit]"/>
  </r>
  <r>
    <x v="3"/>
    <s v="25 West Randolph Street"/>
    <x v="132"/>
    <s v="1102"/>
    <n v="11"/>
    <x v="2"/>
    <n v="2"/>
    <m/>
    <x v="95"/>
    <x v="47"/>
    <x v="448"/>
    <x v="0"/>
    <n v="105"/>
    <n v="3747"/>
    <n v="3.0024038461538463"/>
    <n v="3747"/>
    <n v="3.0024038461538463"/>
    <s v="[Floor 11]"/>
    <s v="[floor corner_unit]"/>
  </r>
  <r>
    <x v="3"/>
    <s v="25 West Randolph Street"/>
    <x v="132"/>
    <s v="2202"/>
    <n v="22"/>
    <x v="2"/>
    <n v="2"/>
    <m/>
    <x v="95"/>
    <x v="323"/>
    <x v="46"/>
    <x v="0"/>
    <n v="62"/>
    <n v="3774"/>
    <n v="3.0240384615384617"/>
    <n v="3774"/>
    <n v="3.0240384615384617"/>
    <s v="[Floor 22 North View Floors 20-29]"/>
    <s v="[floor view.direction view corner_unit]"/>
  </r>
  <r>
    <x v="3"/>
    <s v="25 West Randolph Street"/>
    <x v="132"/>
    <s v="2502"/>
    <n v="25"/>
    <x v="2"/>
    <n v="2"/>
    <m/>
    <x v="95"/>
    <x v="335"/>
    <x v="7"/>
    <x v="0"/>
    <n v="99"/>
    <n v="3804"/>
    <n v="3.0480769230769229"/>
    <n v="3804"/>
    <n v="3.0480769230769229"/>
    <s v="[Floor 25 Structure Column (Living Room) South View Floors 25-29 North View Floors 20-29]"/>
    <s v="[view floor view.direction corner_unit]"/>
  </r>
  <r>
    <x v="3"/>
    <s v="25 West Randolph Street"/>
    <x v="132"/>
    <s v="2002"/>
    <n v="20"/>
    <x v="2"/>
    <n v="2"/>
    <m/>
    <x v="95"/>
    <x v="64"/>
    <x v="373"/>
    <x v="0"/>
    <n v="105"/>
    <n v="3825"/>
    <n v="3.0649038461538463"/>
    <n v="3825"/>
    <n v="3.0649038461538463"/>
    <s v="[Floor 20 North View Floors 20-29]"/>
    <s v="[floor view.direction view corner_unit]"/>
  </r>
  <r>
    <x v="3"/>
    <s v="25 West Randolph Street"/>
    <x v="132"/>
    <s v="702"/>
    <n v="7"/>
    <x v="2"/>
    <n v="2"/>
    <m/>
    <x v="95"/>
    <x v="133"/>
    <x v="347"/>
    <x v="0"/>
    <n v="64"/>
    <n v="3834"/>
    <n v="3.0721153846153846"/>
    <n v="3834"/>
    <n v="3.0721153846153846"/>
    <s v="[Floor 7]"/>
    <s v="[floor corner_unit]"/>
  </r>
  <r>
    <x v="3"/>
    <s v="25 West Randolph Street"/>
    <x v="132"/>
    <s v="1702"/>
    <n v="17"/>
    <x v="2"/>
    <n v="2"/>
    <m/>
    <x v="95"/>
    <x v="357"/>
    <x v="347"/>
    <x v="0"/>
    <n v="58"/>
    <n v="3857"/>
    <n v="3.0905448717948718"/>
    <n v="3857"/>
    <n v="3.0905448717948718"/>
    <s v="[Floor 17 Vaulted Ceilings]"/>
    <s v="[floor corner_unit]"/>
  </r>
  <r>
    <x v="3"/>
    <s v="25 West Randolph Street"/>
    <x v="132"/>
    <s v="3002"/>
    <n v="30"/>
    <x v="2"/>
    <n v="2"/>
    <m/>
    <x v="95"/>
    <x v="78"/>
    <x v="449"/>
    <x v="0"/>
    <n v="47"/>
    <n v="3975"/>
    <n v="3.1850961538461537"/>
    <n v="3975"/>
    <n v="3.1850961538461537"/>
    <s v="[ADA Suites Extra Windows Floor 30 North View Floors 30-37 South East View Floors 30-37 South View Floors 30-37]"/>
    <s v="[view floor view.direction corner_unit]"/>
  </r>
  <r>
    <x v="3"/>
    <s v="25 West Randolph Street"/>
    <x v="132"/>
    <s v="2802"/>
    <n v="28"/>
    <x v="2"/>
    <n v="2"/>
    <m/>
    <x v="95"/>
    <x v="70"/>
    <x v="208"/>
    <x v="0"/>
    <n v="43"/>
    <n v="4251"/>
    <n v="3.40625"/>
    <n v="4251"/>
    <n v="3.40625"/>
    <s v="[Structure Column (Living Room) South View Floors 25-29 Extra Windows Floor 28 North View Floors 20-29]"/>
    <s v="[view floor view.direction corner_unit]"/>
  </r>
  <r>
    <x v="3"/>
    <s v="25 West Randolph Street"/>
    <x v="132"/>
    <s v="2302"/>
    <n v="23"/>
    <x v="2"/>
    <n v="2"/>
    <m/>
    <x v="95"/>
    <x v="390"/>
    <x v="450"/>
    <x v="0"/>
    <n v="86"/>
    <n v="3895"/>
    <n v="3.1209935897435899"/>
    <n v="3895"/>
    <n v="3.1209935897435899"/>
    <s v="[]"/>
    <s v="[]"/>
  </r>
  <r>
    <x v="3"/>
    <s v="25 West Randolph Street"/>
    <x v="132"/>
    <s v="1802"/>
    <n v="18"/>
    <x v="2"/>
    <n v="2"/>
    <m/>
    <x v="95"/>
    <x v="296"/>
    <x v="191"/>
    <x v="0"/>
    <n v="4"/>
    <n v="4593"/>
    <n v="3.6802884615384617"/>
    <n v="4593"/>
    <n v="3.6802884615384617"/>
    <s v="[]"/>
    <s v="[]"/>
  </r>
  <r>
    <x v="3"/>
    <s v="25 West Randolph Street"/>
    <x v="133"/>
    <s v="1901"/>
    <n v="19"/>
    <x v="2"/>
    <n v="2"/>
    <m/>
    <x v="96"/>
    <x v="207"/>
    <x v="363"/>
    <x v="0"/>
    <n v="135"/>
    <n v="3688"/>
    <n v="2.8611326609775021"/>
    <n v="3688"/>
    <n v="2.8611326609775021"/>
    <s v="[Floor 19]"/>
    <s v="[floor balcony_patio]"/>
  </r>
  <r>
    <x v="3"/>
    <s v="25 West Randolph Street"/>
    <x v="133"/>
    <s v="1501"/>
    <n v="15"/>
    <x v="2"/>
    <n v="2"/>
    <m/>
    <x v="96"/>
    <x v="370"/>
    <x v="392"/>
    <x v="0"/>
    <n v="153"/>
    <n v="3750"/>
    <n v="2.9092319627618308"/>
    <n v="3600"/>
    <n v="2.7928626842513578"/>
    <s v="[Floor 15]"/>
    <s v="[floor balcony_patio]"/>
  </r>
  <r>
    <x v="3"/>
    <s v="25 West Randolph Street"/>
    <x v="133"/>
    <s v="901"/>
    <n v="9"/>
    <x v="2"/>
    <n v="2"/>
    <m/>
    <x v="96"/>
    <x v="381"/>
    <x v="152"/>
    <x v="0"/>
    <n v="73"/>
    <n v="3854"/>
    <n v="2.9899146625290922"/>
    <n v="3854"/>
    <n v="2.9899146625290922"/>
    <s v="[Floor 9]"/>
    <s v="[floor balcony_patio]"/>
  </r>
  <r>
    <x v="3"/>
    <s v="25 West Randolph Street"/>
    <x v="133"/>
    <s v="601"/>
    <n v="6"/>
    <x v="2"/>
    <n v="2"/>
    <m/>
    <x v="96"/>
    <x v="391"/>
    <x v="451"/>
    <x v="0"/>
    <n v="216"/>
    <n v="3875"/>
    <n v="3.0062063615205585"/>
    <n v="3875"/>
    <n v="3.0062063615205585"/>
    <s v="[Floor 6 Vaulted Ceilings]"/>
    <s v="[floor balcony_patio]"/>
  </r>
  <r>
    <x v="3"/>
    <s v="25 West Randolph Street"/>
    <x v="133"/>
    <s v="2601"/>
    <n v="26"/>
    <x v="2"/>
    <n v="2"/>
    <m/>
    <x v="96"/>
    <x v="340"/>
    <x v="227"/>
    <x v="0"/>
    <n v="18"/>
    <n v="3960"/>
    <n v="3.0721489526764936"/>
    <n v="3960"/>
    <n v="3.0721489526764936"/>
    <s v="[Floor 26 North East View Floors 25-29 North View Floors 20-29 North View Floors 25 &amp; 26 South View Floors 25 &amp; 26]"/>
    <s v="[view floor view.direction balcony_patio]"/>
  </r>
  <r>
    <x v="3"/>
    <s v="25 West Randolph Street"/>
    <x v="133"/>
    <s v="2701"/>
    <n v="27"/>
    <x v="2"/>
    <n v="2"/>
    <m/>
    <x v="96"/>
    <x v="101"/>
    <x v="13"/>
    <x v="0"/>
    <n v="42"/>
    <n v="3982"/>
    <n v="3.0892164468580297"/>
    <n v="3982"/>
    <n v="3.0892164468580297"/>
    <s v="[Floor 27 North East View Floors 25-29 Vaulted Ceilings North View Floors 20-29]"/>
    <s v="[view floor view.direction balcony_patio]"/>
  </r>
  <r>
    <x v="3"/>
    <s v="25 West Randolph Street"/>
    <x v="133"/>
    <s v="1401"/>
    <n v="14"/>
    <x v="2"/>
    <n v="2"/>
    <m/>
    <x v="96"/>
    <x v="181"/>
    <x v="182"/>
    <x v="0"/>
    <n v="72"/>
    <n v="3677"/>
    <n v="2.8525989138867338"/>
    <n v="3677"/>
    <n v="2.8525989138867338"/>
    <s v="[]"/>
    <s v="[]"/>
  </r>
  <r>
    <x v="3"/>
    <s v="25 West Randolph Street"/>
    <x v="134"/>
    <s v="1601"/>
    <n v="16"/>
    <x v="2"/>
    <n v="2"/>
    <m/>
    <x v="97"/>
    <x v="343"/>
    <x v="95"/>
    <x v="0"/>
    <n v="164"/>
    <n v="3471"/>
    <n v="2.6679477325134511"/>
    <n v="3254"/>
    <n v="2.501152959262106"/>
    <s v="[Floor 16]"/>
    <s v="[floor balcony_patio]"/>
  </r>
  <r>
    <x v="3"/>
    <s v="25 West Randolph Street"/>
    <x v="134"/>
    <s v="801"/>
    <n v="8"/>
    <x v="2"/>
    <n v="2"/>
    <m/>
    <x v="97"/>
    <x v="73"/>
    <x v="112"/>
    <x v="0"/>
    <n v="41"/>
    <n v="3530"/>
    <n v="2.7132974634896234"/>
    <n v="3530"/>
    <n v="2.7132974634896234"/>
    <s v="[Floor 8]"/>
    <s v="[floor balcony_patio]"/>
  </r>
  <r>
    <x v="3"/>
    <s v="25 West Randolph Street"/>
    <x v="134"/>
    <s v="1701"/>
    <n v="17"/>
    <x v="2"/>
    <n v="2"/>
    <m/>
    <x v="97"/>
    <x v="28"/>
    <x v="350"/>
    <x v="0"/>
    <n v="177"/>
    <n v="3735"/>
    <n v="2.8708685626441199"/>
    <n v="3735"/>
    <n v="2.8708685626441199"/>
    <s v="[Floor 17 Vaulted Ceilings]"/>
    <s v="[floor balcony_patio]"/>
  </r>
  <r>
    <x v="3"/>
    <s v="25 West Randolph Street"/>
    <x v="134"/>
    <s v="701"/>
    <n v="7"/>
    <x v="2"/>
    <n v="2"/>
    <m/>
    <x v="97"/>
    <x v="349"/>
    <x v="318"/>
    <x v="0"/>
    <n v="79"/>
    <n v="3777"/>
    <n v="2.9031514219830901"/>
    <n v="3777"/>
    <n v="2.9031514219830901"/>
    <s v="[Floor 7]"/>
    <s v="[floor balcony_patio]"/>
  </r>
  <r>
    <x v="3"/>
    <s v="25 West Randolph Street"/>
    <x v="134"/>
    <s v="2901"/>
    <n v="29"/>
    <x v="2"/>
    <n v="2"/>
    <m/>
    <x v="97"/>
    <x v="179"/>
    <x v="452"/>
    <x v="0"/>
    <n v="26"/>
    <n v="4019"/>
    <n v="3.089162182936203"/>
    <n v="4019"/>
    <n v="3.089162182936203"/>
    <s v="[South View Floors 25-29 ADA Suites Extra Windows Floor 29 North East View Floors 25-29 North View Floors 20-29]"/>
    <s v="[view floor view.direction balcony_patio]"/>
  </r>
  <r>
    <x v="3"/>
    <s v="25 West Randolph Street"/>
    <x v="134"/>
    <s v="3001"/>
    <n v="30"/>
    <x v="2"/>
    <n v="2"/>
    <m/>
    <x v="97"/>
    <x v="130"/>
    <x v="24"/>
    <x v="0"/>
    <m/>
    <n v="4093"/>
    <n v="3.1460415065334359"/>
    <n v="4093"/>
    <n v="3.1460415065334359"/>
    <s v="[]"/>
    <s v="[]"/>
  </r>
  <r>
    <x v="3"/>
    <s v="25 West Randolph Street"/>
    <x v="135"/>
    <s v="2025"/>
    <m/>
    <x v="2"/>
    <n v="2"/>
    <m/>
    <x v="98"/>
    <x v="98"/>
    <x v="453"/>
    <x v="0"/>
    <n v="178"/>
    <n v="3769"/>
    <n v="2.8881226053639848"/>
    <n v="3769"/>
    <n v="2.8881226053639848"/>
    <s v="[Corner Unit Floor 20 South West City View North View Floors 20-29]"/>
    <s v="[corner_unit view floor view.direction view.city balcony_patio]"/>
  </r>
  <r>
    <x v="3"/>
    <s v="25 West Randolph Street"/>
    <x v="135"/>
    <s v="3225"/>
    <n v="32"/>
    <x v="2"/>
    <n v="2"/>
    <m/>
    <x v="98"/>
    <x v="353"/>
    <x v="5"/>
    <x v="0"/>
    <n v="136"/>
    <n v="3870"/>
    <n v="2.9655172413793105"/>
    <n v="3870"/>
    <n v="2.9655172413793105"/>
    <s v="[ADA Suites Corner Unit Extra Windows Floor 32 North West View Floors 30-37 South View Floors 30-37 South West City View North View Floors 30-37]"/>
    <s v="[corner_unit view floor view.direction view.city balcony_patio]"/>
  </r>
  <r>
    <x v="3"/>
    <s v="25 West Randolph Street"/>
    <x v="136"/>
    <s v="1125"/>
    <n v="11"/>
    <x v="2"/>
    <n v="2"/>
    <m/>
    <x v="98"/>
    <x v="276"/>
    <x v="443"/>
    <x v="0"/>
    <n v="137"/>
    <n v="3909"/>
    <n v="2.9954022988505749"/>
    <n v="3909"/>
    <n v="2.9954022988505749"/>
    <s v="[Corner Unit Floor 11 South West City View]"/>
    <s v="[corner_unit view floor view.direction view.city balcony_patio]"/>
  </r>
  <r>
    <x v="3"/>
    <s v="25 West Randolph Street"/>
    <x v="135"/>
    <s v="3725"/>
    <m/>
    <x v="2"/>
    <n v="2"/>
    <m/>
    <x v="98"/>
    <x v="101"/>
    <x v="216"/>
    <x v="0"/>
    <n v="75"/>
    <n v="3996"/>
    <n v="3.0620689655172413"/>
    <n v="3996"/>
    <n v="3.0620689655172413"/>
    <s v="[ADA Suites Corner Unit Floor 37 North West View Floors 30-37 South West City View Vaulted Ceilings North View Floors 30-37]"/>
    <s v="[corner_unit view floor view.direction view.city balcony_patio]"/>
  </r>
  <r>
    <x v="3"/>
    <s v="25 West Randolph Street"/>
    <x v="136"/>
    <s v="1025"/>
    <n v="10"/>
    <x v="2"/>
    <n v="2"/>
    <m/>
    <x v="98"/>
    <x v="256"/>
    <x v="250"/>
    <x v="0"/>
    <n v="56"/>
    <n v="4016"/>
    <n v="3.0773946360153257"/>
    <n v="4016"/>
    <n v="3.0773946360153257"/>
    <s v="[Corner Unit Floor 10 South West City View]"/>
    <s v="[corner_unit view floor view.direction view.city balcony_patio]"/>
  </r>
  <r>
    <x v="3"/>
    <s v="25 West Randolph Street"/>
    <x v="135"/>
    <s v="1925"/>
    <n v="19"/>
    <x v="2"/>
    <n v="2"/>
    <m/>
    <x v="98"/>
    <x v="324"/>
    <x v="255"/>
    <x v="0"/>
    <n v="45"/>
    <n v="4309"/>
    <n v="3.3019157088122606"/>
    <n v="4309"/>
    <n v="3.3019157088122606"/>
    <s v="[Corner Unit Floor 19 South West City View]"/>
    <s v="[corner_unit view floor view.direction view.city balcony_patio]"/>
  </r>
  <r>
    <x v="3"/>
    <s v="25 West Randolph Street"/>
    <x v="135"/>
    <s v="625"/>
    <n v="6"/>
    <x v="2"/>
    <n v="2"/>
    <m/>
    <x v="98"/>
    <x v="318"/>
    <x v="220"/>
    <x v="0"/>
    <n v="61"/>
    <n v="3719"/>
    <n v="2.8498084291187737"/>
    <n v="3719"/>
    <n v="2.8498084291187737"/>
    <s v="[]"/>
    <s v="[]"/>
  </r>
  <r>
    <x v="3"/>
    <s v="25 West Randolph Street"/>
    <x v="135"/>
    <s v="3425"/>
    <n v="34"/>
    <x v="2"/>
    <n v="2"/>
    <m/>
    <x v="98"/>
    <x v="391"/>
    <x v="284"/>
    <x v="0"/>
    <n v="175"/>
    <n v="3874"/>
    <n v="2.9685823754789271"/>
    <n v="3874"/>
    <n v="2.9685823754789271"/>
    <s v="[]"/>
    <s v="[]"/>
  </r>
  <r>
    <x v="3"/>
    <s v="25 West Randolph Street"/>
    <x v="137"/>
    <s v="1225"/>
    <n v="12"/>
    <x v="2"/>
    <n v="2"/>
    <m/>
    <x v="99"/>
    <x v="343"/>
    <x v="95"/>
    <x v="0"/>
    <n v="164"/>
    <n v="3542"/>
    <n v="2.6935361216730036"/>
    <n v="3321"/>
    <n v="2.5254752851711029"/>
    <s v="[ADA Suites Corner Unit Floor 12 South West City View]"/>
    <s v="[corner_unit view floor view.direction view.city balcony_patio]"/>
  </r>
  <r>
    <x v="3"/>
    <s v="25 West Randolph Street"/>
    <x v="137"/>
    <s v="1425"/>
    <n v="14"/>
    <x v="2"/>
    <n v="2"/>
    <m/>
    <x v="99"/>
    <x v="143"/>
    <x v="43"/>
    <x v="0"/>
    <n v="185"/>
    <n v="3639"/>
    <n v="2.7673003802281371"/>
    <n v="3639"/>
    <n v="2.7673003802281371"/>
    <s v="[Corner Unit Floor 14 South West City View]"/>
    <s v="[corner_unit view floor view.direction view.city balcony_patio]"/>
  </r>
  <r>
    <x v="3"/>
    <s v="25 West Randolph Street"/>
    <x v="137"/>
    <s v="1325"/>
    <n v="13"/>
    <x v="2"/>
    <n v="2"/>
    <m/>
    <x v="99"/>
    <x v="284"/>
    <x v="120"/>
    <x v="0"/>
    <n v="123"/>
    <n v="3759"/>
    <n v="2.858555133079848"/>
    <n v="3759"/>
    <n v="2.858555133079848"/>
    <s v="[Corner Unit Floor 13 South West City View]"/>
    <s v="[corner_unit view floor view.direction view.city balcony_patio]"/>
  </r>
  <r>
    <x v="3"/>
    <s v="25 West Randolph Street"/>
    <x v="137"/>
    <s v="2725"/>
    <n v="27"/>
    <x v="2"/>
    <n v="2"/>
    <m/>
    <x v="99"/>
    <x v="392"/>
    <x v="60"/>
    <x v="0"/>
    <n v="183"/>
    <n v="3854"/>
    <n v="2.9307984790874526"/>
    <n v="3854"/>
    <n v="2.9307984790874526"/>
    <s v="[South View Floors 25-29 Corner Unit Extra Windows Floor 27 North West View Floors 25-29 South West City View Vaulted Ceilings North View Floors 20-29]"/>
    <s v="[corner_unit view floor view.direction view.city balcony_patio]"/>
  </r>
  <r>
    <x v="3"/>
    <s v="25 West Randolph Street"/>
    <x v="137"/>
    <s v="2825"/>
    <n v="28"/>
    <x v="2"/>
    <n v="2"/>
    <m/>
    <x v="99"/>
    <x v="291"/>
    <x v="17"/>
    <x v="0"/>
    <n v="103"/>
    <n v="3882"/>
    <n v="2.9520912547528515"/>
    <n v="3882"/>
    <n v="2.9520912547528515"/>
    <s v="[South View Floors 25-29 ADA Suites Corner Unit Extra Windows Floor 28 North West View Floors 25-29 South West City View North View Floors 20-29]"/>
    <s v="[corner_unit view floor view.direction view.city balcony_patio]"/>
  </r>
  <r>
    <x v="3"/>
    <s v="25 West Randolph Street"/>
    <x v="137"/>
    <s v="3625"/>
    <m/>
    <x v="2"/>
    <n v="2"/>
    <m/>
    <x v="99"/>
    <x v="216"/>
    <x v="260"/>
    <x v="0"/>
    <n v="12"/>
    <n v="4115"/>
    <n v="3.1292775665399239"/>
    <n v="4115"/>
    <n v="3.1292775665399239"/>
    <s v="[Corner Unit Extra Windows Floor 36 North View Floors 30-37 North West View Floors 30-37 South View Floors 30-37 South West City View]"/>
    <s v="[corner_unit view floor view.direction view.city balcony_patio]"/>
  </r>
  <r>
    <x v="3"/>
    <s v="25 West Randolph Street"/>
    <x v="137"/>
    <s v="2325"/>
    <n v="23"/>
    <x v="2"/>
    <n v="2"/>
    <m/>
    <x v="99"/>
    <x v="393"/>
    <x v="0"/>
    <x v="0"/>
    <n v="23"/>
    <n v="4206"/>
    <n v="3.1984790874524713"/>
    <n v="4206"/>
    <n v="3.1984790874524713"/>
    <s v="[Corner Unit Floor 23 South West City View North View Floors 20-29]"/>
    <s v="[corner_unit view floor view.direction view.city balcony_patio]"/>
  </r>
  <r>
    <x v="3"/>
    <s v="25 West Randolph Street"/>
    <x v="137"/>
    <s v="3525"/>
    <n v="35"/>
    <x v="2"/>
    <n v="2"/>
    <m/>
    <x v="99"/>
    <x v="130"/>
    <x v="399"/>
    <x v="0"/>
    <m/>
    <n v="3826"/>
    <n v="2.9095057034220533"/>
    <n v="3826"/>
    <n v="2.9095057034220533"/>
    <s v="[]"/>
    <s v="[]"/>
  </r>
  <r>
    <x v="3"/>
    <s v="25 West Randolph Street"/>
    <x v="137"/>
    <s v="2425"/>
    <n v="24"/>
    <x v="2"/>
    <n v="2"/>
    <m/>
    <x v="99"/>
    <x v="130"/>
    <x v="143"/>
    <x v="0"/>
    <m/>
    <n v="4128"/>
    <n v="3.1391634980988594"/>
    <n v="4128"/>
    <n v="3.1391634980988594"/>
    <s v="[]"/>
    <s v="[]"/>
  </r>
  <r>
    <x v="3"/>
    <s v="25 West Randolph Street"/>
    <x v="138"/>
    <s v="1101"/>
    <n v="11"/>
    <x v="2"/>
    <n v="2"/>
    <m/>
    <x v="100"/>
    <x v="70"/>
    <x v="244"/>
    <x v="0"/>
    <n v="47"/>
    <n v="3788"/>
    <n v="2.8332086761406132"/>
    <n v="3788"/>
    <n v="2.8332086761406132"/>
    <s v="[Floor 11]"/>
    <s v="[floor balcony_patio]"/>
  </r>
  <r>
    <x v="3"/>
    <s v="25 West Randolph Street"/>
    <x v="138"/>
    <s v="2301"/>
    <n v="23"/>
    <x v="2"/>
    <n v="2"/>
    <m/>
    <x v="100"/>
    <x v="101"/>
    <x v="230"/>
    <x v="0"/>
    <n v="73"/>
    <n v="3812"/>
    <n v="2.851159311892296"/>
    <n v="3812"/>
    <n v="2.851159311892296"/>
    <s v="[ADA Suites Floor 23 North View Floors 20-29]"/>
    <s v="[floor view.direction view balcony_patio]"/>
  </r>
  <r>
    <x v="3"/>
    <s v="25 West Randolph Street"/>
    <x v="138"/>
    <s v="1301"/>
    <n v="13"/>
    <x v="2"/>
    <n v="2"/>
    <m/>
    <x v="100"/>
    <x v="303"/>
    <x v="451"/>
    <x v="0"/>
    <n v="170"/>
    <n v="3875"/>
    <n v="2.8982797307404637"/>
    <n v="3875"/>
    <n v="2.8982797307404637"/>
    <s v="[ADA Suites Floor 13]"/>
    <s v="[floor balcony_patio]"/>
  </r>
  <r>
    <x v="3"/>
    <s v="25 West Randolph Street"/>
    <x v="138"/>
    <s v="1201"/>
    <n v="12"/>
    <x v="2"/>
    <n v="2"/>
    <m/>
    <x v="100"/>
    <x v="367"/>
    <x v="165"/>
    <x v="0"/>
    <n v="130"/>
    <n v="3895"/>
    <n v="2.9132385938668661"/>
    <n v="3895"/>
    <n v="2.9132385938668661"/>
    <s v="[Floor 12]"/>
    <s v="[floor balcony_patio]"/>
  </r>
  <r>
    <x v="3"/>
    <s v="25 West Randolph Street"/>
    <x v="138"/>
    <s v="3101"/>
    <n v="31"/>
    <x v="2"/>
    <n v="2"/>
    <m/>
    <x v="100"/>
    <x v="388"/>
    <x v="95"/>
    <x v="0"/>
    <n v="32"/>
    <n v="3951"/>
    <n v="2.9551234106207929"/>
    <n v="3951"/>
    <n v="2.9551234106207929"/>
    <s v="[Floor 31 North East View Floors 30-37 South View Floors 30-37 ADA Suites Extra Windows North View Floors 30-37]"/>
    <s v="[view floor view.direction balcony_patio]"/>
  </r>
  <r>
    <x v="3"/>
    <s v="25 West Randolph Street"/>
    <x v="138"/>
    <s v="2201"/>
    <n v="22"/>
    <x v="2"/>
    <n v="2"/>
    <m/>
    <x v="100"/>
    <x v="296"/>
    <x v="454"/>
    <x v="0"/>
    <n v="75"/>
    <n v="3941"/>
    <n v="2.9476439790575917"/>
    <n v="3941"/>
    <n v="2.9476439790575917"/>
    <s v="[]"/>
    <s v="[]"/>
  </r>
  <r>
    <x v="3"/>
    <s v="25 West Randolph Street"/>
    <x v="139"/>
    <s v="925"/>
    <n v="9"/>
    <x v="2"/>
    <n v="2"/>
    <m/>
    <x v="101"/>
    <x v="183"/>
    <x v="129"/>
    <x v="0"/>
    <n v="111"/>
    <n v="3679"/>
    <n v="2.7091310751104567"/>
    <n v="3679"/>
    <n v="2.7091310751104567"/>
    <s v="[Corner Unit Floor 9 South West City View]"/>
    <s v="[corner_unit view floor view.direction view.city balcony_patio]"/>
  </r>
  <r>
    <x v="3"/>
    <s v="25 West Randolph Street"/>
    <x v="139"/>
    <s v="3025"/>
    <n v="30"/>
    <x v="2"/>
    <n v="2"/>
    <m/>
    <x v="101"/>
    <x v="394"/>
    <x v="455"/>
    <x v="0"/>
    <n v="105"/>
    <n v="4042"/>
    <n v="2.9764359351988219"/>
    <n v="4042"/>
    <n v="2.9764359351988219"/>
    <s v="[ADA Suites Corner Unit Extra Windows Floor 30 North West View Floors 30-37 South View Floors 30-37 South West City View North View Floors 30-37]"/>
    <s v="[corner_unit view floor view.direction view.city balcony_patio]"/>
  </r>
  <r>
    <x v="3"/>
    <s v="25 West Randolph Street"/>
    <x v="139"/>
    <s v="825"/>
    <n v="8"/>
    <x v="2"/>
    <n v="2"/>
    <m/>
    <x v="101"/>
    <x v="331"/>
    <x v="456"/>
    <x v="0"/>
    <n v="19"/>
    <n v="4084"/>
    <n v="3.0073637702503682"/>
    <n v="4084"/>
    <n v="3.0073637702503682"/>
    <s v="[Corner Unit Floor 8 South West City View]"/>
    <s v="[corner_unit view floor view.direction view.city balcony_patio]"/>
  </r>
  <r>
    <x v="3"/>
    <s v="25 West Randolph Street"/>
    <x v="136"/>
    <s v="1825"/>
    <n v="18"/>
    <x v="2"/>
    <n v="2"/>
    <m/>
    <x v="101"/>
    <x v="365"/>
    <x v="457"/>
    <x v="0"/>
    <n v="54"/>
    <n v="4106"/>
    <n v="3.0235640648011781"/>
    <n v="4106"/>
    <n v="3.0235640648011781"/>
    <s v="[Corner Unit Floor 18 South West City View]"/>
    <s v="[corner_unit view floor view.direction view.city balcony_patio]"/>
  </r>
  <r>
    <x v="3"/>
    <s v="25 West Randolph Street"/>
    <x v="139"/>
    <s v="3125"/>
    <n v="31"/>
    <x v="2"/>
    <n v="2"/>
    <m/>
    <x v="101"/>
    <x v="371"/>
    <x v="458"/>
    <x v="0"/>
    <n v="117"/>
    <n v="4412"/>
    <n v="3.2488954344624448"/>
    <n v="4412"/>
    <n v="3.2488954344624448"/>
    <s v="[ADA Suites Corner Unit Extra Windows Floor 31 North West View Floors 30-37 South View Floors 30-37 South West City View North View Floors 30-37]"/>
    <s v="[corner_unit view floor view.direction view.city balcony_patio]"/>
  </r>
  <r>
    <x v="3"/>
    <s v="25 West Randolph Street"/>
    <x v="139"/>
    <s v="2925"/>
    <n v="29"/>
    <x v="2"/>
    <n v="2"/>
    <m/>
    <x v="101"/>
    <x v="364"/>
    <x v="238"/>
    <x v="0"/>
    <n v="29"/>
    <n v="4514"/>
    <n v="3.3240058910162005"/>
    <n v="4514"/>
    <n v="3.3240058910162005"/>
    <s v="[ADA Suites Corner Unit Extra Windows Floor 29 North West View Floors 25-29 South West City View North View Floors 20-29]"/>
    <s v="[corner_unit view floor view.direction view.city balcony_patio]"/>
  </r>
  <r>
    <x v="3"/>
    <s v="25 West Randolph Street"/>
    <x v="140"/>
    <s v="621"/>
    <n v="6"/>
    <x v="2"/>
    <n v="2"/>
    <m/>
    <x v="102"/>
    <x v="101"/>
    <x v="337"/>
    <x v="0"/>
    <n v="152"/>
    <n v="3625"/>
    <n v="2.6595744680851063"/>
    <n v="3625"/>
    <n v="2.6595744680851063"/>
    <s v="[Floor 6 South West City View Vaulted Ceilings]"/>
    <s v="[floor view.direction view view.city]"/>
  </r>
  <r>
    <x v="3"/>
    <s v="25 West Randolph Street"/>
    <x v="141"/>
    <s v="3401"/>
    <n v="34"/>
    <x v="4"/>
    <n v="3"/>
    <m/>
    <x v="103"/>
    <x v="108"/>
    <x v="130"/>
    <x v="0"/>
    <n v="39"/>
    <n v="5821"/>
    <n v="3.1144997324772605"/>
    <n v="5821"/>
    <n v="3.1144997324772605"/>
    <s v="[ADA Suites Extra Windows Floor 34 North East View Floors 30-37 North View Floors 30-37 South View Floors 30-37 Washer Dryer]"/>
    <s v="[view washer_dryer floor view.direction balcony_patio]"/>
  </r>
  <r>
    <x v="3"/>
    <s v="25 West Randolph Street"/>
    <x v="141"/>
    <s v="3301"/>
    <n v="33"/>
    <x v="4"/>
    <n v="3"/>
    <m/>
    <x v="103"/>
    <x v="391"/>
    <x v="459"/>
    <x v="0"/>
    <n v="168"/>
    <n v="5656"/>
    <n v="3.0262172284644193"/>
    <n v="5656"/>
    <n v="3.0262172284644193"/>
    <s v="[]"/>
    <s v="[]"/>
  </r>
  <r>
    <x v="3"/>
    <s v="25 West Randolph Street"/>
    <x v="142"/>
    <s v="3701"/>
    <m/>
    <x v="4"/>
    <n v="3"/>
    <m/>
    <x v="104"/>
    <x v="112"/>
    <x v="460"/>
    <x v="0"/>
    <n v="97"/>
    <n v="5343"/>
    <n v="2.795918367346939"/>
    <n v="5343"/>
    <n v="2.795918367346939"/>
    <s v="[Extra Windows Floor 37 North East View Floors 30-37 North View Floors 30-37 South View Floors 30-37 Vaulted Ceilings Washer Dryer]"/>
    <s v="[view washer_dryer floor view.direction balcony_patio]"/>
  </r>
  <r>
    <x v="3"/>
    <s v="25 West Randolph Street"/>
    <x v="142"/>
    <s v="3601"/>
    <m/>
    <x v="4"/>
    <n v="3"/>
    <m/>
    <x v="104"/>
    <x v="174"/>
    <x v="146"/>
    <x v="0"/>
    <n v="28"/>
    <n v="5552"/>
    <n v="2.9052851909994768"/>
    <n v="5552"/>
    <n v="2.9052851909994768"/>
    <s v="[ADA Suites Extra Windows Floor 36 North East View Floors 30-37 North View Floors 30-37 South View Floors 30-37 Washer Dryer]"/>
    <s v="[view washer_dryer floor view.direction balcony_patio]"/>
  </r>
  <r>
    <x v="3"/>
    <s v="25 West Randolph Street"/>
    <x v="143"/>
    <s v="3201"/>
    <n v="32"/>
    <x v="4"/>
    <n v="3"/>
    <m/>
    <x v="105"/>
    <x v="108"/>
    <x v="30"/>
    <x v="0"/>
    <n v="59"/>
    <n v="6011"/>
    <n v="3.1048553719008263"/>
    <n v="6011"/>
    <n v="3.1048553719008263"/>
    <s v="[ADA Suites Extra Windows Floor 32 North East View Floors 30-37 South View Floors 30-37 Washer Dryer North View Floors 30-37]"/>
    <s v="[view washer_dryer floor view.direction balcony_patio]"/>
  </r>
  <r>
    <x v="3"/>
    <s v="25 West Randolph Street"/>
    <x v="144"/>
    <s v="3502"/>
    <n v="35"/>
    <x v="4"/>
    <n v="3"/>
    <m/>
    <x v="106"/>
    <x v="24"/>
    <x v="461"/>
    <x v="0"/>
    <n v="25"/>
    <n v="5970"/>
    <n v="2.8401522359657467"/>
    <n v="5970"/>
    <n v="2.8401522359657467"/>
    <s v="[ADA Suites Extra Windows Floor 35 North View Floors 30-37 South East View Floors 30-37 South View Floors 30-37 Washer Dryer]"/>
    <s v="[view washer_dryer floor view.direction]"/>
  </r>
  <r>
    <x v="3"/>
    <s v="25 West Randolph Street"/>
    <x v="144"/>
    <s v="3602"/>
    <m/>
    <x v="4"/>
    <n v="3"/>
    <m/>
    <x v="106"/>
    <x v="130"/>
    <x v="143"/>
    <x v="0"/>
    <m/>
    <n v="5894"/>
    <n v="2.8039961941008564"/>
    <n v="5894"/>
    <n v="2.8039961941008564"/>
    <s v="[]"/>
    <s v="[]"/>
  </r>
  <r>
    <x v="3"/>
    <s v="25 West Randolph Street"/>
    <x v="144"/>
    <s v="3302"/>
    <n v="33"/>
    <x v="4"/>
    <n v="3"/>
    <m/>
    <x v="106"/>
    <x v="130"/>
    <x v="161"/>
    <x v="0"/>
    <m/>
    <n v="5915"/>
    <n v="2.8139866793529973"/>
    <n v="5915"/>
    <n v="2.8139866793529973"/>
    <s v="[]"/>
    <s v="[]"/>
  </r>
  <r>
    <x v="4"/>
    <s v="220 East Illinois Street"/>
    <x v="145"/>
    <s v="1203"/>
    <n v="12"/>
    <x v="0"/>
    <n v="1"/>
    <m/>
    <x v="107"/>
    <x v="395"/>
    <x v="100"/>
    <x v="0"/>
    <n v="7"/>
    <n v="2029"/>
    <n v="3.5534150612959721"/>
    <n v="2029"/>
    <n v="3.5534150612959721"/>
    <s v="[]"/>
    <s v="[]"/>
  </r>
  <r>
    <x v="4"/>
    <s v="220 East Illinois Street"/>
    <x v="146"/>
    <s v="1004"/>
    <n v="10"/>
    <x v="0"/>
    <n v="1"/>
    <m/>
    <x v="107"/>
    <x v="259"/>
    <x v="462"/>
    <x v="0"/>
    <n v="6"/>
    <n v="2081"/>
    <n v="3.6444833625218913"/>
    <n v="2081"/>
    <n v="3.6444833625218913"/>
    <s v="[]"/>
    <s v="[]"/>
  </r>
  <r>
    <x v="4"/>
    <s v="220 East Illinois Street"/>
    <x v="145"/>
    <s v="1303"/>
    <n v="13"/>
    <x v="0"/>
    <n v="1"/>
    <m/>
    <x v="107"/>
    <x v="259"/>
    <x v="463"/>
    <x v="0"/>
    <n v="7"/>
    <n v="2099"/>
    <n v="3.6760070052539406"/>
    <n v="2099"/>
    <n v="3.6760070052539406"/>
    <s v="[]"/>
    <s v="[]"/>
  </r>
  <r>
    <x v="4"/>
    <s v="220 East Illinois Street"/>
    <x v="145"/>
    <s v="1403"/>
    <n v="14"/>
    <x v="0"/>
    <n v="1"/>
    <m/>
    <x v="107"/>
    <x v="396"/>
    <x v="79"/>
    <x v="0"/>
    <n v="12"/>
    <n v="2109"/>
    <n v="3.693520140105079"/>
    <n v="2109"/>
    <n v="3.693520140105079"/>
    <s v="[]"/>
    <s v="[]"/>
  </r>
  <r>
    <x v="4"/>
    <s v="220 East Illinois Street"/>
    <x v="145"/>
    <s v="1103"/>
    <n v="11"/>
    <x v="0"/>
    <n v="1"/>
    <m/>
    <x v="107"/>
    <x v="5"/>
    <x v="198"/>
    <x v="0"/>
    <n v="3"/>
    <n v="2114"/>
    <n v="3.7022767075306482"/>
    <n v="2114"/>
    <n v="3.7022767075306482"/>
    <s v="[]"/>
    <s v="[]"/>
  </r>
  <r>
    <x v="4"/>
    <s v="220 East Illinois Street"/>
    <x v="146"/>
    <s v="1504"/>
    <n v="15"/>
    <x v="0"/>
    <n v="1"/>
    <m/>
    <x v="107"/>
    <x v="73"/>
    <x v="464"/>
    <x v="0"/>
    <n v="32"/>
    <n v="2120"/>
    <n v="3.7127845884413309"/>
    <n v="2120"/>
    <n v="3.7127845884413309"/>
    <s v="[]"/>
    <s v="[]"/>
  </r>
  <r>
    <x v="4"/>
    <s v="220 East Illinois Street"/>
    <x v="145"/>
    <s v="1603"/>
    <n v="16"/>
    <x v="0"/>
    <n v="1"/>
    <m/>
    <x v="107"/>
    <x v="374"/>
    <x v="79"/>
    <x v="0"/>
    <n v="43"/>
    <n v="2129"/>
    <n v="3.7285464098073553"/>
    <n v="2129"/>
    <n v="3.7285464098073553"/>
    <s v="[]"/>
    <s v="[]"/>
  </r>
  <r>
    <x v="4"/>
    <s v="220 East Illinois Street"/>
    <x v="146"/>
    <s v="2504"/>
    <n v="25"/>
    <x v="0"/>
    <n v="1"/>
    <m/>
    <x v="107"/>
    <x v="397"/>
    <x v="465"/>
    <x v="0"/>
    <n v="41"/>
    <n v="2324"/>
    <n v="4.0700525394045535"/>
    <n v="2324"/>
    <n v="4.0700525394045535"/>
    <s v="[]"/>
    <s v="[]"/>
  </r>
  <r>
    <x v="4"/>
    <s v="220 East Illinois Street"/>
    <x v="146"/>
    <s v="2404"/>
    <n v="24"/>
    <x v="0"/>
    <n v="1"/>
    <m/>
    <x v="107"/>
    <x v="19"/>
    <x v="466"/>
    <x v="0"/>
    <n v="63"/>
    <n v="2330"/>
    <n v="4.0805604203152361"/>
    <n v="2330"/>
    <n v="4.0805604203152361"/>
    <s v="[]"/>
    <s v="[]"/>
  </r>
  <r>
    <x v="4"/>
    <s v="220 East Illinois Street"/>
    <x v="145"/>
    <s v="2203"/>
    <n v="22"/>
    <x v="0"/>
    <n v="1"/>
    <m/>
    <x v="107"/>
    <x v="48"/>
    <x v="65"/>
    <x v="0"/>
    <n v="123"/>
    <n v="2358"/>
    <n v="4.1295971978984234"/>
    <n v="2358"/>
    <n v="4.1295971978984234"/>
    <s v="[]"/>
    <s v="[]"/>
  </r>
  <r>
    <x v="4"/>
    <s v="220 East Illinois Street"/>
    <x v="146"/>
    <s v="1304"/>
    <n v="13"/>
    <x v="0"/>
    <n v="1"/>
    <m/>
    <x v="107"/>
    <x v="398"/>
    <x v="332"/>
    <x v="0"/>
    <n v="7"/>
    <n v="2359"/>
    <n v="4.1313485113835373"/>
    <n v="2359"/>
    <n v="4.1313485113835373"/>
    <s v="[]"/>
    <s v="[]"/>
  </r>
  <r>
    <x v="4"/>
    <s v="220 East Illinois Street"/>
    <x v="145"/>
    <s v="1803"/>
    <n v="18"/>
    <x v="0"/>
    <n v="1"/>
    <m/>
    <x v="107"/>
    <x v="301"/>
    <x v="439"/>
    <x v="0"/>
    <n v="36"/>
    <n v="2379"/>
    <n v="4.166374781085814"/>
    <n v="2379"/>
    <n v="4.166374781085814"/>
    <s v="[]"/>
    <s v="[]"/>
  </r>
  <r>
    <x v="4"/>
    <s v="220 East Illinois Street"/>
    <x v="146"/>
    <s v="2204"/>
    <n v="22"/>
    <x v="0"/>
    <n v="1"/>
    <m/>
    <x v="107"/>
    <x v="399"/>
    <x v="192"/>
    <x v="0"/>
    <n v="111"/>
    <n v="2388"/>
    <n v="4.1821366024518385"/>
    <n v="2388"/>
    <n v="4.1821366024518385"/>
    <s v="[]"/>
    <s v="[]"/>
  </r>
  <r>
    <x v="4"/>
    <s v="220 East Illinois Street"/>
    <x v="145"/>
    <s v="3103"/>
    <n v="31"/>
    <x v="0"/>
    <n v="1"/>
    <m/>
    <x v="107"/>
    <x v="201"/>
    <x v="226"/>
    <x v="0"/>
    <n v="77"/>
    <n v="2414"/>
    <n v="4.2276707530647988"/>
    <n v="2414"/>
    <n v="4.2276707530647988"/>
    <s v="[]"/>
    <s v="[]"/>
  </r>
  <r>
    <x v="4"/>
    <s v="220 East Illinois Street"/>
    <x v="145"/>
    <s v="3503"/>
    <n v="35"/>
    <x v="0"/>
    <n v="1"/>
    <m/>
    <x v="107"/>
    <x v="386"/>
    <x v="466"/>
    <x v="0"/>
    <n v="15"/>
    <n v="2475"/>
    <n v="4.3345008756567429"/>
    <n v="2475"/>
    <n v="4.3345008756567429"/>
    <s v="[]"/>
    <s v="[]"/>
  </r>
  <r>
    <x v="4"/>
    <s v="220 East Illinois Street"/>
    <x v="146"/>
    <s v="2304"/>
    <n v="23"/>
    <x v="0"/>
    <n v="1"/>
    <m/>
    <x v="107"/>
    <x v="399"/>
    <x v="129"/>
    <x v="0"/>
    <n v="115"/>
    <n v="2492"/>
    <n v="4.3642732049036779"/>
    <n v="2492"/>
    <n v="4.3642732049036779"/>
    <s v="[]"/>
    <s v="[]"/>
  </r>
  <r>
    <x v="4"/>
    <s v="220 East Illinois Street"/>
    <x v="145"/>
    <s v="1903"/>
    <n v="19"/>
    <x v="0"/>
    <n v="1"/>
    <m/>
    <x v="107"/>
    <x v="177"/>
    <x v="467"/>
    <x v="0"/>
    <n v="52"/>
    <n v="2495"/>
    <n v="4.3695271453590196"/>
    <n v="2495"/>
    <n v="4.3695271453590196"/>
    <s v="[]"/>
    <s v="[]"/>
  </r>
  <r>
    <x v="4"/>
    <s v="220 East Illinois Street"/>
    <x v="146"/>
    <s v="3504"/>
    <n v="35"/>
    <x v="0"/>
    <n v="1"/>
    <m/>
    <x v="107"/>
    <x v="154"/>
    <x v="468"/>
    <x v="0"/>
    <n v="7"/>
    <n v="2527"/>
    <n v="4.4255691768826617"/>
    <n v="2527"/>
    <n v="4.4255691768826617"/>
    <s v="[]"/>
    <s v="[]"/>
  </r>
  <r>
    <x v="4"/>
    <s v="220 East Illinois Street"/>
    <x v="145"/>
    <s v="1503"/>
    <n v="15"/>
    <x v="0"/>
    <n v="1"/>
    <m/>
    <x v="107"/>
    <x v="41"/>
    <x v="341"/>
    <x v="0"/>
    <n v="35"/>
    <n v="2530"/>
    <n v="4.4308231173380035"/>
    <n v="2530"/>
    <n v="4.4308231173380035"/>
    <s v="[]"/>
    <s v="[]"/>
  </r>
  <r>
    <x v="4"/>
    <s v="220 East Illinois Street"/>
    <x v="145"/>
    <s v="1003"/>
    <n v="10"/>
    <x v="0"/>
    <n v="1"/>
    <m/>
    <x v="107"/>
    <x v="320"/>
    <x v="469"/>
    <x v="0"/>
    <n v="8"/>
    <n v="2536"/>
    <n v="4.4413309982486862"/>
    <n v="2536"/>
    <n v="4.4413309982486862"/>
    <s v="[]"/>
    <s v="[]"/>
  </r>
  <r>
    <x v="4"/>
    <s v="220 East Illinois Street"/>
    <x v="145"/>
    <s v="3203"/>
    <n v="32"/>
    <x v="0"/>
    <n v="1"/>
    <m/>
    <x v="107"/>
    <x v="373"/>
    <x v="274"/>
    <x v="0"/>
    <n v="86"/>
    <n v="2556"/>
    <n v="4.4763572679509629"/>
    <n v="2556"/>
    <n v="4.4763572679509629"/>
    <s v="[]"/>
    <s v="[]"/>
  </r>
  <r>
    <x v="4"/>
    <s v="220 East Illinois Street"/>
    <x v="146"/>
    <s v="3104"/>
    <n v="31"/>
    <x v="0"/>
    <n v="1"/>
    <m/>
    <x v="107"/>
    <x v="2"/>
    <x v="470"/>
    <x v="0"/>
    <n v="7"/>
    <n v="2564"/>
    <n v="4.4903677758318743"/>
    <n v="2564"/>
    <n v="4.4903677758318743"/>
    <s v="[]"/>
    <s v="[]"/>
  </r>
  <r>
    <x v="4"/>
    <s v="220 East Illinois Street"/>
    <x v="146"/>
    <s v="2604"/>
    <n v="26"/>
    <x v="0"/>
    <n v="1"/>
    <m/>
    <x v="107"/>
    <x v="57"/>
    <x v="189"/>
    <x v="0"/>
    <n v="9"/>
    <n v="2566"/>
    <n v="4.4938704028021013"/>
    <n v="2566"/>
    <n v="4.4938704028021013"/>
    <s v="[]"/>
    <s v="[]"/>
  </r>
  <r>
    <x v="4"/>
    <s v="220 East Illinois Street"/>
    <x v="146"/>
    <s v="3304"/>
    <n v="33"/>
    <x v="0"/>
    <n v="1"/>
    <m/>
    <x v="107"/>
    <x v="347"/>
    <x v="251"/>
    <x v="0"/>
    <n v="389"/>
    <n v="2601"/>
    <n v="4.555166374781086"/>
    <n v="2601"/>
    <n v="4.555166374781086"/>
    <s v="[]"/>
    <s v="[]"/>
  </r>
  <r>
    <x v="4"/>
    <s v="220 East Illinois Street"/>
    <x v="146"/>
    <s v="2104"/>
    <n v="21"/>
    <x v="0"/>
    <n v="1"/>
    <m/>
    <x v="107"/>
    <x v="123"/>
    <x v="335"/>
    <x v="0"/>
    <n v="11"/>
    <n v="2602"/>
    <n v="4.5569176882661999"/>
    <n v="2602"/>
    <n v="4.5569176882661999"/>
    <s v="[]"/>
    <s v="[]"/>
  </r>
  <r>
    <x v="4"/>
    <s v="220 East Illinois Street"/>
    <x v="145"/>
    <s v="1703"/>
    <n v="17"/>
    <x v="0"/>
    <n v="1"/>
    <m/>
    <x v="107"/>
    <x v="400"/>
    <x v="331"/>
    <x v="0"/>
    <n v="21"/>
    <n v="2617"/>
    <n v="4.583187390542907"/>
    <n v="2617"/>
    <n v="4.583187390542907"/>
    <s v="[]"/>
    <s v="[]"/>
  </r>
  <r>
    <x v="4"/>
    <s v="220 East Illinois Street"/>
    <x v="145"/>
    <s v="2803"/>
    <n v="28"/>
    <x v="0"/>
    <n v="1"/>
    <m/>
    <x v="107"/>
    <x v="381"/>
    <x v="90"/>
    <x v="0"/>
    <n v="30"/>
    <n v="2618"/>
    <n v="4.584938704028021"/>
    <n v="2618"/>
    <n v="4.584938704028021"/>
    <s v="[]"/>
    <s v="[]"/>
  </r>
  <r>
    <x v="4"/>
    <s v="220 East Illinois Street"/>
    <x v="146"/>
    <s v="3204"/>
    <n v="32"/>
    <x v="0"/>
    <n v="1"/>
    <m/>
    <x v="107"/>
    <x v="84"/>
    <x v="90"/>
    <x v="0"/>
    <n v="20"/>
    <n v="2622"/>
    <n v="4.5919439579684767"/>
    <n v="2622"/>
    <n v="4.5919439579684767"/>
    <s v="[]"/>
    <s v="[]"/>
  </r>
  <r>
    <x v="4"/>
    <s v="220 East Illinois Street"/>
    <x v="145"/>
    <s v="2903"/>
    <n v="29"/>
    <x v="0"/>
    <n v="1"/>
    <m/>
    <x v="107"/>
    <x v="130"/>
    <x v="223"/>
    <x v="0"/>
    <m/>
    <n v="2627"/>
    <n v="4.6007005253940454"/>
    <n v="2627"/>
    <n v="4.6007005253940454"/>
    <s v="[]"/>
    <s v="[]"/>
  </r>
  <r>
    <x v="4"/>
    <s v="220 East Illinois Street"/>
    <x v="145"/>
    <s v="3603"/>
    <n v="36"/>
    <x v="0"/>
    <n v="1"/>
    <m/>
    <x v="107"/>
    <x v="130"/>
    <x v="468"/>
    <x v="0"/>
    <m/>
    <n v="2637"/>
    <n v="4.6182136602451838"/>
    <n v="2637"/>
    <n v="4.6182136602451838"/>
    <s v="[]"/>
    <s v="[]"/>
  </r>
  <r>
    <x v="4"/>
    <s v="220 East Illinois Street"/>
    <x v="145"/>
    <s v="2503"/>
    <n v="25"/>
    <x v="0"/>
    <n v="1"/>
    <m/>
    <x v="107"/>
    <x v="7"/>
    <x v="44"/>
    <x v="0"/>
    <n v="2"/>
    <n v="2644"/>
    <n v="4.6304728546409804"/>
    <n v="2644"/>
    <n v="4.6304728546409804"/>
    <s v="[]"/>
    <s v="[]"/>
  </r>
  <r>
    <x v="4"/>
    <s v="220 East Illinois Street"/>
    <x v="146"/>
    <s v="3404"/>
    <n v="34"/>
    <x v="0"/>
    <n v="1"/>
    <m/>
    <x v="107"/>
    <x v="130"/>
    <x v="286"/>
    <x v="0"/>
    <m/>
    <n v="2667"/>
    <n v="4.6707530647985989"/>
    <n v="2667"/>
    <n v="4.6707530647985989"/>
    <s v="[]"/>
    <s v="[]"/>
  </r>
  <r>
    <x v="4"/>
    <s v="220 East Illinois Street"/>
    <x v="146"/>
    <s v="2904"/>
    <n v="29"/>
    <x v="0"/>
    <n v="1"/>
    <m/>
    <x v="107"/>
    <x v="381"/>
    <x v="286"/>
    <x v="0"/>
    <n v="32"/>
    <n v="2668"/>
    <n v="4.6725043782837128"/>
    <n v="2668"/>
    <n v="4.6725043782837128"/>
    <s v="[]"/>
    <s v="[]"/>
  </r>
  <r>
    <x v="4"/>
    <s v="220 East Illinois Street"/>
    <x v="146"/>
    <s v="2704"/>
    <n v="27"/>
    <x v="0"/>
    <n v="1"/>
    <m/>
    <x v="107"/>
    <x v="206"/>
    <x v="28"/>
    <x v="1"/>
    <m/>
    <n v="2745"/>
    <n v="4.807355516637478"/>
    <n v="2745"/>
    <n v="4.807355516637478"/>
    <s v="[]"/>
    <s v="[]"/>
  </r>
  <r>
    <x v="4"/>
    <s v="220 East Illinois Street"/>
    <x v="145"/>
    <s v="2303"/>
    <n v="23"/>
    <x v="0"/>
    <n v="1"/>
    <m/>
    <x v="107"/>
    <x v="401"/>
    <x v="341"/>
    <x v="0"/>
    <n v="4"/>
    <n v="2810"/>
    <n v="4.9211908931698778"/>
    <n v="2810"/>
    <n v="4.9211908931698778"/>
    <s v="[]"/>
    <s v="[]"/>
  </r>
  <r>
    <x v="4"/>
    <s v="220 East Illinois Street"/>
    <x v="145"/>
    <s v="3303"/>
    <n v="33"/>
    <x v="0"/>
    <n v="1"/>
    <m/>
    <x v="107"/>
    <x v="399"/>
    <x v="28"/>
    <x v="1"/>
    <m/>
    <n v="2855"/>
    <n v="5"/>
    <n v="2855"/>
    <n v="5"/>
    <s v="[]"/>
    <s v="[]"/>
  </r>
  <r>
    <x v="4"/>
    <s v="220 East Illinois Street"/>
    <x v="145"/>
    <s v="3403"/>
    <n v="34"/>
    <x v="0"/>
    <n v="1"/>
    <m/>
    <x v="107"/>
    <x v="357"/>
    <x v="28"/>
    <x v="1"/>
    <m/>
    <n v="2865"/>
    <n v="5.0175131348511384"/>
    <n v="2865"/>
    <n v="5.0175131348511384"/>
    <s v="[]"/>
    <s v="[]"/>
  </r>
  <r>
    <x v="4"/>
    <s v="220 East Illinois Street"/>
    <x v="147"/>
    <s v="1713"/>
    <n v="17"/>
    <x v="0"/>
    <n v="1"/>
    <m/>
    <x v="108"/>
    <x v="373"/>
    <x v="324"/>
    <x v="0"/>
    <n v="3"/>
    <n v="2039"/>
    <n v="3.4154103852596314"/>
    <n v="2039"/>
    <n v="3.4154103852596314"/>
    <s v="[]"/>
    <s v="[]"/>
  </r>
  <r>
    <x v="4"/>
    <s v="220 East Illinois Street"/>
    <x v="147"/>
    <s v="1213"/>
    <n v="12"/>
    <x v="0"/>
    <n v="1"/>
    <m/>
    <x v="108"/>
    <x v="178"/>
    <x v="130"/>
    <x v="0"/>
    <n v="28"/>
    <n v="2160"/>
    <n v="3.6180904522613067"/>
    <n v="2160"/>
    <n v="3.6180904522613067"/>
    <s v="[]"/>
    <s v="[]"/>
  </r>
  <r>
    <x v="4"/>
    <s v="220 East Illinois Street"/>
    <x v="147"/>
    <s v="1313"/>
    <n v="13"/>
    <x v="0"/>
    <n v="1"/>
    <m/>
    <x v="108"/>
    <x v="353"/>
    <x v="79"/>
    <x v="0"/>
    <n v="36"/>
    <n v="2174"/>
    <n v="3.641541038525963"/>
    <n v="2174"/>
    <n v="3.641541038525963"/>
    <s v="[]"/>
    <s v="[corner_unit]"/>
  </r>
  <r>
    <x v="4"/>
    <s v="220 East Illinois Street"/>
    <x v="147"/>
    <s v="1413"/>
    <n v="14"/>
    <x v="0"/>
    <n v="1"/>
    <m/>
    <x v="108"/>
    <x v="13"/>
    <x v="0"/>
    <x v="0"/>
    <n v="6"/>
    <n v="2345"/>
    <n v="3.9279731993299833"/>
    <n v="2345"/>
    <n v="3.9279731993299833"/>
    <s v="[]"/>
    <s v="[]"/>
  </r>
  <r>
    <x v="4"/>
    <s v="220 East Illinois Street"/>
    <x v="147"/>
    <s v="3113"/>
    <n v="31"/>
    <x v="0"/>
    <n v="1"/>
    <m/>
    <x v="108"/>
    <x v="402"/>
    <x v="471"/>
    <x v="0"/>
    <n v="19"/>
    <n v="2379"/>
    <n v="3.9849246231155777"/>
    <n v="2379"/>
    <n v="3.9849246231155777"/>
    <s v="[]"/>
    <s v="[]"/>
  </r>
  <r>
    <x v="4"/>
    <s v="220 East Illinois Street"/>
    <x v="147"/>
    <s v="2713"/>
    <n v="27"/>
    <x v="0"/>
    <n v="1"/>
    <m/>
    <x v="108"/>
    <x v="403"/>
    <x v="270"/>
    <x v="0"/>
    <n v="7"/>
    <n v="2572"/>
    <n v="4.30820770519263"/>
    <n v="2572"/>
    <n v="4.30820770519263"/>
    <s v="[]"/>
    <s v="[corner_unit]"/>
  </r>
  <r>
    <x v="4"/>
    <s v="220 East Illinois Street"/>
    <x v="147"/>
    <s v="2113"/>
    <n v="21"/>
    <x v="0"/>
    <n v="1"/>
    <m/>
    <x v="108"/>
    <x v="366"/>
    <x v="85"/>
    <x v="0"/>
    <n v="12"/>
    <n v="2608"/>
    <n v="4.3685092127303182"/>
    <n v="2608"/>
    <n v="4.3685092127303182"/>
    <s v="[]"/>
    <s v="[corner_unit]"/>
  </r>
  <r>
    <x v="4"/>
    <s v="220 East Illinois Street"/>
    <x v="147"/>
    <s v="3213"/>
    <n v="32"/>
    <x v="0"/>
    <n v="1"/>
    <m/>
    <x v="108"/>
    <x v="404"/>
    <x v="189"/>
    <x v="0"/>
    <n v="45"/>
    <n v="2613"/>
    <n v="4.3768844221105532"/>
    <n v="2613"/>
    <n v="4.3768844221105532"/>
    <s v="[]"/>
    <s v="[]"/>
  </r>
  <r>
    <x v="4"/>
    <s v="220 East Illinois Street"/>
    <x v="147"/>
    <s v="2413"/>
    <n v="24"/>
    <x v="0"/>
    <n v="1"/>
    <m/>
    <x v="108"/>
    <x v="405"/>
    <x v="236"/>
    <x v="0"/>
    <n v="108"/>
    <n v="2636"/>
    <n v="4.4154103852596318"/>
    <n v="2636"/>
    <n v="4.4154103852596318"/>
    <s v="[]"/>
    <s v="[corner_unit]"/>
  </r>
  <r>
    <x v="4"/>
    <s v="220 East Illinois Street"/>
    <x v="147"/>
    <s v="2613"/>
    <n v="26"/>
    <x v="0"/>
    <n v="1"/>
    <m/>
    <x v="108"/>
    <x v="406"/>
    <x v="280"/>
    <x v="0"/>
    <n v="5"/>
    <n v="2674"/>
    <n v="4.4790619765494135"/>
    <n v="2674"/>
    <n v="4.4790619765494135"/>
    <s v="[]"/>
    <s v="[]"/>
  </r>
  <r>
    <x v="4"/>
    <s v="220 East Illinois Street"/>
    <x v="147"/>
    <s v="3313"/>
    <n v="33"/>
    <x v="0"/>
    <n v="1"/>
    <m/>
    <x v="108"/>
    <x v="4"/>
    <x v="1"/>
    <x v="0"/>
    <n v="15"/>
    <n v="2774"/>
    <n v="4.6465661641541036"/>
    <n v="2774"/>
    <n v="4.6465661641541036"/>
    <s v="[]"/>
    <s v="[]"/>
  </r>
  <r>
    <x v="4"/>
    <s v="220 East Illinois Street"/>
    <x v="147"/>
    <s v="1913"/>
    <n v="19"/>
    <x v="0"/>
    <n v="1"/>
    <m/>
    <x v="108"/>
    <x v="242"/>
    <x v="28"/>
    <x v="1"/>
    <m/>
    <n v="2840"/>
    <n v="4.7571189279731989"/>
    <n v="2840"/>
    <n v="4.7571189279731989"/>
    <s v="[]"/>
    <s v="[]"/>
  </r>
  <r>
    <x v="4"/>
    <s v="220 East Illinois Street"/>
    <x v="147"/>
    <s v="2813"/>
    <n v="28"/>
    <x v="0"/>
    <n v="1"/>
    <m/>
    <x v="108"/>
    <x v="407"/>
    <x v="28"/>
    <x v="1"/>
    <m/>
    <n v="2855"/>
    <n v="4.7822445561139029"/>
    <n v="2855"/>
    <n v="4.7822445561139029"/>
    <s v="[]"/>
    <s v="[]"/>
  </r>
  <r>
    <x v="4"/>
    <s v="220 East Illinois Street"/>
    <x v="147"/>
    <s v="3613"/>
    <n v="36"/>
    <x v="0"/>
    <n v="1"/>
    <m/>
    <x v="108"/>
    <x v="408"/>
    <x v="28"/>
    <x v="1"/>
    <m/>
    <n v="2985"/>
    <n v="5"/>
    <n v="2985"/>
    <n v="5"/>
    <s v="[]"/>
    <s v="[corner_unit]"/>
  </r>
  <r>
    <x v="4"/>
    <s v="220 East Illinois Street"/>
    <x v="147"/>
    <s v="3413"/>
    <n v="34"/>
    <x v="0"/>
    <n v="1"/>
    <m/>
    <x v="108"/>
    <x v="42"/>
    <x v="379"/>
    <x v="0"/>
    <n v="4"/>
    <n v="3193"/>
    <n v="5.3484087102177558"/>
    <n v="3193"/>
    <n v="5.3484087102177558"/>
    <s v="[]"/>
    <s v="[]"/>
  </r>
  <r>
    <x v="4"/>
    <s v="220 East Illinois Street"/>
    <x v="148"/>
    <s v="1207"/>
    <n v="12"/>
    <x v="0"/>
    <n v="1"/>
    <m/>
    <x v="22"/>
    <x v="409"/>
    <x v="472"/>
    <x v="0"/>
    <n v="4"/>
    <n v="2064"/>
    <n v="2.8273972602739725"/>
    <n v="2064"/>
    <n v="2.8273972602739725"/>
    <s v="[]"/>
    <s v="[]"/>
  </r>
  <r>
    <x v="4"/>
    <s v="220 East Illinois Street"/>
    <x v="148"/>
    <s v="1607"/>
    <n v="16"/>
    <x v="0"/>
    <n v="1"/>
    <m/>
    <x v="22"/>
    <x v="257"/>
    <x v="403"/>
    <x v="0"/>
    <n v="18"/>
    <n v="2369"/>
    <n v="3.2452054794520548"/>
    <n v="2369"/>
    <n v="3.2452054794520548"/>
    <s v="[]"/>
    <s v="[]"/>
  </r>
  <r>
    <x v="4"/>
    <s v="220 East Illinois Street"/>
    <x v="148"/>
    <s v="2407"/>
    <n v="24"/>
    <x v="0"/>
    <n v="1"/>
    <m/>
    <x v="22"/>
    <x v="236"/>
    <x v="78"/>
    <x v="0"/>
    <n v="13"/>
    <n v="2429"/>
    <n v="3.3273972602739725"/>
    <n v="2429"/>
    <n v="3.3273972602739725"/>
    <s v="[]"/>
    <s v="[]"/>
  </r>
  <r>
    <x v="4"/>
    <s v="220 East Illinois Street"/>
    <x v="148"/>
    <s v="3507"/>
    <n v="35"/>
    <x v="0"/>
    <n v="1"/>
    <m/>
    <x v="22"/>
    <x v="410"/>
    <x v="473"/>
    <x v="0"/>
    <n v="2"/>
    <n v="2512"/>
    <n v="3.441095890410959"/>
    <n v="2512"/>
    <n v="3.441095890410959"/>
    <s v="[]"/>
    <s v="[]"/>
  </r>
  <r>
    <x v="4"/>
    <s v="220 East Illinois Street"/>
    <x v="148"/>
    <s v="2807"/>
    <n v="28"/>
    <x v="0"/>
    <n v="1"/>
    <m/>
    <x v="22"/>
    <x v="411"/>
    <x v="276"/>
    <x v="0"/>
    <n v="37"/>
    <n v="2539"/>
    <n v="3.478082191780822"/>
    <n v="2539"/>
    <n v="3.478082191780822"/>
    <s v="[]"/>
    <s v="[]"/>
  </r>
  <r>
    <x v="4"/>
    <s v="220 East Illinois Street"/>
    <x v="148"/>
    <s v="1907"/>
    <n v="19"/>
    <x v="0"/>
    <n v="1"/>
    <m/>
    <x v="22"/>
    <x v="2"/>
    <x v="468"/>
    <x v="0"/>
    <n v="12"/>
    <n v="2547"/>
    <n v="3.489041095890411"/>
    <n v="2547"/>
    <n v="3.489041095890411"/>
    <s v="[]"/>
    <s v="[]"/>
  </r>
  <r>
    <x v="4"/>
    <s v="220 East Illinois Street"/>
    <x v="148"/>
    <s v="1707"/>
    <n v="17"/>
    <x v="0"/>
    <n v="1"/>
    <m/>
    <x v="22"/>
    <x v="405"/>
    <x v="383"/>
    <x v="0"/>
    <n v="8"/>
    <n v="2552"/>
    <n v="3.495890410958904"/>
    <n v="2552"/>
    <n v="3.495890410958904"/>
    <s v="[]"/>
    <s v="[]"/>
  </r>
  <r>
    <x v="4"/>
    <s v="220 East Illinois Street"/>
    <x v="148"/>
    <s v="2107"/>
    <n v="21"/>
    <x v="0"/>
    <n v="1"/>
    <m/>
    <x v="22"/>
    <x v="221"/>
    <x v="167"/>
    <x v="0"/>
    <n v="65"/>
    <n v="2556"/>
    <n v="3.5013698630136987"/>
    <n v="2556"/>
    <n v="3.5013698630136987"/>
    <s v="[]"/>
    <s v="[]"/>
  </r>
  <r>
    <x v="4"/>
    <s v="220 East Illinois Street"/>
    <x v="148"/>
    <s v="3607"/>
    <n v="36"/>
    <x v="0"/>
    <n v="1"/>
    <m/>
    <x v="22"/>
    <x v="287"/>
    <x v="56"/>
    <x v="0"/>
    <n v="23"/>
    <n v="2557"/>
    <n v="3.5027397260273974"/>
    <n v="2557"/>
    <n v="3.5027397260273974"/>
    <s v="[]"/>
    <s v="[]"/>
  </r>
  <r>
    <x v="4"/>
    <s v="220 East Illinois Street"/>
    <x v="148"/>
    <s v="2307"/>
    <n v="23"/>
    <x v="0"/>
    <n v="1"/>
    <m/>
    <x v="22"/>
    <x v="377"/>
    <x v="112"/>
    <x v="0"/>
    <n v="44"/>
    <n v="2576"/>
    <n v="3.5287671232876714"/>
    <n v="2576"/>
    <n v="3.5287671232876714"/>
    <s v="[]"/>
    <s v="[]"/>
  </r>
  <r>
    <x v="4"/>
    <s v="220 East Illinois Street"/>
    <x v="148"/>
    <s v="1007"/>
    <n v="10"/>
    <x v="0"/>
    <n v="1"/>
    <m/>
    <x v="22"/>
    <x v="412"/>
    <x v="379"/>
    <x v="0"/>
    <n v="22"/>
    <n v="2659"/>
    <n v="3.6424657534246574"/>
    <n v="2659"/>
    <n v="3.6424657534246574"/>
    <s v="[]"/>
    <s v="[]"/>
  </r>
  <r>
    <x v="4"/>
    <s v="220 East Illinois Street"/>
    <x v="148"/>
    <s v="1107"/>
    <n v="11"/>
    <x v="0"/>
    <n v="1"/>
    <m/>
    <x v="22"/>
    <x v="71"/>
    <x v="212"/>
    <x v="0"/>
    <n v="16"/>
    <n v="2699"/>
    <n v="3.6972602739726028"/>
    <n v="2699"/>
    <n v="3.6972602739726028"/>
    <s v="[]"/>
    <s v="[]"/>
  </r>
  <r>
    <x v="4"/>
    <s v="220 East Illinois Street"/>
    <x v="148"/>
    <s v="2207"/>
    <n v="22"/>
    <x v="0"/>
    <n v="1"/>
    <m/>
    <x v="22"/>
    <x v="413"/>
    <x v="279"/>
    <x v="0"/>
    <n v="2"/>
    <n v="2720"/>
    <n v="3.7260273972602738"/>
    <n v="2720"/>
    <n v="3.7260273972602738"/>
    <s v="[]"/>
    <s v="[]"/>
  </r>
  <r>
    <x v="4"/>
    <s v="220 East Illinois Street"/>
    <x v="148"/>
    <s v="2907"/>
    <n v="29"/>
    <x v="0"/>
    <n v="1"/>
    <m/>
    <x v="22"/>
    <x v="335"/>
    <x v="474"/>
    <x v="0"/>
    <n v="2"/>
    <n v="2776"/>
    <n v="3.8027397260273972"/>
    <n v="2776"/>
    <n v="3.8027397260273972"/>
    <s v="[]"/>
    <s v="[]"/>
  </r>
  <r>
    <x v="4"/>
    <s v="220 East Illinois Street"/>
    <x v="148"/>
    <s v="3007"/>
    <n v="30"/>
    <x v="0"/>
    <n v="1"/>
    <m/>
    <x v="22"/>
    <x v="33"/>
    <x v="322"/>
    <x v="0"/>
    <n v="3"/>
    <n v="2804"/>
    <n v="3.8410958904109589"/>
    <n v="2804"/>
    <n v="3.8410958904109589"/>
    <s v="[]"/>
    <s v="[]"/>
  </r>
  <r>
    <x v="4"/>
    <s v="220 East Illinois Street"/>
    <x v="149"/>
    <s v="1202"/>
    <n v="12"/>
    <x v="1"/>
    <n v="1"/>
    <m/>
    <x v="109"/>
    <x v="414"/>
    <x v="302"/>
    <x v="0"/>
    <n v="3"/>
    <n v="2239"/>
    <n v="3.050408719346049"/>
    <n v="2239"/>
    <n v="3.050408719346049"/>
    <s v="[]"/>
    <s v="[]"/>
  </r>
  <r>
    <x v="4"/>
    <s v="220 East Illinois Street"/>
    <x v="149"/>
    <s v="1002"/>
    <n v="10"/>
    <x v="1"/>
    <n v="1"/>
    <m/>
    <x v="109"/>
    <x v="415"/>
    <x v="243"/>
    <x v="0"/>
    <n v="5"/>
    <n v="2253"/>
    <n v="3.069482288828338"/>
    <n v="2253"/>
    <n v="3.069482288828338"/>
    <s v="[]"/>
    <s v="[]"/>
  </r>
  <r>
    <x v="4"/>
    <s v="220 East Illinois Street"/>
    <x v="150"/>
    <s v="1005"/>
    <n v="10"/>
    <x v="1"/>
    <n v="1"/>
    <m/>
    <x v="109"/>
    <x v="416"/>
    <x v="340"/>
    <x v="0"/>
    <n v="12"/>
    <n v="2396"/>
    <n v="3.2643051771117166"/>
    <n v="2396"/>
    <n v="3.2643051771117166"/>
    <s v="[]"/>
    <s v="[]"/>
  </r>
  <r>
    <x v="4"/>
    <s v="220 East Illinois Street"/>
    <x v="149"/>
    <s v="2102"/>
    <n v="21"/>
    <x v="1"/>
    <n v="1"/>
    <m/>
    <x v="109"/>
    <x v="417"/>
    <x v="365"/>
    <x v="0"/>
    <n v="156"/>
    <n v="2468"/>
    <n v="3.3623978201634879"/>
    <n v="2468"/>
    <n v="3.3623978201634879"/>
    <s v="[]"/>
    <s v="[]"/>
  </r>
  <r>
    <x v="4"/>
    <s v="220 East Illinois Street"/>
    <x v="149"/>
    <s v="0902"/>
    <n v="9"/>
    <x v="1"/>
    <n v="1"/>
    <m/>
    <x v="109"/>
    <x v="418"/>
    <x v="475"/>
    <x v="0"/>
    <n v="41"/>
    <n v="2504"/>
    <n v="3.4114441416893735"/>
    <n v="2504"/>
    <n v="3.4114441416893735"/>
    <s v="[]"/>
    <s v="[]"/>
  </r>
  <r>
    <x v="4"/>
    <s v="220 East Illinois Street"/>
    <x v="150"/>
    <s v="0905"/>
    <n v="9"/>
    <x v="1"/>
    <n v="1"/>
    <m/>
    <x v="109"/>
    <x v="419"/>
    <x v="113"/>
    <x v="0"/>
    <n v="3"/>
    <n v="2581"/>
    <n v="3.5163487738419619"/>
    <n v="2581"/>
    <n v="3.5163487738419619"/>
    <s v="[]"/>
    <s v="[]"/>
  </r>
  <r>
    <x v="4"/>
    <s v="220 East Illinois Street"/>
    <x v="150"/>
    <s v="1205"/>
    <n v="12"/>
    <x v="1"/>
    <n v="1"/>
    <m/>
    <x v="109"/>
    <x v="420"/>
    <x v="211"/>
    <x v="0"/>
    <n v="6"/>
    <n v="2653"/>
    <n v="3.6144414168937331"/>
    <n v="2653"/>
    <n v="3.6144414168937331"/>
    <s v="[]"/>
    <s v="[]"/>
  </r>
  <r>
    <x v="4"/>
    <s v="220 East Illinois Street"/>
    <x v="149"/>
    <s v="1102"/>
    <n v="11"/>
    <x v="1"/>
    <n v="1"/>
    <m/>
    <x v="109"/>
    <x v="381"/>
    <x v="290"/>
    <x v="0"/>
    <n v="4"/>
    <n v="2723"/>
    <n v="3.7098092643051772"/>
    <n v="2723"/>
    <n v="3.7098092643051772"/>
    <s v="[]"/>
    <s v="[]"/>
  </r>
  <r>
    <x v="4"/>
    <s v="220 East Illinois Street"/>
    <x v="150"/>
    <s v="1805"/>
    <n v="18"/>
    <x v="1"/>
    <n v="1"/>
    <m/>
    <x v="109"/>
    <x v="42"/>
    <x v="152"/>
    <x v="0"/>
    <n v="26"/>
    <n v="2764"/>
    <n v="3.76566757493188"/>
    <n v="2764"/>
    <n v="3.76566757493188"/>
    <s v="[]"/>
    <s v="[]"/>
  </r>
  <r>
    <x v="4"/>
    <s v="220 East Illinois Street"/>
    <x v="149"/>
    <s v="1802"/>
    <n v="18"/>
    <x v="1"/>
    <n v="1"/>
    <m/>
    <x v="109"/>
    <x v="267"/>
    <x v="476"/>
    <x v="0"/>
    <n v="19"/>
    <n v="2808"/>
    <n v="3.8256130790190737"/>
    <n v="2808"/>
    <n v="3.8256130790190737"/>
    <s v="[]"/>
    <s v="[]"/>
  </r>
  <r>
    <x v="4"/>
    <s v="220 East Illinois Street"/>
    <x v="149"/>
    <s v="1302"/>
    <n v="13"/>
    <x v="1"/>
    <n v="1"/>
    <m/>
    <x v="109"/>
    <x v="421"/>
    <x v="341"/>
    <x v="0"/>
    <n v="3"/>
    <n v="2812"/>
    <n v="3.8310626702997275"/>
    <n v="2812"/>
    <n v="3.8310626702997275"/>
    <s v="[]"/>
    <s v="[]"/>
  </r>
  <r>
    <x v="4"/>
    <s v="220 East Illinois Street"/>
    <x v="150"/>
    <s v="1705"/>
    <n v="17"/>
    <x v="1"/>
    <n v="1"/>
    <m/>
    <x v="109"/>
    <x v="422"/>
    <x v="218"/>
    <x v="0"/>
    <n v="62"/>
    <n v="2829"/>
    <n v="3.8542234332425069"/>
    <n v="2829"/>
    <n v="3.8542234332425069"/>
    <s v="[]"/>
    <s v="[]"/>
  </r>
  <r>
    <x v="4"/>
    <s v="220 East Illinois Street"/>
    <x v="149"/>
    <s v="1502"/>
    <n v="15"/>
    <x v="1"/>
    <n v="1"/>
    <m/>
    <x v="109"/>
    <x v="423"/>
    <x v="199"/>
    <x v="0"/>
    <n v="15"/>
    <n v="2843"/>
    <n v="3.8732970027247955"/>
    <n v="2843"/>
    <n v="3.8732970027247955"/>
    <s v="[]"/>
    <s v="[]"/>
  </r>
  <r>
    <x v="4"/>
    <s v="220 East Illinois Street"/>
    <x v="149"/>
    <s v="3102"/>
    <n v="31"/>
    <x v="1"/>
    <n v="1"/>
    <m/>
    <x v="109"/>
    <x v="130"/>
    <x v="267"/>
    <x v="0"/>
    <m/>
    <n v="2855"/>
    <n v="3.8896457765667574"/>
    <n v="2855"/>
    <n v="3.8896457765667574"/>
    <s v="[]"/>
    <s v="[]"/>
  </r>
  <r>
    <x v="4"/>
    <s v="220 East Illinois Street"/>
    <x v="150"/>
    <s v="2405"/>
    <n v="24"/>
    <x v="1"/>
    <n v="1"/>
    <m/>
    <x v="109"/>
    <x v="80"/>
    <x v="468"/>
    <x v="0"/>
    <n v="90"/>
    <n v="2862"/>
    <n v="3.8991825613079021"/>
    <n v="2862"/>
    <n v="3.8991825613079021"/>
    <s v="[]"/>
    <s v="[]"/>
  </r>
  <r>
    <x v="4"/>
    <s v="220 East Illinois Street"/>
    <x v="150"/>
    <s v="1905"/>
    <n v="19"/>
    <x v="1"/>
    <n v="1"/>
    <m/>
    <x v="109"/>
    <x v="424"/>
    <x v="477"/>
    <x v="0"/>
    <n v="51"/>
    <n v="2864"/>
    <n v="3.9019073569482288"/>
    <n v="2864"/>
    <n v="3.9019073569482288"/>
    <s v="[]"/>
    <s v="[]"/>
  </r>
  <r>
    <x v="4"/>
    <s v="220 East Illinois Street"/>
    <x v="149"/>
    <s v="2402"/>
    <n v="24"/>
    <x v="1"/>
    <n v="1"/>
    <m/>
    <x v="109"/>
    <x v="340"/>
    <x v="403"/>
    <x v="0"/>
    <n v="5"/>
    <n v="2864"/>
    <n v="3.9019073569482288"/>
    <n v="2864"/>
    <n v="3.9019073569482288"/>
    <s v="[]"/>
    <s v="[]"/>
  </r>
  <r>
    <x v="4"/>
    <s v="220 East Illinois Street"/>
    <x v="149"/>
    <s v="2802"/>
    <n v="28"/>
    <x v="1"/>
    <n v="1"/>
    <m/>
    <x v="109"/>
    <x v="425"/>
    <x v="163"/>
    <x v="0"/>
    <n v="48"/>
    <n v="2875"/>
    <n v="3.9168937329700273"/>
    <n v="2875"/>
    <n v="3.9168937329700273"/>
    <s v="[]"/>
    <s v="[]"/>
  </r>
  <r>
    <x v="4"/>
    <s v="220 East Illinois Street"/>
    <x v="150"/>
    <s v="2705"/>
    <n v="27"/>
    <x v="1"/>
    <n v="1"/>
    <m/>
    <x v="109"/>
    <x v="130"/>
    <x v="478"/>
    <x v="0"/>
    <m/>
    <n v="2886"/>
    <n v="3.9318801089918258"/>
    <n v="2886"/>
    <n v="3.9318801089918258"/>
    <s v="[]"/>
    <s v="[]"/>
  </r>
  <r>
    <x v="4"/>
    <s v="220 East Illinois Street"/>
    <x v="149"/>
    <s v="1402"/>
    <n v="14"/>
    <x v="1"/>
    <n v="1"/>
    <m/>
    <x v="109"/>
    <x v="206"/>
    <x v="137"/>
    <x v="0"/>
    <n v="6"/>
    <n v="2907"/>
    <n v="3.9604904632152587"/>
    <n v="2907"/>
    <n v="3.9604904632152587"/>
    <s v="[]"/>
    <s v="[]"/>
  </r>
  <r>
    <x v="4"/>
    <s v="220 East Illinois Street"/>
    <x v="149"/>
    <s v="2502"/>
    <n v="25"/>
    <x v="1"/>
    <n v="1"/>
    <m/>
    <x v="109"/>
    <x v="154"/>
    <x v="4"/>
    <x v="0"/>
    <n v="5"/>
    <n v="2937"/>
    <n v="4.0013623978201638"/>
    <n v="2937"/>
    <n v="4.0013623978201638"/>
    <s v="[]"/>
    <s v="[]"/>
  </r>
  <r>
    <x v="4"/>
    <s v="220 East Illinois Street"/>
    <x v="149"/>
    <s v="3402"/>
    <n v="34"/>
    <x v="1"/>
    <n v="1"/>
    <m/>
    <x v="109"/>
    <x v="130"/>
    <x v="479"/>
    <x v="0"/>
    <m/>
    <n v="2956"/>
    <n v="4.0272479564032695"/>
    <n v="2956"/>
    <n v="4.0272479564032695"/>
    <s v="[]"/>
    <s v="[]"/>
  </r>
  <r>
    <x v="4"/>
    <s v="220 East Illinois Street"/>
    <x v="150"/>
    <s v="2205"/>
    <n v="22"/>
    <x v="1"/>
    <n v="1"/>
    <m/>
    <x v="109"/>
    <x v="26"/>
    <x v="213"/>
    <x v="0"/>
    <n v="204"/>
    <n v="2979"/>
    <n v="4.0585831062670303"/>
    <n v="2979"/>
    <n v="4.0585831062670303"/>
    <s v="[]"/>
    <s v="[]"/>
  </r>
  <r>
    <x v="4"/>
    <s v="220 East Illinois Street"/>
    <x v="149"/>
    <s v="3202"/>
    <n v="32"/>
    <x v="1"/>
    <n v="1"/>
    <m/>
    <x v="109"/>
    <x v="94"/>
    <x v="40"/>
    <x v="0"/>
    <n v="2"/>
    <n v="3014"/>
    <n v="4.1062670299727522"/>
    <n v="3014"/>
    <n v="4.1062670299727522"/>
    <s v="[]"/>
    <s v="[]"/>
  </r>
  <r>
    <x v="4"/>
    <s v="220 East Illinois Street"/>
    <x v="150"/>
    <s v="3305"/>
    <n v="33"/>
    <x v="1"/>
    <n v="1"/>
    <m/>
    <x v="109"/>
    <x v="426"/>
    <x v="26"/>
    <x v="0"/>
    <n v="29"/>
    <n v="3054"/>
    <n v="4.1607629427792912"/>
    <n v="3054"/>
    <n v="4.1607629427792912"/>
    <s v="[]"/>
    <s v="[]"/>
  </r>
  <r>
    <x v="4"/>
    <s v="220 East Illinois Street"/>
    <x v="150"/>
    <s v="2105"/>
    <n v="21"/>
    <x v="1"/>
    <n v="1"/>
    <m/>
    <x v="109"/>
    <x v="427"/>
    <x v="385"/>
    <x v="0"/>
    <n v="7"/>
    <n v="3061"/>
    <n v="4.1702997275204359"/>
    <n v="3061"/>
    <n v="4.1702997275204359"/>
    <s v="[]"/>
    <s v="[]"/>
  </r>
  <r>
    <x v="4"/>
    <s v="220 East Illinois Street"/>
    <x v="149"/>
    <s v="2302"/>
    <n v="23"/>
    <x v="1"/>
    <n v="1"/>
    <m/>
    <x v="109"/>
    <x v="275"/>
    <x v="213"/>
    <x v="0"/>
    <n v="18"/>
    <n v="3104"/>
    <n v="4.2288828337874662"/>
    <n v="3104"/>
    <n v="4.2288828337874662"/>
    <s v="[]"/>
    <s v="[]"/>
  </r>
  <r>
    <x v="4"/>
    <s v="220 East Illinois Street"/>
    <x v="149"/>
    <s v="2202"/>
    <n v="22"/>
    <x v="1"/>
    <n v="1"/>
    <m/>
    <x v="109"/>
    <x v="382"/>
    <x v="28"/>
    <x v="1"/>
    <m/>
    <n v="3155"/>
    <n v="4.2983651226158042"/>
    <n v="3155"/>
    <n v="4.2983651226158042"/>
    <s v="[]"/>
    <s v="[]"/>
  </r>
  <r>
    <x v="4"/>
    <s v="220 East Illinois Street"/>
    <x v="150"/>
    <s v="3605"/>
    <n v="36"/>
    <x v="1"/>
    <n v="1"/>
    <m/>
    <x v="109"/>
    <x v="130"/>
    <x v="166"/>
    <x v="0"/>
    <m/>
    <n v="3182"/>
    <n v="4.3351498637602184"/>
    <n v="3182"/>
    <n v="4.3351498637602184"/>
    <s v="[]"/>
    <s v="[]"/>
  </r>
  <r>
    <x v="4"/>
    <s v="220 East Illinois Street"/>
    <x v="150"/>
    <s v="2605"/>
    <n v="26"/>
    <x v="1"/>
    <n v="1"/>
    <m/>
    <x v="109"/>
    <x v="428"/>
    <x v="28"/>
    <x v="1"/>
    <m/>
    <n v="3245"/>
    <n v="4.4209809264305173"/>
    <n v="3245"/>
    <n v="4.4209809264305173"/>
    <s v="[]"/>
    <s v="[]"/>
  </r>
  <r>
    <x v="4"/>
    <s v="220 East Illinois Street"/>
    <x v="149"/>
    <s v="3002"/>
    <n v="30"/>
    <x v="1"/>
    <n v="1"/>
    <m/>
    <x v="109"/>
    <x v="127"/>
    <x v="244"/>
    <x v="0"/>
    <n v="75"/>
    <n v="3248"/>
    <n v="4.4250681198910078"/>
    <n v="3248"/>
    <n v="4.4250681198910078"/>
    <s v="[]"/>
    <s v="[]"/>
  </r>
  <r>
    <x v="4"/>
    <s v="220 East Illinois Street"/>
    <x v="149"/>
    <s v="2702"/>
    <n v="27"/>
    <x v="1"/>
    <n v="1"/>
    <m/>
    <x v="109"/>
    <x v="187"/>
    <x v="28"/>
    <x v="1"/>
    <m/>
    <n v="3255"/>
    <n v="4.4346049046321525"/>
    <n v="3255"/>
    <n v="4.4346049046321525"/>
    <s v="[]"/>
    <s v="[]"/>
  </r>
  <r>
    <x v="4"/>
    <s v="220 East Illinois Street"/>
    <x v="150"/>
    <s v="2905"/>
    <n v="29"/>
    <x v="1"/>
    <n v="1"/>
    <m/>
    <x v="109"/>
    <x v="429"/>
    <x v="480"/>
    <x v="0"/>
    <n v="85"/>
    <n v="3268"/>
    <n v="4.4523160762942782"/>
    <n v="3268"/>
    <n v="4.4523160762942782"/>
    <s v="[]"/>
    <s v="[]"/>
  </r>
  <r>
    <x v="4"/>
    <s v="220 East Illinois Street"/>
    <x v="150"/>
    <s v="2805"/>
    <n v="28"/>
    <x v="1"/>
    <n v="1"/>
    <m/>
    <x v="109"/>
    <x v="375"/>
    <x v="432"/>
    <x v="0"/>
    <n v="256"/>
    <n v="3302"/>
    <n v="4.4986376021798362"/>
    <n v="3302"/>
    <n v="4.4986376021798362"/>
    <s v="[]"/>
    <s v="[]"/>
  </r>
  <r>
    <x v="4"/>
    <s v="220 East Illinois Street"/>
    <x v="149"/>
    <s v="1902"/>
    <n v="19"/>
    <x v="1"/>
    <n v="1"/>
    <m/>
    <x v="109"/>
    <x v="211"/>
    <x v="28"/>
    <x v="1"/>
    <m/>
    <n v="3325"/>
    <n v="4.5299727520435971"/>
    <n v="3325"/>
    <n v="4.5299727520435971"/>
    <s v="[]"/>
    <s v="[]"/>
  </r>
  <r>
    <x v="4"/>
    <s v="220 East Illinois Street"/>
    <x v="150"/>
    <s v="3105"/>
    <n v="31"/>
    <x v="1"/>
    <n v="1"/>
    <m/>
    <x v="109"/>
    <x v="294"/>
    <x v="28"/>
    <x v="1"/>
    <m/>
    <n v="3345"/>
    <n v="4.5572207084468666"/>
    <n v="3345"/>
    <n v="4.5572207084468666"/>
    <s v="[]"/>
    <s v="[]"/>
  </r>
  <r>
    <x v="4"/>
    <s v="220 East Illinois Street"/>
    <x v="150"/>
    <s v="3005"/>
    <n v="30"/>
    <x v="1"/>
    <n v="1"/>
    <m/>
    <x v="109"/>
    <x v="430"/>
    <x v="28"/>
    <x v="1"/>
    <m/>
    <n v="3355"/>
    <n v="4.5708446866485017"/>
    <n v="3355"/>
    <n v="4.5708446866485017"/>
    <s v="[]"/>
    <s v="[]"/>
  </r>
  <r>
    <x v="4"/>
    <s v="220 East Illinois Street"/>
    <x v="149"/>
    <s v="3302"/>
    <n v="33"/>
    <x v="1"/>
    <n v="1"/>
    <m/>
    <x v="109"/>
    <x v="314"/>
    <x v="28"/>
    <x v="1"/>
    <m/>
    <n v="3365"/>
    <n v="4.584468664850136"/>
    <n v="3365"/>
    <n v="4.584468664850136"/>
    <s v="[]"/>
    <s v="[]"/>
  </r>
  <r>
    <x v="4"/>
    <s v="220 East Illinois Street"/>
    <x v="150"/>
    <s v="3405"/>
    <n v="34"/>
    <x v="1"/>
    <n v="1"/>
    <m/>
    <x v="109"/>
    <x v="430"/>
    <x v="28"/>
    <x v="1"/>
    <m/>
    <n v="3425"/>
    <n v="4.6662125340599454"/>
    <n v="3425"/>
    <n v="4.6662125340599454"/>
    <s v="[]"/>
    <s v="[]"/>
  </r>
  <r>
    <x v="4"/>
    <s v="220 East Illinois Street"/>
    <x v="149"/>
    <s v="3602"/>
    <n v="36"/>
    <x v="1"/>
    <n v="1"/>
    <m/>
    <x v="109"/>
    <x v="431"/>
    <x v="28"/>
    <x v="1"/>
    <m/>
    <n v="3495"/>
    <n v="4.76158038147139"/>
    <n v="3495"/>
    <n v="4.76158038147139"/>
    <s v="[]"/>
    <s v="[]"/>
  </r>
  <r>
    <x v="4"/>
    <s v="220 East Illinois Street"/>
    <x v="151"/>
    <s v="1210"/>
    <n v="12"/>
    <x v="1"/>
    <n v="1"/>
    <m/>
    <x v="110"/>
    <x v="432"/>
    <x v="231"/>
    <x v="0"/>
    <n v="8"/>
    <n v="2668"/>
    <n v="3.571619812583668"/>
    <n v="2668"/>
    <n v="3.571619812583668"/>
    <s v="[]"/>
    <s v="[]"/>
  </r>
  <r>
    <x v="4"/>
    <s v="220 East Illinois Street"/>
    <x v="151"/>
    <s v="1110"/>
    <n v="11"/>
    <x v="1"/>
    <n v="1"/>
    <m/>
    <x v="110"/>
    <x v="427"/>
    <x v="480"/>
    <x v="0"/>
    <n v="2"/>
    <n v="2833"/>
    <n v="3.7925033467202143"/>
    <n v="2833"/>
    <n v="3.7925033467202143"/>
    <s v="[]"/>
    <s v="[]"/>
  </r>
  <r>
    <x v="4"/>
    <s v="220 East Illinois Street"/>
    <x v="151"/>
    <s v="1410"/>
    <n v="14"/>
    <x v="1"/>
    <n v="1"/>
    <m/>
    <x v="110"/>
    <x v="433"/>
    <x v="398"/>
    <x v="0"/>
    <n v="38"/>
    <n v="2840"/>
    <n v="3.8018741633199467"/>
    <n v="2840"/>
    <n v="3.8018741633199467"/>
    <s v="[]"/>
    <s v="[]"/>
  </r>
  <r>
    <x v="4"/>
    <s v="220 East Illinois Street"/>
    <x v="151"/>
    <s v="2110"/>
    <n v="21"/>
    <x v="1"/>
    <n v="1"/>
    <m/>
    <x v="110"/>
    <x v="145"/>
    <x v="267"/>
    <x v="0"/>
    <n v="2"/>
    <n v="2900"/>
    <n v="3.8821954484605086"/>
    <n v="2900"/>
    <n v="3.8821954484605086"/>
    <s v="[]"/>
    <s v="[]"/>
  </r>
  <r>
    <x v="4"/>
    <s v="220 East Illinois Street"/>
    <x v="151"/>
    <s v="1610"/>
    <n v="16"/>
    <x v="1"/>
    <n v="1"/>
    <m/>
    <x v="110"/>
    <x v="47"/>
    <x v="384"/>
    <x v="0"/>
    <n v="30"/>
    <n v="2945"/>
    <n v="3.9424364123159306"/>
    <n v="2945"/>
    <n v="3.9424364123159306"/>
    <s v="[]"/>
    <s v="[]"/>
  </r>
  <r>
    <x v="4"/>
    <s v="220 East Illinois Street"/>
    <x v="151"/>
    <s v="1810"/>
    <n v="18"/>
    <x v="1"/>
    <n v="1"/>
    <m/>
    <x v="110"/>
    <x v="109"/>
    <x v="118"/>
    <x v="0"/>
    <n v="2"/>
    <n v="3055"/>
    <n v="4.0896921017402947"/>
    <n v="3055"/>
    <n v="4.0896921017402947"/>
    <s v="[]"/>
    <s v="[]"/>
  </r>
  <r>
    <x v="4"/>
    <s v="220 East Illinois Street"/>
    <x v="151"/>
    <s v="2510"/>
    <n v="25"/>
    <x v="1"/>
    <n v="1"/>
    <m/>
    <x v="110"/>
    <x v="9"/>
    <x v="468"/>
    <x v="0"/>
    <n v="15"/>
    <n v="3067"/>
    <n v="4.1057563587684074"/>
    <n v="3067"/>
    <n v="4.1057563587684074"/>
    <s v="[]"/>
    <s v="[]"/>
  </r>
  <r>
    <x v="4"/>
    <s v="220 East Illinois Street"/>
    <x v="151"/>
    <s v="3410"/>
    <n v="34"/>
    <x v="1"/>
    <n v="1"/>
    <m/>
    <x v="110"/>
    <x v="237"/>
    <x v="468"/>
    <x v="0"/>
    <n v="274"/>
    <n v="3157"/>
    <n v="4.2262382864792505"/>
    <n v="3157"/>
    <n v="4.2262382864792505"/>
    <s v="[]"/>
    <s v="[]"/>
  </r>
  <r>
    <x v="4"/>
    <s v="220 East Illinois Street"/>
    <x v="151"/>
    <s v="2210"/>
    <n v="22"/>
    <x v="1"/>
    <n v="1"/>
    <m/>
    <x v="110"/>
    <x v="434"/>
    <x v="481"/>
    <x v="0"/>
    <n v="4"/>
    <n v="3159"/>
    <n v="4.2289156626506026"/>
    <n v="3159"/>
    <n v="4.2289156626506026"/>
    <s v="[]"/>
    <s v="[]"/>
  </r>
  <r>
    <x v="4"/>
    <s v="220 East Illinois Street"/>
    <x v="151"/>
    <s v="3510"/>
    <n v="35"/>
    <x v="1"/>
    <n v="1"/>
    <m/>
    <x v="110"/>
    <x v="435"/>
    <x v="64"/>
    <x v="0"/>
    <n v="226"/>
    <n v="3169"/>
    <n v="4.2423025435073631"/>
    <n v="3169"/>
    <n v="4.2423025435073631"/>
    <s v="[]"/>
    <s v="[]"/>
  </r>
  <r>
    <x v="4"/>
    <s v="220 East Illinois Street"/>
    <x v="151"/>
    <s v="3210"/>
    <n v="32"/>
    <x v="1"/>
    <n v="1"/>
    <m/>
    <x v="110"/>
    <x v="47"/>
    <x v="452"/>
    <x v="0"/>
    <n v="194"/>
    <n v="3278"/>
    <n v="4.3882195448460513"/>
    <n v="3278"/>
    <n v="4.3882195448460513"/>
    <s v="[]"/>
    <s v="[]"/>
  </r>
  <r>
    <x v="4"/>
    <s v="220 East Illinois Street"/>
    <x v="151"/>
    <s v="2610"/>
    <n v="26"/>
    <x v="1"/>
    <n v="1"/>
    <m/>
    <x v="110"/>
    <x v="436"/>
    <x v="331"/>
    <x v="0"/>
    <n v="280"/>
    <n v="3325"/>
    <n v="4.4511378848728249"/>
    <n v="3325"/>
    <n v="4.4511378848728249"/>
    <s v="[]"/>
    <s v="[]"/>
  </r>
  <r>
    <x v="4"/>
    <s v="220 East Illinois Street"/>
    <x v="152"/>
    <s v="4007"/>
    <n v="40"/>
    <x v="1"/>
    <n v="1"/>
    <m/>
    <x v="110"/>
    <x v="9"/>
    <x v="468"/>
    <x v="0"/>
    <n v="15"/>
    <n v="3367"/>
    <n v="4.5073627844712183"/>
    <n v="3367"/>
    <n v="4.5073627844712183"/>
    <s v="[]"/>
    <s v="[]"/>
  </r>
  <r>
    <x v="4"/>
    <s v="220 East Illinois Street"/>
    <x v="152"/>
    <s v="3707"/>
    <n v="37"/>
    <x v="1"/>
    <n v="1"/>
    <m/>
    <x v="110"/>
    <x v="130"/>
    <x v="234"/>
    <x v="0"/>
    <m/>
    <n v="3368"/>
    <n v="4.5087014725568944"/>
    <n v="3368"/>
    <n v="4.5087014725568944"/>
    <s v="[]"/>
    <s v="[]"/>
  </r>
  <r>
    <x v="4"/>
    <s v="220 East Illinois Street"/>
    <x v="151"/>
    <s v="3610"/>
    <n v="36"/>
    <x v="1"/>
    <n v="1"/>
    <m/>
    <x v="110"/>
    <x v="6"/>
    <x v="152"/>
    <x v="0"/>
    <n v="6"/>
    <n v="3402"/>
    <n v="4.5542168674698793"/>
    <n v="3402"/>
    <n v="4.5542168674698793"/>
    <s v="[]"/>
    <s v="[]"/>
  </r>
  <r>
    <x v="4"/>
    <s v="220 East Illinois Street"/>
    <x v="151"/>
    <s v="2810"/>
    <n v="28"/>
    <x v="1"/>
    <n v="1"/>
    <m/>
    <x v="110"/>
    <x v="132"/>
    <x v="238"/>
    <x v="0"/>
    <n v="149"/>
    <n v="3405"/>
    <n v="4.5582329317269075"/>
    <n v="3405"/>
    <n v="4.5582329317269075"/>
    <s v="[]"/>
    <s v="[]"/>
  </r>
  <r>
    <x v="4"/>
    <s v="220 East Illinois Street"/>
    <x v="151"/>
    <s v="2410"/>
    <n v="24"/>
    <x v="1"/>
    <n v="1"/>
    <m/>
    <x v="110"/>
    <x v="115"/>
    <x v="28"/>
    <x v="1"/>
    <m/>
    <n v="3420"/>
    <n v="4.5783132530120483"/>
    <n v="3420"/>
    <n v="4.5783132530120483"/>
    <s v="[]"/>
    <s v="[]"/>
  </r>
  <r>
    <x v="4"/>
    <s v="220 East Illinois Street"/>
    <x v="151"/>
    <s v="3010"/>
    <n v="30"/>
    <x v="1"/>
    <n v="1"/>
    <m/>
    <x v="110"/>
    <x v="436"/>
    <x v="191"/>
    <x v="0"/>
    <n v="10"/>
    <n v="3474"/>
    <n v="4.6506024096385543"/>
    <n v="3474"/>
    <n v="4.6506024096385543"/>
    <s v="[]"/>
    <s v="[]"/>
  </r>
  <r>
    <x v="4"/>
    <s v="220 East Illinois Street"/>
    <x v="151"/>
    <s v="3310"/>
    <n v="33"/>
    <x v="1"/>
    <n v="1"/>
    <m/>
    <x v="110"/>
    <x v="180"/>
    <x v="28"/>
    <x v="1"/>
    <m/>
    <n v="3510"/>
    <n v="4.6987951807228914"/>
    <n v="3510"/>
    <n v="4.6987951807228914"/>
    <s v="[]"/>
    <s v="[]"/>
  </r>
  <r>
    <x v="4"/>
    <s v="220 East Illinois Street"/>
    <x v="151"/>
    <s v="1910"/>
    <n v="19"/>
    <x v="1"/>
    <n v="1"/>
    <m/>
    <x v="110"/>
    <x v="417"/>
    <x v="28"/>
    <x v="1"/>
    <m/>
    <n v="3520"/>
    <n v="4.7121820615796519"/>
    <n v="3520"/>
    <n v="4.7121820615796519"/>
    <s v="[]"/>
    <s v="[]"/>
  </r>
  <r>
    <x v="4"/>
    <s v="220 East Illinois Street"/>
    <x v="152"/>
    <s v="4907"/>
    <n v="49"/>
    <x v="1"/>
    <n v="1"/>
    <m/>
    <x v="110"/>
    <x v="94"/>
    <x v="95"/>
    <x v="0"/>
    <n v="191"/>
    <n v="3529"/>
    <n v="4.7242302543507364"/>
    <n v="3529"/>
    <n v="4.7242302543507364"/>
    <s v="[]"/>
    <s v="[]"/>
  </r>
  <r>
    <x v="4"/>
    <s v="220 East Illinois Street"/>
    <x v="151"/>
    <s v="3110"/>
    <n v="31"/>
    <x v="1"/>
    <n v="1"/>
    <m/>
    <x v="110"/>
    <x v="240"/>
    <x v="262"/>
    <x v="0"/>
    <n v="4"/>
    <n v="3534"/>
    <n v="4.7309236947791167"/>
    <n v="3534"/>
    <n v="4.7309236947791167"/>
    <s v="[]"/>
    <s v="[]"/>
  </r>
  <r>
    <x v="4"/>
    <s v="220 East Illinois Street"/>
    <x v="152"/>
    <s v="4807"/>
    <n v="48"/>
    <x v="1"/>
    <n v="1"/>
    <m/>
    <x v="110"/>
    <x v="437"/>
    <x v="482"/>
    <x v="0"/>
    <n v="4"/>
    <n v="3562"/>
    <n v="4.7684069611780453"/>
    <n v="3562"/>
    <n v="4.7684069611780453"/>
    <s v="[]"/>
    <s v="[]"/>
  </r>
  <r>
    <x v="4"/>
    <s v="220 East Illinois Street"/>
    <x v="152"/>
    <s v="3807"/>
    <n v="38"/>
    <x v="1"/>
    <n v="1"/>
    <m/>
    <x v="110"/>
    <x v="197"/>
    <x v="218"/>
    <x v="0"/>
    <n v="233"/>
    <n v="3584"/>
    <n v="4.7978580990629185"/>
    <n v="3584"/>
    <n v="4.7978580990629185"/>
    <s v="[]"/>
    <s v="[]"/>
  </r>
  <r>
    <x v="4"/>
    <s v="220 East Illinois Street"/>
    <x v="152"/>
    <s v="4507"/>
    <n v="45"/>
    <x v="1"/>
    <n v="1"/>
    <m/>
    <x v="110"/>
    <x v="393"/>
    <x v="483"/>
    <x v="0"/>
    <n v="7"/>
    <n v="3726"/>
    <n v="4.9879518072289155"/>
    <n v="3726"/>
    <n v="4.9879518072289155"/>
    <s v="[]"/>
    <s v="[]"/>
  </r>
  <r>
    <x v="4"/>
    <s v="220 East Illinois Street"/>
    <x v="152"/>
    <s v="4107"/>
    <n v="41"/>
    <x v="1"/>
    <n v="1"/>
    <m/>
    <x v="110"/>
    <x v="105"/>
    <x v="28"/>
    <x v="1"/>
    <m/>
    <n v="3740"/>
    <n v="5.0066934404283803"/>
    <n v="3740"/>
    <n v="5.0066934404283803"/>
    <s v="[]"/>
    <s v="[]"/>
  </r>
  <r>
    <x v="4"/>
    <s v="220 East Illinois Street"/>
    <x v="152"/>
    <s v="5107"/>
    <n v="51"/>
    <x v="1"/>
    <n v="1"/>
    <m/>
    <x v="110"/>
    <x v="130"/>
    <x v="57"/>
    <x v="0"/>
    <m/>
    <n v="3746"/>
    <n v="5.0147255689424366"/>
    <n v="3746"/>
    <n v="5.0147255689424366"/>
    <s v="[]"/>
    <s v="[]"/>
  </r>
  <r>
    <x v="4"/>
    <s v="220 East Illinois Street"/>
    <x v="152"/>
    <s v="4607"/>
    <n v="46"/>
    <x v="1"/>
    <n v="1"/>
    <m/>
    <x v="110"/>
    <x v="333"/>
    <x v="54"/>
    <x v="0"/>
    <n v="67"/>
    <n v="3797"/>
    <n v="5.0829986613119145"/>
    <n v="3797"/>
    <n v="5.0829986613119145"/>
    <s v="[]"/>
    <s v="[]"/>
  </r>
  <r>
    <x v="4"/>
    <s v="220 East Illinois Street"/>
    <x v="153"/>
    <s v="1211"/>
    <n v="12"/>
    <x v="1"/>
    <n v="1"/>
    <m/>
    <x v="111"/>
    <x v="397"/>
    <x v="70"/>
    <x v="0"/>
    <n v="6"/>
    <n v="2587"/>
    <n v="2.9364358683314413"/>
    <n v="2587"/>
    <n v="2.9364358683314413"/>
    <s v="[]"/>
    <s v="[]"/>
  </r>
  <r>
    <x v="4"/>
    <s v="220 East Illinois Street"/>
    <x v="154"/>
    <s v="2309"/>
    <n v="23"/>
    <x v="1"/>
    <n v="1"/>
    <m/>
    <x v="111"/>
    <x v="76"/>
    <x v="484"/>
    <x v="0"/>
    <n v="7"/>
    <n v="2857"/>
    <n v="3.2429057888762771"/>
    <n v="2857"/>
    <n v="3.2429057888762771"/>
    <s v="[]"/>
    <s v="[]"/>
  </r>
  <r>
    <x v="4"/>
    <s v="220 East Illinois Street"/>
    <x v="153"/>
    <s v="3611"/>
    <n v="36"/>
    <x v="1"/>
    <n v="1"/>
    <m/>
    <x v="111"/>
    <x v="438"/>
    <x v="485"/>
    <x v="0"/>
    <n v="30"/>
    <n v="2919"/>
    <n v="3.3132803632236096"/>
    <n v="2919"/>
    <n v="3.3132803632236096"/>
    <s v="[]"/>
    <s v="[]"/>
  </r>
  <r>
    <x v="4"/>
    <s v="220 East Illinois Street"/>
    <x v="153"/>
    <s v="1411"/>
    <n v="14"/>
    <x v="1"/>
    <n v="1"/>
    <m/>
    <x v="111"/>
    <x v="156"/>
    <x v="445"/>
    <x v="0"/>
    <n v="27"/>
    <n v="2946"/>
    <n v="3.343927355278093"/>
    <n v="2946"/>
    <n v="3.343927355278093"/>
    <s v="[]"/>
    <s v="[]"/>
  </r>
  <r>
    <x v="4"/>
    <s v="220 East Illinois Street"/>
    <x v="153"/>
    <s v="2711"/>
    <n v="27"/>
    <x v="1"/>
    <n v="1"/>
    <m/>
    <x v="111"/>
    <x v="206"/>
    <x v="29"/>
    <x v="0"/>
    <n v="5"/>
    <n v="3073"/>
    <n v="3.4880817253121452"/>
    <n v="3073"/>
    <n v="3.4880817253121452"/>
    <s v="[]"/>
    <s v="[]"/>
  </r>
  <r>
    <x v="4"/>
    <s v="220 East Illinois Street"/>
    <x v="153"/>
    <s v="2911"/>
    <n v="29"/>
    <x v="1"/>
    <n v="1"/>
    <m/>
    <x v="111"/>
    <x v="285"/>
    <x v="422"/>
    <x v="0"/>
    <n v="55"/>
    <n v="3088"/>
    <n v="3.5051078320090805"/>
    <n v="3088"/>
    <n v="3.5051078320090805"/>
    <s v="[]"/>
    <s v="[]"/>
  </r>
  <r>
    <x v="4"/>
    <s v="220 East Illinois Street"/>
    <x v="154"/>
    <s v="1309"/>
    <n v="13"/>
    <x v="1"/>
    <n v="1"/>
    <m/>
    <x v="111"/>
    <x v="439"/>
    <x v="375"/>
    <x v="0"/>
    <n v="38"/>
    <n v="3144"/>
    <n v="3.5686719636776392"/>
    <n v="3144"/>
    <n v="3.5686719636776392"/>
    <s v="[]"/>
    <s v="[]"/>
  </r>
  <r>
    <x v="4"/>
    <s v="220 East Illinois Street"/>
    <x v="153"/>
    <s v="2111"/>
    <n v="21"/>
    <x v="1"/>
    <n v="1"/>
    <m/>
    <x v="111"/>
    <x v="440"/>
    <x v="486"/>
    <x v="0"/>
    <n v="7"/>
    <n v="3163"/>
    <n v="3.5902383654937573"/>
    <n v="3163"/>
    <n v="3.5902383654937573"/>
    <s v="[]"/>
    <s v="[]"/>
  </r>
  <r>
    <x v="4"/>
    <s v="220 East Illinois Street"/>
    <x v="154"/>
    <s v="2909"/>
    <n v="29"/>
    <x v="1"/>
    <n v="1"/>
    <m/>
    <x v="111"/>
    <x v="305"/>
    <x v="137"/>
    <x v="0"/>
    <n v="41"/>
    <n v="3168"/>
    <n v="3.5959137343927354"/>
    <n v="3168"/>
    <n v="3.5959137343927354"/>
    <s v="[]"/>
    <s v="[]"/>
  </r>
  <r>
    <x v="4"/>
    <s v="220 East Illinois Street"/>
    <x v="154"/>
    <s v="2809"/>
    <n v="28"/>
    <x v="1"/>
    <n v="1"/>
    <m/>
    <x v="111"/>
    <x v="224"/>
    <x v="242"/>
    <x v="0"/>
    <n v="19"/>
    <n v="3195"/>
    <n v="3.6265607264472193"/>
    <n v="3195"/>
    <n v="3.6265607264472193"/>
    <s v="[]"/>
    <s v="[]"/>
  </r>
  <r>
    <x v="4"/>
    <s v="220 East Illinois Street"/>
    <x v="153"/>
    <s v="1311"/>
    <n v="13"/>
    <x v="1"/>
    <n v="1"/>
    <m/>
    <x v="111"/>
    <x v="436"/>
    <x v="438"/>
    <x v="0"/>
    <n v="25"/>
    <n v="3238"/>
    <n v="3.6753688989784337"/>
    <n v="3238"/>
    <n v="3.6753688989784337"/>
    <s v="[]"/>
    <s v="[]"/>
  </r>
  <r>
    <x v="4"/>
    <s v="220 East Illinois Street"/>
    <x v="153"/>
    <s v="3311"/>
    <n v="33"/>
    <x v="1"/>
    <n v="1"/>
    <m/>
    <x v="111"/>
    <x v="433"/>
    <x v="405"/>
    <x v="0"/>
    <n v="10"/>
    <n v="3246"/>
    <n v="3.6844494892167989"/>
    <n v="3246"/>
    <n v="3.6844494892167989"/>
    <s v="[]"/>
    <s v="[]"/>
  </r>
  <r>
    <x v="4"/>
    <s v="220 East Illinois Street"/>
    <x v="154"/>
    <s v="2609"/>
    <n v="26"/>
    <x v="1"/>
    <n v="1"/>
    <m/>
    <x v="111"/>
    <x v="441"/>
    <x v="75"/>
    <x v="0"/>
    <n v="68"/>
    <n v="3292"/>
    <n v="3.7366628830874005"/>
    <n v="3292"/>
    <n v="3.7366628830874005"/>
    <s v="[]"/>
    <s v="[]"/>
  </r>
  <r>
    <x v="4"/>
    <s v="220 East Illinois Street"/>
    <x v="154"/>
    <s v="1909"/>
    <n v="19"/>
    <x v="1"/>
    <n v="1"/>
    <m/>
    <x v="111"/>
    <x v="236"/>
    <x v="283"/>
    <x v="0"/>
    <n v="2"/>
    <n v="3317"/>
    <n v="3.7650397275822929"/>
    <n v="3317"/>
    <n v="3.7650397275822929"/>
    <s v="[]"/>
    <s v="[]"/>
  </r>
  <r>
    <x v="4"/>
    <s v="220 East Illinois Street"/>
    <x v="153"/>
    <s v="3511"/>
    <n v="35"/>
    <x v="1"/>
    <n v="1"/>
    <m/>
    <x v="111"/>
    <x v="442"/>
    <x v="322"/>
    <x v="0"/>
    <n v="86"/>
    <n v="3319"/>
    <n v="3.7673098751418843"/>
    <n v="3319"/>
    <n v="3.7673098751418843"/>
    <s v="[]"/>
    <s v="[]"/>
  </r>
  <r>
    <x v="4"/>
    <s v="220 East Illinois Street"/>
    <x v="154"/>
    <s v="1709"/>
    <n v="17"/>
    <x v="1"/>
    <n v="1"/>
    <m/>
    <x v="111"/>
    <x v="327"/>
    <x v="133"/>
    <x v="0"/>
    <n v="68"/>
    <n v="3322"/>
    <n v="3.7707150964812715"/>
    <n v="3322"/>
    <n v="3.7707150964812715"/>
    <s v="[]"/>
    <s v="[]"/>
  </r>
  <r>
    <x v="4"/>
    <s v="220 East Illinois Street"/>
    <x v="154"/>
    <s v="1809"/>
    <n v="18"/>
    <x v="1"/>
    <n v="1"/>
    <m/>
    <x v="111"/>
    <x v="423"/>
    <x v="246"/>
    <x v="0"/>
    <n v="19"/>
    <n v="3347"/>
    <n v="3.7990919409761634"/>
    <n v="3347"/>
    <n v="3.7990919409761634"/>
    <s v="[]"/>
    <s v="[]"/>
  </r>
  <r>
    <x v="4"/>
    <s v="220 East Illinois Street"/>
    <x v="154"/>
    <s v="3109"/>
    <n v="31"/>
    <x v="1"/>
    <n v="1"/>
    <m/>
    <x v="111"/>
    <x v="123"/>
    <x v="132"/>
    <x v="0"/>
    <n v="17"/>
    <n v="3354"/>
    <n v="3.8070374574347334"/>
    <n v="3354"/>
    <n v="3.8070374574347334"/>
    <s v="[]"/>
    <s v="[]"/>
  </r>
  <r>
    <x v="4"/>
    <s v="220 East Illinois Street"/>
    <x v="154"/>
    <s v="3209"/>
    <n v="32"/>
    <x v="1"/>
    <n v="1"/>
    <m/>
    <x v="111"/>
    <x v="29"/>
    <x v="137"/>
    <x v="0"/>
    <n v="7"/>
    <n v="3371"/>
    <n v="3.8263337116912601"/>
    <n v="3371"/>
    <n v="3.8263337116912601"/>
    <s v="[]"/>
    <s v="[]"/>
  </r>
  <r>
    <x v="4"/>
    <s v="220 East Illinois Street"/>
    <x v="154"/>
    <s v="3409"/>
    <n v="34"/>
    <x v="1"/>
    <n v="1"/>
    <m/>
    <x v="111"/>
    <x v="223"/>
    <x v="467"/>
    <x v="0"/>
    <n v="23"/>
    <n v="3401"/>
    <n v="3.8603859250851307"/>
    <n v="3401"/>
    <n v="3.8603859250851307"/>
    <s v="[]"/>
    <s v="[]"/>
  </r>
  <r>
    <x v="4"/>
    <s v="220 East Illinois Street"/>
    <x v="153"/>
    <s v="2511"/>
    <n v="25"/>
    <x v="1"/>
    <n v="1"/>
    <m/>
    <x v="111"/>
    <x v="78"/>
    <x v="28"/>
    <x v="1"/>
    <m/>
    <n v="3543"/>
    <n v="4.0215664018161181"/>
    <n v="3543"/>
    <n v="4.0215664018161181"/>
    <s v="[]"/>
    <s v="[]"/>
  </r>
  <r>
    <x v="4"/>
    <s v="220 East Illinois Street"/>
    <x v="154"/>
    <s v="3509"/>
    <n v="35"/>
    <x v="1"/>
    <n v="1"/>
    <m/>
    <x v="111"/>
    <x v="24"/>
    <x v="289"/>
    <x v="0"/>
    <n v="55"/>
    <n v="3608"/>
    <n v="4.0953461975028373"/>
    <n v="3608"/>
    <n v="4.0953461975028373"/>
    <s v="[]"/>
    <s v="[]"/>
  </r>
  <r>
    <x v="4"/>
    <s v="220 East Illinois Street"/>
    <x v="154"/>
    <s v="1109"/>
    <n v="11"/>
    <x v="1"/>
    <n v="1"/>
    <m/>
    <x v="111"/>
    <x v="203"/>
    <x v="52"/>
    <x v="0"/>
    <n v="2"/>
    <n v="3610"/>
    <n v="4.0976163450624288"/>
    <n v="3610"/>
    <n v="4.0976163450624288"/>
    <s v="[]"/>
    <s v="[]"/>
  </r>
  <r>
    <x v="4"/>
    <s v="220 East Illinois Street"/>
    <x v="154"/>
    <s v="2709"/>
    <n v="27"/>
    <x v="1"/>
    <n v="1"/>
    <m/>
    <x v="111"/>
    <x v="63"/>
    <x v="74"/>
    <x v="0"/>
    <n v="83"/>
    <n v="3656"/>
    <n v="4.1498297389330308"/>
    <n v="3656"/>
    <n v="4.1498297389330308"/>
    <s v="[]"/>
    <s v="[]"/>
  </r>
  <r>
    <x v="4"/>
    <s v="220 East Illinois Street"/>
    <x v="154"/>
    <s v="2209"/>
    <n v="22"/>
    <x v="1"/>
    <n v="1"/>
    <m/>
    <x v="111"/>
    <x v="443"/>
    <x v="487"/>
    <x v="0"/>
    <n v="2"/>
    <n v="3742"/>
    <n v="4.2474460839954595"/>
    <n v="3742"/>
    <n v="4.2474460839954595"/>
    <s v="[]"/>
    <s v="[]"/>
  </r>
  <r>
    <x v="4"/>
    <s v="220 East Illinois Street"/>
    <x v="153"/>
    <s v="2211"/>
    <n v="22"/>
    <x v="1"/>
    <n v="1"/>
    <m/>
    <x v="111"/>
    <x v="18"/>
    <x v="428"/>
    <x v="0"/>
    <n v="25"/>
    <n v="3752"/>
    <n v="4.2587968217934167"/>
    <n v="3752"/>
    <n v="4.2587968217934167"/>
    <s v="[]"/>
    <s v="[]"/>
  </r>
  <r>
    <x v="4"/>
    <s v="220 East Illinois Street"/>
    <x v="154"/>
    <s v="2409"/>
    <n v="24"/>
    <x v="1"/>
    <n v="1"/>
    <m/>
    <x v="111"/>
    <x v="11"/>
    <x v="251"/>
    <x v="0"/>
    <n v="26"/>
    <n v="3858"/>
    <n v="4.3791146424517597"/>
    <n v="3858"/>
    <n v="4.3791146424517597"/>
    <s v="[]"/>
    <s v="[]"/>
  </r>
  <r>
    <x v="4"/>
    <s v="220 East Illinois Street"/>
    <x v="153"/>
    <s v="3011"/>
    <n v="30"/>
    <x v="1"/>
    <n v="1"/>
    <m/>
    <x v="111"/>
    <x v="138"/>
    <x v="165"/>
    <x v="0"/>
    <n v="48"/>
    <n v="3882"/>
    <n v="4.406356413166856"/>
    <n v="3882"/>
    <n v="4.406356413166856"/>
    <s v="[]"/>
    <s v="[]"/>
  </r>
  <r>
    <x v="4"/>
    <s v="220 East Illinois Street"/>
    <x v="153"/>
    <s v="3111"/>
    <n v="31"/>
    <x v="1"/>
    <n v="1"/>
    <m/>
    <x v="111"/>
    <x v="233"/>
    <x v="272"/>
    <x v="0"/>
    <n v="10"/>
    <n v="3922"/>
    <n v="4.4517593643586837"/>
    <n v="3922"/>
    <n v="4.4517593643586837"/>
    <s v="[]"/>
    <s v="[]"/>
  </r>
  <r>
    <x v="4"/>
    <s v="220 East Illinois Street"/>
    <x v="154"/>
    <s v="3309"/>
    <n v="33"/>
    <x v="1"/>
    <n v="1"/>
    <m/>
    <x v="111"/>
    <x v="130"/>
    <x v="189"/>
    <x v="0"/>
    <m/>
    <n v="3929"/>
    <n v="4.4597048808172532"/>
    <n v="3929"/>
    <n v="4.4597048808172532"/>
    <s v="[]"/>
    <s v="[]"/>
  </r>
  <r>
    <x v="4"/>
    <s v="220 East Illinois Street"/>
    <x v="154"/>
    <s v="2509"/>
    <n v="25"/>
    <x v="1"/>
    <n v="1"/>
    <m/>
    <x v="111"/>
    <x v="444"/>
    <x v="360"/>
    <x v="0"/>
    <n v="17"/>
    <n v="3937"/>
    <n v="4.468785471055619"/>
    <n v="3937"/>
    <n v="4.468785471055619"/>
    <s v="[]"/>
    <s v="[]"/>
  </r>
  <r>
    <x v="4"/>
    <s v="220 East Illinois Street"/>
    <x v="154"/>
    <s v="3009"/>
    <n v="30"/>
    <x v="1"/>
    <n v="1"/>
    <m/>
    <x v="111"/>
    <x v="253"/>
    <x v="92"/>
    <x v="0"/>
    <n v="168"/>
    <n v="3953"/>
    <n v="4.4869466515323495"/>
    <n v="3953"/>
    <n v="4.4869466515323495"/>
    <s v="[]"/>
    <s v="[]"/>
  </r>
  <r>
    <x v="4"/>
    <s v="220 East Illinois Street"/>
    <x v="155"/>
    <s v="4106"/>
    <n v="41"/>
    <x v="1"/>
    <n v="1"/>
    <m/>
    <x v="112"/>
    <x v="238"/>
    <x v="485"/>
    <x v="0"/>
    <n v="21"/>
    <n v="3359"/>
    <n v="3.6392199349945829"/>
    <n v="3359"/>
    <n v="3.6392199349945829"/>
    <s v="[]"/>
    <s v="[]"/>
  </r>
  <r>
    <x v="4"/>
    <s v="220 East Illinois Street"/>
    <x v="155"/>
    <s v="4006"/>
    <n v="40"/>
    <x v="1"/>
    <n v="1"/>
    <m/>
    <x v="112"/>
    <x v="445"/>
    <x v="488"/>
    <x v="0"/>
    <n v="97"/>
    <n v="3425"/>
    <n v="3.7107258938244856"/>
    <n v="3425"/>
    <n v="3.7107258938244856"/>
    <s v="[]"/>
    <s v="[]"/>
  </r>
  <r>
    <x v="4"/>
    <s v="220 East Illinois Street"/>
    <x v="155"/>
    <s v="4606"/>
    <n v="46"/>
    <x v="1"/>
    <n v="1"/>
    <m/>
    <x v="112"/>
    <x v="287"/>
    <x v="489"/>
    <x v="0"/>
    <n v="34"/>
    <n v="3643"/>
    <n v="3.9469122426868908"/>
    <n v="3643"/>
    <n v="3.9469122426868908"/>
    <s v="[]"/>
    <s v="[]"/>
  </r>
  <r>
    <x v="4"/>
    <s v="220 East Illinois Street"/>
    <x v="156"/>
    <s v="3808"/>
    <n v="38"/>
    <x v="1"/>
    <n v="1"/>
    <m/>
    <x v="112"/>
    <x v="446"/>
    <x v="332"/>
    <x v="0"/>
    <n v="119"/>
    <n v="3658"/>
    <n v="3.9631635969664138"/>
    <n v="3658"/>
    <n v="3.9631635969664138"/>
    <s v="[]"/>
    <s v="[]"/>
  </r>
  <r>
    <x v="4"/>
    <s v="220 East Illinois Street"/>
    <x v="156"/>
    <s v="3908"/>
    <n v="39"/>
    <x v="1"/>
    <n v="1"/>
    <m/>
    <x v="112"/>
    <x v="314"/>
    <x v="137"/>
    <x v="0"/>
    <n v="99"/>
    <n v="3668"/>
    <n v="3.9739978331527626"/>
    <n v="3668"/>
    <n v="3.9739978331527626"/>
    <s v="[]"/>
    <s v="[]"/>
  </r>
  <r>
    <x v="4"/>
    <s v="220 East Illinois Street"/>
    <x v="155"/>
    <s v="3906"/>
    <n v="39"/>
    <x v="1"/>
    <n v="1"/>
    <m/>
    <x v="112"/>
    <x v="229"/>
    <x v="137"/>
    <x v="0"/>
    <n v="50"/>
    <n v="3668"/>
    <n v="3.9739978331527626"/>
    <n v="3668"/>
    <n v="3.9739978331527626"/>
    <s v="[]"/>
    <s v="[]"/>
  </r>
  <r>
    <x v="4"/>
    <s v="220 East Illinois Street"/>
    <x v="155"/>
    <s v="4706"/>
    <n v="47"/>
    <x v="1"/>
    <n v="1"/>
    <m/>
    <x v="112"/>
    <x v="395"/>
    <x v="282"/>
    <x v="0"/>
    <n v="29"/>
    <n v="3714"/>
    <n v="4.0238353196099679"/>
    <n v="3714"/>
    <n v="4.0238353196099679"/>
    <s v="[]"/>
    <s v="[]"/>
  </r>
  <r>
    <x v="4"/>
    <s v="220 East Illinois Street"/>
    <x v="156"/>
    <s v="5008"/>
    <n v="50"/>
    <x v="1"/>
    <n v="1"/>
    <m/>
    <x v="112"/>
    <x v="447"/>
    <x v="335"/>
    <x v="0"/>
    <n v="80"/>
    <n v="3778"/>
    <n v="4.0931744312026002"/>
    <n v="3778"/>
    <n v="4.0931744312026002"/>
    <s v="[]"/>
    <s v="[]"/>
  </r>
  <r>
    <x v="4"/>
    <s v="220 East Illinois Street"/>
    <x v="156"/>
    <s v="4208"/>
    <n v="42"/>
    <x v="1"/>
    <n v="1"/>
    <m/>
    <x v="112"/>
    <x v="5"/>
    <x v="490"/>
    <x v="0"/>
    <n v="103"/>
    <n v="3807"/>
    <n v="4.1245937161430115"/>
    <n v="3807"/>
    <n v="4.1245937161430115"/>
    <s v="[]"/>
    <s v="[]"/>
  </r>
  <r>
    <x v="4"/>
    <s v="220 East Illinois Street"/>
    <x v="155"/>
    <s v="4206"/>
    <n v="42"/>
    <x v="1"/>
    <n v="1"/>
    <m/>
    <x v="112"/>
    <x v="54"/>
    <x v="228"/>
    <x v="0"/>
    <n v="42"/>
    <n v="3811"/>
    <n v="4.1289274106175515"/>
    <n v="3811"/>
    <n v="4.1289274106175515"/>
    <s v="[]"/>
    <s v="[]"/>
  </r>
  <r>
    <x v="4"/>
    <s v="220 East Illinois Street"/>
    <x v="156"/>
    <s v="4708"/>
    <n v="47"/>
    <x v="1"/>
    <n v="1"/>
    <m/>
    <x v="112"/>
    <x v="382"/>
    <x v="132"/>
    <x v="0"/>
    <n v="26"/>
    <n v="3937"/>
    <n v="4.2654387865655474"/>
    <n v="3937"/>
    <n v="4.2654387865655474"/>
    <s v="[]"/>
    <s v="[]"/>
  </r>
  <r>
    <x v="4"/>
    <s v="220 East Illinois Street"/>
    <x v="156"/>
    <s v="4308"/>
    <n v="43"/>
    <x v="1"/>
    <n v="1"/>
    <m/>
    <x v="112"/>
    <x v="247"/>
    <x v="28"/>
    <x v="1"/>
    <m/>
    <n v="4048"/>
    <n v="4.3856988082340198"/>
    <n v="4048"/>
    <n v="4.3856988082340198"/>
    <s v="[]"/>
    <s v="[]"/>
  </r>
  <r>
    <x v="4"/>
    <s v="220 East Illinois Street"/>
    <x v="155"/>
    <s v="4306"/>
    <n v="43"/>
    <x v="1"/>
    <n v="1"/>
    <m/>
    <x v="112"/>
    <x v="96"/>
    <x v="426"/>
    <x v="0"/>
    <n v="80"/>
    <n v="4065"/>
    <n v="4.4041170097508129"/>
    <n v="4065"/>
    <n v="4.4041170097508129"/>
    <s v="[]"/>
    <s v="[]"/>
  </r>
  <r>
    <x v="4"/>
    <s v="220 East Illinois Street"/>
    <x v="155"/>
    <s v="3806"/>
    <n v="38"/>
    <x v="1"/>
    <n v="1"/>
    <m/>
    <x v="112"/>
    <x v="17"/>
    <x v="449"/>
    <x v="0"/>
    <n v="89"/>
    <n v="4073"/>
    <n v="4.412784398699892"/>
    <n v="4073"/>
    <n v="4.412784398699892"/>
    <s v="[]"/>
    <s v="[]"/>
  </r>
  <r>
    <x v="4"/>
    <s v="220 East Illinois Street"/>
    <x v="156"/>
    <s v="4008"/>
    <n v="40"/>
    <x v="1"/>
    <n v="1"/>
    <m/>
    <x v="112"/>
    <x v="448"/>
    <x v="270"/>
    <x v="0"/>
    <n v="111"/>
    <n v="4111"/>
    <n v="4.4539544962080173"/>
    <n v="4111"/>
    <n v="4.4539544962080173"/>
    <s v="[]"/>
    <s v="[]"/>
  </r>
  <r>
    <x v="4"/>
    <s v="220 East Illinois Street"/>
    <x v="156"/>
    <s v="4808"/>
    <n v="48"/>
    <x v="1"/>
    <n v="1"/>
    <m/>
    <x v="112"/>
    <x v="449"/>
    <x v="491"/>
    <x v="0"/>
    <n v="61"/>
    <n v="4158"/>
    <n v="4.5048754062838574"/>
    <n v="4158"/>
    <n v="4.5048754062838574"/>
    <s v="[]"/>
    <s v="[]"/>
  </r>
  <r>
    <x v="4"/>
    <s v="220 East Illinois Street"/>
    <x v="156"/>
    <s v="3708"/>
    <n v="37"/>
    <x v="1"/>
    <n v="1"/>
    <m/>
    <x v="112"/>
    <x v="160"/>
    <x v="95"/>
    <x v="0"/>
    <n v="128"/>
    <n v="4193"/>
    <n v="4.5427952329360783"/>
    <n v="4193"/>
    <n v="4.5427952329360783"/>
    <s v="[]"/>
    <s v="[]"/>
  </r>
  <r>
    <x v="4"/>
    <s v="220 East Illinois Street"/>
    <x v="156"/>
    <s v="4408"/>
    <n v="44"/>
    <x v="1"/>
    <n v="1"/>
    <m/>
    <x v="112"/>
    <x v="450"/>
    <x v="84"/>
    <x v="0"/>
    <n v="318"/>
    <n v="4200"/>
    <n v="4.5503791982665218"/>
    <n v="4200"/>
    <n v="4.5503791982665218"/>
    <s v="[]"/>
    <s v="[]"/>
  </r>
  <r>
    <x v="4"/>
    <s v="220 East Illinois Street"/>
    <x v="155"/>
    <s v="5106"/>
    <n v="51"/>
    <x v="1"/>
    <n v="1"/>
    <m/>
    <x v="112"/>
    <x v="159"/>
    <x v="28"/>
    <x v="1"/>
    <m/>
    <n v="4228"/>
    <n v="4.5807150595882993"/>
    <n v="4228"/>
    <n v="4.5807150595882993"/>
    <s v="[]"/>
    <s v="[]"/>
  </r>
  <r>
    <x v="4"/>
    <s v="220 East Illinois Street"/>
    <x v="156"/>
    <s v="4108"/>
    <n v="41"/>
    <x v="1"/>
    <n v="1"/>
    <m/>
    <x v="112"/>
    <x v="381"/>
    <x v="432"/>
    <x v="0"/>
    <n v="20"/>
    <n v="4269"/>
    <n v="4.6251354279523298"/>
    <n v="4269"/>
    <n v="4.6251354279523298"/>
    <s v="[]"/>
    <s v="[]"/>
  </r>
  <r>
    <x v="4"/>
    <s v="220 East Illinois Street"/>
    <x v="155"/>
    <s v="3706"/>
    <n v="37"/>
    <x v="1"/>
    <n v="1"/>
    <m/>
    <x v="112"/>
    <x v="310"/>
    <x v="483"/>
    <x v="0"/>
    <n v="182"/>
    <n v="4384"/>
    <n v="4.7497291440953413"/>
    <n v="4384"/>
    <n v="4.7497291440953413"/>
    <s v="[]"/>
    <s v="[]"/>
  </r>
  <r>
    <x v="4"/>
    <s v="220 East Illinois Street"/>
    <x v="155"/>
    <s v="4406"/>
    <n v="44"/>
    <x v="1"/>
    <n v="1"/>
    <m/>
    <x v="112"/>
    <x v="451"/>
    <x v="3"/>
    <x v="0"/>
    <n v="109"/>
    <n v="4391"/>
    <n v="4.7573131094257857"/>
    <n v="4391"/>
    <n v="4.7573131094257857"/>
    <s v="[]"/>
    <s v="[]"/>
  </r>
  <r>
    <x v="4"/>
    <s v="220 East Illinois Street"/>
    <x v="157"/>
    <s v="1606"/>
    <n v="16"/>
    <x v="2"/>
    <n v="2"/>
    <m/>
    <x v="113"/>
    <x v="411"/>
    <x v="410"/>
    <x v="0"/>
    <n v="34"/>
    <n v="3881"/>
    <n v="3.1552845528455284"/>
    <n v="3881"/>
    <n v="3.1552845528455284"/>
    <s v="[]"/>
    <s v="[corner_unit]"/>
  </r>
  <r>
    <x v="4"/>
    <s v="220 East Illinois Street"/>
    <x v="157"/>
    <s v="1506"/>
    <n v="15"/>
    <x v="2"/>
    <n v="2"/>
    <m/>
    <x v="113"/>
    <x v="183"/>
    <x v="130"/>
    <x v="0"/>
    <n v="114"/>
    <n v="4161"/>
    <n v="3.3829268292682926"/>
    <n v="4161"/>
    <n v="3.3829268292682926"/>
    <s v="[]"/>
    <s v="[]"/>
  </r>
  <r>
    <x v="4"/>
    <s v="220 East Illinois Street"/>
    <x v="157"/>
    <s v="1406"/>
    <n v="14"/>
    <x v="2"/>
    <n v="2"/>
    <m/>
    <x v="113"/>
    <x v="2"/>
    <x v="492"/>
    <x v="0"/>
    <n v="230"/>
    <n v="4198"/>
    <n v="3.4130081300813009"/>
    <n v="4198"/>
    <n v="3.4130081300813009"/>
    <s v="[]"/>
    <s v="[]"/>
  </r>
  <r>
    <x v="4"/>
    <s v="220 East Illinois Street"/>
    <x v="157"/>
    <s v="1906"/>
    <n v="19"/>
    <x v="2"/>
    <n v="2"/>
    <m/>
    <x v="113"/>
    <x v="175"/>
    <x v="141"/>
    <x v="0"/>
    <n v="114"/>
    <n v="4375"/>
    <n v="3.5569105691056913"/>
    <n v="4375"/>
    <n v="3.5569105691056913"/>
    <s v="[]"/>
    <s v="[]"/>
  </r>
  <r>
    <x v="4"/>
    <s v="220 East Illinois Street"/>
    <x v="157"/>
    <s v="3206"/>
    <n v="32"/>
    <x v="2"/>
    <n v="2"/>
    <m/>
    <x v="113"/>
    <x v="452"/>
    <x v="359"/>
    <x v="0"/>
    <n v="193"/>
    <n v="4431"/>
    <n v="3.602439024390244"/>
    <n v="4431"/>
    <n v="3.602439024390244"/>
    <s v="[]"/>
    <s v="[]"/>
  </r>
  <r>
    <x v="4"/>
    <s v="220 East Illinois Street"/>
    <x v="157"/>
    <s v="3406"/>
    <n v="34"/>
    <x v="2"/>
    <n v="2"/>
    <m/>
    <x v="113"/>
    <x v="355"/>
    <x v="158"/>
    <x v="0"/>
    <n v="98"/>
    <n v="4511"/>
    <n v="3.667479674796748"/>
    <n v="4511"/>
    <n v="3.667479674796748"/>
    <s v="[]"/>
    <s v="[corner_unit]"/>
  </r>
  <r>
    <x v="4"/>
    <s v="220 East Illinois Street"/>
    <x v="157"/>
    <s v="2906"/>
    <n v="29"/>
    <x v="2"/>
    <n v="2"/>
    <m/>
    <x v="113"/>
    <x v="51"/>
    <x v="299"/>
    <x v="0"/>
    <n v="9"/>
    <n v="4571"/>
    <n v="3.7162601626016261"/>
    <n v="4571"/>
    <n v="3.7162601626016261"/>
    <s v="[]"/>
    <s v="[corner_unit]"/>
  </r>
  <r>
    <x v="4"/>
    <s v="220 East Illinois Street"/>
    <x v="157"/>
    <s v="3606"/>
    <n v="36"/>
    <x v="2"/>
    <n v="2"/>
    <m/>
    <x v="113"/>
    <x v="192"/>
    <x v="65"/>
    <x v="0"/>
    <n v="59"/>
    <n v="4657"/>
    <n v="3.7861788617886178"/>
    <n v="4657"/>
    <n v="3.7861788617886178"/>
    <s v="[]"/>
    <s v="[]"/>
  </r>
  <r>
    <x v="4"/>
    <s v="220 East Illinois Street"/>
    <x v="157"/>
    <s v="3306"/>
    <n v="33"/>
    <x v="2"/>
    <n v="2"/>
    <m/>
    <x v="113"/>
    <x v="453"/>
    <x v="493"/>
    <x v="0"/>
    <n v="91"/>
    <n v="4698"/>
    <n v="3.8195121951219511"/>
    <n v="4698"/>
    <n v="3.8195121951219511"/>
    <s v="[]"/>
    <s v="[corner_unit]"/>
  </r>
  <r>
    <x v="4"/>
    <s v="220 East Illinois Street"/>
    <x v="157"/>
    <s v="3506"/>
    <n v="35"/>
    <x v="2"/>
    <n v="2"/>
    <m/>
    <x v="113"/>
    <x v="454"/>
    <x v="494"/>
    <x v="0"/>
    <n v="177"/>
    <n v="4741"/>
    <n v="3.8544715447154472"/>
    <n v="4741"/>
    <n v="3.8544715447154472"/>
    <s v="[]"/>
    <s v="[corner_unit]"/>
  </r>
  <r>
    <x v="4"/>
    <s v="220 East Illinois Street"/>
    <x v="157"/>
    <s v="1206"/>
    <n v="12"/>
    <x v="2"/>
    <n v="2"/>
    <m/>
    <x v="113"/>
    <x v="179"/>
    <x v="28"/>
    <x v="1"/>
    <m/>
    <n v="4873"/>
    <n v="3.961788617886179"/>
    <n v="4873"/>
    <n v="3.961788617886179"/>
    <s v="[]"/>
    <s v="[]"/>
  </r>
  <r>
    <x v="4"/>
    <s v="220 East Illinois Street"/>
    <x v="157"/>
    <s v="1706"/>
    <n v="17"/>
    <x v="2"/>
    <n v="2"/>
    <m/>
    <x v="113"/>
    <x v="455"/>
    <x v="28"/>
    <x v="1"/>
    <m/>
    <n v="4923"/>
    <n v="4.0024390243902435"/>
    <n v="4923"/>
    <n v="4.0024390243902435"/>
    <s v="[]"/>
    <s v="[corner_unit]"/>
  </r>
  <r>
    <x v="4"/>
    <s v="220 East Illinois Street"/>
    <x v="157"/>
    <s v="2306"/>
    <n v="23"/>
    <x v="2"/>
    <n v="2"/>
    <m/>
    <x v="113"/>
    <x v="103"/>
    <x v="336"/>
    <x v="0"/>
    <n v="119"/>
    <n v="5002"/>
    <n v="4.0666666666666664"/>
    <n v="5002"/>
    <n v="4.0666666666666664"/>
    <s v="[]"/>
    <s v="[]"/>
  </r>
  <r>
    <x v="4"/>
    <s v="220 East Illinois Street"/>
    <x v="157"/>
    <s v="3006"/>
    <n v="30"/>
    <x v="2"/>
    <n v="2"/>
    <m/>
    <x v="113"/>
    <x v="118"/>
    <x v="28"/>
    <x v="1"/>
    <m/>
    <n v="5154"/>
    <n v="4.1902439024390246"/>
    <n v="5154"/>
    <n v="4.1902439024390246"/>
    <s v="[]"/>
    <s v="[]"/>
  </r>
  <r>
    <x v="4"/>
    <s v="220 East Illinois Street"/>
    <x v="157"/>
    <s v="3106"/>
    <n v="31"/>
    <x v="2"/>
    <n v="2"/>
    <m/>
    <x v="113"/>
    <x v="427"/>
    <x v="209"/>
    <x v="0"/>
    <n v="329"/>
    <n v="5358"/>
    <n v="4.3560975609756101"/>
    <n v="5358"/>
    <n v="4.3560975609756101"/>
    <s v="[]"/>
    <s v="[corner_unit]"/>
  </r>
  <r>
    <x v="4"/>
    <s v="220 East Illinois Street"/>
    <x v="158"/>
    <s v="2101"/>
    <n v="21"/>
    <x v="2"/>
    <n v="2"/>
    <m/>
    <x v="114"/>
    <x v="92"/>
    <x v="352"/>
    <x v="0"/>
    <n v="57"/>
    <n v="4217"/>
    <n v="3.3871485943775101"/>
    <n v="4217"/>
    <n v="3.3871485943775101"/>
    <s v="[]"/>
    <s v="[corner_unit]"/>
  </r>
  <r>
    <x v="4"/>
    <s v="220 East Illinois Street"/>
    <x v="158"/>
    <s v="2901"/>
    <n v="29"/>
    <x v="2"/>
    <n v="2"/>
    <m/>
    <x v="114"/>
    <x v="302"/>
    <x v="307"/>
    <x v="0"/>
    <n v="13"/>
    <n v="4272"/>
    <n v="3.4313253012048195"/>
    <n v="4272"/>
    <n v="3.4313253012048195"/>
    <s v="[]"/>
    <s v="[]"/>
  </r>
  <r>
    <x v="4"/>
    <s v="220 East Illinois Street"/>
    <x v="158"/>
    <s v="3001"/>
    <n v="30"/>
    <x v="2"/>
    <n v="2"/>
    <m/>
    <x v="114"/>
    <x v="75"/>
    <x v="495"/>
    <x v="0"/>
    <n v="11"/>
    <n v="4290"/>
    <n v="3.4457831325301207"/>
    <n v="4290"/>
    <n v="3.4457831325301207"/>
    <s v="[]"/>
    <s v="[]"/>
  </r>
  <r>
    <x v="4"/>
    <s v="220 East Illinois Street"/>
    <x v="158"/>
    <s v="3101"/>
    <n v="31"/>
    <x v="2"/>
    <n v="2"/>
    <m/>
    <x v="114"/>
    <x v="239"/>
    <x v="292"/>
    <x v="0"/>
    <n v="102"/>
    <n v="4292"/>
    <n v="3.4473895582329317"/>
    <n v="4292"/>
    <n v="3.4473895582329317"/>
    <s v="[]"/>
    <s v="[]"/>
  </r>
  <r>
    <x v="4"/>
    <s v="220 East Illinois Street"/>
    <x v="158"/>
    <s v="2201"/>
    <n v="22"/>
    <x v="2"/>
    <n v="2"/>
    <m/>
    <x v="114"/>
    <x v="141"/>
    <x v="496"/>
    <x v="0"/>
    <n v="105"/>
    <n v="4329"/>
    <n v="3.4771084337349398"/>
    <n v="4329"/>
    <n v="3.4771084337349398"/>
    <s v="[]"/>
    <s v="[]"/>
  </r>
  <r>
    <x v="4"/>
    <s v="220 East Illinois Street"/>
    <x v="158"/>
    <s v="2401"/>
    <n v="24"/>
    <x v="2"/>
    <n v="2"/>
    <m/>
    <x v="114"/>
    <x v="417"/>
    <x v="422"/>
    <x v="0"/>
    <n v="104"/>
    <n v="4372"/>
    <n v="3.5116465863453814"/>
    <n v="4372"/>
    <n v="3.5116465863453814"/>
    <s v="[]"/>
    <s v="[]"/>
  </r>
  <r>
    <x v="4"/>
    <s v="220 East Illinois Street"/>
    <x v="158"/>
    <s v="2501"/>
    <n v="25"/>
    <x v="2"/>
    <n v="2"/>
    <m/>
    <x v="114"/>
    <x v="226"/>
    <x v="422"/>
    <x v="0"/>
    <n v="147"/>
    <n v="4382"/>
    <n v="3.5196787148594377"/>
    <n v="4382"/>
    <n v="3.5196787148594377"/>
    <s v="[]"/>
    <s v="[]"/>
  </r>
  <r>
    <x v="4"/>
    <s v="220 East Illinois Street"/>
    <x v="158"/>
    <s v="1101"/>
    <n v="11"/>
    <x v="2"/>
    <n v="2"/>
    <m/>
    <x v="114"/>
    <x v="393"/>
    <x v="427"/>
    <x v="0"/>
    <n v="2"/>
    <n v="4453"/>
    <n v="3.5767068273092368"/>
    <n v="4453"/>
    <n v="3.5767068273092368"/>
    <s v="[]"/>
    <s v="[corner_unit]"/>
  </r>
  <r>
    <x v="4"/>
    <s v="220 East Illinois Street"/>
    <x v="158"/>
    <s v="0901"/>
    <n v="9"/>
    <x v="2"/>
    <n v="2"/>
    <m/>
    <x v="114"/>
    <x v="322"/>
    <x v="53"/>
    <x v="0"/>
    <n v="62"/>
    <n v="4499"/>
    <n v="3.6136546184738956"/>
    <n v="4499"/>
    <n v="3.6136546184738956"/>
    <s v="[]"/>
    <s v="[corner_unit]"/>
  </r>
  <r>
    <x v="4"/>
    <s v="220 East Illinois Street"/>
    <x v="158"/>
    <s v="2301"/>
    <n v="23"/>
    <x v="2"/>
    <n v="2"/>
    <m/>
    <x v="114"/>
    <x v="456"/>
    <x v="385"/>
    <x v="0"/>
    <n v="232"/>
    <n v="4517"/>
    <n v="3.6281124497991968"/>
    <n v="4517"/>
    <n v="3.6281124497991968"/>
    <s v="[]"/>
    <s v="[corner_unit]"/>
  </r>
  <r>
    <x v="4"/>
    <s v="220 East Illinois Street"/>
    <x v="158"/>
    <s v="3601"/>
    <n v="36"/>
    <x v="2"/>
    <n v="2"/>
    <m/>
    <x v="114"/>
    <x v="457"/>
    <x v="179"/>
    <x v="0"/>
    <n v="39"/>
    <n v="4519"/>
    <n v="3.6297188755020082"/>
    <n v="4519"/>
    <n v="3.6297188755020082"/>
    <s v="[]"/>
    <s v="[]"/>
  </r>
  <r>
    <x v="4"/>
    <s v="220 East Illinois Street"/>
    <x v="158"/>
    <s v="1201"/>
    <n v="12"/>
    <x v="2"/>
    <n v="2"/>
    <m/>
    <x v="114"/>
    <x v="458"/>
    <x v="497"/>
    <x v="0"/>
    <n v="50"/>
    <n v="4564"/>
    <n v="3.6658634538152612"/>
    <n v="4564"/>
    <n v="3.6658634538152612"/>
    <s v="[]"/>
    <s v="[corner_unit]"/>
  </r>
  <r>
    <x v="4"/>
    <s v="220 East Illinois Street"/>
    <x v="158"/>
    <s v="2801"/>
    <n v="28"/>
    <x v="2"/>
    <n v="2"/>
    <m/>
    <x v="114"/>
    <x v="373"/>
    <x v="341"/>
    <x v="0"/>
    <n v="162"/>
    <n v="4607"/>
    <n v="3.7004016064257028"/>
    <n v="4607"/>
    <n v="3.7004016064257028"/>
    <s v="[]"/>
    <s v="[corner_unit]"/>
  </r>
  <r>
    <x v="4"/>
    <s v="220 East Illinois Street"/>
    <x v="158"/>
    <s v="3401"/>
    <n v="34"/>
    <x v="2"/>
    <n v="2"/>
    <m/>
    <x v="114"/>
    <x v="320"/>
    <x v="369"/>
    <x v="0"/>
    <n v="238"/>
    <n v="4773"/>
    <n v="3.8337349397590361"/>
    <n v="4773"/>
    <n v="3.8337349397590361"/>
    <s v="[]"/>
    <s v="[]"/>
  </r>
  <r>
    <x v="4"/>
    <s v="220 East Illinois Street"/>
    <x v="158"/>
    <s v="2601"/>
    <n v="26"/>
    <x v="2"/>
    <n v="2"/>
    <m/>
    <x v="114"/>
    <x v="386"/>
    <x v="194"/>
    <x v="0"/>
    <n v="198"/>
    <n v="4833"/>
    <n v="3.8819277108433736"/>
    <n v="4833"/>
    <n v="3.8819277108433736"/>
    <s v="[]"/>
    <s v="[corner_unit]"/>
  </r>
  <r>
    <x v="4"/>
    <s v="220 East Illinois Street"/>
    <x v="158"/>
    <s v="1901"/>
    <n v="19"/>
    <x v="2"/>
    <n v="2"/>
    <m/>
    <x v="114"/>
    <x v="130"/>
    <x v="498"/>
    <x v="0"/>
    <m/>
    <n v="4858"/>
    <n v="3.902008032128514"/>
    <n v="4858"/>
    <n v="3.902008032128514"/>
    <s v="[]"/>
    <s v="[corner_unit]"/>
  </r>
  <r>
    <x v="4"/>
    <s v="220 East Illinois Street"/>
    <x v="158"/>
    <s v="3301"/>
    <n v="33"/>
    <x v="2"/>
    <n v="2"/>
    <m/>
    <x v="114"/>
    <x v="99"/>
    <x v="28"/>
    <x v="1"/>
    <m/>
    <n v="4920"/>
    <n v="3.9518072289156625"/>
    <n v="4920"/>
    <n v="3.9518072289156625"/>
    <s v="[]"/>
    <s v="[]"/>
  </r>
  <r>
    <x v="4"/>
    <s v="220 East Illinois Street"/>
    <x v="158"/>
    <s v="1401"/>
    <n v="14"/>
    <x v="2"/>
    <n v="2"/>
    <m/>
    <x v="114"/>
    <x v="18"/>
    <x v="28"/>
    <x v="1"/>
    <m/>
    <n v="4958"/>
    <n v="3.9823293172690764"/>
    <n v="4958"/>
    <n v="3.9823293172690764"/>
    <s v="[]"/>
    <s v="[]"/>
  </r>
  <r>
    <x v="4"/>
    <s v="220 East Illinois Street"/>
    <x v="159"/>
    <s v="4602"/>
    <n v="46"/>
    <x v="2"/>
    <n v="2"/>
    <m/>
    <x v="115"/>
    <x v="73"/>
    <x v="430"/>
    <x v="0"/>
    <n v="12"/>
    <n v="4896"/>
    <n v="3.9199359487590071"/>
    <n v="4896"/>
    <n v="3.9199359487590071"/>
    <s v="[]"/>
    <s v="[corner_unit]"/>
  </r>
  <r>
    <x v="4"/>
    <s v="220 East Illinois Street"/>
    <x v="159"/>
    <s v="4902"/>
    <n v="49"/>
    <x v="2"/>
    <n v="2"/>
    <m/>
    <x v="115"/>
    <x v="87"/>
    <x v="20"/>
    <x v="0"/>
    <n v="5"/>
    <n v="4926"/>
    <n v="3.9439551641313049"/>
    <n v="4926"/>
    <n v="3.9439551641313049"/>
    <s v="[]"/>
    <s v="[corner_unit]"/>
  </r>
  <r>
    <x v="4"/>
    <s v="220 East Illinois Street"/>
    <x v="159"/>
    <s v="4202"/>
    <n v="42"/>
    <x v="2"/>
    <n v="2"/>
    <m/>
    <x v="115"/>
    <x v="410"/>
    <x v="473"/>
    <x v="0"/>
    <n v="2"/>
    <n v="5078"/>
    <n v="4.0656525220176141"/>
    <n v="5078"/>
    <n v="4.0656525220176141"/>
    <s v="[]"/>
    <s v="[corner_unit]"/>
  </r>
  <r>
    <x v="4"/>
    <s v="220 East Illinois Street"/>
    <x v="159"/>
    <s v="4302"/>
    <n v="43"/>
    <x v="2"/>
    <n v="2"/>
    <m/>
    <x v="115"/>
    <x v="191"/>
    <x v="203"/>
    <x v="0"/>
    <n v="4"/>
    <n v="5142"/>
    <n v="4.1168935148118493"/>
    <n v="5142"/>
    <n v="4.1168935148118493"/>
    <s v="[]"/>
    <s v="[corner_unit]"/>
  </r>
  <r>
    <x v="4"/>
    <s v="220 East Illinois Street"/>
    <x v="159"/>
    <s v="3902"/>
    <n v="39"/>
    <x v="2"/>
    <n v="2"/>
    <m/>
    <x v="115"/>
    <x v="130"/>
    <x v="499"/>
    <x v="0"/>
    <m/>
    <n v="5234"/>
    <n v="4.1905524419535629"/>
    <n v="5234"/>
    <n v="4.1905524419535629"/>
    <s v="[]"/>
    <s v="[corner_unit]"/>
  </r>
  <r>
    <x v="4"/>
    <s v="220 East Illinois Street"/>
    <x v="159"/>
    <s v="4502"/>
    <n v="45"/>
    <x v="2"/>
    <n v="2"/>
    <m/>
    <x v="115"/>
    <x v="427"/>
    <x v="49"/>
    <x v="0"/>
    <n v="37"/>
    <n v="5611"/>
    <n v="4.492393915132106"/>
    <n v="5611"/>
    <n v="4.492393915132106"/>
    <s v="[]"/>
    <s v="[corner_unit]"/>
  </r>
  <r>
    <x v="4"/>
    <s v="220 East Illinois Street"/>
    <x v="159"/>
    <s v="4002"/>
    <n v="40"/>
    <x v="2"/>
    <n v="2"/>
    <m/>
    <x v="115"/>
    <x v="425"/>
    <x v="468"/>
    <x v="0"/>
    <n v="319"/>
    <n v="5717"/>
    <n v="4.5772618094475579"/>
    <n v="5717"/>
    <n v="4.5772618094475579"/>
    <s v="[]"/>
    <s v="[corner_unit]"/>
  </r>
  <r>
    <x v="4"/>
    <s v="220 East Illinois Street"/>
    <x v="159"/>
    <s v="4802"/>
    <n v="48"/>
    <x v="2"/>
    <n v="2"/>
    <m/>
    <x v="115"/>
    <x v="448"/>
    <x v="15"/>
    <x v="0"/>
    <n v="28"/>
    <n v="5761"/>
    <n v="4.6124899919935949"/>
    <n v="5761"/>
    <n v="4.6124899919935949"/>
    <s v="[]"/>
    <s v="[]"/>
  </r>
  <r>
    <x v="4"/>
    <s v="220 East Illinois Street"/>
    <x v="160"/>
    <s v="1112"/>
    <n v="11"/>
    <x v="2"/>
    <n v="2"/>
    <m/>
    <x v="116"/>
    <x v="105"/>
    <x v="430"/>
    <x v="0"/>
    <n v="40"/>
    <n v="3906"/>
    <n v="3.1248"/>
    <n v="3906"/>
    <n v="3.1248"/>
    <s v="[]"/>
    <s v="[]"/>
  </r>
  <r>
    <x v="4"/>
    <s v="220 East Illinois Street"/>
    <x v="160"/>
    <s v="1212"/>
    <n v="12"/>
    <x v="2"/>
    <n v="2"/>
    <m/>
    <x v="116"/>
    <x v="456"/>
    <x v="56"/>
    <x v="0"/>
    <n v="54"/>
    <n v="4089"/>
    <n v="3.2711999999999999"/>
    <n v="4089"/>
    <n v="3.2711999999999999"/>
    <s v="[]"/>
    <s v="[]"/>
  </r>
  <r>
    <x v="4"/>
    <s v="220 East Illinois Street"/>
    <x v="160"/>
    <s v="0912"/>
    <n v="9"/>
    <x v="2"/>
    <n v="2"/>
    <m/>
    <x v="116"/>
    <x v="130"/>
    <x v="133"/>
    <x v="0"/>
    <m/>
    <n v="4231"/>
    <n v="3.3847999999999998"/>
    <n v="4231"/>
    <n v="3.3847999999999998"/>
    <s v="[]"/>
    <s v="[]"/>
  </r>
  <r>
    <x v="4"/>
    <s v="220 East Illinois Street"/>
    <x v="160"/>
    <s v="3412"/>
    <n v="34"/>
    <x v="2"/>
    <n v="2"/>
    <m/>
    <x v="116"/>
    <x v="324"/>
    <x v="500"/>
    <x v="0"/>
    <n v="37"/>
    <n v="4427"/>
    <n v="3.5415999999999999"/>
    <n v="4427"/>
    <n v="3.5415999999999999"/>
    <s v="[]"/>
    <s v="[corner_unit]"/>
  </r>
  <r>
    <x v="4"/>
    <s v="220 East Illinois Street"/>
    <x v="160"/>
    <s v="2412"/>
    <n v="24"/>
    <x v="2"/>
    <n v="2"/>
    <m/>
    <x v="116"/>
    <x v="166"/>
    <x v="459"/>
    <x v="0"/>
    <n v="148"/>
    <n v="4527"/>
    <n v="3.6215999999999999"/>
    <n v="4527"/>
    <n v="3.6215999999999999"/>
    <s v="[]"/>
    <s v="[corner_unit]"/>
  </r>
  <r>
    <x v="4"/>
    <s v="220 East Illinois Street"/>
    <x v="160"/>
    <s v="2612"/>
    <n v="26"/>
    <x v="2"/>
    <n v="2"/>
    <m/>
    <x v="116"/>
    <x v="319"/>
    <x v="158"/>
    <x v="0"/>
    <n v="63"/>
    <n v="4681"/>
    <n v="3.7448000000000001"/>
    <n v="4681"/>
    <n v="3.7448000000000001"/>
    <s v="[]"/>
    <s v="[]"/>
  </r>
  <r>
    <x v="4"/>
    <s v="220 East Illinois Street"/>
    <x v="160"/>
    <s v="3312"/>
    <n v="33"/>
    <x v="2"/>
    <n v="2"/>
    <m/>
    <x v="116"/>
    <x v="70"/>
    <x v="98"/>
    <x v="0"/>
    <n v="162"/>
    <n v="4691"/>
    <n v="3.7528000000000001"/>
    <n v="4691"/>
    <n v="3.7528000000000001"/>
    <s v="[]"/>
    <s v="[]"/>
  </r>
  <r>
    <x v="4"/>
    <s v="220 East Illinois Street"/>
    <x v="160"/>
    <s v="1312"/>
    <n v="13"/>
    <x v="2"/>
    <n v="2"/>
    <m/>
    <x v="116"/>
    <x v="452"/>
    <x v="216"/>
    <x v="0"/>
    <n v="24"/>
    <n v="4762"/>
    <n v="3.8096000000000001"/>
    <n v="4762"/>
    <n v="3.8096000000000001"/>
    <s v="[]"/>
    <s v="[]"/>
  </r>
  <r>
    <x v="4"/>
    <s v="220 East Illinois Street"/>
    <x v="160"/>
    <s v="2912"/>
    <n v="29"/>
    <x v="2"/>
    <n v="2"/>
    <m/>
    <x v="116"/>
    <x v="459"/>
    <x v="480"/>
    <x v="0"/>
    <n v="54"/>
    <n v="4996"/>
    <n v="3.9967999999999999"/>
    <n v="4996"/>
    <n v="3.9967999999999999"/>
    <s v="[]"/>
    <s v="[corner_unit]"/>
  </r>
  <r>
    <x v="4"/>
    <s v="220 East Illinois Street"/>
    <x v="160"/>
    <s v="3012"/>
    <n v="30"/>
    <x v="2"/>
    <n v="2"/>
    <m/>
    <x v="116"/>
    <x v="460"/>
    <x v="28"/>
    <x v="1"/>
    <m/>
    <n v="5188"/>
    <n v="4.1504000000000003"/>
    <n v="5188"/>
    <n v="4.1504000000000003"/>
    <s v="[]"/>
    <s v="[corner_unit]"/>
  </r>
  <r>
    <x v="4"/>
    <s v="220 East Illinois Street"/>
    <x v="160"/>
    <s v="1812"/>
    <n v="18"/>
    <x v="2"/>
    <n v="2"/>
    <m/>
    <x v="116"/>
    <x v="353"/>
    <x v="148"/>
    <x v="0"/>
    <n v="146"/>
    <n v="5275"/>
    <n v="4.22"/>
    <n v="5275"/>
    <n v="4.22"/>
    <s v="[]"/>
    <s v="[corner_unit]"/>
  </r>
  <r>
    <x v="4"/>
    <s v="220 East Illinois Street"/>
    <x v="160"/>
    <s v="2112"/>
    <n v="21"/>
    <x v="2"/>
    <n v="2"/>
    <m/>
    <x v="116"/>
    <x v="290"/>
    <x v="28"/>
    <x v="1"/>
    <m/>
    <n v="5314"/>
    <n v="4.2511999999999999"/>
    <n v="5314"/>
    <n v="4.2511999999999999"/>
    <s v="[]"/>
    <s v="[corner_unit]"/>
  </r>
  <r>
    <x v="4"/>
    <s v="220 East Illinois Street"/>
    <x v="160"/>
    <s v="2212"/>
    <n v="22"/>
    <x v="2"/>
    <n v="2"/>
    <m/>
    <x v="116"/>
    <x v="100"/>
    <x v="28"/>
    <x v="1"/>
    <m/>
    <n v="5324"/>
    <n v="4.2591999999999999"/>
    <n v="5324"/>
    <n v="4.2591999999999999"/>
    <s v="[]"/>
    <s v="[]"/>
  </r>
  <r>
    <x v="4"/>
    <s v="220 East Illinois Street"/>
    <x v="160"/>
    <s v="2712"/>
    <n v="27"/>
    <x v="2"/>
    <n v="2"/>
    <m/>
    <x v="116"/>
    <x v="448"/>
    <x v="28"/>
    <x v="1"/>
    <m/>
    <n v="5375"/>
    <n v="4.3"/>
    <n v="5375"/>
    <n v="4.3"/>
    <s v="[]"/>
    <s v="[corner_unit]"/>
  </r>
  <r>
    <x v="4"/>
    <s v="220 East Illinois Street"/>
    <x v="160"/>
    <s v="3112"/>
    <n v="31"/>
    <x v="2"/>
    <n v="2"/>
    <m/>
    <x v="116"/>
    <x v="233"/>
    <x v="28"/>
    <x v="1"/>
    <m/>
    <n v="5415"/>
    <n v="4.3319999999999999"/>
    <n v="5415"/>
    <n v="4.3319999999999999"/>
    <s v="[]"/>
    <s v="[corner_unit]"/>
  </r>
  <r>
    <x v="4"/>
    <s v="220 East Illinois Street"/>
    <x v="160"/>
    <s v="3512"/>
    <n v="35"/>
    <x v="2"/>
    <n v="2"/>
    <m/>
    <x v="116"/>
    <x v="109"/>
    <x v="28"/>
    <x v="1"/>
    <m/>
    <n v="5455"/>
    <n v="4.3639999999999999"/>
    <n v="5455"/>
    <n v="4.3639999999999999"/>
    <s v="[]"/>
    <s v="[]"/>
  </r>
  <r>
    <x v="4"/>
    <s v="220 East Illinois Street"/>
    <x v="160"/>
    <s v="3612"/>
    <n v="36"/>
    <x v="2"/>
    <n v="2"/>
    <m/>
    <x v="116"/>
    <x v="336"/>
    <x v="47"/>
    <x v="0"/>
    <n v="50"/>
    <n v="5468"/>
    <n v="4.3743999999999996"/>
    <n v="5468"/>
    <n v="4.3743999999999996"/>
    <s v="[]"/>
    <s v="[corner_unit]"/>
  </r>
  <r>
    <x v="4"/>
    <s v="220 East Illinois Street"/>
    <x v="160"/>
    <s v="3212"/>
    <n v="32"/>
    <x v="2"/>
    <n v="2"/>
    <m/>
    <x v="116"/>
    <x v="329"/>
    <x v="501"/>
    <x v="0"/>
    <n v="17"/>
    <n v="5716"/>
    <n v="4.5728"/>
    <n v="5716"/>
    <n v="4.5728"/>
    <s v="[]"/>
    <s v="[]"/>
  </r>
  <r>
    <x v="4"/>
    <s v="220 East Illinois Street"/>
    <x v="161"/>
    <s v="1708"/>
    <n v="17"/>
    <x v="2"/>
    <n v="2"/>
    <m/>
    <x v="117"/>
    <x v="394"/>
    <x v="35"/>
    <x v="0"/>
    <n v="5"/>
    <n v="4337"/>
    <n v="3.2955927051671732"/>
    <n v="4337"/>
    <n v="3.2955927051671732"/>
    <s v="[]"/>
    <s v="[]"/>
  </r>
  <r>
    <x v="4"/>
    <s v="220 East Illinois Street"/>
    <x v="161"/>
    <s v="2108"/>
    <n v="21"/>
    <x v="2"/>
    <n v="2"/>
    <m/>
    <x v="117"/>
    <x v="20"/>
    <x v="464"/>
    <x v="0"/>
    <n v="33"/>
    <n v="4498"/>
    <n v="3.4179331306990881"/>
    <n v="4498"/>
    <n v="3.4179331306990881"/>
    <s v="[]"/>
    <s v="[]"/>
  </r>
  <r>
    <x v="4"/>
    <s v="220 East Illinois Street"/>
    <x v="161"/>
    <s v="1808"/>
    <n v="18"/>
    <x v="2"/>
    <n v="2"/>
    <m/>
    <x v="117"/>
    <x v="163"/>
    <x v="493"/>
    <x v="0"/>
    <n v="10"/>
    <n v="4527"/>
    <n v="3.4399696048632218"/>
    <n v="4527"/>
    <n v="3.4399696048632218"/>
    <s v="[]"/>
    <s v="[]"/>
  </r>
  <r>
    <x v="4"/>
    <s v="220 East Illinois Street"/>
    <x v="161"/>
    <s v="3308"/>
    <n v="33"/>
    <x v="2"/>
    <n v="2"/>
    <m/>
    <x v="117"/>
    <x v="189"/>
    <x v="408"/>
    <x v="0"/>
    <n v="6"/>
    <n v="4622"/>
    <n v="3.5121580547112461"/>
    <n v="4622"/>
    <n v="3.5121580547112461"/>
    <s v="[]"/>
    <s v="[corner_unit]"/>
  </r>
  <r>
    <x v="4"/>
    <s v="220 East Illinois Street"/>
    <x v="161"/>
    <s v="2208"/>
    <n v="22"/>
    <x v="2"/>
    <n v="2"/>
    <m/>
    <x v="117"/>
    <x v="196"/>
    <x v="502"/>
    <x v="0"/>
    <n v="74"/>
    <n v="4642"/>
    <n v="3.5273556231003038"/>
    <n v="4642"/>
    <n v="3.5273556231003038"/>
    <s v="[]"/>
    <s v="[]"/>
  </r>
  <r>
    <x v="4"/>
    <s v="220 East Illinois Street"/>
    <x v="161"/>
    <s v="1908"/>
    <n v="19"/>
    <x v="2"/>
    <n v="2"/>
    <m/>
    <x v="117"/>
    <x v="397"/>
    <x v="502"/>
    <x v="0"/>
    <n v="25"/>
    <n v="4762"/>
    <n v="3.6185410334346506"/>
    <n v="4762"/>
    <n v="3.6185410334346506"/>
    <s v="[]"/>
    <s v="[]"/>
  </r>
  <r>
    <x v="4"/>
    <s v="220 East Illinois Street"/>
    <x v="161"/>
    <s v="2408"/>
    <n v="24"/>
    <x v="2"/>
    <n v="2"/>
    <m/>
    <x v="117"/>
    <x v="84"/>
    <x v="8"/>
    <x v="0"/>
    <n v="176"/>
    <n v="4782"/>
    <n v="3.6337386018237083"/>
    <n v="4782"/>
    <n v="3.6337386018237083"/>
    <s v="[]"/>
    <s v="[]"/>
  </r>
  <r>
    <x v="4"/>
    <s v="220 East Illinois Street"/>
    <x v="161"/>
    <s v="3408"/>
    <n v="34"/>
    <x v="2"/>
    <n v="2"/>
    <m/>
    <x v="117"/>
    <x v="164"/>
    <x v="87"/>
    <x v="0"/>
    <n v="103"/>
    <n v="4834"/>
    <n v="3.6732522796352582"/>
    <n v="4834"/>
    <n v="3.6732522796352582"/>
    <s v="[]"/>
    <s v="[]"/>
  </r>
  <r>
    <x v="4"/>
    <s v="220 East Illinois Street"/>
    <x v="161"/>
    <s v="2708"/>
    <n v="27"/>
    <x v="2"/>
    <n v="2"/>
    <m/>
    <x v="117"/>
    <x v="461"/>
    <x v="503"/>
    <x v="0"/>
    <n v="63"/>
    <n v="4867"/>
    <n v="3.6983282674772036"/>
    <n v="4867"/>
    <n v="3.6983282674772036"/>
    <s v="[]"/>
    <s v="[corner_unit]"/>
  </r>
  <r>
    <x v="4"/>
    <s v="220 East Illinois Street"/>
    <x v="161"/>
    <s v="3508"/>
    <n v="35"/>
    <x v="2"/>
    <n v="2"/>
    <m/>
    <x v="117"/>
    <x v="221"/>
    <x v="19"/>
    <x v="0"/>
    <n v="18"/>
    <n v="4871"/>
    <n v="3.7013677811550152"/>
    <n v="4871"/>
    <n v="3.7013677811550152"/>
    <s v="[]"/>
    <s v="[]"/>
  </r>
  <r>
    <x v="4"/>
    <s v="220 East Illinois Street"/>
    <x v="161"/>
    <s v="2608"/>
    <n v="26"/>
    <x v="2"/>
    <n v="2"/>
    <m/>
    <x v="117"/>
    <x v="328"/>
    <x v="385"/>
    <x v="0"/>
    <n v="4"/>
    <n v="4932"/>
    <n v="3.7477203647416415"/>
    <n v="4932"/>
    <n v="3.7477203647416415"/>
    <s v="[]"/>
    <s v="[corner_unit]"/>
  </r>
  <r>
    <x v="4"/>
    <s v="220 East Illinois Street"/>
    <x v="161"/>
    <s v="1508"/>
    <n v="15"/>
    <x v="2"/>
    <n v="2"/>
    <m/>
    <x v="117"/>
    <x v="343"/>
    <x v="245"/>
    <x v="0"/>
    <n v="67"/>
    <n v="4977"/>
    <n v="3.7819148936170213"/>
    <n v="4977"/>
    <n v="3.7819148936170213"/>
    <s v="[]"/>
    <s v="[]"/>
  </r>
  <r>
    <x v="4"/>
    <s v="220 East Illinois Street"/>
    <x v="161"/>
    <s v="2508"/>
    <n v="25"/>
    <x v="2"/>
    <n v="2"/>
    <m/>
    <x v="117"/>
    <x v="382"/>
    <x v="28"/>
    <x v="1"/>
    <m/>
    <n v="5187"/>
    <n v="3.9414893617021276"/>
    <n v="5187"/>
    <n v="3.9414893617021276"/>
    <s v="[]"/>
    <s v="[corner_unit]"/>
  </r>
  <r>
    <x v="4"/>
    <s v="220 East Illinois Street"/>
    <x v="161"/>
    <s v="1408"/>
    <n v="14"/>
    <x v="2"/>
    <n v="2"/>
    <m/>
    <x v="117"/>
    <x v="203"/>
    <x v="238"/>
    <x v="0"/>
    <n v="19"/>
    <n v="5200"/>
    <n v="3.9513677811550152"/>
    <n v="5200"/>
    <n v="3.9513677811550152"/>
    <s v="[]"/>
    <s v="[]"/>
  </r>
  <r>
    <x v="4"/>
    <s v="220 East Illinois Street"/>
    <x v="161"/>
    <s v="3108"/>
    <n v="31"/>
    <x v="2"/>
    <n v="2"/>
    <m/>
    <x v="117"/>
    <x v="47"/>
    <x v="230"/>
    <x v="0"/>
    <n v="3"/>
    <n v="5417"/>
    <n v="4.1162613981762917"/>
    <n v="5417"/>
    <n v="4.1162613981762917"/>
    <s v="[]"/>
    <s v="[]"/>
  </r>
  <r>
    <x v="4"/>
    <s v="220 East Illinois Street"/>
    <x v="161"/>
    <s v="2808"/>
    <n v="28"/>
    <x v="2"/>
    <n v="2"/>
    <m/>
    <x v="117"/>
    <x v="462"/>
    <x v="11"/>
    <x v="0"/>
    <n v="45"/>
    <n v="5420"/>
    <n v="4.1185410334346502"/>
    <n v="5420"/>
    <n v="4.1185410334346502"/>
    <s v="[]"/>
    <s v="[]"/>
  </r>
  <r>
    <x v="4"/>
    <s v="220 East Illinois Street"/>
    <x v="161"/>
    <s v="3608"/>
    <n v="36"/>
    <x v="2"/>
    <n v="2"/>
    <m/>
    <x v="117"/>
    <x v="220"/>
    <x v="62"/>
    <x v="0"/>
    <n v="42"/>
    <n v="5656"/>
    <n v="4.2978723404255321"/>
    <n v="5656"/>
    <n v="4.2978723404255321"/>
    <s v="[]"/>
    <s v="[corner_unit]"/>
  </r>
  <r>
    <x v="4"/>
    <s v="220 East Illinois Street"/>
    <x v="162"/>
    <s v="3703"/>
    <n v="37"/>
    <x v="2"/>
    <n v="2"/>
    <m/>
    <x v="118"/>
    <x v="276"/>
    <x v="192"/>
    <x v="0"/>
    <n v="89"/>
    <n v="4987"/>
    <n v="3.7837632776934749"/>
    <n v="4987"/>
    <n v="3.7837632776934749"/>
    <s v="[]"/>
    <s v="[]"/>
  </r>
  <r>
    <x v="4"/>
    <s v="220 East Illinois Street"/>
    <x v="162"/>
    <s v="4503"/>
    <n v="45"/>
    <x v="2"/>
    <n v="2"/>
    <m/>
    <x v="118"/>
    <x v="403"/>
    <x v="151"/>
    <x v="0"/>
    <n v="63"/>
    <n v="5151"/>
    <n v="3.9081942336874054"/>
    <n v="5151"/>
    <n v="3.9081942336874054"/>
    <s v="[]"/>
    <s v="[]"/>
  </r>
  <r>
    <x v="4"/>
    <s v="220 East Illinois Street"/>
    <x v="162"/>
    <s v="4703"/>
    <n v="47"/>
    <x v="2"/>
    <n v="2"/>
    <m/>
    <x v="118"/>
    <x v="463"/>
    <x v="504"/>
    <x v="0"/>
    <n v="61"/>
    <n v="5218"/>
    <n v="3.959028831562974"/>
    <n v="5218"/>
    <n v="3.959028831562974"/>
    <s v="[]"/>
    <s v="[]"/>
  </r>
  <r>
    <x v="4"/>
    <s v="220 East Illinois Street"/>
    <x v="162"/>
    <s v="4603"/>
    <n v="46"/>
    <x v="2"/>
    <n v="2"/>
    <m/>
    <x v="118"/>
    <x v="130"/>
    <x v="505"/>
    <x v="0"/>
    <m/>
    <n v="5254"/>
    <n v="3.9863429438543245"/>
    <n v="5254"/>
    <n v="3.9863429438543245"/>
    <s v="[]"/>
    <s v="[]"/>
  </r>
  <r>
    <x v="4"/>
    <s v="220 East Illinois Street"/>
    <x v="162"/>
    <s v="4203"/>
    <n v="42"/>
    <x v="2"/>
    <n v="2"/>
    <m/>
    <x v="118"/>
    <x v="38"/>
    <x v="303"/>
    <x v="0"/>
    <n v="7"/>
    <n v="5398"/>
    <n v="4.095599393019727"/>
    <n v="5398"/>
    <n v="4.095599393019727"/>
    <s v="[]"/>
    <s v="[]"/>
  </r>
  <r>
    <x v="4"/>
    <s v="220 East Illinois Street"/>
    <x v="162"/>
    <s v="4803"/>
    <n v="48"/>
    <x v="2"/>
    <n v="2"/>
    <m/>
    <x v="118"/>
    <x v="130"/>
    <x v="368"/>
    <x v="0"/>
    <m/>
    <n v="5452"/>
    <n v="4.1365705614567529"/>
    <n v="5452"/>
    <n v="4.1365705614567529"/>
    <s v="[]"/>
    <s v="[]"/>
  </r>
  <r>
    <x v="4"/>
    <s v="220 East Illinois Street"/>
    <x v="162"/>
    <s v="4403"/>
    <n v="44"/>
    <x v="2"/>
    <n v="2"/>
    <m/>
    <x v="118"/>
    <x v="357"/>
    <x v="245"/>
    <x v="0"/>
    <n v="30"/>
    <n v="5620"/>
    <n v="4.2640364188163886"/>
    <n v="5620"/>
    <n v="4.2640364188163886"/>
    <s v="[]"/>
    <s v="[]"/>
  </r>
  <r>
    <x v="4"/>
    <s v="220 East Illinois Street"/>
    <x v="162"/>
    <s v="4103"/>
    <n v="41"/>
    <x v="2"/>
    <n v="2"/>
    <m/>
    <x v="118"/>
    <x v="206"/>
    <x v="28"/>
    <x v="1"/>
    <m/>
    <n v="5697"/>
    <n v="4.322458270106222"/>
    <n v="5697"/>
    <n v="4.322458270106222"/>
    <s v="[]"/>
    <s v="[]"/>
  </r>
  <r>
    <x v="4"/>
    <s v="220 East Illinois Street"/>
    <x v="162"/>
    <s v="4003"/>
    <n v="40"/>
    <x v="2"/>
    <n v="2"/>
    <m/>
    <x v="118"/>
    <x v="164"/>
    <x v="262"/>
    <x v="0"/>
    <n v="349"/>
    <n v="5933"/>
    <n v="4.5015174506828526"/>
    <n v="5933"/>
    <n v="4.5015174506828526"/>
    <s v="[]"/>
    <s v="[]"/>
  </r>
  <r>
    <x v="4"/>
    <s v="220 East Illinois Street"/>
    <x v="163"/>
    <s v="4809"/>
    <n v="48"/>
    <x v="4"/>
    <n v="2"/>
    <m/>
    <x v="119"/>
    <x v="30"/>
    <x v="213"/>
    <x v="0"/>
    <n v="49"/>
    <n v="5884"/>
    <n v="3.8941098610191927"/>
    <n v="5884"/>
    <n v="3.8941098610191927"/>
    <s v="[]"/>
    <s v="[corner_unit]"/>
  </r>
  <r>
    <x v="4"/>
    <s v="220 East Illinois Street"/>
    <x v="163"/>
    <s v="3709"/>
    <n v="37"/>
    <x v="4"/>
    <n v="2"/>
    <m/>
    <x v="119"/>
    <x v="327"/>
    <x v="427"/>
    <x v="0"/>
    <n v="271"/>
    <n v="5974"/>
    <n v="3.9536730641958968"/>
    <n v="5974"/>
    <n v="3.9536730641958968"/>
    <s v="[]"/>
    <s v="[corner_unit]"/>
  </r>
  <r>
    <x v="4"/>
    <s v="220 East Illinois Street"/>
    <x v="163"/>
    <s v="4609"/>
    <n v="46"/>
    <x v="4"/>
    <n v="2"/>
    <m/>
    <x v="119"/>
    <x v="164"/>
    <x v="506"/>
    <x v="0"/>
    <n v="193"/>
    <n v="6068"/>
    <n v="4.0158835208471215"/>
    <n v="6068"/>
    <n v="4.0158835208471215"/>
    <s v="[]"/>
    <s v="[corner_unit]"/>
  </r>
  <r>
    <x v="4"/>
    <s v="220 East Illinois Street"/>
    <x v="163"/>
    <s v="4309"/>
    <n v="43"/>
    <x v="4"/>
    <n v="2"/>
    <m/>
    <x v="119"/>
    <x v="375"/>
    <x v="50"/>
    <x v="0"/>
    <n v="227"/>
    <n v="6283"/>
    <n v="4.1581733951025814"/>
    <n v="6283"/>
    <n v="4.1581733951025814"/>
    <s v="[]"/>
    <s v="[corner_unit]"/>
  </r>
  <r>
    <x v="4"/>
    <s v="220 East Illinois Street"/>
    <x v="163"/>
    <s v="4709"/>
    <n v="47"/>
    <x v="4"/>
    <n v="2"/>
    <m/>
    <x v="119"/>
    <x v="8"/>
    <x v="305"/>
    <x v="0"/>
    <n v="64"/>
    <n v="6330"/>
    <n v="4.1892786234281933"/>
    <n v="6330"/>
    <n v="4.1892786234281933"/>
    <s v="[]"/>
    <s v="[]"/>
  </r>
  <r>
    <x v="4"/>
    <s v="220 East Illinois Street"/>
    <x v="163"/>
    <s v="4409"/>
    <n v="44"/>
    <x v="4"/>
    <n v="2"/>
    <m/>
    <x v="119"/>
    <x v="423"/>
    <x v="131"/>
    <x v="0"/>
    <n v="75"/>
    <n v="6465"/>
    <n v="4.2786234281932494"/>
    <n v="6465"/>
    <n v="4.2786234281932494"/>
    <s v="[]"/>
    <s v="[corner_unit]"/>
  </r>
  <r>
    <x v="4"/>
    <s v="220 East Illinois Street"/>
    <x v="163"/>
    <s v="4909"/>
    <n v="49"/>
    <x v="4"/>
    <n v="2"/>
    <m/>
    <x v="119"/>
    <x v="130"/>
    <x v="234"/>
    <x v="0"/>
    <m/>
    <n v="6516"/>
    <n v="4.3123759099933823"/>
    <n v="6516"/>
    <n v="4.3123759099933823"/>
    <s v="[]"/>
    <s v="[]"/>
  </r>
  <r>
    <x v="4"/>
    <s v="220 East Illinois Street"/>
    <x v="163"/>
    <s v="4009"/>
    <n v="40"/>
    <x v="4"/>
    <n v="2"/>
    <m/>
    <x v="119"/>
    <x v="417"/>
    <x v="23"/>
    <x v="0"/>
    <n v="428"/>
    <n v="6690"/>
    <n v="4.42753143613501"/>
    <n v="6690"/>
    <n v="4.42753143613501"/>
    <s v="[]"/>
    <s v="[corner_unit]"/>
  </r>
  <r>
    <x v="4"/>
    <s v="220 East Illinois Street"/>
    <x v="164"/>
    <s v="4301"/>
    <n v="43"/>
    <x v="4"/>
    <n v="2"/>
    <m/>
    <x v="120"/>
    <x v="180"/>
    <x v="335"/>
    <x v="0"/>
    <n v="18"/>
    <n v="6033"/>
    <n v="3.7402355858648479"/>
    <n v="6033"/>
    <n v="3.7402355858648479"/>
    <s v="[]"/>
    <s v="[]"/>
  </r>
  <r>
    <x v="4"/>
    <s v="220 East Illinois Street"/>
    <x v="164"/>
    <s v="4001"/>
    <n v="40"/>
    <x v="4"/>
    <n v="2"/>
    <m/>
    <x v="120"/>
    <x v="130"/>
    <x v="223"/>
    <x v="0"/>
    <m/>
    <n v="6372"/>
    <n v="3.9504029758214507"/>
    <n v="6372"/>
    <n v="3.9504029758214507"/>
    <s v="[]"/>
    <s v="[]"/>
  </r>
  <r>
    <x v="4"/>
    <s v="220 East Illinois Street"/>
    <x v="164"/>
    <s v="4601"/>
    <n v="46"/>
    <x v="4"/>
    <n v="2"/>
    <m/>
    <x v="120"/>
    <x v="417"/>
    <x v="507"/>
    <x v="0"/>
    <n v="3"/>
    <n v="6432"/>
    <n v="3.9876007439553627"/>
    <n v="6432"/>
    <n v="3.9876007439553627"/>
    <s v="[]"/>
    <s v="[]"/>
  </r>
  <r>
    <x v="4"/>
    <s v="220 East Illinois Street"/>
    <x v="164"/>
    <s v="4201"/>
    <n v="42"/>
    <x v="4"/>
    <n v="2"/>
    <m/>
    <x v="120"/>
    <x v="342"/>
    <x v="508"/>
    <x v="0"/>
    <n v="126"/>
    <n v="6601"/>
    <n v="4.0923744575325482"/>
    <n v="6601"/>
    <n v="4.0923744575325482"/>
    <s v="[]"/>
    <s v="[corner_unit]"/>
  </r>
  <r>
    <x v="4"/>
    <s v="220 East Illinois Street"/>
    <x v="164"/>
    <s v="4101"/>
    <n v="41"/>
    <x v="4"/>
    <n v="2"/>
    <m/>
    <x v="120"/>
    <x v="117"/>
    <x v="229"/>
    <x v="0"/>
    <n v="92"/>
    <n v="6858"/>
    <n v="4.251704897706138"/>
    <n v="6858"/>
    <n v="4.251704897706138"/>
    <s v="[]"/>
    <s v="[corner_unit]"/>
  </r>
  <r>
    <x v="4"/>
    <s v="220 East Illinois Street"/>
    <x v="164"/>
    <s v="3801"/>
    <n v="38"/>
    <x v="4"/>
    <n v="2"/>
    <m/>
    <x v="120"/>
    <x v="464"/>
    <x v="28"/>
    <x v="1"/>
    <m/>
    <n v="6862"/>
    <n v="4.2541847489150655"/>
    <n v="6862"/>
    <n v="4.2541847489150655"/>
    <s v="[]"/>
    <s v="[corner_unit]"/>
  </r>
  <r>
    <x v="4"/>
    <s v="220 East Illinois Street"/>
    <x v="164"/>
    <s v="3901"/>
    <n v="39"/>
    <x v="4"/>
    <n v="2"/>
    <m/>
    <x v="120"/>
    <x v="124"/>
    <x v="136"/>
    <x v="0"/>
    <n v="156"/>
    <n v="7167"/>
    <n v="4.4432734035957839"/>
    <n v="7167"/>
    <n v="4.4432734035957839"/>
    <s v="[]"/>
    <s v="[corner_unit]"/>
  </r>
  <r>
    <x v="4"/>
    <s v="220 East Illinois Street"/>
    <x v="164"/>
    <s v="5001"/>
    <n v="50"/>
    <x v="4"/>
    <n v="2"/>
    <m/>
    <x v="120"/>
    <x v="357"/>
    <x v="337"/>
    <x v="0"/>
    <n v="75"/>
    <n v="7219"/>
    <n v="4.475511469311841"/>
    <n v="7219"/>
    <n v="4.475511469311841"/>
    <s v="[]"/>
    <s v="[corner_unit]"/>
  </r>
  <r>
    <x v="4"/>
    <s v="220 East Illinois Street"/>
    <x v="165"/>
    <s v="3904"/>
    <n v="39"/>
    <x v="4"/>
    <n v="2"/>
    <m/>
    <x v="121"/>
    <x v="130"/>
    <x v="509"/>
    <x v="0"/>
    <m/>
    <n v="6629"/>
    <n v="4.076875768757688"/>
    <n v="6629"/>
    <n v="4.076875768757688"/>
    <s v="[]"/>
    <s v="[]"/>
  </r>
  <r>
    <x v="4"/>
    <s v="220 East Illinois Street"/>
    <x v="165"/>
    <s v="5104"/>
    <n v="51"/>
    <x v="4"/>
    <n v="2"/>
    <m/>
    <x v="121"/>
    <x v="455"/>
    <x v="510"/>
    <x v="0"/>
    <n v="57"/>
    <n v="6693"/>
    <n v="4.1162361623616235"/>
    <n v="6693"/>
    <n v="4.1162361623616235"/>
    <s v="[]"/>
    <s v="[]"/>
  </r>
  <r>
    <x v="4"/>
    <s v="220 East Illinois Street"/>
    <x v="165"/>
    <s v="3704"/>
    <n v="37"/>
    <x v="4"/>
    <n v="2"/>
    <m/>
    <x v="121"/>
    <x v="130"/>
    <x v="511"/>
    <x v="0"/>
    <m/>
    <n v="6707"/>
    <n v="4.124846248462485"/>
    <n v="6707"/>
    <n v="4.124846248462485"/>
    <s v="[]"/>
    <s v="[]"/>
  </r>
  <r>
    <x v="4"/>
    <s v="220 East Illinois Street"/>
    <x v="165"/>
    <s v="4104"/>
    <n v="41"/>
    <x v="4"/>
    <n v="2"/>
    <m/>
    <x v="121"/>
    <x v="130"/>
    <x v="314"/>
    <x v="0"/>
    <m/>
    <n v="6757"/>
    <n v="4.1555965559655599"/>
    <n v="6757"/>
    <n v="4.1555965559655599"/>
    <s v="[]"/>
    <s v="[]"/>
  </r>
  <r>
    <x v="4"/>
    <s v="220 East Illinois Street"/>
    <x v="165"/>
    <s v="4704"/>
    <n v="47"/>
    <x v="4"/>
    <n v="2"/>
    <m/>
    <x v="121"/>
    <x v="130"/>
    <x v="416"/>
    <x v="0"/>
    <m/>
    <n v="6880"/>
    <n v="4.2312423124231247"/>
    <n v="6880"/>
    <n v="4.2312423124231247"/>
    <s v="[]"/>
    <s v="[]"/>
  </r>
  <r>
    <x v="4"/>
    <s v="220 East Illinois Street"/>
    <x v="165"/>
    <s v="4604"/>
    <n v="46"/>
    <x v="4"/>
    <n v="2"/>
    <m/>
    <x v="121"/>
    <x v="225"/>
    <x v="346"/>
    <x v="0"/>
    <n v="42"/>
    <n v="6894"/>
    <n v="4.2398523985239853"/>
    <n v="6894"/>
    <n v="4.2398523985239853"/>
    <s v="[]"/>
    <s v="[]"/>
  </r>
  <r>
    <x v="4"/>
    <s v="220 East Illinois Street"/>
    <x v="165"/>
    <s v="3804"/>
    <n v="38"/>
    <x v="4"/>
    <n v="2"/>
    <m/>
    <x v="121"/>
    <x v="183"/>
    <x v="28"/>
    <x v="1"/>
    <m/>
    <n v="7166"/>
    <n v="4.407134071340713"/>
    <n v="7166"/>
    <n v="4.407134071340713"/>
    <s v="[]"/>
    <s v="[]"/>
  </r>
  <r>
    <x v="4"/>
    <s v="220 East Illinois Street"/>
    <x v="165"/>
    <s v="4004"/>
    <n v="40"/>
    <x v="4"/>
    <n v="2"/>
    <m/>
    <x v="121"/>
    <x v="139"/>
    <x v="28"/>
    <x v="1"/>
    <m/>
    <n v="7186"/>
    <n v="4.4194341943419433"/>
    <n v="7186"/>
    <n v="4.4194341943419433"/>
    <s v="[]"/>
    <s v="[]"/>
  </r>
  <r>
    <x v="4"/>
    <s v="220 East Illinois Street"/>
    <x v="165"/>
    <s v="4304"/>
    <n v="43"/>
    <x v="4"/>
    <n v="2"/>
    <m/>
    <x v="121"/>
    <x v="465"/>
    <x v="28"/>
    <x v="1"/>
    <m/>
    <n v="7217"/>
    <n v="4.4384993849938503"/>
    <n v="7217"/>
    <n v="4.4384993849938503"/>
    <s v="[]"/>
    <s v="[]"/>
  </r>
  <r>
    <x v="4"/>
    <s v="220 East Illinois Street"/>
    <x v="165"/>
    <s v="5004"/>
    <n v="50"/>
    <x v="4"/>
    <n v="2"/>
    <m/>
    <x v="121"/>
    <x v="84"/>
    <x v="28"/>
    <x v="1"/>
    <m/>
    <n v="7289"/>
    <n v="4.4827798277982778"/>
    <n v="7289"/>
    <n v="4.4827798277982778"/>
    <s v="[]"/>
    <s v="[]"/>
  </r>
  <r>
    <x v="4"/>
    <s v="220 East Illinois Street"/>
    <x v="166"/>
    <s v="4105"/>
    <n v="41"/>
    <x v="4"/>
    <n v="2"/>
    <m/>
    <x v="122"/>
    <x v="163"/>
    <x v="209"/>
    <x v="0"/>
    <n v="28"/>
    <n v="6338"/>
    <n v="3.8599269183922047"/>
    <n v="6338"/>
    <n v="3.8599269183922047"/>
    <s v="[]"/>
    <s v="[corner_unit]"/>
  </r>
  <r>
    <x v="4"/>
    <s v="220 East Illinois Street"/>
    <x v="166"/>
    <s v="4205"/>
    <n v="42"/>
    <x v="4"/>
    <n v="2"/>
    <m/>
    <x v="122"/>
    <x v="130"/>
    <x v="438"/>
    <x v="0"/>
    <m/>
    <n v="6578"/>
    <n v="4.0060901339829478"/>
    <n v="6578"/>
    <n v="4.0060901339829478"/>
    <s v="[]"/>
    <s v="[]"/>
  </r>
  <r>
    <x v="4"/>
    <s v="220 East Illinois Street"/>
    <x v="166"/>
    <s v="5005"/>
    <n v="50"/>
    <x v="4"/>
    <n v="2"/>
    <m/>
    <x v="122"/>
    <x v="466"/>
    <x v="334"/>
    <x v="0"/>
    <n v="3"/>
    <n v="6789"/>
    <n v="4.1345919610231423"/>
    <n v="6789"/>
    <n v="4.1345919610231423"/>
    <s v="[]"/>
    <s v="[corner_unit]"/>
  </r>
  <r>
    <x v="4"/>
    <s v="220 East Illinois Street"/>
    <x v="166"/>
    <s v="4005"/>
    <n v="40"/>
    <x v="4"/>
    <n v="2"/>
    <m/>
    <x v="122"/>
    <x v="433"/>
    <x v="36"/>
    <x v="0"/>
    <n v="168"/>
    <n v="6917"/>
    <n v="4.2125456760048721"/>
    <n v="6917"/>
    <n v="4.2125456760048721"/>
    <s v="[]"/>
    <s v="[]"/>
  </r>
  <r>
    <x v="4"/>
    <s v="220 East Illinois Street"/>
    <x v="166"/>
    <s v="3805"/>
    <n v="38"/>
    <x v="4"/>
    <n v="2"/>
    <m/>
    <x v="122"/>
    <x v="13"/>
    <x v="501"/>
    <x v="0"/>
    <n v="37"/>
    <n v="7083"/>
    <n v="4.3136419001218025"/>
    <n v="7083"/>
    <n v="4.3136419001218025"/>
    <s v="[]"/>
    <s v="[]"/>
  </r>
  <r>
    <x v="4"/>
    <s v="220 East Illinois Street"/>
    <x v="166"/>
    <s v="4405"/>
    <n v="44"/>
    <x v="4"/>
    <n v="2"/>
    <m/>
    <x v="122"/>
    <x v="281"/>
    <x v="150"/>
    <x v="0"/>
    <n v="7"/>
    <n v="7493"/>
    <n v="4.5633373934226551"/>
    <n v="7493"/>
    <n v="4.5633373934226551"/>
    <s v="[]"/>
    <s v="[]"/>
  </r>
  <r>
    <x v="5"/>
    <s v="360 West Hubbard Street"/>
    <x v="167"/>
    <s v="1111"/>
    <n v="11"/>
    <x v="0"/>
    <n v="1"/>
    <m/>
    <x v="123"/>
    <x v="269"/>
    <x v="65"/>
    <x v="0"/>
    <n v="37"/>
    <n v="1796"/>
    <n v="3.7416666666666667"/>
    <n v="1796"/>
    <n v="3.7416666666666667"/>
    <s v="[]"/>
    <s v="[]"/>
  </r>
  <r>
    <x v="5"/>
    <s v="360 West Hubbard Street"/>
    <x v="167"/>
    <s v="1211"/>
    <n v="12"/>
    <x v="0"/>
    <n v="1"/>
    <m/>
    <x v="123"/>
    <x v="467"/>
    <x v="512"/>
    <x v="0"/>
    <n v="60"/>
    <n v="1812"/>
    <n v="3.7749999999999999"/>
    <n v="1812"/>
    <n v="3.7749999999999999"/>
    <s v="[]"/>
    <s v="[]"/>
  </r>
  <r>
    <x v="5"/>
    <s v="360 West Hubbard Street"/>
    <x v="167"/>
    <s v="1511"/>
    <n v="15"/>
    <x v="0"/>
    <n v="1"/>
    <m/>
    <x v="123"/>
    <x v="191"/>
    <x v="439"/>
    <x v="0"/>
    <n v="7"/>
    <n v="1816"/>
    <n v="3.7833333333333332"/>
    <n v="1816"/>
    <n v="3.7833333333333332"/>
    <s v="[]"/>
    <s v="[]"/>
  </r>
  <r>
    <x v="5"/>
    <s v="360 West Hubbard Street"/>
    <x v="167"/>
    <s v="1911"/>
    <n v="19"/>
    <x v="0"/>
    <n v="1"/>
    <m/>
    <x v="123"/>
    <x v="363"/>
    <x v="313"/>
    <x v="0"/>
    <n v="40"/>
    <n v="1873"/>
    <n v="3.9020833333333331"/>
    <n v="1873"/>
    <n v="3.9020833333333331"/>
    <s v="[]"/>
    <s v="[]"/>
  </r>
  <r>
    <x v="5"/>
    <s v="360 West Hubbard Street"/>
    <x v="167"/>
    <s v="2611"/>
    <n v="26"/>
    <x v="0"/>
    <n v="1"/>
    <m/>
    <x v="123"/>
    <x v="299"/>
    <x v="513"/>
    <x v="0"/>
    <n v="74"/>
    <n v="1905"/>
    <n v="3.96875"/>
    <n v="1905"/>
    <n v="3.96875"/>
    <s v="[]"/>
    <s v="[]"/>
  </r>
  <r>
    <x v="5"/>
    <s v="360 West Hubbard Street"/>
    <x v="167"/>
    <s v="2411"/>
    <n v="24"/>
    <x v="0"/>
    <n v="1"/>
    <m/>
    <x v="123"/>
    <x v="397"/>
    <x v="514"/>
    <x v="0"/>
    <n v="49"/>
    <n v="1912"/>
    <n v="3.9833333333333334"/>
    <n v="1912"/>
    <n v="3.9833333333333334"/>
    <s v="[]"/>
    <s v="[]"/>
  </r>
  <r>
    <x v="5"/>
    <s v="360 West Hubbard Street"/>
    <x v="167"/>
    <s v="2911"/>
    <n v="29"/>
    <x v="0"/>
    <n v="1"/>
    <m/>
    <x v="123"/>
    <x v="247"/>
    <x v="111"/>
    <x v="0"/>
    <n v="5"/>
    <n v="1918"/>
    <n v="3.9958333333333331"/>
    <n v="1918"/>
    <n v="3.9958333333333331"/>
    <s v="[]"/>
    <s v="[]"/>
  </r>
  <r>
    <x v="5"/>
    <s v="360 West Hubbard Street"/>
    <x v="167"/>
    <s v="4011"/>
    <n v="40"/>
    <x v="0"/>
    <n v="1"/>
    <m/>
    <x v="123"/>
    <x v="468"/>
    <x v="294"/>
    <x v="0"/>
    <n v="212"/>
    <n v="1980"/>
    <n v="4.125"/>
    <n v="1980"/>
    <n v="4.125"/>
    <s v="[]"/>
    <s v="[]"/>
  </r>
  <r>
    <x v="5"/>
    <s v="360 West Hubbard Street"/>
    <x v="167"/>
    <s v="2111"/>
    <n v="21"/>
    <x v="0"/>
    <n v="1"/>
    <m/>
    <x v="123"/>
    <x v="4"/>
    <x v="515"/>
    <x v="0"/>
    <n v="165"/>
    <n v="2005"/>
    <n v="4.177083333333333"/>
    <n v="2005"/>
    <n v="4.177083333333333"/>
    <s v="[]"/>
    <s v="[]"/>
  </r>
  <r>
    <x v="5"/>
    <s v="360 West Hubbard Street"/>
    <x v="167"/>
    <s v="1411"/>
    <n v="14"/>
    <x v="0"/>
    <n v="1"/>
    <m/>
    <x v="123"/>
    <x v="248"/>
    <x v="219"/>
    <x v="0"/>
    <n v="3"/>
    <n v="2011"/>
    <n v="4.1895833333333332"/>
    <n v="2011"/>
    <n v="4.1895833333333332"/>
    <s v="[]"/>
    <s v="[]"/>
  </r>
  <r>
    <x v="5"/>
    <s v="360 West Hubbard Street"/>
    <x v="167"/>
    <s v="3511"/>
    <n v="35"/>
    <x v="0"/>
    <n v="1"/>
    <m/>
    <x v="123"/>
    <x v="375"/>
    <x v="358"/>
    <x v="0"/>
    <n v="152"/>
    <n v="2011"/>
    <n v="4.1895833333333332"/>
    <n v="2011"/>
    <n v="4.1895833333333332"/>
    <s v="[]"/>
    <s v="[]"/>
  </r>
  <r>
    <x v="5"/>
    <s v="360 West Hubbard Street"/>
    <x v="167"/>
    <s v="1311"/>
    <n v="13"/>
    <x v="0"/>
    <n v="1"/>
    <m/>
    <x v="123"/>
    <x v="444"/>
    <x v="147"/>
    <x v="0"/>
    <n v="8"/>
    <n v="2012"/>
    <n v="4.1916666666666664"/>
    <n v="2012"/>
    <n v="4.1916666666666664"/>
    <s v="[]"/>
    <s v="[]"/>
  </r>
  <r>
    <x v="5"/>
    <s v="360 West Hubbard Street"/>
    <x v="167"/>
    <s v="1611"/>
    <n v="16"/>
    <x v="0"/>
    <n v="1"/>
    <m/>
    <x v="123"/>
    <x v="336"/>
    <x v="219"/>
    <x v="0"/>
    <n v="19"/>
    <n v="2021"/>
    <n v="4.2104166666666663"/>
    <n v="2021"/>
    <n v="4.2104166666666663"/>
    <s v="[]"/>
    <s v="[]"/>
  </r>
  <r>
    <x v="5"/>
    <s v="360 West Hubbard Street"/>
    <x v="167"/>
    <s v="1711"/>
    <n v="17"/>
    <x v="0"/>
    <n v="1"/>
    <m/>
    <x v="123"/>
    <x v="38"/>
    <x v="516"/>
    <x v="0"/>
    <n v="50"/>
    <n v="2026"/>
    <n v="4.2208333333333332"/>
    <n v="2026"/>
    <n v="4.2208333333333332"/>
    <s v="[]"/>
    <s v="[]"/>
  </r>
  <r>
    <x v="5"/>
    <s v="360 West Hubbard Street"/>
    <x v="167"/>
    <s v="3811"/>
    <n v="38"/>
    <x v="0"/>
    <n v="1"/>
    <m/>
    <x v="123"/>
    <x v="469"/>
    <x v="167"/>
    <x v="0"/>
    <n v="20"/>
    <n v="2031"/>
    <n v="4.2312500000000002"/>
    <n v="2031"/>
    <n v="4.2312500000000002"/>
    <s v="[]"/>
    <s v="[]"/>
  </r>
  <r>
    <x v="5"/>
    <s v="360 West Hubbard Street"/>
    <x v="167"/>
    <s v="1811"/>
    <n v="18"/>
    <x v="0"/>
    <n v="1"/>
    <m/>
    <x v="123"/>
    <x v="470"/>
    <x v="52"/>
    <x v="0"/>
    <n v="32"/>
    <n v="2031"/>
    <n v="4.2312500000000002"/>
    <n v="2031"/>
    <n v="4.2312500000000002"/>
    <s v="[]"/>
    <s v="[]"/>
  </r>
  <r>
    <x v="5"/>
    <s v="360 West Hubbard Street"/>
    <x v="167"/>
    <s v="3411"/>
    <n v="34"/>
    <x v="0"/>
    <n v="1"/>
    <m/>
    <x v="123"/>
    <x v="304"/>
    <x v="272"/>
    <x v="0"/>
    <n v="8"/>
    <n v="2036"/>
    <n v="4.2416666666666663"/>
    <n v="2036"/>
    <n v="4.2416666666666663"/>
    <s v="[]"/>
    <s v="[]"/>
  </r>
  <r>
    <x v="5"/>
    <s v="360 West Hubbard Street"/>
    <x v="167"/>
    <s v="2211"/>
    <n v="22"/>
    <x v="0"/>
    <n v="1"/>
    <m/>
    <x v="123"/>
    <x v="218"/>
    <x v="517"/>
    <x v="0"/>
    <n v="16"/>
    <n v="2051"/>
    <n v="4.2729166666666663"/>
    <n v="2051"/>
    <n v="4.2729166666666663"/>
    <s v="[]"/>
    <s v="[]"/>
  </r>
  <r>
    <x v="5"/>
    <s v="360 West Hubbard Street"/>
    <x v="167"/>
    <s v="2511"/>
    <n v="25"/>
    <x v="0"/>
    <n v="1"/>
    <m/>
    <x v="123"/>
    <x v="138"/>
    <x v="406"/>
    <x v="0"/>
    <n v="15"/>
    <n v="2066"/>
    <n v="4.3041666666666663"/>
    <n v="2066"/>
    <n v="4.3041666666666663"/>
    <s v="[]"/>
    <s v="[]"/>
  </r>
  <r>
    <x v="5"/>
    <s v="360 West Hubbard Street"/>
    <x v="167"/>
    <s v="2811"/>
    <n v="28"/>
    <x v="0"/>
    <n v="1"/>
    <m/>
    <x v="123"/>
    <x v="471"/>
    <x v="518"/>
    <x v="0"/>
    <n v="39"/>
    <n v="2081"/>
    <n v="4.3354166666666663"/>
    <n v="2081"/>
    <n v="4.3354166666666663"/>
    <s v="[]"/>
    <s v="[]"/>
  </r>
  <r>
    <x v="5"/>
    <s v="360 West Hubbard Street"/>
    <x v="167"/>
    <s v="3011"/>
    <n v="30"/>
    <x v="0"/>
    <n v="1"/>
    <m/>
    <x v="123"/>
    <x v="304"/>
    <x v="483"/>
    <x v="0"/>
    <n v="37"/>
    <n v="2098"/>
    <n v="4.3708333333333336"/>
    <n v="2098"/>
    <n v="4.3708333333333336"/>
    <s v="[]"/>
    <s v="[]"/>
  </r>
  <r>
    <x v="5"/>
    <s v="360 West Hubbard Street"/>
    <x v="167"/>
    <s v="3711"/>
    <n v="37"/>
    <x v="0"/>
    <n v="1"/>
    <m/>
    <x v="123"/>
    <x v="472"/>
    <x v="202"/>
    <x v="0"/>
    <n v="314"/>
    <n v="2124"/>
    <n v="4.4249999999999998"/>
    <n v="2124"/>
    <n v="4.4249999999999998"/>
    <s v="[]"/>
    <s v="[]"/>
  </r>
  <r>
    <x v="5"/>
    <s v="360 West Hubbard Street"/>
    <x v="167"/>
    <s v="4311"/>
    <n v="43"/>
    <x v="0"/>
    <n v="1"/>
    <m/>
    <x v="123"/>
    <x v="473"/>
    <x v="122"/>
    <x v="0"/>
    <n v="164"/>
    <n v="2162"/>
    <n v="4.5041666666666664"/>
    <n v="2162"/>
    <n v="4.5041666666666664"/>
    <s v="[]"/>
    <s v="[]"/>
  </r>
  <r>
    <x v="5"/>
    <s v="360 West Hubbard Street"/>
    <x v="167"/>
    <s v="3911"/>
    <n v="39"/>
    <x v="0"/>
    <n v="1"/>
    <m/>
    <x v="123"/>
    <x v="203"/>
    <x v="28"/>
    <x v="1"/>
    <m/>
    <n v="2186"/>
    <n v="4.5541666666666663"/>
    <n v="2186"/>
    <n v="4.5541666666666663"/>
    <s v="[]"/>
    <s v="[]"/>
  </r>
  <r>
    <x v="5"/>
    <s v="360 West Hubbard Street"/>
    <x v="167"/>
    <s v="4111"/>
    <n v="41"/>
    <x v="0"/>
    <n v="1"/>
    <m/>
    <x v="123"/>
    <x v="272"/>
    <x v="28"/>
    <x v="1"/>
    <m/>
    <n v="2196"/>
    <n v="4.5750000000000002"/>
    <n v="2196"/>
    <n v="4.5750000000000002"/>
    <s v="[]"/>
    <s v="[]"/>
  </r>
  <r>
    <x v="5"/>
    <s v="360 West Hubbard Street"/>
    <x v="167"/>
    <s v="4211"/>
    <n v="42"/>
    <x v="0"/>
    <n v="1"/>
    <m/>
    <x v="123"/>
    <x v="328"/>
    <x v="28"/>
    <x v="1"/>
    <m/>
    <n v="2201"/>
    <n v="4.5854166666666663"/>
    <n v="2201"/>
    <n v="4.5854166666666663"/>
    <s v="[]"/>
    <s v="[]"/>
  </r>
  <r>
    <x v="5"/>
    <s v="360 West Hubbard Street"/>
    <x v="167"/>
    <s v="3311"/>
    <n v="33"/>
    <x v="0"/>
    <n v="1"/>
    <m/>
    <x v="123"/>
    <x v="62"/>
    <x v="83"/>
    <x v="0"/>
    <n v="29"/>
    <n v="2276"/>
    <n v="4.7416666666666663"/>
    <n v="2276"/>
    <n v="4.7416666666666663"/>
    <s v="[]"/>
    <s v="[]"/>
  </r>
  <r>
    <x v="5"/>
    <s v="360 West Hubbard Street"/>
    <x v="168"/>
    <s v="0602"/>
    <n v="6"/>
    <x v="0"/>
    <n v="1"/>
    <m/>
    <x v="124"/>
    <x v="325"/>
    <x v="262"/>
    <x v="0"/>
    <n v="6"/>
    <n v="1731"/>
    <n v="3.1703296703296702"/>
    <n v="1731"/>
    <n v="3.1703296703296702"/>
    <s v="[]"/>
    <s v="[]"/>
  </r>
  <r>
    <x v="5"/>
    <s v="360 West Hubbard Street"/>
    <x v="168"/>
    <s v="0502"/>
    <n v="5"/>
    <x v="0"/>
    <n v="1"/>
    <m/>
    <x v="124"/>
    <x v="154"/>
    <x v="198"/>
    <x v="0"/>
    <n v="2"/>
    <n v="1781"/>
    <n v="3.2619047619047619"/>
    <n v="1781"/>
    <n v="3.2619047619047619"/>
    <s v="[]"/>
    <s v="[]"/>
  </r>
  <r>
    <x v="5"/>
    <s v="360 West Hubbard Street"/>
    <x v="168"/>
    <s v="0702"/>
    <n v="7"/>
    <x v="0"/>
    <n v="1"/>
    <m/>
    <x v="124"/>
    <x v="474"/>
    <x v="457"/>
    <x v="0"/>
    <n v="3"/>
    <n v="1895"/>
    <n v="3.4706959706959708"/>
    <n v="1895"/>
    <n v="3.4706959706959708"/>
    <s v="[]"/>
    <s v="[]"/>
  </r>
  <r>
    <x v="5"/>
    <s v="360 West Hubbard Street"/>
    <x v="169"/>
    <s v="1502"/>
    <n v="15"/>
    <x v="0"/>
    <n v="1"/>
    <m/>
    <x v="124"/>
    <x v="63"/>
    <x v="248"/>
    <x v="0"/>
    <n v="20"/>
    <n v="2070"/>
    <n v="3.7912087912087911"/>
    <n v="2070"/>
    <n v="3.7912087912087911"/>
    <s v="[]"/>
    <s v="[]"/>
  </r>
  <r>
    <x v="5"/>
    <s v="360 West Hubbard Street"/>
    <x v="169"/>
    <s v="1902"/>
    <n v="19"/>
    <x v="0"/>
    <n v="1"/>
    <m/>
    <x v="124"/>
    <x v="430"/>
    <x v="76"/>
    <x v="0"/>
    <n v="5"/>
    <n v="2098"/>
    <n v="3.8424908424908426"/>
    <n v="2098"/>
    <n v="3.8424908424908426"/>
    <s v="[]"/>
    <s v="[]"/>
  </r>
  <r>
    <x v="5"/>
    <s v="360 West Hubbard Street"/>
    <x v="169"/>
    <s v="2102"/>
    <n v="21"/>
    <x v="0"/>
    <n v="1"/>
    <m/>
    <x v="124"/>
    <x v="475"/>
    <x v="519"/>
    <x v="0"/>
    <n v="57"/>
    <n v="2104"/>
    <n v="3.8534798534798536"/>
    <n v="2104"/>
    <n v="3.8534798534798536"/>
    <s v="[]"/>
    <s v="[]"/>
  </r>
  <r>
    <x v="5"/>
    <s v="360 West Hubbard Street"/>
    <x v="169"/>
    <s v="1202"/>
    <n v="12"/>
    <x v="0"/>
    <n v="1"/>
    <m/>
    <x v="124"/>
    <x v="13"/>
    <x v="174"/>
    <x v="0"/>
    <n v="126"/>
    <n v="2116"/>
    <n v="3.8754578754578755"/>
    <n v="2116"/>
    <n v="3.8754578754578755"/>
    <s v="[]"/>
    <s v="[]"/>
  </r>
  <r>
    <x v="5"/>
    <s v="360 West Hubbard Street"/>
    <x v="169"/>
    <s v="2002"/>
    <n v="20"/>
    <x v="0"/>
    <n v="1"/>
    <m/>
    <x v="124"/>
    <x v="108"/>
    <x v="382"/>
    <x v="0"/>
    <n v="48"/>
    <n v="2125"/>
    <n v="3.8919413919413919"/>
    <n v="2125"/>
    <n v="3.8919413919413919"/>
    <s v="[]"/>
    <s v="[]"/>
  </r>
  <r>
    <x v="5"/>
    <s v="360 West Hubbard Street"/>
    <x v="169"/>
    <s v="1402"/>
    <n v="14"/>
    <x v="0"/>
    <n v="1"/>
    <m/>
    <x v="124"/>
    <x v="430"/>
    <x v="28"/>
    <x v="1"/>
    <m/>
    <n v="2153"/>
    <n v="3.9432234432234434"/>
    <n v="2153"/>
    <n v="3.9432234432234434"/>
    <s v="[]"/>
    <s v="[]"/>
  </r>
  <r>
    <x v="5"/>
    <s v="360 West Hubbard Street"/>
    <x v="169"/>
    <s v="2902"/>
    <n v="29"/>
    <x v="0"/>
    <n v="1"/>
    <m/>
    <x v="124"/>
    <x v="40"/>
    <x v="520"/>
    <x v="0"/>
    <n v="65"/>
    <n v="2154"/>
    <n v="3.9450549450549453"/>
    <n v="2154"/>
    <n v="3.9450549450549453"/>
    <s v="[]"/>
    <s v="[]"/>
  </r>
  <r>
    <x v="5"/>
    <s v="360 West Hubbard Street"/>
    <x v="169"/>
    <s v="3602"/>
    <n v="36"/>
    <x v="0"/>
    <n v="1"/>
    <m/>
    <x v="124"/>
    <x v="407"/>
    <x v="192"/>
    <x v="0"/>
    <n v="100"/>
    <n v="2163"/>
    <n v="3.9615384615384617"/>
    <n v="2163"/>
    <n v="3.9615384615384617"/>
    <s v="[]"/>
    <s v="[]"/>
  </r>
  <r>
    <x v="5"/>
    <s v="360 West Hubbard Street"/>
    <x v="169"/>
    <s v="3302"/>
    <n v="33"/>
    <x v="0"/>
    <n v="1"/>
    <m/>
    <x v="124"/>
    <x v="49"/>
    <x v="289"/>
    <x v="0"/>
    <n v="16"/>
    <n v="2193"/>
    <n v="4.0164835164835164"/>
    <n v="2193"/>
    <n v="4.0164835164835164"/>
    <s v="[]"/>
    <s v="[]"/>
  </r>
  <r>
    <x v="5"/>
    <s v="360 West Hubbard Street"/>
    <x v="169"/>
    <s v="1002"/>
    <n v="10"/>
    <x v="0"/>
    <n v="1"/>
    <m/>
    <x v="124"/>
    <x v="131"/>
    <x v="445"/>
    <x v="0"/>
    <n v="15"/>
    <n v="2203"/>
    <n v="4.0347985347985347"/>
    <n v="2203"/>
    <n v="4.0347985347985347"/>
    <s v="[]"/>
    <s v="[]"/>
  </r>
  <r>
    <x v="5"/>
    <s v="360 West Hubbard Street"/>
    <x v="169"/>
    <s v="4102"/>
    <n v="41"/>
    <x v="0"/>
    <n v="1"/>
    <m/>
    <x v="124"/>
    <x v="274"/>
    <x v="250"/>
    <x v="0"/>
    <n v="68"/>
    <n v="2208"/>
    <n v="4.0439560439560438"/>
    <n v="2208"/>
    <n v="4.0439560439560438"/>
    <s v="[]"/>
    <s v="[]"/>
  </r>
  <r>
    <x v="5"/>
    <s v="360 West Hubbard Street"/>
    <x v="169"/>
    <s v="1102"/>
    <n v="11"/>
    <x v="0"/>
    <n v="1"/>
    <m/>
    <x v="124"/>
    <x v="214"/>
    <x v="92"/>
    <x v="0"/>
    <n v="51"/>
    <n v="2208"/>
    <n v="4.0439560439560438"/>
    <n v="2208"/>
    <n v="4.0439560439560438"/>
    <s v="[]"/>
    <s v="[]"/>
  </r>
  <r>
    <x v="5"/>
    <s v="360 West Hubbard Street"/>
    <x v="169"/>
    <s v="2802"/>
    <n v="28"/>
    <x v="0"/>
    <n v="1"/>
    <m/>
    <x v="124"/>
    <x v="437"/>
    <x v="316"/>
    <x v="0"/>
    <n v="271"/>
    <n v="2237"/>
    <n v="4.0970695970695967"/>
    <n v="2237"/>
    <n v="4.0970695970695967"/>
    <s v="[]"/>
    <s v="[]"/>
  </r>
  <r>
    <x v="5"/>
    <s v="360 West Hubbard Street"/>
    <x v="169"/>
    <s v="1702"/>
    <n v="17"/>
    <x v="0"/>
    <n v="1"/>
    <m/>
    <x v="124"/>
    <x v="2"/>
    <x v="515"/>
    <x v="0"/>
    <n v="172"/>
    <n v="2244"/>
    <n v="4.1098901098901095"/>
    <n v="2244"/>
    <n v="4.1098901098901095"/>
    <s v="[]"/>
    <s v="[]"/>
  </r>
  <r>
    <x v="5"/>
    <s v="360 West Hubbard Street"/>
    <x v="169"/>
    <s v="2202"/>
    <n v="22"/>
    <x v="0"/>
    <n v="1"/>
    <m/>
    <x v="124"/>
    <x v="254"/>
    <x v="51"/>
    <x v="0"/>
    <n v="117"/>
    <n v="2264"/>
    <n v="4.1465201465201469"/>
    <n v="2264"/>
    <n v="4.1465201465201469"/>
    <s v="[]"/>
    <s v="[]"/>
  </r>
  <r>
    <x v="5"/>
    <s v="360 West Hubbard Street"/>
    <x v="169"/>
    <s v="3902"/>
    <n v="39"/>
    <x v="0"/>
    <n v="1"/>
    <m/>
    <x v="124"/>
    <x v="211"/>
    <x v="28"/>
    <x v="1"/>
    <m/>
    <n v="2278"/>
    <n v="4.1721611721611724"/>
    <n v="2278"/>
    <n v="4.1721611721611724"/>
    <s v="[]"/>
    <s v="[]"/>
  </r>
  <r>
    <x v="5"/>
    <s v="360 West Hubbard Street"/>
    <x v="169"/>
    <s v="3802"/>
    <n v="38"/>
    <x v="0"/>
    <n v="1"/>
    <m/>
    <x v="124"/>
    <x v="240"/>
    <x v="320"/>
    <x v="0"/>
    <n v="215"/>
    <n v="2286"/>
    <n v="4.186813186813187"/>
    <n v="2286"/>
    <n v="4.186813186813187"/>
    <s v="[]"/>
    <s v="[]"/>
  </r>
  <r>
    <x v="5"/>
    <s v="360 West Hubbard Street"/>
    <x v="169"/>
    <s v="1802"/>
    <n v="18"/>
    <x v="0"/>
    <n v="1"/>
    <m/>
    <x v="124"/>
    <x v="443"/>
    <x v="230"/>
    <x v="0"/>
    <n v="137"/>
    <n v="2299"/>
    <n v="4.2106227106227108"/>
    <n v="2299"/>
    <n v="4.2106227106227108"/>
    <s v="[]"/>
    <s v="[]"/>
  </r>
  <r>
    <x v="5"/>
    <s v="360 West Hubbard Street"/>
    <x v="169"/>
    <s v="3502"/>
    <n v="35"/>
    <x v="0"/>
    <n v="1"/>
    <m/>
    <x v="124"/>
    <x v="94"/>
    <x v="28"/>
    <x v="1"/>
    <m/>
    <n v="2336"/>
    <n v="4.2783882783882783"/>
    <n v="2336"/>
    <n v="4.2783882783882783"/>
    <s v="[]"/>
    <s v="[]"/>
  </r>
  <r>
    <x v="5"/>
    <s v="360 West Hubbard Street"/>
    <x v="169"/>
    <s v="3702"/>
    <n v="37"/>
    <x v="0"/>
    <n v="1"/>
    <m/>
    <x v="124"/>
    <x v="156"/>
    <x v="28"/>
    <x v="1"/>
    <m/>
    <n v="2345"/>
    <n v="4.2948717948717947"/>
    <n v="2345"/>
    <n v="4.2948717948717947"/>
    <s v="[]"/>
    <s v="[]"/>
  </r>
  <r>
    <x v="5"/>
    <s v="360 West Hubbard Street"/>
    <x v="169"/>
    <s v="4002"/>
    <n v="40"/>
    <x v="0"/>
    <n v="1"/>
    <m/>
    <x v="124"/>
    <x v="476"/>
    <x v="28"/>
    <x v="1"/>
    <m/>
    <n v="2360"/>
    <n v="4.3223443223443221"/>
    <n v="2360"/>
    <n v="4.3223443223443221"/>
    <s v="[]"/>
    <s v="[]"/>
  </r>
  <r>
    <x v="5"/>
    <s v="360 West Hubbard Street"/>
    <x v="169"/>
    <s v="3102"/>
    <n v="31"/>
    <x v="0"/>
    <n v="1"/>
    <m/>
    <x v="124"/>
    <x v="100"/>
    <x v="379"/>
    <x v="0"/>
    <n v="89"/>
    <n v="2455"/>
    <n v="4.4963369963369964"/>
    <n v="2455"/>
    <n v="4.4963369963369964"/>
    <s v="[]"/>
    <s v="[]"/>
  </r>
  <r>
    <x v="5"/>
    <s v="360 West Hubbard Street"/>
    <x v="169"/>
    <s v="2302"/>
    <n v="23"/>
    <x v="0"/>
    <n v="1"/>
    <m/>
    <x v="124"/>
    <x v="374"/>
    <x v="390"/>
    <x v="0"/>
    <n v="11"/>
    <n v="2518"/>
    <n v="4.6117216117216113"/>
    <n v="2518"/>
    <n v="4.6117216117216113"/>
    <s v="[]"/>
    <s v="[]"/>
  </r>
  <r>
    <x v="5"/>
    <s v="360 West Hubbard Street"/>
    <x v="170"/>
    <s v="0604"/>
    <n v="6"/>
    <x v="1"/>
    <n v="1"/>
    <n v="1"/>
    <x v="125"/>
    <x v="405"/>
    <x v="253"/>
    <x v="0"/>
    <n v="37"/>
    <n v="3767"/>
    <n v="3.465501379944802"/>
    <n v="3767"/>
    <n v="3.465501379944802"/>
    <s v="[]"/>
    <s v="[]"/>
  </r>
  <r>
    <x v="5"/>
    <s v="360 West Hubbard Street"/>
    <x v="170"/>
    <s v="0804"/>
    <n v="8"/>
    <x v="1"/>
    <n v="1"/>
    <n v="1"/>
    <x v="125"/>
    <x v="137"/>
    <x v="140"/>
    <x v="0"/>
    <n v="111"/>
    <n v="3773"/>
    <n v="3.4710211591536337"/>
    <n v="3773"/>
    <n v="3.4710211591536337"/>
    <s v="[]"/>
    <s v="[]"/>
  </r>
  <r>
    <x v="5"/>
    <s v="360 West Hubbard Street"/>
    <x v="170"/>
    <s v="3104"/>
    <n v="31"/>
    <x v="1"/>
    <n v="1"/>
    <n v="1"/>
    <x v="125"/>
    <x v="295"/>
    <x v="465"/>
    <x v="0"/>
    <n v="3"/>
    <n v="3794"/>
    <n v="3.4903403863845446"/>
    <n v="3794"/>
    <n v="3.4903403863845446"/>
    <s v="[]"/>
    <s v="[]"/>
  </r>
  <r>
    <x v="5"/>
    <s v="360 West Hubbard Street"/>
    <x v="170"/>
    <s v="2004"/>
    <n v="20"/>
    <x v="1"/>
    <n v="1"/>
    <n v="1"/>
    <x v="125"/>
    <x v="98"/>
    <x v="60"/>
    <x v="0"/>
    <n v="10"/>
    <n v="3921"/>
    <n v="3.6071757129714812"/>
    <n v="3921"/>
    <n v="3.6071757129714812"/>
    <s v="[]"/>
    <s v="[]"/>
  </r>
  <r>
    <x v="5"/>
    <s v="360 West Hubbard Street"/>
    <x v="170"/>
    <s v="3204"/>
    <n v="32"/>
    <x v="1"/>
    <n v="1"/>
    <n v="1"/>
    <x v="125"/>
    <x v="176"/>
    <x v="130"/>
    <x v="0"/>
    <n v="160"/>
    <n v="4105"/>
    <n v="3.7764489420423182"/>
    <n v="4105"/>
    <n v="3.7764489420423182"/>
    <s v="[]"/>
    <s v="[]"/>
  </r>
  <r>
    <x v="5"/>
    <s v="360 West Hubbard Street"/>
    <x v="170"/>
    <s v="3004"/>
    <n v="30"/>
    <x v="1"/>
    <n v="1"/>
    <n v="1"/>
    <x v="126"/>
    <x v="477"/>
    <x v="79"/>
    <x v="0"/>
    <n v="89"/>
    <n v="3926"/>
    <n v="3.5369369369369368"/>
    <n v="3926"/>
    <n v="3.5369369369369368"/>
    <s v="[]"/>
    <s v="[]"/>
  </r>
  <r>
    <x v="5"/>
    <s v="360 West Hubbard Street"/>
    <x v="170"/>
    <s v="2704"/>
    <n v="27"/>
    <x v="1"/>
    <n v="1"/>
    <n v="1"/>
    <x v="126"/>
    <x v="351"/>
    <x v="446"/>
    <x v="0"/>
    <n v="45"/>
    <n v="4019"/>
    <n v="3.6207207207207208"/>
    <n v="4019"/>
    <n v="3.6207207207207208"/>
    <s v="[]"/>
    <s v="[]"/>
  </r>
  <r>
    <x v="5"/>
    <s v="360 West Hubbard Street"/>
    <x v="170"/>
    <s v="3504"/>
    <n v="35"/>
    <x v="1"/>
    <n v="1"/>
    <n v="1"/>
    <x v="126"/>
    <x v="389"/>
    <x v="252"/>
    <x v="0"/>
    <n v="62"/>
    <n v="4032"/>
    <n v="3.6324324324324326"/>
    <n v="4032"/>
    <n v="3.6324324324324326"/>
    <s v="[]"/>
    <s v="[]"/>
  </r>
  <r>
    <x v="5"/>
    <s v="360 West Hubbard Street"/>
    <x v="170"/>
    <s v="2904"/>
    <n v="29"/>
    <x v="1"/>
    <n v="1"/>
    <n v="1"/>
    <x v="126"/>
    <x v="176"/>
    <x v="521"/>
    <x v="0"/>
    <n v="140"/>
    <n v="4095"/>
    <n v="3.689189189189189"/>
    <n v="4095"/>
    <n v="3.689189189189189"/>
    <s v="[]"/>
    <s v="[]"/>
  </r>
  <r>
    <x v="5"/>
    <s v="360 West Hubbard Street"/>
    <x v="170"/>
    <s v="3304"/>
    <n v="33"/>
    <x v="1"/>
    <n v="1"/>
    <n v="1"/>
    <x v="126"/>
    <x v="395"/>
    <x v="38"/>
    <x v="0"/>
    <n v="77"/>
    <n v="4138"/>
    <n v="3.727927927927928"/>
    <n v="4138"/>
    <n v="3.727927927927928"/>
    <s v="[]"/>
    <s v="[]"/>
  </r>
  <r>
    <x v="5"/>
    <s v="360 West Hubbard Street"/>
    <x v="170"/>
    <s v="1404"/>
    <n v="14"/>
    <x v="1"/>
    <n v="1"/>
    <n v="1"/>
    <x v="126"/>
    <x v="211"/>
    <x v="66"/>
    <x v="0"/>
    <n v="10"/>
    <n v="4143"/>
    <n v="3.7324324324324323"/>
    <n v="4143"/>
    <n v="3.7324324324324323"/>
    <s v="[]"/>
    <s v="[]"/>
  </r>
  <r>
    <x v="5"/>
    <s v="360 West Hubbard Street"/>
    <x v="170"/>
    <s v="3604"/>
    <n v="36"/>
    <x v="1"/>
    <n v="1"/>
    <n v="1"/>
    <x v="126"/>
    <x v="312"/>
    <x v="140"/>
    <x v="0"/>
    <n v="2"/>
    <n v="4163"/>
    <n v="3.7504504504504506"/>
    <n v="4163"/>
    <n v="3.7504504504504506"/>
    <s v="[]"/>
    <s v="[]"/>
  </r>
  <r>
    <x v="5"/>
    <s v="360 West Hubbard Street"/>
    <x v="170"/>
    <s v="2404"/>
    <n v="24"/>
    <x v="1"/>
    <n v="1"/>
    <n v="1"/>
    <x v="126"/>
    <x v="4"/>
    <x v="432"/>
    <x v="0"/>
    <n v="43"/>
    <n v="4172"/>
    <n v="3.7585585585585584"/>
    <n v="4172"/>
    <n v="3.7585585585585584"/>
    <s v="[]"/>
    <s v="[]"/>
  </r>
  <r>
    <x v="5"/>
    <s v="360 West Hubbard Street"/>
    <x v="170"/>
    <s v="1204"/>
    <n v="12"/>
    <x v="1"/>
    <n v="1"/>
    <n v="1"/>
    <x v="126"/>
    <x v="233"/>
    <x v="262"/>
    <x v="0"/>
    <n v="117"/>
    <n v="4173"/>
    <n v="3.7594594594594595"/>
    <n v="4173"/>
    <n v="3.7594594594594595"/>
    <s v="[]"/>
    <s v="[]"/>
  </r>
  <r>
    <x v="5"/>
    <s v="360 West Hubbard Street"/>
    <x v="170"/>
    <s v="3404"/>
    <n v="34"/>
    <x v="1"/>
    <n v="1"/>
    <n v="1"/>
    <x v="126"/>
    <x v="99"/>
    <x v="29"/>
    <x v="0"/>
    <n v="2"/>
    <n v="4208"/>
    <n v="3.7909909909909909"/>
    <n v="4208"/>
    <n v="3.7909909909909909"/>
    <s v="[]"/>
    <s v="[]"/>
  </r>
  <r>
    <x v="5"/>
    <s v="360 West Hubbard Street"/>
    <x v="170"/>
    <s v="1804"/>
    <n v="18"/>
    <x v="1"/>
    <n v="1"/>
    <n v="1"/>
    <x v="126"/>
    <x v="135"/>
    <x v="457"/>
    <x v="0"/>
    <n v="38"/>
    <n v="4223"/>
    <n v="3.8045045045045045"/>
    <n v="4223"/>
    <n v="3.8045045045045045"/>
    <s v="[]"/>
    <s v="[]"/>
  </r>
  <r>
    <x v="5"/>
    <s v="360 West Hubbard Street"/>
    <x v="170"/>
    <s v="3704"/>
    <n v="37"/>
    <x v="1"/>
    <n v="1"/>
    <n v="1"/>
    <x v="126"/>
    <x v="131"/>
    <x v="74"/>
    <x v="0"/>
    <n v="160"/>
    <n v="4266"/>
    <n v="3.8432432432432431"/>
    <n v="4266"/>
    <n v="3.8432432432432431"/>
    <s v="[]"/>
    <s v="[]"/>
  </r>
  <r>
    <x v="5"/>
    <s v="360 West Hubbard Street"/>
    <x v="170"/>
    <s v="4204"/>
    <n v="42"/>
    <x v="1"/>
    <n v="1"/>
    <n v="1"/>
    <x v="126"/>
    <x v="304"/>
    <x v="49"/>
    <x v="0"/>
    <n v="54"/>
    <n v="4307"/>
    <n v="3.8801801801801803"/>
    <n v="4307"/>
    <n v="3.8801801801801803"/>
    <s v="[]"/>
    <s v="[]"/>
  </r>
  <r>
    <x v="5"/>
    <s v="360 West Hubbard Street"/>
    <x v="170"/>
    <s v="2204"/>
    <n v="22"/>
    <x v="1"/>
    <n v="1"/>
    <n v="1"/>
    <x v="126"/>
    <x v="468"/>
    <x v="323"/>
    <x v="0"/>
    <n v="14"/>
    <n v="4414"/>
    <n v="3.9765765765765764"/>
    <n v="4414"/>
    <n v="3.9765765765765764"/>
    <s v="[]"/>
    <s v="[]"/>
  </r>
  <r>
    <x v="5"/>
    <s v="360 West Hubbard Street"/>
    <x v="170"/>
    <s v="1704"/>
    <n v="17"/>
    <x v="1"/>
    <n v="1"/>
    <n v="1"/>
    <x v="126"/>
    <x v="363"/>
    <x v="390"/>
    <x v="0"/>
    <n v="32"/>
    <n v="4567"/>
    <n v="4.1144144144144148"/>
    <n v="4567"/>
    <n v="4.1144144144144148"/>
    <s v="[]"/>
    <s v="[]"/>
  </r>
  <r>
    <x v="5"/>
    <s v="360 West Hubbard Street"/>
    <x v="171"/>
    <s v="0706"/>
    <n v="7"/>
    <x v="1"/>
    <n v="1"/>
    <m/>
    <x v="127"/>
    <x v="118"/>
    <x v="93"/>
    <x v="0"/>
    <n v="3"/>
    <n v="2375"/>
    <n v="3.7758346581875992"/>
    <n v="2375"/>
    <n v="3.7758346581875992"/>
    <s v="[]"/>
    <s v="[]"/>
  </r>
  <r>
    <x v="5"/>
    <s v="360 West Hubbard Street"/>
    <x v="171"/>
    <s v="0606"/>
    <n v="6"/>
    <x v="1"/>
    <n v="1"/>
    <m/>
    <x v="127"/>
    <x v="243"/>
    <x v="106"/>
    <x v="0"/>
    <n v="46"/>
    <n v="2566"/>
    <n v="4.0794912559618446"/>
    <n v="2566"/>
    <n v="4.0794912559618446"/>
    <s v="[]"/>
    <s v="[]"/>
  </r>
  <r>
    <x v="5"/>
    <s v="360 West Hubbard Street"/>
    <x v="171"/>
    <s v="1906"/>
    <n v="19"/>
    <x v="1"/>
    <n v="1"/>
    <m/>
    <x v="127"/>
    <x v="351"/>
    <x v="411"/>
    <x v="0"/>
    <n v="18"/>
    <n v="2649"/>
    <n v="4.2114467408585057"/>
    <n v="2649"/>
    <n v="4.2114467408585057"/>
    <s v="[]"/>
    <s v="[]"/>
  </r>
  <r>
    <x v="5"/>
    <s v="360 West Hubbard Street"/>
    <x v="171"/>
    <s v="0806"/>
    <n v="8"/>
    <x v="1"/>
    <n v="1"/>
    <m/>
    <x v="127"/>
    <x v="18"/>
    <x v="51"/>
    <x v="0"/>
    <n v="47"/>
    <n v="2702"/>
    <n v="4.2957074721780604"/>
    <n v="2702"/>
    <n v="4.2957074721780604"/>
    <s v="[]"/>
    <s v="[]"/>
  </r>
  <r>
    <x v="5"/>
    <s v="360 West Hubbard Street"/>
    <x v="171"/>
    <s v="2006"/>
    <n v="20"/>
    <x v="1"/>
    <n v="1"/>
    <m/>
    <x v="127"/>
    <x v="278"/>
    <x v="28"/>
    <x v="1"/>
    <m/>
    <n v="2878"/>
    <n v="4.5755166931637516"/>
    <n v="2878"/>
    <n v="4.5755166931637516"/>
    <s v="[]"/>
    <s v="[]"/>
  </r>
  <r>
    <x v="5"/>
    <s v="360 West Hubbard Street"/>
    <x v="171"/>
    <s v="2106"/>
    <n v="21"/>
    <x v="1"/>
    <n v="1"/>
    <m/>
    <x v="128"/>
    <x v="201"/>
    <x v="522"/>
    <x v="0"/>
    <n v="135"/>
    <n v="2357"/>
    <n v="3.5820668693009119"/>
    <n v="2357"/>
    <n v="3.5820668693009119"/>
    <s v="[]"/>
    <s v="[]"/>
  </r>
  <r>
    <x v="5"/>
    <s v="360 West Hubbard Street"/>
    <x v="171"/>
    <s v="1006"/>
    <n v="10"/>
    <x v="1"/>
    <n v="1"/>
    <m/>
    <x v="128"/>
    <x v="77"/>
    <x v="465"/>
    <x v="0"/>
    <n v="19"/>
    <n v="2452"/>
    <n v="3.7264437689969605"/>
    <n v="2452"/>
    <n v="3.7264437689969605"/>
    <s v="[]"/>
    <s v="[]"/>
  </r>
  <r>
    <x v="5"/>
    <s v="360 West Hubbard Street"/>
    <x v="171"/>
    <s v="1306"/>
    <n v="13"/>
    <x v="1"/>
    <n v="1"/>
    <m/>
    <x v="128"/>
    <x v="478"/>
    <x v="360"/>
    <x v="0"/>
    <n v="84"/>
    <n v="2529"/>
    <n v="3.8434650455927053"/>
    <n v="2529"/>
    <n v="3.8434650455927053"/>
    <s v="[]"/>
    <s v="[]"/>
  </r>
  <r>
    <x v="5"/>
    <s v="360 West Hubbard Street"/>
    <x v="171"/>
    <s v="2206"/>
    <n v="22"/>
    <x v="1"/>
    <n v="1"/>
    <m/>
    <x v="128"/>
    <x v="281"/>
    <x v="270"/>
    <x v="0"/>
    <n v="88"/>
    <n v="2654"/>
    <n v="4.0334346504559271"/>
    <n v="2654"/>
    <n v="4.0334346504559271"/>
    <s v="[]"/>
    <s v="[]"/>
  </r>
  <r>
    <x v="5"/>
    <s v="360 West Hubbard Street"/>
    <x v="171"/>
    <s v="2606"/>
    <n v="26"/>
    <x v="1"/>
    <n v="1"/>
    <m/>
    <x v="128"/>
    <x v="94"/>
    <x v="523"/>
    <x v="0"/>
    <n v="149"/>
    <n v="2669"/>
    <n v="4.0562310030395139"/>
    <n v="2669"/>
    <n v="4.0562310030395139"/>
    <s v="[]"/>
    <s v="[]"/>
  </r>
  <r>
    <x v="5"/>
    <s v="360 West Hubbard Street"/>
    <x v="171"/>
    <s v="1806"/>
    <n v="18"/>
    <x v="1"/>
    <n v="1"/>
    <m/>
    <x v="128"/>
    <x v="353"/>
    <x v="524"/>
    <x v="0"/>
    <n v="57"/>
    <n v="2679"/>
    <n v="4.0714285714285712"/>
    <n v="2679"/>
    <n v="4.0714285714285712"/>
    <s v="[]"/>
    <s v="[]"/>
  </r>
  <r>
    <x v="5"/>
    <s v="360 West Hubbard Street"/>
    <x v="171"/>
    <s v="1206"/>
    <n v="12"/>
    <x v="1"/>
    <n v="1"/>
    <m/>
    <x v="128"/>
    <x v="94"/>
    <x v="276"/>
    <x v="0"/>
    <n v="184"/>
    <n v="2729"/>
    <n v="4.1474164133738602"/>
    <n v="2729"/>
    <n v="4.1474164133738602"/>
    <s v="[]"/>
    <s v="[]"/>
  </r>
  <r>
    <x v="5"/>
    <s v="360 West Hubbard Street"/>
    <x v="171"/>
    <s v="1106"/>
    <n v="11"/>
    <x v="1"/>
    <n v="1"/>
    <m/>
    <x v="128"/>
    <x v="479"/>
    <x v="202"/>
    <x v="0"/>
    <n v="271"/>
    <n v="2736"/>
    <n v="4.1580547112462005"/>
    <n v="2736"/>
    <n v="4.1580547112462005"/>
    <s v="[]"/>
    <s v="[]"/>
  </r>
  <r>
    <x v="5"/>
    <s v="360 West Hubbard Street"/>
    <x v="171"/>
    <s v="2306"/>
    <n v="23"/>
    <x v="1"/>
    <n v="1"/>
    <m/>
    <x v="128"/>
    <x v="382"/>
    <x v="429"/>
    <x v="0"/>
    <n v="11"/>
    <n v="2760"/>
    <n v="4.1945288753799392"/>
    <n v="2760"/>
    <n v="4.1945288753799392"/>
    <s v="[]"/>
    <s v="[]"/>
  </r>
  <r>
    <x v="5"/>
    <s v="360 West Hubbard Street"/>
    <x v="171"/>
    <s v="3006"/>
    <n v="30"/>
    <x v="1"/>
    <n v="1"/>
    <m/>
    <x v="128"/>
    <x v="71"/>
    <x v="130"/>
    <x v="0"/>
    <n v="188"/>
    <n v="2781"/>
    <n v="4.2264437689969601"/>
    <n v="2781"/>
    <n v="4.2264437689969601"/>
    <s v="[]"/>
    <s v="[]"/>
  </r>
  <r>
    <x v="5"/>
    <s v="360 West Hubbard Street"/>
    <x v="171"/>
    <s v="4006"/>
    <n v="40"/>
    <x v="1"/>
    <n v="1"/>
    <m/>
    <x v="128"/>
    <x v="135"/>
    <x v="316"/>
    <x v="0"/>
    <n v="19"/>
    <n v="2805"/>
    <n v="4.2629179331306988"/>
    <n v="2805"/>
    <n v="4.2629179331306988"/>
    <s v="[]"/>
    <s v="[]"/>
  </r>
  <r>
    <x v="5"/>
    <s v="360 West Hubbard Street"/>
    <x v="171"/>
    <s v="2406"/>
    <n v="24"/>
    <x v="1"/>
    <n v="1"/>
    <m/>
    <x v="128"/>
    <x v="2"/>
    <x v="148"/>
    <x v="0"/>
    <n v="24"/>
    <n v="2806"/>
    <n v="4.264437689969605"/>
    <n v="2806"/>
    <n v="4.264437689969605"/>
    <s v="[]"/>
    <s v="[]"/>
  </r>
  <r>
    <x v="5"/>
    <s v="360 West Hubbard Street"/>
    <x v="171"/>
    <s v="3306"/>
    <n v="33"/>
    <x v="1"/>
    <n v="1"/>
    <m/>
    <x v="129"/>
    <x v="480"/>
    <x v="339"/>
    <x v="0"/>
    <n v="8"/>
    <n v="2567"/>
    <n v="3.8199404761904763"/>
    <n v="2567"/>
    <n v="3.8199404761904763"/>
    <s v="[]"/>
    <s v="[]"/>
  </r>
  <r>
    <x v="5"/>
    <s v="360 West Hubbard Street"/>
    <x v="171"/>
    <s v="3906"/>
    <n v="39"/>
    <x v="1"/>
    <n v="1"/>
    <m/>
    <x v="129"/>
    <x v="481"/>
    <x v="525"/>
    <x v="0"/>
    <n v="17"/>
    <n v="2804"/>
    <n v="4.1726190476190474"/>
    <n v="2804"/>
    <n v="4.1726190476190474"/>
    <s v="[]"/>
    <s v="[]"/>
  </r>
  <r>
    <x v="5"/>
    <s v="360 West Hubbard Street"/>
    <x v="171"/>
    <s v="3706"/>
    <n v="37"/>
    <x v="1"/>
    <n v="1"/>
    <m/>
    <x v="129"/>
    <x v="130"/>
    <x v="526"/>
    <x v="0"/>
    <m/>
    <n v="2865"/>
    <n v="4.2633928571428568"/>
    <n v="2865"/>
    <n v="4.2633928571428568"/>
    <s v="[]"/>
    <s v="[]"/>
  </r>
  <r>
    <x v="5"/>
    <s v="360 West Hubbard Street"/>
    <x v="171"/>
    <s v="3606"/>
    <n v="36"/>
    <x v="1"/>
    <n v="1"/>
    <m/>
    <x v="129"/>
    <x v="29"/>
    <x v="28"/>
    <x v="1"/>
    <m/>
    <n v="2893"/>
    <n v="4.3050595238095237"/>
    <n v="2893"/>
    <n v="4.3050595238095237"/>
    <s v="[]"/>
    <s v="[]"/>
  </r>
  <r>
    <x v="5"/>
    <s v="360 West Hubbard Street"/>
    <x v="171"/>
    <s v="4206"/>
    <n v="42"/>
    <x v="1"/>
    <n v="1"/>
    <m/>
    <x v="129"/>
    <x v="278"/>
    <x v="28"/>
    <x v="1"/>
    <m/>
    <n v="2923"/>
    <n v="4.3497023809523814"/>
    <n v="2923"/>
    <n v="4.3497023809523814"/>
    <s v="[]"/>
    <s v="[]"/>
  </r>
  <r>
    <x v="5"/>
    <s v="360 West Hubbard Street"/>
    <x v="172"/>
    <s v="0408"/>
    <n v="4"/>
    <x v="1"/>
    <n v="1"/>
    <m/>
    <x v="16"/>
    <x v="54"/>
    <x v="205"/>
    <x v="0"/>
    <n v="214"/>
    <n v="2635"/>
    <n v="3.8864306784660765"/>
    <n v="2635"/>
    <n v="3.8864306784660765"/>
    <s v="[]"/>
    <s v="[]"/>
  </r>
  <r>
    <x v="5"/>
    <s v="360 West Hubbard Street"/>
    <x v="172"/>
    <s v="2008"/>
    <n v="20"/>
    <x v="1"/>
    <n v="1"/>
    <m/>
    <x v="16"/>
    <x v="159"/>
    <x v="203"/>
    <x v="0"/>
    <n v="37"/>
    <n v="2675"/>
    <n v="3.9454277286135695"/>
    <n v="2675"/>
    <n v="3.9454277286135695"/>
    <s v="[]"/>
    <s v="[]"/>
  </r>
  <r>
    <x v="5"/>
    <s v="360 West Hubbard Street"/>
    <x v="172"/>
    <s v="0808"/>
    <n v="8"/>
    <x v="1"/>
    <n v="1"/>
    <m/>
    <x v="16"/>
    <x v="405"/>
    <x v="527"/>
    <x v="0"/>
    <n v="228"/>
    <n v="2698"/>
    <n v="3.9793510324483776"/>
    <n v="2698"/>
    <n v="3.9793510324483776"/>
    <s v="[]"/>
    <s v="[]"/>
  </r>
  <r>
    <x v="5"/>
    <s v="360 West Hubbard Street"/>
    <x v="172"/>
    <s v="1908"/>
    <n v="19"/>
    <x v="1"/>
    <n v="1"/>
    <m/>
    <x v="16"/>
    <x v="131"/>
    <x v="462"/>
    <x v="0"/>
    <n v="60"/>
    <n v="2881"/>
    <n v="4.2492625368731565"/>
    <n v="2881"/>
    <n v="4.2492625368731565"/>
    <s v="[]"/>
    <s v="[]"/>
  </r>
  <r>
    <x v="5"/>
    <s v="360 West Hubbard Street"/>
    <x v="172"/>
    <s v="3108"/>
    <n v="31"/>
    <x v="1"/>
    <n v="1"/>
    <m/>
    <x v="16"/>
    <x v="225"/>
    <x v="401"/>
    <x v="0"/>
    <n v="33"/>
    <n v="3068"/>
    <n v="4.5250737463126844"/>
    <n v="3068"/>
    <n v="4.5250737463126844"/>
    <s v="[]"/>
    <s v="[]"/>
  </r>
  <r>
    <x v="5"/>
    <s v="360 West Hubbard Street"/>
    <x v="173"/>
    <s v="0510"/>
    <n v="5"/>
    <x v="1"/>
    <n v="1"/>
    <m/>
    <x v="130"/>
    <x v="58"/>
    <x v="487"/>
    <x v="0"/>
    <n v="31"/>
    <n v="2335"/>
    <n v="3.3889695210449928"/>
    <n v="2335"/>
    <n v="3.3889695210449928"/>
    <s v="[]"/>
    <s v="[]"/>
  </r>
  <r>
    <x v="5"/>
    <s v="360 West Hubbard Street"/>
    <x v="173"/>
    <s v="1910"/>
    <n v="19"/>
    <x v="1"/>
    <n v="1"/>
    <m/>
    <x v="130"/>
    <x v="482"/>
    <x v="528"/>
    <x v="0"/>
    <n v="110"/>
    <n v="2439"/>
    <n v="3.5399129172714079"/>
    <n v="2439"/>
    <n v="3.5399129172714079"/>
    <s v="[]"/>
    <s v="[]"/>
  </r>
  <r>
    <x v="5"/>
    <s v="360 West Hubbard Street"/>
    <x v="173"/>
    <s v="2010"/>
    <n v="20"/>
    <x v="1"/>
    <n v="1"/>
    <m/>
    <x v="130"/>
    <x v="265"/>
    <x v="259"/>
    <x v="0"/>
    <n v="8"/>
    <n v="2480"/>
    <n v="3.5994194484760524"/>
    <n v="2480"/>
    <n v="3.5994194484760524"/>
    <s v="[]"/>
    <s v="[]"/>
  </r>
  <r>
    <x v="5"/>
    <s v="360 West Hubbard Street"/>
    <x v="173"/>
    <s v="4310"/>
    <n v="43"/>
    <x v="1"/>
    <n v="1"/>
    <m/>
    <x v="130"/>
    <x v="159"/>
    <x v="112"/>
    <x v="0"/>
    <n v="4"/>
    <n v="2652"/>
    <n v="3.8490566037735849"/>
    <n v="2652"/>
    <n v="3.8490566037735849"/>
    <s v="[]"/>
    <s v="[]"/>
  </r>
  <r>
    <x v="5"/>
    <s v="360 West Hubbard Street"/>
    <x v="173"/>
    <s v="0410"/>
    <n v="4"/>
    <x v="1"/>
    <n v="1"/>
    <m/>
    <x v="130"/>
    <x v="100"/>
    <x v="468"/>
    <x v="0"/>
    <n v="20"/>
    <n v="2661"/>
    <n v="3.8621190130624092"/>
    <n v="2661"/>
    <n v="3.8621190130624092"/>
    <s v="[]"/>
    <s v="[]"/>
  </r>
  <r>
    <x v="5"/>
    <s v="360 West Hubbard Street"/>
    <x v="173"/>
    <s v="3210"/>
    <n v="32"/>
    <x v="1"/>
    <n v="1"/>
    <m/>
    <x v="130"/>
    <x v="400"/>
    <x v="360"/>
    <x v="0"/>
    <n v="16"/>
    <n v="2811"/>
    <n v="4.0798258345428158"/>
    <n v="2811"/>
    <n v="4.0798258345428158"/>
    <s v="[]"/>
    <s v="[]"/>
  </r>
  <r>
    <x v="5"/>
    <s v="360 West Hubbard Street"/>
    <x v="173"/>
    <s v="3110"/>
    <n v="31"/>
    <x v="1"/>
    <n v="1"/>
    <m/>
    <x v="130"/>
    <x v="94"/>
    <x v="323"/>
    <x v="0"/>
    <n v="79"/>
    <n v="3095"/>
    <n v="4.4920174165457185"/>
    <n v="3095"/>
    <n v="4.4920174165457185"/>
    <s v="[]"/>
    <s v="[]"/>
  </r>
  <r>
    <x v="5"/>
    <s v="360 West Hubbard Street"/>
    <x v="172"/>
    <s v="3208"/>
    <n v="32"/>
    <x v="1"/>
    <n v="1"/>
    <m/>
    <x v="131"/>
    <x v="58"/>
    <x v="529"/>
    <x v="0"/>
    <n v="34"/>
    <n v="2703"/>
    <n v="3.9060693641618496"/>
    <n v="2703"/>
    <n v="3.9060693641618496"/>
    <s v="[]"/>
    <s v="[]"/>
  </r>
  <r>
    <x v="5"/>
    <s v="360 West Hubbard Street"/>
    <x v="173"/>
    <s v="1010"/>
    <n v="10"/>
    <x v="1"/>
    <n v="1"/>
    <m/>
    <x v="75"/>
    <x v="483"/>
    <x v="8"/>
    <x v="0"/>
    <n v="10"/>
    <n v="2493"/>
    <n v="3.5411931818181817"/>
    <n v="2493"/>
    <n v="3.5411931818181817"/>
    <s v="[]"/>
    <s v="[]"/>
  </r>
  <r>
    <x v="5"/>
    <s v="360 West Hubbard Street"/>
    <x v="173"/>
    <s v="1610"/>
    <n v="16"/>
    <x v="1"/>
    <n v="1"/>
    <m/>
    <x v="75"/>
    <x v="484"/>
    <x v="20"/>
    <x v="0"/>
    <n v="12"/>
    <n v="2529"/>
    <n v="3.5923295454545454"/>
    <n v="2529"/>
    <n v="3.5923295454545454"/>
    <s v="[]"/>
    <s v="[]"/>
  </r>
  <r>
    <x v="5"/>
    <s v="360 West Hubbard Street"/>
    <x v="173"/>
    <s v="2810"/>
    <n v="28"/>
    <x v="1"/>
    <n v="1"/>
    <m/>
    <x v="75"/>
    <x v="410"/>
    <x v="518"/>
    <x v="0"/>
    <n v="40"/>
    <n v="2569"/>
    <n v="3.6491477272727271"/>
    <n v="2569"/>
    <n v="3.6491477272727271"/>
    <s v="[]"/>
    <s v="[]"/>
  </r>
  <r>
    <x v="5"/>
    <s v="360 West Hubbard Street"/>
    <x v="173"/>
    <s v="3010"/>
    <n v="30"/>
    <x v="1"/>
    <n v="1"/>
    <m/>
    <x v="75"/>
    <x v="115"/>
    <x v="8"/>
    <x v="0"/>
    <n v="3"/>
    <n v="2593"/>
    <n v="3.6832386363636362"/>
    <n v="2593"/>
    <n v="3.6832386363636362"/>
    <s v="[]"/>
    <s v="[]"/>
  </r>
  <r>
    <x v="5"/>
    <s v="360 West Hubbard Street"/>
    <x v="173"/>
    <s v="3410"/>
    <n v="34"/>
    <x v="1"/>
    <n v="1"/>
    <m/>
    <x v="75"/>
    <x v="141"/>
    <x v="97"/>
    <x v="0"/>
    <n v="122"/>
    <n v="2603"/>
    <n v="3.6974431818181817"/>
    <n v="2603"/>
    <n v="3.6974431818181817"/>
    <s v="[]"/>
    <s v="[]"/>
  </r>
  <r>
    <x v="5"/>
    <s v="360 West Hubbard Street"/>
    <x v="173"/>
    <s v="3510"/>
    <n v="35"/>
    <x v="1"/>
    <n v="1"/>
    <m/>
    <x v="75"/>
    <x v="355"/>
    <x v="349"/>
    <x v="0"/>
    <n v="2"/>
    <n v="2641"/>
    <n v="3.7514204545454546"/>
    <n v="2641"/>
    <n v="3.7514204545454546"/>
    <s v="[]"/>
    <s v="[]"/>
  </r>
  <r>
    <x v="5"/>
    <s v="360 West Hubbard Street"/>
    <x v="173"/>
    <s v="2310"/>
    <n v="23"/>
    <x v="1"/>
    <n v="1"/>
    <m/>
    <x v="75"/>
    <x v="369"/>
    <x v="330"/>
    <x v="0"/>
    <n v="129"/>
    <n v="2693"/>
    <n v="3.8252840909090908"/>
    <n v="2693"/>
    <n v="3.8252840909090908"/>
    <s v="[]"/>
    <s v="[]"/>
  </r>
  <r>
    <x v="5"/>
    <s v="360 West Hubbard Street"/>
    <x v="173"/>
    <s v="2710"/>
    <n v="27"/>
    <x v="1"/>
    <n v="1"/>
    <m/>
    <x v="75"/>
    <x v="88"/>
    <x v="153"/>
    <x v="0"/>
    <n v="2"/>
    <n v="2747"/>
    <n v="3.9019886363636362"/>
    <n v="2747"/>
    <n v="3.9019886363636362"/>
    <s v="[]"/>
    <s v="[]"/>
  </r>
  <r>
    <x v="5"/>
    <s v="360 West Hubbard Street"/>
    <x v="173"/>
    <s v="3610"/>
    <n v="36"/>
    <x v="1"/>
    <n v="1"/>
    <m/>
    <x v="75"/>
    <x v="485"/>
    <x v="378"/>
    <x v="0"/>
    <n v="41"/>
    <n v="2750"/>
    <n v="3.90625"/>
    <n v="2750"/>
    <n v="3.90625"/>
    <s v="[]"/>
    <s v="[]"/>
  </r>
  <r>
    <x v="5"/>
    <s v="360 West Hubbard Street"/>
    <x v="173"/>
    <s v="1110"/>
    <n v="11"/>
    <x v="1"/>
    <n v="1"/>
    <m/>
    <x v="75"/>
    <x v="486"/>
    <x v="441"/>
    <x v="0"/>
    <n v="10"/>
    <n v="2776"/>
    <n v="3.9431818181818183"/>
    <n v="2776"/>
    <n v="3.9431818181818183"/>
    <s v="[]"/>
    <s v="[]"/>
  </r>
  <r>
    <x v="5"/>
    <s v="360 West Hubbard Street"/>
    <x v="173"/>
    <s v="1710"/>
    <n v="17"/>
    <x v="1"/>
    <n v="1"/>
    <m/>
    <x v="75"/>
    <x v="253"/>
    <x v="284"/>
    <x v="0"/>
    <n v="13"/>
    <n v="2800"/>
    <n v="3.9772727272727271"/>
    <n v="2800"/>
    <n v="3.9772727272727271"/>
    <s v="[]"/>
    <s v="[]"/>
  </r>
  <r>
    <x v="5"/>
    <s v="360 West Hubbard Street"/>
    <x v="173"/>
    <s v="2610"/>
    <n v="26"/>
    <x v="1"/>
    <n v="1"/>
    <m/>
    <x v="75"/>
    <x v="487"/>
    <x v="530"/>
    <x v="0"/>
    <n v="15"/>
    <n v="2845"/>
    <n v="4.0411931818181817"/>
    <n v="2845"/>
    <n v="4.0411931818181817"/>
    <s v="[]"/>
    <s v="[]"/>
  </r>
  <r>
    <x v="5"/>
    <s v="360 West Hubbard Street"/>
    <x v="173"/>
    <s v="2510"/>
    <n v="25"/>
    <x v="1"/>
    <n v="1"/>
    <m/>
    <x v="75"/>
    <x v="448"/>
    <x v="434"/>
    <x v="0"/>
    <n v="31"/>
    <n v="2867"/>
    <n v="4.0724431818181817"/>
    <n v="2867"/>
    <n v="4.0724431818181817"/>
    <s v="[]"/>
    <s v="[]"/>
  </r>
  <r>
    <x v="5"/>
    <s v="360 West Hubbard Street"/>
    <x v="173"/>
    <s v="2210"/>
    <n v="22"/>
    <x v="1"/>
    <n v="1"/>
    <m/>
    <x v="75"/>
    <x v="57"/>
    <x v="450"/>
    <x v="0"/>
    <n v="52"/>
    <n v="2919"/>
    <n v="4.1463068181818183"/>
    <n v="2919"/>
    <n v="4.1463068181818183"/>
    <s v="[]"/>
    <s v="[]"/>
  </r>
  <r>
    <x v="5"/>
    <s v="360 West Hubbard Street"/>
    <x v="173"/>
    <s v="3710"/>
    <n v="37"/>
    <x v="1"/>
    <n v="1"/>
    <m/>
    <x v="75"/>
    <x v="470"/>
    <x v="83"/>
    <x v="0"/>
    <n v="99"/>
    <n v="3099"/>
    <n v="4.4019886363636367"/>
    <n v="3099"/>
    <n v="4.4019886363636367"/>
    <s v="[]"/>
    <s v="[]"/>
  </r>
  <r>
    <x v="5"/>
    <s v="360 West Hubbard Street"/>
    <x v="173"/>
    <s v="3910"/>
    <n v="39"/>
    <x v="1"/>
    <n v="1"/>
    <m/>
    <x v="75"/>
    <x v="130"/>
    <x v="117"/>
    <x v="0"/>
    <m/>
    <n v="3211"/>
    <n v="4.5610795454545459"/>
    <n v="3211"/>
    <n v="4.5610795454545459"/>
    <s v="[]"/>
    <s v="[]"/>
  </r>
  <r>
    <x v="5"/>
    <s v="360 West Hubbard Street"/>
    <x v="172"/>
    <s v="1408"/>
    <n v="14"/>
    <x v="1"/>
    <n v="1"/>
    <m/>
    <x v="132"/>
    <x v="213"/>
    <x v="439"/>
    <x v="0"/>
    <n v="2"/>
    <n v="2724"/>
    <n v="3.7676348547717842"/>
    <n v="2724"/>
    <n v="3.7676348547717842"/>
    <s v="[]"/>
    <s v="[]"/>
  </r>
  <r>
    <x v="5"/>
    <s v="360 West Hubbard Street"/>
    <x v="172"/>
    <s v="3008"/>
    <n v="30"/>
    <x v="1"/>
    <n v="1"/>
    <m/>
    <x v="132"/>
    <x v="369"/>
    <x v="531"/>
    <x v="0"/>
    <n v="29"/>
    <n v="2804"/>
    <n v="3.8782849239280774"/>
    <n v="2804"/>
    <n v="3.8782849239280774"/>
    <s v="[]"/>
    <s v="[]"/>
  </r>
  <r>
    <x v="5"/>
    <s v="360 West Hubbard Street"/>
    <x v="172"/>
    <s v="1308"/>
    <n v="13"/>
    <x v="1"/>
    <n v="1"/>
    <m/>
    <x v="132"/>
    <x v="191"/>
    <x v="28"/>
    <x v="1"/>
    <m/>
    <n v="2839"/>
    <n v="3.9266943291839556"/>
    <n v="2839"/>
    <n v="3.9266943291839556"/>
    <s v="[]"/>
    <s v="[]"/>
  </r>
  <r>
    <x v="5"/>
    <s v="360 West Hubbard Street"/>
    <x v="172"/>
    <s v="2808"/>
    <n v="28"/>
    <x v="1"/>
    <n v="1"/>
    <m/>
    <x v="132"/>
    <x v="105"/>
    <x v="350"/>
    <x v="0"/>
    <n v="14"/>
    <n v="2850"/>
    <n v="3.9419087136929463"/>
    <n v="2850"/>
    <n v="3.9419087136929463"/>
    <s v="[]"/>
    <s v="[]"/>
  </r>
  <r>
    <x v="5"/>
    <s v="360 West Hubbard Street"/>
    <x v="172"/>
    <s v="1708"/>
    <n v="17"/>
    <x v="1"/>
    <n v="1"/>
    <m/>
    <x v="132"/>
    <x v="218"/>
    <x v="106"/>
    <x v="0"/>
    <n v="55"/>
    <n v="3084"/>
    <n v="4.2655601659751037"/>
    <n v="3084"/>
    <n v="4.2655601659751037"/>
    <s v="[]"/>
    <s v="[]"/>
  </r>
  <r>
    <x v="5"/>
    <s v="360 West Hubbard Street"/>
    <x v="172"/>
    <s v="3508"/>
    <n v="35"/>
    <x v="1"/>
    <n v="1"/>
    <m/>
    <x v="132"/>
    <x v="22"/>
    <x v="42"/>
    <x v="0"/>
    <n v="75"/>
    <n v="3107"/>
    <n v="4.2973720608575379"/>
    <n v="3107"/>
    <n v="4.2973720608575379"/>
    <s v="[]"/>
    <s v="[]"/>
  </r>
  <r>
    <x v="5"/>
    <s v="360 West Hubbard Street"/>
    <x v="172"/>
    <s v="2608"/>
    <n v="26"/>
    <x v="1"/>
    <n v="1"/>
    <m/>
    <x v="132"/>
    <x v="362"/>
    <x v="427"/>
    <x v="0"/>
    <n v="22"/>
    <n v="3118"/>
    <n v="4.3125864453665281"/>
    <n v="3118"/>
    <n v="4.3125864453665281"/>
    <s v="[]"/>
    <s v="[]"/>
  </r>
  <r>
    <x v="5"/>
    <s v="360 West Hubbard Street"/>
    <x v="172"/>
    <s v="4008"/>
    <n v="40"/>
    <x v="1"/>
    <n v="1"/>
    <m/>
    <x v="132"/>
    <x v="28"/>
    <x v="52"/>
    <x v="0"/>
    <n v="25"/>
    <n v="3140"/>
    <n v="4.3430152143845087"/>
    <n v="3140"/>
    <n v="4.3430152143845087"/>
    <s v="[]"/>
    <s v="[]"/>
  </r>
  <r>
    <x v="5"/>
    <s v="360 West Hubbard Street"/>
    <x v="172"/>
    <s v="1508"/>
    <n v="15"/>
    <x v="1"/>
    <n v="1"/>
    <m/>
    <x v="132"/>
    <x v="18"/>
    <x v="139"/>
    <x v="0"/>
    <n v="51"/>
    <n v="3179"/>
    <n v="4.3969571230982023"/>
    <n v="3179"/>
    <n v="4.3969571230982023"/>
    <s v="[]"/>
    <s v="[]"/>
  </r>
  <r>
    <x v="5"/>
    <s v="360 West Hubbard Street"/>
    <x v="174"/>
    <s v="3103"/>
    <n v="31"/>
    <x v="1"/>
    <n v="1"/>
    <m/>
    <x v="133"/>
    <x v="281"/>
    <x v="532"/>
    <x v="0"/>
    <n v="77"/>
    <n v="2917"/>
    <n v="4.0290055248618781"/>
    <n v="2917"/>
    <n v="4.0290055248618781"/>
    <s v="[]"/>
    <s v="[]"/>
  </r>
  <r>
    <x v="5"/>
    <s v="360 West Hubbard Street"/>
    <x v="174"/>
    <s v="1003"/>
    <n v="10"/>
    <x v="1"/>
    <n v="1"/>
    <m/>
    <x v="133"/>
    <x v="176"/>
    <x v="96"/>
    <x v="0"/>
    <n v="217"/>
    <n v="3017"/>
    <n v="4.1671270718232041"/>
    <n v="3017"/>
    <n v="4.1671270718232041"/>
    <s v="[]"/>
    <s v="[]"/>
  </r>
  <r>
    <x v="5"/>
    <s v="360 West Hubbard Street"/>
    <x v="174"/>
    <s v="3203"/>
    <n v="32"/>
    <x v="1"/>
    <n v="1"/>
    <m/>
    <x v="133"/>
    <x v="335"/>
    <x v="400"/>
    <x v="0"/>
    <n v="277"/>
    <n v="3034"/>
    <n v="4.1906077348066297"/>
    <n v="3034"/>
    <n v="4.1906077348066297"/>
    <s v="[]"/>
    <s v="[]"/>
  </r>
  <r>
    <x v="5"/>
    <s v="360 West Hubbard Street"/>
    <x v="174"/>
    <s v="1903"/>
    <n v="19"/>
    <x v="1"/>
    <n v="1"/>
    <m/>
    <x v="133"/>
    <x v="381"/>
    <x v="54"/>
    <x v="0"/>
    <n v="57"/>
    <n v="3065"/>
    <n v="4.2334254143646408"/>
    <n v="3065"/>
    <n v="4.2334254143646408"/>
    <s v="[]"/>
    <s v="[]"/>
  </r>
  <r>
    <x v="5"/>
    <s v="360 West Hubbard Street"/>
    <x v="174"/>
    <s v="2003"/>
    <n v="20"/>
    <x v="1"/>
    <n v="1"/>
    <m/>
    <x v="133"/>
    <x v="363"/>
    <x v="52"/>
    <x v="0"/>
    <n v="178"/>
    <n v="3108"/>
    <n v="4.2928176795580111"/>
    <n v="3108"/>
    <n v="4.2928176795580111"/>
    <s v="[]"/>
    <s v="[]"/>
  </r>
  <r>
    <x v="5"/>
    <s v="360 West Hubbard Street"/>
    <x v="174"/>
    <s v="4303"/>
    <n v="43"/>
    <x v="1"/>
    <n v="1"/>
    <m/>
    <x v="133"/>
    <x v="130"/>
    <x v="221"/>
    <x v="0"/>
    <m/>
    <n v="3144"/>
    <n v="4.3425414364640886"/>
    <n v="3144"/>
    <n v="4.3425414364640886"/>
    <s v="[]"/>
    <s v="[]"/>
  </r>
  <r>
    <x v="5"/>
    <s v="360 West Hubbard Street"/>
    <x v="172"/>
    <s v="3308"/>
    <n v="33"/>
    <x v="1"/>
    <n v="1"/>
    <m/>
    <x v="134"/>
    <x v="15"/>
    <x v="101"/>
    <x v="0"/>
    <n v="14"/>
    <n v="2855"/>
    <n v="3.8738127544097694"/>
    <n v="2855"/>
    <n v="3.8738127544097694"/>
    <s v="[]"/>
    <s v="[]"/>
  </r>
  <r>
    <x v="5"/>
    <s v="360 West Hubbard Street"/>
    <x v="174"/>
    <s v="1503"/>
    <n v="15"/>
    <x v="1"/>
    <n v="1"/>
    <m/>
    <x v="135"/>
    <x v="285"/>
    <x v="314"/>
    <x v="0"/>
    <n v="71"/>
    <n v="2591"/>
    <n v="3.506089309878214"/>
    <n v="2591"/>
    <n v="3.506089309878214"/>
    <s v="[]"/>
    <s v="[]"/>
  </r>
  <r>
    <x v="5"/>
    <s v="360 West Hubbard Street"/>
    <x v="174"/>
    <s v="2303"/>
    <n v="23"/>
    <x v="1"/>
    <n v="1"/>
    <m/>
    <x v="135"/>
    <x v="302"/>
    <x v="302"/>
    <x v="0"/>
    <n v="38"/>
    <n v="2709"/>
    <n v="3.6657645466847089"/>
    <n v="2709"/>
    <n v="3.6657645466847089"/>
    <s v="[]"/>
    <s v="[]"/>
  </r>
  <r>
    <x v="5"/>
    <s v="360 West Hubbard Street"/>
    <x v="174"/>
    <s v="1403"/>
    <n v="14"/>
    <x v="1"/>
    <n v="1"/>
    <m/>
    <x v="135"/>
    <x v="285"/>
    <x v="533"/>
    <x v="0"/>
    <n v="23"/>
    <n v="2757"/>
    <n v="3.7307171853856564"/>
    <n v="2757"/>
    <n v="3.7307171853856564"/>
    <s v="[]"/>
    <s v="[]"/>
  </r>
  <r>
    <x v="5"/>
    <s v="360 West Hubbard Street"/>
    <x v="174"/>
    <s v="1203"/>
    <n v="12"/>
    <x v="1"/>
    <n v="1"/>
    <m/>
    <x v="135"/>
    <x v="223"/>
    <x v="413"/>
    <x v="0"/>
    <n v="107"/>
    <n v="2833"/>
    <n v="3.8335588633288227"/>
    <n v="2833"/>
    <n v="3.8335588633288227"/>
    <s v="[]"/>
    <s v="[]"/>
  </r>
  <r>
    <x v="5"/>
    <s v="360 West Hubbard Street"/>
    <x v="174"/>
    <s v="3603"/>
    <n v="36"/>
    <x v="1"/>
    <n v="1"/>
    <m/>
    <x v="135"/>
    <x v="40"/>
    <x v="520"/>
    <x v="0"/>
    <n v="65"/>
    <n v="2856"/>
    <n v="3.8646820027063598"/>
    <n v="2856"/>
    <n v="3.8646820027063598"/>
    <s v="[]"/>
    <s v="[]"/>
  </r>
  <r>
    <x v="5"/>
    <s v="360 West Hubbard Street"/>
    <x v="174"/>
    <s v="2803"/>
    <n v="28"/>
    <x v="1"/>
    <n v="1"/>
    <m/>
    <x v="135"/>
    <x v="91"/>
    <x v="534"/>
    <x v="0"/>
    <n v="10"/>
    <n v="2983"/>
    <n v="4.036535859269283"/>
    <n v="2983"/>
    <n v="4.036535859269283"/>
    <s v="[]"/>
    <s v="[]"/>
  </r>
  <r>
    <x v="5"/>
    <s v="360 West Hubbard Street"/>
    <x v="174"/>
    <s v="3403"/>
    <n v="34"/>
    <x v="1"/>
    <n v="1"/>
    <m/>
    <x v="135"/>
    <x v="130"/>
    <x v="535"/>
    <x v="0"/>
    <m/>
    <n v="3022"/>
    <n v="4.0893098782138022"/>
    <n v="3022"/>
    <n v="4.0893098782138022"/>
    <s v="[]"/>
    <s v="[]"/>
  </r>
  <r>
    <x v="5"/>
    <s v="360 West Hubbard Street"/>
    <x v="174"/>
    <s v="1703"/>
    <n v="17"/>
    <x v="1"/>
    <n v="1"/>
    <m/>
    <x v="135"/>
    <x v="120"/>
    <x v="28"/>
    <x v="1"/>
    <m/>
    <n v="3049"/>
    <n v="4.1258457374830853"/>
    <n v="3049"/>
    <n v="4.1258457374830853"/>
    <s v="[]"/>
    <s v="[]"/>
  </r>
  <r>
    <x v="5"/>
    <s v="360 West Hubbard Street"/>
    <x v="174"/>
    <s v="2603"/>
    <n v="26"/>
    <x v="1"/>
    <n v="1"/>
    <m/>
    <x v="135"/>
    <x v="356"/>
    <x v="28"/>
    <x v="1"/>
    <m/>
    <n v="3091"/>
    <n v="4.1826792963464143"/>
    <n v="3091"/>
    <n v="4.1826792963464143"/>
    <s v="[]"/>
    <s v="[]"/>
  </r>
  <r>
    <x v="5"/>
    <s v="360 West Hubbard Street"/>
    <x v="174"/>
    <s v="2903"/>
    <n v="29"/>
    <x v="1"/>
    <n v="1"/>
    <m/>
    <x v="135"/>
    <x v="34"/>
    <x v="28"/>
    <x v="1"/>
    <m/>
    <n v="3106"/>
    <n v="4.2029769959404604"/>
    <n v="3106"/>
    <n v="4.2029769959404604"/>
    <s v="[]"/>
    <s v="[]"/>
  </r>
  <r>
    <x v="5"/>
    <s v="360 West Hubbard Street"/>
    <x v="174"/>
    <s v="3303"/>
    <n v="33"/>
    <x v="1"/>
    <n v="1"/>
    <m/>
    <x v="135"/>
    <x v="396"/>
    <x v="329"/>
    <x v="0"/>
    <n v="65"/>
    <n v="3106"/>
    <n v="4.2029769959404604"/>
    <n v="3106"/>
    <n v="4.2029769959404604"/>
    <s v="[]"/>
    <s v="[]"/>
  </r>
  <r>
    <x v="5"/>
    <s v="360 West Hubbard Street"/>
    <x v="174"/>
    <s v="1303"/>
    <n v="13"/>
    <x v="1"/>
    <n v="1"/>
    <m/>
    <x v="135"/>
    <x v="27"/>
    <x v="66"/>
    <x v="0"/>
    <n v="192"/>
    <n v="3121"/>
    <n v="4.2232746955345064"/>
    <n v="3121"/>
    <n v="4.2232746955345064"/>
    <s v="[]"/>
    <s v="[]"/>
  </r>
  <r>
    <x v="5"/>
    <s v="360 West Hubbard Street"/>
    <x v="174"/>
    <s v="3803"/>
    <n v="38"/>
    <x v="1"/>
    <n v="1"/>
    <m/>
    <x v="135"/>
    <x v="191"/>
    <x v="320"/>
    <x v="0"/>
    <n v="14"/>
    <n v="3157"/>
    <n v="4.2719891745602165"/>
    <n v="3157"/>
    <n v="4.2719891745602165"/>
    <s v="[]"/>
    <s v="[]"/>
  </r>
  <r>
    <x v="5"/>
    <s v="360 West Hubbard Street"/>
    <x v="174"/>
    <s v="1803"/>
    <n v="18"/>
    <x v="1"/>
    <n v="1"/>
    <m/>
    <x v="135"/>
    <x v="322"/>
    <x v="346"/>
    <x v="0"/>
    <n v="50"/>
    <n v="3264"/>
    <n v="4.4167794316644118"/>
    <n v="3264"/>
    <n v="4.4167794316644118"/>
    <s v="[]"/>
    <s v="[]"/>
  </r>
  <r>
    <x v="5"/>
    <s v="360 West Hubbard Street"/>
    <x v="174"/>
    <s v="3503"/>
    <n v="35"/>
    <x v="1"/>
    <n v="1"/>
    <m/>
    <x v="135"/>
    <x v="115"/>
    <x v="28"/>
    <x v="1"/>
    <m/>
    <n v="3287"/>
    <n v="4.4479025710419489"/>
    <n v="3287"/>
    <n v="4.4479025710419489"/>
    <s v="[]"/>
    <s v="[]"/>
  </r>
  <r>
    <x v="5"/>
    <s v="360 West Hubbard Street"/>
    <x v="174"/>
    <s v="4203"/>
    <n v="42"/>
    <x v="1"/>
    <n v="1"/>
    <m/>
    <x v="135"/>
    <x v="247"/>
    <x v="110"/>
    <x v="0"/>
    <n v="120"/>
    <n v="3297"/>
    <n v="4.4614343707713129"/>
    <n v="3297"/>
    <n v="4.4614343707713129"/>
    <s v="[]"/>
    <s v="[]"/>
  </r>
  <r>
    <x v="5"/>
    <s v="360 West Hubbard Street"/>
    <x v="175"/>
    <s v="2007"/>
    <n v="20"/>
    <x v="1"/>
    <n v="1"/>
    <m/>
    <x v="136"/>
    <x v="62"/>
    <x v="532"/>
    <x v="0"/>
    <n v="81"/>
    <n v="2733"/>
    <n v="3.4815286624203821"/>
    <n v="2733"/>
    <n v="3.4815286624203821"/>
    <s v="[]"/>
    <s v="[]"/>
  </r>
  <r>
    <x v="5"/>
    <s v="360 West Hubbard Street"/>
    <x v="175"/>
    <s v="1907"/>
    <n v="19"/>
    <x v="1"/>
    <n v="1"/>
    <m/>
    <x v="137"/>
    <x v="481"/>
    <x v="536"/>
    <x v="0"/>
    <n v="3"/>
    <n v="3089"/>
    <n v="3.8660826032540676"/>
    <n v="3089"/>
    <n v="3.8660826032540676"/>
    <s v="[]"/>
    <s v="[]"/>
  </r>
  <r>
    <x v="5"/>
    <s v="360 West Hubbard Street"/>
    <x v="175"/>
    <s v="3107"/>
    <n v="31"/>
    <x v="1"/>
    <n v="1"/>
    <m/>
    <x v="137"/>
    <x v="202"/>
    <x v="486"/>
    <x v="0"/>
    <n v="8"/>
    <n v="3199"/>
    <n v="4.0037546933667088"/>
    <n v="3199"/>
    <n v="4.0037546933667088"/>
    <s v="[]"/>
    <s v="[]"/>
  </r>
  <r>
    <x v="5"/>
    <s v="360 West Hubbard Street"/>
    <x v="175"/>
    <s v="4307"/>
    <n v="43"/>
    <x v="1"/>
    <n v="1"/>
    <m/>
    <x v="137"/>
    <x v="488"/>
    <x v="62"/>
    <x v="0"/>
    <n v="11"/>
    <n v="3363"/>
    <n v="4.2090112640801003"/>
    <n v="3363"/>
    <n v="4.2090112640801003"/>
    <s v="[]"/>
    <s v="[]"/>
  </r>
  <r>
    <x v="5"/>
    <s v="360 West Hubbard Street"/>
    <x v="175"/>
    <s v="2507"/>
    <n v="25"/>
    <x v="1"/>
    <n v="1"/>
    <m/>
    <x v="138"/>
    <x v="179"/>
    <x v="98"/>
    <x v="0"/>
    <n v="7"/>
    <n v="2947"/>
    <n v="3.6563275434243176"/>
    <n v="2947"/>
    <n v="3.6563275434243176"/>
    <s v="[]"/>
    <s v="[]"/>
  </r>
  <r>
    <x v="5"/>
    <s v="360 West Hubbard Street"/>
    <x v="175"/>
    <s v="1007"/>
    <n v="10"/>
    <x v="1"/>
    <n v="1"/>
    <m/>
    <x v="138"/>
    <x v="329"/>
    <x v="453"/>
    <x v="0"/>
    <n v="67"/>
    <n v="3095"/>
    <n v="3.8399503722084369"/>
    <n v="3095"/>
    <n v="3.8399503722084369"/>
    <s v="[]"/>
    <s v="[]"/>
  </r>
  <r>
    <x v="5"/>
    <s v="360 West Hubbard Street"/>
    <x v="175"/>
    <s v="1507"/>
    <n v="15"/>
    <x v="1"/>
    <n v="1"/>
    <m/>
    <x v="138"/>
    <x v="389"/>
    <x v="537"/>
    <x v="0"/>
    <n v="50"/>
    <n v="3127"/>
    <n v="3.8796526054590572"/>
    <n v="3127"/>
    <n v="3.8796526054590572"/>
    <s v="[]"/>
    <s v="[]"/>
  </r>
  <r>
    <x v="5"/>
    <s v="360 West Hubbard Street"/>
    <x v="175"/>
    <s v="4007"/>
    <n v="40"/>
    <x v="1"/>
    <n v="1"/>
    <m/>
    <x v="138"/>
    <x v="278"/>
    <x v="85"/>
    <x v="0"/>
    <n v="4"/>
    <n v="3132"/>
    <n v="3.8858560794044665"/>
    <n v="3132"/>
    <n v="3.8858560794044665"/>
    <s v="[]"/>
    <s v="[]"/>
  </r>
  <r>
    <x v="5"/>
    <s v="360 West Hubbard Street"/>
    <x v="175"/>
    <s v="3507"/>
    <n v="35"/>
    <x v="1"/>
    <n v="1"/>
    <m/>
    <x v="138"/>
    <x v="203"/>
    <x v="52"/>
    <x v="0"/>
    <n v="2"/>
    <n v="3374"/>
    <n v="4.1861042183622832"/>
    <n v="3374"/>
    <n v="4.1861042183622832"/>
    <s v="[]"/>
    <s v="[]"/>
  </r>
  <r>
    <x v="5"/>
    <s v="360 West Hubbard Street"/>
    <x v="176"/>
    <s v="3205"/>
    <n v="32"/>
    <x v="1"/>
    <n v="1"/>
    <m/>
    <x v="139"/>
    <x v="248"/>
    <x v="392"/>
    <x v="0"/>
    <n v="238"/>
    <n v="3225"/>
    <n v="3.9765721331689274"/>
    <n v="3225"/>
    <n v="3.9765721331689274"/>
    <s v="[]"/>
    <s v="[]"/>
  </r>
  <r>
    <x v="5"/>
    <s v="360 West Hubbard Street"/>
    <x v="176"/>
    <s v="3105"/>
    <n v="31"/>
    <x v="1"/>
    <n v="1"/>
    <m/>
    <x v="139"/>
    <x v="130"/>
    <x v="117"/>
    <x v="0"/>
    <m/>
    <n v="3248"/>
    <n v="4.0049321824907524"/>
    <n v="3248"/>
    <n v="4.0049321824907524"/>
    <s v="[]"/>
    <s v="[]"/>
  </r>
  <r>
    <x v="5"/>
    <s v="360 West Hubbard Street"/>
    <x v="176"/>
    <s v="3505"/>
    <n v="35"/>
    <x v="1"/>
    <n v="1"/>
    <m/>
    <x v="140"/>
    <x v="190"/>
    <x v="472"/>
    <x v="0"/>
    <n v="87"/>
    <n v="3071"/>
    <n v="3.7542787286063568"/>
    <n v="3071"/>
    <n v="3.7542787286063568"/>
    <s v="[]"/>
    <s v="[]"/>
  </r>
  <r>
    <x v="5"/>
    <s v="360 West Hubbard Street"/>
    <x v="176"/>
    <s v="3005"/>
    <n v="30"/>
    <x v="1"/>
    <n v="1"/>
    <m/>
    <x v="140"/>
    <x v="24"/>
    <x v="319"/>
    <x v="0"/>
    <n v="142"/>
    <n v="3340"/>
    <n v="4.0831295843520783"/>
    <n v="3340"/>
    <n v="4.0831295843520783"/>
    <s v="[]"/>
    <s v="[]"/>
  </r>
  <r>
    <x v="5"/>
    <s v="360 West Hubbard Street"/>
    <x v="175"/>
    <s v="2207"/>
    <n v="22"/>
    <x v="1"/>
    <n v="1"/>
    <m/>
    <x v="141"/>
    <x v="489"/>
    <x v="538"/>
    <x v="0"/>
    <n v="14"/>
    <n v="2811"/>
    <n v="3.428048780487805"/>
    <n v="2811"/>
    <n v="3.428048780487805"/>
    <s v="[]"/>
    <s v="[]"/>
  </r>
  <r>
    <x v="5"/>
    <s v="360 West Hubbard Street"/>
    <x v="175"/>
    <s v="3407"/>
    <n v="34"/>
    <x v="1"/>
    <n v="1"/>
    <m/>
    <x v="141"/>
    <x v="392"/>
    <x v="116"/>
    <x v="0"/>
    <n v="104"/>
    <n v="2813"/>
    <n v="3.4304878048780489"/>
    <n v="2813"/>
    <n v="3.4304878048780489"/>
    <s v="[]"/>
    <s v="[]"/>
  </r>
  <r>
    <x v="5"/>
    <s v="360 West Hubbard Street"/>
    <x v="175"/>
    <s v="2407"/>
    <n v="24"/>
    <x v="1"/>
    <n v="1"/>
    <m/>
    <x v="141"/>
    <x v="490"/>
    <x v="463"/>
    <x v="0"/>
    <n v="103"/>
    <n v="2993"/>
    <n v="3.65"/>
    <n v="2993"/>
    <n v="3.65"/>
    <s v="[]"/>
    <s v="[]"/>
  </r>
  <r>
    <x v="5"/>
    <s v="360 West Hubbard Street"/>
    <x v="175"/>
    <s v="2907"/>
    <n v="29"/>
    <x v="1"/>
    <n v="1"/>
    <m/>
    <x v="141"/>
    <x v="203"/>
    <x v="463"/>
    <x v="0"/>
    <n v="131"/>
    <n v="3018"/>
    <n v="3.6804878048780489"/>
    <n v="3018"/>
    <n v="3.6804878048780489"/>
    <s v="[]"/>
    <s v="[]"/>
  </r>
  <r>
    <x v="5"/>
    <s v="360 West Hubbard Street"/>
    <x v="175"/>
    <s v="2607"/>
    <n v="26"/>
    <x v="1"/>
    <n v="1"/>
    <m/>
    <x v="141"/>
    <x v="38"/>
    <x v="451"/>
    <x v="0"/>
    <n v="33"/>
    <n v="3159"/>
    <n v="3.852439024390244"/>
    <n v="3159"/>
    <n v="3.852439024390244"/>
    <s v="[]"/>
    <s v="[]"/>
  </r>
  <r>
    <x v="5"/>
    <s v="360 West Hubbard Street"/>
    <x v="175"/>
    <s v="1807"/>
    <n v="18"/>
    <x v="1"/>
    <n v="1"/>
    <m/>
    <x v="141"/>
    <x v="243"/>
    <x v="525"/>
    <x v="0"/>
    <n v="10"/>
    <n v="3165"/>
    <n v="3.8597560975609757"/>
    <n v="3165"/>
    <n v="3.8597560975609757"/>
    <s v="[]"/>
    <s v="[]"/>
  </r>
  <r>
    <x v="5"/>
    <s v="360 West Hubbard Street"/>
    <x v="175"/>
    <s v="2307"/>
    <n v="23"/>
    <x v="1"/>
    <n v="1"/>
    <m/>
    <x v="141"/>
    <x v="58"/>
    <x v="388"/>
    <x v="0"/>
    <n v="72"/>
    <n v="3180"/>
    <n v="3.8780487804878048"/>
    <n v="3180"/>
    <n v="3.8780487804878048"/>
    <s v="[]"/>
    <s v="[]"/>
  </r>
  <r>
    <x v="5"/>
    <s v="360 West Hubbard Street"/>
    <x v="175"/>
    <s v="1607"/>
    <n v="16"/>
    <x v="1"/>
    <n v="1"/>
    <m/>
    <x v="141"/>
    <x v="122"/>
    <x v="28"/>
    <x v="1"/>
    <m/>
    <n v="3230"/>
    <n v="3.9390243902439024"/>
    <n v="3230"/>
    <n v="3.9390243902439024"/>
    <s v="[]"/>
    <s v="[]"/>
  </r>
  <r>
    <x v="5"/>
    <s v="360 West Hubbard Street"/>
    <x v="175"/>
    <s v="2707"/>
    <n v="27"/>
    <x v="1"/>
    <n v="1"/>
    <m/>
    <x v="141"/>
    <x v="186"/>
    <x v="539"/>
    <x v="0"/>
    <n v="39"/>
    <n v="3260"/>
    <n v="3.975609756097561"/>
    <n v="3260"/>
    <n v="3.975609756097561"/>
    <s v="[]"/>
    <s v="[]"/>
  </r>
  <r>
    <x v="5"/>
    <s v="360 West Hubbard Street"/>
    <x v="175"/>
    <s v="4107"/>
    <n v="41"/>
    <x v="1"/>
    <n v="1"/>
    <m/>
    <x v="141"/>
    <x v="86"/>
    <x v="336"/>
    <x v="0"/>
    <n v="28"/>
    <n v="3270"/>
    <n v="3.9878048780487805"/>
    <n v="3270"/>
    <n v="3.9878048780487805"/>
    <s v="[]"/>
    <s v="[]"/>
  </r>
  <r>
    <x v="5"/>
    <s v="360 West Hubbard Street"/>
    <x v="175"/>
    <s v="3907"/>
    <n v="39"/>
    <x v="1"/>
    <n v="1"/>
    <m/>
    <x v="141"/>
    <x v="71"/>
    <x v="428"/>
    <x v="0"/>
    <n v="6"/>
    <n v="3372"/>
    <n v="4.1121951219512196"/>
    <n v="3372"/>
    <n v="4.1121951219512196"/>
    <s v="[]"/>
    <s v="[]"/>
  </r>
  <r>
    <x v="5"/>
    <s v="360 West Hubbard Street"/>
    <x v="175"/>
    <s v="4207"/>
    <n v="42"/>
    <x v="1"/>
    <n v="1"/>
    <m/>
    <x v="141"/>
    <x v="336"/>
    <x v="378"/>
    <x v="0"/>
    <n v="8"/>
    <n v="3385"/>
    <n v="4.1280487804878048"/>
    <n v="3385"/>
    <n v="4.1280487804878048"/>
    <s v="[]"/>
    <s v="[]"/>
  </r>
  <r>
    <x v="5"/>
    <s v="360 West Hubbard Street"/>
    <x v="176"/>
    <s v="2405"/>
    <n v="24"/>
    <x v="1"/>
    <n v="1"/>
    <m/>
    <x v="142"/>
    <x v="145"/>
    <x v="540"/>
    <x v="0"/>
    <n v="16"/>
    <n v="2993"/>
    <n v="3.5930372148859542"/>
    <n v="2993"/>
    <n v="3.5930372148859542"/>
    <s v="[]"/>
    <s v="[]"/>
  </r>
  <r>
    <x v="5"/>
    <s v="360 West Hubbard Street"/>
    <x v="176"/>
    <s v="1205"/>
    <n v="12"/>
    <x v="1"/>
    <n v="1"/>
    <m/>
    <x v="142"/>
    <x v="185"/>
    <x v="237"/>
    <x v="0"/>
    <n v="15"/>
    <n v="3105"/>
    <n v="3.7274909963985596"/>
    <n v="3105"/>
    <n v="3.7274909963985596"/>
    <s v="[]"/>
    <s v="[]"/>
  </r>
  <r>
    <x v="5"/>
    <s v="360 West Hubbard Street"/>
    <x v="176"/>
    <s v="1605"/>
    <n v="16"/>
    <x v="1"/>
    <n v="1"/>
    <m/>
    <x v="142"/>
    <x v="129"/>
    <x v="143"/>
    <x v="0"/>
    <n v="2"/>
    <n v="3116"/>
    <n v="3.7406962785114044"/>
    <n v="3116"/>
    <n v="3.7406962785114044"/>
    <s v="[]"/>
    <s v="[]"/>
  </r>
  <r>
    <x v="5"/>
    <s v="360 West Hubbard Street"/>
    <x v="176"/>
    <s v="2105"/>
    <n v="21"/>
    <x v="1"/>
    <n v="1"/>
    <m/>
    <x v="142"/>
    <x v="223"/>
    <x v="85"/>
    <x v="0"/>
    <n v="93"/>
    <n v="3182"/>
    <n v="3.8199279711884753"/>
    <n v="3182"/>
    <n v="3.8199279711884753"/>
    <s v="[]"/>
    <s v="[]"/>
  </r>
  <r>
    <x v="5"/>
    <s v="360 West Hubbard Street"/>
    <x v="176"/>
    <s v="1405"/>
    <n v="14"/>
    <x v="1"/>
    <n v="1"/>
    <m/>
    <x v="142"/>
    <x v="428"/>
    <x v="439"/>
    <x v="0"/>
    <n v="21"/>
    <n v="3254"/>
    <n v="3.9063625450180073"/>
    <n v="3254"/>
    <n v="3.9063625450180073"/>
    <s v="[]"/>
    <s v="[]"/>
  </r>
  <r>
    <x v="5"/>
    <s v="360 West Hubbard Street"/>
    <x v="176"/>
    <s v="2305"/>
    <n v="23"/>
    <x v="1"/>
    <n v="1"/>
    <m/>
    <x v="142"/>
    <x v="127"/>
    <x v="90"/>
    <x v="0"/>
    <n v="7"/>
    <n v="3270"/>
    <n v="3.9255702280912366"/>
    <n v="3270"/>
    <n v="3.9255702280912366"/>
    <s v="[]"/>
    <s v="[]"/>
  </r>
  <r>
    <x v="5"/>
    <s v="360 West Hubbard Street"/>
    <x v="176"/>
    <s v="1105"/>
    <n v="11"/>
    <x v="1"/>
    <n v="1"/>
    <m/>
    <x v="142"/>
    <x v="369"/>
    <x v="383"/>
    <x v="0"/>
    <n v="236"/>
    <n v="3271"/>
    <n v="3.9267707082833132"/>
    <n v="3271"/>
    <n v="3.9267707082833132"/>
    <s v="[]"/>
    <s v="[]"/>
  </r>
  <r>
    <x v="5"/>
    <s v="360 West Hubbard Street"/>
    <x v="176"/>
    <s v="3805"/>
    <n v="38"/>
    <x v="1"/>
    <n v="1"/>
    <m/>
    <x v="142"/>
    <x v="14"/>
    <x v="435"/>
    <x v="0"/>
    <n v="10"/>
    <n v="3292"/>
    <n v="3.9519807923169266"/>
    <n v="3292"/>
    <n v="3.9519807923169266"/>
    <s v="[]"/>
    <s v="[]"/>
  </r>
  <r>
    <x v="5"/>
    <s v="360 West Hubbard Street"/>
    <x v="176"/>
    <s v="4105"/>
    <n v="41"/>
    <x v="1"/>
    <n v="1"/>
    <m/>
    <x v="142"/>
    <x v="93"/>
    <x v="541"/>
    <x v="0"/>
    <n v="31"/>
    <n v="3316"/>
    <n v="3.9807923169267707"/>
    <n v="3316"/>
    <n v="3.9807923169267707"/>
    <s v="[]"/>
    <s v="[]"/>
  </r>
  <r>
    <x v="5"/>
    <s v="360 West Hubbard Street"/>
    <x v="176"/>
    <s v="3305"/>
    <n v="33"/>
    <x v="1"/>
    <n v="1"/>
    <m/>
    <x v="142"/>
    <x v="491"/>
    <x v="299"/>
    <x v="0"/>
    <n v="4"/>
    <n v="3369"/>
    <n v="4.0444177671068431"/>
    <n v="3369"/>
    <n v="4.0444177671068431"/>
    <s v="[]"/>
    <s v="[]"/>
  </r>
  <r>
    <x v="5"/>
    <s v="360 West Hubbard Street"/>
    <x v="176"/>
    <s v="1305"/>
    <n v="13"/>
    <x v="1"/>
    <n v="1"/>
    <m/>
    <x v="142"/>
    <x v="355"/>
    <x v="457"/>
    <x v="0"/>
    <n v="130"/>
    <n v="3388"/>
    <n v="4.0672268907563023"/>
    <n v="3388"/>
    <n v="4.0672268907563023"/>
    <s v="[]"/>
    <s v="[]"/>
  </r>
  <r>
    <x v="5"/>
    <s v="360 West Hubbard Street"/>
    <x v="176"/>
    <s v="3605"/>
    <n v="36"/>
    <x v="1"/>
    <n v="1"/>
    <m/>
    <x v="142"/>
    <x v="94"/>
    <x v="384"/>
    <x v="0"/>
    <n v="87"/>
    <n v="3435"/>
    <n v="4.1236494597839135"/>
    <n v="3435"/>
    <n v="4.1236494597839135"/>
    <s v="[]"/>
    <s v="[]"/>
  </r>
  <r>
    <x v="5"/>
    <s v="360 West Hubbard Street"/>
    <x v="176"/>
    <s v="4205"/>
    <n v="42"/>
    <x v="1"/>
    <n v="1"/>
    <m/>
    <x v="142"/>
    <x v="130"/>
    <x v="418"/>
    <x v="0"/>
    <m/>
    <n v="3566"/>
    <n v="4.2809123649459782"/>
    <n v="3566"/>
    <n v="4.2809123649459782"/>
    <s v="[]"/>
    <s v="[]"/>
  </r>
  <r>
    <x v="5"/>
    <s v="360 West Hubbard Street"/>
    <x v="177"/>
    <s v="0311"/>
    <n v="3"/>
    <x v="1"/>
    <n v="1"/>
    <m/>
    <x v="143"/>
    <x v="71"/>
    <x v="349"/>
    <x v="0"/>
    <n v="103"/>
    <n v="2486"/>
    <n v="2.8314350797266514"/>
    <n v="2486"/>
    <n v="2.8314350797266514"/>
    <s v="[]"/>
    <s v="[]"/>
  </r>
  <r>
    <x v="5"/>
    <s v="360 West Hubbard Street"/>
    <x v="177"/>
    <s v="0611"/>
    <n v="6"/>
    <x v="1"/>
    <n v="1"/>
    <m/>
    <x v="143"/>
    <x v="100"/>
    <x v="198"/>
    <x v="0"/>
    <n v="15"/>
    <n v="2577"/>
    <n v="2.9350797266514808"/>
    <n v="2577"/>
    <n v="2.9350797266514808"/>
    <s v="[]"/>
    <s v="[]"/>
  </r>
  <r>
    <x v="5"/>
    <s v="360 West Hubbard Street"/>
    <x v="178"/>
    <s v="2009"/>
    <n v="20"/>
    <x v="1"/>
    <n v="1"/>
    <m/>
    <x v="144"/>
    <x v="25"/>
    <x v="115"/>
    <x v="0"/>
    <n v="151"/>
    <n v="3057"/>
    <n v="3.4620611551528877"/>
    <n v="3057"/>
    <n v="3.4620611551528877"/>
    <s v="[]"/>
    <s v="[]"/>
  </r>
  <r>
    <x v="5"/>
    <s v="360 West Hubbard Street"/>
    <x v="178"/>
    <s v="3109"/>
    <n v="31"/>
    <x v="1"/>
    <n v="1"/>
    <m/>
    <x v="144"/>
    <x v="474"/>
    <x v="28"/>
    <x v="1"/>
    <m/>
    <n v="3539"/>
    <n v="4.0079275198187991"/>
    <n v="3539"/>
    <n v="4.0079275198187991"/>
    <s v="[]"/>
    <s v="[]"/>
  </r>
  <r>
    <x v="5"/>
    <s v="360 West Hubbard Street"/>
    <x v="178"/>
    <s v="3209"/>
    <n v="32"/>
    <x v="1"/>
    <n v="1"/>
    <m/>
    <x v="144"/>
    <x v="481"/>
    <x v="102"/>
    <x v="0"/>
    <n v="59"/>
    <n v="3541"/>
    <n v="4.0101925254813136"/>
    <n v="3541"/>
    <n v="4.0101925254813136"/>
    <s v="[]"/>
    <s v="[]"/>
  </r>
  <r>
    <x v="5"/>
    <s v="360 West Hubbard Street"/>
    <x v="178"/>
    <s v="1309"/>
    <n v="13"/>
    <x v="1"/>
    <n v="1"/>
    <m/>
    <x v="145"/>
    <x v="296"/>
    <x v="339"/>
    <x v="0"/>
    <n v="156"/>
    <n v="3149"/>
    <n v="3.4642464246424645"/>
    <n v="3149"/>
    <n v="3.4642464246424645"/>
    <s v="[]"/>
    <s v="[]"/>
  </r>
  <r>
    <x v="5"/>
    <s v="360 West Hubbard Street"/>
    <x v="178"/>
    <s v="1209"/>
    <n v="12"/>
    <x v="1"/>
    <n v="1"/>
    <m/>
    <x v="145"/>
    <x v="138"/>
    <x v="328"/>
    <x v="0"/>
    <n v="31"/>
    <n v="3236"/>
    <n v="3.5599559955995601"/>
    <n v="3236"/>
    <n v="3.5599559955995601"/>
    <s v="[]"/>
    <s v="[]"/>
  </r>
  <r>
    <x v="5"/>
    <s v="360 West Hubbard Street"/>
    <x v="178"/>
    <s v="2709"/>
    <n v="27"/>
    <x v="1"/>
    <n v="1"/>
    <m/>
    <x v="145"/>
    <x v="238"/>
    <x v="513"/>
    <x v="0"/>
    <n v="59"/>
    <n v="3267"/>
    <n v="3.5940594059405941"/>
    <n v="3267"/>
    <n v="3.5940594059405941"/>
    <s v="[]"/>
    <s v="[]"/>
  </r>
  <r>
    <x v="5"/>
    <s v="360 West Hubbard Street"/>
    <x v="178"/>
    <s v="1409"/>
    <n v="14"/>
    <x v="1"/>
    <n v="1"/>
    <m/>
    <x v="145"/>
    <x v="444"/>
    <x v="480"/>
    <x v="0"/>
    <n v="29"/>
    <n v="3341"/>
    <n v="3.6754675467546756"/>
    <n v="3341"/>
    <n v="3.6754675467546756"/>
    <s v="[]"/>
    <s v="[]"/>
  </r>
  <r>
    <x v="5"/>
    <s v="360 West Hubbard Street"/>
    <x v="178"/>
    <s v="3309"/>
    <n v="33"/>
    <x v="1"/>
    <n v="1"/>
    <m/>
    <x v="145"/>
    <x v="112"/>
    <x v="86"/>
    <x v="0"/>
    <n v="123"/>
    <n v="3463"/>
    <n v="3.8096809680968096"/>
    <n v="3463"/>
    <n v="3.8096809680968096"/>
    <s v="[]"/>
    <s v="[]"/>
  </r>
  <r>
    <x v="5"/>
    <s v="360 West Hubbard Street"/>
    <x v="178"/>
    <s v="2309"/>
    <n v="23"/>
    <x v="1"/>
    <n v="1"/>
    <m/>
    <x v="145"/>
    <x v="72"/>
    <x v="527"/>
    <x v="0"/>
    <n v="103"/>
    <n v="3505"/>
    <n v="3.8558855885588561"/>
    <n v="3505"/>
    <n v="3.8558855885588561"/>
    <s v="[]"/>
    <s v="[]"/>
  </r>
  <r>
    <x v="5"/>
    <s v="360 West Hubbard Street"/>
    <x v="178"/>
    <s v="4209"/>
    <n v="42"/>
    <x v="1"/>
    <n v="1"/>
    <m/>
    <x v="145"/>
    <x v="130"/>
    <x v="541"/>
    <x v="0"/>
    <m/>
    <n v="3594"/>
    <n v="3.9537953795379539"/>
    <n v="3594"/>
    <n v="3.9537953795379539"/>
    <s v="[]"/>
    <s v="[]"/>
  </r>
  <r>
    <x v="5"/>
    <s v="360 West Hubbard Street"/>
    <x v="178"/>
    <s v="1109"/>
    <n v="11"/>
    <x v="1"/>
    <n v="1"/>
    <m/>
    <x v="145"/>
    <x v="68"/>
    <x v="296"/>
    <x v="0"/>
    <n v="36"/>
    <n v="3599"/>
    <n v="3.9592959295929595"/>
    <n v="3599"/>
    <n v="3.9592959295929595"/>
    <s v="[]"/>
    <s v="[]"/>
  </r>
  <r>
    <x v="5"/>
    <s v="360 West Hubbard Street"/>
    <x v="178"/>
    <s v="3909"/>
    <n v="39"/>
    <x v="1"/>
    <n v="1"/>
    <m/>
    <x v="145"/>
    <x v="112"/>
    <x v="128"/>
    <x v="0"/>
    <n v="134"/>
    <n v="3613"/>
    <n v="3.9746974697469746"/>
    <n v="3613"/>
    <n v="3.9746974697469746"/>
    <s v="[]"/>
    <s v="[]"/>
  </r>
  <r>
    <x v="5"/>
    <s v="360 West Hubbard Street"/>
    <x v="178"/>
    <s v="3009"/>
    <n v="30"/>
    <x v="1"/>
    <n v="1"/>
    <m/>
    <x v="145"/>
    <x v="343"/>
    <x v="542"/>
    <x v="0"/>
    <n v="26"/>
    <n v="3619"/>
    <n v="3.9812981298129815"/>
    <n v="3619"/>
    <n v="3.9812981298129815"/>
    <s v="[]"/>
    <s v="[]"/>
  </r>
  <r>
    <x v="5"/>
    <s v="360 West Hubbard Street"/>
    <x v="178"/>
    <s v="4109"/>
    <n v="41"/>
    <x v="1"/>
    <n v="1"/>
    <m/>
    <x v="145"/>
    <x v="393"/>
    <x v="468"/>
    <x v="0"/>
    <n v="30"/>
    <n v="3767"/>
    <n v="4.1441144114411443"/>
    <n v="3767"/>
    <n v="4.1441144114411443"/>
    <s v="[]"/>
    <s v="[]"/>
  </r>
  <r>
    <x v="5"/>
    <s v="360 West Hubbard Street"/>
    <x v="170"/>
    <s v="1904"/>
    <n v="19"/>
    <x v="1"/>
    <n v="1"/>
    <m/>
    <x v="125"/>
    <x v="68"/>
    <x v="435"/>
    <x v="0"/>
    <n v="6"/>
    <n v="4064"/>
    <n v="3.7387304507819685"/>
    <n v="4064"/>
    <n v="3.7387304507819685"/>
    <s v="[]"/>
    <s v="[]"/>
  </r>
  <r>
    <x v="5"/>
    <s v="360 West Hubbard Street"/>
    <x v="170"/>
    <s v="1304"/>
    <n v="13"/>
    <x v="1"/>
    <n v="1"/>
    <m/>
    <x v="126"/>
    <x v="130"/>
    <x v="543"/>
    <x v="0"/>
    <m/>
    <n v="3864"/>
    <n v="3.4810810810810811"/>
    <n v="3864"/>
    <n v="3.4810810810810811"/>
    <s v="[]"/>
    <s v="[]"/>
  </r>
  <r>
    <x v="5"/>
    <s v="360 West Hubbard Street"/>
    <x v="179"/>
    <s v="0501"/>
    <n v="5"/>
    <x v="2"/>
    <n v="2"/>
    <m/>
    <x v="146"/>
    <x v="130"/>
    <x v="264"/>
    <x v="0"/>
    <m/>
    <n v="3482"/>
    <n v="2.9583687340696687"/>
    <n v="3482"/>
    <n v="2.9583687340696687"/>
    <s v="[]"/>
    <s v="[]"/>
  </r>
  <r>
    <x v="5"/>
    <s v="360 West Hubbard Street"/>
    <x v="179"/>
    <s v="0701"/>
    <n v="7"/>
    <x v="2"/>
    <n v="2"/>
    <m/>
    <x v="146"/>
    <x v="130"/>
    <x v="78"/>
    <x v="0"/>
    <m/>
    <n v="3486"/>
    <n v="2.9617672047578592"/>
    <n v="3486"/>
    <n v="2.9617672047578592"/>
    <s v="[]"/>
    <s v="[]"/>
  </r>
  <r>
    <x v="5"/>
    <s v="360 West Hubbard Street"/>
    <x v="180"/>
    <s v="1112"/>
    <n v="11"/>
    <x v="2"/>
    <n v="2"/>
    <m/>
    <x v="147"/>
    <x v="279"/>
    <x v="312"/>
    <x v="0"/>
    <n v="81"/>
    <n v="3788"/>
    <n v="3.0973017170891253"/>
    <n v="3788"/>
    <n v="3.0973017170891253"/>
    <s v="[]"/>
    <s v="[]"/>
  </r>
  <r>
    <x v="5"/>
    <s v="360 West Hubbard Street"/>
    <x v="180"/>
    <s v="2612"/>
    <n v="26"/>
    <x v="2"/>
    <n v="2"/>
    <m/>
    <x v="147"/>
    <x v="371"/>
    <x v="511"/>
    <x v="0"/>
    <n v="25"/>
    <n v="3860"/>
    <n v="3.1561733442354867"/>
    <n v="3860"/>
    <n v="3.1561733442354867"/>
    <s v="[]"/>
    <s v="[]"/>
  </r>
  <r>
    <x v="5"/>
    <s v="360 West Hubbard Street"/>
    <x v="180"/>
    <s v="2012"/>
    <n v="20"/>
    <x v="2"/>
    <n v="2"/>
    <m/>
    <x v="147"/>
    <x v="130"/>
    <x v="422"/>
    <x v="0"/>
    <m/>
    <n v="3874"/>
    <n v="3.167620605069501"/>
    <n v="3874"/>
    <n v="3.167620605069501"/>
    <s v="[]"/>
    <s v="[]"/>
  </r>
  <r>
    <x v="5"/>
    <s v="360 West Hubbard Street"/>
    <x v="180"/>
    <s v="3012"/>
    <n v="30"/>
    <x v="2"/>
    <n v="2"/>
    <m/>
    <x v="147"/>
    <x v="130"/>
    <x v="343"/>
    <x v="0"/>
    <m/>
    <n v="3967"/>
    <n v="3.2436631234668849"/>
    <n v="3967"/>
    <n v="3.2436631234668849"/>
    <s v="[]"/>
    <s v="[]"/>
  </r>
  <r>
    <x v="5"/>
    <s v="360 West Hubbard Street"/>
    <x v="180"/>
    <s v="2812"/>
    <n v="28"/>
    <x v="2"/>
    <n v="2"/>
    <m/>
    <x v="147"/>
    <x v="259"/>
    <x v="153"/>
    <x v="0"/>
    <n v="4"/>
    <n v="4162"/>
    <n v="3.4031071136549467"/>
    <n v="4162"/>
    <n v="3.4031071136549467"/>
    <s v="[]"/>
    <s v="[]"/>
  </r>
  <r>
    <x v="5"/>
    <s v="360 West Hubbard Street"/>
    <x v="180"/>
    <s v="1712"/>
    <n v="17"/>
    <x v="2"/>
    <n v="2"/>
    <m/>
    <x v="147"/>
    <x v="381"/>
    <x v="94"/>
    <x v="0"/>
    <n v="160"/>
    <n v="4206"/>
    <n v="3.4390842191332789"/>
    <n v="4206"/>
    <n v="3.4390842191332789"/>
    <s v="[]"/>
    <s v="[]"/>
  </r>
  <r>
    <x v="5"/>
    <s v="360 West Hubbard Street"/>
    <x v="180"/>
    <s v="2112"/>
    <n v="21"/>
    <x v="2"/>
    <n v="2"/>
    <m/>
    <x v="147"/>
    <x v="319"/>
    <x v="129"/>
    <x v="0"/>
    <n v="49"/>
    <n v="4274"/>
    <n v="3.4946852003270648"/>
    <n v="4274"/>
    <n v="3.4946852003270648"/>
    <s v="[]"/>
    <s v="[]"/>
  </r>
  <r>
    <x v="5"/>
    <s v="360 West Hubbard Street"/>
    <x v="180"/>
    <s v="3412"/>
    <n v="34"/>
    <x v="2"/>
    <n v="2"/>
    <m/>
    <x v="147"/>
    <x v="141"/>
    <x v="221"/>
    <x v="0"/>
    <n v="2"/>
    <n v="4321"/>
    <n v="3.5331152902698282"/>
    <n v="4321"/>
    <n v="3.5331152902698282"/>
    <s v="[]"/>
    <s v="[]"/>
  </r>
  <r>
    <x v="5"/>
    <s v="360 West Hubbard Street"/>
    <x v="180"/>
    <s v="3712"/>
    <n v="37"/>
    <x v="2"/>
    <n v="2"/>
    <m/>
    <x v="147"/>
    <x v="492"/>
    <x v="245"/>
    <x v="0"/>
    <n v="129"/>
    <n v="4412"/>
    <n v="3.6075224856909238"/>
    <n v="4412"/>
    <n v="3.6075224856909238"/>
    <s v="[]"/>
    <s v="[]"/>
  </r>
  <r>
    <x v="5"/>
    <s v="360 West Hubbard Street"/>
    <x v="180"/>
    <s v="3212"/>
    <n v="32"/>
    <x v="2"/>
    <n v="2"/>
    <m/>
    <x v="147"/>
    <x v="376"/>
    <x v="544"/>
    <x v="0"/>
    <n v="76"/>
    <n v="4417"/>
    <n v="3.6116107931316437"/>
    <n v="4417"/>
    <n v="3.6116107931316437"/>
    <s v="[]"/>
    <s v="[]"/>
  </r>
  <r>
    <x v="5"/>
    <s v="360 West Hubbard Street"/>
    <x v="180"/>
    <s v="1612"/>
    <n v="16"/>
    <x v="2"/>
    <n v="2"/>
    <m/>
    <x v="147"/>
    <x v="466"/>
    <x v="194"/>
    <x v="0"/>
    <n v="50"/>
    <n v="4422"/>
    <n v="3.6156991005723631"/>
    <n v="4422"/>
    <n v="3.6156991005723631"/>
    <s v="[]"/>
    <s v="[]"/>
  </r>
  <r>
    <x v="5"/>
    <s v="360 West Hubbard Street"/>
    <x v="180"/>
    <s v="2512"/>
    <n v="25"/>
    <x v="2"/>
    <n v="2"/>
    <m/>
    <x v="147"/>
    <x v="234"/>
    <x v="119"/>
    <x v="0"/>
    <n v="71"/>
    <n v="4454"/>
    <n v="3.6418642681929683"/>
    <n v="4454"/>
    <n v="3.6418642681929683"/>
    <s v="[]"/>
    <s v="[]"/>
  </r>
  <r>
    <x v="5"/>
    <s v="360 West Hubbard Street"/>
    <x v="180"/>
    <s v="1012"/>
    <n v="10"/>
    <x v="2"/>
    <n v="2"/>
    <m/>
    <x v="147"/>
    <x v="368"/>
    <x v="71"/>
    <x v="0"/>
    <n v="60"/>
    <n v="4461"/>
    <n v="3.6475878986099755"/>
    <n v="4461"/>
    <n v="3.6475878986099755"/>
    <s v="[]"/>
    <s v="[]"/>
  </r>
  <r>
    <x v="5"/>
    <s v="360 West Hubbard Street"/>
    <x v="180"/>
    <s v="4012"/>
    <n v="40"/>
    <x v="2"/>
    <n v="2"/>
    <m/>
    <x v="147"/>
    <x v="338"/>
    <x v="369"/>
    <x v="0"/>
    <n v="2"/>
    <n v="4480"/>
    <n v="3.6631234668847097"/>
    <n v="4480"/>
    <n v="3.6631234668847097"/>
    <s v="[]"/>
    <s v="[]"/>
  </r>
  <r>
    <x v="5"/>
    <s v="360 West Hubbard Street"/>
    <x v="180"/>
    <s v="2912"/>
    <n v="29"/>
    <x v="2"/>
    <n v="2"/>
    <m/>
    <x v="147"/>
    <x v="6"/>
    <x v="76"/>
    <x v="0"/>
    <n v="195"/>
    <n v="4513"/>
    <n v="3.6901062959934587"/>
    <n v="4513"/>
    <n v="3.6901062959934587"/>
    <s v="[]"/>
    <s v="[]"/>
  </r>
  <r>
    <x v="5"/>
    <s v="360 West Hubbard Street"/>
    <x v="180"/>
    <s v="3512"/>
    <n v="35"/>
    <x v="2"/>
    <n v="2"/>
    <m/>
    <x v="147"/>
    <x v="98"/>
    <x v="64"/>
    <x v="0"/>
    <n v="110"/>
    <n v="4555"/>
    <n v="3.7244480784955027"/>
    <n v="4555"/>
    <n v="3.7244480784955027"/>
    <s v="[]"/>
    <s v="[]"/>
  </r>
  <r>
    <x v="5"/>
    <s v="360 West Hubbard Street"/>
    <x v="180"/>
    <s v="2212"/>
    <n v="22"/>
    <x v="2"/>
    <n v="2"/>
    <m/>
    <x v="147"/>
    <x v="218"/>
    <x v="456"/>
    <x v="0"/>
    <n v="18"/>
    <n v="4571"/>
    <n v="3.7375306623058053"/>
    <n v="4571"/>
    <n v="3.7375306623058053"/>
    <s v="[]"/>
    <s v="[]"/>
  </r>
  <r>
    <x v="5"/>
    <s v="360 West Hubbard Street"/>
    <x v="180"/>
    <s v="3912"/>
    <n v="39"/>
    <x v="2"/>
    <n v="2"/>
    <m/>
    <x v="147"/>
    <x v="101"/>
    <x v="198"/>
    <x v="0"/>
    <n v="9"/>
    <n v="4652"/>
    <n v="3.8037612428454621"/>
    <n v="4652"/>
    <n v="3.8037612428454621"/>
    <s v="[]"/>
    <s v="[]"/>
  </r>
  <r>
    <x v="5"/>
    <s v="360 West Hubbard Street"/>
    <x v="180"/>
    <s v="4212"/>
    <n v="42"/>
    <x v="2"/>
    <n v="2"/>
    <m/>
    <x v="147"/>
    <x v="381"/>
    <x v="11"/>
    <x v="0"/>
    <n v="72"/>
    <n v="4758"/>
    <n v="3.8904333605887165"/>
    <n v="4758"/>
    <n v="3.8904333605887165"/>
    <s v="[]"/>
    <s v="[]"/>
  </r>
  <r>
    <x v="5"/>
    <s v="360 West Hubbard Street"/>
    <x v="180"/>
    <s v="1812"/>
    <n v="18"/>
    <x v="2"/>
    <n v="2"/>
    <m/>
    <x v="147"/>
    <x v="226"/>
    <x v="197"/>
    <x v="0"/>
    <n v="2"/>
    <n v="4951"/>
    <n v="4.0482420278004909"/>
    <n v="4951"/>
    <n v="4.0482420278004909"/>
    <s v="[]"/>
    <s v="[]"/>
  </r>
  <r>
    <x v="5"/>
    <s v="360 West Hubbard Street"/>
    <x v="181"/>
    <s v="0812"/>
    <n v="8"/>
    <x v="2"/>
    <n v="2"/>
    <m/>
    <x v="148"/>
    <x v="144"/>
    <x v="545"/>
    <x v="0"/>
    <n v="43"/>
    <n v="3841"/>
    <n v="2.9937646141855025"/>
    <n v="3841"/>
    <n v="2.9937646141855025"/>
    <s v="[]"/>
    <s v="[]"/>
  </r>
  <r>
    <x v="5"/>
    <s v="360 West Hubbard Street"/>
    <x v="181"/>
    <s v="0712"/>
    <n v="7"/>
    <x v="2"/>
    <n v="2"/>
    <m/>
    <x v="148"/>
    <x v="28"/>
    <x v="149"/>
    <x v="0"/>
    <n v="16"/>
    <n v="3922"/>
    <n v="3.0568978955572876"/>
    <n v="3922"/>
    <n v="3.0568978955572876"/>
    <s v="[]"/>
    <s v="[]"/>
  </r>
  <r>
    <x v="5"/>
    <s v="360 West Hubbard Street"/>
    <x v="181"/>
    <s v="0312"/>
    <n v="3"/>
    <x v="2"/>
    <n v="2"/>
    <m/>
    <x v="148"/>
    <x v="493"/>
    <x v="546"/>
    <x v="0"/>
    <n v="18"/>
    <n v="4055"/>
    <n v="3.1605611847233046"/>
    <n v="4055"/>
    <n v="3.1605611847233046"/>
    <s v="[]"/>
    <s v="[]"/>
  </r>
  <r>
    <x v="5"/>
    <s v="360 West Hubbard Street"/>
    <x v="181"/>
    <s v="0412"/>
    <n v="4"/>
    <x v="2"/>
    <n v="2"/>
    <m/>
    <x v="148"/>
    <x v="354"/>
    <x v="353"/>
    <x v="0"/>
    <n v="3"/>
    <n v="4407"/>
    <n v="3.4349181605611849"/>
    <n v="4407"/>
    <n v="3.4349181605611849"/>
    <s v="[]"/>
    <s v="[]"/>
  </r>
  <r>
    <x v="5"/>
    <s v="360 West Hubbard Street"/>
    <x v="182"/>
    <s v="1301"/>
    <n v="13"/>
    <x v="2"/>
    <n v="2"/>
    <m/>
    <x v="149"/>
    <x v="285"/>
    <x v="547"/>
    <x v="0"/>
    <n v="12"/>
    <n v="4281"/>
    <n v="3.2309433962264151"/>
    <n v="4281"/>
    <n v="3.2309433962264151"/>
    <s v="[]"/>
    <s v="[]"/>
  </r>
  <r>
    <x v="5"/>
    <s v="360 West Hubbard Street"/>
    <x v="182"/>
    <s v="3501"/>
    <n v="35"/>
    <x v="2"/>
    <n v="2"/>
    <m/>
    <x v="149"/>
    <x v="40"/>
    <x v="421"/>
    <x v="0"/>
    <n v="4"/>
    <n v="4429"/>
    <n v="3.3426415094339621"/>
    <n v="4429"/>
    <n v="3.3426415094339621"/>
    <s v="[]"/>
    <s v="[]"/>
  </r>
  <r>
    <x v="5"/>
    <s v="360 West Hubbard Street"/>
    <x v="182"/>
    <s v="1201"/>
    <n v="12"/>
    <x v="2"/>
    <n v="2"/>
    <m/>
    <x v="149"/>
    <x v="100"/>
    <x v="493"/>
    <x v="0"/>
    <n v="288"/>
    <n v="4569"/>
    <n v="3.4483018867924526"/>
    <n v="4569"/>
    <n v="3.4483018867924526"/>
    <s v="[]"/>
    <s v="[]"/>
  </r>
  <r>
    <x v="5"/>
    <s v="360 West Hubbard Street"/>
    <x v="182"/>
    <s v="1901"/>
    <n v="19"/>
    <x v="2"/>
    <n v="2"/>
    <m/>
    <x v="149"/>
    <x v="388"/>
    <x v="138"/>
    <x v="0"/>
    <n v="47"/>
    <n v="4581"/>
    <n v="3.4573584905660377"/>
    <n v="4581"/>
    <n v="3.4573584905660377"/>
    <s v="[]"/>
    <s v="[]"/>
  </r>
  <r>
    <x v="5"/>
    <s v="360 West Hubbard Street"/>
    <x v="182"/>
    <s v="2501"/>
    <n v="25"/>
    <x v="2"/>
    <n v="2"/>
    <m/>
    <x v="149"/>
    <x v="130"/>
    <x v="160"/>
    <x v="0"/>
    <m/>
    <n v="4595"/>
    <n v="3.4679245283018867"/>
    <n v="4595"/>
    <n v="3.4679245283018867"/>
    <s v="[]"/>
    <s v="[]"/>
  </r>
  <r>
    <x v="5"/>
    <s v="360 West Hubbard Street"/>
    <x v="182"/>
    <s v="1401"/>
    <n v="14"/>
    <x v="2"/>
    <n v="2"/>
    <m/>
    <x v="149"/>
    <x v="472"/>
    <x v="320"/>
    <x v="0"/>
    <n v="338"/>
    <n v="4627"/>
    <n v="3.4920754716981133"/>
    <n v="4627"/>
    <n v="3.4920754716981133"/>
    <s v="[]"/>
    <s v="[]"/>
  </r>
  <r>
    <x v="5"/>
    <s v="360 West Hubbard Street"/>
    <x v="182"/>
    <s v="2601"/>
    <n v="26"/>
    <x v="2"/>
    <n v="2"/>
    <m/>
    <x v="149"/>
    <x v="130"/>
    <x v="387"/>
    <x v="0"/>
    <m/>
    <n v="4627"/>
    <n v="3.4920754716981133"/>
    <n v="4627"/>
    <n v="3.4920754716981133"/>
    <s v="[]"/>
    <s v="[]"/>
  </r>
  <r>
    <x v="5"/>
    <s v="360 West Hubbard Street"/>
    <x v="182"/>
    <s v="3101"/>
    <n v="31"/>
    <x v="2"/>
    <n v="2"/>
    <m/>
    <x v="149"/>
    <x v="494"/>
    <x v="155"/>
    <x v="0"/>
    <n v="97"/>
    <n v="4660"/>
    <n v="3.5169811320754718"/>
    <n v="4660"/>
    <n v="3.5169811320754718"/>
    <s v="[]"/>
    <s v="[]"/>
  </r>
  <r>
    <x v="5"/>
    <s v="360 West Hubbard Street"/>
    <x v="182"/>
    <s v="2401"/>
    <n v="24"/>
    <x v="2"/>
    <n v="2"/>
    <m/>
    <x v="149"/>
    <x v="130"/>
    <x v="326"/>
    <x v="0"/>
    <m/>
    <n v="4692"/>
    <n v="3.5411320754716979"/>
    <n v="4692"/>
    <n v="3.5411320754716979"/>
    <s v="[]"/>
    <s v="[]"/>
  </r>
  <r>
    <x v="5"/>
    <s v="360 West Hubbard Street"/>
    <x v="182"/>
    <s v="2101"/>
    <n v="21"/>
    <x v="2"/>
    <n v="2"/>
    <m/>
    <x v="149"/>
    <x v="246"/>
    <x v="153"/>
    <x v="0"/>
    <n v="22"/>
    <n v="4812"/>
    <n v="3.631698113207547"/>
    <n v="4812"/>
    <n v="3.631698113207547"/>
    <s v="[]"/>
    <s v="[]"/>
  </r>
  <r>
    <x v="5"/>
    <s v="360 West Hubbard Street"/>
    <x v="182"/>
    <s v="1801"/>
    <n v="18"/>
    <x v="2"/>
    <n v="2"/>
    <m/>
    <x v="149"/>
    <x v="54"/>
    <x v="548"/>
    <x v="0"/>
    <n v="75"/>
    <n v="4943"/>
    <n v="3.7305660377358492"/>
    <n v="4943"/>
    <n v="3.7305660377358492"/>
    <s v="[]"/>
    <s v="[]"/>
  </r>
  <r>
    <x v="5"/>
    <s v="360 West Hubbard Street"/>
    <x v="182"/>
    <s v="2701"/>
    <n v="27"/>
    <x v="2"/>
    <n v="2"/>
    <m/>
    <x v="149"/>
    <x v="94"/>
    <x v="261"/>
    <x v="0"/>
    <n v="125"/>
    <n v="5030"/>
    <n v="3.7962264150943397"/>
    <n v="5030"/>
    <n v="3.7962264150943397"/>
    <s v="[]"/>
    <s v="[]"/>
  </r>
  <r>
    <x v="5"/>
    <s v="360 West Hubbard Street"/>
    <x v="182"/>
    <s v="1001"/>
    <n v="10"/>
    <x v="2"/>
    <n v="2"/>
    <m/>
    <x v="149"/>
    <x v="491"/>
    <x v="28"/>
    <x v="1"/>
    <m/>
    <n v="5119"/>
    <n v="3.8633962264150945"/>
    <n v="5119"/>
    <n v="3.8633962264150945"/>
    <s v="[]"/>
    <s v="[]"/>
  </r>
  <r>
    <x v="5"/>
    <s v="360 West Hubbard Street"/>
    <x v="182"/>
    <s v="3701"/>
    <n v="37"/>
    <x v="2"/>
    <n v="2"/>
    <m/>
    <x v="149"/>
    <x v="486"/>
    <x v="360"/>
    <x v="0"/>
    <n v="29"/>
    <n v="5221"/>
    <n v="3.9403773584905659"/>
    <n v="5221"/>
    <n v="3.9403773584905659"/>
    <s v="[]"/>
    <s v="[]"/>
  </r>
  <r>
    <x v="6"/>
    <s v="88 East Wacker Place"/>
    <x v="183"/>
    <s v="2209"/>
    <n v="22"/>
    <x v="0"/>
    <n v="1"/>
    <m/>
    <x v="150"/>
    <x v="166"/>
    <x v="478"/>
    <x v="0"/>
    <n v="6"/>
    <n v="2099"/>
    <n v="4.1812749003984067"/>
    <n v="2099"/>
    <n v="4.1812749003984067"/>
    <s v="[]"/>
    <s v="[]"/>
  </r>
  <r>
    <x v="6"/>
    <s v="88 East Wacker Place"/>
    <x v="184"/>
    <s v="3209"/>
    <n v="32"/>
    <x v="0"/>
    <n v="1"/>
    <m/>
    <x v="150"/>
    <x v="403"/>
    <x v="298"/>
    <x v="0"/>
    <n v="76"/>
    <n v="2120"/>
    <n v="4.2231075697211153"/>
    <n v="2120"/>
    <n v="4.2231075697211153"/>
    <s v="[]"/>
    <s v="[balcony_patio]"/>
  </r>
  <r>
    <x v="6"/>
    <s v="88 East Wacker Place"/>
    <x v="183"/>
    <s v="2009"/>
    <n v="20"/>
    <x v="0"/>
    <n v="1"/>
    <m/>
    <x v="150"/>
    <x v="452"/>
    <x v="342"/>
    <x v="0"/>
    <n v="40"/>
    <n v="2143"/>
    <n v="4.2689243027888448"/>
    <n v="2143"/>
    <n v="4.2689243027888448"/>
    <s v="[]"/>
    <s v="[]"/>
  </r>
  <r>
    <x v="6"/>
    <s v="88 East Wacker Place"/>
    <x v="183"/>
    <s v="1909"/>
    <n v="19"/>
    <x v="0"/>
    <n v="1"/>
    <m/>
    <x v="150"/>
    <x v="128"/>
    <x v="91"/>
    <x v="0"/>
    <n v="37"/>
    <n v="2150"/>
    <n v="4.2828685258964141"/>
    <n v="2150"/>
    <n v="4.2828685258964141"/>
    <s v="[]"/>
    <s v="[]"/>
  </r>
  <r>
    <x v="6"/>
    <s v="88 East Wacker Place"/>
    <x v="183"/>
    <s v="3809"/>
    <n v="38"/>
    <x v="0"/>
    <n v="1"/>
    <m/>
    <x v="150"/>
    <x v="370"/>
    <x v="381"/>
    <x v="0"/>
    <n v="163"/>
    <n v="2163"/>
    <n v="4.308764940239044"/>
    <n v="2163"/>
    <n v="4.308764940239044"/>
    <s v="[]"/>
    <s v="[]"/>
  </r>
  <r>
    <x v="6"/>
    <s v="88 East Wacker Place"/>
    <x v="184"/>
    <s v="4509"/>
    <n v="45"/>
    <x v="0"/>
    <n v="1"/>
    <m/>
    <x v="150"/>
    <x v="413"/>
    <x v="126"/>
    <x v="0"/>
    <n v="227"/>
    <n v="2179"/>
    <n v="4.3406374501992033"/>
    <n v="2179"/>
    <n v="4.3406374501992033"/>
    <s v="[]"/>
    <s v="[balcony_patio]"/>
  </r>
  <r>
    <x v="6"/>
    <s v="88 East Wacker Place"/>
    <x v="184"/>
    <s v="2709"/>
    <n v="27"/>
    <x v="0"/>
    <n v="1"/>
    <m/>
    <x v="150"/>
    <x v="248"/>
    <x v="122"/>
    <x v="0"/>
    <n v="83"/>
    <n v="2180"/>
    <n v="4.3426294820717128"/>
    <n v="2180"/>
    <n v="4.3426294820717128"/>
    <s v="[]"/>
    <s v="[balcony_patio]"/>
  </r>
  <r>
    <x v="6"/>
    <s v="88 East Wacker Place"/>
    <x v="183"/>
    <s v="2609"/>
    <n v="26"/>
    <x v="0"/>
    <n v="1"/>
    <m/>
    <x v="150"/>
    <x v="437"/>
    <x v="281"/>
    <x v="0"/>
    <n v="56"/>
    <n v="2186"/>
    <n v="4.3545816733067726"/>
    <n v="2186"/>
    <n v="4.3545816733067726"/>
    <s v="[]"/>
    <s v="[]"/>
  </r>
  <r>
    <x v="6"/>
    <s v="88 East Wacker Place"/>
    <x v="183"/>
    <s v="2309"/>
    <n v="23"/>
    <x v="0"/>
    <n v="1"/>
    <m/>
    <x v="150"/>
    <x v="433"/>
    <x v="200"/>
    <x v="0"/>
    <n v="25"/>
    <n v="2203"/>
    <n v="4.3884462151394423"/>
    <n v="2203"/>
    <n v="4.3884462151394423"/>
    <s v="[]"/>
    <s v="[balcony_patio]"/>
  </r>
  <r>
    <x v="6"/>
    <s v="88 East Wacker Place"/>
    <x v="183"/>
    <s v="2509"/>
    <n v="25"/>
    <x v="0"/>
    <n v="1"/>
    <m/>
    <x v="150"/>
    <x v="462"/>
    <x v="549"/>
    <x v="0"/>
    <n v="36"/>
    <n v="2203"/>
    <n v="4.3884462151394423"/>
    <n v="2203"/>
    <n v="4.3884462151394423"/>
    <s v="[]"/>
    <s v="[]"/>
  </r>
  <r>
    <x v="6"/>
    <s v="88 East Wacker Place"/>
    <x v="184"/>
    <s v="3709"/>
    <n v="37"/>
    <x v="0"/>
    <n v="1"/>
    <m/>
    <x v="150"/>
    <x v="389"/>
    <x v="122"/>
    <x v="0"/>
    <n v="134"/>
    <n v="2207"/>
    <n v="4.3964143426294822"/>
    <n v="2207"/>
    <n v="4.3964143426294822"/>
    <s v="[]"/>
    <s v="[balcony_patio]"/>
  </r>
  <r>
    <x v="6"/>
    <s v="88 East Wacker Place"/>
    <x v="183"/>
    <s v="2409"/>
    <n v="24"/>
    <x v="0"/>
    <n v="1"/>
    <m/>
    <x v="150"/>
    <x v="492"/>
    <x v="149"/>
    <x v="0"/>
    <n v="43"/>
    <n v="2237"/>
    <n v="4.4561752988047809"/>
    <n v="2237"/>
    <n v="4.4561752988047809"/>
    <s v="[]"/>
    <s v="[balcony_patio]"/>
  </r>
  <r>
    <x v="6"/>
    <s v="88 East Wacker Place"/>
    <x v="183"/>
    <s v="3009"/>
    <n v="30"/>
    <x v="0"/>
    <n v="1"/>
    <m/>
    <x v="150"/>
    <x v="52"/>
    <x v="98"/>
    <x v="0"/>
    <n v="103"/>
    <n v="2244"/>
    <n v="4.4701195219123502"/>
    <n v="2244"/>
    <n v="4.4701195219123502"/>
    <s v="[]"/>
    <s v="[]"/>
  </r>
  <r>
    <x v="6"/>
    <s v="88 East Wacker Place"/>
    <x v="183"/>
    <s v="2109"/>
    <n v="21"/>
    <x v="0"/>
    <n v="1"/>
    <m/>
    <x v="150"/>
    <x v="207"/>
    <x v="52"/>
    <x v="0"/>
    <n v="15"/>
    <n v="2261"/>
    <n v="4.5039840637450199"/>
    <n v="2261"/>
    <n v="4.5039840637450199"/>
    <s v="[]"/>
    <s v="[]"/>
  </r>
  <r>
    <x v="6"/>
    <s v="88 East Wacker Place"/>
    <x v="183"/>
    <s v="2809"/>
    <n v="28"/>
    <x v="0"/>
    <n v="1"/>
    <m/>
    <x v="150"/>
    <x v="470"/>
    <x v="550"/>
    <x v="0"/>
    <n v="65"/>
    <n v="2426"/>
    <n v="4.8326693227091635"/>
    <n v="2426"/>
    <n v="4.8326693227091635"/>
    <s v="[]"/>
    <s v="[balcony_patio]"/>
  </r>
  <r>
    <x v="6"/>
    <s v="88 East Wacker Place"/>
    <x v="183"/>
    <s v="3609"/>
    <n v="36"/>
    <x v="0"/>
    <n v="1"/>
    <m/>
    <x v="150"/>
    <x v="344"/>
    <x v="75"/>
    <x v="0"/>
    <n v="16"/>
    <n v="2489"/>
    <n v="4.9581673306772904"/>
    <n v="2489"/>
    <n v="4.9581673306772904"/>
    <s v="[]"/>
    <s v="[balcony_patio]"/>
  </r>
  <r>
    <x v="6"/>
    <s v="88 East Wacker Place"/>
    <x v="183"/>
    <s v="3309"/>
    <n v="33"/>
    <x v="0"/>
    <n v="1"/>
    <m/>
    <x v="150"/>
    <x v="188"/>
    <x v="335"/>
    <x v="0"/>
    <n v="17"/>
    <n v="2498"/>
    <n v="4.9760956175298805"/>
    <n v="2498"/>
    <n v="4.9760956175298805"/>
    <s v="[]"/>
    <s v="[balcony_patio]"/>
  </r>
  <r>
    <x v="6"/>
    <s v="88 East Wacker Place"/>
    <x v="183"/>
    <s v="4009"/>
    <n v="40"/>
    <x v="0"/>
    <n v="1"/>
    <m/>
    <x v="150"/>
    <x v="127"/>
    <x v="448"/>
    <x v="0"/>
    <n v="120"/>
    <n v="2565"/>
    <n v="5.1095617529880482"/>
    <n v="2565"/>
    <n v="5.1095617529880482"/>
    <s v="[]"/>
    <s v="[balcony_patio]"/>
  </r>
  <r>
    <x v="6"/>
    <s v="88 East Wacker Place"/>
    <x v="183"/>
    <s v="4109"/>
    <n v="41"/>
    <x v="0"/>
    <n v="1"/>
    <m/>
    <x v="150"/>
    <x v="108"/>
    <x v="155"/>
    <x v="0"/>
    <n v="71"/>
    <n v="2602"/>
    <n v="5.1832669322709162"/>
    <n v="2602"/>
    <n v="5.1832669322709162"/>
    <s v="[]"/>
    <s v="[]"/>
  </r>
  <r>
    <x v="6"/>
    <s v="88 East Wacker Place"/>
    <x v="183"/>
    <s v="3409"/>
    <n v="34"/>
    <x v="0"/>
    <n v="1"/>
    <m/>
    <x v="150"/>
    <x v="149"/>
    <x v="28"/>
    <x v="1"/>
    <m/>
    <n v="2679"/>
    <n v="5.3366533864541834"/>
    <n v="2679"/>
    <n v="5.3366533864541834"/>
    <s v="[]"/>
    <s v="[balcony_patio]"/>
  </r>
  <r>
    <x v="6"/>
    <s v="88 East Wacker Place"/>
    <x v="184"/>
    <s v="4209"/>
    <n v="42"/>
    <x v="0"/>
    <n v="1"/>
    <m/>
    <x v="150"/>
    <x v="324"/>
    <x v="28"/>
    <x v="1"/>
    <m/>
    <n v="2789"/>
    <n v="5.5557768924302788"/>
    <n v="2789"/>
    <n v="5.5557768924302788"/>
    <s v="[]"/>
    <s v="[balcony_patio]"/>
  </r>
  <r>
    <x v="6"/>
    <s v="88 East Wacker Place"/>
    <x v="183"/>
    <s v="4309"/>
    <n v="43"/>
    <x v="0"/>
    <n v="1"/>
    <m/>
    <x v="150"/>
    <x v="304"/>
    <x v="28"/>
    <x v="1"/>
    <m/>
    <n v="2849"/>
    <n v="5.6752988047808763"/>
    <n v="2849"/>
    <n v="5.6752988047808763"/>
    <s v="[]"/>
    <s v="[balcony_patio]"/>
  </r>
  <r>
    <x v="6"/>
    <s v="88 East Wacker Place"/>
    <x v="183"/>
    <s v="3109"/>
    <n v="31"/>
    <x v="0"/>
    <n v="1"/>
    <m/>
    <x v="150"/>
    <x v="130"/>
    <x v="197"/>
    <x v="0"/>
    <m/>
    <n v="2329"/>
    <n v="4.6394422310756971"/>
    <n v="2329"/>
    <n v="4.6394422310756971"/>
    <s v="[]"/>
    <s v="[]"/>
  </r>
  <r>
    <x v="6"/>
    <s v="88 East Wacker Place"/>
    <x v="183"/>
    <s v="4409"/>
    <n v="44"/>
    <x v="0"/>
    <n v="1"/>
    <m/>
    <x v="150"/>
    <x v="404"/>
    <x v="394"/>
    <x v="0"/>
    <n v="3"/>
    <n v="2475"/>
    <n v="4.930278884462151"/>
    <n v="2475"/>
    <n v="4.930278884462151"/>
    <s v="[]"/>
    <s v="[]"/>
  </r>
  <r>
    <x v="6"/>
    <s v="88 East Wacker Place"/>
    <x v="185"/>
    <s v="1807"/>
    <n v="18"/>
    <x v="0"/>
    <n v="1"/>
    <m/>
    <x v="66"/>
    <x v="324"/>
    <x v="403"/>
    <x v="0"/>
    <n v="2"/>
    <n v="2005"/>
    <n v="3.4930313588850175"/>
    <n v="2005"/>
    <n v="3.4930313588850175"/>
    <s v="[]"/>
    <s v="[balcony_patio]"/>
  </r>
  <r>
    <x v="6"/>
    <s v="88 East Wacker Place"/>
    <x v="185"/>
    <s v="2707"/>
    <n v="27"/>
    <x v="0"/>
    <n v="1"/>
    <m/>
    <x v="66"/>
    <x v="484"/>
    <x v="392"/>
    <x v="0"/>
    <n v="5"/>
    <n v="2095"/>
    <n v="3.6498257839721253"/>
    <n v="2095"/>
    <n v="3.6498257839721253"/>
    <s v="[]"/>
    <s v="[balcony_patio]"/>
  </r>
  <r>
    <x v="6"/>
    <s v="88 East Wacker Place"/>
    <x v="185"/>
    <s v="2507"/>
    <n v="25"/>
    <x v="0"/>
    <n v="1"/>
    <m/>
    <x v="66"/>
    <x v="0"/>
    <x v="42"/>
    <x v="0"/>
    <n v="2"/>
    <n v="2297"/>
    <n v="4.001742160278746"/>
    <n v="2297"/>
    <n v="4.001742160278746"/>
    <s v="[]"/>
    <s v="[balcony_patio]"/>
  </r>
  <r>
    <x v="6"/>
    <s v="88 East Wacker Place"/>
    <x v="185"/>
    <s v="2407"/>
    <n v="24"/>
    <x v="0"/>
    <n v="1"/>
    <m/>
    <x v="66"/>
    <x v="470"/>
    <x v="89"/>
    <x v="0"/>
    <n v="43"/>
    <n v="2354"/>
    <n v="4.1010452961672472"/>
    <n v="2354"/>
    <n v="4.1010452961672472"/>
    <s v="[]"/>
    <s v="[balcony_patio]"/>
  </r>
  <r>
    <x v="6"/>
    <s v="88 East Wacker Place"/>
    <x v="185"/>
    <s v="3407"/>
    <n v="34"/>
    <x v="0"/>
    <n v="1"/>
    <m/>
    <x v="66"/>
    <x v="467"/>
    <x v="131"/>
    <x v="0"/>
    <n v="63"/>
    <n v="2398"/>
    <n v="4.1777003484320554"/>
    <n v="2398"/>
    <n v="4.1777003484320554"/>
    <s v="[]"/>
    <s v="[balcony_patio]"/>
  </r>
  <r>
    <x v="6"/>
    <s v="88 East Wacker Place"/>
    <x v="185"/>
    <s v="3207"/>
    <n v="32"/>
    <x v="0"/>
    <n v="1"/>
    <m/>
    <x v="66"/>
    <x v="235"/>
    <x v="456"/>
    <x v="0"/>
    <n v="114"/>
    <n v="2401"/>
    <n v="4.1829268292682924"/>
    <n v="2401"/>
    <n v="4.1829268292682924"/>
    <s v="[]"/>
    <s v="[balcony_patio]"/>
  </r>
  <r>
    <x v="6"/>
    <s v="88 East Wacker Place"/>
    <x v="185"/>
    <s v="3007"/>
    <n v="30"/>
    <x v="0"/>
    <n v="1"/>
    <m/>
    <x v="66"/>
    <x v="73"/>
    <x v="254"/>
    <x v="0"/>
    <n v="69"/>
    <n v="2430"/>
    <n v="4.2334494773519165"/>
    <n v="2430"/>
    <n v="4.2334494773519165"/>
    <s v="[]"/>
    <s v="[balcony_patio]"/>
  </r>
  <r>
    <x v="6"/>
    <s v="88 East Wacker Place"/>
    <x v="185"/>
    <s v="2907"/>
    <n v="29"/>
    <x v="0"/>
    <n v="1"/>
    <m/>
    <x v="66"/>
    <x v="284"/>
    <x v="497"/>
    <x v="0"/>
    <n v="10"/>
    <n v="2441"/>
    <n v="4.2526132404181185"/>
    <n v="2441"/>
    <n v="4.2526132404181185"/>
    <s v="[]"/>
    <s v="[balcony_patio]"/>
  </r>
  <r>
    <x v="6"/>
    <s v="88 East Wacker Place"/>
    <x v="185"/>
    <s v="3507"/>
    <n v="35"/>
    <x v="0"/>
    <n v="1"/>
    <m/>
    <x v="66"/>
    <x v="41"/>
    <x v="89"/>
    <x v="0"/>
    <n v="126"/>
    <n v="2441"/>
    <n v="4.2526132404181185"/>
    <n v="2441"/>
    <n v="4.2526132404181185"/>
    <s v="[]"/>
    <s v="[balcony_patio]"/>
  </r>
  <r>
    <x v="6"/>
    <s v="88 East Wacker Place"/>
    <x v="185"/>
    <s v="3107"/>
    <n v="31"/>
    <x v="0"/>
    <n v="1"/>
    <m/>
    <x v="66"/>
    <x v="101"/>
    <x v="89"/>
    <x v="0"/>
    <n v="41"/>
    <n v="2552"/>
    <n v="4.4459930313588849"/>
    <n v="2552"/>
    <n v="4.4459930313588849"/>
    <s v="[]"/>
    <s v="[balcony_patio]"/>
  </r>
  <r>
    <x v="6"/>
    <s v="88 East Wacker Place"/>
    <x v="185"/>
    <s v="3307"/>
    <n v="33"/>
    <x v="0"/>
    <n v="1"/>
    <m/>
    <x v="66"/>
    <x v="338"/>
    <x v="137"/>
    <x v="0"/>
    <n v="30"/>
    <n v="2555"/>
    <n v="4.4512195121951219"/>
    <n v="2555"/>
    <n v="4.4512195121951219"/>
    <s v="[]"/>
    <s v="[balcony_patio]"/>
  </r>
  <r>
    <x v="6"/>
    <s v="88 East Wacker Place"/>
    <x v="185"/>
    <s v="3607"/>
    <n v="36"/>
    <x v="0"/>
    <n v="1"/>
    <m/>
    <x v="66"/>
    <x v="13"/>
    <x v="50"/>
    <x v="0"/>
    <n v="22"/>
    <n v="2570"/>
    <n v="4.4773519163763069"/>
    <n v="2570"/>
    <n v="4.4773519163763069"/>
    <s v="[]"/>
    <s v="[balcony_patio]"/>
  </r>
  <r>
    <x v="6"/>
    <s v="88 East Wacker Place"/>
    <x v="185"/>
    <s v="2207"/>
    <n v="22"/>
    <x v="0"/>
    <n v="1"/>
    <m/>
    <x v="66"/>
    <x v="16"/>
    <x v="24"/>
    <x v="0"/>
    <n v="3"/>
    <n v="2478"/>
    <n v="4.3170731707317076"/>
    <n v="2478"/>
    <n v="4.3170731707317076"/>
    <s v="[]"/>
    <s v="[balcony_patio]"/>
  </r>
  <r>
    <x v="6"/>
    <s v="88 East Wacker Place"/>
    <x v="186"/>
    <s v="2904"/>
    <n v="29"/>
    <x v="0"/>
    <n v="1"/>
    <m/>
    <x v="151"/>
    <x v="468"/>
    <x v="94"/>
    <x v="0"/>
    <n v="114"/>
    <n v="2488"/>
    <n v="4.216949152542373"/>
    <n v="2488"/>
    <n v="4.216949152542373"/>
    <s v="[]"/>
    <s v="[]"/>
  </r>
  <r>
    <x v="6"/>
    <s v="88 East Wacker Place"/>
    <x v="186"/>
    <s v="3104"/>
    <n v="31"/>
    <x v="0"/>
    <n v="1"/>
    <m/>
    <x v="151"/>
    <x v="334"/>
    <x v="229"/>
    <x v="0"/>
    <n v="15"/>
    <n v="2494"/>
    <n v="4.2271186440677964"/>
    <n v="2494"/>
    <n v="4.2271186440677964"/>
    <s v="[]"/>
    <s v="[balcony_patio]"/>
  </r>
  <r>
    <x v="6"/>
    <s v="88 East Wacker Place"/>
    <x v="186"/>
    <s v="3004"/>
    <n v="30"/>
    <x v="0"/>
    <n v="1"/>
    <m/>
    <x v="151"/>
    <x v="301"/>
    <x v="268"/>
    <x v="0"/>
    <n v="15"/>
    <n v="2566"/>
    <n v="4.349152542372881"/>
    <n v="2566"/>
    <n v="4.349152542372881"/>
    <s v="[]"/>
    <s v="[]"/>
  </r>
  <r>
    <x v="6"/>
    <s v="88 East Wacker Place"/>
    <x v="186"/>
    <s v="3204"/>
    <n v="32"/>
    <x v="0"/>
    <n v="1"/>
    <m/>
    <x v="151"/>
    <x v="413"/>
    <x v="51"/>
    <x v="0"/>
    <n v="96"/>
    <n v="2636"/>
    <n v="4.4677966101694917"/>
    <n v="2636"/>
    <n v="4.4677966101694917"/>
    <s v="[]"/>
    <s v="[balcony_patio]"/>
  </r>
  <r>
    <x v="6"/>
    <s v="88 East Wacker Place"/>
    <x v="186"/>
    <s v="3304"/>
    <n v="33"/>
    <x v="0"/>
    <n v="1"/>
    <m/>
    <x v="151"/>
    <x v="127"/>
    <x v="228"/>
    <x v="0"/>
    <n v="51"/>
    <n v="2654"/>
    <n v="4.4983050847457626"/>
    <n v="2654"/>
    <n v="4.4983050847457626"/>
    <s v="[]"/>
    <s v="[balcony_patio]"/>
  </r>
  <r>
    <x v="6"/>
    <s v="88 East Wacker Place"/>
    <x v="186"/>
    <s v="3604"/>
    <n v="36"/>
    <x v="0"/>
    <n v="1"/>
    <m/>
    <x v="151"/>
    <x v="7"/>
    <x v="238"/>
    <x v="0"/>
    <n v="24"/>
    <n v="2681"/>
    <n v="4.5440677966101699"/>
    <n v="2681"/>
    <n v="4.5440677966101699"/>
    <s v="[]"/>
    <s v="[balcony_patio]"/>
  </r>
  <r>
    <x v="6"/>
    <s v="88 East Wacker Place"/>
    <x v="186"/>
    <s v="4304"/>
    <n v="43"/>
    <x v="0"/>
    <n v="1"/>
    <m/>
    <x v="151"/>
    <x v="420"/>
    <x v="359"/>
    <x v="0"/>
    <n v="57"/>
    <n v="2692"/>
    <n v="4.5627118644067792"/>
    <n v="2692"/>
    <n v="4.5627118644067792"/>
    <s v="[]"/>
    <s v="[balcony_patio]"/>
  </r>
  <r>
    <x v="6"/>
    <s v="88 East Wacker Place"/>
    <x v="186"/>
    <s v="3504"/>
    <n v="35"/>
    <x v="0"/>
    <n v="1"/>
    <m/>
    <x v="151"/>
    <x v="211"/>
    <x v="110"/>
    <x v="0"/>
    <n v="15"/>
    <n v="2705"/>
    <n v="4.5847457627118642"/>
    <n v="2705"/>
    <n v="4.5847457627118642"/>
    <s v="[]"/>
    <s v="[balcony_patio]"/>
  </r>
  <r>
    <x v="6"/>
    <s v="88 East Wacker Place"/>
    <x v="186"/>
    <s v="2804"/>
    <n v="28"/>
    <x v="0"/>
    <n v="1"/>
    <m/>
    <x v="151"/>
    <x v="174"/>
    <x v="395"/>
    <x v="0"/>
    <n v="31"/>
    <n v="2706"/>
    <n v="4.5864406779661016"/>
    <n v="2706"/>
    <n v="4.5864406779661016"/>
    <s v="[]"/>
    <s v="[balcony_patio]"/>
  </r>
  <r>
    <x v="6"/>
    <s v="88 East Wacker Place"/>
    <x v="186"/>
    <s v="3904"/>
    <n v="39"/>
    <x v="0"/>
    <n v="1"/>
    <m/>
    <x v="151"/>
    <x v="284"/>
    <x v="51"/>
    <x v="0"/>
    <n v="112"/>
    <n v="2958"/>
    <n v="5.0135593220338981"/>
    <n v="2958"/>
    <n v="5.0135593220338981"/>
    <s v="[]"/>
    <s v="[balcony_patio]"/>
  </r>
  <r>
    <x v="6"/>
    <s v="88 East Wacker Place"/>
    <x v="186"/>
    <s v="4104"/>
    <n v="41"/>
    <x v="0"/>
    <n v="1"/>
    <m/>
    <x v="151"/>
    <x v="47"/>
    <x v="448"/>
    <x v="0"/>
    <n v="105"/>
    <n v="2997"/>
    <n v="5.079661016949153"/>
    <n v="2997"/>
    <n v="5.079661016949153"/>
    <s v="[]"/>
    <s v="[]"/>
  </r>
  <r>
    <x v="6"/>
    <s v="88 East Wacker Place"/>
    <x v="186"/>
    <s v="3804"/>
    <n v="38"/>
    <x v="0"/>
    <n v="1"/>
    <m/>
    <x v="151"/>
    <x v="94"/>
    <x v="172"/>
    <x v="0"/>
    <n v="111"/>
    <n v="3020"/>
    <n v="5.1186440677966099"/>
    <n v="3020"/>
    <n v="5.1186440677966099"/>
    <s v="[]"/>
    <s v="[]"/>
  </r>
  <r>
    <x v="6"/>
    <s v="88 East Wacker Place"/>
    <x v="186"/>
    <s v="4204"/>
    <n v="42"/>
    <x v="0"/>
    <n v="1"/>
    <m/>
    <x v="151"/>
    <x v="334"/>
    <x v="28"/>
    <x v="1"/>
    <m/>
    <n v="3264"/>
    <n v="5.5322033898305083"/>
    <n v="3264"/>
    <n v="5.5322033898305083"/>
    <s v="[]"/>
    <s v="[balcony_patio]"/>
  </r>
  <r>
    <x v="6"/>
    <s v="88 East Wacker Place"/>
    <x v="186"/>
    <s v="4404"/>
    <n v="44"/>
    <x v="0"/>
    <n v="1"/>
    <m/>
    <x v="151"/>
    <x v="108"/>
    <x v="28"/>
    <x v="1"/>
    <m/>
    <n v="3289"/>
    <n v="5.5745762711864408"/>
    <n v="3289"/>
    <n v="5.5745762711864408"/>
    <s v="[]"/>
    <s v="[balcony_patio]"/>
  </r>
  <r>
    <x v="6"/>
    <s v="88 East Wacker Place"/>
    <x v="186"/>
    <s v="2304"/>
    <n v="23"/>
    <x v="0"/>
    <n v="1"/>
    <m/>
    <x v="152"/>
    <x v="492"/>
    <x v="497"/>
    <x v="0"/>
    <n v="2"/>
    <n v="2406"/>
    <n v="4.0710659898477157"/>
    <n v="2406"/>
    <n v="4.0710659898477157"/>
    <s v="[]"/>
    <s v="[balcony_patio]"/>
  </r>
  <r>
    <x v="6"/>
    <s v="88 East Wacker Place"/>
    <x v="186"/>
    <s v="2604"/>
    <n v="26"/>
    <x v="0"/>
    <n v="1"/>
    <m/>
    <x v="152"/>
    <x v="79"/>
    <x v="28"/>
    <x v="1"/>
    <m/>
    <n v="2724"/>
    <n v="4.6091370558375635"/>
    <n v="2724"/>
    <n v="4.6091370558375635"/>
    <s v="[]"/>
    <s v="[]"/>
  </r>
  <r>
    <x v="6"/>
    <s v="88 East Wacker Place"/>
    <x v="186"/>
    <s v="1904"/>
    <n v="19"/>
    <x v="0"/>
    <n v="1"/>
    <m/>
    <x v="153"/>
    <x v="290"/>
    <x v="151"/>
    <x v="0"/>
    <n v="50"/>
    <n v="2165"/>
    <n v="3.6083333333333334"/>
    <n v="2165"/>
    <n v="3.6083333333333334"/>
    <s v="[]"/>
    <s v="[]"/>
  </r>
  <r>
    <x v="6"/>
    <s v="88 East Wacker Place"/>
    <x v="186"/>
    <s v="2004"/>
    <n v="20"/>
    <x v="0"/>
    <n v="1"/>
    <m/>
    <x v="153"/>
    <x v="462"/>
    <x v="486"/>
    <x v="0"/>
    <n v="56"/>
    <n v="2423"/>
    <n v="4.0383333333333331"/>
    <n v="2423"/>
    <n v="4.0383333333333331"/>
    <s v="[]"/>
    <s v="[]"/>
  </r>
  <r>
    <x v="6"/>
    <s v="88 East Wacker Place"/>
    <x v="186"/>
    <s v="2104"/>
    <n v="21"/>
    <x v="0"/>
    <n v="1"/>
    <m/>
    <x v="153"/>
    <x v="154"/>
    <x v="123"/>
    <x v="0"/>
    <n v="67"/>
    <n v="3655"/>
    <n v="6.0916666666666668"/>
    <n v="3655"/>
    <n v="6.0916666666666668"/>
    <s v="[]"/>
    <s v="[]"/>
  </r>
  <r>
    <x v="6"/>
    <s v="88 East Wacker Place"/>
    <x v="187"/>
    <s v="1708"/>
    <n v="17"/>
    <x v="0"/>
    <n v="1"/>
    <m/>
    <x v="154"/>
    <x v="31"/>
    <x v="516"/>
    <x v="0"/>
    <n v="2"/>
    <n v="1882"/>
    <n v="3.1004942339373969"/>
    <n v="1882"/>
    <n v="3.1004942339373969"/>
    <s v="[]"/>
    <s v="[balcony_patio]"/>
  </r>
  <r>
    <x v="6"/>
    <s v="88 East Wacker Place"/>
    <x v="187"/>
    <s v="2008"/>
    <n v="20"/>
    <x v="0"/>
    <n v="1"/>
    <m/>
    <x v="154"/>
    <x v="495"/>
    <x v="183"/>
    <x v="0"/>
    <n v="3"/>
    <n v="1999"/>
    <n v="3.2932454695222404"/>
    <n v="1999"/>
    <n v="3.2932454695222404"/>
    <s v="[]"/>
    <s v="[]"/>
  </r>
  <r>
    <x v="6"/>
    <s v="88 East Wacker Place"/>
    <x v="188"/>
    <s v="2808"/>
    <n v="28"/>
    <x v="0"/>
    <n v="1"/>
    <m/>
    <x v="154"/>
    <x v="411"/>
    <x v="276"/>
    <x v="0"/>
    <n v="37"/>
    <n v="2277"/>
    <n v="3.7512355848434926"/>
    <n v="2277"/>
    <n v="3.7512355848434926"/>
    <s v="[]"/>
    <s v="[balcony_patio]"/>
  </r>
  <r>
    <x v="6"/>
    <s v="88 East Wacker Place"/>
    <x v="188"/>
    <s v="2408"/>
    <n v="24"/>
    <x v="0"/>
    <n v="1"/>
    <m/>
    <x v="154"/>
    <x v="323"/>
    <x v="386"/>
    <x v="0"/>
    <n v="13"/>
    <n v="2341"/>
    <n v="3.85667215815486"/>
    <n v="2341"/>
    <n v="3.85667215815486"/>
    <s v="[]"/>
    <s v="[]"/>
  </r>
  <r>
    <x v="6"/>
    <s v="88 East Wacker Place"/>
    <x v="188"/>
    <s v="2308"/>
    <n v="23"/>
    <x v="0"/>
    <n v="1"/>
    <m/>
    <x v="154"/>
    <x v="259"/>
    <x v="289"/>
    <x v="0"/>
    <n v="9"/>
    <n v="2344"/>
    <n v="3.8616144975288305"/>
    <n v="2344"/>
    <n v="3.8616144975288305"/>
    <s v="[]"/>
    <s v="[]"/>
  </r>
  <r>
    <x v="6"/>
    <s v="88 East Wacker Place"/>
    <x v="188"/>
    <s v="2108"/>
    <n v="21"/>
    <x v="0"/>
    <n v="1"/>
    <m/>
    <x v="154"/>
    <x v="84"/>
    <x v="362"/>
    <x v="0"/>
    <n v="14"/>
    <n v="2353"/>
    <n v="3.8764415156507415"/>
    <n v="2353"/>
    <n v="3.8764415156507415"/>
    <s v="[]"/>
    <s v="[balcony_patio]"/>
  </r>
  <r>
    <x v="6"/>
    <s v="88 East Wacker Place"/>
    <x v="188"/>
    <s v="3608"/>
    <n v="36"/>
    <x v="0"/>
    <n v="1"/>
    <m/>
    <x v="154"/>
    <x v="129"/>
    <x v="330"/>
    <x v="0"/>
    <n v="179"/>
    <n v="2410"/>
    <n v="3.970345963756178"/>
    <n v="2410"/>
    <n v="3.970345963756178"/>
    <s v="[]"/>
    <s v="[]"/>
  </r>
  <r>
    <x v="6"/>
    <s v="88 East Wacker Place"/>
    <x v="187"/>
    <s v="2508"/>
    <n v="25"/>
    <x v="0"/>
    <n v="1"/>
    <m/>
    <x v="154"/>
    <x v="39"/>
    <x v="52"/>
    <x v="0"/>
    <n v="3"/>
    <n v="2420"/>
    <n v="3.9868204283360789"/>
    <n v="2420"/>
    <n v="3.9868204283360789"/>
    <s v="[]"/>
    <s v="[]"/>
  </r>
  <r>
    <x v="6"/>
    <s v="88 East Wacker Place"/>
    <x v="187"/>
    <s v="2708"/>
    <n v="27"/>
    <x v="0"/>
    <n v="1"/>
    <m/>
    <x v="154"/>
    <x v="203"/>
    <x v="52"/>
    <x v="0"/>
    <n v="2"/>
    <n v="2440"/>
    <n v="4.019769357495881"/>
    <n v="2440"/>
    <n v="4.019769357495881"/>
    <s v="[]"/>
    <s v="[]"/>
  </r>
  <r>
    <x v="6"/>
    <s v="88 East Wacker Place"/>
    <x v="187"/>
    <s v="3508"/>
    <n v="35"/>
    <x v="0"/>
    <n v="1"/>
    <m/>
    <x v="154"/>
    <x v="174"/>
    <x v="347"/>
    <x v="0"/>
    <n v="23"/>
    <n v="2535"/>
    <n v="4.1762767710049422"/>
    <n v="2535"/>
    <n v="4.1762767710049422"/>
    <s v="[]"/>
    <s v="[]"/>
  </r>
  <r>
    <x v="6"/>
    <s v="88 East Wacker Place"/>
    <x v="188"/>
    <s v="3408"/>
    <n v="34"/>
    <x v="0"/>
    <n v="1"/>
    <m/>
    <x v="154"/>
    <x v="458"/>
    <x v="42"/>
    <x v="0"/>
    <n v="59"/>
    <n v="2537"/>
    <n v="4.1795716639209228"/>
    <n v="2537"/>
    <n v="4.1795716639209228"/>
    <s v="[]"/>
    <s v="[balcony_patio]"/>
  </r>
  <r>
    <x v="6"/>
    <s v="88 East Wacker Place"/>
    <x v="187"/>
    <s v="3008"/>
    <n v="30"/>
    <x v="0"/>
    <n v="1"/>
    <m/>
    <x v="154"/>
    <x v="59"/>
    <x v="44"/>
    <x v="0"/>
    <n v="29"/>
    <n v="2549"/>
    <n v="4.1993410214168039"/>
    <n v="2549"/>
    <n v="4.1993410214168039"/>
    <s v="[]"/>
    <s v="[]"/>
  </r>
  <r>
    <x v="6"/>
    <s v="88 East Wacker Place"/>
    <x v="187"/>
    <s v="3208"/>
    <n v="32"/>
    <x v="0"/>
    <n v="1"/>
    <m/>
    <x v="154"/>
    <x v="333"/>
    <x v="1"/>
    <x v="0"/>
    <n v="2"/>
    <n v="2575"/>
    <n v="4.2421746293245466"/>
    <n v="2575"/>
    <n v="4.2421746293245466"/>
    <s v="[]"/>
    <s v="[]"/>
  </r>
  <r>
    <x v="6"/>
    <s v="88 East Wacker Place"/>
    <x v="188"/>
    <s v="2908"/>
    <n v="29"/>
    <x v="0"/>
    <n v="1"/>
    <m/>
    <x v="154"/>
    <x v="496"/>
    <x v="548"/>
    <x v="0"/>
    <n v="201"/>
    <n v="2579"/>
    <n v="4.2487644151565078"/>
    <n v="2579"/>
    <n v="4.2487644151565078"/>
    <s v="[]"/>
    <s v="[balcony_patio]"/>
  </r>
  <r>
    <x v="6"/>
    <s v="88 East Wacker Place"/>
    <x v="188"/>
    <s v="3308"/>
    <n v="33"/>
    <x v="0"/>
    <n v="1"/>
    <m/>
    <x v="154"/>
    <x v="114"/>
    <x v="28"/>
    <x v="1"/>
    <m/>
    <n v="2799"/>
    <n v="4.6112026359143332"/>
    <n v="2799"/>
    <n v="4.6112026359143332"/>
    <s v="[]"/>
    <s v="[balcony_patio]"/>
  </r>
  <r>
    <x v="6"/>
    <s v="88 East Wacker Place"/>
    <x v="189"/>
    <s v="3707"/>
    <n v="37"/>
    <x v="1"/>
    <n v="1"/>
    <m/>
    <x v="66"/>
    <x v="247"/>
    <x v="551"/>
    <x v="0"/>
    <n v="9"/>
    <n v="2123"/>
    <n v="3.6986062717770034"/>
    <n v="2123"/>
    <n v="3.6986062717770034"/>
    <s v="[]"/>
    <s v="[]"/>
  </r>
  <r>
    <x v="6"/>
    <s v="88 East Wacker Place"/>
    <x v="190"/>
    <s v="3807"/>
    <n v="38"/>
    <x v="1"/>
    <n v="1"/>
    <m/>
    <x v="155"/>
    <x v="497"/>
    <x v="403"/>
    <x v="0"/>
    <n v="146"/>
    <n v="2254"/>
    <n v="3.8996539792387543"/>
    <n v="2254"/>
    <n v="3.8996539792387543"/>
    <s v="[]"/>
    <s v="[]"/>
  </r>
  <r>
    <x v="6"/>
    <s v="88 East Wacker Place"/>
    <x v="190"/>
    <s v="3907"/>
    <n v="39"/>
    <x v="1"/>
    <n v="1"/>
    <m/>
    <x v="155"/>
    <x v="107"/>
    <x v="403"/>
    <x v="0"/>
    <n v="393"/>
    <n v="2263"/>
    <n v="3.9152249134948098"/>
    <n v="2263"/>
    <n v="3.9152249134948098"/>
    <s v="[]"/>
    <s v="[balcony_patio]"/>
  </r>
  <r>
    <x v="6"/>
    <s v="88 East Wacker Place"/>
    <x v="190"/>
    <s v="4507"/>
    <n v="45"/>
    <x v="1"/>
    <n v="1"/>
    <m/>
    <x v="155"/>
    <x v="65"/>
    <x v="430"/>
    <x v="0"/>
    <n v="402"/>
    <n v="2320"/>
    <n v="4.0138408304498272"/>
    <n v="2320"/>
    <n v="4.0138408304498272"/>
    <s v="[]"/>
    <s v="[balcony_patio]"/>
  </r>
  <r>
    <x v="6"/>
    <s v="88 East Wacker Place"/>
    <x v="190"/>
    <s v="4207"/>
    <n v="42"/>
    <x v="1"/>
    <n v="1"/>
    <m/>
    <x v="155"/>
    <x v="78"/>
    <x v="392"/>
    <x v="0"/>
    <n v="120"/>
    <n v="2359"/>
    <n v="4.0813148788927336"/>
    <n v="2359"/>
    <n v="4.0813148788927336"/>
    <s v="[]"/>
    <s v="[balcony_patio]"/>
  </r>
  <r>
    <x v="6"/>
    <s v="88 East Wacker Place"/>
    <x v="190"/>
    <s v="4007"/>
    <n v="40"/>
    <x v="1"/>
    <n v="1"/>
    <m/>
    <x v="155"/>
    <x v="223"/>
    <x v="67"/>
    <x v="0"/>
    <n v="11"/>
    <n v="2446"/>
    <n v="4.2318339100346023"/>
    <n v="2446"/>
    <n v="4.2318339100346023"/>
    <s v="[]"/>
    <s v="[balcony_patio]"/>
  </r>
  <r>
    <x v="6"/>
    <s v="88 East Wacker Place"/>
    <x v="190"/>
    <s v="4407"/>
    <n v="44"/>
    <x v="1"/>
    <n v="1"/>
    <m/>
    <x v="155"/>
    <x v="70"/>
    <x v="430"/>
    <x v="0"/>
    <n v="125"/>
    <n v="2465"/>
    <n v="4.2647058823529411"/>
    <n v="2465"/>
    <n v="4.2647058823529411"/>
    <s v="[]"/>
    <s v="[balcony_patio]"/>
  </r>
  <r>
    <x v="6"/>
    <s v="88 East Wacker Place"/>
    <x v="190"/>
    <s v="4307"/>
    <n v="43"/>
    <x v="1"/>
    <n v="1"/>
    <m/>
    <x v="155"/>
    <x v="173"/>
    <x v="552"/>
    <x v="0"/>
    <n v="165"/>
    <n v="2547"/>
    <n v="4.4065743944636679"/>
    <n v="2547"/>
    <n v="4.4065743944636679"/>
    <s v="[]"/>
    <s v="[balcony_patio]"/>
  </r>
  <r>
    <x v="6"/>
    <s v="88 East Wacker Place"/>
    <x v="190"/>
    <s v="4107"/>
    <n v="41"/>
    <x v="1"/>
    <n v="1"/>
    <m/>
    <x v="155"/>
    <x v="130"/>
    <x v="448"/>
    <x v="0"/>
    <m/>
    <n v="2900"/>
    <n v="5.0173010380622838"/>
    <n v="2900"/>
    <n v="5.0173010380622838"/>
    <s v="[]"/>
    <s v="[balcony_patio]"/>
  </r>
  <r>
    <x v="6"/>
    <s v="88 East Wacker Place"/>
    <x v="191"/>
    <s v="4008"/>
    <n v="40"/>
    <x v="1"/>
    <n v="1"/>
    <m/>
    <x v="154"/>
    <x v="11"/>
    <x v="448"/>
    <x v="0"/>
    <n v="142"/>
    <n v="2609"/>
    <n v="4.2981878088962109"/>
    <n v="2609"/>
    <n v="4.2981878088962109"/>
    <s v="[]"/>
    <s v="[]"/>
  </r>
  <r>
    <x v="6"/>
    <s v="88 East Wacker Place"/>
    <x v="192"/>
    <s v="3708"/>
    <n v="37"/>
    <x v="1"/>
    <n v="1"/>
    <m/>
    <x v="154"/>
    <x v="370"/>
    <x v="174"/>
    <x v="0"/>
    <n v="70"/>
    <n v="2720"/>
    <n v="4.4810543657331134"/>
    <n v="2720"/>
    <n v="4.4810543657331134"/>
    <s v="[]"/>
    <s v="[balcony_patio]"/>
  </r>
  <r>
    <x v="6"/>
    <s v="88 East Wacker Place"/>
    <x v="192"/>
    <s v="4108"/>
    <n v="41"/>
    <x v="1"/>
    <n v="1"/>
    <m/>
    <x v="154"/>
    <x v="128"/>
    <x v="28"/>
    <x v="1"/>
    <m/>
    <n v="2815"/>
    <n v="4.6375617792421746"/>
    <n v="2815"/>
    <n v="4.6375617792421746"/>
    <s v="[]"/>
    <s v="[balcony_patio]"/>
  </r>
  <r>
    <x v="6"/>
    <s v="88 East Wacker Place"/>
    <x v="192"/>
    <s v="4208"/>
    <n v="42"/>
    <x v="1"/>
    <n v="1"/>
    <m/>
    <x v="154"/>
    <x v="413"/>
    <x v="320"/>
    <x v="0"/>
    <n v="294"/>
    <n v="2869"/>
    <n v="4.7265238879736406"/>
    <n v="2869"/>
    <n v="4.7265238879736406"/>
    <s v="[]"/>
    <s v="[balcony_patio]"/>
  </r>
  <r>
    <x v="6"/>
    <s v="88 East Wacker Place"/>
    <x v="192"/>
    <s v="3908"/>
    <n v="39"/>
    <x v="1"/>
    <n v="1"/>
    <m/>
    <x v="154"/>
    <x v="335"/>
    <x v="52"/>
    <x v="0"/>
    <n v="57"/>
    <n v="2878"/>
    <n v="4.7413509060955521"/>
    <n v="2878"/>
    <n v="4.7413509060955521"/>
    <s v="[]"/>
    <s v="[balcony_patio]"/>
  </r>
  <r>
    <x v="6"/>
    <s v="88 East Wacker Place"/>
    <x v="191"/>
    <s v="3808"/>
    <n v="38"/>
    <x v="1"/>
    <n v="1"/>
    <m/>
    <x v="154"/>
    <x v="74"/>
    <x v="98"/>
    <x v="0"/>
    <n v="43"/>
    <n v="3008"/>
    <n v="4.9555189456342665"/>
    <n v="3008"/>
    <n v="4.9555189456342665"/>
    <s v="[]"/>
    <s v="[]"/>
  </r>
  <r>
    <x v="6"/>
    <s v="88 East Wacker Place"/>
    <x v="191"/>
    <s v="4308"/>
    <n v="43"/>
    <x v="1"/>
    <n v="1"/>
    <m/>
    <x v="154"/>
    <x v="130"/>
    <x v="418"/>
    <x v="0"/>
    <m/>
    <n v="2750"/>
    <n v="4.5304777594728174"/>
    <n v="2750"/>
    <n v="4.5304777594728174"/>
    <s v="[]"/>
    <s v="[]"/>
  </r>
  <r>
    <x v="6"/>
    <s v="88 East Wacker Place"/>
    <x v="191"/>
    <s v="4408"/>
    <n v="44"/>
    <x v="1"/>
    <n v="1"/>
    <m/>
    <x v="154"/>
    <x v="130"/>
    <x v="553"/>
    <x v="0"/>
    <m/>
    <n v="2760"/>
    <n v="4.5469522240527187"/>
    <n v="2760"/>
    <n v="4.5469522240527187"/>
    <s v="[]"/>
    <s v="[]"/>
  </r>
  <r>
    <x v="6"/>
    <s v="88 East Wacker Place"/>
    <x v="191"/>
    <s v="4508"/>
    <n v="45"/>
    <x v="1"/>
    <n v="1"/>
    <m/>
    <x v="154"/>
    <x v="130"/>
    <x v="345"/>
    <x v="0"/>
    <m/>
    <n v="2770"/>
    <n v="4.5634266886326191"/>
    <n v="2770"/>
    <n v="4.5634266886326191"/>
    <s v="[]"/>
    <s v="[]"/>
  </r>
  <r>
    <x v="6"/>
    <s v="88 East Wacker Place"/>
    <x v="193"/>
    <s v="4006"/>
    <n v="40"/>
    <x v="1"/>
    <n v="1"/>
    <m/>
    <x v="156"/>
    <x v="481"/>
    <x v="65"/>
    <x v="0"/>
    <n v="213"/>
    <n v="2838"/>
    <n v="4.0427350427350426"/>
    <n v="2838"/>
    <n v="4.0427350427350426"/>
    <s v="[]"/>
    <s v="[balcony_patio]"/>
  </r>
  <r>
    <x v="6"/>
    <s v="88 East Wacker Place"/>
    <x v="193"/>
    <s v="3906"/>
    <n v="39"/>
    <x v="1"/>
    <n v="1"/>
    <m/>
    <x v="156"/>
    <x v="221"/>
    <x v="138"/>
    <x v="0"/>
    <n v="35"/>
    <n v="2872"/>
    <n v="4.0911680911680914"/>
    <n v="2872"/>
    <n v="4.0911680911680914"/>
    <s v="[]"/>
    <s v="[balcony_patio]"/>
  </r>
  <r>
    <x v="6"/>
    <s v="88 East Wacker Place"/>
    <x v="193"/>
    <s v="4206"/>
    <n v="42"/>
    <x v="1"/>
    <n v="1"/>
    <m/>
    <x v="156"/>
    <x v="433"/>
    <x v="19"/>
    <x v="0"/>
    <n v="111"/>
    <n v="2927"/>
    <n v="4.1695156695156692"/>
    <n v="2927"/>
    <n v="4.1695156695156692"/>
    <s v="[]"/>
    <s v="[]"/>
  </r>
  <r>
    <x v="6"/>
    <s v="88 East Wacker Place"/>
    <x v="194"/>
    <s v="3806"/>
    <n v="38"/>
    <x v="1"/>
    <n v="1"/>
    <m/>
    <x v="156"/>
    <x v="142"/>
    <x v="133"/>
    <x v="0"/>
    <n v="115"/>
    <n v="3030"/>
    <n v="4.316239316239316"/>
    <n v="3030"/>
    <n v="4.316239316239316"/>
    <s v="[]"/>
    <s v="[]"/>
  </r>
  <r>
    <x v="6"/>
    <s v="88 East Wacker Place"/>
    <x v="194"/>
    <s v="4106"/>
    <n v="41"/>
    <x v="1"/>
    <n v="1"/>
    <m/>
    <x v="156"/>
    <x v="162"/>
    <x v="28"/>
    <x v="1"/>
    <m/>
    <n v="3065"/>
    <n v="4.366096866096866"/>
    <n v="3065"/>
    <n v="4.366096866096866"/>
    <s v="[]"/>
    <s v="[]"/>
  </r>
  <r>
    <x v="6"/>
    <s v="88 East Wacker Place"/>
    <x v="193"/>
    <s v="4306"/>
    <n v="43"/>
    <x v="1"/>
    <n v="1"/>
    <m/>
    <x v="156"/>
    <x v="498"/>
    <x v="28"/>
    <x v="1"/>
    <m/>
    <n v="3135"/>
    <n v="4.4658119658119659"/>
    <n v="3135"/>
    <n v="4.4658119658119659"/>
    <s v="[]"/>
    <s v="[]"/>
  </r>
  <r>
    <x v="6"/>
    <s v="88 East Wacker Place"/>
    <x v="193"/>
    <s v="4406"/>
    <n v="44"/>
    <x v="1"/>
    <n v="1"/>
    <m/>
    <x v="156"/>
    <x v="124"/>
    <x v="487"/>
    <x v="0"/>
    <n v="13"/>
    <n v="3376"/>
    <n v="4.8091168091168095"/>
    <n v="3376"/>
    <n v="4.8091168091168095"/>
    <s v="[]"/>
    <s v="[balcony_patio]"/>
  </r>
  <r>
    <x v="6"/>
    <s v="88 East Wacker Place"/>
    <x v="193"/>
    <s v="4506"/>
    <n v="45"/>
    <x v="1"/>
    <n v="1"/>
    <m/>
    <x v="156"/>
    <x v="154"/>
    <x v="342"/>
    <x v="0"/>
    <n v="84"/>
    <n v="3421"/>
    <n v="4.8732193732193734"/>
    <n v="3421"/>
    <n v="4.8732193732193734"/>
    <s v="[]"/>
    <s v="[]"/>
  </r>
  <r>
    <x v="6"/>
    <s v="88 East Wacker Place"/>
    <x v="193"/>
    <s v="3706"/>
    <n v="37"/>
    <x v="1"/>
    <n v="1"/>
    <m/>
    <x v="157"/>
    <x v="313"/>
    <x v="23"/>
    <x v="0"/>
    <n v="2"/>
    <n v="2457"/>
    <n v="3.4950213371266003"/>
    <n v="2457"/>
    <n v="3.4950213371266003"/>
    <s v="[]"/>
    <s v="[]"/>
  </r>
  <r>
    <x v="6"/>
    <s v="88 East Wacker Place"/>
    <x v="194"/>
    <s v="3606"/>
    <n v="36"/>
    <x v="1"/>
    <n v="1"/>
    <m/>
    <x v="157"/>
    <x v="411"/>
    <x v="412"/>
    <x v="0"/>
    <n v="7"/>
    <n v="2561"/>
    <n v="3.6429587482219059"/>
    <n v="2561"/>
    <n v="3.6429587482219059"/>
    <s v="[]"/>
    <s v="[]"/>
  </r>
  <r>
    <x v="6"/>
    <s v="88 East Wacker Place"/>
    <x v="194"/>
    <s v="2606"/>
    <n v="26"/>
    <x v="1"/>
    <n v="1"/>
    <m/>
    <x v="157"/>
    <x v="48"/>
    <x v="554"/>
    <x v="0"/>
    <n v="12"/>
    <n v="2683"/>
    <n v="3.8165007112375533"/>
    <n v="2683"/>
    <n v="3.8165007112375533"/>
    <s v="[]"/>
    <s v="[]"/>
  </r>
  <r>
    <x v="6"/>
    <s v="88 East Wacker Place"/>
    <x v="193"/>
    <s v="2206"/>
    <n v="22"/>
    <x v="1"/>
    <n v="1"/>
    <m/>
    <x v="157"/>
    <x v="335"/>
    <x v="469"/>
    <x v="0"/>
    <n v="72"/>
    <n v="2699"/>
    <n v="3.8392603129445235"/>
    <n v="2699"/>
    <n v="3.8392603129445235"/>
    <s v="[]"/>
    <s v="[balcony_patio]"/>
  </r>
  <r>
    <x v="6"/>
    <s v="88 East Wacker Place"/>
    <x v="194"/>
    <s v="2106"/>
    <n v="21"/>
    <x v="1"/>
    <n v="1"/>
    <m/>
    <x v="157"/>
    <x v="240"/>
    <x v="195"/>
    <x v="0"/>
    <n v="6"/>
    <n v="2749"/>
    <n v="3.9103840682788049"/>
    <n v="2749"/>
    <n v="3.9103840682788049"/>
    <s v="[]"/>
    <s v="[balcony_patio]"/>
  </r>
  <r>
    <x v="6"/>
    <s v="88 East Wacker Place"/>
    <x v="193"/>
    <s v="2006"/>
    <n v="20"/>
    <x v="1"/>
    <n v="1"/>
    <m/>
    <x v="157"/>
    <x v="499"/>
    <x v="52"/>
    <x v="0"/>
    <n v="20"/>
    <n v="2785"/>
    <n v="3.9615931721194877"/>
    <n v="2785"/>
    <n v="3.9615931721194877"/>
    <s v="[]"/>
    <s v="[balcony_patio]"/>
  </r>
  <r>
    <x v="6"/>
    <s v="88 East Wacker Place"/>
    <x v="193"/>
    <s v="1706"/>
    <n v="17"/>
    <x v="1"/>
    <n v="1"/>
    <m/>
    <x v="157"/>
    <x v="0"/>
    <x v="483"/>
    <x v="0"/>
    <n v="4"/>
    <n v="2858"/>
    <n v="4.0654338549075391"/>
    <n v="2858"/>
    <n v="4.0654338549075391"/>
    <s v="[]"/>
    <s v="[balcony_patio]"/>
  </r>
  <r>
    <x v="6"/>
    <s v="88 East Wacker Place"/>
    <x v="193"/>
    <s v="2906"/>
    <n v="29"/>
    <x v="1"/>
    <n v="1"/>
    <m/>
    <x v="157"/>
    <x v="101"/>
    <x v="89"/>
    <x v="0"/>
    <n v="41"/>
    <n v="2863"/>
    <n v="4.0725462304409676"/>
    <n v="2863"/>
    <n v="4.0725462304409676"/>
    <s v="[]"/>
    <s v="[]"/>
  </r>
  <r>
    <x v="6"/>
    <s v="88 East Wacker Place"/>
    <x v="194"/>
    <s v="3106"/>
    <n v="31"/>
    <x v="1"/>
    <n v="1"/>
    <m/>
    <x v="157"/>
    <x v="492"/>
    <x v="469"/>
    <x v="0"/>
    <n v="67"/>
    <n v="2870"/>
    <n v="4.0825035561877669"/>
    <n v="2870"/>
    <n v="4.0825035561877669"/>
    <s v="[]"/>
    <s v="[balcony_patio]"/>
  </r>
  <r>
    <x v="6"/>
    <s v="88 East Wacker Place"/>
    <x v="193"/>
    <s v="2306"/>
    <n v="23"/>
    <x v="1"/>
    <n v="1"/>
    <m/>
    <x v="157"/>
    <x v="129"/>
    <x v="435"/>
    <x v="0"/>
    <n v="35"/>
    <n v="2888"/>
    <n v="4.1081081081081079"/>
    <n v="2888"/>
    <n v="4.1081081081081079"/>
    <s v="[]"/>
    <s v="[]"/>
  </r>
  <r>
    <x v="6"/>
    <s v="88 East Wacker Place"/>
    <x v="193"/>
    <s v="3506"/>
    <n v="35"/>
    <x v="1"/>
    <n v="1"/>
    <m/>
    <x v="157"/>
    <x v="335"/>
    <x v="554"/>
    <x v="0"/>
    <n v="80"/>
    <n v="2953"/>
    <n v="4.2005689900426741"/>
    <n v="2953"/>
    <n v="4.2005689900426741"/>
    <s v="[]"/>
    <s v="[balcony_patio]"/>
  </r>
  <r>
    <x v="6"/>
    <s v="88 East Wacker Place"/>
    <x v="193"/>
    <s v="2806"/>
    <n v="28"/>
    <x v="1"/>
    <n v="1"/>
    <m/>
    <x v="157"/>
    <x v="79"/>
    <x v="28"/>
    <x v="1"/>
    <m/>
    <n v="2985"/>
    <n v="4.2460881934566146"/>
    <n v="2985"/>
    <n v="4.2460881934566146"/>
    <s v="[]"/>
    <s v="[]"/>
  </r>
  <r>
    <x v="6"/>
    <s v="88 East Wacker Place"/>
    <x v="193"/>
    <s v="3406"/>
    <n v="34"/>
    <x v="1"/>
    <n v="1"/>
    <m/>
    <x v="157"/>
    <x v="413"/>
    <x v="139"/>
    <x v="0"/>
    <n v="100"/>
    <n v="3050"/>
    <n v="4.3385490753911808"/>
    <n v="3050"/>
    <n v="4.3385490753911808"/>
    <s v="[]"/>
    <s v="[balcony_patio]"/>
  </r>
  <r>
    <x v="6"/>
    <s v="88 East Wacker Place"/>
    <x v="193"/>
    <s v="3006"/>
    <n v="30"/>
    <x v="1"/>
    <n v="1"/>
    <m/>
    <x v="157"/>
    <x v="78"/>
    <x v="490"/>
    <x v="0"/>
    <n v="19"/>
    <n v="3063"/>
    <n v="4.3570412517780941"/>
    <n v="3063"/>
    <n v="4.3570412517780941"/>
    <s v="[]"/>
    <s v="[balcony_patio]"/>
  </r>
  <r>
    <x v="6"/>
    <s v="88 East Wacker Place"/>
    <x v="193"/>
    <s v="3306"/>
    <n v="33"/>
    <x v="1"/>
    <n v="1"/>
    <m/>
    <x v="157"/>
    <x v="220"/>
    <x v="329"/>
    <x v="0"/>
    <n v="10"/>
    <n v="3184"/>
    <n v="4.5291607396870557"/>
    <n v="3184"/>
    <n v="4.5291607396870557"/>
    <s v="[]"/>
    <s v="[balcony_patio]"/>
  </r>
  <r>
    <x v="6"/>
    <s v="88 East Wacker Place"/>
    <x v="193"/>
    <s v="1906"/>
    <n v="19"/>
    <x v="1"/>
    <n v="1"/>
    <m/>
    <x v="157"/>
    <x v="207"/>
    <x v="43"/>
    <x v="0"/>
    <n v="13"/>
    <n v="2775"/>
    <n v="3.9473684210526314"/>
    <n v="2775"/>
    <n v="3.9473684210526314"/>
    <s v="[]"/>
    <s v="[]"/>
  </r>
  <r>
    <x v="6"/>
    <s v="88 East Wacker Place"/>
    <x v="193"/>
    <s v="2406"/>
    <n v="24"/>
    <x v="1"/>
    <n v="1"/>
    <m/>
    <x v="157"/>
    <x v="149"/>
    <x v="28"/>
    <x v="1"/>
    <m/>
    <n v="2823"/>
    <n v="4.0156472261735416"/>
    <n v="2823"/>
    <n v="4.0156472261735416"/>
    <s v="[]"/>
    <s v="[]"/>
  </r>
  <r>
    <x v="6"/>
    <s v="88 East Wacker Place"/>
    <x v="193"/>
    <s v="2506"/>
    <n v="25"/>
    <x v="1"/>
    <n v="1"/>
    <m/>
    <x v="157"/>
    <x v="458"/>
    <x v="501"/>
    <x v="0"/>
    <n v="108"/>
    <n v="4479"/>
    <n v="6.3712660028449504"/>
    <n v="4479"/>
    <n v="6.3712660028449504"/>
    <s v="[]"/>
    <s v="[balcony_patio]"/>
  </r>
  <r>
    <x v="6"/>
    <s v="88 East Wacker Place"/>
    <x v="195"/>
    <s v="2303"/>
    <n v="23"/>
    <x v="1"/>
    <n v="1"/>
    <m/>
    <x v="2"/>
    <x v="185"/>
    <x v="356"/>
    <x v="0"/>
    <n v="2"/>
    <n v="1983"/>
    <n v="2.7656903765690375"/>
    <n v="1983"/>
    <n v="2.7656903765690375"/>
    <s v="[]"/>
    <s v="[]"/>
  </r>
  <r>
    <x v="6"/>
    <s v="88 East Wacker Place"/>
    <x v="196"/>
    <s v="2703"/>
    <n v="27"/>
    <x v="1"/>
    <n v="1"/>
    <m/>
    <x v="2"/>
    <x v="258"/>
    <x v="160"/>
    <x v="0"/>
    <n v="2"/>
    <n v="2250"/>
    <n v="3.1380753138075312"/>
    <n v="2250"/>
    <n v="3.1380753138075312"/>
    <s v="[]"/>
    <s v="[]"/>
  </r>
  <r>
    <x v="6"/>
    <s v="88 East Wacker Place"/>
    <x v="196"/>
    <s v="2103"/>
    <n v="21"/>
    <x v="1"/>
    <n v="1"/>
    <m/>
    <x v="2"/>
    <x v="371"/>
    <x v="441"/>
    <x v="0"/>
    <n v="125"/>
    <n v="2613"/>
    <n v="3.6443514644351462"/>
    <n v="2613"/>
    <n v="3.6443514644351462"/>
    <s v="[]"/>
    <s v="[balcony_patio]"/>
  </r>
  <r>
    <x v="6"/>
    <s v="88 East Wacker Place"/>
    <x v="196"/>
    <s v="2203"/>
    <n v="22"/>
    <x v="1"/>
    <n v="1"/>
    <m/>
    <x v="2"/>
    <x v="469"/>
    <x v="28"/>
    <x v="1"/>
    <m/>
    <n v="2750"/>
    <n v="3.8354253835425385"/>
    <n v="2750"/>
    <n v="3.8354253835425385"/>
    <s v="[]"/>
    <s v="[balcony_patio]"/>
  </r>
  <r>
    <x v="6"/>
    <s v="88 East Wacker Place"/>
    <x v="195"/>
    <s v="2403"/>
    <n v="24"/>
    <x v="1"/>
    <n v="1"/>
    <m/>
    <x v="2"/>
    <x v="335"/>
    <x v="427"/>
    <x v="0"/>
    <n v="13"/>
    <n v="2833"/>
    <n v="3.9511854951185494"/>
    <n v="2833"/>
    <n v="3.9511854951185494"/>
    <s v="[]"/>
    <s v="[balcony_patio]"/>
  </r>
  <r>
    <x v="6"/>
    <s v="88 East Wacker Place"/>
    <x v="196"/>
    <s v="1803"/>
    <n v="18"/>
    <x v="1"/>
    <n v="1"/>
    <m/>
    <x v="2"/>
    <x v="500"/>
    <x v="310"/>
    <x v="0"/>
    <n v="14"/>
    <n v="2833"/>
    <n v="3.9511854951185494"/>
    <n v="2833"/>
    <n v="3.9511854951185494"/>
    <s v="[]"/>
    <s v="[balcony_patio]"/>
  </r>
  <r>
    <x v="6"/>
    <s v="88 East Wacker Place"/>
    <x v="196"/>
    <s v="2603"/>
    <n v="26"/>
    <x v="1"/>
    <n v="1"/>
    <m/>
    <x v="2"/>
    <x v="413"/>
    <x v="483"/>
    <x v="0"/>
    <n v="5"/>
    <n v="2848"/>
    <n v="3.9721059972105999"/>
    <n v="2848"/>
    <n v="3.9721059972105999"/>
    <s v="[]"/>
    <s v="[balcony_patio]"/>
  </r>
  <r>
    <x v="6"/>
    <s v="88 East Wacker Place"/>
    <x v="195"/>
    <s v="1903"/>
    <n v="19"/>
    <x v="1"/>
    <n v="1"/>
    <m/>
    <x v="2"/>
    <x v="329"/>
    <x v="71"/>
    <x v="0"/>
    <n v="6"/>
    <n v="2566"/>
    <n v="3.5788005578800557"/>
    <n v="2566"/>
    <n v="3.5788005578800557"/>
    <s v="[]"/>
    <s v="[]"/>
  </r>
  <r>
    <x v="6"/>
    <s v="88 East Wacker Place"/>
    <x v="197"/>
    <s v="2903"/>
    <n v="29"/>
    <x v="1"/>
    <n v="1"/>
    <m/>
    <x v="132"/>
    <x v="21"/>
    <x v="65"/>
    <x v="0"/>
    <n v="2"/>
    <n v="2328"/>
    <n v="3.2199170124481329"/>
    <n v="2328"/>
    <n v="3.2199170124481329"/>
    <s v="[]"/>
    <s v="[]"/>
  </r>
  <r>
    <x v="6"/>
    <s v="88 East Wacker Place"/>
    <x v="197"/>
    <s v="3203"/>
    <n v="32"/>
    <x v="1"/>
    <n v="1"/>
    <m/>
    <x v="132"/>
    <x v="117"/>
    <x v="113"/>
    <x v="0"/>
    <n v="43"/>
    <n v="2478"/>
    <n v="3.4273858921161824"/>
    <n v="2478"/>
    <n v="3.4273858921161824"/>
    <s v="[]"/>
    <s v="[balcony_patio]"/>
  </r>
  <r>
    <x v="6"/>
    <s v="88 East Wacker Place"/>
    <x v="198"/>
    <s v="2803"/>
    <n v="28"/>
    <x v="1"/>
    <n v="1"/>
    <m/>
    <x v="132"/>
    <x v="87"/>
    <x v="124"/>
    <x v="0"/>
    <n v="9"/>
    <n v="2712"/>
    <n v="3.7510373443983402"/>
    <n v="2712"/>
    <n v="3.7510373443983402"/>
    <s v="[]"/>
    <s v="[balcony_patio]"/>
  </r>
  <r>
    <x v="6"/>
    <s v="88 East Wacker Place"/>
    <x v="197"/>
    <s v="3903"/>
    <n v="39"/>
    <x v="1"/>
    <n v="1"/>
    <m/>
    <x v="132"/>
    <x v="239"/>
    <x v="78"/>
    <x v="0"/>
    <n v="174"/>
    <n v="2878"/>
    <n v="3.9806362378976488"/>
    <n v="2878"/>
    <n v="3.9806362378976488"/>
    <s v="[]"/>
    <s v="[balcony_patio]"/>
  </r>
  <r>
    <x v="6"/>
    <s v="88 East Wacker Place"/>
    <x v="197"/>
    <s v="3603"/>
    <n v="36"/>
    <x v="1"/>
    <n v="1"/>
    <m/>
    <x v="132"/>
    <x v="336"/>
    <x v="88"/>
    <x v="0"/>
    <n v="152"/>
    <n v="2932"/>
    <n v="4.0553250345781464"/>
    <n v="2932"/>
    <n v="4.0553250345781464"/>
    <s v="[]"/>
    <s v="[balcony_patio]"/>
  </r>
  <r>
    <x v="6"/>
    <s v="88 East Wacker Place"/>
    <x v="197"/>
    <s v="3403"/>
    <n v="34"/>
    <x v="1"/>
    <n v="1"/>
    <m/>
    <x v="132"/>
    <x v="74"/>
    <x v="392"/>
    <x v="0"/>
    <n v="8"/>
    <n v="2956"/>
    <n v="4.0885200553250343"/>
    <n v="2956"/>
    <n v="4.0885200553250343"/>
    <s v="[]"/>
    <s v="[]"/>
  </r>
  <r>
    <x v="6"/>
    <s v="88 East Wacker Place"/>
    <x v="198"/>
    <s v="3503"/>
    <n v="35"/>
    <x v="1"/>
    <n v="1"/>
    <m/>
    <x v="132"/>
    <x v="0"/>
    <x v="212"/>
    <x v="0"/>
    <n v="83"/>
    <n v="2971"/>
    <n v="4.1092669432918392"/>
    <n v="2971"/>
    <n v="4.1092669432918392"/>
    <s v="[]"/>
    <s v="[balcony_patio]"/>
  </r>
  <r>
    <x v="6"/>
    <s v="88 East Wacker Place"/>
    <x v="198"/>
    <s v="3703"/>
    <n v="37"/>
    <x v="1"/>
    <n v="1"/>
    <m/>
    <x v="132"/>
    <x v="1"/>
    <x v="362"/>
    <x v="0"/>
    <n v="36"/>
    <n v="2981"/>
    <n v="4.1230982019363758"/>
    <n v="2981"/>
    <n v="4.1230982019363758"/>
    <s v="[]"/>
    <s v="[]"/>
  </r>
  <r>
    <x v="6"/>
    <s v="88 East Wacker Place"/>
    <x v="198"/>
    <s v="3303"/>
    <n v="33"/>
    <x v="1"/>
    <n v="1"/>
    <m/>
    <x v="132"/>
    <x v="498"/>
    <x v="28"/>
    <x v="1"/>
    <m/>
    <n v="2985"/>
    <n v="4.1286307053941913"/>
    <n v="2985"/>
    <n v="4.1286307053941913"/>
    <s v="[]"/>
    <s v="[]"/>
  </r>
  <r>
    <x v="6"/>
    <s v="88 East Wacker Place"/>
    <x v="197"/>
    <s v="4403"/>
    <n v="44"/>
    <x v="1"/>
    <n v="1"/>
    <m/>
    <x v="132"/>
    <x v="437"/>
    <x v="72"/>
    <x v="0"/>
    <n v="95"/>
    <n v="3261"/>
    <n v="4.5103734439834025"/>
    <n v="3261"/>
    <n v="4.5103734439834025"/>
    <s v="[]"/>
    <s v="[]"/>
  </r>
  <r>
    <x v="6"/>
    <s v="88 East Wacker Place"/>
    <x v="198"/>
    <s v="4003"/>
    <n v="40"/>
    <x v="1"/>
    <n v="1"/>
    <m/>
    <x v="132"/>
    <x v="334"/>
    <x v="28"/>
    <x v="1"/>
    <m/>
    <n v="3305"/>
    <n v="4.5712309820193635"/>
    <n v="3305"/>
    <n v="4.5712309820193635"/>
    <s v="[]"/>
    <s v="[]"/>
  </r>
  <r>
    <x v="6"/>
    <s v="88 East Wacker Place"/>
    <x v="198"/>
    <s v="4203"/>
    <n v="42"/>
    <x v="1"/>
    <n v="1"/>
    <m/>
    <x v="132"/>
    <x v="300"/>
    <x v="28"/>
    <x v="1"/>
    <m/>
    <n v="3325"/>
    <n v="4.5988934993084367"/>
    <n v="3325"/>
    <n v="4.5988934993084367"/>
    <s v="[]"/>
    <s v="[balcony_patio]"/>
  </r>
  <r>
    <x v="6"/>
    <s v="88 East Wacker Place"/>
    <x v="198"/>
    <s v="4303"/>
    <n v="43"/>
    <x v="1"/>
    <n v="1"/>
    <m/>
    <x v="132"/>
    <x v="323"/>
    <x v="445"/>
    <x v="0"/>
    <n v="77"/>
    <n v="3409"/>
    <n v="4.7150760719225451"/>
    <n v="3409"/>
    <n v="4.7150760719225451"/>
    <s v="[]"/>
    <s v="[]"/>
  </r>
  <r>
    <x v="6"/>
    <s v="88 East Wacker Place"/>
    <x v="199"/>
    <s v="1810"/>
    <n v="18"/>
    <x v="1"/>
    <n v="1"/>
    <m/>
    <x v="158"/>
    <x v="150"/>
    <x v="23"/>
    <x v="0"/>
    <n v="9"/>
    <n v="2242"/>
    <n v="2.9734748010610081"/>
    <n v="2242"/>
    <n v="2.9734748010610081"/>
    <s v="[]"/>
    <s v="[balcony_patio]"/>
  </r>
  <r>
    <x v="6"/>
    <s v="88 East Wacker Place"/>
    <x v="199"/>
    <s v="2810"/>
    <n v="28"/>
    <x v="1"/>
    <n v="1"/>
    <m/>
    <x v="158"/>
    <x v="259"/>
    <x v="270"/>
    <x v="0"/>
    <n v="8"/>
    <n v="2673"/>
    <n v="3.5450928381962865"/>
    <n v="2673"/>
    <n v="3.5450928381962865"/>
    <s v="[]"/>
    <s v="[]"/>
  </r>
  <r>
    <x v="6"/>
    <s v="88 East Wacker Place"/>
    <x v="200"/>
    <s v="2010"/>
    <n v="20"/>
    <x v="1"/>
    <n v="1"/>
    <m/>
    <x v="158"/>
    <x v="501"/>
    <x v="555"/>
    <x v="0"/>
    <n v="178"/>
    <n v="2754"/>
    <n v="3.6525198938992043"/>
    <n v="2754"/>
    <n v="3.6525198938992043"/>
    <s v="[]"/>
    <s v="[balcony_patio]"/>
  </r>
  <r>
    <x v="6"/>
    <s v="88 East Wacker Place"/>
    <x v="200"/>
    <s v="1910"/>
    <n v="19"/>
    <x v="1"/>
    <n v="1"/>
    <m/>
    <x v="158"/>
    <x v="15"/>
    <x v="323"/>
    <x v="0"/>
    <n v="394"/>
    <n v="2901"/>
    <n v="3.8474801061007957"/>
    <n v="2901"/>
    <n v="3.8474801061007957"/>
    <s v="[]"/>
    <s v="[balcony_patio]"/>
  </r>
  <r>
    <x v="6"/>
    <s v="88 East Wacker Place"/>
    <x v="200"/>
    <s v="1710"/>
    <n v="17"/>
    <x v="1"/>
    <n v="1"/>
    <m/>
    <x v="158"/>
    <x v="238"/>
    <x v="251"/>
    <x v="0"/>
    <n v="221"/>
    <n v="2909"/>
    <n v="3.8580901856763927"/>
    <n v="2909"/>
    <n v="3.8580901856763927"/>
    <s v="[]"/>
    <s v="[balcony_patio]"/>
  </r>
  <r>
    <x v="6"/>
    <s v="88 East Wacker Place"/>
    <x v="200"/>
    <s v="2510"/>
    <n v="25"/>
    <x v="1"/>
    <n v="1"/>
    <m/>
    <x v="158"/>
    <x v="412"/>
    <x v="286"/>
    <x v="0"/>
    <n v="3"/>
    <n v="2994"/>
    <n v="3.9708222811671088"/>
    <n v="2994"/>
    <n v="3.9708222811671088"/>
    <s v="[]"/>
    <s v="[]"/>
  </r>
  <r>
    <x v="6"/>
    <s v="88 East Wacker Place"/>
    <x v="200"/>
    <s v="2910"/>
    <n v="29"/>
    <x v="1"/>
    <n v="1"/>
    <m/>
    <x v="158"/>
    <x v="434"/>
    <x v="491"/>
    <x v="0"/>
    <n v="8"/>
    <n v="3073"/>
    <n v="4.0755968169761276"/>
    <n v="3073"/>
    <n v="4.0755968169761276"/>
    <s v="[]"/>
    <s v="[balcony_patio]"/>
  </r>
  <r>
    <x v="6"/>
    <s v="88 East Wacker Place"/>
    <x v="200"/>
    <s v="4010"/>
    <n v="40"/>
    <x v="1"/>
    <n v="1"/>
    <m/>
    <x v="158"/>
    <x v="200"/>
    <x v="277"/>
    <x v="0"/>
    <n v="32"/>
    <n v="3093"/>
    <n v="4.1021220159151195"/>
    <n v="3093"/>
    <n v="4.1021220159151195"/>
    <s v="[]"/>
    <s v="[]"/>
  </r>
  <r>
    <x v="6"/>
    <s v="88 East Wacker Place"/>
    <x v="200"/>
    <s v="3610"/>
    <n v="36"/>
    <x v="1"/>
    <n v="1"/>
    <m/>
    <x v="158"/>
    <x v="423"/>
    <x v="173"/>
    <x v="0"/>
    <n v="10"/>
    <n v="3117"/>
    <n v="4.1339522546419101"/>
    <n v="3117"/>
    <n v="4.1339522546419101"/>
    <s v="[]"/>
    <s v="[balcony_patio]"/>
  </r>
  <r>
    <x v="6"/>
    <s v="88 East Wacker Place"/>
    <x v="199"/>
    <s v="2310"/>
    <n v="23"/>
    <x v="1"/>
    <n v="1"/>
    <m/>
    <x v="158"/>
    <x v="301"/>
    <x v="28"/>
    <x v="1"/>
    <m/>
    <n v="3185"/>
    <n v="4.2241379310344831"/>
    <n v="3185"/>
    <n v="4.2241379310344831"/>
    <s v="[]"/>
    <s v="[balcony_patio]"/>
  </r>
  <r>
    <x v="6"/>
    <s v="88 East Wacker Place"/>
    <x v="200"/>
    <s v="3210"/>
    <n v="32"/>
    <x v="1"/>
    <n v="1"/>
    <m/>
    <x v="158"/>
    <x v="361"/>
    <x v="455"/>
    <x v="0"/>
    <n v="36"/>
    <n v="3200"/>
    <n v="4.2440318302387272"/>
    <n v="3200"/>
    <n v="4.2440318302387272"/>
    <s v="[]"/>
    <s v="[balcony_patio]"/>
  </r>
  <r>
    <x v="6"/>
    <s v="88 East Wacker Place"/>
    <x v="200"/>
    <s v="2110"/>
    <n v="21"/>
    <x v="1"/>
    <n v="1"/>
    <m/>
    <x v="158"/>
    <x v="294"/>
    <x v="28"/>
    <x v="1"/>
    <m/>
    <n v="3215"/>
    <n v="4.2639257294429704"/>
    <n v="3215"/>
    <n v="4.2639257294429704"/>
    <s v="[]"/>
    <s v="[]"/>
  </r>
  <r>
    <x v="6"/>
    <s v="88 East Wacker Place"/>
    <x v="200"/>
    <s v="3410"/>
    <n v="34"/>
    <x v="1"/>
    <n v="1"/>
    <m/>
    <x v="158"/>
    <x v="42"/>
    <x v="18"/>
    <x v="0"/>
    <n v="6"/>
    <n v="3230"/>
    <n v="4.2838196286472146"/>
    <n v="3230"/>
    <n v="4.2838196286472146"/>
    <s v="[]"/>
    <s v="[]"/>
  </r>
  <r>
    <x v="6"/>
    <s v="88 East Wacker Place"/>
    <x v="200"/>
    <s v="2410"/>
    <n v="24"/>
    <x v="1"/>
    <n v="1"/>
    <m/>
    <x v="158"/>
    <x v="338"/>
    <x v="28"/>
    <x v="1"/>
    <m/>
    <n v="3245"/>
    <n v="4.3037135278514587"/>
    <n v="3245"/>
    <n v="4.3037135278514587"/>
    <s v="[]"/>
    <s v="[balcony_patio]"/>
  </r>
  <r>
    <x v="6"/>
    <s v="88 East Wacker Place"/>
    <x v="199"/>
    <s v="3810"/>
    <n v="38"/>
    <x v="1"/>
    <n v="1"/>
    <m/>
    <x v="158"/>
    <x v="406"/>
    <x v="193"/>
    <x v="0"/>
    <n v="73"/>
    <n v="3261"/>
    <n v="4.3249336870026527"/>
    <n v="3261"/>
    <n v="4.3249336870026527"/>
    <s v="[]"/>
    <s v="[]"/>
  </r>
  <r>
    <x v="6"/>
    <s v="88 East Wacker Place"/>
    <x v="199"/>
    <s v="3310"/>
    <n v="33"/>
    <x v="1"/>
    <n v="1"/>
    <m/>
    <x v="158"/>
    <x v="93"/>
    <x v="526"/>
    <x v="0"/>
    <n v="12"/>
    <n v="3265"/>
    <n v="4.3302387267904505"/>
    <n v="3265"/>
    <n v="4.3302387267904505"/>
    <s v="[]"/>
    <s v="[]"/>
  </r>
  <r>
    <x v="6"/>
    <s v="88 East Wacker Place"/>
    <x v="200"/>
    <s v="3710"/>
    <n v="37"/>
    <x v="1"/>
    <n v="1"/>
    <m/>
    <x v="158"/>
    <x v="393"/>
    <x v="106"/>
    <x v="0"/>
    <n v="20"/>
    <n v="3375"/>
    <n v="4.4761273209549071"/>
    <n v="3375"/>
    <n v="4.4761273209549071"/>
    <s v="[]"/>
    <s v="[balcony_patio]"/>
  </r>
  <r>
    <x v="6"/>
    <s v="88 East Wacker Place"/>
    <x v="200"/>
    <s v="3910"/>
    <n v="39"/>
    <x v="1"/>
    <n v="1"/>
    <m/>
    <x v="158"/>
    <x v="94"/>
    <x v="386"/>
    <x v="0"/>
    <n v="36"/>
    <n v="3407"/>
    <n v="4.5185676392572942"/>
    <n v="3407"/>
    <n v="4.5185676392572942"/>
    <s v="[]"/>
    <s v="[]"/>
  </r>
  <r>
    <x v="6"/>
    <s v="88 East Wacker Place"/>
    <x v="200"/>
    <s v="4410"/>
    <n v="44"/>
    <x v="1"/>
    <n v="1"/>
    <m/>
    <x v="158"/>
    <x v="124"/>
    <x v="52"/>
    <x v="0"/>
    <n v="105"/>
    <n v="3474"/>
    <n v="4.6074270557029173"/>
    <n v="3474"/>
    <n v="4.6074270557029173"/>
    <s v="[]"/>
    <s v="[balcony_patio]"/>
  </r>
  <r>
    <x v="6"/>
    <s v="88 East Wacker Place"/>
    <x v="200"/>
    <s v="3510"/>
    <n v="35"/>
    <x v="1"/>
    <n v="1"/>
    <m/>
    <x v="158"/>
    <x v="149"/>
    <x v="28"/>
    <x v="1"/>
    <m/>
    <n v="3480"/>
    <n v="4.615384615384615"/>
    <n v="3480"/>
    <n v="4.615384615384615"/>
    <s v="[]"/>
    <s v="[]"/>
  </r>
  <r>
    <x v="6"/>
    <s v="88 East Wacker Place"/>
    <x v="200"/>
    <s v="4210"/>
    <n v="42"/>
    <x v="1"/>
    <n v="1"/>
    <m/>
    <x v="158"/>
    <x v="339"/>
    <x v="70"/>
    <x v="0"/>
    <n v="49"/>
    <n v="3574"/>
    <n v="4.7400530503978784"/>
    <n v="3574"/>
    <n v="4.7400530503978784"/>
    <s v="[]"/>
    <s v="[]"/>
  </r>
  <r>
    <x v="6"/>
    <s v="88 East Wacker Place"/>
    <x v="200"/>
    <s v="4110"/>
    <n v="41"/>
    <x v="1"/>
    <n v="1"/>
    <m/>
    <x v="158"/>
    <x v="481"/>
    <x v="483"/>
    <x v="0"/>
    <n v="40"/>
    <n v="3648"/>
    <n v="4.8381962864721482"/>
    <n v="3648"/>
    <n v="4.8381962864721482"/>
    <s v="[]"/>
    <s v="[balcony_patio]"/>
  </r>
  <r>
    <x v="6"/>
    <s v="88 East Wacker Place"/>
    <x v="200"/>
    <s v="3110"/>
    <n v="31"/>
    <x v="1"/>
    <n v="1"/>
    <m/>
    <x v="158"/>
    <x v="31"/>
    <x v="500"/>
    <x v="0"/>
    <n v="7"/>
    <n v="3773"/>
    <n v="5.0039787798408488"/>
    <n v="3773"/>
    <n v="5.0039787798408488"/>
    <s v="[]"/>
    <s v="[balcony_patio]"/>
  </r>
  <r>
    <x v="6"/>
    <s v="88 East Wacker Place"/>
    <x v="200"/>
    <s v="4510"/>
    <n v="45"/>
    <x v="1"/>
    <n v="1"/>
    <m/>
    <x v="158"/>
    <x v="304"/>
    <x v="468"/>
    <x v="0"/>
    <n v="60"/>
    <n v="3774"/>
    <n v="5.0053050397877987"/>
    <n v="3774"/>
    <n v="5.0053050397877987"/>
    <s v="[]"/>
    <s v="[balcony_patio]"/>
  </r>
  <r>
    <x v="6"/>
    <s v="88 East Wacker Place"/>
    <x v="200"/>
    <s v="2210"/>
    <n v="22"/>
    <x v="1"/>
    <n v="1"/>
    <m/>
    <x v="158"/>
    <x v="130"/>
    <x v="353"/>
    <x v="0"/>
    <m/>
    <n v="3103"/>
    <n v="4.115384615384615"/>
    <n v="3103"/>
    <n v="4.115384615384615"/>
    <s v="[]"/>
    <s v="[]"/>
  </r>
  <r>
    <x v="6"/>
    <s v="88 East Wacker Place"/>
    <x v="201"/>
    <s v="1802"/>
    <n v="18"/>
    <x v="1"/>
    <n v="1"/>
    <m/>
    <x v="159"/>
    <x v="70"/>
    <x v="393"/>
    <x v="0"/>
    <n v="53"/>
    <n v="2413"/>
    <n v="3.085677749360614"/>
    <n v="2413"/>
    <n v="3.085677749360614"/>
    <s v="[]"/>
    <s v="[]"/>
  </r>
  <r>
    <x v="6"/>
    <s v="88 East Wacker Place"/>
    <x v="202"/>
    <s v="2402"/>
    <n v="24"/>
    <x v="1"/>
    <n v="1"/>
    <m/>
    <x v="159"/>
    <x v="502"/>
    <x v="506"/>
    <x v="0"/>
    <n v="31"/>
    <n v="2602"/>
    <n v="3.3273657289002556"/>
    <n v="2602"/>
    <n v="3.3273657289002556"/>
    <s v="[]"/>
    <s v="[balcony_patio]"/>
  </r>
  <r>
    <x v="6"/>
    <s v="88 East Wacker Place"/>
    <x v="202"/>
    <s v="2702"/>
    <n v="27"/>
    <x v="1"/>
    <n v="1"/>
    <m/>
    <x v="159"/>
    <x v="69"/>
    <x v="552"/>
    <x v="0"/>
    <n v="67"/>
    <n v="2657"/>
    <n v="3.3976982097186701"/>
    <n v="2657"/>
    <n v="3.3976982097186701"/>
    <s v="[]"/>
    <s v="[balcony_patio]"/>
  </r>
  <r>
    <x v="6"/>
    <s v="88 East Wacker Place"/>
    <x v="202"/>
    <s v="2102"/>
    <n v="21"/>
    <x v="1"/>
    <n v="1"/>
    <m/>
    <x v="159"/>
    <x v="323"/>
    <x v="362"/>
    <x v="0"/>
    <n v="20"/>
    <n v="2687"/>
    <n v="3.4360613810741687"/>
    <n v="2687"/>
    <n v="3.4360613810741687"/>
    <s v="[]"/>
    <s v="[]"/>
  </r>
  <r>
    <x v="6"/>
    <s v="88 East Wacker Place"/>
    <x v="203"/>
    <s v="1702"/>
    <n v="17"/>
    <x v="1"/>
    <n v="1"/>
    <m/>
    <x v="159"/>
    <x v="74"/>
    <x v="28"/>
    <x v="1"/>
    <m/>
    <n v="2750"/>
    <n v="3.5166240409207159"/>
    <n v="2750"/>
    <n v="3.5166240409207159"/>
    <s v="[]"/>
    <s v="[]"/>
  </r>
  <r>
    <x v="6"/>
    <s v="88 East Wacker Place"/>
    <x v="202"/>
    <s v="2002"/>
    <n v="20"/>
    <x v="1"/>
    <n v="1"/>
    <m/>
    <x v="159"/>
    <x v="335"/>
    <x v="41"/>
    <x v="0"/>
    <n v="19"/>
    <n v="2873"/>
    <n v="3.6739130434782608"/>
    <n v="2873"/>
    <n v="3.6739130434782608"/>
    <s v="[]"/>
    <s v="[balcony_patio]"/>
  </r>
  <r>
    <x v="6"/>
    <s v="88 East Wacker Place"/>
    <x v="202"/>
    <s v="2602"/>
    <n v="26"/>
    <x v="1"/>
    <n v="1"/>
    <m/>
    <x v="159"/>
    <x v="338"/>
    <x v="28"/>
    <x v="1"/>
    <m/>
    <n v="2890"/>
    <n v="3.6956521739130435"/>
    <n v="2890"/>
    <n v="3.6956521739130435"/>
    <s v="[]"/>
    <s v="[]"/>
  </r>
  <r>
    <x v="6"/>
    <s v="88 East Wacker Place"/>
    <x v="204"/>
    <s v="3602"/>
    <n v="36"/>
    <x v="1"/>
    <n v="1"/>
    <m/>
    <x v="160"/>
    <x v="307"/>
    <x v="356"/>
    <x v="0"/>
    <n v="4"/>
    <n v="2345"/>
    <n v="2.9422835633626097"/>
    <n v="2345"/>
    <n v="2.9422835633626097"/>
    <s v="[]"/>
    <s v="[]"/>
  </r>
  <r>
    <x v="6"/>
    <s v="88 East Wacker Place"/>
    <x v="205"/>
    <s v="2802"/>
    <n v="28"/>
    <x v="1"/>
    <n v="1"/>
    <m/>
    <x v="160"/>
    <x v="424"/>
    <x v="307"/>
    <x v="0"/>
    <n v="96"/>
    <n v="2739"/>
    <n v="3.4366373902133001"/>
    <n v="2739"/>
    <n v="3.4366373902133001"/>
    <s v="[]"/>
    <s v="[]"/>
  </r>
  <r>
    <x v="6"/>
    <s v="88 East Wacker Place"/>
    <x v="204"/>
    <s v="3102"/>
    <n v="31"/>
    <x v="1"/>
    <n v="1"/>
    <m/>
    <x v="160"/>
    <x v="393"/>
    <x v="386"/>
    <x v="0"/>
    <n v="65"/>
    <n v="2796"/>
    <n v="3.5081555834378921"/>
    <n v="2796"/>
    <n v="3.5081555834378921"/>
    <s v="[]"/>
    <s v="[balcony_patio]"/>
  </r>
  <r>
    <x v="6"/>
    <s v="88 East Wacker Place"/>
    <x v="205"/>
    <s v="3802"/>
    <n v="38"/>
    <x v="1"/>
    <n v="1"/>
    <m/>
    <x v="160"/>
    <x v="105"/>
    <x v="86"/>
    <x v="0"/>
    <n v="2"/>
    <n v="2951"/>
    <n v="3.7026348808030112"/>
    <n v="2951"/>
    <n v="3.7026348808030112"/>
    <s v="[]"/>
    <s v="[]"/>
  </r>
  <r>
    <x v="6"/>
    <s v="88 East Wacker Place"/>
    <x v="204"/>
    <s v="2902"/>
    <n v="29"/>
    <x v="1"/>
    <n v="1"/>
    <m/>
    <x v="160"/>
    <x v="9"/>
    <x v="171"/>
    <x v="0"/>
    <n v="3"/>
    <n v="3031"/>
    <n v="3.8030112923462984"/>
    <n v="3031"/>
    <n v="3.8030112923462984"/>
    <s v="[]"/>
    <s v="[]"/>
  </r>
  <r>
    <x v="6"/>
    <s v="88 East Wacker Place"/>
    <x v="205"/>
    <s v="3502"/>
    <n v="35"/>
    <x v="1"/>
    <n v="1"/>
    <m/>
    <x v="160"/>
    <x v="34"/>
    <x v="28"/>
    <x v="1"/>
    <m/>
    <n v="3055"/>
    <n v="3.8331242158092849"/>
    <n v="3055"/>
    <n v="3.8331242158092849"/>
    <s v="[]"/>
    <s v="[balcony_patio]"/>
  </r>
  <r>
    <x v="6"/>
    <s v="88 East Wacker Place"/>
    <x v="204"/>
    <s v="4102"/>
    <n v="41"/>
    <x v="1"/>
    <n v="1"/>
    <m/>
    <x v="160"/>
    <x v="450"/>
    <x v="556"/>
    <x v="0"/>
    <n v="48"/>
    <n v="3184"/>
    <n v="3.9949811794228358"/>
    <n v="3184"/>
    <n v="3.9949811794228358"/>
    <s v="[]"/>
    <s v="[]"/>
  </r>
  <r>
    <x v="6"/>
    <s v="88 East Wacker Place"/>
    <x v="204"/>
    <s v="4002"/>
    <n v="40"/>
    <x v="1"/>
    <n v="1"/>
    <m/>
    <x v="160"/>
    <x v="503"/>
    <x v="90"/>
    <x v="0"/>
    <n v="73"/>
    <n v="3334"/>
    <n v="4.1831869510664994"/>
    <n v="3334"/>
    <n v="4.1831869510664994"/>
    <s v="[]"/>
    <s v="[balcony_patio]"/>
  </r>
  <r>
    <x v="6"/>
    <s v="88 East Wacker Place"/>
    <x v="204"/>
    <s v="3902"/>
    <n v="39"/>
    <x v="1"/>
    <n v="1"/>
    <m/>
    <x v="160"/>
    <x v="191"/>
    <x v="28"/>
    <x v="1"/>
    <m/>
    <n v="3395"/>
    <n v="4.2597239648682557"/>
    <n v="3395"/>
    <n v="4.2597239648682557"/>
    <s v="[]"/>
    <s v="[]"/>
  </r>
  <r>
    <x v="6"/>
    <s v="88 East Wacker Place"/>
    <x v="206"/>
    <s v="4302"/>
    <n v="43"/>
    <x v="1"/>
    <n v="1"/>
    <m/>
    <x v="161"/>
    <x v="150"/>
    <x v="395"/>
    <x v="0"/>
    <n v="10"/>
    <n v="2701"/>
    <n v="3.3678304239401498"/>
    <n v="2701"/>
    <n v="3.3678304239401498"/>
    <s v="[]"/>
    <s v="[]"/>
  </r>
  <r>
    <x v="6"/>
    <s v="88 East Wacker Place"/>
    <x v="207"/>
    <s v="4402"/>
    <n v="44"/>
    <x v="1"/>
    <n v="1"/>
    <m/>
    <x v="161"/>
    <x v="497"/>
    <x v="349"/>
    <x v="0"/>
    <n v="91"/>
    <n v="2865"/>
    <n v="3.5723192019950125"/>
    <n v="2865"/>
    <n v="3.5723192019950125"/>
    <s v="[]"/>
    <s v="[balcony_patio]"/>
  </r>
  <r>
    <x v="6"/>
    <s v="88 East Wacker Place"/>
    <x v="207"/>
    <s v="4202"/>
    <n v="42"/>
    <x v="1"/>
    <n v="1"/>
    <m/>
    <x v="161"/>
    <x v="433"/>
    <x v="20"/>
    <x v="0"/>
    <n v="126"/>
    <n v="3208"/>
    <n v="4"/>
    <n v="3208"/>
    <n v="4"/>
    <s v="[]"/>
    <s v="[]"/>
  </r>
  <r>
    <x v="6"/>
    <s v="88 East Wacker Place"/>
    <x v="207"/>
    <s v="4502"/>
    <n v="45"/>
    <x v="1"/>
    <n v="1"/>
    <m/>
    <x v="161"/>
    <x v="393"/>
    <x v="498"/>
    <x v="0"/>
    <n v="6"/>
    <n v="3463"/>
    <n v="4.3179551122194511"/>
    <n v="3463"/>
    <n v="4.3179551122194511"/>
    <s v="[]"/>
    <s v="[balcony_patio]"/>
  </r>
  <r>
    <x v="6"/>
    <s v="88 East Wacker Place"/>
    <x v="208"/>
    <s v="1805"/>
    <n v="18"/>
    <x v="2"/>
    <n v="2"/>
    <m/>
    <x v="162"/>
    <x v="433"/>
    <x v="55"/>
    <x v="0"/>
    <n v="78"/>
    <n v="3418"/>
    <n v="3.1415441176470589"/>
    <n v="3418"/>
    <n v="3.1415441176470589"/>
    <s v="[]"/>
    <s v="[balcony_patio]"/>
  </r>
  <r>
    <x v="6"/>
    <s v="88 East Wacker Place"/>
    <x v="208"/>
    <s v="2205"/>
    <n v="22"/>
    <x v="2"/>
    <n v="2"/>
    <m/>
    <x v="162"/>
    <x v="27"/>
    <x v="261"/>
    <x v="0"/>
    <n v="34"/>
    <n v="3540"/>
    <n v="3.2536764705882355"/>
    <n v="3540"/>
    <n v="3.2536764705882355"/>
    <s v="[]"/>
    <s v="[]"/>
  </r>
  <r>
    <x v="6"/>
    <s v="88 East Wacker Place"/>
    <x v="208"/>
    <s v="2005"/>
    <n v="20"/>
    <x v="2"/>
    <n v="2"/>
    <m/>
    <x v="162"/>
    <x v="503"/>
    <x v="171"/>
    <x v="0"/>
    <n v="13"/>
    <n v="3985"/>
    <n v="3.6626838235294117"/>
    <n v="3985"/>
    <n v="3.6626838235294117"/>
    <s v="[]"/>
    <s v="[balcony_patio]"/>
  </r>
  <r>
    <x v="6"/>
    <s v="88 East Wacker Place"/>
    <x v="209"/>
    <s v="1705"/>
    <n v="17"/>
    <x v="2"/>
    <n v="2"/>
    <m/>
    <x v="162"/>
    <x v="117"/>
    <x v="99"/>
    <x v="0"/>
    <n v="90"/>
    <n v="3985"/>
    <n v="3.6626838235294117"/>
    <n v="3985"/>
    <n v="3.6626838235294117"/>
    <s v="[]"/>
    <s v="[]"/>
  </r>
  <r>
    <x v="6"/>
    <s v="88 East Wacker Place"/>
    <x v="209"/>
    <s v="2105"/>
    <n v="21"/>
    <x v="2"/>
    <n v="2"/>
    <m/>
    <x v="162"/>
    <x v="94"/>
    <x v="256"/>
    <x v="0"/>
    <n v="22"/>
    <n v="4050"/>
    <n v="3.7224264705882355"/>
    <n v="4050"/>
    <n v="3.7224264705882355"/>
    <s v="[]"/>
    <s v="[]"/>
  </r>
  <r>
    <x v="6"/>
    <s v="88 East Wacker Place"/>
    <x v="210"/>
    <s v="2505"/>
    <n v="25"/>
    <x v="2"/>
    <n v="2"/>
    <m/>
    <x v="163"/>
    <x v="424"/>
    <x v="59"/>
    <x v="0"/>
    <n v="8"/>
    <n v="3419"/>
    <n v="3.1166818596171377"/>
    <n v="3419"/>
    <n v="3.1166818596171377"/>
    <s v="[]"/>
    <s v="[]"/>
  </r>
  <r>
    <x v="6"/>
    <s v="88 East Wacker Place"/>
    <x v="210"/>
    <s v="2705"/>
    <n v="27"/>
    <x v="2"/>
    <n v="2"/>
    <m/>
    <x v="163"/>
    <x v="154"/>
    <x v="52"/>
    <x v="0"/>
    <n v="23"/>
    <n v="3882"/>
    <n v="3.5387420237010025"/>
    <n v="3882"/>
    <n v="3.5387420237010025"/>
    <s v="[]"/>
    <s v="[]"/>
  </r>
  <r>
    <x v="6"/>
    <s v="88 East Wacker Place"/>
    <x v="210"/>
    <s v="2405"/>
    <n v="24"/>
    <x v="2"/>
    <n v="2"/>
    <m/>
    <x v="163"/>
    <x v="491"/>
    <x v="28"/>
    <x v="1"/>
    <m/>
    <n v="4876"/>
    <n v="4.4448495897903371"/>
    <n v="4876"/>
    <n v="4.4448495897903371"/>
    <s v="[]"/>
    <s v="[balcony_patio]"/>
  </r>
  <r>
    <x v="6"/>
    <s v="88 East Wacker Place"/>
    <x v="210"/>
    <s v="2305"/>
    <n v="23"/>
    <x v="2"/>
    <n v="2"/>
    <m/>
    <x v="163"/>
    <x v="335"/>
    <x v="448"/>
    <x v="0"/>
    <n v="202"/>
    <n v="6350"/>
    <n v="5.7885141294439384"/>
    <n v="6350"/>
    <n v="5.7885141294439384"/>
    <s v="[]"/>
    <s v="[balcony_patio]"/>
  </r>
  <r>
    <x v="6"/>
    <s v="88 East Wacker Place"/>
    <x v="211"/>
    <s v="2905"/>
    <n v="29"/>
    <x v="2"/>
    <n v="2"/>
    <m/>
    <x v="164"/>
    <x v="177"/>
    <x v="527"/>
    <x v="0"/>
    <n v="46"/>
    <n v="3657"/>
    <n v="3.3245454545454547"/>
    <n v="3657"/>
    <n v="3.3245454545454547"/>
    <s v="[]"/>
    <s v="[]"/>
  </r>
  <r>
    <x v="6"/>
    <s v="88 East Wacker Place"/>
    <x v="211"/>
    <s v="3305"/>
    <n v="33"/>
    <x v="2"/>
    <n v="2"/>
    <m/>
    <x v="164"/>
    <x v="504"/>
    <x v="153"/>
    <x v="0"/>
    <n v="45"/>
    <n v="3846"/>
    <n v="3.4963636363636366"/>
    <n v="3846"/>
    <n v="3.4963636363636366"/>
    <s v="[]"/>
    <s v="[balcony_patio]"/>
  </r>
  <r>
    <x v="6"/>
    <s v="88 East Wacker Place"/>
    <x v="211"/>
    <s v="2805"/>
    <n v="28"/>
    <x v="2"/>
    <n v="2"/>
    <m/>
    <x v="164"/>
    <x v="145"/>
    <x v="328"/>
    <x v="0"/>
    <n v="193"/>
    <n v="4028"/>
    <n v="3.6618181818181816"/>
    <n v="4028"/>
    <n v="3.6618181818181816"/>
    <s v="[]"/>
    <s v="[balcony_patio]"/>
  </r>
  <r>
    <x v="6"/>
    <s v="88 East Wacker Place"/>
    <x v="211"/>
    <s v="3905"/>
    <n v="39"/>
    <x v="2"/>
    <n v="2"/>
    <m/>
    <x v="164"/>
    <x v="467"/>
    <x v="270"/>
    <x v="0"/>
    <n v="35"/>
    <n v="4164"/>
    <n v="3.7854545454545456"/>
    <n v="4164"/>
    <n v="3.7854545454545456"/>
    <s v="[]"/>
    <s v="[balcony_patio]"/>
  </r>
  <r>
    <x v="6"/>
    <s v="88 East Wacker Place"/>
    <x v="211"/>
    <s v="3205"/>
    <n v="32"/>
    <x v="2"/>
    <n v="2"/>
    <m/>
    <x v="164"/>
    <x v="329"/>
    <x v="501"/>
    <x v="0"/>
    <n v="17"/>
    <n v="4396"/>
    <n v="3.9963636363636366"/>
    <n v="4396"/>
    <n v="3.9963636363636366"/>
    <s v="[]"/>
    <s v="[]"/>
  </r>
  <r>
    <x v="6"/>
    <s v="88 East Wacker Place"/>
    <x v="212"/>
    <s v="4105"/>
    <n v="41"/>
    <x v="2"/>
    <n v="2"/>
    <m/>
    <x v="164"/>
    <x v="233"/>
    <x v="551"/>
    <x v="0"/>
    <n v="238"/>
    <n v="4405"/>
    <n v="4.0045454545454549"/>
    <n v="4405"/>
    <n v="4.0045454545454549"/>
    <s v="[]"/>
    <s v="[balcony_patio]"/>
  </r>
  <r>
    <x v="6"/>
    <s v="88 East Wacker Place"/>
    <x v="211"/>
    <s v="3805"/>
    <n v="38"/>
    <x v="2"/>
    <n v="2"/>
    <m/>
    <x v="164"/>
    <x v="93"/>
    <x v="557"/>
    <x v="0"/>
    <n v="29"/>
    <n v="4679"/>
    <n v="4.2536363636363639"/>
    <n v="4679"/>
    <n v="4.2536363636363639"/>
    <s v="[]"/>
    <s v="[]"/>
  </r>
  <r>
    <x v="6"/>
    <s v="88 East Wacker Place"/>
    <x v="211"/>
    <s v="4205"/>
    <n v="42"/>
    <x v="2"/>
    <n v="2"/>
    <m/>
    <x v="164"/>
    <x v="280"/>
    <x v="440"/>
    <x v="0"/>
    <n v="15"/>
    <n v="4853"/>
    <n v="4.4118181818181821"/>
    <n v="4853"/>
    <n v="4.4118181818181821"/>
    <s v="[]"/>
    <s v="[]"/>
  </r>
  <r>
    <x v="6"/>
    <s v="88 East Wacker Place"/>
    <x v="211"/>
    <s v="3005"/>
    <n v="30"/>
    <x v="2"/>
    <n v="2"/>
    <m/>
    <x v="164"/>
    <x v="149"/>
    <x v="28"/>
    <x v="1"/>
    <m/>
    <n v="5061"/>
    <n v="4.6009090909090906"/>
    <n v="5061"/>
    <n v="4.6009090909090906"/>
    <s v="[]"/>
    <s v="[balcony_patio]"/>
  </r>
  <r>
    <x v="6"/>
    <s v="88 East Wacker Place"/>
    <x v="211"/>
    <s v="3405"/>
    <n v="34"/>
    <x v="2"/>
    <n v="2"/>
    <m/>
    <x v="164"/>
    <x v="79"/>
    <x v="28"/>
    <x v="1"/>
    <m/>
    <n v="5101"/>
    <n v="4.6372727272727277"/>
    <n v="5101"/>
    <n v="4.6372727272727277"/>
    <s v="[]"/>
    <s v="[balcony_patio]"/>
  </r>
  <r>
    <x v="6"/>
    <s v="88 East Wacker Place"/>
    <x v="211"/>
    <s v="3605"/>
    <n v="36"/>
    <x v="2"/>
    <n v="2"/>
    <m/>
    <x v="164"/>
    <x v="347"/>
    <x v="24"/>
    <x v="0"/>
    <n v="11"/>
    <n v="4295"/>
    <n v="3.9045454545454548"/>
    <n v="4295"/>
    <n v="3.9045454545454548"/>
    <s v="[]"/>
    <s v="[]"/>
  </r>
  <r>
    <x v="6"/>
    <s v="88 East Wacker Place"/>
    <x v="213"/>
    <s v="4401"/>
    <n v="44"/>
    <x v="2"/>
    <n v="2"/>
    <m/>
    <x v="165"/>
    <x v="464"/>
    <x v="35"/>
    <x v="0"/>
    <n v="49"/>
    <n v="4278"/>
    <n v="3.8264758497316635"/>
    <n v="4278"/>
    <n v="3.8264758497316635"/>
    <s v="[]"/>
    <s v="[]"/>
  </r>
  <r>
    <x v="6"/>
    <s v="88 East Wacker Place"/>
    <x v="213"/>
    <s v="4201"/>
    <n v="42"/>
    <x v="2"/>
    <n v="2"/>
    <m/>
    <x v="165"/>
    <x v="393"/>
    <x v="434"/>
    <x v="0"/>
    <n v="96"/>
    <n v="5080"/>
    <n v="4.5438282647584973"/>
    <n v="5080"/>
    <n v="4.5438282647584973"/>
    <s v="[]"/>
    <s v="[balcony_patio]"/>
  </r>
  <r>
    <x v="6"/>
    <s v="88 East Wacker Place"/>
    <x v="213"/>
    <s v="4301"/>
    <n v="43"/>
    <x v="2"/>
    <n v="2"/>
    <m/>
    <x v="165"/>
    <x v="157"/>
    <x v="434"/>
    <x v="0"/>
    <n v="11"/>
    <n v="5086"/>
    <n v="4.5491949910554563"/>
    <n v="5086"/>
    <n v="4.5491949910554563"/>
    <s v="[]"/>
    <s v="[]"/>
  </r>
  <r>
    <x v="6"/>
    <s v="88 East Wacker Place"/>
    <x v="213"/>
    <s v="4501"/>
    <n v="45"/>
    <x v="2"/>
    <n v="2"/>
    <m/>
    <x v="165"/>
    <x v="335"/>
    <x v="346"/>
    <x v="0"/>
    <n v="12"/>
    <n v="5234"/>
    <n v="4.6815742397137745"/>
    <n v="5234"/>
    <n v="4.6815742397137745"/>
    <s v="[]"/>
    <s v="[balcony_patio]"/>
  </r>
  <r>
    <x v="6"/>
    <s v="88 East Wacker Place"/>
    <x v="214"/>
    <s v="3601"/>
    <n v="36"/>
    <x v="2"/>
    <n v="2"/>
    <m/>
    <x v="166"/>
    <x v="467"/>
    <x v="558"/>
    <x v="0"/>
    <n v="9"/>
    <n v="4030"/>
    <n v="3.5886019590382903"/>
    <n v="4030"/>
    <n v="3.5886019590382903"/>
    <s v="[]"/>
    <s v="[balcony_patio]"/>
  </r>
  <r>
    <x v="6"/>
    <s v="88 East Wacker Place"/>
    <x v="214"/>
    <s v="3101"/>
    <n v="31"/>
    <x v="2"/>
    <n v="2"/>
    <m/>
    <x v="166"/>
    <x v="269"/>
    <x v="153"/>
    <x v="0"/>
    <n v="29"/>
    <n v="4068"/>
    <n v="3.6224398931433659"/>
    <n v="4068"/>
    <n v="3.6224398931433659"/>
    <s v="[]"/>
    <s v="[]"/>
  </r>
  <r>
    <x v="6"/>
    <s v="88 East Wacker Place"/>
    <x v="214"/>
    <s v="3001"/>
    <n v="30"/>
    <x v="2"/>
    <n v="2"/>
    <m/>
    <x v="166"/>
    <x v="108"/>
    <x v="408"/>
    <x v="0"/>
    <n v="4"/>
    <n v="4107"/>
    <n v="3.6571682991985752"/>
    <n v="4107"/>
    <n v="3.6571682991985752"/>
    <s v="[]"/>
    <s v="[]"/>
  </r>
  <r>
    <x v="6"/>
    <s v="88 East Wacker Place"/>
    <x v="214"/>
    <s v="3701"/>
    <n v="37"/>
    <x v="2"/>
    <n v="2"/>
    <m/>
    <x v="166"/>
    <x v="78"/>
    <x v="200"/>
    <x v="0"/>
    <n v="26"/>
    <n v="4444"/>
    <n v="3.9572573463935887"/>
    <n v="4444"/>
    <n v="3.9572573463935887"/>
    <s v="[]"/>
    <s v="[]"/>
  </r>
  <r>
    <x v="6"/>
    <s v="88 East Wacker Place"/>
    <x v="214"/>
    <s v="3201"/>
    <n v="32"/>
    <x v="2"/>
    <n v="2"/>
    <m/>
    <x v="166"/>
    <x v="452"/>
    <x v="434"/>
    <x v="0"/>
    <n v="29"/>
    <n v="4726"/>
    <n v="4.208370436331256"/>
    <n v="4726"/>
    <n v="4.208370436331256"/>
    <s v="[]"/>
    <s v="[]"/>
  </r>
  <r>
    <x v="6"/>
    <s v="88 East Wacker Place"/>
    <x v="214"/>
    <s v="2801"/>
    <n v="28"/>
    <x v="2"/>
    <n v="2"/>
    <m/>
    <x v="166"/>
    <x v="176"/>
    <x v="500"/>
    <x v="0"/>
    <n v="165"/>
    <n v="4834"/>
    <n v="4.3045414069456811"/>
    <n v="4834"/>
    <n v="4.3045414069456811"/>
    <s v="[]"/>
    <s v="[]"/>
  </r>
  <r>
    <x v="6"/>
    <s v="88 East Wacker Place"/>
    <x v="214"/>
    <s v="4101"/>
    <n v="41"/>
    <x v="2"/>
    <n v="2"/>
    <m/>
    <x v="166"/>
    <x v="157"/>
    <x v="413"/>
    <x v="0"/>
    <n v="199"/>
    <n v="4887"/>
    <n v="4.3517364203027604"/>
    <n v="4887"/>
    <n v="4.3517364203027604"/>
    <s v="[]"/>
    <s v="[]"/>
  </r>
  <r>
    <x v="6"/>
    <s v="88 East Wacker Place"/>
    <x v="214"/>
    <s v="3801"/>
    <n v="38"/>
    <x v="2"/>
    <n v="2"/>
    <m/>
    <x v="166"/>
    <x v="505"/>
    <x v="28"/>
    <x v="1"/>
    <m/>
    <n v="5616"/>
    <n v="5.0008904719501333"/>
    <n v="5616"/>
    <n v="5.0008904719501333"/>
    <s v="[]"/>
    <s v="[]"/>
  </r>
  <r>
    <x v="6"/>
    <s v="88 East Wacker Place"/>
    <x v="215"/>
    <s v="1801"/>
    <n v="18"/>
    <x v="2"/>
    <n v="2"/>
    <m/>
    <x v="167"/>
    <x v="433"/>
    <x v="448"/>
    <x v="0"/>
    <n v="84"/>
    <n v="3573"/>
    <n v="3.1507936507936507"/>
    <n v="3573"/>
    <n v="3.1507936507936507"/>
    <s v="[]"/>
    <s v="[balcony_patio]"/>
  </r>
  <r>
    <x v="6"/>
    <s v="88 East Wacker Place"/>
    <x v="216"/>
    <s v="2501"/>
    <n v="25"/>
    <x v="2"/>
    <n v="2"/>
    <m/>
    <x v="167"/>
    <x v="506"/>
    <x v="448"/>
    <x v="0"/>
    <n v="19"/>
    <n v="3593"/>
    <n v="3.1684303350970016"/>
    <n v="3593"/>
    <n v="3.1684303350970016"/>
    <s v="[]"/>
    <s v="[]"/>
  </r>
  <r>
    <x v="6"/>
    <s v="88 East Wacker Place"/>
    <x v="215"/>
    <s v="2101"/>
    <n v="21"/>
    <x v="2"/>
    <n v="2"/>
    <m/>
    <x v="167"/>
    <x v="370"/>
    <x v="128"/>
    <x v="0"/>
    <n v="124"/>
    <n v="3674"/>
    <n v="3.2398589065255732"/>
    <n v="3674"/>
    <n v="3.2398589065255732"/>
    <s v="[]"/>
    <s v="[balcony_patio]"/>
  </r>
  <r>
    <x v="6"/>
    <s v="88 East Wacker Place"/>
    <x v="215"/>
    <s v="2601"/>
    <n v="26"/>
    <x v="2"/>
    <n v="2"/>
    <m/>
    <x v="167"/>
    <x v="265"/>
    <x v="413"/>
    <x v="0"/>
    <n v="7"/>
    <n v="4365"/>
    <n v="3.8492063492063493"/>
    <n v="4365"/>
    <n v="3.8492063492063493"/>
    <s v="[]"/>
    <s v="[]"/>
  </r>
  <r>
    <x v="6"/>
    <s v="88 East Wacker Place"/>
    <x v="216"/>
    <s v="2001"/>
    <n v="20"/>
    <x v="2"/>
    <n v="2"/>
    <m/>
    <x v="167"/>
    <x v="433"/>
    <x v="154"/>
    <x v="0"/>
    <n v="181"/>
    <n v="4475"/>
    <n v="3.9462081128747797"/>
    <n v="4475"/>
    <n v="3.9462081128747797"/>
    <s v="[]"/>
    <s v="[balcony_patio]"/>
  </r>
  <r>
    <x v="6"/>
    <s v="88 East Wacker Place"/>
    <x v="215"/>
    <s v="1901"/>
    <n v="19"/>
    <x v="2"/>
    <n v="2"/>
    <m/>
    <x v="167"/>
    <x v="149"/>
    <x v="28"/>
    <x v="1"/>
    <m/>
    <n v="5051"/>
    <n v="4.4541446208112871"/>
    <n v="5051"/>
    <n v="4.4541446208112871"/>
    <s v="[]"/>
    <s v="[]"/>
  </r>
  <r>
    <x v="6"/>
    <s v="88 East Wacker Place"/>
    <x v="215"/>
    <s v="2201"/>
    <n v="22"/>
    <x v="2"/>
    <n v="2"/>
    <m/>
    <x v="167"/>
    <x v="211"/>
    <x v="28"/>
    <x v="1"/>
    <m/>
    <n v="5081"/>
    <n v="4.4805996472663141"/>
    <n v="5081"/>
    <n v="4.4805996472663141"/>
    <s v="[]"/>
    <s v="[]"/>
  </r>
  <r>
    <x v="6"/>
    <s v="88 East Wacker Place"/>
    <x v="217"/>
    <s v="4503"/>
    <n v="45"/>
    <x v="2"/>
    <n v="2"/>
    <m/>
    <x v="168"/>
    <x v="130"/>
    <x v="187"/>
    <x v="0"/>
    <m/>
    <n v="5909"/>
    <n v="5.1970096745822341"/>
    <n v="5909"/>
    <n v="5.1970096745822341"/>
    <s v="[]"/>
    <s v="[]"/>
  </r>
  <r>
    <x v="7"/>
    <s v="637 North Wells Street"/>
    <x v="218"/>
    <m/>
    <m/>
    <x v="0"/>
    <n v="1"/>
    <m/>
    <x v="169"/>
    <x v="473"/>
    <x v="559"/>
    <x v="0"/>
    <n v="2"/>
    <m/>
    <m/>
    <m/>
    <m/>
    <s v="[]"/>
    <s v="[]"/>
  </r>
  <r>
    <x v="7"/>
    <s v="637 North Wells Street"/>
    <x v="218"/>
    <s v="0807"/>
    <n v="8"/>
    <x v="0"/>
    <n v="1"/>
    <m/>
    <x v="169"/>
    <x v="507"/>
    <x v="313"/>
    <x v="0"/>
    <n v="92"/>
    <n v="1800"/>
    <n v="4.1570438799076213"/>
    <n v="1800"/>
    <n v="4.1570438799076213"/>
    <s v="[]"/>
    <s v="[]"/>
  </r>
  <r>
    <x v="7"/>
    <s v="637 North Wells Street"/>
    <x v="219"/>
    <s v="0207"/>
    <n v="2"/>
    <x v="0"/>
    <n v="1"/>
    <m/>
    <x v="170"/>
    <x v="156"/>
    <x v="135"/>
    <x v="0"/>
    <n v="128"/>
    <n v="1742"/>
    <n v="3.959090909090909"/>
    <n v="1608"/>
    <n v="3.6545454545454548"/>
    <s v="[]"/>
    <s v="[]"/>
  </r>
  <r>
    <x v="7"/>
    <s v="637 North Wells Street"/>
    <x v="220"/>
    <s v="1007"/>
    <n v="10"/>
    <x v="0"/>
    <n v="1"/>
    <m/>
    <x v="171"/>
    <x v="343"/>
    <x v="103"/>
    <x v="0"/>
    <n v="3"/>
    <n v="1797"/>
    <n v="3.9756637168141591"/>
    <n v="1797"/>
    <n v="3.9756637168141591"/>
    <s v="[]"/>
    <s v="[]"/>
  </r>
  <r>
    <x v="7"/>
    <s v="637 North Wells Street"/>
    <x v="220"/>
    <s v="2807"/>
    <n v="28"/>
    <x v="0"/>
    <n v="1"/>
    <m/>
    <x v="171"/>
    <x v="31"/>
    <x v="534"/>
    <x v="0"/>
    <n v="6"/>
    <n v="1812"/>
    <n v="4.0088495575221241"/>
    <n v="1812"/>
    <n v="4.0088495575221241"/>
    <s v="[]"/>
    <s v="[]"/>
  </r>
  <r>
    <x v="7"/>
    <s v="637 North Wells Street"/>
    <x v="220"/>
    <s v="2307"/>
    <n v="23"/>
    <x v="0"/>
    <n v="1"/>
    <m/>
    <x v="171"/>
    <x v="159"/>
    <x v="359"/>
    <x v="0"/>
    <n v="11"/>
    <n v="1812"/>
    <n v="4.0088495575221241"/>
    <n v="1812"/>
    <n v="4.0088495575221241"/>
    <s v="[]"/>
    <s v="[]"/>
  </r>
  <r>
    <x v="7"/>
    <s v="637 North Wells Street"/>
    <x v="220"/>
    <s v="2007"/>
    <n v="20"/>
    <x v="0"/>
    <n v="1"/>
    <m/>
    <x v="171"/>
    <x v="83"/>
    <x v="46"/>
    <x v="0"/>
    <n v="110"/>
    <n v="1892"/>
    <n v="4.1858407079646014"/>
    <n v="1892"/>
    <n v="4.1858407079646014"/>
    <s v="[]"/>
    <s v="[]"/>
  </r>
  <r>
    <x v="7"/>
    <s v="637 North Wells Street"/>
    <x v="220"/>
    <s v="3307"/>
    <n v="33"/>
    <x v="0"/>
    <n v="1"/>
    <m/>
    <x v="171"/>
    <x v="147"/>
    <x v="268"/>
    <x v="0"/>
    <n v="6"/>
    <n v="1912"/>
    <n v="4.2300884955752212"/>
    <n v="1912"/>
    <n v="4.2300884955752212"/>
    <s v="[]"/>
    <s v="[]"/>
  </r>
  <r>
    <x v="7"/>
    <s v="637 North Wells Street"/>
    <x v="220"/>
    <s v="2207"/>
    <n v="22"/>
    <x v="0"/>
    <n v="1"/>
    <m/>
    <x v="171"/>
    <x v="26"/>
    <x v="558"/>
    <x v="0"/>
    <n v="45"/>
    <n v="1967"/>
    <n v="4.3517699115044248"/>
    <n v="1967"/>
    <n v="4.3517699115044248"/>
    <s v="[]"/>
    <s v="[]"/>
  </r>
  <r>
    <x v="7"/>
    <s v="637 North Wells Street"/>
    <x v="220"/>
    <s v="3007"/>
    <n v="30"/>
    <x v="0"/>
    <n v="1"/>
    <m/>
    <x v="171"/>
    <x v="109"/>
    <x v="428"/>
    <x v="0"/>
    <n v="16"/>
    <n v="1997"/>
    <n v="4.418141592920354"/>
    <n v="1997"/>
    <n v="4.418141592920354"/>
    <s v="[]"/>
    <s v="[]"/>
  </r>
  <r>
    <x v="7"/>
    <s v="637 North Wells Street"/>
    <x v="220"/>
    <s v="1407"/>
    <n v="14"/>
    <x v="0"/>
    <n v="1"/>
    <m/>
    <x v="171"/>
    <x v="5"/>
    <x v="49"/>
    <x v="0"/>
    <n v="2"/>
    <n v="2058"/>
    <n v="4.553097345132743"/>
    <n v="2058"/>
    <n v="4.553097345132743"/>
    <s v="[]"/>
    <s v="[]"/>
  </r>
  <r>
    <x v="7"/>
    <s v="637 North Wells Street"/>
    <x v="220"/>
    <s v="1507"/>
    <n v="15"/>
    <x v="0"/>
    <n v="1"/>
    <m/>
    <x v="171"/>
    <x v="5"/>
    <x v="468"/>
    <x v="0"/>
    <n v="8"/>
    <n v="2058"/>
    <n v="4.553097345132743"/>
    <n v="2058"/>
    <n v="4.553097345132743"/>
    <s v="[]"/>
    <s v="[]"/>
  </r>
  <r>
    <x v="7"/>
    <s v="637 North Wells Street"/>
    <x v="220"/>
    <s v="3207"/>
    <n v="32"/>
    <x v="0"/>
    <n v="1"/>
    <m/>
    <x v="171"/>
    <x v="334"/>
    <x v="96"/>
    <x v="0"/>
    <n v="74"/>
    <n v="2137"/>
    <n v="4.7278761061946906"/>
    <n v="2137"/>
    <n v="4.7278761061946906"/>
    <s v="[]"/>
    <s v="[]"/>
  </r>
  <r>
    <x v="7"/>
    <s v="637 North Wells Street"/>
    <x v="220"/>
    <s v="3507"/>
    <n v="35"/>
    <x v="0"/>
    <n v="1"/>
    <m/>
    <x v="171"/>
    <x v="114"/>
    <x v="28"/>
    <x v="1"/>
    <m/>
    <n v="2456"/>
    <n v="5.4336283185840708"/>
    <n v="2456"/>
    <n v="5.4336283185840708"/>
    <s v="[]"/>
    <s v="[]"/>
  </r>
  <r>
    <x v="7"/>
    <s v="637 North Wells Street"/>
    <x v="220"/>
    <s v="1807"/>
    <n v="18"/>
    <x v="0"/>
    <n v="1"/>
    <m/>
    <x v="171"/>
    <x v="362"/>
    <x v="329"/>
    <x v="0"/>
    <n v="5"/>
    <n v="1907"/>
    <n v="4.2190265486725664"/>
    <n v="1907"/>
    <n v="4.2190265486725664"/>
    <s v="[]"/>
    <s v="[]"/>
  </r>
  <r>
    <x v="7"/>
    <s v="637 North Wells Street"/>
    <x v="220"/>
    <s v="2607"/>
    <n v="26"/>
    <x v="0"/>
    <n v="1"/>
    <m/>
    <x v="171"/>
    <x v="292"/>
    <x v="517"/>
    <x v="0"/>
    <n v="34"/>
    <n v="1917"/>
    <n v="4.2411504424778759"/>
    <n v="1917"/>
    <n v="4.2411504424778759"/>
    <s v="[]"/>
    <s v="[]"/>
  </r>
  <r>
    <x v="7"/>
    <s v="637 North Wells Street"/>
    <x v="220"/>
    <s v="1907"/>
    <n v="19"/>
    <x v="0"/>
    <n v="1"/>
    <m/>
    <x v="171"/>
    <x v="384"/>
    <x v="555"/>
    <x v="0"/>
    <n v="157"/>
    <n v="1918"/>
    <n v="4.2433628318584073"/>
    <n v="1918"/>
    <n v="4.2433628318584073"/>
    <s v="[]"/>
    <s v="[]"/>
  </r>
  <r>
    <x v="7"/>
    <s v="637 North Wells Street"/>
    <x v="220"/>
    <s v="2407"/>
    <n v="24"/>
    <x v="0"/>
    <n v="1"/>
    <m/>
    <x v="171"/>
    <x v="500"/>
    <x v="401"/>
    <x v="0"/>
    <n v="8"/>
    <n v="1995"/>
    <n v="4.413716814159292"/>
    <n v="1995"/>
    <n v="4.413716814159292"/>
    <s v="[]"/>
    <s v="[]"/>
  </r>
  <r>
    <x v="7"/>
    <s v="637 North Wells Street"/>
    <x v="220"/>
    <s v="2507"/>
    <n v="25"/>
    <x v="0"/>
    <n v="1"/>
    <m/>
    <x v="171"/>
    <x v="508"/>
    <x v="331"/>
    <x v="0"/>
    <n v="148"/>
    <n v="1995"/>
    <n v="4.413716814159292"/>
    <n v="1995"/>
    <n v="4.413716814159292"/>
    <s v="[]"/>
    <s v="[]"/>
  </r>
  <r>
    <x v="7"/>
    <s v="637 North Wells Street"/>
    <x v="220"/>
    <s v="1207"/>
    <n v="12"/>
    <x v="0"/>
    <n v="1"/>
    <m/>
    <x v="171"/>
    <x v="279"/>
    <x v="477"/>
    <x v="0"/>
    <n v="39"/>
    <n v="2017"/>
    <n v="4.4623893805309738"/>
    <n v="2017"/>
    <n v="4.4623893805309738"/>
    <s v="[]"/>
    <s v="[]"/>
  </r>
  <r>
    <x v="7"/>
    <s v="637 North Wells Street"/>
    <x v="220"/>
    <s v="2107"/>
    <n v="21"/>
    <x v="0"/>
    <n v="1"/>
    <m/>
    <x v="171"/>
    <x v="130"/>
    <x v="560"/>
    <x v="0"/>
    <m/>
    <n v="2019"/>
    <n v="4.466814159292035"/>
    <n v="2019"/>
    <n v="4.466814159292035"/>
    <s v="[]"/>
    <s v="[]"/>
  </r>
  <r>
    <x v="7"/>
    <s v="637 North Wells Street"/>
    <x v="220"/>
    <s v="1307"/>
    <n v="13"/>
    <x v="0"/>
    <n v="1"/>
    <m/>
    <x v="171"/>
    <x v="25"/>
    <x v="25"/>
    <x v="0"/>
    <n v="4"/>
    <n v="2049"/>
    <n v="4.533185840707965"/>
    <n v="2049"/>
    <n v="4.533185840707965"/>
    <s v="[]"/>
    <s v="[]"/>
  </r>
  <r>
    <x v="7"/>
    <s v="637 North Wells Street"/>
    <x v="220"/>
    <s v="2907"/>
    <n v="29"/>
    <x v="0"/>
    <n v="1"/>
    <m/>
    <x v="171"/>
    <x v="509"/>
    <x v="287"/>
    <x v="0"/>
    <n v="96"/>
    <n v="2083"/>
    <n v="4.6084070796460175"/>
    <n v="2083"/>
    <n v="4.6084070796460175"/>
    <s v="[]"/>
    <s v="[]"/>
  </r>
  <r>
    <x v="7"/>
    <s v="637 North Wells Street"/>
    <x v="221"/>
    <s v="1210"/>
    <n v="12"/>
    <x v="0"/>
    <n v="1"/>
    <m/>
    <x v="172"/>
    <x v="63"/>
    <x v="561"/>
    <x v="0"/>
    <n v="34"/>
    <n v="1862"/>
    <n v="3.6581532416502949"/>
    <n v="1719"/>
    <n v="3.3772102161100195"/>
    <s v="[]"/>
    <s v="[]"/>
  </r>
  <r>
    <x v="7"/>
    <s v="637 North Wells Street"/>
    <x v="221"/>
    <s v="2610"/>
    <n v="26"/>
    <x v="0"/>
    <n v="1"/>
    <m/>
    <x v="172"/>
    <x v="200"/>
    <x v="126"/>
    <x v="0"/>
    <n v="92"/>
    <n v="1867"/>
    <n v="3.667976424361493"/>
    <n v="1723"/>
    <n v="3.3850687622789786"/>
    <s v="[]"/>
    <s v="[]"/>
  </r>
  <r>
    <x v="7"/>
    <s v="637 North Wells Street"/>
    <x v="221"/>
    <s v="2810"/>
    <n v="28"/>
    <x v="0"/>
    <n v="1"/>
    <m/>
    <x v="172"/>
    <x v="510"/>
    <x v="135"/>
    <x v="0"/>
    <n v="234"/>
    <n v="1917"/>
    <n v="3.7662082514734774"/>
    <n v="1770"/>
    <n v="3.4774066797642438"/>
    <s v="[]"/>
    <s v="[]"/>
  </r>
  <r>
    <x v="7"/>
    <s v="637 North Wells Street"/>
    <x v="221"/>
    <s v="3410"/>
    <n v="34"/>
    <x v="0"/>
    <n v="1"/>
    <m/>
    <x v="172"/>
    <x v="240"/>
    <x v="288"/>
    <x v="0"/>
    <n v="150"/>
    <n v="2017"/>
    <n v="3.9626719056974458"/>
    <n v="1862"/>
    <n v="3.6581532416502949"/>
    <s v="[]"/>
    <s v="[]"/>
  </r>
  <r>
    <x v="7"/>
    <s v="637 North Wells Street"/>
    <x v="221"/>
    <s v="3010"/>
    <n v="30"/>
    <x v="0"/>
    <n v="1"/>
    <m/>
    <x v="172"/>
    <x v="343"/>
    <x v="88"/>
    <x v="0"/>
    <n v="68"/>
    <n v="2025"/>
    <n v="3.9783889980353635"/>
    <n v="2025"/>
    <n v="3.9783889980353635"/>
    <s v="[]"/>
    <s v="[]"/>
  </r>
  <r>
    <x v="7"/>
    <s v="637 North Wells Street"/>
    <x v="221"/>
    <s v="1310"/>
    <n v="13"/>
    <x v="0"/>
    <n v="1"/>
    <m/>
    <x v="172"/>
    <x v="211"/>
    <x v="75"/>
    <x v="0"/>
    <n v="9"/>
    <n v="2044"/>
    <n v="4.0157170923379173"/>
    <n v="2044"/>
    <n v="4.0157170923379173"/>
    <s v="[]"/>
    <s v="[]"/>
  </r>
  <r>
    <x v="7"/>
    <s v="637 North Wells Street"/>
    <x v="221"/>
    <s v="2110"/>
    <n v="21"/>
    <x v="0"/>
    <n v="1"/>
    <m/>
    <x v="172"/>
    <x v="71"/>
    <x v="176"/>
    <x v="0"/>
    <n v="91"/>
    <n v="2074"/>
    <n v="4.0746561886051085"/>
    <n v="2074"/>
    <n v="4.0746561886051085"/>
    <s v="[]"/>
    <s v="[]"/>
  </r>
  <r>
    <x v="7"/>
    <s v="637 North Wells Street"/>
    <x v="221"/>
    <s v="2410"/>
    <n v="24"/>
    <x v="0"/>
    <n v="1"/>
    <m/>
    <x v="172"/>
    <x v="5"/>
    <x v="342"/>
    <x v="0"/>
    <n v="85"/>
    <n v="2092"/>
    <n v="4.1100196463654228"/>
    <n v="2092"/>
    <n v="4.1100196463654228"/>
    <s v="[]"/>
    <s v="[]"/>
  </r>
  <r>
    <x v="7"/>
    <s v="637 North Wells Street"/>
    <x v="221"/>
    <s v="3110"/>
    <n v="31"/>
    <x v="0"/>
    <n v="1"/>
    <m/>
    <x v="172"/>
    <x v="204"/>
    <x v="229"/>
    <x v="0"/>
    <n v="14"/>
    <n v="2097"/>
    <n v="4.1198428290766209"/>
    <n v="2097"/>
    <n v="4.1198428290766209"/>
    <s v="[]"/>
    <s v="[]"/>
  </r>
  <r>
    <x v="7"/>
    <s v="637 North Wells Street"/>
    <x v="221"/>
    <s v="2910"/>
    <n v="29"/>
    <x v="0"/>
    <n v="1"/>
    <m/>
    <x v="172"/>
    <x v="277"/>
    <x v="428"/>
    <x v="0"/>
    <n v="144"/>
    <n v="2122"/>
    <n v="4.1689587426326131"/>
    <n v="2122"/>
    <n v="4.1689587426326131"/>
    <s v="[]"/>
    <s v="[]"/>
  </r>
  <r>
    <x v="7"/>
    <s v="637 North Wells Street"/>
    <x v="221"/>
    <s v="1510"/>
    <n v="15"/>
    <x v="0"/>
    <n v="1"/>
    <m/>
    <x v="172"/>
    <x v="120"/>
    <x v="28"/>
    <x v="1"/>
    <m/>
    <n v="2306"/>
    <n v="4.5304518664047153"/>
    <n v="2306"/>
    <n v="4.5304518664047153"/>
    <s v="[]"/>
    <s v="[]"/>
  </r>
  <r>
    <x v="7"/>
    <s v="637 North Wells Street"/>
    <x v="221"/>
    <s v="2210"/>
    <n v="22"/>
    <x v="0"/>
    <n v="1"/>
    <m/>
    <x v="172"/>
    <x v="511"/>
    <x v="461"/>
    <x v="0"/>
    <n v="16"/>
    <n v="1992"/>
    <n v="3.913555992141454"/>
    <n v="1992"/>
    <n v="3.913555992141454"/>
    <s v="[]"/>
    <s v="[]"/>
  </r>
  <r>
    <x v="7"/>
    <s v="637 North Wells Street"/>
    <x v="221"/>
    <s v="1810"/>
    <n v="18"/>
    <x v="0"/>
    <n v="1"/>
    <m/>
    <x v="172"/>
    <x v="436"/>
    <x v="562"/>
    <x v="0"/>
    <n v="13"/>
    <n v="2000"/>
    <n v="3.9292730844793713"/>
    <n v="2000"/>
    <n v="3.9292730844793713"/>
    <s v="[]"/>
    <s v="[]"/>
  </r>
  <r>
    <x v="7"/>
    <s v="637 North Wells Street"/>
    <x v="221"/>
    <s v="2310"/>
    <n v="23"/>
    <x v="0"/>
    <n v="1"/>
    <m/>
    <x v="172"/>
    <x v="237"/>
    <x v="497"/>
    <x v="0"/>
    <n v="240"/>
    <n v="2120"/>
    <n v="4.1650294695481334"/>
    <n v="2120"/>
    <n v="4.1650294695481334"/>
    <s v="[]"/>
    <s v="[]"/>
  </r>
  <r>
    <x v="7"/>
    <s v="637 North Wells Street"/>
    <x v="221"/>
    <s v="2710"/>
    <n v="27"/>
    <x v="0"/>
    <n v="1"/>
    <m/>
    <x v="172"/>
    <x v="130"/>
    <x v="157"/>
    <x v="0"/>
    <m/>
    <n v="2130"/>
    <n v="4.1846758349705304"/>
    <n v="2130"/>
    <n v="4.1846758349705304"/>
    <s v="[]"/>
    <s v="[]"/>
  </r>
  <r>
    <x v="7"/>
    <s v="637 North Wells Street"/>
    <x v="221"/>
    <s v="2510"/>
    <n v="25"/>
    <x v="0"/>
    <n v="1"/>
    <m/>
    <x v="172"/>
    <x v="25"/>
    <x v="226"/>
    <x v="0"/>
    <n v="18"/>
    <n v="2139"/>
    <n v="4.202357563850688"/>
    <n v="2139"/>
    <n v="4.202357563850688"/>
    <s v="[]"/>
    <s v="[]"/>
  </r>
  <r>
    <x v="7"/>
    <s v="637 North Wells Street"/>
    <x v="221"/>
    <s v="3210"/>
    <n v="32"/>
    <x v="0"/>
    <n v="1"/>
    <m/>
    <x v="172"/>
    <x v="512"/>
    <x v="310"/>
    <x v="0"/>
    <n v="298"/>
    <n v="2256"/>
    <n v="4.4322200392927309"/>
    <n v="2256"/>
    <n v="4.4322200392927309"/>
    <s v="[]"/>
    <s v="[]"/>
  </r>
  <r>
    <x v="7"/>
    <s v="637 North Wells Street"/>
    <x v="222"/>
    <m/>
    <m/>
    <x v="0"/>
    <n v="1"/>
    <m/>
    <x v="173"/>
    <x v="486"/>
    <x v="458"/>
    <x v="0"/>
    <n v="2"/>
    <m/>
    <m/>
    <m/>
    <m/>
    <s v="[]"/>
    <s v="[]"/>
  </r>
  <r>
    <x v="7"/>
    <s v="637 North Wells Street"/>
    <x v="223"/>
    <s v="2604"/>
    <n v="26"/>
    <x v="0"/>
    <n v="1"/>
    <m/>
    <x v="174"/>
    <x v="185"/>
    <x v="359"/>
    <x v="0"/>
    <n v="105"/>
    <n v="1935"/>
    <n v="3.4369449378330375"/>
    <n v="1935"/>
    <n v="3.4369449378330375"/>
    <s v="[]"/>
    <s v="[]"/>
  </r>
  <r>
    <x v="7"/>
    <s v="637 North Wells Street"/>
    <x v="223"/>
    <s v="1604"/>
    <n v="16"/>
    <x v="0"/>
    <n v="1"/>
    <m/>
    <x v="174"/>
    <x v="212"/>
    <x v="113"/>
    <x v="0"/>
    <n v="271"/>
    <n v="1974"/>
    <n v="3.5062166962699823"/>
    <n v="1974"/>
    <n v="3.5062166962699823"/>
    <s v="[]"/>
    <s v="[]"/>
  </r>
  <r>
    <x v="7"/>
    <s v="637 North Wells Street"/>
    <x v="223"/>
    <s v="1104"/>
    <n v="11"/>
    <x v="0"/>
    <n v="1"/>
    <m/>
    <x v="174"/>
    <x v="272"/>
    <x v="113"/>
    <x v="0"/>
    <n v="106"/>
    <n v="1974"/>
    <n v="3.5062166962699823"/>
    <n v="1974"/>
    <n v="3.5062166962699823"/>
    <s v="[]"/>
    <s v="[]"/>
  </r>
  <r>
    <x v="7"/>
    <s v="637 North Wells Street"/>
    <x v="223"/>
    <s v="1704"/>
    <n v="17"/>
    <x v="0"/>
    <n v="1"/>
    <m/>
    <x v="174"/>
    <x v="313"/>
    <x v="111"/>
    <x v="0"/>
    <n v="46"/>
    <n v="2024"/>
    <n v="3.5950266429840143"/>
    <n v="1868"/>
    <n v="3.3179396092362343"/>
    <s v="[]"/>
    <s v="[]"/>
  </r>
  <r>
    <x v="7"/>
    <s v="637 North Wells Street"/>
    <x v="223"/>
    <s v="1504"/>
    <n v="15"/>
    <x v="0"/>
    <n v="1"/>
    <m/>
    <x v="174"/>
    <x v="135"/>
    <x v="327"/>
    <x v="0"/>
    <n v="29"/>
    <n v="2090"/>
    <n v="3.7122557726465364"/>
    <n v="2090"/>
    <n v="3.7122557726465364"/>
    <s v="[]"/>
    <s v="[]"/>
  </r>
  <r>
    <x v="7"/>
    <s v="637 North Wells Street"/>
    <x v="223"/>
    <s v="2504"/>
    <n v="25"/>
    <x v="0"/>
    <n v="1"/>
    <m/>
    <x v="174"/>
    <x v="27"/>
    <x v="563"/>
    <x v="0"/>
    <n v="96"/>
    <n v="2101"/>
    <n v="3.7317939609236235"/>
    <n v="2101"/>
    <n v="3.7317939609236235"/>
    <s v="[]"/>
    <s v="[]"/>
  </r>
  <r>
    <x v="7"/>
    <s v="637 North Wells Street"/>
    <x v="223"/>
    <s v="1204"/>
    <n v="12"/>
    <x v="0"/>
    <n v="1"/>
    <m/>
    <x v="174"/>
    <x v="89"/>
    <x v="39"/>
    <x v="0"/>
    <n v="3"/>
    <n v="2160"/>
    <n v="3.8365896980461813"/>
    <n v="2160"/>
    <n v="3.8365896980461813"/>
    <s v="[]"/>
    <s v="[]"/>
  </r>
  <r>
    <x v="7"/>
    <s v="637 North Wells Street"/>
    <x v="223"/>
    <s v="2004"/>
    <n v="20"/>
    <x v="0"/>
    <n v="1"/>
    <m/>
    <x v="174"/>
    <x v="502"/>
    <x v="39"/>
    <x v="0"/>
    <n v="147"/>
    <n v="2160"/>
    <n v="3.8365896980461813"/>
    <n v="2160"/>
    <n v="3.8365896980461813"/>
    <s v="[]"/>
    <s v="[]"/>
  </r>
  <r>
    <x v="7"/>
    <s v="637 North Wells Street"/>
    <x v="223"/>
    <s v="1304"/>
    <n v="13"/>
    <x v="0"/>
    <n v="1"/>
    <m/>
    <x v="174"/>
    <x v="160"/>
    <x v="548"/>
    <x v="0"/>
    <n v="63"/>
    <n v="2218"/>
    <n v="3.9396092362344581"/>
    <n v="2218"/>
    <n v="3.9396092362344581"/>
    <s v="[]"/>
    <s v="[]"/>
  </r>
  <r>
    <x v="7"/>
    <s v="637 North Wells Street"/>
    <x v="223"/>
    <s v="1904"/>
    <n v="19"/>
    <x v="0"/>
    <n v="1"/>
    <m/>
    <x v="174"/>
    <x v="320"/>
    <x v="434"/>
    <x v="0"/>
    <n v="43"/>
    <n v="2230"/>
    <n v="3.9609236234458258"/>
    <n v="2230"/>
    <n v="3.9609236234458258"/>
    <s v="[]"/>
    <s v="[]"/>
  </r>
  <r>
    <x v="7"/>
    <s v="637 North Wells Street"/>
    <x v="223"/>
    <s v="3504"/>
    <n v="35"/>
    <x v="0"/>
    <n v="1"/>
    <m/>
    <x v="174"/>
    <x v="334"/>
    <x v="534"/>
    <x v="0"/>
    <n v="21"/>
    <n v="2244"/>
    <n v="3.9857904085257547"/>
    <n v="2244"/>
    <n v="3.9857904085257547"/>
    <s v="[]"/>
    <s v="[]"/>
  </r>
  <r>
    <x v="7"/>
    <s v="637 North Wells Street"/>
    <x v="223"/>
    <s v="3104"/>
    <n v="31"/>
    <x v="0"/>
    <n v="1"/>
    <m/>
    <x v="174"/>
    <x v="513"/>
    <x v="194"/>
    <x v="0"/>
    <n v="37"/>
    <n v="2266"/>
    <n v="4.0248667850799293"/>
    <n v="2266"/>
    <n v="4.0248667850799293"/>
    <s v="[]"/>
    <s v="[]"/>
  </r>
  <r>
    <x v="7"/>
    <s v="637 North Wells Street"/>
    <x v="223"/>
    <s v="2804"/>
    <n v="28"/>
    <x v="0"/>
    <n v="1"/>
    <m/>
    <x v="174"/>
    <x v="198"/>
    <x v="558"/>
    <x v="0"/>
    <n v="3"/>
    <n v="2293"/>
    <n v="4.0728241563055061"/>
    <n v="2293"/>
    <n v="4.0728241563055061"/>
    <s v="[]"/>
    <s v="[]"/>
  </r>
  <r>
    <x v="7"/>
    <s v="637 North Wells Street"/>
    <x v="223"/>
    <s v="2304"/>
    <n v="23"/>
    <x v="0"/>
    <n v="1"/>
    <m/>
    <x v="174"/>
    <x v="268"/>
    <x v="558"/>
    <x v="0"/>
    <n v="11"/>
    <n v="2293"/>
    <n v="4.0728241563055061"/>
    <n v="2293"/>
    <n v="4.0728241563055061"/>
    <s v="[]"/>
    <s v="[]"/>
  </r>
  <r>
    <x v="7"/>
    <s v="637 North Wells Street"/>
    <x v="223"/>
    <s v="3004"/>
    <n v="30"/>
    <x v="0"/>
    <n v="1"/>
    <m/>
    <x v="174"/>
    <x v="514"/>
    <x v="558"/>
    <x v="0"/>
    <n v="193"/>
    <n v="2293"/>
    <n v="4.0728241563055061"/>
    <n v="2293"/>
    <n v="4.0728241563055061"/>
    <s v="[]"/>
    <s v="[]"/>
  </r>
  <r>
    <x v="7"/>
    <s v="637 North Wells Street"/>
    <x v="223"/>
    <s v="3304"/>
    <n v="33"/>
    <x v="0"/>
    <n v="1"/>
    <m/>
    <x v="174"/>
    <x v="54"/>
    <x v="323"/>
    <x v="0"/>
    <n v="28"/>
    <n v="2422"/>
    <n v="4.3019538188277089"/>
    <n v="2422"/>
    <n v="4.3019538188277089"/>
    <s v="[]"/>
    <s v="[]"/>
  </r>
  <r>
    <x v="7"/>
    <s v="637 North Wells Street"/>
    <x v="223"/>
    <s v="1804"/>
    <n v="18"/>
    <x v="0"/>
    <n v="1"/>
    <m/>
    <x v="174"/>
    <x v="32"/>
    <x v="28"/>
    <x v="1"/>
    <m/>
    <n v="2435"/>
    <n v="4.3250444049733572"/>
    <n v="2435"/>
    <n v="4.3250444049733572"/>
    <s v="[]"/>
    <s v="[]"/>
  </r>
  <r>
    <x v="7"/>
    <s v="637 North Wells Street"/>
    <x v="223"/>
    <s v="2404"/>
    <n v="24"/>
    <x v="0"/>
    <n v="1"/>
    <m/>
    <x v="174"/>
    <x v="198"/>
    <x v="28"/>
    <x v="1"/>
    <m/>
    <n v="2510"/>
    <n v="4.4582593250444047"/>
    <n v="2510"/>
    <n v="4.4582593250444047"/>
    <s v="[]"/>
    <s v="[]"/>
  </r>
  <r>
    <x v="7"/>
    <s v="637 North Wells Street"/>
    <x v="223"/>
    <s v="3204"/>
    <n v="32"/>
    <x v="0"/>
    <n v="1"/>
    <m/>
    <x v="174"/>
    <x v="44"/>
    <x v="28"/>
    <x v="1"/>
    <m/>
    <n v="2610"/>
    <n v="4.6358792184724686"/>
    <n v="2610"/>
    <n v="4.6358792184724686"/>
    <s v="[]"/>
    <s v="[]"/>
  </r>
  <r>
    <x v="7"/>
    <s v="637 North Wells Street"/>
    <x v="223"/>
    <s v="2104"/>
    <n v="21"/>
    <x v="0"/>
    <n v="1"/>
    <m/>
    <x v="174"/>
    <x v="482"/>
    <x v="38"/>
    <x v="0"/>
    <n v="198"/>
    <n v="2072"/>
    <n v="3.6802841918294851"/>
    <n v="2072"/>
    <n v="3.6802841918294851"/>
    <s v="[]"/>
    <s v="[]"/>
  </r>
  <r>
    <x v="7"/>
    <s v="637 North Wells Street"/>
    <x v="223"/>
    <s v="1004"/>
    <n v="10"/>
    <x v="0"/>
    <n v="1"/>
    <m/>
    <x v="174"/>
    <x v="486"/>
    <x v="383"/>
    <x v="0"/>
    <n v="26"/>
    <n v="2205"/>
    <n v="3.9165186500888098"/>
    <n v="2205"/>
    <n v="3.9165186500888098"/>
    <s v="[]"/>
    <s v="[]"/>
  </r>
  <r>
    <x v="7"/>
    <s v="637 North Wells Street"/>
    <x v="224"/>
    <s v="1005"/>
    <n v="10"/>
    <x v="0"/>
    <n v="1"/>
    <m/>
    <x v="175"/>
    <x v="276"/>
    <x v="131"/>
    <x v="0"/>
    <n v="42"/>
    <n v="1909"/>
    <n v="3.3142361111111112"/>
    <n v="1762"/>
    <n v="3.0590277777777777"/>
    <s v="[]"/>
    <s v="[]"/>
  </r>
  <r>
    <x v="7"/>
    <s v="637 North Wells Street"/>
    <x v="224"/>
    <s v="1205"/>
    <n v="12"/>
    <x v="0"/>
    <n v="1"/>
    <m/>
    <x v="175"/>
    <x v="290"/>
    <x v="113"/>
    <x v="0"/>
    <n v="25"/>
    <n v="1984"/>
    <n v="3.4444444444444446"/>
    <n v="1984"/>
    <n v="3.4444444444444446"/>
    <s v="[]"/>
    <s v="[]"/>
  </r>
  <r>
    <x v="7"/>
    <s v="637 North Wells Street"/>
    <x v="224"/>
    <s v="2205"/>
    <n v="22"/>
    <x v="0"/>
    <n v="1"/>
    <m/>
    <x v="175"/>
    <x v="405"/>
    <x v="19"/>
    <x v="0"/>
    <n v="252"/>
    <n v="2061"/>
    <n v="3.578125"/>
    <n v="2061"/>
    <n v="3.578125"/>
    <s v="[]"/>
    <s v="[]"/>
  </r>
  <r>
    <x v="7"/>
    <s v="637 North Wells Street"/>
    <x v="224"/>
    <s v="2705"/>
    <n v="27"/>
    <x v="0"/>
    <n v="1"/>
    <m/>
    <x v="175"/>
    <x v="5"/>
    <x v="39"/>
    <x v="0"/>
    <n v="23"/>
    <n v="2195"/>
    <n v="3.8107638888888888"/>
    <n v="2195"/>
    <n v="3.8107638888888888"/>
    <s v="[]"/>
    <s v="[]"/>
  </r>
  <r>
    <x v="7"/>
    <s v="637 North Wells Street"/>
    <x v="224"/>
    <s v="3305"/>
    <n v="33"/>
    <x v="0"/>
    <n v="1"/>
    <m/>
    <x v="175"/>
    <x v="58"/>
    <x v="62"/>
    <x v="0"/>
    <n v="94"/>
    <n v="2197"/>
    <n v="3.8142361111111112"/>
    <n v="2197"/>
    <n v="3.8142361111111112"/>
    <s v="[]"/>
    <s v="[]"/>
  </r>
  <r>
    <x v="7"/>
    <s v="637 North Wells Street"/>
    <x v="224"/>
    <s v="2005"/>
    <n v="20"/>
    <x v="0"/>
    <n v="1"/>
    <m/>
    <x v="175"/>
    <x v="62"/>
    <x v="564"/>
    <x v="0"/>
    <n v="36"/>
    <n v="2215"/>
    <n v="3.8454861111111112"/>
    <n v="2215"/>
    <n v="3.8454861111111112"/>
    <s v="[]"/>
    <s v="[]"/>
  </r>
  <r>
    <x v="7"/>
    <s v="637 North Wells Street"/>
    <x v="224"/>
    <s v="1405"/>
    <n v="14"/>
    <x v="0"/>
    <n v="1"/>
    <m/>
    <x v="175"/>
    <x v="515"/>
    <x v="430"/>
    <x v="0"/>
    <n v="9"/>
    <n v="2246"/>
    <n v="3.8993055555555554"/>
    <n v="2073"/>
    <n v="3.5989583333333335"/>
    <s v="[]"/>
    <s v="[]"/>
  </r>
  <r>
    <x v="7"/>
    <s v="637 North Wells Street"/>
    <x v="224"/>
    <s v="2805"/>
    <n v="28"/>
    <x v="0"/>
    <n v="1"/>
    <m/>
    <x v="175"/>
    <x v="488"/>
    <x v="194"/>
    <x v="0"/>
    <n v="13"/>
    <n v="2247"/>
    <n v="3.9010416666666665"/>
    <n v="2247"/>
    <n v="3.9010416666666665"/>
    <s v="[]"/>
    <s v="[]"/>
  </r>
  <r>
    <x v="7"/>
    <s v="637 North Wells Street"/>
    <x v="224"/>
    <s v="1805"/>
    <n v="18"/>
    <x v="0"/>
    <n v="1"/>
    <m/>
    <x v="175"/>
    <x v="11"/>
    <x v="501"/>
    <x v="0"/>
    <n v="5"/>
    <n v="2359"/>
    <n v="4.0954861111111107"/>
    <n v="2359"/>
    <n v="4.0954861111111107"/>
    <s v="[]"/>
    <s v="[]"/>
  </r>
  <r>
    <x v="7"/>
    <s v="637 North Wells Street"/>
    <x v="224"/>
    <s v="2605"/>
    <n v="26"/>
    <x v="0"/>
    <n v="1"/>
    <m/>
    <x v="175"/>
    <x v="336"/>
    <x v="236"/>
    <x v="0"/>
    <n v="102"/>
    <n v="2377"/>
    <n v="4.1267361111111107"/>
    <n v="2377"/>
    <n v="4.1267361111111107"/>
    <s v="[]"/>
    <s v="[]"/>
  </r>
  <r>
    <x v="7"/>
    <s v="637 North Wells Street"/>
    <x v="224"/>
    <s v="3505"/>
    <n v="35"/>
    <x v="0"/>
    <n v="1"/>
    <m/>
    <x v="175"/>
    <x v="513"/>
    <x v="28"/>
    <x v="1"/>
    <m/>
    <n v="2670"/>
    <n v="4.635416666666667"/>
    <n v="2670"/>
    <n v="4.635416666666667"/>
    <s v="[]"/>
    <s v="[]"/>
  </r>
  <r>
    <x v="7"/>
    <s v="637 North Wells Street"/>
    <x v="224"/>
    <s v="2505"/>
    <n v="25"/>
    <x v="0"/>
    <n v="1"/>
    <m/>
    <x v="175"/>
    <x v="244"/>
    <x v="357"/>
    <x v="0"/>
    <n v="123"/>
    <n v="1986"/>
    <n v="3.4479166666666665"/>
    <n v="1986"/>
    <n v="3.4479166666666665"/>
    <s v="[]"/>
    <s v="[]"/>
  </r>
  <r>
    <x v="7"/>
    <s v="637 North Wells Street"/>
    <x v="224"/>
    <s v="2305"/>
    <n v="23"/>
    <x v="0"/>
    <n v="1"/>
    <m/>
    <x v="175"/>
    <x v="450"/>
    <x v="565"/>
    <x v="0"/>
    <n v="79"/>
    <n v="2038"/>
    <n v="3.5381944444444446"/>
    <n v="2038"/>
    <n v="3.5381944444444446"/>
    <s v="[]"/>
    <s v="[]"/>
  </r>
  <r>
    <x v="7"/>
    <s v="637 North Wells Street"/>
    <x v="224"/>
    <s v="1605"/>
    <n v="16"/>
    <x v="0"/>
    <n v="1"/>
    <m/>
    <x v="175"/>
    <x v="309"/>
    <x v="10"/>
    <x v="0"/>
    <n v="57"/>
    <n v="2162"/>
    <n v="3.7534722222222223"/>
    <n v="2162"/>
    <n v="3.7534722222222223"/>
    <s v="[]"/>
    <s v="[]"/>
  </r>
  <r>
    <x v="7"/>
    <s v="637 North Wells Street"/>
    <x v="224"/>
    <s v="3105"/>
    <n v="31"/>
    <x v="0"/>
    <n v="1"/>
    <m/>
    <x v="175"/>
    <x v="77"/>
    <x v="451"/>
    <x v="0"/>
    <n v="97"/>
    <n v="2400"/>
    <n v="4.166666666666667"/>
    <n v="2400"/>
    <n v="4.166666666666667"/>
    <s v="[]"/>
    <s v="[]"/>
  </r>
  <r>
    <x v="7"/>
    <s v="637 North Wells Street"/>
    <x v="225"/>
    <s v="2302"/>
    <n v="23"/>
    <x v="0"/>
    <n v="1"/>
    <m/>
    <x v="108"/>
    <x v="185"/>
    <x v="467"/>
    <x v="0"/>
    <n v="45"/>
    <n v="2079"/>
    <n v="3.4824120603015074"/>
    <n v="1919"/>
    <n v="3.2144053601340032"/>
    <s v="[]"/>
    <s v="[]"/>
  </r>
  <r>
    <x v="7"/>
    <s v="637 North Wells Street"/>
    <x v="225"/>
    <s v="2602"/>
    <n v="26"/>
    <x v="0"/>
    <n v="1"/>
    <m/>
    <x v="108"/>
    <x v="516"/>
    <x v="563"/>
    <x v="0"/>
    <n v="291"/>
    <n v="2081"/>
    <n v="3.4857621440536013"/>
    <n v="2081"/>
    <n v="3.4857621440536013"/>
    <s v="[]"/>
    <s v="[]"/>
  </r>
  <r>
    <x v="7"/>
    <s v="637 North Wells Street"/>
    <x v="225"/>
    <s v="2102"/>
    <n v="21"/>
    <x v="0"/>
    <n v="1"/>
    <m/>
    <x v="108"/>
    <x v="238"/>
    <x v="410"/>
    <x v="0"/>
    <n v="356"/>
    <n v="2081"/>
    <n v="3.4857621440536013"/>
    <n v="2081"/>
    <n v="3.4857621440536013"/>
    <s v="[]"/>
    <s v="[]"/>
  </r>
  <r>
    <x v="7"/>
    <s v="637 North Wells Street"/>
    <x v="225"/>
    <s v="2702"/>
    <n v="27"/>
    <x v="0"/>
    <n v="1"/>
    <m/>
    <x v="108"/>
    <x v="506"/>
    <x v="551"/>
    <x v="0"/>
    <n v="34"/>
    <n v="2095"/>
    <n v="3.5092127303182581"/>
    <n v="1934"/>
    <n v="3.2395309882747068"/>
    <s v="[]"/>
    <s v="[]"/>
  </r>
  <r>
    <x v="7"/>
    <s v="637 North Wells Street"/>
    <x v="225"/>
    <s v="3502"/>
    <n v="35"/>
    <x v="0"/>
    <n v="1"/>
    <m/>
    <x v="108"/>
    <x v="212"/>
    <x v="39"/>
    <x v="0"/>
    <n v="109"/>
    <n v="2168"/>
    <n v="3.6314907872696818"/>
    <n v="2168"/>
    <n v="3.6314907872696818"/>
    <s v="[]"/>
    <s v="[]"/>
  </r>
  <r>
    <x v="7"/>
    <s v="637 North Wells Street"/>
    <x v="225"/>
    <s v="1902"/>
    <n v="19"/>
    <x v="0"/>
    <n v="1"/>
    <m/>
    <x v="108"/>
    <x v="343"/>
    <x v="210"/>
    <x v="0"/>
    <n v="77"/>
    <n v="2198"/>
    <n v="3.6817420435510888"/>
    <n v="2198"/>
    <n v="3.6817420435510888"/>
    <s v="[]"/>
    <s v="[]"/>
  </r>
  <r>
    <x v="7"/>
    <s v="637 North Wells Street"/>
    <x v="225"/>
    <s v="3002"/>
    <n v="30"/>
    <x v="0"/>
    <n v="1"/>
    <m/>
    <x v="108"/>
    <x v="42"/>
    <x v="83"/>
    <x v="0"/>
    <n v="18"/>
    <n v="2252"/>
    <n v="3.7721943048576216"/>
    <n v="2252"/>
    <n v="3.7721943048576216"/>
    <s v="[]"/>
    <s v="[]"/>
  </r>
  <r>
    <x v="7"/>
    <s v="637 North Wells Street"/>
    <x v="225"/>
    <s v="3302"/>
    <n v="33"/>
    <x v="0"/>
    <n v="1"/>
    <m/>
    <x v="108"/>
    <x v="488"/>
    <x v="566"/>
    <x v="0"/>
    <n v="97"/>
    <n v="2253"/>
    <n v="3.7738693467336684"/>
    <n v="2253"/>
    <n v="3.7738693467336684"/>
    <s v="[]"/>
    <s v="[]"/>
  </r>
  <r>
    <x v="7"/>
    <s v="637 North Wells Street"/>
    <x v="225"/>
    <m/>
    <m/>
    <x v="0"/>
    <n v="1"/>
    <m/>
    <x v="108"/>
    <x v="196"/>
    <x v="225"/>
    <x v="0"/>
    <n v="2"/>
    <m/>
    <m/>
    <m/>
    <m/>
    <s v="[]"/>
    <s v="[]"/>
  </r>
  <r>
    <x v="7"/>
    <s v="637 North Wells Street"/>
    <x v="225"/>
    <s v="2902"/>
    <n v="29"/>
    <x v="0"/>
    <n v="1"/>
    <m/>
    <x v="108"/>
    <x v="490"/>
    <x v="84"/>
    <x v="0"/>
    <n v="38"/>
    <n v="2302"/>
    <n v="3.8559463986599667"/>
    <n v="2302"/>
    <n v="3.8559463986599667"/>
    <s v="[]"/>
    <s v="[]"/>
  </r>
  <r>
    <x v="7"/>
    <s v="637 North Wells Street"/>
    <x v="225"/>
    <s v="2202"/>
    <n v="22"/>
    <x v="0"/>
    <n v="1"/>
    <m/>
    <x v="108"/>
    <x v="131"/>
    <x v="218"/>
    <x v="0"/>
    <n v="173"/>
    <n v="2307"/>
    <n v="3.8643216080402012"/>
    <n v="2307"/>
    <n v="3.8643216080402012"/>
    <s v="[]"/>
    <s v="[]"/>
  </r>
  <r>
    <x v="7"/>
    <s v="637 North Wells Street"/>
    <x v="225"/>
    <s v="3202"/>
    <n v="32"/>
    <x v="0"/>
    <n v="1"/>
    <m/>
    <x v="108"/>
    <x v="5"/>
    <x v="39"/>
    <x v="0"/>
    <n v="23"/>
    <n v="2315"/>
    <n v="3.8777219430485763"/>
    <n v="2315"/>
    <n v="3.8777219430485763"/>
    <s v="[]"/>
    <s v="[]"/>
  </r>
  <r>
    <x v="7"/>
    <s v="637 North Wells Street"/>
    <x v="225"/>
    <s v="3102"/>
    <n v="31"/>
    <x v="0"/>
    <n v="1"/>
    <m/>
    <x v="108"/>
    <x v="517"/>
    <x v="423"/>
    <x v="0"/>
    <n v="83"/>
    <n v="2351"/>
    <n v="3.9380234505862646"/>
    <n v="2351"/>
    <n v="3.9380234505862646"/>
    <s v="[]"/>
    <s v="[]"/>
  </r>
  <r>
    <x v="7"/>
    <s v="637 North Wells Street"/>
    <x v="225"/>
    <s v="2502"/>
    <n v="25"/>
    <x v="0"/>
    <n v="1"/>
    <m/>
    <x v="108"/>
    <x v="149"/>
    <x v="28"/>
    <x v="1"/>
    <m/>
    <n v="2440"/>
    <n v="4.0871021775544385"/>
    <n v="2440"/>
    <n v="4.0871021775544385"/>
    <s v="[]"/>
    <s v="[]"/>
  </r>
  <r>
    <x v="7"/>
    <s v="637 North Wells Street"/>
    <x v="225"/>
    <s v="3402"/>
    <n v="34"/>
    <x v="0"/>
    <n v="1"/>
    <m/>
    <x v="108"/>
    <x v="246"/>
    <x v="28"/>
    <x v="1"/>
    <m/>
    <n v="2590"/>
    <n v="4.3383584589614737"/>
    <n v="2590"/>
    <n v="4.3383584589614737"/>
    <s v="[]"/>
    <s v="[]"/>
  </r>
  <r>
    <x v="7"/>
    <s v="637 North Wells Street"/>
    <x v="225"/>
    <s v="2002"/>
    <n v="20"/>
    <x v="0"/>
    <n v="1"/>
    <m/>
    <x v="108"/>
    <x v="507"/>
    <x v="107"/>
    <x v="0"/>
    <n v="61"/>
    <n v="1926"/>
    <n v="3.2261306532663316"/>
    <n v="1926"/>
    <n v="3.2261306532663316"/>
    <s v="[]"/>
    <s v="[]"/>
  </r>
  <r>
    <x v="7"/>
    <s v="637 North Wells Street"/>
    <x v="225"/>
    <s v="1502"/>
    <n v="15"/>
    <x v="0"/>
    <n v="1"/>
    <m/>
    <x v="108"/>
    <x v="130"/>
    <x v="22"/>
    <x v="0"/>
    <m/>
    <n v="2220"/>
    <n v="3.7185929648241207"/>
    <n v="2220"/>
    <n v="3.7185929648241207"/>
    <s v="[]"/>
    <s v="[]"/>
  </r>
  <r>
    <x v="7"/>
    <s v="637 North Wells Street"/>
    <x v="225"/>
    <s v="1202"/>
    <n v="12"/>
    <x v="0"/>
    <n v="1"/>
    <m/>
    <x v="108"/>
    <x v="405"/>
    <x v="456"/>
    <x v="0"/>
    <n v="17"/>
    <n v="2260"/>
    <n v="3.7855946398659968"/>
    <n v="2260"/>
    <n v="3.7855946398659968"/>
    <s v="[]"/>
    <s v="[]"/>
  </r>
  <r>
    <x v="7"/>
    <s v="637 North Wells Street"/>
    <x v="225"/>
    <s v="1702"/>
    <n v="17"/>
    <x v="0"/>
    <n v="1"/>
    <m/>
    <x v="108"/>
    <x v="514"/>
    <x v="341"/>
    <x v="0"/>
    <n v="9"/>
    <n v="2310"/>
    <n v="3.8693467336683418"/>
    <n v="2310"/>
    <n v="3.8693467336683418"/>
    <s v="[]"/>
    <s v="[]"/>
  </r>
  <r>
    <x v="7"/>
    <s v="637 North Wells Street"/>
    <x v="226"/>
    <s v="1511"/>
    <n v="15"/>
    <x v="0"/>
    <n v="1"/>
    <m/>
    <x v="2"/>
    <x v="149"/>
    <x v="132"/>
    <x v="0"/>
    <n v="2"/>
    <n v="2382"/>
    <n v="3.3221757322175733"/>
    <n v="2382"/>
    <n v="3.3221757322175733"/>
    <s v="[]"/>
    <s v="[]"/>
  </r>
  <r>
    <x v="7"/>
    <s v="637 North Wells Street"/>
    <x v="226"/>
    <s v="1611"/>
    <n v="16"/>
    <x v="0"/>
    <n v="1"/>
    <m/>
    <x v="2"/>
    <x v="108"/>
    <x v="392"/>
    <x v="0"/>
    <n v="7"/>
    <n v="2400"/>
    <n v="3.3472803347280333"/>
    <n v="2215"/>
    <n v="3.0892608089260807"/>
    <s v="[]"/>
    <s v="[balcony_patio]"/>
  </r>
  <r>
    <x v="7"/>
    <s v="637 North Wells Street"/>
    <x v="226"/>
    <s v="2311"/>
    <n v="23"/>
    <x v="0"/>
    <n v="1"/>
    <m/>
    <x v="2"/>
    <x v="106"/>
    <x v="28"/>
    <x v="1"/>
    <m/>
    <n v="2457"/>
    <n v="3.4267782426778242"/>
    <n v="2457"/>
    <n v="3.4267782426778242"/>
    <s v="[]"/>
    <s v="[]"/>
  </r>
  <r>
    <x v="7"/>
    <s v="637 North Wells Street"/>
    <x v="226"/>
    <s v="2411"/>
    <n v="24"/>
    <x v="0"/>
    <n v="1"/>
    <m/>
    <x v="2"/>
    <x v="33"/>
    <x v="28"/>
    <x v="1"/>
    <m/>
    <n v="2457"/>
    <n v="3.4267782426778242"/>
    <n v="2457"/>
    <n v="3.4267782426778242"/>
    <s v="[]"/>
    <s v="[]"/>
  </r>
  <r>
    <x v="7"/>
    <s v="637 North Wells Street"/>
    <x v="226"/>
    <m/>
    <m/>
    <x v="0"/>
    <n v="1"/>
    <m/>
    <x v="2"/>
    <x v="236"/>
    <x v="283"/>
    <x v="0"/>
    <n v="2"/>
    <m/>
    <m/>
    <m/>
    <m/>
    <s v="[]"/>
    <s v="[balcony_patio]"/>
  </r>
  <r>
    <x v="7"/>
    <s v="637 North Wells Street"/>
    <x v="226"/>
    <s v="2211"/>
    <n v="22"/>
    <x v="0"/>
    <n v="1"/>
    <m/>
    <x v="2"/>
    <x v="112"/>
    <x v="26"/>
    <x v="0"/>
    <n v="149"/>
    <n v="2500"/>
    <n v="3.4867503486750349"/>
    <n v="2500"/>
    <n v="3.4867503486750349"/>
    <s v="[]"/>
    <s v="[balcony_patio]"/>
  </r>
  <r>
    <x v="7"/>
    <s v="637 North Wells Street"/>
    <x v="226"/>
    <s v="2111"/>
    <n v="21"/>
    <x v="0"/>
    <n v="1"/>
    <m/>
    <x v="2"/>
    <x v="269"/>
    <x v="467"/>
    <x v="0"/>
    <n v="57"/>
    <n v="2545"/>
    <n v="3.5495118549511857"/>
    <n v="2349"/>
    <n v="3.2761506276150629"/>
    <s v="[]"/>
    <s v="[balcony_patio]"/>
  </r>
  <r>
    <x v="7"/>
    <s v="637 North Wells Street"/>
    <x v="226"/>
    <s v="3311"/>
    <n v="33"/>
    <x v="0"/>
    <n v="1"/>
    <m/>
    <x v="2"/>
    <x v="149"/>
    <x v="28"/>
    <x v="1"/>
    <m/>
    <n v="2557"/>
    <n v="3.5662482566248257"/>
    <n v="2557"/>
    <n v="3.5662482566248257"/>
    <s v="[]"/>
    <s v="[]"/>
  </r>
  <r>
    <x v="7"/>
    <s v="637 North Wells Street"/>
    <x v="226"/>
    <s v="2011"/>
    <n v="20"/>
    <x v="0"/>
    <n v="1"/>
    <m/>
    <x v="2"/>
    <x v="184"/>
    <x v="558"/>
    <x v="0"/>
    <n v="17"/>
    <n v="2569"/>
    <n v="3.5829846582984657"/>
    <n v="2569"/>
    <n v="3.5829846582984657"/>
    <s v="[]"/>
    <s v="[balcony_patio]"/>
  </r>
  <r>
    <x v="7"/>
    <s v="637 North Wells Street"/>
    <x v="226"/>
    <s v="1711"/>
    <n v="17"/>
    <x v="0"/>
    <n v="1"/>
    <m/>
    <x v="2"/>
    <x v="71"/>
    <x v="46"/>
    <x v="0"/>
    <n v="44"/>
    <n v="2569"/>
    <n v="3.5829846582984657"/>
    <n v="2569"/>
    <n v="3.5829846582984657"/>
    <s v="[]"/>
    <s v="[]"/>
  </r>
  <r>
    <x v="7"/>
    <s v="637 North Wells Street"/>
    <x v="226"/>
    <s v="3211"/>
    <n v="32"/>
    <x v="0"/>
    <n v="1"/>
    <m/>
    <x v="2"/>
    <x v="290"/>
    <x v="27"/>
    <x v="0"/>
    <n v="39"/>
    <n v="2575"/>
    <n v="3.5913528591352861"/>
    <n v="2377"/>
    <n v="3.3152022315202232"/>
    <s v="[]"/>
    <s v="[]"/>
  </r>
  <r>
    <x v="7"/>
    <s v="637 North Wells Street"/>
    <x v="226"/>
    <s v="2611"/>
    <n v="26"/>
    <x v="0"/>
    <n v="1"/>
    <m/>
    <x v="2"/>
    <x v="343"/>
    <x v="286"/>
    <x v="0"/>
    <n v="24"/>
    <n v="2660"/>
    <n v="3.7099023709902372"/>
    <n v="2660"/>
    <n v="3.7099023709902372"/>
    <s v="[]"/>
    <s v="[]"/>
  </r>
  <r>
    <x v="7"/>
    <s v="637 North Wells Street"/>
    <x v="226"/>
    <s v="3011"/>
    <n v="30"/>
    <x v="0"/>
    <n v="1"/>
    <m/>
    <x v="2"/>
    <x v="492"/>
    <x v="508"/>
    <x v="0"/>
    <n v="22"/>
    <n v="2705"/>
    <n v="3.7726638772663876"/>
    <n v="2705"/>
    <n v="3.7726638772663876"/>
    <s v="[]"/>
    <s v="[balcony_patio]"/>
  </r>
  <r>
    <x v="7"/>
    <s v="637 North Wells Street"/>
    <x v="226"/>
    <s v="3111"/>
    <n v="31"/>
    <x v="0"/>
    <n v="1"/>
    <m/>
    <x v="2"/>
    <x v="202"/>
    <x v="558"/>
    <x v="0"/>
    <n v="27"/>
    <n v="2744"/>
    <n v="3.8270571827057185"/>
    <n v="2744"/>
    <n v="3.8270571827057185"/>
    <s v="[]"/>
    <s v="[]"/>
  </r>
  <r>
    <x v="7"/>
    <s v="637 North Wells Street"/>
    <x v="226"/>
    <s v="3411"/>
    <n v="34"/>
    <x v="0"/>
    <n v="1"/>
    <m/>
    <x v="2"/>
    <x v="5"/>
    <x v="286"/>
    <x v="0"/>
    <n v="58"/>
    <n v="2760"/>
    <n v="3.8493723849372383"/>
    <n v="2760"/>
    <n v="3.8493723849372383"/>
    <s v="[]"/>
    <s v="[]"/>
  </r>
  <r>
    <x v="7"/>
    <s v="637 North Wells Street"/>
    <x v="226"/>
    <s v="1311"/>
    <n v="13"/>
    <x v="0"/>
    <n v="1"/>
    <m/>
    <x v="2"/>
    <x v="110"/>
    <x v="301"/>
    <x v="0"/>
    <n v="92"/>
    <n v="2499"/>
    <n v="3.485355648535565"/>
    <n v="2499"/>
    <n v="3.485355648535565"/>
    <s v="[]"/>
    <s v="[balcony_patio]"/>
  </r>
  <r>
    <x v="7"/>
    <s v="637 North Wells Street"/>
    <x v="226"/>
    <s v="1211"/>
    <n v="12"/>
    <x v="0"/>
    <n v="1"/>
    <m/>
    <x v="2"/>
    <x v="516"/>
    <x v="544"/>
    <x v="0"/>
    <n v="54"/>
    <n v="2593"/>
    <n v="3.6164574616457461"/>
    <n v="2593"/>
    <n v="3.6164574616457461"/>
    <s v="[]"/>
    <s v="[balcony_patio]"/>
  </r>
  <r>
    <x v="7"/>
    <s v="637 North Wells Street"/>
    <x v="226"/>
    <s v="2911"/>
    <n v="29"/>
    <x v="0"/>
    <n v="1"/>
    <m/>
    <x v="2"/>
    <x v="270"/>
    <x v="38"/>
    <x v="0"/>
    <n v="16"/>
    <n v="2598"/>
    <n v="3.6234309623430963"/>
    <n v="2598"/>
    <n v="3.6234309623430963"/>
    <s v="[]"/>
    <s v="[balcony_patio]"/>
  </r>
  <r>
    <x v="7"/>
    <s v="637 North Wells Street"/>
    <x v="226"/>
    <s v="1111"/>
    <n v="11"/>
    <x v="0"/>
    <n v="1"/>
    <m/>
    <x v="2"/>
    <x v="513"/>
    <x v="388"/>
    <x v="0"/>
    <n v="13"/>
    <n v="2653"/>
    <n v="3.7001394700139469"/>
    <n v="2653"/>
    <n v="3.7001394700139469"/>
    <s v="[]"/>
    <s v="[balcony_patio]"/>
  </r>
  <r>
    <x v="7"/>
    <s v="637 North Wells Street"/>
    <x v="227"/>
    <s v="1314"/>
    <n v="13"/>
    <x v="0"/>
    <n v="1"/>
    <m/>
    <x v="20"/>
    <x v="86"/>
    <x v="259"/>
    <x v="0"/>
    <n v="9"/>
    <n v="2336"/>
    <n v="3.2444444444444445"/>
    <n v="2336"/>
    <n v="3.2444444444444445"/>
    <s v="[]"/>
    <s v="[]"/>
  </r>
  <r>
    <x v="7"/>
    <s v="637 North Wells Street"/>
    <x v="227"/>
    <s v="2014"/>
    <n v="20"/>
    <x v="0"/>
    <n v="1"/>
    <m/>
    <x v="20"/>
    <x v="453"/>
    <x v="26"/>
    <x v="0"/>
    <n v="5"/>
    <n v="2386"/>
    <n v="3.3138888888888891"/>
    <n v="2386"/>
    <n v="3.3138888888888891"/>
    <s v="[]"/>
    <s v="[]"/>
  </r>
  <r>
    <x v="7"/>
    <s v="637 North Wells Street"/>
    <x v="227"/>
    <s v="1714"/>
    <n v="17"/>
    <x v="0"/>
    <n v="1"/>
    <m/>
    <x v="20"/>
    <x v="120"/>
    <x v="567"/>
    <x v="0"/>
    <n v="3"/>
    <n v="2429"/>
    <n v="3.3736111111111109"/>
    <n v="2429"/>
    <n v="3.3736111111111109"/>
    <s v="[]"/>
    <s v="[]"/>
  </r>
  <r>
    <x v="7"/>
    <s v="637 North Wells Street"/>
    <x v="227"/>
    <s v="1114"/>
    <n v="11"/>
    <x v="0"/>
    <n v="1"/>
    <m/>
    <x v="20"/>
    <x v="188"/>
    <x v="75"/>
    <x v="0"/>
    <n v="14"/>
    <n v="2429"/>
    <n v="3.3736111111111109"/>
    <n v="2429"/>
    <n v="3.3736111111111109"/>
    <s v="[]"/>
    <s v="[balcony_patio]"/>
  </r>
  <r>
    <x v="7"/>
    <s v="637 North Wells Street"/>
    <x v="227"/>
    <s v="2914"/>
    <n v="29"/>
    <x v="0"/>
    <n v="1"/>
    <m/>
    <x v="20"/>
    <x v="137"/>
    <x v="408"/>
    <x v="0"/>
    <n v="31"/>
    <n v="2436"/>
    <n v="3.3833333333333333"/>
    <n v="2249"/>
    <n v="3.1236111111111109"/>
    <s v="[]"/>
    <s v="[balcony_patio]"/>
  </r>
  <r>
    <x v="7"/>
    <s v="637 North Wells Street"/>
    <x v="227"/>
    <s v="2514"/>
    <n v="25"/>
    <x v="0"/>
    <n v="1"/>
    <m/>
    <x v="20"/>
    <x v="223"/>
    <x v="213"/>
    <x v="0"/>
    <n v="132"/>
    <n v="2485"/>
    <n v="3.4513888888888888"/>
    <n v="2485"/>
    <n v="3.4513888888888888"/>
    <s v="[]"/>
    <s v="[balcony_patio]"/>
  </r>
  <r>
    <x v="7"/>
    <s v="637 North Wells Street"/>
    <x v="227"/>
    <s v="1914"/>
    <n v="19"/>
    <x v="0"/>
    <n v="1"/>
    <m/>
    <x v="20"/>
    <x v="490"/>
    <x v="448"/>
    <x v="0"/>
    <n v="119"/>
    <n v="2510"/>
    <n v="3.4861111111111112"/>
    <n v="2510"/>
    <n v="3.4861111111111112"/>
    <s v="[]"/>
    <s v="[balcony_patio]"/>
  </r>
  <r>
    <x v="7"/>
    <s v="637 North Wells Street"/>
    <x v="227"/>
    <s v="2114"/>
    <n v="21"/>
    <x v="0"/>
    <n v="1"/>
    <m/>
    <x v="20"/>
    <x v="518"/>
    <x v="26"/>
    <x v="0"/>
    <n v="306"/>
    <n v="2511"/>
    <n v="3.4874999999999998"/>
    <n v="2511"/>
    <n v="3.4874999999999998"/>
    <s v="[]"/>
    <s v="[balcony_patio]"/>
  </r>
  <r>
    <x v="7"/>
    <s v="637 North Wells Street"/>
    <x v="227"/>
    <s v="3314"/>
    <n v="33"/>
    <x v="0"/>
    <n v="1"/>
    <m/>
    <x v="20"/>
    <x v="169"/>
    <x v="384"/>
    <x v="0"/>
    <n v="387"/>
    <n v="2525"/>
    <n v="3.5069444444444446"/>
    <n v="2525"/>
    <n v="3.5069444444444446"/>
    <s v="[]"/>
    <s v="[balcony_patio]"/>
  </r>
  <r>
    <x v="7"/>
    <s v="637 North Wells Street"/>
    <x v="227"/>
    <s v="1214"/>
    <n v="12"/>
    <x v="0"/>
    <n v="1"/>
    <m/>
    <x v="20"/>
    <x v="5"/>
    <x v="199"/>
    <x v="0"/>
    <n v="122"/>
    <n v="2580"/>
    <n v="3.5833333333333335"/>
    <n v="2580"/>
    <n v="3.5833333333333335"/>
    <s v="[]"/>
    <s v="[]"/>
  </r>
  <r>
    <x v="7"/>
    <s v="637 North Wells Street"/>
    <x v="227"/>
    <s v="1514"/>
    <n v="15"/>
    <x v="0"/>
    <n v="1"/>
    <m/>
    <x v="20"/>
    <x v="42"/>
    <x v="246"/>
    <x v="0"/>
    <n v="53"/>
    <n v="2580"/>
    <n v="3.5833333333333335"/>
    <n v="2580"/>
    <n v="3.5833333333333335"/>
    <s v="[]"/>
    <s v="[]"/>
  </r>
  <r>
    <x v="7"/>
    <s v="637 North Wells Street"/>
    <x v="227"/>
    <s v="3114"/>
    <n v="31"/>
    <x v="0"/>
    <n v="1"/>
    <m/>
    <x v="20"/>
    <x v="48"/>
    <x v="28"/>
    <x v="1"/>
    <m/>
    <n v="2718"/>
    <n v="3.7749999999999999"/>
    <n v="2718"/>
    <n v="3.7749999999999999"/>
    <s v="[]"/>
    <s v="[]"/>
  </r>
  <r>
    <x v="7"/>
    <s v="637 North Wells Street"/>
    <x v="227"/>
    <s v="3514"/>
    <n v="35"/>
    <x v="0"/>
    <n v="1"/>
    <m/>
    <x v="20"/>
    <x v="47"/>
    <x v="28"/>
    <x v="1"/>
    <m/>
    <n v="2868"/>
    <n v="3.9833333333333334"/>
    <n v="2868"/>
    <n v="3.9833333333333334"/>
    <s v="[]"/>
    <s v="[balcony_patio]"/>
  </r>
  <r>
    <x v="7"/>
    <s v="637 North Wells Street"/>
    <x v="228"/>
    <s v="1011"/>
    <n v="10"/>
    <x v="0"/>
    <n v="1"/>
    <m/>
    <x v="109"/>
    <x v="486"/>
    <x v="525"/>
    <x v="0"/>
    <n v="36"/>
    <n v="2575"/>
    <n v="3.5081743869209809"/>
    <n v="2575"/>
    <n v="3.5081743869209809"/>
    <s v="[]"/>
    <s v="[]"/>
  </r>
  <r>
    <x v="7"/>
    <s v="637 North Wells Street"/>
    <x v="229"/>
    <s v="3611"/>
    <n v="36"/>
    <x v="0"/>
    <n v="1"/>
    <m/>
    <x v="176"/>
    <x v="355"/>
    <x v="28"/>
    <x v="1"/>
    <m/>
    <n v="2907"/>
    <n v="3.8350923482849604"/>
    <n v="2907"/>
    <n v="3.8350923482849604"/>
    <s v="[]"/>
    <s v="[]"/>
  </r>
  <r>
    <x v="7"/>
    <s v="637 North Wells Street"/>
    <x v="229"/>
    <s v="3811"/>
    <n v="38"/>
    <x v="0"/>
    <n v="1"/>
    <m/>
    <x v="176"/>
    <x v="275"/>
    <x v="28"/>
    <x v="1"/>
    <m/>
    <n v="2907"/>
    <n v="3.8350923482849604"/>
    <n v="2907"/>
    <n v="3.8350923482849604"/>
    <s v="[]"/>
    <s v="[]"/>
  </r>
  <r>
    <x v="7"/>
    <s v="637 North Wells Street"/>
    <x v="229"/>
    <s v="3711"/>
    <n v="37"/>
    <x v="0"/>
    <n v="1"/>
    <m/>
    <x v="176"/>
    <x v="339"/>
    <x v="28"/>
    <x v="1"/>
    <m/>
    <n v="2982"/>
    <n v="3.9340369393139842"/>
    <n v="2982"/>
    <n v="3.9340369393139842"/>
    <s v="[]"/>
    <s v="[]"/>
  </r>
  <r>
    <x v="7"/>
    <s v="637 North Wells Street"/>
    <x v="229"/>
    <s v="3911"/>
    <n v="39"/>
    <x v="0"/>
    <n v="1"/>
    <m/>
    <x v="176"/>
    <x v="123"/>
    <x v="28"/>
    <x v="1"/>
    <m/>
    <n v="2982"/>
    <n v="3.9340369393139842"/>
    <n v="2982"/>
    <n v="3.9340369393139842"/>
    <s v="[]"/>
    <s v="[]"/>
  </r>
  <r>
    <x v="7"/>
    <s v="637 North Wells Street"/>
    <x v="230"/>
    <s v="1703"/>
    <n v="17"/>
    <x v="1"/>
    <n v="1"/>
    <m/>
    <x v="177"/>
    <x v="122"/>
    <x v="311"/>
    <x v="0"/>
    <n v="2"/>
    <n v="1891"/>
    <n v="3.1622073578595318"/>
    <n v="1891"/>
    <n v="3.1622073578595318"/>
    <s v="[]"/>
    <s v="[balcony_patio]"/>
  </r>
  <r>
    <x v="7"/>
    <s v="637 North Wells Street"/>
    <x v="230"/>
    <m/>
    <m/>
    <x v="1"/>
    <n v="1"/>
    <m/>
    <x v="177"/>
    <x v="519"/>
    <x v="514"/>
    <x v="0"/>
    <n v="2"/>
    <m/>
    <m/>
    <m/>
    <m/>
    <s v="[]"/>
    <s v="[balcony_patio]"/>
  </r>
  <r>
    <x v="7"/>
    <s v="637 North Wells Street"/>
    <x v="230"/>
    <s v="1303"/>
    <n v="13"/>
    <x v="1"/>
    <n v="1"/>
    <m/>
    <x v="177"/>
    <x v="49"/>
    <x v="404"/>
    <x v="0"/>
    <n v="2"/>
    <n v="2135"/>
    <n v="3.5702341137123748"/>
    <n v="2135"/>
    <n v="3.5702341137123748"/>
    <s v="[]"/>
    <s v="[balcony_patio]"/>
  </r>
  <r>
    <x v="7"/>
    <s v="637 North Wells Street"/>
    <x v="230"/>
    <s v="1603"/>
    <n v="16"/>
    <x v="1"/>
    <n v="1"/>
    <m/>
    <x v="177"/>
    <x v="490"/>
    <x v="286"/>
    <x v="0"/>
    <n v="8"/>
    <n v="2151"/>
    <n v="3.5969899665551841"/>
    <n v="2151"/>
    <n v="3.5969899665551841"/>
    <s v="[]"/>
    <s v="[]"/>
  </r>
  <r>
    <x v="7"/>
    <s v="637 North Wells Street"/>
    <x v="230"/>
    <s v="3303"/>
    <n v="33"/>
    <x v="1"/>
    <n v="1"/>
    <m/>
    <x v="177"/>
    <x v="5"/>
    <x v="102"/>
    <x v="0"/>
    <n v="4"/>
    <n v="2378"/>
    <n v="3.9765886287625416"/>
    <n v="2378"/>
    <n v="3.9765886287625416"/>
    <s v="[]"/>
    <s v="[]"/>
  </r>
  <r>
    <x v="7"/>
    <s v="637 North Wells Street"/>
    <x v="230"/>
    <s v="3403"/>
    <n v="34"/>
    <x v="1"/>
    <n v="1"/>
    <m/>
    <x v="177"/>
    <x v="516"/>
    <x v="568"/>
    <x v="0"/>
    <n v="3"/>
    <n v="2252"/>
    <n v="3.7658862876254182"/>
    <n v="2252"/>
    <n v="3.7658862876254182"/>
    <s v="[]"/>
    <s v="[balcony_patio]"/>
  </r>
  <r>
    <x v="7"/>
    <s v="637 North Wells Street"/>
    <x v="230"/>
    <s v="3103"/>
    <n v="31"/>
    <x v="1"/>
    <n v="1"/>
    <m/>
    <x v="177"/>
    <x v="270"/>
    <x v="506"/>
    <x v="0"/>
    <n v="5"/>
    <n v="2262"/>
    <n v="3.7826086956521738"/>
    <n v="2262"/>
    <n v="3.7826086956521738"/>
    <s v="[]"/>
    <s v="[balcony_patio]"/>
  </r>
  <r>
    <x v="7"/>
    <s v="637 North Wells Street"/>
    <x v="230"/>
    <s v="1903"/>
    <n v="19"/>
    <x v="1"/>
    <n v="1"/>
    <m/>
    <x v="177"/>
    <x v="520"/>
    <x v="569"/>
    <x v="0"/>
    <n v="4"/>
    <n v="2273"/>
    <n v="3.8010033444816052"/>
    <n v="2273"/>
    <n v="3.8010033444816052"/>
    <s v="[]"/>
    <s v="[balcony_patio]"/>
  </r>
  <r>
    <x v="7"/>
    <s v="637 North Wells Street"/>
    <x v="230"/>
    <s v="3503"/>
    <n v="35"/>
    <x v="1"/>
    <n v="1"/>
    <m/>
    <x v="177"/>
    <x v="339"/>
    <x v="70"/>
    <x v="0"/>
    <n v="49"/>
    <n v="2358"/>
    <n v="3.9431438127090299"/>
    <n v="2358"/>
    <n v="3.9431438127090299"/>
    <s v="[]"/>
    <s v="[balcony_patio]"/>
  </r>
  <r>
    <x v="7"/>
    <s v="637 North Wells Street"/>
    <x v="230"/>
    <s v="1403"/>
    <n v="14"/>
    <x v="1"/>
    <n v="1"/>
    <m/>
    <x v="177"/>
    <x v="16"/>
    <x v="231"/>
    <x v="0"/>
    <n v="30"/>
    <n v="2426"/>
    <n v="4.0568561872909701"/>
    <n v="2426"/>
    <n v="4.0568561872909701"/>
    <s v="[]"/>
    <s v="[balcony_patio]"/>
  </r>
  <r>
    <x v="7"/>
    <s v="637 North Wells Street"/>
    <x v="230"/>
    <s v="0903"/>
    <n v="9"/>
    <x v="1"/>
    <n v="1"/>
    <m/>
    <x v="177"/>
    <x v="521"/>
    <x v="562"/>
    <x v="0"/>
    <n v="5"/>
    <n v="2493"/>
    <n v="4.1688963210702346"/>
    <n v="2493"/>
    <n v="4.1688963210702346"/>
    <s v="[]"/>
    <s v="[balcony_patio]"/>
  </r>
  <r>
    <x v="7"/>
    <s v="637 North Wells Street"/>
    <x v="231"/>
    <s v="0901"/>
    <n v="9"/>
    <x v="1"/>
    <n v="1"/>
    <m/>
    <x v="3"/>
    <x v="516"/>
    <x v="506"/>
    <x v="0"/>
    <n v="4"/>
    <n v="2332"/>
    <n v="3.1989026063100137"/>
    <n v="2332"/>
    <n v="3.1989026063100137"/>
    <s v="[]"/>
    <s v="[balcony_patio]"/>
  </r>
  <r>
    <x v="7"/>
    <s v="637 North Wells Street"/>
    <x v="232"/>
    <s v="2613"/>
    <n v="26"/>
    <x v="1"/>
    <n v="1"/>
    <m/>
    <x v="178"/>
    <x v="229"/>
    <x v="437"/>
    <x v="0"/>
    <n v="7"/>
    <n v="2420"/>
    <n v="3.1800262812089355"/>
    <n v="2420"/>
    <n v="3.1800262812089355"/>
    <s v="[]"/>
    <s v="[balcony_patio]"/>
  </r>
  <r>
    <x v="7"/>
    <s v="637 North Wells Street"/>
    <x v="232"/>
    <s v="1413"/>
    <n v="14"/>
    <x v="1"/>
    <n v="1"/>
    <m/>
    <x v="178"/>
    <x v="413"/>
    <x v="120"/>
    <x v="0"/>
    <n v="107"/>
    <n v="2579"/>
    <n v="3.3889618922470435"/>
    <n v="2579"/>
    <n v="3.3889618922470435"/>
    <s v="[]"/>
    <s v="[balcony_patio]"/>
  </r>
  <r>
    <x v="7"/>
    <s v="637 North Wells Street"/>
    <x v="232"/>
    <m/>
    <m/>
    <x v="1"/>
    <n v="1"/>
    <m/>
    <x v="178"/>
    <x v="522"/>
    <x v="264"/>
    <x v="0"/>
    <n v="2"/>
    <m/>
    <m/>
    <m/>
    <m/>
    <s v="[]"/>
    <s v="[balcony_patio]"/>
  </r>
  <r>
    <x v="7"/>
    <s v="637 North Wells Street"/>
    <x v="232"/>
    <s v="1313"/>
    <n v="13"/>
    <x v="1"/>
    <n v="1"/>
    <m/>
    <x v="178"/>
    <x v="7"/>
    <x v="170"/>
    <x v="0"/>
    <n v="123"/>
    <n v="2681"/>
    <n v="3.5229960578186597"/>
    <n v="2681"/>
    <n v="3.5229960578186597"/>
    <s v="[]"/>
    <s v="[balcony_patio]"/>
  </r>
  <r>
    <x v="7"/>
    <s v="637 North Wells Street"/>
    <x v="232"/>
    <s v="1913"/>
    <n v="19"/>
    <x v="1"/>
    <n v="1"/>
    <m/>
    <x v="178"/>
    <x v="54"/>
    <x v="210"/>
    <x v="0"/>
    <n v="53"/>
    <n v="2682"/>
    <n v="3.5243101182654404"/>
    <n v="2682"/>
    <n v="3.5243101182654404"/>
    <s v="[]"/>
    <s v="[]"/>
  </r>
  <r>
    <x v="7"/>
    <s v="637 North Wells Street"/>
    <x v="232"/>
    <s v="3113"/>
    <n v="31"/>
    <x v="1"/>
    <n v="1"/>
    <m/>
    <x v="178"/>
    <x v="511"/>
    <x v="128"/>
    <x v="0"/>
    <n v="66"/>
    <n v="2734"/>
    <n v="3.592641261498029"/>
    <n v="2734"/>
    <n v="3.592641261498029"/>
    <s v="[]"/>
    <s v="[]"/>
  </r>
  <r>
    <x v="7"/>
    <s v="637 North Wells Street"/>
    <x v="232"/>
    <s v="2213"/>
    <n v="22"/>
    <x v="1"/>
    <n v="1"/>
    <m/>
    <x v="178"/>
    <x v="94"/>
    <x v="6"/>
    <x v="0"/>
    <n v="107"/>
    <n v="2757"/>
    <n v="3.6228646517739818"/>
    <n v="2757"/>
    <n v="3.6228646517739818"/>
    <s v="[]"/>
    <s v="[balcony_patio]"/>
  </r>
  <r>
    <x v="7"/>
    <s v="637 North Wells Street"/>
    <x v="232"/>
    <s v="1613"/>
    <n v="16"/>
    <x v="1"/>
    <n v="1"/>
    <m/>
    <x v="178"/>
    <x v="474"/>
    <x v="66"/>
    <x v="0"/>
    <n v="14"/>
    <n v="2851"/>
    <n v="3.7463863337713534"/>
    <n v="2851"/>
    <n v="3.7463863337713534"/>
    <s v="[]"/>
    <s v="[]"/>
  </r>
  <r>
    <x v="7"/>
    <s v="637 North Wells Street"/>
    <x v="232"/>
    <s v="2113"/>
    <n v="21"/>
    <x v="1"/>
    <n v="1"/>
    <m/>
    <x v="178"/>
    <x v="474"/>
    <x v="457"/>
    <x v="0"/>
    <n v="3"/>
    <n v="2877"/>
    <n v="3.780551905387648"/>
    <n v="2877"/>
    <n v="3.780551905387648"/>
    <s v="[]"/>
    <s v="[balcony_patio]"/>
  </r>
  <r>
    <x v="7"/>
    <s v="637 North Wells Street"/>
    <x v="232"/>
    <s v="1213"/>
    <n v="12"/>
    <x v="1"/>
    <n v="1"/>
    <m/>
    <x v="178"/>
    <x v="120"/>
    <x v="28"/>
    <x v="1"/>
    <m/>
    <n v="2879"/>
    <n v="3.783180026281209"/>
    <n v="2879"/>
    <n v="3.783180026281209"/>
    <s v="[]"/>
    <s v="[]"/>
  </r>
  <r>
    <x v="7"/>
    <s v="637 North Wells Street"/>
    <x v="232"/>
    <s v="2413"/>
    <n v="24"/>
    <x v="1"/>
    <n v="1"/>
    <m/>
    <x v="178"/>
    <x v="5"/>
    <x v="468"/>
    <x v="0"/>
    <n v="8"/>
    <n v="2974"/>
    <n v="3.9080157687253614"/>
    <n v="2974"/>
    <n v="3.9080157687253614"/>
    <s v="[]"/>
    <s v="[]"/>
  </r>
  <r>
    <x v="7"/>
    <s v="637 North Wells Street"/>
    <x v="232"/>
    <s v="2313"/>
    <n v="23"/>
    <x v="1"/>
    <n v="1"/>
    <m/>
    <x v="178"/>
    <x v="436"/>
    <x v="421"/>
    <x v="0"/>
    <n v="109"/>
    <n v="2449"/>
    <n v="3.2181340341655718"/>
    <n v="2449"/>
    <n v="3.2181340341655718"/>
    <s v="[]"/>
    <s v="[balcony_patio]"/>
  </r>
  <r>
    <x v="7"/>
    <s v="637 North Wells Street"/>
    <x v="232"/>
    <s v="3413"/>
    <n v="34"/>
    <x v="1"/>
    <n v="1"/>
    <m/>
    <x v="178"/>
    <x v="37"/>
    <x v="265"/>
    <x v="0"/>
    <n v="6"/>
    <n v="2574"/>
    <n v="3.3823915900131407"/>
    <n v="2574"/>
    <n v="3.3823915900131407"/>
    <s v="[]"/>
    <s v="[balcony_patio]"/>
  </r>
  <r>
    <x v="7"/>
    <s v="637 North Wells Street"/>
    <x v="232"/>
    <s v="2813"/>
    <n v="28"/>
    <x v="1"/>
    <n v="1"/>
    <m/>
    <x v="178"/>
    <x v="391"/>
    <x v="489"/>
    <x v="0"/>
    <n v="76"/>
    <n v="2799"/>
    <n v="3.6780551905387648"/>
    <n v="2799"/>
    <n v="3.6780551905387648"/>
    <s v="[]"/>
    <s v="[balcony_patio]"/>
  </r>
  <r>
    <x v="7"/>
    <s v="637 North Wells Street"/>
    <x v="232"/>
    <s v="2913"/>
    <n v="29"/>
    <x v="1"/>
    <n v="1"/>
    <m/>
    <x v="178"/>
    <x v="509"/>
    <x v="267"/>
    <x v="0"/>
    <n v="13"/>
    <n v="2845"/>
    <n v="3.73850197109067"/>
    <n v="2845"/>
    <n v="3.73850197109067"/>
    <s v="[]"/>
    <s v="[balcony_patio]"/>
  </r>
  <r>
    <x v="7"/>
    <s v="637 North Wells Street"/>
    <x v="232"/>
    <s v="3213"/>
    <n v="32"/>
    <x v="1"/>
    <n v="1"/>
    <m/>
    <x v="178"/>
    <x v="392"/>
    <x v="241"/>
    <x v="0"/>
    <n v="69"/>
    <n v="2850"/>
    <n v="3.7450722733245727"/>
    <n v="2850"/>
    <n v="3.7450722733245727"/>
    <s v="[]"/>
    <s v="[balcony_patio]"/>
  </r>
  <r>
    <x v="7"/>
    <s v="637 North Wells Street"/>
    <x v="233"/>
    <s v="1006"/>
    <n v="10"/>
    <x v="1"/>
    <n v="1"/>
    <m/>
    <x v="179"/>
    <x v="293"/>
    <x v="436"/>
    <x v="0"/>
    <n v="47"/>
    <n v="2505"/>
    <n v="3.2787958115183247"/>
    <n v="2312"/>
    <n v="3.0261780104712042"/>
    <s v="[]"/>
    <s v="[]"/>
  </r>
  <r>
    <x v="7"/>
    <s v="637 North Wells Street"/>
    <x v="233"/>
    <s v="1306"/>
    <n v="13"/>
    <x v="1"/>
    <n v="1"/>
    <m/>
    <x v="179"/>
    <x v="517"/>
    <x v="8"/>
    <x v="0"/>
    <n v="20"/>
    <n v="2571"/>
    <n v="3.3651832460732982"/>
    <n v="2373"/>
    <n v="3.1060209424083771"/>
    <s v="[]"/>
    <s v="[balcony_patio]"/>
  </r>
  <r>
    <x v="7"/>
    <s v="637 North Wells Street"/>
    <x v="233"/>
    <s v="2406"/>
    <n v="24"/>
    <x v="1"/>
    <n v="1"/>
    <m/>
    <x v="179"/>
    <x v="117"/>
    <x v="130"/>
    <x v="0"/>
    <n v="94"/>
    <n v="2589"/>
    <n v="3.3887434554973823"/>
    <n v="2589"/>
    <n v="3.3887434554973823"/>
    <s v="[]"/>
    <s v="[]"/>
  </r>
  <r>
    <x v="7"/>
    <s v="637 North Wells Street"/>
    <x v="233"/>
    <s v="1606"/>
    <n v="16"/>
    <x v="1"/>
    <n v="1"/>
    <m/>
    <x v="179"/>
    <x v="48"/>
    <x v="237"/>
    <x v="0"/>
    <n v="113"/>
    <n v="2642"/>
    <n v="3.4581151832460733"/>
    <n v="2642"/>
    <n v="3.4581151832460733"/>
    <s v="[]"/>
    <s v="[]"/>
  </r>
  <r>
    <x v="7"/>
    <s v="637 North Wells Street"/>
    <x v="233"/>
    <s v="1106"/>
    <n v="11"/>
    <x v="1"/>
    <n v="1"/>
    <m/>
    <x v="179"/>
    <x v="83"/>
    <x v="558"/>
    <x v="0"/>
    <n v="146"/>
    <n v="2646"/>
    <n v="3.4633507853403143"/>
    <n v="2646"/>
    <n v="3.4633507853403143"/>
    <s v="[]"/>
    <s v="[balcony_patio]"/>
  </r>
  <r>
    <x v="7"/>
    <s v="637 North Wells Street"/>
    <x v="233"/>
    <s v="3306"/>
    <n v="33"/>
    <x v="1"/>
    <n v="1"/>
    <m/>
    <x v="179"/>
    <x v="179"/>
    <x v="114"/>
    <x v="0"/>
    <n v="3"/>
    <n v="2664"/>
    <n v="3.4869109947643979"/>
    <n v="2664"/>
    <n v="3.4869109947643979"/>
    <s v="[]"/>
    <s v="[]"/>
  </r>
  <r>
    <x v="7"/>
    <s v="637 North Wells Street"/>
    <x v="233"/>
    <s v="1806"/>
    <n v="18"/>
    <x v="1"/>
    <n v="1"/>
    <m/>
    <x v="179"/>
    <x v="490"/>
    <x v="490"/>
    <x v="0"/>
    <n v="53"/>
    <n v="2693"/>
    <n v="3.5248691099476441"/>
    <n v="2693"/>
    <n v="3.5248691099476441"/>
    <s v="[]"/>
    <s v="[]"/>
  </r>
  <r>
    <x v="7"/>
    <s v="637 North Wells Street"/>
    <x v="233"/>
    <s v="2506"/>
    <n v="25"/>
    <x v="1"/>
    <n v="1"/>
    <m/>
    <x v="179"/>
    <x v="523"/>
    <x v="172"/>
    <x v="0"/>
    <n v="8"/>
    <n v="2768"/>
    <n v="3.6230366492146597"/>
    <n v="2768"/>
    <n v="3.6230366492146597"/>
    <s v="[]"/>
    <s v="[balcony_patio]"/>
  </r>
  <r>
    <x v="7"/>
    <s v="637 North Wells Street"/>
    <x v="233"/>
    <s v="2706"/>
    <n v="27"/>
    <x v="1"/>
    <n v="1"/>
    <m/>
    <x v="179"/>
    <x v="344"/>
    <x v="213"/>
    <x v="0"/>
    <n v="14"/>
    <n v="2905"/>
    <n v="3.8023560209424083"/>
    <n v="2905"/>
    <n v="3.8023560209424083"/>
    <s v="[]"/>
    <s v="[]"/>
  </r>
  <r>
    <x v="7"/>
    <s v="637 North Wells Street"/>
    <x v="233"/>
    <s v="3006"/>
    <n v="30"/>
    <x v="1"/>
    <n v="1"/>
    <m/>
    <x v="179"/>
    <x v="211"/>
    <x v="28"/>
    <x v="1"/>
    <m/>
    <n v="2965"/>
    <n v="3.8808900523560208"/>
    <n v="2965"/>
    <n v="3.8808900523560208"/>
    <s v="[]"/>
    <s v="[balcony_patio]"/>
  </r>
  <r>
    <x v="7"/>
    <s v="637 North Wells Street"/>
    <x v="233"/>
    <s v="2206"/>
    <n v="22"/>
    <x v="1"/>
    <n v="1"/>
    <m/>
    <x v="179"/>
    <x v="291"/>
    <x v="44"/>
    <x v="0"/>
    <n v="44"/>
    <n v="2967"/>
    <n v="3.8835078534031413"/>
    <n v="2967"/>
    <n v="3.8835078534031413"/>
    <s v="[]"/>
    <s v="[balcony_patio]"/>
  </r>
  <r>
    <x v="7"/>
    <s v="637 North Wells Street"/>
    <x v="233"/>
    <s v="3106"/>
    <n v="31"/>
    <x v="1"/>
    <n v="1"/>
    <m/>
    <x v="179"/>
    <x v="123"/>
    <x v="28"/>
    <x v="1"/>
    <m/>
    <n v="3015"/>
    <n v="3.9463350785340312"/>
    <n v="3015"/>
    <n v="3.9463350785340312"/>
    <s v="[]"/>
    <s v="[]"/>
  </r>
  <r>
    <x v="7"/>
    <s v="637 North Wells Street"/>
    <x v="233"/>
    <s v="2306"/>
    <n v="23"/>
    <x v="1"/>
    <n v="1"/>
    <m/>
    <x v="179"/>
    <x v="182"/>
    <x v="570"/>
    <x v="0"/>
    <n v="71"/>
    <n v="2379"/>
    <n v="3.1138743455497382"/>
    <n v="2379"/>
    <n v="3.1138743455497382"/>
    <s v="[]"/>
    <s v="[balcony_patio]"/>
  </r>
  <r>
    <x v="7"/>
    <s v="637 North Wells Street"/>
    <x v="233"/>
    <s v="2106"/>
    <n v="21"/>
    <x v="1"/>
    <n v="1"/>
    <m/>
    <x v="179"/>
    <x v="354"/>
    <x v="571"/>
    <x v="0"/>
    <n v="126"/>
    <n v="2384"/>
    <n v="3.1204188481675392"/>
    <n v="2384"/>
    <n v="3.1204188481675392"/>
    <s v="[]"/>
    <s v="[balcony_patio]"/>
  </r>
  <r>
    <x v="7"/>
    <s v="637 North Wells Street"/>
    <x v="233"/>
    <s v="2806"/>
    <n v="28"/>
    <x v="1"/>
    <n v="1"/>
    <m/>
    <x v="179"/>
    <x v="107"/>
    <x v="572"/>
    <x v="0"/>
    <n v="2"/>
    <n v="2439"/>
    <n v="3.1924083769633507"/>
    <n v="2439"/>
    <n v="3.1924083769633507"/>
    <s v="[]"/>
    <s v="[balcony_patio]"/>
  </r>
  <r>
    <x v="7"/>
    <s v="637 North Wells Street"/>
    <x v="233"/>
    <s v="3206"/>
    <n v="32"/>
    <x v="1"/>
    <n v="1"/>
    <m/>
    <x v="179"/>
    <x v="65"/>
    <x v="420"/>
    <x v="0"/>
    <n v="16"/>
    <n v="2483"/>
    <n v="3.25"/>
    <n v="2483"/>
    <n v="3.25"/>
    <s v="[]"/>
    <s v="[balcony_patio]"/>
  </r>
  <r>
    <x v="7"/>
    <s v="637 North Wells Street"/>
    <x v="233"/>
    <s v="2606"/>
    <n v="26"/>
    <x v="1"/>
    <n v="1"/>
    <m/>
    <x v="179"/>
    <x v="516"/>
    <x v="506"/>
    <x v="0"/>
    <n v="4"/>
    <n v="2586"/>
    <n v="3.3848167539267018"/>
    <n v="2586"/>
    <n v="3.3848167539267018"/>
    <s v="[]"/>
    <s v="[balcony_patio]"/>
  </r>
  <r>
    <x v="7"/>
    <s v="637 North Wells Street"/>
    <x v="233"/>
    <s v="3506"/>
    <n v="35"/>
    <x v="1"/>
    <n v="1"/>
    <m/>
    <x v="179"/>
    <x v="130"/>
    <x v="58"/>
    <x v="0"/>
    <m/>
    <n v="3270"/>
    <n v="4.2801047120418847"/>
    <n v="3270"/>
    <n v="4.2801047120418847"/>
    <s v="[]"/>
    <s v="[balcony_patio]"/>
  </r>
  <r>
    <x v="7"/>
    <s v="637 North Wells Street"/>
    <x v="234"/>
    <s v="3513"/>
    <n v="35"/>
    <x v="1"/>
    <n v="1"/>
    <m/>
    <x v="180"/>
    <x v="225"/>
    <x v="386"/>
    <x v="0"/>
    <n v="106"/>
    <n v="3194"/>
    <n v="4.1697127937336811"/>
    <n v="3194"/>
    <n v="4.1697127937336811"/>
    <s v="[]"/>
    <s v="[balcony_patio]"/>
  </r>
  <r>
    <x v="7"/>
    <s v="637 North Wells Street"/>
    <x v="235"/>
    <s v="2701"/>
    <n v="27"/>
    <x v="1"/>
    <n v="1"/>
    <m/>
    <x v="181"/>
    <x v="524"/>
    <x v="98"/>
    <x v="0"/>
    <n v="4"/>
    <n v="2625"/>
    <n v="3.3185840707964602"/>
    <n v="2625"/>
    <n v="3.3185840707964602"/>
    <s v="[]"/>
    <s v="[balcony_patio]"/>
  </r>
  <r>
    <x v="7"/>
    <s v="637 North Wells Street"/>
    <x v="235"/>
    <m/>
    <m/>
    <x v="1"/>
    <n v="1"/>
    <m/>
    <x v="181"/>
    <x v="522"/>
    <x v="264"/>
    <x v="0"/>
    <n v="2"/>
    <m/>
    <m/>
    <m/>
    <m/>
    <s v="[]"/>
    <s v="[balcony_patio]"/>
  </r>
  <r>
    <x v="7"/>
    <s v="637 North Wells Street"/>
    <x v="235"/>
    <s v="2201"/>
    <n v="22"/>
    <x v="1"/>
    <n v="1"/>
    <m/>
    <x v="181"/>
    <x v="343"/>
    <x v="94"/>
    <x v="0"/>
    <n v="152"/>
    <n v="2693"/>
    <n v="3.4045512010113779"/>
    <n v="2693"/>
    <n v="3.4045512010113779"/>
    <s v="[]"/>
    <s v="[balcony_patio]"/>
  </r>
  <r>
    <x v="7"/>
    <s v="637 North Wells Street"/>
    <x v="235"/>
    <s v="3001"/>
    <n v="30"/>
    <x v="1"/>
    <n v="1"/>
    <m/>
    <x v="181"/>
    <x v="209"/>
    <x v="125"/>
    <x v="0"/>
    <n v="11"/>
    <n v="2717"/>
    <n v="3.4348925410872315"/>
    <n v="2717"/>
    <n v="3.4348925410872315"/>
    <s v="[]"/>
    <s v="[]"/>
  </r>
  <r>
    <x v="7"/>
    <s v="637 North Wells Street"/>
    <x v="235"/>
    <s v="3201"/>
    <n v="32"/>
    <x v="1"/>
    <n v="1"/>
    <m/>
    <x v="181"/>
    <x v="423"/>
    <x v="130"/>
    <x v="0"/>
    <n v="129"/>
    <n v="2789"/>
    <n v="3.5259165613147916"/>
    <n v="2789"/>
    <n v="3.5259165613147916"/>
    <s v="[]"/>
    <s v="[]"/>
  </r>
  <r>
    <x v="7"/>
    <s v="637 North Wells Street"/>
    <x v="235"/>
    <s v="3401"/>
    <n v="34"/>
    <x v="1"/>
    <n v="1"/>
    <m/>
    <x v="181"/>
    <x v="74"/>
    <x v="95"/>
    <x v="0"/>
    <n v="2"/>
    <n v="2808"/>
    <n v="3.5499367888748421"/>
    <n v="2592"/>
    <n v="3.2768647281921619"/>
    <s v="[]"/>
    <s v="[]"/>
  </r>
  <r>
    <x v="7"/>
    <s v="637 North Wells Street"/>
    <x v="235"/>
    <s v="2101"/>
    <n v="21"/>
    <x v="1"/>
    <n v="1"/>
    <m/>
    <x v="181"/>
    <x v="343"/>
    <x v="449"/>
    <x v="0"/>
    <n v="97"/>
    <n v="2869"/>
    <n v="3.6270543615676361"/>
    <n v="2869"/>
    <n v="3.6270543615676361"/>
    <s v="[]"/>
    <s v="[balcony_patio]"/>
  </r>
  <r>
    <x v="7"/>
    <s v="637 North Wells Street"/>
    <x v="235"/>
    <s v="1001"/>
    <n v="10"/>
    <x v="1"/>
    <n v="1"/>
    <m/>
    <x v="181"/>
    <x v="148"/>
    <x v="28"/>
    <x v="1"/>
    <m/>
    <n v="2938"/>
    <n v="3.7142857142857144"/>
    <n v="2938"/>
    <n v="3.7142857142857144"/>
    <s v="[]"/>
    <s v="[]"/>
  </r>
  <r>
    <x v="7"/>
    <s v="637 North Wells Street"/>
    <x v="235"/>
    <s v="1501"/>
    <n v="15"/>
    <x v="1"/>
    <n v="1"/>
    <m/>
    <x v="181"/>
    <x v="486"/>
    <x v="149"/>
    <x v="0"/>
    <n v="89"/>
    <n v="2940"/>
    <n v="3.7168141592920354"/>
    <n v="2940"/>
    <n v="3.7168141592920354"/>
    <s v="[]"/>
    <s v="[balcony_patio]"/>
  </r>
  <r>
    <x v="7"/>
    <s v="637 North Wells Street"/>
    <x v="235"/>
    <s v="1601"/>
    <n v="16"/>
    <x v="1"/>
    <n v="1"/>
    <m/>
    <x v="181"/>
    <x v="29"/>
    <x v="28"/>
    <x v="1"/>
    <m/>
    <n v="2988"/>
    <n v="3.7774968394437423"/>
    <n v="2988"/>
    <n v="3.7774968394437423"/>
    <s v="[]"/>
    <s v="[]"/>
  </r>
  <r>
    <x v="7"/>
    <s v="637 North Wells Street"/>
    <x v="235"/>
    <s v="2901"/>
    <n v="29"/>
    <x v="1"/>
    <n v="1"/>
    <m/>
    <x v="181"/>
    <x v="89"/>
    <x v="286"/>
    <x v="0"/>
    <n v="38"/>
    <n v="2995"/>
    <n v="3.7863463969658659"/>
    <n v="2995"/>
    <n v="3.7863463969658659"/>
    <s v="[]"/>
    <s v="[balcony_patio]"/>
  </r>
  <r>
    <x v="7"/>
    <s v="637 North Wells Street"/>
    <x v="235"/>
    <s v="2001"/>
    <n v="20"/>
    <x v="1"/>
    <n v="1"/>
    <m/>
    <x v="181"/>
    <x v="298"/>
    <x v="287"/>
    <x v="0"/>
    <n v="3"/>
    <n v="2481"/>
    <n v="3.1365360303413401"/>
    <n v="2481"/>
    <n v="3.1365360303413401"/>
    <s v="[]"/>
    <s v="[balcony_patio]"/>
  </r>
  <r>
    <x v="7"/>
    <s v="637 North Wells Street"/>
    <x v="235"/>
    <s v="1901"/>
    <n v="19"/>
    <x v="1"/>
    <n v="1"/>
    <m/>
    <x v="181"/>
    <x v="435"/>
    <x v="471"/>
    <x v="0"/>
    <n v="3"/>
    <n v="2490"/>
    <n v="3.1479140328697852"/>
    <n v="2490"/>
    <n v="3.1479140328697852"/>
    <s v="[]"/>
    <s v="[balcony_patio]"/>
  </r>
  <r>
    <x v="7"/>
    <s v="637 North Wells Street"/>
    <x v="235"/>
    <s v="2501"/>
    <n v="25"/>
    <x v="1"/>
    <n v="1"/>
    <m/>
    <x v="181"/>
    <x v="46"/>
    <x v="571"/>
    <x v="0"/>
    <n v="2"/>
    <n v="2584"/>
    <n v="3.2667509481668775"/>
    <n v="2584"/>
    <n v="3.2667509481668775"/>
    <s v="[]"/>
    <s v="[balcony_patio]"/>
  </r>
  <r>
    <x v="7"/>
    <s v="637 North Wells Street"/>
    <x v="235"/>
    <s v="2301"/>
    <n v="23"/>
    <x v="1"/>
    <n v="1"/>
    <m/>
    <x v="181"/>
    <x v="373"/>
    <x v="375"/>
    <x v="0"/>
    <n v="6"/>
    <n v="2612"/>
    <n v="3.3021491782553731"/>
    <n v="2612"/>
    <n v="3.3021491782553731"/>
    <s v="[]"/>
    <s v="[balcony_patio]"/>
  </r>
  <r>
    <x v="7"/>
    <s v="637 North Wells Street"/>
    <x v="235"/>
    <s v="1101"/>
    <n v="11"/>
    <x v="1"/>
    <n v="1"/>
    <m/>
    <x v="181"/>
    <x v="516"/>
    <x v="308"/>
    <x v="0"/>
    <n v="5"/>
    <n v="2645"/>
    <n v="3.3438685208596715"/>
    <n v="2645"/>
    <n v="3.3438685208596715"/>
    <s v="[]"/>
    <s v="[balcony_patio]"/>
  </r>
  <r>
    <x v="7"/>
    <s v="637 North Wells Street"/>
    <x v="235"/>
    <s v="3101"/>
    <n v="31"/>
    <x v="1"/>
    <n v="1"/>
    <m/>
    <x v="181"/>
    <x v="502"/>
    <x v="303"/>
    <x v="0"/>
    <n v="43"/>
    <n v="3007"/>
    <n v="3.8015170670037928"/>
    <n v="3007"/>
    <n v="3.8015170670037928"/>
    <s v="[]"/>
    <s v="[balcony_patio]"/>
  </r>
  <r>
    <x v="7"/>
    <s v="637 North Wells Street"/>
    <x v="235"/>
    <s v="3301"/>
    <n v="33"/>
    <x v="1"/>
    <n v="1"/>
    <m/>
    <x v="181"/>
    <x v="212"/>
    <x v="378"/>
    <x v="0"/>
    <n v="44"/>
    <n v="3161"/>
    <n v="3.9962073324905183"/>
    <n v="3161"/>
    <n v="3.9962073324905183"/>
    <s v="[]"/>
    <s v="[balcony_patio]"/>
  </r>
  <r>
    <x v="7"/>
    <s v="637 North Wells Street"/>
    <x v="236"/>
    <s v="0908"/>
    <n v="9"/>
    <x v="1"/>
    <n v="1"/>
    <m/>
    <x v="182"/>
    <x v="159"/>
    <x v="114"/>
    <x v="0"/>
    <n v="8"/>
    <n v="2544"/>
    <n v="3.1879699248120299"/>
    <n v="2544"/>
    <n v="3.1879699248120299"/>
    <s v="[]"/>
    <s v="[]"/>
  </r>
  <r>
    <x v="7"/>
    <s v="637 North Wells Street"/>
    <x v="236"/>
    <s v="1208"/>
    <n v="12"/>
    <x v="1"/>
    <n v="1"/>
    <m/>
    <x v="182"/>
    <x v="147"/>
    <x v="167"/>
    <x v="0"/>
    <n v="3"/>
    <n v="2626"/>
    <n v="3.2907268170426067"/>
    <n v="2626"/>
    <n v="3.2907268170426067"/>
    <s v="[]"/>
    <s v="[balcony_patio]"/>
  </r>
  <r>
    <x v="7"/>
    <s v="637 North Wells Street"/>
    <x v="236"/>
    <s v="1008"/>
    <n v="10"/>
    <x v="1"/>
    <n v="1"/>
    <m/>
    <x v="182"/>
    <x v="159"/>
    <x v="192"/>
    <x v="0"/>
    <n v="2"/>
    <n v="2629"/>
    <n v="3.2944862155388472"/>
    <n v="2629"/>
    <n v="3.2944862155388472"/>
    <s v="[]"/>
    <s v="[]"/>
  </r>
  <r>
    <x v="7"/>
    <s v="637 North Wells Street"/>
    <x v="236"/>
    <s v="1508"/>
    <n v="15"/>
    <x v="1"/>
    <n v="1"/>
    <m/>
    <x v="182"/>
    <x v="334"/>
    <x v="258"/>
    <x v="0"/>
    <n v="2"/>
    <n v="2694"/>
    <n v="3.3759398496240602"/>
    <n v="2487"/>
    <n v="3.1165413533834587"/>
    <s v="[]"/>
    <s v="[]"/>
  </r>
  <r>
    <x v="7"/>
    <s v="637 North Wells Street"/>
    <x v="236"/>
    <s v="1808"/>
    <n v="18"/>
    <x v="1"/>
    <n v="1"/>
    <m/>
    <x v="182"/>
    <x v="49"/>
    <x v="527"/>
    <x v="0"/>
    <n v="33"/>
    <n v="2708"/>
    <n v="3.3934837092731831"/>
    <n v="2708"/>
    <n v="3.3934837092731831"/>
    <s v="[]"/>
    <s v="[]"/>
  </r>
  <r>
    <x v="7"/>
    <s v="637 North Wells Street"/>
    <x v="236"/>
    <s v="3008"/>
    <n v="30"/>
    <x v="1"/>
    <n v="1"/>
    <m/>
    <x v="182"/>
    <x v="260"/>
    <x v="527"/>
    <x v="0"/>
    <n v="28"/>
    <n v="2779"/>
    <n v="3.4824561403508771"/>
    <n v="2779"/>
    <n v="3.4824561403508771"/>
    <s v="[]"/>
    <s v="[]"/>
  </r>
  <r>
    <x v="7"/>
    <s v="637 North Wells Street"/>
    <x v="236"/>
    <s v="1908"/>
    <n v="19"/>
    <x v="1"/>
    <n v="1"/>
    <m/>
    <x v="182"/>
    <x v="211"/>
    <x v="336"/>
    <x v="0"/>
    <n v="2"/>
    <n v="2841"/>
    <n v="3.5601503759398496"/>
    <n v="2841"/>
    <n v="3.5601503759398496"/>
    <s v="[]"/>
    <s v="[balcony_patio]"/>
  </r>
  <r>
    <x v="7"/>
    <s v="637 North Wells Street"/>
    <x v="236"/>
    <s v="1108"/>
    <n v="11"/>
    <x v="1"/>
    <n v="1"/>
    <m/>
    <x v="182"/>
    <x v="5"/>
    <x v="468"/>
    <x v="0"/>
    <n v="8"/>
    <n v="2958"/>
    <n v="3.7067669172932329"/>
    <n v="2958"/>
    <n v="3.7067669172932329"/>
    <s v="[]"/>
    <s v="[balcony_patio]"/>
  </r>
  <r>
    <x v="7"/>
    <s v="637 North Wells Street"/>
    <x v="236"/>
    <s v="2208"/>
    <n v="22"/>
    <x v="1"/>
    <n v="1"/>
    <m/>
    <x v="182"/>
    <x v="161"/>
    <x v="213"/>
    <x v="0"/>
    <n v="10"/>
    <n v="2979"/>
    <n v="3.7330827067669174"/>
    <n v="2979"/>
    <n v="3.7330827067669174"/>
    <s v="[]"/>
    <s v="[]"/>
  </r>
  <r>
    <x v="7"/>
    <s v="637 North Wells Street"/>
    <x v="236"/>
    <s v="2308"/>
    <n v="23"/>
    <x v="1"/>
    <n v="1"/>
    <m/>
    <x v="182"/>
    <x v="343"/>
    <x v="542"/>
    <x v="0"/>
    <n v="26"/>
    <n v="3071"/>
    <n v="3.8483709273182956"/>
    <n v="3071"/>
    <n v="3.8483709273182956"/>
    <s v="[]"/>
    <s v="[balcony_patio]"/>
  </r>
  <r>
    <x v="7"/>
    <s v="637 North Wells Street"/>
    <x v="236"/>
    <s v="2108"/>
    <n v="21"/>
    <x v="1"/>
    <n v="1"/>
    <m/>
    <x v="182"/>
    <x v="466"/>
    <x v="62"/>
    <x v="0"/>
    <n v="48"/>
    <n v="3112"/>
    <n v="3.899749373433584"/>
    <n v="3112"/>
    <n v="3.899749373433584"/>
    <s v="[]"/>
    <s v="[balcony_patio]"/>
  </r>
  <r>
    <x v="7"/>
    <s v="637 North Wells Street"/>
    <x v="236"/>
    <s v="3308"/>
    <n v="33"/>
    <x v="1"/>
    <n v="1"/>
    <m/>
    <x v="182"/>
    <x v="194"/>
    <x v="209"/>
    <x v="0"/>
    <n v="2"/>
    <n v="3161"/>
    <n v="3.9611528822055138"/>
    <n v="3161"/>
    <n v="3.9611528822055138"/>
    <s v="[]"/>
    <s v="[]"/>
  </r>
  <r>
    <x v="7"/>
    <s v="637 North Wells Street"/>
    <x v="236"/>
    <m/>
    <m/>
    <x v="1"/>
    <n v="1"/>
    <m/>
    <x v="182"/>
    <x v="98"/>
    <x v="37"/>
    <x v="0"/>
    <n v="19"/>
    <m/>
    <m/>
    <m/>
    <m/>
    <s v="[]"/>
    <s v="[balcony_patio]"/>
  </r>
  <r>
    <x v="7"/>
    <s v="637 North Wells Street"/>
    <x v="236"/>
    <s v="2708"/>
    <n v="27"/>
    <x v="1"/>
    <n v="1"/>
    <m/>
    <x v="182"/>
    <x v="215"/>
    <x v="511"/>
    <x v="0"/>
    <n v="11"/>
    <n v="2650"/>
    <n v="3.3208020050125313"/>
    <n v="2650"/>
    <n v="3.3208020050125313"/>
    <s v="[]"/>
    <s v="[balcony_patio]"/>
  </r>
  <r>
    <x v="7"/>
    <s v="637 North Wells Street"/>
    <x v="236"/>
    <s v="2008"/>
    <n v="20"/>
    <x v="1"/>
    <n v="1"/>
    <m/>
    <x v="182"/>
    <x v="516"/>
    <x v="406"/>
    <x v="0"/>
    <n v="2"/>
    <n v="2671"/>
    <n v="3.3471177944862154"/>
    <n v="2671"/>
    <n v="3.3471177944862154"/>
    <s v="[]"/>
    <s v="[balcony_patio]"/>
  </r>
  <r>
    <x v="7"/>
    <s v="637 North Wells Street"/>
    <x v="236"/>
    <s v="3108"/>
    <n v="31"/>
    <x v="1"/>
    <n v="1"/>
    <m/>
    <x v="182"/>
    <x v="485"/>
    <x v="573"/>
    <x v="0"/>
    <n v="5"/>
    <n v="3204"/>
    <n v="4.0150375939849621"/>
    <n v="3204"/>
    <n v="4.0150375939849621"/>
    <s v="[]"/>
    <s v="[balcony_patio]"/>
  </r>
  <r>
    <x v="7"/>
    <s v="637 North Wells Street"/>
    <x v="237"/>
    <s v="0806"/>
    <n v="8"/>
    <x v="1"/>
    <n v="1"/>
    <m/>
    <x v="138"/>
    <x v="486"/>
    <x v="105"/>
    <x v="0"/>
    <n v="105"/>
    <n v="2860"/>
    <n v="3.5483870967741935"/>
    <n v="2860"/>
    <n v="3.5483870967741935"/>
    <s v="[]"/>
    <s v="[]"/>
  </r>
  <r>
    <x v="7"/>
    <s v="637 North Wells Street"/>
    <x v="238"/>
    <s v="1412"/>
    <n v="14"/>
    <x v="1"/>
    <n v="1"/>
    <m/>
    <x v="183"/>
    <x v="370"/>
    <x v="26"/>
    <x v="0"/>
    <n v="139"/>
    <n v="2728"/>
    <n v="3.3227771010962242"/>
    <n v="2728"/>
    <n v="3.3227771010962242"/>
    <s v="[]"/>
    <s v="[]"/>
  </r>
  <r>
    <x v="7"/>
    <s v="637 North Wells Street"/>
    <x v="238"/>
    <s v="0912"/>
    <n v="9"/>
    <x v="1"/>
    <n v="1"/>
    <m/>
    <x v="183"/>
    <x v="403"/>
    <x v="534"/>
    <x v="0"/>
    <n v="93"/>
    <n v="2731"/>
    <n v="3.3264311814859928"/>
    <n v="2731"/>
    <n v="3.3264311814859928"/>
    <s v="[]"/>
    <s v="[]"/>
  </r>
  <r>
    <x v="7"/>
    <s v="637 North Wells Street"/>
    <x v="238"/>
    <s v="2612"/>
    <n v="26"/>
    <x v="1"/>
    <n v="1"/>
    <m/>
    <x v="183"/>
    <x v="428"/>
    <x v="299"/>
    <x v="0"/>
    <n v="11"/>
    <n v="2737"/>
    <n v="3.3337393422655297"/>
    <n v="2737"/>
    <n v="3.3337393422655297"/>
    <s v="[]"/>
    <s v="[]"/>
  </r>
  <r>
    <x v="7"/>
    <s v="637 North Wells Street"/>
    <x v="238"/>
    <s v="2412"/>
    <n v="24"/>
    <x v="1"/>
    <n v="1"/>
    <m/>
    <x v="183"/>
    <x v="260"/>
    <x v="26"/>
    <x v="0"/>
    <n v="46"/>
    <n v="2853"/>
    <n v="3.4750304506699146"/>
    <n v="2853"/>
    <n v="3.4750304506699146"/>
    <s v="[]"/>
    <s v="[]"/>
  </r>
  <r>
    <x v="7"/>
    <s v="637 North Wells Street"/>
    <x v="238"/>
    <s v="1212"/>
    <n v="12"/>
    <x v="1"/>
    <n v="1"/>
    <m/>
    <x v="183"/>
    <x v="174"/>
    <x v="23"/>
    <x v="0"/>
    <n v="30"/>
    <n v="2898"/>
    <n v="3.5298416565164432"/>
    <n v="2898"/>
    <n v="3.5298416565164432"/>
    <s v="[]"/>
    <s v="[]"/>
  </r>
  <r>
    <x v="7"/>
    <s v="637 North Wells Street"/>
    <x v="238"/>
    <s v="2712"/>
    <n v="27"/>
    <x v="1"/>
    <n v="1"/>
    <m/>
    <x v="183"/>
    <x v="476"/>
    <x v="558"/>
    <x v="0"/>
    <n v="16"/>
    <n v="2979"/>
    <n v="3.628501827040195"/>
    <n v="2979"/>
    <n v="3.628501827040195"/>
    <s v="[]"/>
    <s v="[]"/>
  </r>
  <r>
    <x v="7"/>
    <s v="637 North Wells Street"/>
    <x v="238"/>
    <s v="1512"/>
    <n v="15"/>
    <x v="1"/>
    <n v="1"/>
    <m/>
    <x v="183"/>
    <x v="491"/>
    <x v="423"/>
    <x v="0"/>
    <n v="22"/>
    <n v="3021"/>
    <n v="3.679658952496955"/>
    <n v="3021"/>
    <n v="3.679658952496955"/>
    <s v="[]"/>
    <s v="[]"/>
  </r>
  <r>
    <x v="7"/>
    <s v="637 North Wells Street"/>
    <x v="238"/>
    <s v="3212"/>
    <n v="32"/>
    <x v="1"/>
    <n v="1"/>
    <m/>
    <x v="183"/>
    <x v="485"/>
    <x v="39"/>
    <x v="0"/>
    <n v="106"/>
    <n v="3040"/>
    <n v="3.7028014616321561"/>
    <n v="3040"/>
    <n v="3.7028014616321561"/>
    <s v="[]"/>
    <s v="[]"/>
  </r>
  <r>
    <x v="7"/>
    <s v="637 North Wells Street"/>
    <x v="238"/>
    <s v="3412"/>
    <n v="34"/>
    <x v="1"/>
    <n v="1"/>
    <m/>
    <x v="183"/>
    <x v="272"/>
    <x v="6"/>
    <x v="0"/>
    <n v="35"/>
    <n v="3076"/>
    <n v="3.7466504263093787"/>
    <n v="3076"/>
    <n v="3.7466504263093787"/>
    <s v="[]"/>
    <s v="[]"/>
  </r>
  <r>
    <x v="7"/>
    <s v="637 North Wells Street"/>
    <x v="238"/>
    <s v="3112"/>
    <n v="31"/>
    <x v="1"/>
    <n v="1"/>
    <m/>
    <x v="183"/>
    <x v="106"/>
    <x v="28"/>
    <x v="1"/>
    <m/>
    <n v="3223"/>
    <n v="3.9257003654080389"/>
    <n v="3223"/>
    <n v="3.9257003654080389"/>
    <s v="[]"/>
    <s v="[]"/>
  </r>
  <r>
    <x v="7"/>
    <s v="637 North Wells Street"/>
    <x v="238"/>
    <s v="3312"/>
    <n v="33"/>
    <x v="1"/>
    <n v="1"/>
    <m/>
    <x v="183"/>
    <x v="256"/>
    <x v="28"/>
    <x v="1"/>
    <m/>
    <n v="3273"/>
    <n v="3.9866017052375153"/>
    <n v="3273"/>
    <n v="3.9866017052375153"/>
    <s v="[]"/>
    <s v="[]"/>
  </r>
  <r>
    <x v="7"/>
    <s v="637 North Wells Street"/>
    <x v="238"/>
    <s v="3012"/>
    <n v="30"/>
    <x v="1"/>
    <n v="1"/>
    <m/>
    <x v="183"/>
    <x v="5"/>
    <x v="13"/>
    <x v="0"/>
    <n v="36"/>
    <n v="3338"/>
    <n v="4.0657734470158342"/>
    <n v="3338"/>
    <n v="4.0657734470158342"/>
    <s v="[]"/>
    <s v="[]"/>
  </r>
  <r>
    <x v="7"/>
    <s v="637 North Wells Street"/>
    <x v="238"/>
    <s v="2212"/>
    <n v="22"/>
    <x v="1"/>
    <n v="1"/>
    <m/>
    <x v="183"/>
    <x v="525"/>
    <x v="574"/>
    <x v="0"/>
    <n v="52"/>
    <n v="2535"/>
    <n v="3.0876979293544458"/>
    <n v="2535"/>
    <n v="3.0876979293544458"/>
    <s v="[]"/>
    <s v="[]"/>
  </r>
  <r>
    <x v="7"/>
    <s v="637 North Wells Street"/>
    <x v="238"/>
    <s v="2812"/>
    <n v="28"/>
    <x v="1"/>
    <n v="1"/>
    <m/>
    <x v="183"/>
    <x v="526"/>
    <x v="556"/>
    <x v="0"/>
    <n v="25"/>
    <n v="2666"/>
    <n v="3.2472594397076735"/>
    <n v="2666"/>
    <n v="3.2472594397076735"/>
    <s v="[]"/>
    <s v="[]"/>
  </r>
  <r>
    <x v="7"/>
    <s v="637 North Wells Street"/>
    <x v="238"/>
    <s v="2112"/>
    <n v="21"/>
    <x v="1"/>
    <n v="1"/>
    <m/>
    <x v="183"/>
    <x v="527"/>
    <x v="450"/>
    <x v="0"/>
    <n v="2"/>
    <n v="2865"/>
    <n v="3.4896467722289892"/>
    <n v="2865"/>
    <n v="3.4896467722289892"/>
    <s v="[]"/>
    <s v="[]"/>
  </r>
  <r>
    <x v="7"/>
    <s v="637 North Wells Street"/>
    <x v="238"/>
    <s v="2912"/>
    <n v="29"/>
    <x v="1"/>
    <n v="1"/>
    <m/>
    <x v="183"/>
    <x v="130"/>
    <x v="394"/>
    <x v="0"/>
    <m/>
    <n v="3302"/>
    <n v="4.0219244823386111"/>
    <n v="3302"/>
    <n v="4.0219244823386111"/>
    <s v="[]"/>
    <s v="[]"/>
  </r>
  <r>
    <x v="7"/>
    <s v="637 North Wells Street"/>
    <x v="238"/>
    <s v="3512"/>
    <n v="35"/>
    <x v="1"/>
    <n v="1"/>
    <m/>
    <x v="183"/>
    <x v="487"/>
    <x v="498"/>
    <x v="0"/>
    <n v="114"/>
    <n v="3417"/>
    <n v="4.1619975639464064"/>
    <n v="3417"/>
    <n v="4.1619975639464064"/>
    <s v="[]"/>
    <s v="[]"/>
  </r>
  <r>
    <x v="7"/>
    <s v="637 North Wells Street"/>
    <x v="239"/>
    <s v="3812"/>
    <n v="38"/>
    <x v="1"/>
    <n v="1"/>
    <m/>
    <x v="26"/>
    <x v="528"/>
    <x v="175"/>
    <x v="0"/>
    <n v="51"/>
    <n v="3058"/>
    <n v="3.6799037304452469"/>
    <n v="3058"/>
    <n v="3.6799037304452469"/>
    <s v="[]"/>
    <s v="[]"/>
  </r>
  <r>
    <x v="7"/>
    <s v="637 North Wells Street"/>
    <x v="239"/>
    <s v="3612"/>
    <n v="36"/>
    <x v="1"/>
    <n v="1"/>
    <m/>
    <x v="26"/>
    <x v="130"/>
    <x v="28"/>
    <x v="1"/>
    <m/>
    <n v="3509"/>
    <n v="4.2226233453670279"/>
    <n v="3509"/>
    <n v="4.2226233453670279"/>
    <s v="[]"/>
    <s v="[]"/>
  </r>
  <r>
    <x v="7"/>
    <s v="637 North Wells Street"/>
    <x v="239"/>
    <s v="3712"/>
    <n v="37"/>
    <x v="1"/>
    <n v="1"/>
    <m/>
    <x v="26"/>
    <x v="130"/>
    <x v="489"/>
    <x v="0"/>
    <m/>
    <n v="2910"/>
    <n v="3.5018050541516246"/>
    <n v="2910"/>
    <n v="3.5018050541516246"/>
    <s v="[]"/>
    <s v="[]"/>
  </r>
  <r>
    <x v="7"/>
    <s v="637 North Wells Street"/>
    <x v="240"/>
    <s v="0804"/>
    <n v="8"/>
    <x v="1"/>
    <n v="1"/>
    <m/>
    <x v="54"/>
    <x v="455"/>
    <x v="30"/>
    <x v="0"/>
    <n v="19"/>
    <n v="2747"/>
    <n v="3.1757225433526011"/>
    <n v="2747"/>
    <n v="3.1757225433526011"/>
    <s v="[]"/>
    <s v="[]"/>
  </r>
  <r>
    <x v="7"/>
    <s v="637 North Wells Street"/>
    <x v="241"/>
    <s v="0304"/>
    <n v="3"/>
    <x v="1"/>
    <n v="1"/>
    <m/>
    <x v="184"/>
    <x v="490"/>
    <x v="28"/>
    <x v="1"/>
    <m/>
    <n v="3264"/>
    <n v="3.6798196166854567"/>
    <n v="3264"/>
    <n v="3.6798196166854567"/>
    <s v="[]"/>
    <s v="[]"/>
  </r>
  <r>
    <x v="7"/>
    <s v="637 North Wells Street"/>
    <x v="242"/>
    <s v="0303"/>
    <n v="3"/>
    <x v="1"/>
    <n v="1"/>
    <m/>
    <x v="185"/>
    <x v="490"/>
    <x v="321"/>
    <x v="0"/>
    <n v="230"/>
    <n v="3157"/>
    <n v="3.547191011235955"/>
    <n v="3157"/>
    <n v="3.547191011235955"/>
    <s v="[]"/>
    <s v="[]"/>
  </r>
  <r>
    <x v="7"/>
    <s v="637 North Wells Street"/>
    <x v="243"/>
    <s v="0208"/>
    <n v="2"/>
    <x v="1"/>
    <n v="1"/>
    <m/>
    <x v="186"/>
    <x v="130"/>
    <x v="25"/>
    <x v="0"/>
    <m/>
    <n v="3282"/>
    <n v="3.4730158730158731"/>
    <n v="3282"/>
    <n v="3.4730158730158731"/>
    <s v="[]"/>
    <s v="[corner_unit]"/>
  </r>
  <r>
    <x v="7"/>
    <s v="637 North Wells Street"/>
    <x v="244"/>
    <s v="0315"/>
    <n v="3"/>
    <x v="1"/>
    <n v="1"/>
    <m/>
    <x v="187"/>
    <x v="343"/>
    <x v="28"/>
    <x v="1"/>
    <m/>
    <n v="3447"/>
    <n v="3.6246056782334386"/>
    <n v="3447"/>
    <n v="3.6246056782334386"/>
    <s v="[]"/>
    <s v="[]"/>
  </r>
  <r>
    <x v="7"/>
    <s v="637 North Wells Street"/>
    <x v="245"/>
    <m/>
    <m/>
    <x v="1"/>
    <n v="1"/>
    <m/>
    <x v="188"/>
    <x v="169"/>
    <x v="223"/>
    <x v="0"/>
    <n v="2"/>
    <m/>
    <m/>
    <m/>
    <m/>
    <s v="[]"/>
    <s v="[]"/>
  </r>
  <r>
    <x v="7"/>
    <s v="637 North Wells Street"/>
    <x v="245"/>
    <s v="0215"/>
    <n v="2"/>
    <x v="1"/>
    <n v="1"/>
    <m/>
    <x v="188"/>
    <x v="130"/>
    <x v="557"/>
    <x v="0"/>
    <m/>
    <n v="2758"/>
    <n v="2.7607607607607609"/>
    <n v="2758"/>
    <n v="2.7607607607607609"/>
    <s v="[]"/>
    <s v="[]"/>
  </r>
  <r>
    <x v="7"/>
    <s v="637 North Wells Street"/>
    <x v="246"/>
    <m/>
    <m/>
    <x v="2"/>
    <n v="1"/>
    <m/>
    <x v="189"/>
    <x v="529"/>
    <x v="297"/>
    <x v="0"/>
    <n v="2"/>
    <m/>
    <m/>
    <m/>
    <m/>
    <s v="[]"/>
    <s v="[balcony_patio]"/>
  </r>
  <r>
    <x v="7"/>
    <s v="637 North Wells Street"/>
    <x v="246"/>
    <s v="1009"/>
    <n v="10"/>
    <x v="2"/>
    <n v="1"/>
    <m/>
    <x v="189"/>
    <x v="351"/>
    <x v="575"/>
    <x v="0"/>
    <n v="6"/>
    <n v="3334"/>
    <n v="3.4910994764397905"/>
    <n v="3334"/>
    <n v="3.4910994764397905"/>
    <s v="[]"/>
    <s v="[balcony_patio]"/>
  </r>
  <r>
    <x v="7"/>
    <s v="637 North Wells Street"/>
    <x v="247"/>
    <s v="3309"/>
    <n v="33"/>
    <x v="2"/>
    <n v="1"/>
    <m/>
    <x v="190"/>
    <x v="11"/>
    <x v="200"/>
    <x v="0"/>
    <n v="83"/>
    <n v="3279"/>
    <n v="3.4049844236760123"/>
    <n v="3279"/>
    <n v="3.4049844236760123"/>
    <s v="[]"/>
    <s v="[]"/>
  </r>
  <r>
    <x v="7"/>
    <s v="637 North Wells Street"/>
    <x v="247"/>
    <s v="3009"/>
    <n v="30"/>
    <x v="2"/>
    <n v="1"/>
    <m/>
    <x v="190"/>
    <x v="504"/>
    <x v="210"/>
    <x v="0"/>
    <n v="6"/>
    <n v="3431"/>
    <n v="3.5628245067497404"/>
    <n v="3431"/>
    <n v="3.5628245067497404"/>
    <s v="[]"/>
    <s v="[]"/>
  </r>
  <r>
    <x v="7"/>
    <s v="637 North Wells Street"/>
    <x v="247"/>
    <s v="1609"/>
    <n v="16"/>
    <x v="2"/>
    <n v="1"/>
    <m/>
    <x v="190"/>
    <x v="147"/>
    <x v="316"/>
    <x v="0"/>
    <n v="20"/>
    <n v="3439"/>
    <n v="3.5711318795430946"/>
    <n v="3439"/>
    <n v="3.5711318795430946"/>
    <s v="[]"/>
    <s v="[]"/>
  </r>
  <r>
    <x v="7"/>
    <s v="637 North Wells Street"/>
    <x v="247"/>
    <s v="2809"/>
    <n v="28"/>
    <x v="2"/>
    <n v="1"/>
    <m/>
    <x v="190"/>
    <x v="513"/>
    <x v="576"/>
    <x v="0"/>
    <n v="97"/>
    <n v="3497"/>
    <n v="3.631360332294912"/>
    <n v="3497"/>
    <n v="3.631360332294912"/>
    <s v="[]"/>
    <s v="[balcony_patio]"/>
  </r>
  <r>
    <x v="7"/>
    <s v="637 North Wells Street"/>
    <x v="247"/>
    <s v="1909"/>
    <n v="19"/>
    <x v="2"/>
    <n v="1"/>
    <m/>
    <x v="190"/>
    <x v="430"/>
    <x v="295"/>
    <x v="0"/>
    <n v="2"/>
    <n v="3628"/>
    <n v="3.767393561786085"/>
    <n v="3628"/>
    <n v="3.767393561786085"/>
    <s v="[]"/>
    <s v="[balcony_patio]"/>
  </r>
  <r>
    <x v="7"/>
    <s v="637 North Wells Street"/>
    <x v="247"/>
    <s v="3509"/>
    <n v="35"/>
    <x v="2"/>
    <n v="1"/>
    <m/>
    <x v="190"/>
    <x v="343"/>
    <x v="210"/>
    <x v="0"/>
    <n v="77"/>
    <n v="3693"/>
    <n v="3.8348909657320873"/>
    <n v="3693"/>
    <n v="3.8348909657320873"/>
    <s v="[]"/>
    <s v="[]"/>
  </r>
  <r>
    <x v="7"/>
    <s v="637 North Wells Street"/>
    <x v="247"/>
    <s v="2709"/>
    <n v="27"/>
    <x v="2"/>
    <n v="1"/>
    <m/>
    <x v="190"/>
    <x v="5"/>
    <x v="262"/>
    <x v="0"/>
    <n v="63"/>
    <n v="3814"/>
    <n v="3.9605399792315681"/>
    <n v="3814"/>
    <n v="3.9605399792315681"/>
    <s v="[]"/>
    <s v="[]"/>
  </r>
  <r>
    <x v="7"/>
    <s v="637 North Wells Street"/>
    <x v="247"/>
    <m/>
    <m/>
    <x v="2"/>
    <n v="1"/>
    <m/>
    <x v="190"/>
    <x v="291"/>
    <x v="252"/>
    <x v="0"/>
    <n v="2"/>
    <m/>
    <m/>
    <m/>
    <m/>
    <s v="[]"/>
    <s v="[balcony_patio]"/>
  </r>
  <r>
    <x v="7"/>
    <s v="637 North Wells Street"/>
    <x v="247"/>
    <s v="3109"/>
    <n v="31"/>
    <x v="2"/>
    <n v="1"/>
    <m/>
    <x v="190"/>
    <x v="5"/>
    <x v="468"/>
    <x v="0"/>
    <n v="8"/>
    <n v="3998"/>
    <n v="4.1516095534787123"/>
    <n v="3998"/>
    <n v="4.1516095534787123"/>
    <s v="[]"/>
    <s v="[]"/>
  </r>
  <r>
    <x v="7"/>
    <s v="637 North Wells Street"/>
    <x v="247"/>
    <s v="2209"/>
    <n v="22"/>
    <x v="2"/>
    <n v="1"/>
    <m/>
    <x v="190"/>
    <x v="411"/>
    <x v="409"/>
    <x v="0"/>
    <n v="43"/>
    <n v="4004"/>
    <n v="4.1578400830737277"/>
    <n v="4004"/>
    <n v="4.1578400830737277"/>
    <s v="[]"/>
    <s v="[balcony_patio]"/>
  </r>
  <r>
    <x v="7"/>
    <s v="637 North Wells Street"/>
    <x v="247"/>
    <s v="1709"/>
    <n v="17"/>
    <x v="2"/>
    <n v="1"/>
    <m/>
    <x v="190"/>
    <x v="428"/>
    <x v="28"/>
    <x v="1"/>
    <m/>
    <n v="4087"/>
    <n v="4.244029075804777"/>
    <n v="4087"/>
    <n v="4.244029075804777"/>
    <s v="[]"/>
    <s v="[]"/>
  </r>
  <r>
    <x v="7"/>
    <s v="637 North Wells Street"/>
    <x v="247"/>
    <s v="2409"/>
    <n v="24"/>
    <x v="2"/>
    <n v="1"/>
    <m/>
    <x v="190"/>
    <x v="114"/>
    <x v="28"/>
    <x v="1"/>
    <m/>
    <n v="4162"/>
    <n v="4.3219106957424716"/>
    <n v="4162"/>
    <n v="4.3219106957424716"/>
    <s v="[]"/>
    <s v="[]"/>
  </r>
  <r>
    <x v="7"/>
    <s v="637 North Wells Street"/>
    <x v="247"/>
    <s v="3209"/>
    <n v="32"/>
    <x v="2"/>
    <n v="1"/>
    <m/>
    <x v="190"/>
    <x v="502"/>
    <x v="352"/>
    <x v="0"/>
    <n v="5"/>
    <n v="3106"/>
    <n v="3.22533748701973"/>
    <n v="3106"/>
    <n v="3.22533748701973"/>
    <s v="[]"/>
    <s v="[balcony_patio]"/>
  </r>
  <r>
    <x v="7"/>
    <s v="637 North Wells Street"/>
    <x v="247"/>
    <s v="1409"/>
    <n v="14"/>
    <x v="2"/>
    <n v="1"/>
    <m/>
    <x v="190"/>
    <x v="486"/>
    <x v="297"/>
    <x v="0"/>
    <n v="4"/>
    <n v="3437"/>
    <n v="3.5690550363447562"/>
    <n v="3437"/>
    <n v="3.5690550363447562"/>
    <s v="[]"/>
    <s v="[balcony_patio]"/>
  </r>
  <r>
    <x v="7"/>
    <s v="637 North Wells Street"/>
    <x v="247"/>
    <s v="1809"/>
    <n v="18"/>
    <x v="2"/>
    <n v="1"/>
    <m/>
    <x v="190"/>
    <x v="457"/>
    <x v="399"/>
    <x v="0"/>
    <n v="11"/>
    <n v="3438"/>
    <n v="3.5700934579439254"/>
    <n v="3438"/>
    <n v="3.5700934579439254"/>
    <s v="[]"/>
    <s v="[balcony_patio]"/>
  </r>
  <r>
    <x v="7"/>
    <s v="637 North Wells Street"/>
    <x v="247"/>
    <s v="2109"/>
    <n v="21"/>
    <x v="2"/>
    <n v="1"/>
    <m/>
    <x v="190"/>
    <x v="130"/>
    <x v="24"/>
    <x v="0"/>
    <m/>
    <n v="3746"/>
    <n v="3.8899273104880581"/>
    <n v="3746"/>
    <n v="3.8899273104880581"/>
    <s v="[]"/>
    <s v="[balcony_patio]"/>
  </r>
  <r>
    <x v="7"/>
    <s v="637 North Wells Street"/>
    <x v="247"/>
    <s v="2009"/>
    <n v="20"/>
    <x v="2"/>
    <n v="1"/>
    <m/>
    <x v="190"/>
    <x v="444"/>
    <x v="310"/>
    <x v="0"/>
    <n v="38"/>
    <n v="3831"/>
    <n v="3.9781931464174454"/>
    <n v="3831"/>
    <n v="3.9781931464174454"/>
    <s v="[]"/>
    <s v="[balcony_patio]"/>
  </r>
  <r>
    <x v="7"/>
    <s v="637 North Wells Street"/>
    <x v="247"/>
    <s v="2509"/>
    <n v="25"/>
    <x v="2"/>
    <n v="1"/>
    <m/>
    <x v="190"/>
    <x v="304"/>
    <x v="537"/>
    <x v="0"/>
    <n v="17"/>
    <n v="3848"/>
    <n v="3.9958463136033231"/>
    <n v="3848"/>
    <n v="3.9958463136033231"/>
    <s v="[]"/>
    <s v="[balcony_patio]"/>
  </r>
  <r>
    <x v="7"/>
    <s v="637 North Wells Street"/>
    <x v="247"/>
    <s v="2309"/>
    <n v="23"/>
    <x v="2"/>
    <n v="1"/>
    <m/>
    <x v="190"/>
    <x v="530"/>
    <x v="94"/>
    <x v="0"/>
    <n v="48"/>
    <n v="4244"/>
    <n v="4.4070612668743507"/>
    <n v="4244"/>
    <n v="4.4070612668743507"/>
    <s v="[]"/>
    <s v="[]"/>
  </r>
  <r>
    <x v="7"/>
    <s v="637 North Wells Street"/>
    <x v="248"/>
    <s v="3515"/>
    <n v="35"/>
    <x v="2"/>
    <n v="2"/>
    <m/>
    <x v="191"/>
    <x v="42"/>
    <x v="248"/>
    <x v="0"/>
    <n v="116"/>
    <n v="4454"/>
    <n v="3.6508196721311474"/>
    <n v="4454"/>
    <n v="3.6508196721311474"/>
    <s v="[]"/>
    <s v="[balcony_patio]"/>
  </r>
  <r>
    <x v="7"/>
    <s v="637 North Wells Street"/>
    <x v="249"/>
    <s v="1615"/>
    <n v="16"/>
    <x v="2"/>
    <n v="2"/>
    <m/>
    <x v="192"/>
    <x v="83"/>
    <x v="210"/>
    <x v="0"/>
    <n v="129"/>
    <n v="3899"/>
    <n v="3.1828571428571428"/>
    <n v="3899"/>
    <n v="3.1828571428571428"/>
    <s v="[]"/>
    <s v="[balcony_patio]"/>
  </r>
  <r>
    <x v="7"/>
    <s v="637 North Wells Street"/>
    <x v="249"/>
    <s v="2315"/>
    <n v="23"/>
    <x v="2"/>
    <n v="2"/>
    <m/>
    <x v="192"/>
    <x v="275"/>
    <x v="443"/>
    <x v="0"/>
    <n v="8"/>
    <n v="3981"/>
    <n v="3.2497959183673468"/>
    <n v="3981"/>
    <n v="3.2497959183673468"/>
    <s v="[]"/>
    <s v="[balcony_patio]"/>
  </r>
  <r>
    <x v="7"/>
    <s v="637 North Wells Street"/>
    <x v="249"/>
    <s v="1215"/>
    <n v="12"/>
    <x v="2"/>
    <n v="2"/>
    <m/>
    <x v="192"/>
    <x v="358"/>
    <x v="94"/>
    <x v="0"/>
    <n v="89"/>
    <n v="4146"/>
    <n v="3.3844897959183675"/>
    <n v="4146"/>
    <n v="3.3844897959183675"/>
    <s v="[]"/>
    <s v="[balcony_patio]"/>
  </r>
  <r>
    <x v="7"/>
    <s v="637 North Wells Street"/>
    <x v="249"/>
    <s v="1915"/>
    <n v="19"/>
    <x v="2"/>
    <n v="2"/>
    <m/>
    <x v="192"/>
    <x v="423"/>
    <x v="289"/>
    <x v="0"/>
    <n v="48"/>
    <n v="4273"/>
    <n v="3.4881632653061225"/>
    <n v="4273"/>
    <n v="3.4881632653061225"/>
    <s v="[]"/>
    <s v="[balcony_patio]"/>
  </r>
  <r>
    <x v="7"/>
    <s v="637 North Wells Street"/>
    <x v="249"/>
    <s v="2215"/>
    <n v="22"/>
    <x v="2"/>
    <n v="2"/>
    <m/>
    <x v="192"/>
    <x v="490"/>
    <x v="493"/>
    <x v="0"/>
    <n v="226"/>
    <n v="4279"/>
    <n v="3.4930612244897961"/>
    <n v="4279"/>
    <n v="3.4930612244897961"/>
    <s v="[]"/>
    <s v="[balcony_patio]"/>
  </r>
  <r>
    <x v="7"/>
    <s v="637 North Wells Street"/>
    <x v="249"/>
    <s v="3015"/>
    <n v="30"/>
    <x v="2"/>
    <n v="2"/>
    <m/>
    <x v="192"/>
    <x v="44"/>
    <x v="50"/>
    <x v="0"/>
    <n v="4"/>
    <n v="4581"/>
    <n v="3.7395918367346939"/>
    <n v="4581"/>
    <n v="3.7395918367346939"/>
    <s v="[]"/>
    <s v="[]"/>
  </r>
  <r>
    <x v="7"/>
    <s v="637 North Wells Street"/>
    <x v="249"/>
    <s v="2815"/>
    <n v="28"/>
    <x v="2"/>
    <n v="2"/>
    <m/>
    <x v="192"/>
    <x v="211"/>
    <x v="137"/>
    <x v="0"/>
    <n v="17"/>
    <n v="4632"/>
    <n v="3.7812244897959184"/>
    <n v="4632"/>
    <n v="3.7812244897959184"/>
    <s v="[]"/>
    <s v="[]"/>
  </r>
  <r>
    <x v="7"/>
    <s v="637 North Wells Street"/>
    <x v="249"/>
    <s v="2915"/>
    <n v="29"/>
    <x v="2"/>
    <n v="2"/>
    <m/>
    <x v="192"/>
    <x v="32"/>
    <x v="137"/>
    <x v="0"/>
    <n v="15"/>
    <n v="4632"/>
    <n v="3.7812244897959184"/>
    <n v="4632"/>
    <n v="3.7812244897959184"/>
    <s v="[]"/>
    <s v="[balcony_patio]"/>
  </r>
  <r>
    <x v="7"/>
    <s v="637 North Wells Street"/>
    <x v="249"/>
    <s v="3215"/>
    <n v="32"/>
    <x v="2"/>
    <n v="2"/>
    <m/>
    <x v="192"/>
    <x v="120"/>
    <x v="28"/>
    <x v="1"/>
    <m/>
    <n v="4879"/>
    <n v="3.9828571428571427"/>
    <n v="4879"/>
    <n v="3.9828571428571427"/>
    <s v="[]"/>
    <s v="[]"/>
  </r>
  <r>
    <x v="7"/>
    <s v="637 North Wells Street"/>
    <x v="249"/>
    <s v="2015"/>
    <n v="20"/>
    <x v="2"/>
    <n v="2"/>
    <m/>
    <x v="192"/>
    <x v="397"/>
    <x v="574"/>
    <x v="0"/>
    <n v="45"/>
    <n v="3736"/>
    <n v="3.0497959183673471"/>
    <n v="3736"/>
    <n v="3.0497959183673471"/>
    <s v="[]"/>
    <s v="[balcony_patio]"/>
  </r>
  <r>
    <x v="7"/>
    <s v="637 North Wells Street"/>
    <x v="249"/>
    <s v="1115"/>
    <n v="11"/>
    <x v="2"/>
    <n v="2"/>
    <m/>
    <x v="192"/>
    <x v="339"/>
    <x v="577"/>
    <x v="0"/>
    <n v="55"/>
    <n v="3792"/>
    <n v="3.0955102040816325"/>
    <n v="3792"/>
    <n v="3.0955102040816325"/>
    <s v="[]"/>
    <s v="[balcony_patio]"/>
  </r>
  <r>
    <x v="7"/>
    <s v="637 North Wells Street"/>
    <x v="249"/>
    <s v="1515"/>
    <n v="15"/>
    <x v="2"/>
    <n v="2"/>
    <m/>
    <x v="192"/>
    <x v="339"/>
    <x v="578"/>
    <x v="0"/>
    <n v="110"/>
    <n v="3850"/>
    <n v="3.1428571428571428"/>
    <n v="3850"/>
    <n v="3.1428571428571428"/>
    <s v="[]"/>
    <s v="[balcony_patio]"/>
  </r>
  <r>
    <x v="7"/>
    <s v="637 North Wells Street"/>
    <x v="249"/>
    <s v="1415"/>
    <n v="14"/>
    <x v="2"/>
    <n v="2"/>
    <m/>
    <x v="192"/>
    <x v="417"/>
    <x v="179"/>
    <x v="0"/>
    <n v="76"/>
    <n v="3887"/>
    <n v="3.1730612244897958"/>
    <n v="3887"/>
    <n v="3.1730612244897958"/>
    <s v="[]"/>
    <s v="[balcony_patio]"/>
  </r>
  <r>
    <x v="7"/>
    <s v="637 North Wells Street"/>
    <x v="249"/>
    <s v="1315"/>
    <n v="13"/>
    <x v="2"/>
    <n v="2"/>
    <m/>
    <x v="192"/>
    <x v="513"/>
    <x v="499"/>
    <x v="0"/>
    <n v="15"/>
    <n v="4651"/>
    <n v="3.7967346938775508"/>
    <n v="4651"/>
    <n v="3.7967346938775508"/>
    <s v="[]"/>
    <s v="[balcony_patio]"/>
  </r>
  <r>
    <x v="7"/>
    <s v="637 North Wells Street"/>
    <x v="250"/>
    <s v="0301"/>
    <n v="3"/>
    <x v="2"/>
    <n v="2"/>
    <m/>
    <x v="193"/>
    <x v="376"/>
    <x v="350"/>
    <x v="0"/>
    <n v="295"/>
    <n v="3712"/>
    <n v="2.8686244204018547"/>
    <n v="3712"/>
    <n v="2.8686244204018547"/>
    <s v="[]"/>
    <s v="[corner_unit]"/>
  </r>
  <r>
    <x v="7"/>
    <s v="637 North Wells Street"/>
    <x v="251"/>
    <s v="0809"/>
    <n v="8"/>
    <x v="2"/>
    <n v="2"/>
    <m/>
    <x v="194"/>
    <x v="486"/>
    <x v="579"/>
    <x v="0"/>
    <n v="187"/>
    <n v="3851"/>
    <n v="2.8781763826606874"/>
    <n v="3851"/>
    <n v="2.8781763826606874"/>
    <s v="[]"/>
    <s v="[balcony_patio]"/>
  </r>
  <r>
    <x v="7"/>
    <s v="637 North Wells Street"/>
    <x v="252"/>
    <s v="3714"/>
    <n v="37"/>
    <x v="2"/>
    <n v="2"/>
    <m/>
    <x v="195"/>
    <x v="130"/>
    <x v="443"/>
    <x v="0"/>
    <m/>
    <n v="4612"/>
    <n v="3.303724928366762"/>
    <n v="4612"/>
    <n v="3.303724928366762"/>
    <s v="[]"/>
    <s v="[]"/>
  </r>
  <r>
    <x v="7"/>
    <s v="637 North Wells Street"/>
    <x v="252"/>
    <s v="3914"/>
    <n v="39"/>
    <x v="2"/>
    <n v="2"/>
    <m/>
    <x v="195"/>
    <x v="531"/>
    <x v="20"/>
    <x v="0"/>
    <n v="452"/>
    <n v="4612"/>
    <n v="3.303724928366762"/>
    <n v="4257"/>
    <n v="3.0494269340974212"/>
    <s v="[]"/>
    <s v="[]"/>
  </r>
  <r>
    <x v="7"/>
    <s v="637 North Wells Street"/>
    <x v="253"/>
    <s v="0209"/>
    <n v="2"/>
    <x v="2"/>
    <n v="2"/>
    <m/>
    <x v="196"/>
    <x v="130"/>
    <x v="579"/>
    <x v="0"/>
    <m/>
    <n v="3502"/>
    <n v="2.3758480325644507"/>
    <n v="3502"/>
    <n v="2.3758480325644507"/>
    <s v="[]"/>
    <s v="[corner_unit]"/>
  </r>
  <r>
    <x v="7"/>
    <s v="637 North Wells Street"/>
    <x v="253"/>
    <m/>
    <m/>
    <x v="2"/>
    <n v="2"/>
    <m/>
    <x v="196"/>
    <x v="532"/>
    <x v="580"/>
    <x v="0"/>
    <n v="2"/>
    <m/>
    <m/>
    <m/>
    <m/>
    <s v="[]"/>
    <s v="[corner_unit]"/>
  </r>
  <r>
    <x v="7"/>
    <s v="637 North Wells Street"/>
    <x v="254"/>
    <s v="3709"/>
    <n v="37"/>
    <x v="4"/>
    <n v="2"/>
    <m/>
    <x v="197"/>
    <x v="533"/>
    <x v="126"/>
    <x v="0"/>
    <n v="393"/>
    <n v="5362"/>
    <n v="3.4109414758269718"/>
    <n v="4950"/>
    <n v="3.1488549618320612"/>
    <s v="[]"/>
    <s v="[balcony_patio]"/>
  </r>
  <r>
    <x v="8"/>
    <s v="345 East Wacker Drive"/>
    <x v="255"/>
    <s v="1106"/>
    <n v="11"/>
    <x v="0"/>
    <n v="1"/>
    <m/>
    <x v="198"/>
    <x v="20"/>
    <x v="423"/>
    <x v="0"/>
    <n v="86"/>
    <n v="2115"/>
    <n v="4.0517241379310347"/>
    <n v="2115"/>
    <n v="4.0517241379310347"/>
    <s v="[Floor 11 - 15 Northern City View Western Exposure Cool Finish Package]"/>
    <s v="[view.direction view.city view corner_unit]"/>
  </r>
  <r>
    <x v="8"/>
    <s v="345 East Wacker Drive"/>
    <x v="255"/>
    <s v="0606"/>
    <n v="6"/>
    <x v="0"/>
    <n v="1"/>
    <m/>
    <x v="198"/>
    <x v="316"/>
    <x v="501"/>
    <x v="0"/>
    <n v="69"/>
    <n v="2123"/>
    <n v="4.0670498084291191"/>
    <n v="2123"/>
    <n v="4.0670498084291191"/>
    <s v="[Calm Finish Package Floor 6 - 10 Northern City View Western Exposure Roller Shades]"/>
    <s v="[view.direction view.city view corner_unit]"/>
  </r>
  <r>
    <x v="8"/>
    <s v="345 East Wacker Drive"/>
    <x v="255"/>
    <s v="1906"/>
    <n v="19"/>
    <x v="0"/>
    <n v="1"/>
    <m/>
    <x v="198"/>
    <x v="534"/>
    <x v="155"/>
    <x v="0"/>
    <n v="88"/>
    <n v="2140"/>
    <n v="4.0996168582375478"/>
    <n v="2140"/>
    <n v="4.0996168582375478"/>
    <s v="[Floor 16 - 20 Northern City View Western Exposure Cool Finish Package]"/>
    <s v="[view.direction view.city view corner_unit]"/>
  </r>
  <r>
    <x v="8"/>
    <s v="345 East Wacker Drive"/>
    <x v="255"/>
    <s v="1406"/>
    <n v="14"/>
    <x v="0"/>
    <n v="1"/>
    <m/>
    <x v="198"/>
    <x v="428"/>
    <x v="320"/>
    <x v="0"/>
    <n v="28"/>
    <n v="2146"/>
    <n v="4.1111111111111107"/>
    <n v="2146"/>
    <n v="4.1111111111111107"/>
    <s v="[Western Exposure Floor 11 - 15 Northern City View Calm Finish Package]"/>
    <s v="[view.direction view.city view corner_unit]"/>
  </r>
  <r>
    <x v="8"/>
    <s v="345 East Wacker Drive"/>
    <x v="255"/>
    <s v="2006"/>
    <n v="20"/>
    <x v="0"/>
    <n v="1"/>
    <m/>
    <x v="198"/>
    <x v="518"/>
    <x v="252"/>
    <x v="0"/>
    <n v="93"/>
    <n v="2164"/>
    <n v="4.1455938697318011"/>
    <n v="2164"/>
    <n v="4.1455938697318011"/>
    <s v="[Floor 16 - 20 Northern City View Western Exposure Cool Finish Package]"/>
    <s v="[view.direction view.city view corner_unit]"/>
  </r>
  <r>
    <x v="8"/>
    <s v="345 East Wacker Drive"/>
    <x v="255"/>
    <s v="3306"/>
    <n v="33"/>
    <x v="0"/>
    <n v="1"/>
    <m/>
    <x v="198"/>
    <x v="218"/>
    <x v="195"/>
    <x v="0"/>
    <n v="122"/>
    <n v="2216"/>
    <n v="4.245210727969349"/>
    <n v="2216"/>
    <n v="4.245210727969349"/>
    <s v="[Floor 31 - 35 Northern City View Western Exposure Calm Finish Package Upgrade]"/>
    <s v="[renovated view.direction view.city view corner_unit]"/>
  </r>
  <r>
    <x v="8"/>
    <s v="345 East Wacker Drive"/>
    <x v="255"/>
    <s v="0906"/>
    <n v="9"/>
    <x v="0"/>
    <n v="1"/>
    <m/>
    <x v="198"/>
    <x v="138"/>
    <x v="451"/>
    <x v="0"/>
    <n v="55"/>
    <n v="2217"/>
    <n v="4.2471264367816088"/>
    <n v="2217"/>
    <n v="4.2471264367816088"/>
    <s v="[Calm Finish Package Floor 6 - 10 Northern City View Western Exposure]"/>
    <s v="[view.direction view.city view corner_unit]"/>
  </r>
  <r>
    <x v="8"/>
    <s v="345 East Wacker Drive"/>
    <x v="255"/>
    <s v="0406"/>
    <n v="4"/>
    <x v="0"/>
    <n v="1"/>
    <m/>
    <x v="198"/>
    <x v="233"/>
    <x v="272"/>
    <x v="0"/>
    <n v="10"/>
    <n v="2235"/>
    <n v="4.2816091954022992"/>
    <n v="2235"/>
    <n v="4.2816091954022992"/>
    <s v="[Northern City View Western Exposure Cool Finish Package]"/>
    <s v="[view.direction view.city view corner_unit]"/>
  </r>
  <r>
    <x v="8"/>
    <s v="345 East Wacker Drive"/>
    <x v="255"/>
    <s v="1306"/>
    <n v="13"/>
    <x v="0"/>
    <n v="1"/>
    <m/>
    <x v="198"/>
    <x v="334"/>
    <x v="255"/>
    <x v="0"/>
    <n v="30"/>
    <n v="2253"/>
    <n v="4.3160919540229887"/>
    <n v="2103"/>
    <n v="4.0287356321839081"/>
    <s v="[Floor 11 - 15 Northern City View Western Exposure Calm Finish Package]"/>
    <s v="[view.direction view.city view corner_unit]"/>
  </r>
  <r>
    <x v="8"/>
    <s v="345 East Wacker Drive"/>
    <x v="255"/>
    <s v="0806"/>
    <n v="8"/>
    <x v="0"/>
    <n v="1"/>
    <m/>
    <x v="198"/>
    <x v="219"/>
    <x v="362"/>
    <x v="0"/>
    <n v="31"/>
    <n v="2258"/>
    <n v="4.3256704980842908"/>
    <n v="2258"/>
    <n v="4.3256704980842908"/>
    <s v="[Floor 6 - 10 Northern City View Western Exposure Cool Finish Package Roller Shades]"/>
    <s v="[view.direction view.city view corner_unit]"/>
  </r>
  <r>
    <x v="8"/>
    <s v="345 East Wacker Drive"/>
    <x v="255"/>
    <s v="2306"/>
    <n v="23"/>
    <x v="0"/>
    <n v="1"/>
    <m/>
    <x v="198"/>
    <x v="17"/>
    <x v="91"/>
    <x v="0"/>
    <n v="13"/>
    <n v="2263"/>
    <n v="4.3352490421455938"/>
    <n v="2263"/>
    <n v="4.3352490421455938"/>
    <s v="[Floor 21 - 25 Northern City View Western Exposure Cool Finish Package]"/>
    <s v="[view.direction view.city view corner_unit]"/>
  </r>
  <r>
    <x v="8"/>
    <s v="345 East Wacker Drive"/>
    <x v="255"/>
    <s v="3606"/>
    <n v="36"/>
    <x v="0"/>
    <n v="1"/>
    <m/>
    <x v="198"/>
    <x v="287"/>
    <x v="303"/>
    <x v="0"/>
    <n v="148"/>
    <n v="2264"/>
    <n v="4.3371647509578546"/>
    <n v="2264"/>
    <n v="4.3371647509578546"/>
    <s v="[Cool Finish Package Floor 36 - 40 Northern City View Western Exposure]"/>
    <s v="[view.direction view.city view corner_unit]"/>
  </r>
  <r>
    <x v="8"/>
    <s v="345 East Wacker Drive"/>
    <x v="255"/>
    <s v="0306"/>
    <n v="3"/>
    <x v="0"/>
    <n v="1"/>
    <m/>
    <x v="198"/>
    <x v="122"/>
    <x v="28"/>
    <x v="1"/>
    <m/>
    <n v="2281"/>
    <n v="4.3697318007662833"/>
    <n v="2281"/>
    <n v="4.3697318007662833"/>
    <s v="[Northern City View Western Exposure Cool Finish Package]"/>
    <s v="[view.direction view.city view corner_unit]"/>
  </r>
  <r>
    <x v="8"/>
    <s v="345 East Wacker Drive"/>
    <x v="255"/>
    <s v="0506"/>
    <n v="5"/>
    <x v="0"/>
    <n v="1"/>
    <m/>
    <x v="198"/>
    <x v="356"/>
    <x v="28"/>
    <x v="1"/>
    <m/>
    <n v="2307"/>
    <n v="4.4195402298850572"/>
    <n v="2307"/>
    <n v="4.4195402298850572"/>
    <s v="[Western Exposure Northern City View Calm Finish Package]"/>
    <s v="[view.direction view.city view corner_unit]"/>
  </r>
  <r>
    <x v="8"/>
    <s v="345 East Wacker Drive"/>
    <x v="255"/>
    <s v="3406"/>
    <n v="34"/>
    <x v="0"/>
    <n v="1"/>
    <m/>
    <x v="198"/>
    <x v="220"/>
    <x v="71"/>
    <x v="0"/>
    <n v="68"/>
    <n v="2316"/>
    <n v="4.4367816091954024"/>
    <n v="2316"/>
    <n v="4.4367816091954024"/>
    <s v="[Calm Finish Package Floor 31 - 35 Northern City View Western Exposure]"/>
    <s v="[view.direction view.city view corner_unit]"/>
  </r>
  <r>
    <x v="8"/>
    <s v="345 East Wacker Drive"/>
    <x v="255"/>
    <s v="3906"/>
    <n v="39"/>
    <x v="0"/>
    <n v="1"/>
    <m/>
    <x v="198"/>
    <x v="134"/>
    <x v="159"/>
    <x v="0"/>
    <n v="12"/>
    <n v="2338"/>
    <n v="4.4789272030651341"/>
    <n v="2338"/>
    <n v="4.4789272030651341"/>
    <s v="[Floor 36 - 40 Northern City View Western Exposure Roller Shades Cool Finish Package]"/>
    <s v="[view.direction view.city view corner_unit]"/>
  </r>
  <r>
    <x v="8"/>
    <s v="345 East Wacker Drive"/>
    <x v="255"/>
    <s v="2106"/>
    <n v="21"/>
    <x v="0"/>
    <n v="1"/>
    <m/>
    <x v="198"/>
    <x v="300"/>
    <x v="335"/>
    <x v="0"/>
    <n v="41"/>
    <n v="2344"/>
    <n v="4.490421455938697"/>
    <n v="2344"/>
    <n v="4.490421455938697"/>
    <s v="[Western Exposure Floor 21 - 25 Calm Finish Package Northern City View]"/>
    <s v="[view.direction view.city view corner_unit]"/>
  </r>
  <r>
    <x v="8"/>
    <s v="345 East Wacker Drive"/>
    <x v="255"/>
    <s v="3106"/>
    <n v="31"/>
    <x v="0"/>
    <n v="1"/>
    <m/>
    <x v="198"/>
    <x v="505"/>
    <x v="321"/>
    <x v="0"/>
    <n v="12"/>
    <n v="2351"/>
    <n v="4.5038314176245207"/>
    <n v="2351"/>
    <n v="4.5038314176245207"/>
    <s v="[Floor 31 - 35 Northern City View Western Exposure Cool Finish Package]"/>
    <s v="[view.direction view.city view corner_unit]"/>
  </r>
  <r>
    <x v="8"/>
    <s v="345 East Wacker Drive"/>
    <x v="255"/>
    <s v="3006"/>
    <n v="30"/>
    <x v="0"/>
    <n v="1"/>
    <m/>
    <x v="198"/>
    <x v="160"/>
    <x v="558"/>
    <x v="0"/>
    <n v="58"/>
    <n v="2363"/>
    <n v="4.5268199233716473"/>
    <n v="2363"/>
    <n v="4.5268199233716473"/>
    <s v="[Western Exposure Floor 26 - 30 Northern City View Calm Finish Package Upgrade]"/>
    <s v="[renovated view.direction view.city view corner_unit]"/>
  </r>
  <r>
    <x v="8"/>
    <s v="345 East Wacker Drive"/>
    <x v="255"/>
    <s v="2806"/>
    <n v="28"/>
    <x v="0"/>
    <n v="1"/>
    <m/>
    <x v="198"/>
    <x v="535"/>
    <x v="170"/>
    <x v="0"/>
    <n v="93"/>
    <n v="2369"/>
    <n v="4.5383141762452111"/>
    <n v="2369"/>
    <n v="4.5383141762452111"/>
    <s v="[Western Exposure Northern City View Floor 26 - 30 Cool Finish Package]"/>
    <s v="[view.direction view.city view corner_unit]"/>
  </r>
  <r>
    <x v="8"/>
    <s v="345 East Wacker Drive"/>
    <x v="255"/>
    <s v="3806"/>
    <n v="38"/>
    <x v="0"/>
    <n v="1"/>
    <m/>
    <x v="198"/>
    <x v="323"/>
    <x v="581"/>
    <x v="0"/>
    <n v="31"/>
    <n v="2398"/>
    <n v="4.5938697318007664"/>
    <n v="2398"/>
    <n v="4.5938697318007664"/>
    <s v="[Floor 36 - 40 Northern City View Western Exposure Calm Finish Package Upgrade]"/>
    <s v="[renovated view.direction view.city view corner_unit]"/>
  </r>
  <r>
    <x v="8"/>
    <s v="345 East Wacker Drive"/>
    <x v="255"/>
    <s v="2406"/>
    <n v="24"/>
    <x v="0"/>
    <n v="1"/>
    <m/>
    <x v="198"/>
    <x v="439"/>
    <x v="287"/>
    <x v="0"/>
    <n v="63"/>
    <n v="2122"/>
    <n v="4.0651340996168583"/>
    <n v="2122"/>
    <n v="4.0651340996168583"/>
    <s v="[]"/>
    <s v="[]"/>
  </r>
  <r>
    <x v="8"/>
    <s v="345 East Wacker Drive"/>
    <x v="255"/>
    <s v="3506"/>
    <n v="35"/>
    <x v="0"/>
    <n v="1"/>
    <m/>
    <x v="198"/>
    <x v="56"/>
    <x v="533"/>
    <x v="0"/>
    <n v="93"/>
    <n v="2199"/>
    <n v="4.2126436781609193"/>
    <n v="2199"/>
    <n v="4.2126436781609193"/>
    <s v="[]"/>
    <s v="[]"/>
  </r>
  <r>
    <x v="8"/>
    <s v="345 East Wacker Drive"/>
    <x v="255"/>
    <s v="1506"/>
    <n v="15"/>
    <x v="0"/>
    <n v="1"/>
    <m/>
    <x v="198"/>
    <x v="390"/>
    <x v="25"/>
    <x v="0"/>
    <n v="7"/>
    <n v="2310"/>
    <n v="4.4252873563218387"/>
    <n v="2310"/>
    <n v="4.4252873563218387"/>
    <s v="[]"/>
    <s v="[]"/>
  </r>
  <r>
    <x v="8"/>
    <s v="345 East Wacker Drive"/>
    <x v="255"/>
    <s v="2206"/>
    <n v="22"/>
    <x v="0"/>
    <n v="1"/>
    <m/>
    <x v="198"/>
    <x v="68"/>
    <x v="207"/>
    <x v="0"/>
    <n v="4"/>
    <n v="2369"/>
    <n v="4.5383141762452111"/>
    <n v="2369"/>
    <n v="4.5383141762452111"/>
    <s v="[]"/>
    <s v="[]"/>
  </r>
  <r>
    <x v="8"/>
    <s v="345 East Wacker Drive"/>
    <x v="256"/>
    <s v="4202"/>
    <n v="42"/>
    <x v="0"/>
    <n v="1"/>
    <m/>
    <x v="199"/>
    <x v="268"/>
    <x v="93"/>
    <x v="0"/>
    <n v="60"/>
    <n v="2236"/>
    <n v="4.1561338289962828"/>
    <n v="2236"/>
    <n v="4.1561338289962828"/>
    <s v="[Direct River View Floor 41 + Northern City View Northern Exposure Partial Lake View Modified Unit Calm Finish Package]"/>
    <s v="[view view.water floor view.direction view.city]"/>
  </r>
  <r>
    <x v="8"/>
    <s v="345 East Wacker Drive"/>
    <x v="257"/>
    <s v="4502"/>
    <n v="45"/>
    <x v="0"/>
    <n v="1"/>
    <m/>
    <x v="199"/>
    <x v="340"/>
    <x v="288"/>
    <x v="0"/>
    <n v="8"/>
    <n v="2237"/>
    <n v="4.1579925650557623"/>
    <n v="2237"/>
    <n v="4.1579925650557623"/>
    <s v="[Direct River View Floor 41 + Northern City View Northern Exposure Partial Lake View Upgrade]"/>
    <s v="[renovated view view.water floor view.direction view.city]"/>
  </r>
  <r>
    <x v="8"/>
    <s v="345 East Wacker Drive"/>
    <x v="257"/>
    <s v="4002"/>
    <n v="40"/>
    <x v="0"/>
    <n v="1"/>
    <m/>
    <x v="199"/>
    <x v="195"/>
    <x v="543"/>
    <x v="0"/>
    <n v="11"/>
    <n v="2373"/>
    <n v="4.4107806691449811"/>
    <n v="2373"/>
    <n v="4.4107806691449811"/>
    <s v="[]"/>
    <s v="[]"/>
  </r>
  <r>
    <x v="8"/>
    <s v="345 East Wacker Drive"/>
    <x v="258"/>
    <s v="1309"/>
    <n v="13"/>
    <x v="0"/>
    <n v="1"/>
    <m/>
    <x v="107"/>
    <x v="334"/>
    <x v="423"/>
    <x v="0"/>
    <n v="56"/>
    <n v="1993"/>
    <n v="3.4903677758318739"/>
    <n v="1993"/>
    <n v="3.4903677758318739"/>
    <s v="[Floor 11 - 15 Partial Lake View Southern City View Calm Finish Package Kitchen Island Southern Exposure]"/>
    <s v="[view kitchen_island view.water view.city view.direction balcony_patio]"/>
  </r>
  <r>
    <x v="8"/>
    <s v="345 East Wacker Drive"/>
    <x v="258"/>
    <s v="1909"/>
    <n v="19"/>
    <x v="0"/>
    <n v="1"/>
    <m/>
    <x v="107"/>
    <x v="38"/>
    <x v="106"/>
    <x v="0"/>
    <n v="86"/>
    <n v="2193"/>
    <n v="3.8406304728546408"/>
    <n v="2193"/>
    <n v="3.8406304728546408"/>
    <s v="[Floor 16 - 20 Kitchen Island Partial Lake View Southern City View Upgrade Cool Finish Package Southern Exposure]"/>
    <s v="[renovated view kitchen_island view.water view.city view.direction balcony_patio]"/>
  </r>
  <r>
    <x v="8"/>
    <s v="345 East Wacker Drive"/>
    <x v="258"/>
    <s v="2709"/>
    <n v="27"/>
    <x v="0"/>
    <n v="1"/>
    <m/>
    <x v="107"/>
    <x v="344"/>
    <x v="28"/>
    <x v="1"/>
    <m/>
    <n v="2239"/>
    <n v="3.9211908931698773"/>
    <n v="2239"/>
    <n v="3.9211908931698773"/>
    <s v="[Floor 26 - 30 Partial Lake View Southern City View Kitchen Island Cool Finish Package]"/>
    <s v="[view kitchen_island view.water view.city view.direction balcony_patio]"/>
  </r>
  <r>
    <x v="8"/>
    <s v="345 East Wacker Drive"/>
    <x v="259"/>
    <s v="0509"/>
    <n v="5"/>
    <x v="0"/>
    <n v="1"/>
    <m/>
    <x v="45"/>
    <x v="273"/>
    <x v="412"/>
    <x v="0"/>
    <n v="2"/>
    <n v="1898"/>
    <n v="3.2006745362563236"/>
    <n v="1898"/>
    <n v="3.2006745362563236"/>
    <s v="[Partial Lake View Southern City View Calm Finish Package Kitchen Island Southern Exposure]"/>
    <s v="[view kitchen_island view.water view.city view.direction balcony_patio]"/>
  </r>
  <r>
    <x v="8"/>
    <s v="345 East Wacker Drive"/>
    <x v="260"/>
    <s v="0609"/>
    <n v="6"/>
    <x v="0"/>
    <n v="1"/>
    <m/>
    <x v="45"/>
    <x v="47"/>
    <x v="467"/>
    <x v="0"/>
    <n v="114"/>
    <n v="1965"/>
    <n v="3.3136593591905563"/>
    <n v="1965"/>
    <n v="3.3136593591905563"/>
    <s v="[Floor 6 - 10 Partial Lake View Southern City View Calm Finish Package Modified Unit Kitchen Island Southern Exposure]"/>
    <s v="[view kitchen_island view.water view.city view.direction balcony_patio]"/>
  </r>
  <r>
    <x v="8"/>
    <s v="345 East Wacker Drive"/>
    <x v="259"/>
    <s v="0809"/>
    <n v="8"/>
    <x v="0"/>
    <n v="1"/>
    <m/>
    <x v="45"/>
    <x v="34"/>
    <x v="28"/>
    <x v="1"/>
    <m/>
    <n v="1995"/>
    <n v="3.3642495784148396"/>
    <n v="1995"/>
    <n v="3.3642495784148396"/>
    <s v="[Partial Lake View Southern City View Kitchen Island Cool Finish Package Floor 6 - 10]"/>
    <s v="[view kitchen_island view.water view.city view.direction balcony_patio]"/>
  </r>
  <r>
    <x v="8"/>
    <s v="345 East Wacker Drive"/>
    <x v="259"/>
    <s v="1509"/>
    <n v="15"/>
    <x v="0"/>
    <n v="1"/>
    <m/>
    <x v="45"/>
    <x v="346"/>
    <x v="327"/>
    <x v="0"/>
    <n v="55"/>
    <n v="2013"/>
    <n v="3.39460370994941"/>
    <n v="2013"/>
    <n v="3.39460370994941"/>
    <s v="[Floor 11 - 15 Partial Lake View Southern City View Southern Exposure Cool Finish Package Kitchen Island]"/>
    <s v="[view kitchen_island view.water view.city view.direction balcony_patio]"/>
  </r>
  <r>
    <x v="8"/>
    <s v="345 East Wacker Drive"/>
    <x v="259"/>
    <s v="1409"/>
    <n v="14"/>
    <x v="0"/>
    <n v="1"/>
    <m/>
    <x v="45"/>
    <x v="32"/>
    <x v="28"/>
    <x v="1"/>
    <m/>
    <n v="2020"/>
    <n v="3.4064080944350761"/>
    <n v="2020"/>
    <n v="3.4064080944350761"/>
    <s v="[Floor 11 - 15 Partial Lake View Southern City View Kitchen Island Calm Finish Package]"/>
    <s v="[view kitchen_island view.water view.city view.direction balcony_patio]"/>
  </r>
  <r>
    <x v="8"/>
    <s v="345 East Wacker Drive"/>
    <x v="259"/>
    <s v="2609"/>
    <n v="26"/>
    <x v="0"/>
    <n v="1"/>
    <m/>
    <x v="45"/>
    <x v="490"/>
    <x v="195"/>
    <x v="0"/>
    <n v="15"/>
    <n v="2023"/>
    <n v="3.4114671163575041"/>
    <n v="2023"/>
    <n v="3.4114671163575041"/>
    <s v="[Floor 26 - 30 Kitchen Island Partial Lake View Southern City View Southern Exposure Calm Finish Package Roller Shades]"/>
    <s v="[view kitchen_island view.water view.city view.direction balcony_patio]"/>
  </r>
  <r>
    <x v="8"/>
    <s v="345 East Wacker Drive"/>
    <x v="260"/>
    <s v="3609"/>
    <n v="36"/>
    <x v="0"/>
    <n v="1"/>
    <m/>
    <x v="45"/>
    <x v="242"/>
    <x v="515"/>
    <x v="0"/>
    <n v="27"/>
    <n v="2049"/>
    <n v="3.4553119730185498"/>
    <n v="2049"/>
    <n v="3.4553119730185498"/>
    <s v="[Floor 36 - 40 Partial Lake View Southern City View Southern Exposure Kitchen Island Modified Unit Cool Finish Package]"/>
    <s v="[view kitchen_island view.water view.city view.direction balcony_patio]"/>
  </r>
  <r>
    <x v="8"/>
    <s v="345 East Wacker Drive"/>
    <x v="259"/>
    <s v="3109"/>
    <n v="31"/>
    <x v="0"/>
    <n v="1"/>
    <m/>
    <x v="45"/>
    <x v="130"/>
    <x v="147"/>
    <x v="0"/>
    <m/>
    <n v="2051"/>
    <n v="3.4586846543001686"/>
    <n v="2051"/>
    <n v="3.4586846543001686"/>
    <s v="[Floor 31 - 35 Kitchen Island Partial Lake View Southern City View Southern Exposure Upgrade Cool Finish Package]"/>
    <s v="[renovated view kitchen_island view.water view.city view.direction balcony_patio]"/>
  </r>
  <r>
    <x v="8"/>
    <s v="345 East Wacker Drive"/>
    <x v="260"/>
    <s v="2009"/>
    <n v="20"/>
    <x v="0"/>
    <n v="1"/>
    <m/>
    <x v="45"/>
    <x v="365"/>
    <x v="132"/>
    <x v="0"/>
    <n v="73"/>
    <n v="2067"/>
    <n v="3.4856661045531196"/>
    <n v="2067"/>
    <n v="3.4856661045531196"/>
    <s v="[Floor 16 - 20 Partial Lake View Southern City View Kitchen Island Cool Finish Package Modified Unit]"/>
    <s v="[view kitchen_island view.water view.city view.direction balcony_patio]"/>
  </r>
  <r>
    <x v="8"/>
    <s v="345 East Wacker Drive"/>
    <x v="259"/>
    <s v="2909"/>
    <n v="29"/>
    <x v="0"/>
    <n v="1"/>
    <m/>
    <x v="45"/>
    <x v="224"/>
    <x v="439"/>
    <x v="0"/>
    <n v="3"/>
    <n v="2079"/>
    <n v="3.5059021922428331"/>
    <n v="2079"/>
    <n v="3.5059021922428331"/>
    <s v="[Floor 26 - 30 Partial Lake View Southern City View Calm Finish Package Kitchen Island Southern Exposure]"/>
    <s v="[view kitchen_island view.water view.city view.direction balcony_patio]"/>
  </r>
  <r>
    <x v="8"/>
    <s v="345 East Wacker Drive"/>
    <x v="260"/>
    <s v="1609"/>
    <n v="16"/>
    <x v="0"/>
    <n v="1"/>
    <m/>
    <x v="45"/>
    <x v="51"/>
    <x v="110"/>
    <x v="0"/>
    <n v="47"/>
    <n v="2087"/>
    <n v="3.5193929173693088"/>
    <n v="2087"/>
    <n v="3.5193929173693088"/>
    <s v="[Floor 16 - 20 Partial Lake View Southern City View Kitchen Island Cool Finish Package Modified Unit]"/>
    <s v="[view kitchen_island view.water view.city view.direction balcony_patio]"/>
  </r>
  <r>
    <x v="8"/>
    <s v="345 East Wacker Drive"/>
    <x v="259"/>
    <s v="4209"/>
    <n v="42"/>
    <x v="0"/>
    <n v="1"/>
    <m/>
    <x v="45"/>
    <x v="307"/>
    <x v="128"/>
    <x v="0"/>
    <n v="44"/>
    <n v="2091"/>
    <n v="3.5261382799325465"/>
    <n v="2091"/>
    <n v="3.5261382799325465"/>
    <s v="[Floor 41 + Partial Lake View Southern City View Calm Finish Package Kitchen Island Southern Exposure]"/>
    <s v="[view kitchen_island view.water floor view.direction view.city balcony_patio]"/>
  </r>
  <r>
    <x v="8"/>
    <s v="345 East Wacker Drive"/>
    <x v="259"/>
    <s v="2809"/>
    <n v="28"/>
    <x v="0"/>
    <n v="1"/>
    <m/>
    <x v="45"/>
    <x v="137"/>
    <x v="19"/>
    <x v="0"/>
    <n v="26"/>
    <n v="2105"/>
    <n v="3.5497470489038787"/>
    <n v="2105"/>
    <n v="3.5497470489038787"/>
    <s v="[Floor 26 - 30 Partial Lake View Southern City View Kitchen Island Southern Exposure Cool Finish Package]"/>
    <s v="[view kitchen_island view.water view.city view.direction balcony_patio]"/>
  </r>
  <r>
    <x v="8"/>
    <s v="345 East Wacker Drive"/>
    <x v="260"/>
    <s v="1109"/>
    <n v="11"/>
    <x v="0"/>
    <n v="1"/>
    <m/>
    <x v="45"/>
    <x v="338"/>
    <x v="28"/>
    <x v="1"/>
    <m/>
    <n v="2116"/>
    <n v="3.5682967959527825"/>
    <n v="2116"/>
    <n v="3.5682967959527825"/>
    <s v="[Southern City View Floor 11 - 15 Partial Lake View Kitchen Island Cool Finish Package Modified Unit]"/>
    <s v="[view kitchen_island view.water view.city view.direction balcony_patio]"/>
  </r>
  <r>
    <x v="8"/>
    <s v="345 East Wacker Drive"/>
    <x v="259"/>
    <s v="0709"/>
    <n v="7"/>
    <x v="0"/>
    <n v="1"/>
    <m/>
    <x v="45"/>
    <x v="94"/>
    <x v="121"/>
    <x v="0"/>
    <n v="37"/>
    <n v="2120"/>
    <n v="3.5750421585160201"/>
    <n v="2120"/>
    <n v="3.5750421585160201"/>
    <s v="[Southern City View Kitchen Island Partial Lake View Floor 6 - 10 Southern Exposure Roller Shades Premium Upgrade]"/>
    <s v="[renovated.fully renovated view kitchen_island view.water view.city view.direction balcony_patio]"/>
  </r>
  <r>
    <x v="8"/>
    <s v="345 East Wacker Drive"/>
    <x v="259"/>
    <s v="4109"/>
    <n v="41"/>
    <x v="0"/>
    <n v="1"/>
    <m/>
    <x v="45"/>
    <x v="504"/>
    <x v="445"/>
    <x v="0"/>
    <n v="2"/>
    <n v="2261"/>
    <n v="3.8128161888701517"/>
    <n v="2261"/>
    <n v="3.8128161888701517"/>
    <s v="[Floor 41 + Partial Lake View Southern City View Upgrade Calm Finish Package Kitchen Island Southern Exposure]"/>
    <s v="[renovated view kitchen_island view.water floor view.direction view.city balcony_patio]"/>
  </r>
  <r>
    <x v="8"/>
    <s v="345 East Wacker Drive"/>
    <x v="259"/>
    <s v="3409"/>
    <n v="34"/>
    <x v="0"/>
    <n v="1"/>
    <m/>
    <x v="45"/>
    <x v="193"/>
    <x v="342"/>
    <x v="0"/>
    <n v="24"/>
    <n v="2264"/>
    <n v="3.8178752107925802"/>
    <n v="2264"/>
    <n v="3.8178752107925802"/>
    <s v="[Partial Lake View Southern City View Calm Finish Package Kitchen Island Southern Exposure Roller Shades Floor 31 - 35]"/>
    <s v="[view kitchen_island view.water view.city view.direction balcony_patio]"/>
  </r>
  <r>
    <x v="8"/>
    <s v="345 East Wacker Drive"/>
    <x v="260"/>
    <s v="4009"/>
    <n v="40"/>
    <x v="0"/>
    <n v="1"/>
    <m/>
    <x v="45"/>
    <x v="184"/>
    <x v="423"/>
    <x v="0"/>
    <n v="164"/>
    <n v="2327"/>
    <n v="3.9241146711635753"/>
    <n v="2327"/>
    <n v="3.9241146711635753"/>
    <s v="[Floor 36 - 40 Partial Lake View Southern City View Southern Exposure Modified Unit Upgrade Kitchen Island Cool Finish Package]"/>
    <s v="[renovated view kitchen_island view.water view.city view.direction balcony_patio]"/>
  </r>
  <r>
    <x v="8"/>
    <s v="345 East Wacker Drive"/>
    <x v="259"/>
    <s v="3209"/>
    <n v="32"/>
    <x v="0"/>
    <n v="1"/>
    <m/>
    <x v="45"/>
    <x v="385"/>
    <x v="28"/>
    <x v="1"/>
    <m/>
    <n v="2370"/>
    <n v="3.9966273187183812"/>
    <n v="2370"/>
    <n v="3.9966273187183812"/>
    <s v="[Kitchen Island Floor 31 - 35 Partial Lake View Southern City View Upgrade]"/>
    <s v="[renovated view kitchen_island view.water view.city view.direction balcony_patio]"/>
  </r>
  <r>
    <x v="8"/>
    <s v="345 East Wacker Drive"/>
    <x v="259"/>
    <s v="4409"/>
    <n v="44"/>
    <x v="0"/>
    <n v="1"/>
    <m/>
    <x v="45"/>
    <x v="26"/>
    <x v="83"/>
    <x v="0"/>
    <n v="8"/>
    <n v="2374"/>
    <n v="4.0033726812816193"/>
    <n v="2374"/>
    <n v="4.0033726812816193"/>
    <s v="[Southern Exposure Partial Lake View Southern City View Floor 41 + Roller Shades Kitchen Island Premium Upgrade]"/>
    <s v="[renovated.fully renovated view floor kitchen_island view.water view.city view.direction balcony_patio]"/>
  </r>
  <r>
    <x v="8"/>
    <s v="345 East Wacker Drive"/>
    <x v="259"/>
    <s v="2409"/>
    <n v="24"/>
    <x v="0"/>
    <n v="1"/>
    <m/>
    <x v="45"/>
    <x v="67"/>
    <x v="268"/>
    <x v="0"/>
    <n v="35"/>
    <n v="2406"/>
    <n v="4.0573355817875214"/>
    <n v="2246"/>
    <n v="3.7875210792580103"/>
    <s v="[Southern Exposure Partial Lake View Southern City View Floor 21 - 25 Kitchen Island Roller Shades Premium Upgrade]"/>
    <s v="[renovated.fully renovated view kitchen_island view.water view.city view.direction balcony_patio]"/>
  </r>
  <r>
    <x v="8"/>
    <s v="345 East Wacker Drive"/>
    <x v="259"/>
    <s v="2509"/>
    <n v="25"/>
    <x v="0"/>
    <n v="1"/>
    <m/>
    <x v="45"/>
    <x v="148"/>
    <x v="28"/>
    <x v="1"/>
    <m/>
    <n v="2566"/>
    <n v="4.3271500843170321"/>
    <n v="2566"/>
    <n v="4.3271500843170321"/>
    <s v="[Floor 21 - 25 Partial Lake View Southern City View Kitchen Island Premium Upgrade]"/>
    <s v="[renovated.fully renovated view kitchen_island view.water view.city view.direction balcony_patio]"/>
  </r>
  <r>
    <x v="8"/>
    <s v="345 East Wacker Drive"/>
    <x v="259"/>
    <s v="1009"/>
    <n v="10"/>
    <x v="0"/>
    <n v="1"/>
    <m/>
    <x v="45"/>
    <x v="525"/>
    <x v="274"/>
    <x v="0"/>
    <n v="49"/>
    <n v="1917"/>
    <n v="3.2327150084317031"/>
    <n v="1767"/>
    <n v="2.9797639123102866"/>
    <s v="[]"/>
    <s v="[]"/>
  </r>
  <r>
    <x v="8"/>
    <s v="345 East Wacker Drive"/>
    <x v="260"/>
    <s v="0309"/>
    <n v="3"/>
    <x v="0"/>
    <n v="1"/>
    <m/>
    <x v="45"/>
    <x v="172"/>
    <x v="582"/>
    <x v="0"/>
    <n v="4"/>
    <n v="1996"/>
    <n v="3.3659359190556493"/>
    <n v="1996"/>
    <n v="3.3659359190556493"/>
    <s v="[]"/>
    <s v="[]"/>
  </r>
  <r>
    <x v="8"/>
    <s v="345 East Wacker Drive"/>
    <x v="259"/>
    <s v="2309"/>
    <n v="23"/>
    <x v="0"/>
    <n v="1"/>
    <m/>
    <x v="45"/>
    <x v="383"/>
    <x v="389"/>
    <x v="0"/>
    <n v="12"/>
    <n v="2042"/>
    <n v="3.4435075885328836"/>
    <n v="2042"/>
    <n v="3.4435075885328836"/>
    <s v="[]"/>
    <s v="[]"/>
  </r>
  <r>
    <x v="8"/>
    <s v="345 East Wacker Drive"/>
    <x v="259"/>
    <s v="2209"/>
    <n v="22"/>
    <x v="0"/>
    <n v="1"/>
    <m/>
    <x v="45"/>
    <x v="93"/>
    <x v="215"/>
    <x v="0"/>
    <n v="10"/>
    <n v="2129"/>
    <n v="3.5902192242833051"/>
    <n v="2129"/>
    <n v="3.5902192242833051"/>
    <s v="[]"/>
    <s v="[]"/>
  </r>
  <r>
    <x v="8"/>
    <s v="345 East Wacker Drive"/>
    <x v="261"/>
    <s v="0411"/>
    <n v="4"/>
    <x v="0"/>
    <n v="1"/>
    <m/>
    <x v="200"/>
    <x v="482"/>
    <x v="360"/>
    <x v="0"/>
    <n v="235"/>
    <n v="2047"/>
    <n v="3.1395705521472395"/>
    <n v="2047"/>
    <n v="3.1395705521472395"/>
    <s v="[Partial Lake View Southern City View Cool Finish Package Roller Shades Southern Exposure]"/>
    <s v="[view view.water view.city view.direction balcony_patio]"/>
  </r>
  <r>
    <x v="8"/>
    <s v="345 East Wacker Drive"/>
    <x v="261"/>
    <s v="1011"/>
    <n v="10"/>
    <x v="0"/>
    <n v="1"/>
    <m/>
    <x v="200"/>
    <x v="219"/>
    <x v="17"/>
    <x v="0"/>
    <n v="59"/>
    <n v="2164"/>
    <n v="3.3190184049079754"/>
    <n v="2164"/>
    <n v="3.3190184049079754"/>
    <s v="[Floor 6 - 10 Partial Lake View Southern City View Southern Exposure Calm Finish Package]"/>
    <s v="[view view.water view.city view.direction balcony_patio]"/>
  </r>
  <r>
    <x v="8"/>
    <s v="345 East Wacker Drive"/>
    <x v="262"/>
    <s v="2111"/>
    <n v="21"/>
    <x v="0"/>
    <n v="1"/>
    <m/>
    <x v="200"/>
    <x v="17"/>
    <x v="90"/>
    <x v="0"/>
    <n v="14"/>
    <n v="2198"/>
    <n v="3.371165644171779"/>
    <n v="2198"/>
    <n v="3.371165644171779"/>
    <s v="[Floor 21 - 25 Partial Lake View Southern City View Calm Finish Package Modified Unit Southern Exposure]"/>
    <s v="[view view.water view.city view.direction balcony_patio]"/>
  </r>
  <r>
    <x v="8"/>
    <s v="345 East Wacker Drive"/>
    <x v="262"/>
    <s v="2911"/>
    <n v="29"/>
    <x v="0"/>
    <n v="1"/>
    <m/>
    <x v="200"/>
    <x v="323"/>
    <x v="278"/>
    <x v="0"/>
    <n v="3"/>
    <n v="2207"/>
    <n v="3.3849693251533743"/>
    <n v="2207"/>
    <n v="3.3849693251533743"/>
    <s v="[Calm Finish Package Floor 26 - 30 Partial Lake View Southern City View Modified Unit Southern Exposure]"/>
    <s v="[view view.water view.city view.direction balcony_patio]"/>
  </r>
  <r>
    <x v="8"/>
    <s v="345 East Wacker Drive"/>
    <x v="261"/>
    <s v="4111"/>
    <n v="41"/>
    <x v="0"/>
    <n v="1"/>
    <m/>
    <x v="200"/>
    <x v="130"/>
    <x v="102"/>
    <x v="0"/>
    <m/>
    <n v="2230"/>
    <n v="3.4202453987730062"/>
    <n v="2230"/>
    <n v="3.4202453987730062"/>
    <s v="[Calm Finish Package Floor 41 + Partial Lake View Southern City View Roller Shades Southern Exposure]"/>
    <s v="[view view.water floor view.direction view.city balcony_patio]"/>
  </r>
  <r>
    <x v="8"/>
    <s v="345 East Wacker Drive"/>
    <x v="262"/>
    <s v="0711"/>
    <n v="7"/>
    <x v="0"/>
    <n v="1"/>
    <m/>
    <x v="200"/>
    <x v="268"/>
    <x v="561"/>
    <x v="0"/>
    <n v="86"/>
    <n v="2233"/>
    <n v="3.4248466257668713"/>
    <n v="2233"/>
    <n v="3.4248466257668713"/>
    <s v="[Floor 6 - 10 Partial Lake View Southern City View Upgrade Modified Unit Southern Exposure Cool Finish Package]"/>
    <s v="[renovated view view.water view.city view.direction balcony_patio]"/>
  </r>
  <r>
    <x v="8"/>
    <s v="345 East Wacker Drive"/>
    <x v="261"/>
    <s v="3511"/>
    <n v="35"/>
    <x v="0"/>
    <n v="1"/>
    <m/>
    <x v="200"/>
    <x v="17"/>
    <x v="176"/>
    <x v="0"/>
    <n v="97"/>
    <n v="2237"/>
    <n v="3.4309815950920246"/>
    <n v="2237"/>
    <n v="3.4309815950920246"/>
    <s v="[Floor 31 - 35 Partial Lake View Southern City View Southern Exposure Cool Finish Package]"/>
    <s v="[view view.water view.city view.direction balcony_patio]"/>
  </r>
  <r>
    <x v="8"/>
    <s v="345 East Wacker Drive"/>
    <x v="261"/>
    <s v="0911"/>
    <n v="9"/>
    <x v="0"/>
    <n v="1"/>
    <m/>
    <x v="200"/>
    <x v="124"/>
    <x v="383"/>
    <x v="0"/>
    <n v="33"/>
    <n v="2260"/>
    <n v="3.4662576687116564"/>
    <n v="2260"/>
    <n v="3.4662576687116564"/>
    <s v="[Calm Finish Package Floor 6 - 10 Partial Lake View Southern City View Southern Exposure]"/>
    <s v="[view view.water view.city view.direction balcony_patio]"/>
  </r>
  <r>
    <x v="8"/>
    <s v="345 East Wacker Drive"/>
    <x v="261"/>
    <s v="2011"/>
    <n v="20"/>
    <x v="0"/>
    <n v="1"/>
    <m/>
    <x v="200"/>
    <x v="474"/>
    <x v="132"/>
    <x v="0"/>
    <n v="22"/>
    <n v="2262"/>
    <n v="3.4693251533742333"/>
    <n v="2262"/>
    <n v="3.4693251533742333"/>
    <s v="[Floor 16 - 20 Partial Lake View Southern City View Cool Finish Package]"/>
    <s v="[view view.water view.city view.direction balcony_patio]"/>
  </r>
  <r>
    <x v="8"/>
    <s v="345 East Wacker Drive"/>
    <x v="261"/>
    <s v="4011"/>
    <n v="40"/>
    <x v="0"/>
    <n v="1"/>
    <m/>
    <x v="200"/>
    <x v="90"/>
    <x v="548"/>
    <x v="0"/>
    <n v="46"/>
    <n v="2265"/>
    <n v="3.473926380368098"/>
    <n v="2265"/>
    <n v="3.473926380368098"/>
    <s v="[Floor 36 - 40 Partial Lake View Southern City View Southern Exposure Cool Finish Package]"/>
    <s v="[view view.water view.city view.direction balcony_patio]"/>
  </r>
  <r>
    <x v="8"/>
    <s v="345 East Wacker Drive"/>
    <x v="261"/>
    <s v="1111"/>
    <n v="11"/>
    <x v="0"/>
    <n v="1"/>
    <m/>
    <x v="200"/>
    <x v="316"/>
    <x v="91"/>
    <x v="0"/>
    <n v="92"/>
    <n v="2268"/>
    <n v="3.4785276073619631"/>
    <n v="2268"/>
    <n v="3.4785276073619631"/>
    <s v="[Floor 11 - 15 Partial Lake View Southern City View Upgrade Cool Finish Package Southern Exposure]"/>
    <s v="[renovated view view.water view.city view.direction balcony_patio]"/>
  </r>
  <r>
    <x v="8"/>
    <s v="345 East Wacker Drive"/>
    <x v="261"/>
    <s v="3311"/>
    <n v="33"/>
    <x v="0"/>
    <n v="1"/>
    <m/>
    <x v="200"/>
    <x v="241"/>
    <x v="583"/>
    <x v="0"/>
    <n v="2"/>
    <n v="2269"/>
    <n v="3.4800613496932513"/>
    <n v="2269"/>
    <n v="3.4800613496932513"/>
    <s v="[Floor 31 - 35 Partial Lake View Southern City View Roller Shades Southern Exposure Premium Upgrade]"/>
    <s v="[renovated.fully renovated view view.water view.city view.direction balcony_patio]"/>
  </r>
  <r>
    <x v="8"/>
    <s v="345 East Wacker Drive"/>
    <x v="262"/>
    <s v="0611"/>
    <n v="6"/>
    <x v="0"/>
    <n v="1"/>
    <m/>
    <x v="200"/>
    <x v="236"/>
    <x v="148"/>
    <x v="0"/>
    <n v="132"/>
    <n v="2301"/>
    <n v="3.5291411042944785"/>
    <n v="2301"/>
    <n v="3.5291411042944785"/>
    <s v="[Floor 6 - 10 Partial Lake View Southern City View Southern Exposure Upgrade Modified Unit]"/>
    <s v="[renovated view view.water view.city view.direction balcony_patio]"/>
  </r>
  <r>
    <x v="8"/>
    <s v="345 East Wacker Drive"/>
    <x v="262"/>
    <s v="1611"/>
    <n v="16"/>
    <x v="0"/>
    <n v="1"/>
    <m/>
    <x v="200"/>
    <x v="140"/>
    <x v="369"/>
    <x v="0"/>
    <n v="30"/>
    <n v="2303"/>
    <n v="3.5322085889570554"/>
    <n v="2303"/>
    <n v="3.5322085889570554"/>
    <s v="[Southern City View Floor 16 - 20 Partial Lake View Modified Unit Cool Finish Package Southern Exposure Roller Shades]"/>
    <s v="[view view.water view.city view.direction balcony_patio]"/>
  </r>
  <r>
    <x v="8"/>
    <s v="345 East Wacker Drive"/>
    <x v="262"/>
    <s v="2411"/>
    <n v="24"/>
    <x v="0"/>
    <n v="1"/>
    <m/>
    <x v="200"/>
    <x v="144"/>
    <x v="524"/>
    <x v="0"/>
    <n v="249"/>
    <n v="2317"/>
    <n v="3.5536809815950918"/>
    <n v="2317"/>
    <n v="3.5536809815950918"/>
    <s v="[Floor 21 - 25 Modified Unit Partial Lake View Southern City View Upgrade Cool Finish Package Southern Exposure]"/>
    <s v="[renovated view view.water view.city view.direction balcony_patio]"/>
  </r>
  <r>
    <x v="8"/>
    <s v="345 East Wacker Drive"/>
    <x v="261"/>
    <s v="3111"/>
    <n v="31"/>
    <x v="0"/>
    <n v="1"/>
    <m/>
    <x v="200"/>
    <x v="536"/>
    <x v="256"/>
    <x v="0"/>
    <n v="75"/>
    <n v="2325"/>
    <n v="3.5659509202453989"/>
    <n v="2325"/>
    <n v="3.5659509202453989"/>
    <s v="[Floor 31 - 35 Partial Lake View Southern City View Cool Finish Package Southern Exposure]"/>
    <s v="[view view.water view.city view.direction balcony_patio]"/>
  </r>
  <r>
    <x v="8"/>
    <s v="345 East Wacker Drive"/>
    <x v="261"/>
    <s v="4411"/>
    <n v="44"/>
    <x v="0"/>
    <n v="1"/>
    <m/>
    <x v="200"/>
    <x v="350"/>
    <x v="518"/>
    <x v="0"/>
    <n v="47"/>
    <n v="2326"/>
    <n v="3.5674846625766872"/>
    <n v="2326"/>
    <n v="3.5674846625766872"/>
    <s v="[Floor 41 + Partial Lake View Southern City View Cool Finish Package Southern Exposure]"/>
    <s v="[view view.water floor view.direction view.city balcony_patio]"/>
  </r>
  <r>
    <x v="8"/>
    <s v="345 East Wacker Drive"/>
    <x v="261"/>
    <s v="3411"/>
    <n v="34"/>
    <x v="0"/>
    <n v="1"/>
    <m/>
    <x v="200"/>
    <x v="94"/>
    <x v="39"/>
    <x v="0"/>
    <n v="16"/>
    <n v="2328"/>
    <n v="3.5705521472392636"/>
    <n v="2328"/>
    <n v="3.5705521472392636"/>
    <s v="[Floor 31 - 35 Partial Lake View Southern City View Calm Finish Package Southern Exposure]"/>
    <s v="[view view.water view.city view.direction balcony_patio]"/>
  </r>
  <r>
    <x v="8"/>
    <s v="345 East Wacker Drive"/>
    <x v="261"/>
    <s v="1711"/>
    <n v="17"/>
    <x v="0"/>
    <n v="1"/>
    <m/>
    <x v="200"/>
    <x v="479"/>
    <x v="104"/>
    <x v="0"/>
    <n v="83"/>
    <n v="2337"/>
    <n v="3.584355828220859"/>
    <n v="2337"/>
    <n v="3.584355828220859"/>
    <s v="[Floor 16 - 20 Partial Lake View Southern City View Upgrade Calm Finish Package Southern Exposure]"/>
    <s v="[renovated view view.water view.city view.direction balcony_patio]"/>
  </r>
  <r>
    <x v="8"/>
    <s v="345 East Wacker Drive"/>
    <x v="262"/>
    <s v="3911"/>
    <n v="39"/>
    <x v="0"/>
    <n v="1"/>
    <m/>
    <x v="200"/>
    <x v="243"/>
    <x v="236"/>
    <x v="0"/>
    <n v="100"/>
    <n v="2350"/>
    <n v="3.6042944785276072"/>
    <n v="2350"/>
    <n v="3.6042944785276072"/>
    <s v="[Floor 36 - 40 Partial Lake View Southern City View Cool Finish Package Modified Unit Upgrade Southern Exposure]"/>
    <s v="[renovated view view.water view.city view.direction balcony_patio]"/>
  </r>
  <r>
    <x v="8"/>
    <s v="345 East Wacker Drive"/>
    <x v="262"/>
    <s v="2511"/>
    <n v="25"/>
    <x v="0"/>
    <n v="1"/>
    <m/>
    <x v="200"/>
    <x v="316"/>
    <x v="279"/>
    <x v="0"/>
    <n v="19"/>
    <n v="2365"/>
    <n v="3.6273006134969323"/>
    <n v="2365"/>
    <n v="3.6273006134969323"/>
    <s v="[Modified Unit Calm Finish Package Floor 21 - 25 Partial Lake View Southern City View Southern Exposure]"/>
    <s v="[view view.water view.city view.direction balcony_patio]"/>
  </r>
  <r>
    <x v="8"/>
    <s v="345 East Wacker Drive"/>
    <x v="261"/>
    <s v="2711"/>
    <n v="27"/>
    <x v="0"/>
    <n v="1"/>
    <m/>
    <x v="200"/>
    <x v="504"/>
    <x v="445"/>
    <x v="0"/>
    <n v="2"/>
    <n v="2365"/>
    <n v="3.6273006134969323"/>
    <n v="2365"/>
    <n v="3.6273006134969323"/>
    <s v="[Partial Lake View Southern City View Southern Exposure Roller Shades Cool Finish Package Floor 26 - 30]"/>
    <s v="[view view.water view.city view.direction balcony_patio]"/>
  </r>
  <r>
    <x v="8"/>
    <s v="345 East Wacker Drive"/>
    <x v="261"/>
    <s v="3611"/>
    <n v="36"/>
    <x v="0"/>
    <n v="1"/>
    <m/>
    <x v="200"/>
    <x v="242"/>
    <x v="532"/>
    <x v="0"/>
    <n v="2"/>
    <n v="2388"/>
    <n v="3.6625766871165646"/>
    <n v="2388"/>
    <n v="3.6625766871165646"/>
    <s v="[Floor 36 - 40 Partial Lake View Southern City View Upgrade Southern Exposure Cool Finish Package]"/>
    <s v="[renovated view view.water view.city view.direction balcony_patio]"/>
  </r>
  <r>
    <x v="8"/>
    <s v="345 East Wacker Drive"/>
    <x v="261"/>
    <s v="2611"/>
    <n v="26"/>
    <x v="0"/>
    <n v="1"/>
    <m/>
    <x v="200"/>
    <x v="375"/>
    <x v="279"/>
    <x v="0"/>
    <n v="192"/>
    <n v="2391"/>
    <n v="3.6671779141104293"/>
    <n v="2391"/>
    <n v="3.6671779141104293"/>
    <s v="[Calm Finish Package Floor 26 - 30 Partial Lake View Southern City View Upgrade Southern Exposure]"/>
    <s v="[renovated view view.water view.city view.direction balcony_patio]"/>
  </r>
  <r>
    <x v="8"/>
    <s v="345 East Wacker Drive"/>
    <x v="261"/>
    <s v="4511"/>
    <n v="45"/>
    <x v="0"/>
    <n v="1"/>
    <m/>
    <x v="200"/>
    <x v="199"/>
    <x v="49"/>
    <x v="0"/>
    <n v="164"/>
    <n v="2398"/>
    <n v="3.6779141104294477"/>
    <n v="2398"/>
    <n v="3.6779141104294477"/>
    <s v="[Calm Finish Package Floor 41 + Partial Lake View Southern City View Upgrade Southern Exposure]"/>
    <s v="[renovated view view.water floor view.direction view.city balcony_patio]"/>
  </r>
  <r>
    <x v="8"/>
    <s v="345 East Wacker Drive"/>
    <x v="261"/>
    <s v="3211"/>
    <n v="32"/>
    <x v="0"/>
    <n v="1"/>
    <m/>
    <x v="200"/>
    <x v="472"/>
    <x v="378"/>
    <x v="0"/>
    <n v="22"/>
    <n v="2404"/>
    <n v="3.6871165644171779"/>
    <n v="2404"/>
    <n v="3.6871165644171779"/>
    <s v="[Floor 31 - 35 Partial Lake View Southern City View Cool Finish Package Southern Exposure]"/>
    <s v="[view view.water view.city view.direction balcony_patio]"/>
  </r>
  <r>
    <x v="8"/>
    <s v="345 East Wacker Drive"/>
    <x v="261"/>
    <s v="1811"/>
    <n v="18"/>
    <x v="0"/>
    <n v="1"/>
    <m/>
    <x v="200"/>
    <x v="462"/>
    <x v="230"/>
    <x v="0"/>
    <n v="14"/>
    <n v="2513"/>
    <n v="3.8542944785276072"/>
    <n v="2513"/>
    <n v="3.8542944785276072"/>
    <s v="[Southern Exposure Floor 16 - 20 Partial Lake View Southern City View Roller Shades Premium Upgrade]"/>
    <s v="[renovated.fully renovated view view.water view.city view.direction balcony_patio]"/>
  </r>
  <r>
    <x v="8"/>
    <s v="345 East Wacker Drive"/>
    <x v="261"/>
    <s v="3011"/>
    <n v="30"/>
    <x v="0"/>
    <n v="1"/>
    <m/>
    <x v="200"/>
    <x v="296"/>
    <x v="425"/>
    <x v="0"/>
    <n v="30"/>
    <n v="2455"/>
    <n v="3.7653374233128836"/>
    <n v="2455"/>
    <n v="3.7653374233128836"/>
    <s v="[]"/>
    <s v="[]"/>
  </r>
  <r>
    <x v="8"/>
    <s v="345 East Wacker Drive"/>
    <x v="117"/>
    <s v="2710"/>
    <n v="27"/>
    <x v="1"/>
    <n v="1"/>
    <m/>
    <x v="201"/>
    <x v="455"/>
    <x v="299"/>
    <x v="0"/>
    <n v="20"/>
    <n v="2310"/>
    <n v="3.4841628959276019"/>
    <n v="2310"/>
    <n v="3.4841628959276019"/>
    <s v="[Floor 26 - 30 Partial Lake View Southern City View Kitchen Island Southern Exposure Cool Finish Package]"/>
    <s v="[view kitchen_island view.water view.city view.direction balcony_patio]"/>
  </r>
  <r>
    <x v="8"/>
    <s v="345 East Wacker Drive"/>
    <x v="263"/>
    <s v="4110"/>
    <n v="41"/>
    <x v="1"/>
    <n v="1"/>
    <m/>
    <x v="201"/>
    <x v="343"/>
    <x v="129"/>
    <x v="0"/>
    <n v="199"/>
    <n v="2317"/>
    <n v="3.4947209653092006"/>
    <n v="2317"/>
    <n v="3.4947209653092006"/>
    <s v="[Floor 41 + Partial Lake View Southern City View Modified Unit Calm Finish Package Kitchen Island Southern Exposure]"/>
    <s v="[view kitchen_island view.water floor view.direction view.city balcony_patio]"/>
  </r>
  <r>
    <x v="8"/>
    <s v="345 East Wacker Drive"/>
    <x v="117"/>
    <s v="1810"/>
    <n v="18"/>
    <x v="1"/>
    <n v="1"/>
    <m/>
    <x v="201"/>
    <x v="290"/>
    <x v="19"/>
    <x v="0"/>
    <n v="36"/>
    <n v="2334"/>
    <n v="3.5203619909502262"/>
    <n v="2334"/>
    <n v="3.5203619909502262"/>
    <s v="[Floor 16 - 20 Partial Lake View Southern City View Calm Finish Package Kitchen Island Southern Exposure]"/>
    <s v="[view kitchen_island view.water view.city view.direction balcony_patio]"/>
  </r>
  <r>
    <x v="8"/>
    <s v="345 East Wacker Drive"/>
    <x v="117"/>
    <s v="2410"/>
    <n v="24"/>
    <x v="1"/>
    <n v="1"/>
    <m/>
    <x v="201"/>
    <x v="101"/>
    <x v="199"/>
    <x v="0"/>
    <n v="128"/>
    <n v="2364"/>
    <n v="3.565610859728507"/>
    <n v="2364"/>
    <n v="3.565610859728507"/>
    <s v="[Floor 21 - 25 Partial Lake View Southern City View Kitchen Island Southern Exposure Cool Finish Package]"/>
    <s v="[view kitchen_island view.water view.city view.direction balcony_patio]"/>
  </r>
  <r>
    <x v="8"/>
    <s v="345 East Wacker Drive"/>
    <x v="117"/>
    <s v="4010"/>
    <n v="40"/>
    <x v="1"/>
    <n v="1"/>
    <m/>
    <x v="201"/>
    <x v="117"/>
    <x v="27"/>
    <x v="0"/>
    <n v="57"/>
    <n v="2366"/>
    <n v="3.5686274509803924"/>
    <n v="2366"/>
    <n v="3.5686274509803924"/>
    <s v="[Cool Finish Package Floor 36 - 40 Partial Lake View Southern City View Southern Exposure]"/>
    <s v="[view view.water view.city view.direction balcony_patio]"/>
  </r>
  <r>
    <x v="8"/>
    <s v="345 East Wacker Drive"/>
    <x v="117"/>
    <s v="0510"/>
    <n v="5"/>
    <x v="1"/>
    <n v="1"/>
    <m/>
    <x v="201"/>
    <x v="34"/>
    <x v="28"/>
    <x v="1"/>
    <m/>
    <n v="2396"/>
    <n v="3.6138763197586727"/>
    <n v="2396"/>
    <n v="3.6138763197586727"/>
    <s v="[Partial Lake View Southern City View Kitchen Island Calm Finish Package]"/>
    <s v="[view kitchen_island view.water view.city view.direction balcony_patio]"/>
  </r>
  <r>
    <x v="8"/>
    <s v="345 East Wacker Drive"/>
    <x v="117"/>
    <s v="3810"/>
    <n v="38"/>
    <x v="1"/>
    <n v="1"/>
    <m/>
    <x v="201"/>
    <x v="256"/>
    <x v="76"/>
    <x v="0"/>
    <n v="66"/>
    <n v="2429"/>
    <n v="3.6636500754147812"/>
    <n v="2429"/>
    <n v="3.6636500754147812"/>
    <s v="[Floor 36 - 40 Partial Lake View Southern City View Kitchen Island Calm Finish Package]"/>
    <s v="[view kitchen_island view.water view.city view.direction balcony_patio]"/>
  </r>
  <r>
    <x v="8"/>
    <s v="345 East Wacker Drive"/>
    <x v="263"/>
    <s v="0410"/>
    <n v="4"/>
    <x v="1"/>
    <n v="1"/>
    <m/>
    <x v="201"/>
    <x v="220"/>
    <x v="230"/>
    <x v="0"/>
    <n v="114"/>
    <n v="2442"/>
    <n v="3.683257918552036"/>
    <n v="2442"/>
    <n v="3.683257918552036"/>
    <s v="[Kitchen Island Partial Lake View Southern City View Southern Exposure Cool Finish Package Modified Unit]"/>
    <s v="[view kitchen_island view.water view.city view.direction balcony_patio]"/>
  </r>
  <r>
    <x v="8"/>
    <s v="345 East Wacker Drive"/>
    <x v="117"/>
    <s v="2210"/>
    <n v="22"/>
    <x v="1"/>
    <n v="1"/>
    <m/>
    <x v="201"/>
    <x v="47"/>
    <x v="549"/>
    <x v="0"/>
    <n v="25"/>
    <n v="2454"/>
    <n v="3.7013574660633486"/>
    <n v="2454"/>
    <n v="3.7013574660633486"/>
    <s v="[Partial Lake View Southern City View Calm Finish Package Kitchen Island Southern Exposure Floor 21 - 25]"/>
    <s v="[view kitchen_island view.water view.city view.direction balcony_patio]"/>
  </r>
  <r>
    <x v="8"/>
    <s v="345 East Wacker Drive"/>
    <x v="117"/>
    <s v="1410"/>
    <n v="14"/>
    <x v="1"/>
    <n v="1"/>
    <m/>
    <x v="201"/>
    <x v="291"/>
    <x v="279"/>
    <x v="0"/>
    <n v="7"/>
    <n v="2467"/>
    <n v="3.7209653092006034"/>
    <n v="2467"/>
    <n v="3.7209653092006034"/>
    <s v="[Calm Finish Package Floor 11 - 15 Kitchen Island Partial Lake View Southern City View Southern Exposure]"/>
    <s v="[view kitchen_island view.water view.city view.direction balcony_patio]"/>
  </r>
  <r>
    <x v="8"/>
    <s v="345 East Wacker Drive"/>
    <x v="117"/>
    <s v="0910"/>
    <n v="9"/>
    <x v="1"/>
    <n v="1"/>
    <m/>
    <x v="201"/>
    <x v="393"/>
    <x v="501"/>
    <x v="0"/>
    <n v="54"/>
    <n v="2468"/>
    <n v="3.7224736048265461"/>
    <n v="2468"/>
    <n v="3.7224736048265461"/>
    <s v="[Southern City View Calm Finish Package Floor 6 - 10 Kitchen Island Partial Lake View Southern Exposure]"/>
    <s v="[view kitchen_island view.water view.city view.direction balcony_patio]"/>
  </r>
  <r>
    <x v="8"/>
    <s v="345 East Wacker Drive"/>
    <x v="117"/>
    <s v="1910"/>
    <n v="19"/>
    <x v="1"/>
    <n v="1"/>
    <m/>
    <x v="201"/>
    <x v="321"/>
    <x v="0"/>
    <x v="0"/>
    <n v="52"/>
    <n v="2492"/>
    <n v="3.7586726998491704"/>
    <n v="2492"/>
    <n v="3.7586726998491704"/>
    <s v="[Floor 16 - 20 Kitchen Island Partial Lake View Southern City View Southern Exposure Cool Finish Package]"/>
    <s v="[view kitchen_island view.water view.city view.direction balcony_patio]"/>
  </r>
  <r>
    <x v="8"/>
    <s v="345 East Wacker Drive"/>
    <x v="117"/>
    <s v="2110"/>
    <n v="21"/>
    <x v="1"/>
    <n v="1"/>
    <m/>
    <x v="201"/>
    <x v="179"/>
    <x v="29"/>
    <x v="0"/>
    <n v="64"/>
    <n v="2494"/>
    <n v="3.7616892911010558"/>
    <n v="2494"/>
    <n v="3.7616892911010558"/>
    <s v="[Floor 21 - 25 Partial Lake View Southern City View Kitchen Island Calm Finish Package]"/>
    <s v="[view kitchen_island view.water view.city view.direction balcony_patio]"/>
  </r>
  <r>
    <x v="8"/>
    <s v="345 East Wacker Drive"/>
    <x v="117"/>
    <s v="3310"/>
    <n v="33"/>
    <x v="1"/>
    <n v="1"/>
    <m/>
    <x v="201"/>
    <x v="134"/>
    <x v="261"/>
    <x v="0"/>
    <n v="54"/>
    <n v="2503"/>
    <n v="3.7752639517345399"/>
    <n v="2503"/>
    <n v="3.7752639517345399"/>
    <s v="[Southern Exposure Floor 31 - 35 Partial Lake View Southern City View Upgrade Kitchen Island]"/>
    <s v="[renovated view kitchen_island view.water view.city view.direction balcony_patio]"/>
  </r>
  <r>
    <x v="8"/>
    <s v="345 East Wacker Drive"/>
    <x v="117"/>
    <s v="3210"/>
    <n v="32"/>
    <x v="1"/>
    <n v="1"/>
    <m/>
    <x v="201"/>
    <x v="160"/>
    <x v="342"/>
    <x v="0"/>
    <n v="15"/>
    <n v="2504"/>
    <n v="3.7767722473604826"/>
    <n v="2504"/>
    <n v="3.7767722473604826"/>
    <s v="[Floor 31 - 35 Partial Lake View Southern City View Cool Finish Package Southern Exposure Roller Shades]"/>
    <s v="[view view.water view.city view.direction balcony_patio]"/>
  </r>
  <r>
    <x v="8"/>
    <s v="345 East Wacker Drive"/>
    <x v="117"/>
    <s v="2610"/>
    <n v="26"/>
    <x v="1"/>
    <n v="1"/>
    <m/>
    <x v="201"/>
    <x v="254"/>
    <x v="380"/>
    <x v="0"/>
    <n v="19"/>
    <n v="2554"/>
    <n v="3.852187028657617"/>
    <n v="2554"/>
    <n v="3.852187028657617"/>
    <s v="[Calm Finish Package Floor 26 - 30 Kitchen Island Partial Lake View Southern City View Southern Exposure]"/>
    <s v="[view kitchen_island view.water view.city view.direction balcony_patio]"/>
  </r>
  <r>
    <x v="8"/>
    <s v="345 East Wacker Drive"/>
    <x v="263"/>
    <s v="0810"/>
    <n v="8"/>
    <x v="1"/>
    <n v="1"/>
    <m/>
    <x v="201"/>
    <x v="321"/>
    <x v="118"/>
    <x v="0"/>
    <n v="91"/>
    <n v="2566"/>
    <n v="3.8702865761689291"/>
    <n v="2566"/>
    <n v="3.8702865761689291"/>
    <s v="[Floor 6 - 10 Kitchen Island Partial Lake View Southern City View Cool Finish Package Modified Unit Southern Exposure]"/>
    <s v="[view kitchen_island view.water view.city view.direction balcony_patio]"/>
  </r>
  <r>
    <x v="8"/>
    <s v="345 East Wacker Drive"/>
    <x v="117"/>
    <s v="1010"/>
    <n v="10"/>
    <x v="1"/>
    <n v="1"/>
    <m/>
    <x v="201"/>
    <x v="220"/>
    <x v="40"/>
    <x v="0"/>
    <n v="56"/>
    <n v="2576"/>
    <n v="3.8853695324283559"/>
    <n v="2576"/>
    <n v="3.8853695324283559"/>
    <s v="[Calm Finish Package Floor 6 - 10 Kitchen Island Partial Lake View Southern City View Southern Exposure]"/>
    <s v="[view kitchen_island view.water view.city view.direction balcony_patio]"/>
  </r>
  <r>
    <x v="8"/>
    <s v="345 East Wacker Drive"/>
    <x v="263"/>
    <s v="4410"/>
    <n v="44"/>
    <x v="1"/>
    <n v="1"/>
    <m/>
    <x v="201"/>
    <x v="370"/>
    <x v="136"/>
    <x v="0"/>
    <n v="24"/>
    <n v="2639"/>
    <n v="3.9803921568627452"/>
    <n v="2639"/>
    <n v="3.9803921568627452"/>
    <s v="[Floor 41 + Kitchen Island Partial Lake View Southern City View Southern Exposure Cool Finish Package Modified Unit]"/>
    <s v="[view kitchen_island view.water floor view.direction view.city balcony_patio]"/>
  </r>
  <r>
    <x v="8"/>
    <s v="345 East Wacker Drive"/>
    <x v="117"/>
    <s v="4210"/>
    <n v="42"/>
    <x v="1"/>
    <n v="1"/>
    <m/>
    <x v="201"/>
    <x v="416"/>
    <x v="37"/>
    <x v="0"/>
    <n v="145"/>
    <n v="2671"/>
    <n v="4.0286576168929109"/>
    <n v="2671"/>
    <n v="4.0286576168929109"/>
    <s v="[Floor 41 + Kitchen Island Partial Lake View Southern City View Southern Exposure Calm Finish Package Upgrade]"/>
    <s v="[renovated view kitchen_island view.water floor view.direction view.city balcony_patio]"/>
  </r>
  <r>
    <x v="8"/>
    <s v="345 East Wacker Drive"/>
    <x v="117"/>
    <s v="1710"/>
    <n v="17"/>
    <x v="1"/>
    <n v="1"/>
    <m/>
    <x v="201"/>
    <x v="41"/>
    <x v="411"/>
    <x v="0"/>
    <n v="32"/>
    <n v="2671"/>
    <n v="4.0286576168929109"/>
    <n v="2671"/>
    <n v="4.0286576168929109"/>
    <s v="[Calm Finish Package Floor 16 - 20 Kitchen Island Partial Lake View Southern City View Roller Shades Southern Exposure]"/>
    <s v="[view kitchen_island view.water view.city view.direction balcony_patio]"/>
  </r>
  <r>
    <x v="8"/>
    <s v="345 East Wacker Drive"/>
    <x v="263"/>
    <s v="3510"/>
    <n v="35"/>
    <x v="1"/>
    <n v="1"/>
    <m/>
    <x v="201"/>
    <x v="147"/>
    <x v="28"/>
    <x v="1"/>
    <m/>
    <n v="2733"/>
    <n v="4.122171945701357"/>
    <n v="2733"/>
    <n v="4.122171945701357"/>
    <s v="[Floor 31 - 35 Partial Lake View Southern City View Kitchen Island Cool Finish Package Modified Unit]"/>
    <s v="[view kitchen_island view.water view.city view.direction balcony_patio]"/>
  </r>
  <r>
    <x v="8"/>
    <s v="345 East Wacker Drive"/>
    <x v="117"/>
    <s v="2010"/>
    <n v="20"/>
    <x v="1"/>
    <n v="1"/>
    <m/>
    <x v="201"/>
    <x v="148"/>
    <x v="28"/>
    <x v="1"/>
    <m/>
    <n v="3267"/>
    <n v="4.9276018099547514"/>
    <n v="3267"/>
    <n v="4.9276018099547514"/>
    <s v="[Floor 16 - 20 Partial Lake View Southern City View Kitchen Island Premium Upgrade]"/>
    <s v="[renovated.fully renovated view kitchen_island view.water view.city view.direction balcony_patio]"/>
  </r>
  <r>
    <x v="8"/>
    <s v="345 East Wacker Drive"/>
    <x v="117"/>
    <s v="2310"/>
    <n v="23"/>
    <x v="1"/>
    <n v="1"/>
    <m/>
    <x v="201"/>
    <x v="148"/>
    <x v="28"/>
    <x v="1"/>
    <m/>
    <n v="3342"/>
    <n v="5.0407239819004523"/>
    <n v="3342"/>
    <n v="5.0407239819004523"/>
    <s v="[Kitchen Island Roller Shades Floor 21 - 25 Partial Lake View Southern City View Premium Upgrade]"/>
    <s v="[renovated.fully renovated view kitchen_island view.water view.city view.direction balcony_patio]"/>
  </r>
  <r>
    <x v="8"/>
    <s v="345 East Wacker Drive"/>
    <x v="117"/>
    <s v="3710"/>
    <n v="37"/>
    <x v="1"/>
    <n v="1"/>
    <m/>
    <x v="201"/>
    <x v="537"/>
    <x v="355"/>
    <x v="0"/>
    <n v="76"/>
    <n v="2402"/>
    <n v="3.6229260935143288"/>
    <n v="2252"/>
    <n v="3.396681749622926"/>
    <s v="[]"/>
    <s v="[]"/>
  </r>
  <r>
    <x v="8"/>
    <s v="345 East Wacker Drive"/>
    <x v="117"/>
    <s v="1610"/>
    <n v="16"/>
    <x v="1"/>
    <n v="1"/>
    <m/>
    <x v="201"/>
    <x v="388"/>
    <x v="437"/>
    <x v="0"/>
    <n v="88"/>
    <n v="2559"/>
    <n v="3.8597285067873304"/>
    <n v="2346"/>
    <n v="3.5384615384615383"/>
    <s v="[Floor 16 - 20 Partial Lake View Southern City View Southern Exposure Upgrade Kitchen Island Cool Finish Package]"/>
    <s v="[renovated view kitchen_island view.water view.city view.direction balcony_patio]"/>
  </r>
  <r>
    <x v="8"/>
    <s v="345 East Wacker Drive"/>
    <x v="117"/>
    <s v="2910"/>
    <n v="29"/>
    <x v="1"/>
    <n v="1"/>
    <m/>
    <x v="201"/>
    <x v="156"/>
    <x v="534"/>
    <x v="0"/>
    <n v="160"/>
    <n v="2870"/>
    <n v="4.328808446455505"/>
    <n v="2631"/>
    <n v="3.9683257918552037"/>
    <s v="[Floor 26 - 30 Partial Lake View Southern City View Roller Shades Kitchen Island Southern Exposure Premium Upgrade]"/>
    <s v="[renovated.fully renovated view kitchen_island view.water view.city view.direction balcony_patio]"/>
  </r>
  <r>
    <x v="8"/>
    <s v="345 East Wacker Drive"/>
    <x v="264"/>
    <s v="1608"/>
    <n v="16"/>
    <x v="1"/>
    <n v="1"/>
    <m/>
    <x v="77"/>
    <x v="307"/>
    <x v="548"/>
    <x v="0"/>
    <n v="2"/>
    <n v="2292"/>
    <n v="3.2191011235955056"/>
    <n v="2292"/>
    <n v="3.2191011235955056"/>
    <s v="[Floor 16 - 20 Partial Lake View Southern City View Southern Exposure Modified Unit Kitchen Island Cool Finish Package]"/>
    <s v="[view kitchen_island view.water view.city view.direction balcony_patio]"/>
  </r>
  <r>
    <x v="8"/>
    <s v="345 East Wacker Drive"/>
    <x v="264"/>
    <s v="2108"/>
    <n v="21"/>
    <x v="1"/>
    <n v="1"/>
    <m/>
    <x v="77"/>
    <x v="154"/>
    <x v="198"/>
    <x v="0"/>
    <n v="2"/>
    <n v="2382"/>
    <n v="3.345505617977528"/>
    <n v="2382"/>
    <n v="3.345505617977528"/>
    <s v="[Calm Finish Package Floor 21 - 25 Kitchen Island Modified Unit Partial Lake View Southern City View Southern Exposure]"/>
    <s v="[view kitchen_island view.water view.city view.direction balcony_patio]"/>
  </r>
  <r>
    <x v="8"/>
    <s v="345 East Wacker Drive"/>
    <x v="264"/>
    <s v="2608"/>
    <n v="26"/>
    <x v="1"/>
    <n v="1"/>
    <m/>
    <x v="77"/>
    <x v="138"/>
    <x v="575"/>
    <x v="0"/>
    <n v="39"/>
    <n v="2389"/>
    <n v="3.3553370786516852"/>
    <n v="2389"/>
    <n v="3.3553370786516852"/>
    <s v="[Calm Finish Package Floor 26 - 30 Kitchen Island Modified Unit Partial Lake View Southern City View Southern Exposure]"/>
    <s v="[view kitchen_island view.water view.city view.direction balcony_patio]"/>
  </r>
  <r>
    <x v="8"/>
    <s v="345 East Wacker Drive"/>
    <x v="115"/>
    <s v="3008"/>
    <n v="30"/>
    <x v="1"/>
    <n v="1"/>
    <m/>
    <x v="77"/>
    <x v="476"/>
    <x v="141"/>
    <x v="0"/>
    <n v="116"/>
    <n v="2470"/>
    <n v="3.4691011235955056"/>
    <n v="2470"/>
    <n v="3.4691011235955056"/>
    <s v="[Floor 26 - 30 Partial Lake View Southern City View Calm Finish Package Kitchen Island Southern Exposure]"/>
    <s v="[view kitchen_island view.water view.city view.direction balcony_patio]"/>
  </r>
  <r>
    <x v="8"/>
    <s v="345 East Wacker Drive"/>
    <x v="115"/>
    <s v="0508"/>
    <n v="5"/>
    <x v="1"/>
    <n v="1"/>
    <m/>
    <x v="77"/>
    <x v="219"/>
    <x v="203"/>
    <x v="0"/>
    <n v="245"/>
    <n v="2479"/>
    <n v="3.481741573033708"/>
    <n v="2479"/>
    <n v="3.481741573033708"/>
    <s v="[Partial Lake View Southern City View Calm Finish Package Kitchen Island Southern Exposure]"/>
    <s v="[view kitchen_island view.water view.city view.direction balcony_patio]"/>
  </r>
  <r>
    <x v="8"/>
    <s v="345 East Wacker Drive"/>
    <x v="264"/>
    <s v="0908"/>
    <n v="9"/>
    <x v="1"/>
    <n v="1"/>
    <m/>
    <x v="77"/>
    <x v="82"/>
    <x v="317"/>
    <x v="0"/>
    <n v="10"/>
    <n v="2481"/>
    <n v="3.4845505617977528"/>
    <n v="2481"/>
    <n v="3.4845505617977528"/>
    <s v="[Calm Finish Package Floor 6 - 10 Kitchen Island Partial Lake View Southern City View Modified Unit Southern Exposure]"/>
    <s v="[view kitchen_island view.water view.city view.direction balcony_patio]"/>
  </r>
  <r>
    <x v="8"/>
    <s v="345 East Wacker Drive"/>
    <x v="115"/>
    <s v="1108"/>
    <n v="11"/>
    <x v="1"/>
    <n v="1"/>
    <m/>
    <x v="77"/>
    <x v="158"/>
    <x v="286"/>
    <x v="0"/>
    <n v="2"/>
    <n v="2505"/>
    <n v="3.518258426966292"/>
    <n v="2505"/>
    <n v="3.518258426966292"/>
    <s v="[Floor 11 - 15 Kitchen Island Partial Lake View Southern City View Southern Exposure Cool Finish Package]"/>
    <s v="[view kitchen_island view.water view.city view.direction balcony_patio]"/>
  </r>
  <r>
    <x v="8"/>
    <s v="345 East Wacker Drive"/>
    <x v="115"/>
    <s v="1708"/>
    <n v="17"/>
    <x v="1"/>
    <n v="1"/>
    <m/>
    <x v="77"/>
    <x v="479"/>
    <x v="106"/>
    <x v="0"/>
    <n v="19"/>
    <n v="2526"/>
    <n v="3.547752808988764"/>
    <n v="2526"/>
    <n v="3.547752808988764"/>
    <s v="[Southern City View Calm Finish Package Floor 16 - 20 Kitchen Island Partial Lake View Southern Exposure]"/>
    <s v="[view kitchen_island view.water view.city view.direction balcony_patio]"/>
  </r>
  <r>
    <x v="8"/>
    <s v="345 East Wacker Drive"/>
    <x v="115"/>
    <s v="1408"/>
    <n v="14"/>
    <x v="1"/>
    <n v="1"/>
    <m/>
    <x v="77"/>
    <x v="101"/>
    <x v="139"/>
    <x v="0"/>
    <n v="86"/>
    <n v="2552"/>
    <n v="3.5842696629213484"/>
    <n v="2552"/>
    <n v="3.5842696629213484"/>
    <s v="[Floor 11 - 15 Kitchen Island Partial Lake View Southern City View Calm Finish Package Southern Exposure]"/>
    <s v="[view kitchen_island view.water view.city view.direction balcony_patio]"/>
  </r>
  <r>
    <x v="8"/>
    <s v="345 East Wacker Drive"/>
    <x v="115"/>
    <s v="2308"/>
    <n v="23"/>
    <x v="1"/>
    <n v="1"/>
    <m/>
    <x v="77"/>
    <x v="108"/>
    <x v="408"/>
    <x v="0"/>
    <n v="4"/>
    <n v="2552"/>
    <n v="3.5842696629213484"/>
    <n v="2552"/>
    <n v="3.5842696629213484"/>
    <s v="[Floor 21 - 25 Partial Lake View Southern City View Southern Exposure Kitchen Island Cool Finish Package]"/>
    <s v="[view kitchen_island view.water view.city view.direction balcony_patio]"/>
  </r>
  <r>
    <x v="8"/>
    <s v="345 East Wacker Drive"/>
    <x v="115"/>
    <s v="2508"/>
    <n v="25"/>
    <x v="1"/>
    <n v="1"/>
    <m/>
    <x v="77"/>
    <x v="44"/>
    <x v="278"/>
    <x v="0"/>
    <n v="20"/>
    <n v="2589"/>
    <n v="3.6362359550561796"/>
    <n v="2589"/>
    <n v="3.6362359550561796"/>
    <s v="[Calm Finish Package Floor 21 - 25 Kitchen Island Partial Lake View Southern City View Southern Exposure]"/>
    <s v="[view kitchen_island view.water view.city view.direction balcony_patio]"/>
  </r>
  <r>
    <x v="8"/>
    <s v="345 East Wacker Drive"/>
    <x v="115"/>
    <s v="3108"/>
    <n v="31"/>
    <x v="1"/>
    <n v="1"/>
    <m/>
    <x v="77"/>
    <x v="126"/>
    <x v="92"/>
    <x v="0"/>
    <n v="36"/>
    <n v="2633"/>
    <n v="3.6980337078651684"/>
    <n v="2633"/>
    <n v="3.6980337078651684"/>
    <s v="[Floor 31 - 35 Kitchen Island Partial Lake View Southern City View Southern Exposure Cool Finish Package]"/>
    <s v="[view kitchen_island view.water view.city view.direction balcony_patio]"/>
  </r>
  <r>
    <x v="8"/>
    <s v="345 East Wacker Drive"/>
    <x v="115"/>
    <s v="3708"/>
    <n v="37"/>
    <x v="1"/>
    <n v="1"/>
    <m/>
    <x v="77"/>
    <x v="431"/>
    <x v="94"/>
    <x v="0"/>
    <n v="29"/>
    <n v="2634"/>
    <n v="3.6994382022471912"/>
    <n v="2634"/>
    <n v="3.6994382022471912"/>
    <s v="[Floor 36 - 40 Partial Lake View Southern City View Calm Finish Package Kitchen Island Southern Exposure]"/>
    <s v="[view kitchen_island view.water view.city view.direction balcony_patio]"/>
  </r>
  <r>
    <x v="8"/>
    <s v="345 East Wacker Drive"/>
    <x v="115"/>
    <s v="2808"/>
    <n v="28"/>
    <x v="1"/>
    <n v="1"/>
    <m/>
    <x v="77"/>
    <x v="114"/>
    <x v="359"/>
    <x v="0"/>
    <n v="12"/>
    <n v="2635"/>
    <n v="3.7008426966292136"/>
    <n v="2459"/>
    <n v="3.4536516853932584"/>
    <s v="[Floor 26 - 30 Partial Lake View Southern City View Southern Exposure Kitchen Island Cool Finish Package]"/>
    <s v="[view kitchen_island view.water view.city view.direction balcony_patio]"/>
  </r>
  <r>
    <x v="8"/>
    <s v="345 East Wacker Drive"/>
    <x v="115"/>
    <s v="4308"/>
    <n v="43"/>
    <x v="1"/>
    <n v="1"/>
    <m/>
    <x v="77"/>
    <x v="233"/>
    <x v="44"/>
    <x v="0"/>
    <n v="73"/>
    <n v="2637"/>
    <n v="3.7036516853932584"/>
    <n v="2637"/>
    <n v="3.7036516853932584"/>
    <s v="[Floor 41 + Kitchen Island Partial Lake View Southern City View Southern Exposure Cool Finish Package Roller Shades]"/>
    <s v="[view kitchen_island view.water floor view.direction view.city balcony_patio]"/>
  </r>
  <r>
    <x v="8"/>
    <s v="345 East Wacker Drive"/>
    <x v="115"/>
    <s v="3508"/>
    <n v="35"/>
    <x v="1"/>
    <n v="1"/>
    <m/>
    <x v="77"/>
    <x v="136"/>
    <x v="39"/>
    <x v="0"/>
    <n v="13"/>
    <n v="2639"/>
    <n v="3.7064606741573032"/>
    <n v="2639"/>
    <n v="3.7064606741573032"/>
    <s v="[Floor 31 - 35 Kitchen Island Partial Lake View Southern City View Southern Exposure Cool Finish Package]"/>
    <s v="[view kitchen_island view.water view.city view.direction balcony_patio]"/>
  </r>
  <r>
    <x v="8"/>
    <s v="345 East Wacker Drive"/>
    <x v="115"/>
    <s v="3208"/>
    <n v="32"/>
    <x v="1"/>
    <n v="1"/>
    <m/>
    <x v="77"/>
    <x v="126"/>
    <x v="19"/>
    <x v="0"/>
    <n v="173"/>
    <n v="2639"/>
    <n v="3.7064606741573032"/>
    <n v="2639"/>
    <n v="3.7064606741573032"/>
    <s v="[Floor 31 - 35 Partial Lake View Southern City View Southern Exposure Kitchen Island Cool Finish Package]"/>
    <s v="[view kitchen_island view.water view.city view.direction balcony_patio]"/>
  </r>
  <r>
    <x v="8"/>
    <s v="345 East Wacker Drive"/>
    <x v="264"/>
    <s v="3408"/>
    <n v="34"/>
    <x v="1"/>
    <n v="1"/>
    <m/>
    <x v="77"/>
    <x v="123"/>
    <x v="332"/>
    <x v="0"/>
    <n v="10"/>
    <n v="2648"/>
    <n v="3.7191011235955056"/>
    <n v="2648"/>
    <n v="3.7191011235955056"/>
    <s v="[Southern City View Floor 31 - 35 Partial Lake View Kitchen Island Calm Finish Package Modified Unit]"/>
    <s v="[view kitchen_island view.water view.city view.direction balcony_patio]"/>
  </r>
  <r>
    <x v="8"/>
    <s v="345 East Wacker Drive"/>
    <x v="115"/>
    <s v="4408"/>
    <n v="44"/>
    <x v="1"/>
    <n v="1"/>
    <m/>
    <x v="77"/>
    <x v="479"/>
    <x v="40"/>
    <x v="0"/>
    <n v="30"/>
    <n v="2680"/>
    <n v="3.7640449438202248"/>
    <n v="2680"/>
    <n v="3.7640449438202248"/>
    <s v="[Kitchen Island Partial Lake View Southern City View Floor 41 + Cool Finish Package Southern Exposure]"/>
    <s v="[view floor kitchen_island view.water view.city view.direction balcony_patio]"/>
  </r>
  <r>
    <x v="8"/>
    <s v="345 East Wacker Drive"/>
    <x v="115"/>
    <s v="4508"/>
    <n v="45"/>
    <x v="1"/>
    <n v="1"/>
    <m/>
    <x v="77"/>
    <x v="7"/>
    <x v="105"/>
    <x v="0"/>
    <n v="14"/>
    <n v="2681"/>
    <n v="3.7654494382022472"/>
    <n v="2681"/>
    <n v="3.7654494382022472"/>
    <s v="[Calm Finish Package Floor 41 + Kitchen Island Partial Lake View Southern City View Southern Exposure]"/>
    <s v="[view kitchen_island view.water floor view.direction view.city balcony_patio]"/>
  </r>
  <r>
    <x v="8"/>
    <s v="345 East Wacker Drive"/>
    <x v="115"/>
    <s v="4008"/>
    <n v="40"/>
    <x v="1"/>
    <n v="1"/>
    <m/>
    <x v="77"/>
    <x v="220"/>
    <x v="279"/>
    <x v="0"/>
    <n v="29"/>
    <n v="2782"/>
    <n v="3.9073033707865168"/>
    <n v="2782"/>
    <n v="3.9073033707865168"/>
    <s v="[Floor 36 - 40 Kitchen Island Partial Lake View Southern City View Southern Exposure Cool Finish Package]"/>
    <s v="[view kitchen_island view.water view.city view.direction balcony_patio]"/>
  </r>
  <r>
    <x v="8"/>
    <s v="345 East Wacker Drive"/>
    <x v="115"/>
    <s v="0308"/>
    <n v="3"/>
    <x v="1"/>
    <n v="1"/>
    <m/>
    <x v="77"/>
    <x v="160"/>
    <x v="28"/>
    <x v="1"/>
    <m/>
    <n v="3357"/>
    <n v="4.7148876404494384"/>
    <n v="3357"/>
    <n v="4.7148876404494384"/>
    <s v="[Southern City View Partial Lake View Kitchen Island Roller Shades Premium Upgrade]"/>
    <s v="[renovated.fully renovated view kitchen_island view.water view.city view.direction balcony_patio]"/>
  </r>
  <r>
    <x v="8"/>
    <s v="345 East Wacker Drive"/>
    <x v="115"/>
    <s v="2408"/>
    <n v="24"/>
    <x v="1"/>
    <n v="1"/>
    <m/>
    <x v="77"/>
    <x v="339"/>
    <x v="354"/>
    <x v="0"/>
    <n v="101"/>
    <n v="2600"/>
    <n v="3.6516853932584268"/>
    <n v="2450"/>
    <n v="3.441011235955056"/>
    <s v="[]"/>
    <s v="[]"/>
  </r>
  <r>
    <x v="8"/>
    <s v="345 East Wacker Drive"/>
    <x v="116"/>
    <s v="3908"/>
    <n v="39"/>
    <x v="1"/>
    <n v="1"/>
    <m/>
    <x v="202"/>
    <x v="393"/>
    <x v="9"/>
    <x v="0"/>
    <n v="29"/>
    <n v="2599"/>
    <n v="3.6197771587743732"/>
    <n v="2599"/>
    <n v="3.6197771587743732"/>
    <s v="[Floor 36 - 40 Kitchen Island Partial Lake View Southern City View Upgrade Cool Finish Package Southern Exposure]"/>
    <s v="[renovated view kitchen_island view.water view.city view.direction balcony_patio]"/>
  </r>
  <r>
    <x v="8"/>
    <s v="345 East Wacker Drive"/>
    <x v="116"/>
    <s v="3308"/>
    <n v="33"/>
    <x v="1"/>
    <n v="1"/>
    <m/>
    <x v="202"/>
    <x v="44"/>
    <x v="286"/>
    <x v="0"/>
    <n v="45"/>
    <n v="2856"/>
    <n v="3.9777158774373258"/>
    <n v="2856"/>
    <n v="3.9777158774373258"/>
    <s v="[Floor 31 - 35 Kitchen Island Partial Lake View Southern City View Calm Finish Package Upgrade Southern Exposure]"/>
    <s v="[renovated view kitchen_island view.water view.city view.direction balcony_patio]"/>
  </r>
  <r>
    <x v="8"/>
    <s v="345 East Wacker Drive"/>
    <x v="116"/>
    <s v="0408"/>
    <n v="4"/>
    <x v="1"/>
    <n v="1"/>
    <m/>
    <x v="202"/>
    <x v="458"/>
    <x v="147"/>
    <x v="0"/>
    <n v="22"/>
    <n v="2963"/>
    <n v="4.1267409470752092"/>
    <n v="2963"/>
    <n v="4.1267409470752092"/>
    <s v="[Kitchen Island Partial Lake View Southern City View Southern Exposure Balcony Premium Upgrade]"/>
    <s v="[renovated.fully renovated view balcony_patio kitchen_island view.water view.city view.direction balcony_patio]"/>
  </r>
  <r>
    <x v="8"/>
    <s v="345 East Wacker Drive"/>
    <x v="265"/>
    <s v="1908"/>
    <n v="19"/>
    <x v="1"/>
    <n v="1"/>
    <m/>
    <x v="202"/>
    <x v="277"/>
    <x v="279"/>
    <x v="0"/>
    <n v="72"/>
    <n v="2967"/>
    <n v="4.1323119777158777"/>
    <n v="2967"/>
    <n v="4.1323119777158777"/>
    <s v="[Floor 16 - 20 Kitchen Island Modified Unit Partial Lake View Southern City View Southern Exposure Upgrade Cool Finish Package]"/>
    <s v="[renovated view kitchen_island view.water view.city view.direction balcony_patio]"/>
  </r>
  <r>
    <x v="8"/>
    <s v="345 East Wacker Drive"/>
    <x v="101"/>
    <s v="0302"/>
    <n v="3"/>
    <x v="1"/>
    <n v="1"/>
    <m/>
    <x v="203"/>
    <x v="316"/>
    <x v="317"/>
    <x v="0"/>
    <n v="49"/>
    <n v="2626"/>
    <n v="3.4689564068692205"/>
    <n v="2626"/>
    <n v="3.4689564068692205"/>
    <s v="[Cool Finish Package Northern Exposure Partial Lake View Direct River View Kitchen Island Northern City View Roller Shades]"/>
    <s v="[view kitchen_island view.water view.city view.direction balcony_patio]"/>
  </r>
  <r>
    <x v="8"/>
    <s v="345 East Wacker Drive"/>
    <x v="266"/>
    <s v="2902"/>
    <n v="29"/>
    <x v="1"/>
    <n v="1"/>
    <m/>
    <x v="203"/>
    <x v="428"/>
    <x v="295"/>
    <x v="0"/>
    <n v="39"/>
    <n v="2754"/>
    <n v="3.6380449141347424"/>
    <n v="2754"/>
    <n v="3.6380449141347424"/>
    <s v="[Direct River View Floor 26 - 30 Northern City View Partial Lake View Kitchen Island Calm Finish Package Modified Unit]"/>
    <s v="[view kitchen_island view.water view.city view.direction balcony_patio]"/>
  </r>
  <r>
    <x v="8"/>
    <s v="345 East Wacker Drive"/>
    <x v="101"/>
    <s v="2602"/>
    <n v="26"/>
    <x v="1"/>
    <n v="1"/>
    <m/>
    <x v="203"/>
    <x v="271"/>
    <x v="358"/>
    <x v="0"/>
    <n v="59"/>
    <n v="2785"/>
    <n v="3.678996036988111"/>
    <n v="2785"/>
    <n v="3.678996036988111"/>
    <s v="[Calm Finish Package Direct River View Floor 26 - 30 Kitchen Island Northern City View Northern Exposure Partial Lake View]"/>
    <s v="[view kitchen_island view.water view.city view.direction balcony_patio]"/>
  </r>
  <r>
    <x v="8"/>
    <s v="345 East Wacker Drive"/>
    <x v="101"/>
    <s v="2402"/>
    <n v="24"/>
    <x v="1"/>
    <n v="1"/>
    <m/>
    <x v="203"/>
    <x v="243"/>
    <x v="49"/>
    <x v="0"/>
    <n v="50"/>
    <n v="2788"/>
    <n v="3.6829590488771466"/>
    <n v="2788"/>
    <n v="3.6829590488771466"/>
    <s v="[Direct River View Floor 21 - 25 Kitchen Island Northern City View Northern Exposure Partial Lake View Cool Finish Package]"/>
    <s v="[view kitchen_island view.water view.city view.direction balcony_patio]"/>
  </r>
  <r>
    <x v="8"/>
    <s v="345 East Wacker Drive"/>
    <x v="266"/>
    <s v="2802"/>
    <n v="28"/>
    <x v="1"/>
    <n v="1"/>
    <m/>
    <x v="203"/>
    <x v="536"/>
    <x v="7"/>
    <x v="0"/>
    <n v="112"/>
    <n v="2810"/>
    <n v="3.7120211360634081"/>
    <n v="2810"/>
    <n v="3.7120211360634081"/>
    <s v="[Northern Exposure Partial Lake View Direct River View Floor 26 - 30 Kitchen Island Northern City View Cool Finish Package Modified Unit]"/>
    <s v="[view kitchen_island view.water view.city view.direction balcony_patio]"/>
  </r>
  <r>
    <x v="8"/>
    <s v="345 East Wacker Drive"/>
    <x v="101"/>
    <s v="1602"/>
    <n v="16"/>
    <x v="1"/>
    <n v="1"/>
    <m/>
    <x v="203"/>
    <x v="233"/>
    <x v="329"/>
    <x v="0"/>
    <n v="17"/>
    <n v="2893"/>
    <n v="3.8216644649933951"/>
    <n v="2893"/>
    <n v="3.8216644649933951"/>
    <s v="[Partial Lake View Direct River View Floor 16 - 20 Kitchen Island Northern City View Northern Exposure Cool Finish Package Roller Shades]"/>
    <s v="[view kitchen_island view.water view.city view.direction balcony_patio]"/>
  </r>
  <r>
    <x v="8"/>
    <s v="345 East Wacker Drive"/>
    <x v="266"/>
    <s v="3602"/>
    <n v="36"/>
    <x v="1"/>
    <n v="1"/>
    <m/>
    <x v="203"/>
    <x v="485"/>
    <x v="378"/>
    <x v="0"/>
    <n v="41"/>
    <n v="2945"/>
    <n v="3.890356671070013"/>
    <n v="2945"/>
    <n v="3.890356671070013"/>
    <s v="[Direct River View Floor 36 - 40 Kitchen Island Modified Unit Northern City View Northern Exposure Partial Lake View Cool Finish Package]"/>
    <s v="[view kitchen_island view.water view.city view.direction balcony_patio]"/>
  </r>
  <r>
    <x v="8"/>
    <s v="345 East Wacker Drive"/>
    <x v="101"/>
    <s v="2202"/>
    <n v="22"/>
    <x v="1"/>
    <n v="1"/>
    <m/>
    <x v="203"/>
    <x v="273"/>
    <x v="412"/>
    <x v="0"/>
    <n v="2"/>
    <n v="2956"/>
    <n v="3.9048877146631438"/>
    <n v="2956"/>
    <n v="3.9048877146631438"/>
    <s v="[Direct River View Floor 21 - 25 Northern City View Northern Exposure Partial Lake View Calm Finish Package Kitchen Island]"/>
    <s v="[view kitchen_island view.water view.city view.direction balcony_patio]"/>
  </r>
  <r>
    <x v="8"/>
    <s v="345 East Wacker Drive"/>
    <x v="101"/>
    <s v="2502"/>
    <n v="25"/>
    <x v="1"/>
    <n v="1"/>
    <m/>
    <x v="203"/>
    <x v="345"/>
    <x v="253"/>
    <x v="0"/>
    <n v="8"/>
    <n v="2980"/>
    <n v="3.9365918097754293"/>
    <n v="2980"/>
    <n v="3.9365918097754293"/>
    <s v="[Calm Finish Package Direct River View Floor 21 - 25 Kitchen Island Northern City View Northern Exposure Partial Lake View]"/>
    <s v="[view kitchen_island view.water view.city view.direction balcony_patio]"/>
  </r>
  <r>
    <x v="8"/>
    <s v="345 East Wacker Drive"/>
    <x v="101"/>
    <s v="3402"/>
    <n v="34"/>
    <x v="1"/>
    <n v="1"/>
    <m/>
    <x v="203"/>
    <x v="307"/>
    <x v="270"/>
    <x v="0"/>
    <n v="23"/>
    <n v="3028"/>
    <n v="4"/>
    <n v="3028"/>
    <n v="4"/>
    <s v="[Northern City View Northern Exposure Partial Lake View Direct River View Floor 31 - 35 Kitchen Island Calm Finish Package]"/>
    <s v="[view kitchen_island view.water view.city view.direction balcony_patio]"/>
  </r>
  <r>
    <x v="8"/>
    <s v="345 East Wacker Drive"/>
    <x v="101"/>
    <s v="3502"/>
    <n v="35"/>
    <x v="1"/>
    <n v="1"/>
    <m/>
    <x v="203"/>
    <x v="156"/>
    <x v="342"/>
    <x v="0"/>
    <n v="5"/>
    <n v="3581"/>
    <n v="4.7305151915455745"/>
    <n v="3581"/>
    <n v="4.7305151915455745"/>
    <s v="[Roller Shades Floor 31 - 35 Northern City View Northern Exposure Partial Lake View Direct River View Kitchen Island Premium Upgrade]"/>
    <s v="[renovated.fully renovated view kitchen_island view.water view.city view.direction balcony_patio]"/>
  </r>
  <r>
    <x v="8"/>
    <s v="345 East Wacker Drive"/>
    <x v="101"/>
    <s v="0902"/>
    <n v="9"/>
    <x v="1"/>
    <n v="1"/>
    <m/>
    <x v="203"/>
    <x v="16"/>
    <x v="24"/>
    <x v="0"/>
    <n v="3"/>
    <n v="2647"/>
    <n v="3.4966974900924703"/>
    <n v="2647"/>
    <n v="3.4966974900924703"/>
    <s v="[]"/>
    <s v="[]"/>
  </r>
  <r>
    <x v="8"/>
    <s v="345 East Wacker Drive"/>
    <x v="101"/>
    <s v="1402"/>
    <n v="14"/>
    <x v="1"/>
    <n v="1"/>
    <m/>
    <x v="203"/>
    <x v="129"/>
    <x v="143"/>
    <x v="0"/>
    <n v="2"/>
    <n v="2771"/>
    <n v="3.6605019815059445"/>
    <n v="2771"/>
    <n v="3.6605019815059445"/>
    <s v="[]"/>
    <s v="[]"/>
  </r>
  <r>
    <x v="8"/>
    <s v="345 East Wacker Drive"/>
    <x v="266"/>
    <s v="1702"/>
    <n v="17"/>
    <x v="1"/>
    <n v="1"/>
    <m/>
    <x v="203"/>
    <x v="251"/>
    <x v="416"/>
    <x v="0"/>
    <n v="33"/>
    <n v="2795"/>
    <n v="3.6922060766182296"/>
    <n v="2795"/>
    <n v="3.6922060766182296"/>
    <s v="[]"/>
    <s v="[]"/>
  </r>
  <r>
    <x v="8"/>
    <s v="345 East Wacker Drive"/>
    <x v="267"/>
    <s v="0712"/>
    <n v="7"/>
    <x v="1"/>
    <n v="1"/>
    <m/>
    <x v="204"/>
    <x v="134"/>
    <x v="342"/>
    <x v="0"/>
    <n v="7"/>
    <n v="2443"/>
    <n v="3.1768530559167751"/>
    <n v="2443"/>
    <n v="3.1768530559167751"/>
    <s v="[Reduced Sightline Direct Lake View Eastern Exposure Floor 6 - 10 Partial River View Southern City View Cool Finish Package Modified Unit Kitchen Island Southern Exposure]"/>
    <s v="[view kitchen_island view.water view.city view.direction]"/>
  </r>
  <r>
    <x v="8"/>
    <s v="345 East Wacker Drive"/>
    <x v="267"/>
    <s v="0912"/>
    <n v="9"/>
    <x v="1"/>
    <n v="1"/>
    <m/>
    <x v="204"/>
    <x v="538"/>
    <x v="34"/>
    <x v="0"/>
    <n v="73"/>
    <n v="2289"/>
    <n v="2.9765929778933682"/>
    <n v="2289"/>
    <n v="2.9765929778933682"/>
    <s v="[]"/>
    <s v="[]"/>
  </r>
  <r>
    <x v="8"/>
    <s v="345 East Wacker Drive"/>
    <x v="267"/>
    <s v="0312"/>
    <n v="3"/>
    <x v="1"/>
    <n v="1"/>
    <m/>
    <x v="204"/>
    <x v="354"/>
    <x v="32"/>
    <x v="0"/>
    <n v="15"/>
    <n v="2553"/>
    <n v="3.3198959687906373"/>
    <n v="2553"/>
    <n v="3.3198959687906373"/>
    <s v="[]"/>
    <s v="[]"/>
  </r>
  <r>
    <x v="8"/>
    <s v="345 East Wacker Drive"/>
    <x v="268"/>
    <s v="2702"/>
    <n v="27"/>
    <x v="1"/>
    <n v="1"/>
    <m/>
    <x v="205"/>
    <x v="211"/>
    <x v="96"/>
    <x v="0"/>
    <n v="13"/>
    <n v="3022"/>
    <n v="3.9246753246753245"/>
    <n v="3022"/>
    <n v="3.9246753246753245"/>
    <s v="[Direct River View Floor 26 - 30 Northern City View Partial Lake View Kitchen Island Cool Finish Package Modified Unit]"/>
    <s v="[view kitchen_island view.water view.city view.direction]"/>
  </r>
  <r>
    <x v="8"/>
    <s v="345 East Wacker Drive"/>
    <x v="105"/>
    <s v="1302"/>
    <n v="13"/>
    <x v="1"/>
    <n v="1"/>
    <m/>
    <x v="205"/>
    <x v="106"/>
    <x v="271"/>
    <x v="0"/>
    <n v="10"/>
    <n v="3035"/>
    <n v="3.9415584415584415"/>
    <n v="3035"/>
    <n v="3.9415584415584415"/>
    <s v="[Direct River View Floor 11 - 15 Northern City View Partial Lake View Kitchen Island Calm Finish Package]"/>
    <s v="[view kitchen_island view.water view.city view.direction balcony_patio]"/>
  </r>
  <r>
    <x v="8"/>
    <s v="345 East Wacker Drive"/>
    <x v="105"/>
    <s v="3302"/>
    <n v="33"/>
    <x v="1"/>
    <n v="1"/>
    <m/>
    <x v="205"/>
    <x v="312"/>
    <x v="28"/>
    <x v="1"/>
    <m/>
    <n v="3135"/>
    <n v="4.0714285714285712"/>
    <n v="3135"/>
    <n v="4.0714285714285712"/>
    <s v="[Direct River View Floor 31 - 35 Northern City View Partial Lake View Kitchen Island Calm Finish Package]"/>
    <s v="[view kitchen_island view.water view.city view.direction balcony_patio]"/>
  </r>
  <r>
    <x v="8"/>
    <s v="345 East Wacker Drive"/>
    <x v="105"/>
    <s v="0402"/>
    <n v="4"/>
    <x v="1"/>
    <n v="1"/>
    <m/>
    <x v="205"/>
    <x v="489"/>
    <x v="584"/>
    <x v="0"/>
    <n v="54"/>
    <n v="2701"/>
    <n v="3.5077922077922077"/>
    <n v="2701"/>
    <n v="3.5077922077922077"/>
    <s v="[]"/>
    <s v="[]"/>
  </r>
  <r>
    <x v="8"/>
    <s v="345 East Wacker Drive"/>
    <x v="107"/>
    <s v="4003"/>
    <n v="40"/>
    <x v="1"/>
    <n v="1"/>
    <m/>
    <x v="206"/>
    <x v="413"/>
    <x v="44"/>
    <x v="0"/>
    <n v="39"/>
    <n v="3023"/>
    <n v="3.7646326276463262"/>
    <n v="3023"/>
    <n v="3.7646326276463262"/>
    <s v="[Direct River View Floor 36 - 40 Kitchen Island Northern City View Northern Exposure Partial Lake View Cool Finish Package]"/>
    <s v="[view kitchen_island view.water view.city view.direction balcony_patio]"/>
  </r>
  <r>
    <x v="8"/>
    <s v="345 East Wacker Drive"/>
    <x v="107"/>
    <s v="4103"/>
    <n v="41"/>
    <x v="1"/>
    <n v="1"/>
    <m/>
    <x v="206"/>
    <x v="101"/>
    <x v="142"/>
    <x v="0"/>
    <n v="33"/>
    <n v="3130"/>
    <n v="3.8978829389788294"/>
    <n v="3130"/>
    <n v="3.8978829389788294"/>
    <s v="[Calm Finish Package Direct River View Floor 41 + Kitchen Island Northern City View Northern Exposure Partial Lake View]"/>
    <s v="[view kitchen_island view.water floor view.direction view.city balcony_patio]"/>
  </r>
  <r>
    <x v="8"/>
    <s v="345 East Wacker Drive"/>
    <x v="107"/>
    <s v="4303"/>
    <n v="43"/>
    <x v="1"/>
    <n v="1"/>
    <m/>
    <x v="206"/>
    <x v="41"/>
    <x v="279"/>
    <x v="0"/>
    <n v="73"/>
    <n v="3142"/>
    <n v="3.9128268991282691"/>
    <n v="3142"/>
    <n v="3.9128268991282691"/>
    <s v="[Northern City View Northern Exposure Partial Lake View Direct River View Floor 41 + Kitchen Island Cool Finish Package]"/>
    <s v="[view floor kitchen_island view.water view.city view.direction balcony_patio]"/>
  </r>
  <r>
    <x v="8"/>
    <s v="345 East Wacker Drive"/>
    <x v="107"/>
    <s v="4403"/>
    <n v="44"/>
    <x v="1"/>
    <n v="1"/>
    <m/>
    <x v="206"/>
    <x v="160"/>
    <x v="174"/>
    <x v="0"/>
    <n v="51"/>
    <n v="3448"/>
    <n v="4.2938978829389791"/>
    <n v="3448"/>
    <n v="4.2938978829389791"/>
    <s v="[Direct River View Floor 41 + Northern City View Northern Exposure Partial Lake View Upgrade Kitchen Island Cool Finish Package]"/>
    <s v="[renovated view kitchen_island view.water floor view.direction view.city balcony_patio]"/>
  </r>
  <r>
    <x v="8"/>
    <s v="345 East Wacker Drive"/>
    <x v="269"/>
    <s v="1903"/>
    <n v="19"/>
    <x v="1"/>
    <n v="1"/>
    <m/>
    <x v="83"/>
    <x v="357"/>
    <x v="516"/>
    <x v="0"/>
    <n v="9"/>
    <n v="2865"/>
    <n v="3.5239852398523985"/>
    <n v="2865"/>
    <n v="3.5239852398523985"/>
    <s v="[Direct River View Floor 16 - 20 Kitchen Island Northern City View Northern Exposure Partial Lake View Cool Finish Package Modified Unit]"/>
    <s v="[view kitchen_island view.water view.city view.direction]"/>
  </r>
  <r>
    <x v="8"/>
    <s v="345 East Wacker Drive"/>
    <x v="270"/>
    <s v="0403"/>
    <n v="4"/>
    <x v="1"/>
    <n v="1"/>
    <m/>
    <x v="83"/>
    <x v="172"/>
    <x v="24"/>
    <x v="0"/>
    <n v="5"/>
    <n v="2740"/>
    <n v="3.3702337023370235"/>
    <n v="2740"/>
    <n v="3.3702337023370235"/>
    <s v="[]"/>
    <s v="[]"/>
  </r>
  <r>
    <x v="8"/>
    <s v="345 East Wacker Drive"/>
    <x v="270"/>
    <s v="3303"/>
    <n v="33"/>
    <x v="1"/>
    <n v="1"/>
    <m/>
    <x v="83"/>
    <x v="235"/>
    <x v="354"/>
    <x v="0"/>
    <n v="37"/>
    <n v="2792"/>
    <n v="3.4341943419434195"/>
    <n v="2642"/>
    <n v="3.2496924969249692"/>
    <s v="[]"/>
    <s v="[]"/>
  </r>
  <r>
    <x v="8"/>
    <s v="345 East Wacker Drive"/>
    <x v="109"/>
    <s v="4404"/>
    <n v="44"/>
    <x v="1"/>
    <n v="1"/>
    <m/>
    <x v="84"/>
    <x v="345"/>
    <x v="5"/>
    <x v="0"/>
    <n v="37"/>
    <n v="3150"/>
    <n v="3.8602941176470589"/>
    <n v="3150"/>
    <n v="3.8602941176470589"/>
    <s v="[Direct River View Floor 41 + Kitchen Island Northern City View Northern Exposure Partial Lake View Cool Finish Package]"/>
    <s v="[view kitchen_island view.water floor view.direction view.city balcony_patio]"/>
  </r>
  <r>
    <x v="8"/>
    <s v="345 East Wacker Drive"/>
    <x v="271"/>
    <s v="4304"/>
    <n v="43"/>
    <x v="1"/>
    <n v="1"/>
    <m/>
    <x v="84"/>
    <x v="130"/>
    <x v="394"/>
    <x v="0"/>
    <m/>
    <n v="3308"/>
    <n v="4.0539215686274508"/>
    <n v="3308"/>
    <n v="4.0539215686274508"/>
    <s v="[]"/>
    <s v="[]"/>
  </r>
  <r>
    <x v="8"/>
    <s v="345 East Wacker Drive"/>
    <x v="272"/>
    <s v="0903"/>
    <n v="9"/>
    <x v="1"/>
    <n v="1"/>
    <m/>
    <x v="140"/>
    <x v="17"/>
    <x v="280"/>
    <x v="0"/>
    <n v="9"/>
    <n v="2775"/>
    <n v="3.3924205378973107"/>
    <n v="2775"/>
    <n v="3.3924205378973107"/>
    <s v="[Partial Lake View Calm Finish Package Direct River View Floor 6 - 10 Kitchen Island Northern City View Northern Exposure Modified Unit]"/>
    <s v="[view kitchen_island view.water view.city view.direction balcony_patio]"/>
  </r>
  <r>
    <x v="8"/>
    <s v="345 East Wacker Drive"/>
    <x v="103"/>
    <s v="0503"/>
    <n v="5"/>
    <x v="1"/>
    <n v="1"/>
    <m/>
    <x v="140"/>
    <x v="220"/>
    <x v="49"/>
    <x v="0"/>
    <n v="49"/>
    <n v="2828"/>
    <n v="3.4572127139364301"/>
    <n v="2828"/>
    <n v="3.4572127139364301"/>
    <s v="[Calm Finish Package Direct River View Kitchen Island Northern City View Northern Exposure Partial Lake View]"/>
    <s v="[view kitchen_island view.water view.city view.direction balcony_patio]"/>
  </r>
  <r>
    <x v="8"/>
    <s v="345 East Wacker Drive"/>
    <x v="103"/>
    <s v="1103"/>
    <n v="11"/>
    <x v="1"/>
    <n v="1"/>
    <m/>
    <x v="140"/>
    <x v="101"/>
    <x v="171"/>
    <x v="0"/>
    <n v="2"/>
    <n v="2853"/>
    <n v="3.4877750611246943"/>
    <n v="2853"/>
    <n v="3.4877750611246943"/>
    <s v="[Direct River View Floor 11 - 15 Kitchen Island Northern City View Northern Exposure Partial Lake View Cool Finish Package]"/>
    <s v="[view kitchen_island view.water view.city view.direction balcony_patio]"/>
  </r>
  <r>
    <x v="8"/>
    <s v="345 East Wacker Drive"/>
    <x v="103"/>
    <s v="3003"/>
    <n v="30"/>
    <x v="1"/>
    <n v="1"/>
    <m/>
    <x v="140"/>
    <x v="137"/>
    <x v="20"/>
    <x v="0"/>
    <n v="41"/>
    <n v="2888"/>
    <n v="3.5305623471882641"/>
    <n v="2888"/>
    <n v="3.5305623471882641"/>
    <s v="[Direct River View Floor 26 - 30 Northern City View Northern Exposure Partial Lake View Calm Finish Package Kitchen Island]"/>
    <s v="[view kitchen_island view.water view.city view.direction balcony_patio]"/>
  </r>
  <r>
    <x v="8"/>
    <s v="345 East Wacker Drive"/>
    <x v="103"/>
    <s v="1703"/>
    <n v="17"/>
    <x v="1"/>
    <n v="1"/>
    <m/>
    <x v="140"/>
    <x v="27"/>
    <x v="445"/>
    <x v="0"/>
    <n v="9"/>
    <n v="2904"/>
    <n v="3.5501222493887532"/>
    <n v="2904"/>
    <n v="3.5501222493887532"/>
    <s v="[Direct River View Floor 16 - 20 Northern City View Northern Exposure Partial Lake View Upgrade Kitchen Island]"/>
    <s v="[renovated view kitchen_island view.water view.city view.direction balcony_patio]"/>
  </r>
  <r>
    <x v="8"/>
    <s v="345 East Wacker Drive"/>
    <x v="103"/>
    <s v="0303"/>
    <n v="3"/>
    <x v="1"/>
    <n v="1"/>
    <m/>
    <x v="140"/>
    <x v="67"/>
    <x v="28"/>
    <x v="1"/>
    <m/>
    <n v="2949"/>
    <n v="3.6051344743276283"/>
    <n v="2949"/>
    <n v="3.6051344743276283"/>
    <s v="[Direct River View Northern City View Partial Lake View Kitchen Island Cool Finish Package]"/>
    <s v="[view kitchen_island view.water view.city view.direction balcony_patio]"/>
  </r>
  <r>
    <x v="8"/>
    <s v="345 East Wacker Drive"/>
    <x v="103"/>
    <s v="1603"/>
    <n v="16"/>
    <x v="1"/>
    <n v="1"/>
    <m/>
    <x v="140"/>
    <x v="335"/>
    <x v="346"/>
    <x v="0"/>
    <n v="12"/>
    <n v="2950"/>
    <n v="3.6063569682151591"/>
    <n v="2950"/>
    <n v="3.6063569682151591"/>
    <s v="[Direct River View Floor 16 - 20 Kitchen Island Northern City View Northern Exposure Partial Lake View Cool Finish Package]"/>
    <s v="[view kitchen_island view.water view.city view.direction balcony_patio]"/>
  </r>
  <r>
    <x v="8"/>
    <s v="345 East Wacker Drive"/>
    <x v="103"/>
    <s v="3403"/>
    <n v="34"/>
    <x v="1"/>
    <n v="1"/>
    <m/>
    <x v="140"/>
    <x v="242"/>
    <x v="277"/>
    <x v="0"/>
    <n v="6"/>
    <n v="2965"/>
    <n v="3.6246943765281174"/>
    <n v="2965"/>
    <n v="3.6246943765281174"/>
    <s v="[Floor 31 - 35 Northern City View Northern Exposure Partial Lake View Direct River View Kitchen Island Calm Finish Package]"/>
    <s v="[view kitchen_island view.water view.city view.direction balcony_patio]"/>
  </r>
  <r>
    <x v="8"/>
    <s v="345 East Wacker Drive"/>
    <x v="103"/>
    <s v="1003"/>
    <n v="10"/>
    <x v="1"/>
    <n v="1"/>
    <m/>
    <x v="140"/>
    <x v="321"/>
    <x v="346"/>
    <x v="0"/>
    <n v="30"/>
    <n v="2978"/>
    <n v="3.6405867970660148"/>
    <n v="2978"/>
    <n v="3.6405867970660148"/>
    <s v="[Calm Finish Package Direct River View Floor 6 - 10 Kitchen Island Northern City View Northern Exposure Partial Lake View]"/>
    <s v="[view kitchen_island view.water view.city view.direction balcony_patio]"/>
  </r>
  <r>
    <x v="8"/>
    <s v="345 East Wacker Drive"/>
    <x v="103"/>
    <s v="1403"/>
    <n v="14"/>
    <x v="1"/>
    <n v="1"/>
    <m/>
    <x v="140"/>
    <x v="300"/>
    <x v="452"/>
    <x v="0"/>
    <n v="7"/>
    <n v="2981"/>
    <n v="3.6442542787286065"/>
    <n v="2981"/>
    <n v="3.6442542787286065"/>
    <s v="[Direct River View Floor 11 - 15 Northern City View Northern Exposure Partial Lake View Calm Finish Package Kitchen Island]"/>
    <s v="[view kitchen_island view.water view.city view.direction balcony_patio]"/>
  </r>
  <r>
    <x v="8"/>
    <s v="345 East Wacker Drive"/>
    <x v="103"/>
    <s v="0703"/>
    <n v="7"/>
    <x v="1"/>
    <n v="1"/>
    <m/>
    <x v="140"/>
    <x v="90"/>
    <x v="152"/>
    <x v="0"/>
    <n v="12"/>
    <n v="3004"/>
    <n v="3.6723716381418092"/>
    <n v="3004"/>
    <n v="3.6723716381418092"/>
    <s v="[Direct River View Floor 6 - 10 Northern City View Northern Exposure Partial Lake View Upgrade Kitchen Island Cool Finish Package]"/>
    <s v="[renovated view kitchen_island view.water view.city view.direction balcony_patio]"/>
  </r>
  <r>
    <x v="8"/>
    <s v="345 East Wacker Drive"/>
    <x v="103"/>
    <s v="2503"/>
    <n v="25"/>
    <x v="1"/>
    <n v="1"/>
    <m/>
    <x v="140"/>
    <x v="321"/>
    <x v="383"/>
    <x v="0"/>
    <n v="3"/>
    <n v="3054"/>
    <n v="3.7334963325183375"/>
    <n v="3054"/>
    <n v="3.7334963325183375"/>
    <s v="[Calm Finish Package Direct River View Floor 21 - 25 Kitchen Island Northern City View Northern Exposure Partial Lake View]"/>
    <s v="[view kitchen_island view.water view.city view.direction balcony_patio]"/>
  </r>
  <r>
    <x v="8"/>
    <s v="345 East Wacker Drive"/>
    <x v="103"/>
    <s v="3803"/>
    <n v="38"/>
    <x v="1"/>
    <n v="1"/>
    <m/>
    <x v="140"/>
    <x v="378"/>
    <x v="499"/>
    <x v="0"/>
    <n v="106"/>
    <n v="3107"/>
    <n v="3.7982885085574574"/>
    <n v="3107"/>
    <n v="3.7982885085574574"/>
    <s v="[Wood Plank Flooring Partial Calm Finish Package Direct River View Floor 36 - 40 Kitchen Island Northern City View Northern Exposure Partial Lake View]"/>
    <s v="[view kitchen_island view.water view.city view.direction balcony_patio]"/>
  </r>
  <r>
    <x v="8"/>
    <s v="345 East Wacker Drive"/>
    <x v="272"/>
    <s v="3703"/>
    <n v="37"/>
    <x v="1"/>
    <n v="1"/>
    <m/>
    <x v="140"/>
    <x v="191"/>
    <x v="439"/>
    <x v="0"/>
    <n v="7"/>
    <n v="3160"/>
    <n v="3.8630806845965768"/>
    <n v="3160"/>
    <n v="3.8630806845965768"/>
    <s v="[Northern Exposure Partial Lake View Direct River View Floor 36 - 40 Northern City View Calm Finish Package Kitchen Island Modified Unit]"/>
    <s v="[view kitchen_island view.water view.city view.direction balcony_patio]"/>
  </r>
  <r>
    <x v="8"/>
    <s v="345 East Wacker Drive"/>
    <x v="103"/>
    <s v="3503"/>
    <n v="35"/>
    <x v="1"/>
    <n v="1"/>
    <m/>
    <x v="140"/>
    <x v="539"/>
    <x v="393"/>
    <x v="0"/>
    <n v="34"/>
    <n v="3167"/>
    <n v="3.8716381418092909"/>
    <n v="3167"/>
    <n v="3.8716381418092909"/>
    <s v="[Direct River View Floor 31 - 35 Northern City View Northern Exposure Partial Lake View Upgrade Kitchen Island Cool Finish Package]"/>
    <s v="[renovated view kitchen_island view.water view.city view.direction balcony_patio]"/>
  </r>
  <r>
    <x v="8"/>
    <s v="345 East Wacker Drive"/>
    <x v="103"/>
    <s v="3103"/>
    <n v="31"/>
    <x v="1"/>
    <n v="1"/>
    <m/>
    <x v="140"/>
    <x v="148"/>
    <x v="110"/>
    <x v="0"/>
    <n v="2"/>
    <n v="3695"/>
    <n v="4.5171149144254281"/>
    <n v="3695"/>
    <n v="4.5171149144254281"/>
    <s v="[Partial Lake View Direct River View Floor 31 - 35 Northern City View Kitchen Island Premium Upgrade]"/>
    <s v="[renovated.fully renovated view kitchen_island view.water view.city view.direction balcony_patio]"/>
  </r>
  <r>
    <x v="8"/>
    <s v="345 East Wacker Drive"/>
    <x v="272"/>
    <s v="0803"/>
    <n v="8"/>
    <x v="1"/>
    <n v="1"/>
    <m/>
    <x v="140"/>
    <x v="169"/>
    <x v="59"/>
    <x v="0"/>
    <n v="45"/>
    <n v="2842"/>
    <n v="3.4743276283618583"/>
    <n v="2842"/>
    <n v="3.4743276283618583"/>
    <s v="[]"/>
    <s v="[]"/>
  </r>
  <r>
    <x v="8"/>
    <s v="345 East Wacker Drive"/>
    <x v="103"/>
    <s v="1803"/>
    <n v="18"/>
    <x v="1"/>
    <n v="1"/>
    <m/>
    <x v="140"/>
    <x v="129"/>
    <x v="143"/>
    <x v="0"/>
    <n v="2"/>
    <n v="2871"/>
    <n v="3.5097799511002443"/>
    <n v="2871"/>
    <n v="3.5097799511002443"/>
    <s v="[]"/>
    <s v="[]"/>
  </r>
  <r>
    <x v="8"/>
    <s v="345 East Wacker Drive"/>
    <x v="108"/>
    <s v="1704"/>
    <n v="17"/>
    <x v="1"/>
    <n v="1"/>
    <m/>
    <x v="207"/>
    <x v="48"/>
    <x v="12"/>
    <x v="0"/>
    <n v="3"/>
    <n v="2819"/>
    <n v="3.4004825090470447"/>
    <n v="2819"/>
    <n v="3.4004825090470447"/>
    <s v="[Direct River View Floor 16 - 20 Kitchen Island Northern City View Northern Exposure Partial Lake View Calm Finish Package]"/>
    <s v="[view kitchen_island view.water view.city view.direction balcony_patio]"/>
  </r>
  <r>
    <x v="8"/>
    <s v="345 East Wacker Drive"/>
    <x v="108"/>
    <s v="2104"/>
    <n v="21"/>
    <x v="1"/>
    <n v="1"/>
    <m/>
    <x v="207"/>
    <x v="284"/>
    <x v="14"/>
    <x v="0"/>
    <n v="41"/>
    <n v="2833"/>
    <n v="3.4173703256936068"/>
    <n v="2833"/>
    <n v="3.4173703256936068"/>
    <s v="[Calm Finish Package Direct River View Floor 21 - 25 Kitchen Island Northern City View Northern Exposure Partial Lake View]"/>
    <s v="[view kitchen_island view.water view.city view.direction balcony_patio]"/>
  </r>
  <r>
    <x v="8"/>
    <s v="345 East Wacker Drive"/>
    <x v="108"/>
    <s v="1504"/>
    <n v="15"/>
    <x v="1"/>
    <n v="1"/>
    <m/>
    <x v="207"/>
    <x v="431"/>
    <x v="19"/>
    <x v="0"/>
    <n v="39"/>
    <n v="2836"/>
    <n v="3.4209891435464415"/>
    <n v="2836"/>
    <n v="3.4209891435464415"/>
    <s v="[Direct River View Floor 11 - 15 Northern City View Northern Exposure Partial Lake View Kitchen Island Cool Finish Package]"/>
    <s v="[view kitchen_island view.water view.city view.direction balcony_patio]"/>
  </r>
  <r>
    <x v="8"/>
    <s v="345 East Wacker Drive"/>
    <x v="273"/>
    <s v="1004"/>
    <n v="10"/>
    <x v="1"/>
    <n v="1"/>
    <m/>
    <x v="207"/>
    <x v="101"/>
    <x v="64"/>
    <x v="0"/>
    <n v="20"/>
    <n v="2838"/>
    <n v="3.4234016887816647"/>
    <n v="2838"/>
    <n v="3.4234016887816647"/>
    <s v="[Calm Finish Package Direct River View Floor 6 - 10 Kitchen Island Northern City View Northern Exposure Partial Lake View Modified Unit]"/>
    <s v="[view kitchen_island view.water view.city view.direction balcony_patio]"/>
  </r>
  <r>
    <x v="8"/>
    <s v="345 East Wacker Drive"/>
    <x v="108"/>
    <s v="2404"/>
    <n v="24"/>
    <x v="1"/>
    <n v="1"/>
    <m/>
    <x v="207"/>
    <x v="349"/>
    <x v="12"/>
    <x v="0"/>
    <n v="5"/>
    <n v="2841"/>
    <n v="3.4270205066344994"/>
    <n v="2841"/>
    <n v="3.4270205066344994"/>
    <s v="[Direct River View Floor 21 - 25 Kitchen Island Northern City View Northern Exposure Partial Lake View Cool Finish Package Roller Shades]"/>
    <s v="[view kitchen_island view.water view.city view.direction balcony_patio]"/>
  </r>
  <r>
    <x v="8"/>
    <s v="345 East Wacker Drive"/>
    <x v="108"/>
    <s v="0504"/>
    <n v="5"/>
    <x v="1"/>
    <n v="1"/>
    <m/>
    <x v="207"/>
    <x v="396"/>
    <x v="451"/>
    <x v="0"/>
    <n v="47"/>
    <n v="2861"/>
    <n v="3.4511459589867308"/>
    <n v="2861"/>
    <n v="3.4511459589867308"/>
    <s v="[Calm Finish Package Direct River View Kitchen Island Northern City View Northern Exposure Partial Lake View]"/>
    <s v="[view kitchen_island view.water view.city view.direction balcony_patio]"/>
  </r>
  <r>
    <x v="8"/>
    <s v="345 East Wacker Drive"/>
    <x v="273"/>
    <s v="3704"/>
    <n v="37"/>
    <x v="1"/>
    <n v="1"/>
    <m/>
    <x v="207"/>
    <x v="308"/>
    <x v="573"/>
    <x v="0"/>
    <n v="62"/>
    <n v="2867"/>
    <n v="3.4583835946924006"/>
    <n v="2867"/>
    <n v="3.4583835946924006"/>
    <s v="[Calm Finish Package Direct River View Floor 36 - 40 Kitchen Island Modified Unit Northern City View Northern Exposure Partial Lake View]"/>
    <s v="[view kitchen_island view.water view.city view.direction balcony_patio]"/>
  </r>
  <r>
    <x v="8"/>
    <s v="345 East Wacker Drive"/>
    <x v="108"/>
    <s v="1604"/>
    <n v="16"/>
    <x v="1"/>
    <n v="1"/>
    <m/>
    <x v="207"/>
    <x v="476"/>
    <x v="585"/>
    <x v="0"/>
    <n v="59"/>
    <n v="2903"/>
    <n v="3.5018094089264173"/>
    <n v="2903"/>
    <n v="3.5018094089264173"/>
    <s v="[Direct River View Floor 16 - 20 Northern City View Northern Exposure Partial Lake View Roller Shades Kitchen Island Cool Finish Package]"/>
    <s v="[view kitchen_island view.water view.city view.direction balcony_patio]"/>
  </r>
  <r>
    <x v="8"/>
    <s v="345 East Wacker Drive"/>
    <x v="108"/>
    <s v="3904"/>
    <n v="39"/>
    <x v="1"/>
    <n v="1"/>
    <m/>
    <x v="207"/>
    <x v="386"/>
    <x v="377"/>
    <x v="0"/>
    <n v="150"/>
    <n v="2907"/>
    <n v="3.5066344993968639"/>
    <n v="2907"/>
    <n v="3.5066344993968639"/>
    <s v="[Northern Exposure Partial Lake View Direct River View Floor 36 - 40 Kitchen Island Northern City View Cool Finish Package]"/>
    <s v="[view kitchen_island view.water view.city view.direction balcony_patio]"/>
  </r>
  <r>
    <x v="8"/>
    <s v="345 East Wacker Drive"/>
    <x v="108"/>
    <s v="2604"/>
    <n v="26"/>
    <x v="1"/>
    <n v="1"/>
    <m/>
    <x v="207"/>
    <x v="431"/>
    <x v="467"/>
    <x v="0"/>
    <n v="21"/>
    <n v="2911"/>
    <n v="3.51145958986731"/>
    <n v="2911"/>
    <n v="3.51145958986731"/>
    <s v="[Direct River View Floor 26 - 30 Northern City View Northern Exposure Partial Lake View Calm Finish Package Kitchen Island]"/>
    <s v="[view kitchen_island view.water view.city view.direction balcony_patio]"/>
  </r>
  <r>
    <x v="8"/>
    <s v="345 East Wacker Drive"/>
    <x v="273"/>
    <s v="2004"/>
    <n v="20"/>
    <x v="1"/>
    <n v="1"/>
    <m/>
    <x v="207"/>
    <x v="214"/>
    <x v="278"/>
    <x v="0"/>
    <n v="25"/>
    <n v="2913"/>
    <n v="3.5138721351025333"/>
    <n v="2913"/>
    <n v="3.5138721351025333"/>
    <s v="[Northern City View Northern Exposure Partial Lake View Direct River View Floor 16 - 20 Kitchen Island Cool Finish Package Modified Unit]"/>
    <s v="[view kitchen_island view.water view.city view.direction balcony_patio]"/>
  </r>
  <r>
    <x v="8"/>
    <s v="345 East Wacker Drive"/>
    <x v="108"/>
    <s v="1904"/>
    <n v="19"/>
    <x v="1"/>
    <n v="1"/>
    <m/>
    <x v="207"/>
    <x v="293"/>
    <x v="586"/>
    <x v="0"/>
    <n v="9"/>
    <n v="2913"/>
    <n v="3.5138721351025333"/>
    <n v="2913"/>
    <n v="3.5138721351025333"/>
    <s v="[Floor 16 - 20 Direct River View Northern City View Northern Exposure Partial Lake View Kitchen Island Cool Finish Package]"/>
    <s v="[view kitchen_island view.water view.city view.direction balcony_patio]"/>
  </r>
  <r>
    <x v="8"/>
    <s v="345 East Wacker Drive"/>
    <x v="108"/>
    <s v="3804"/>
    <n v="38"/>
    <x v="1"/>
    <n v="1"/>
    <m/>
    <x v="207"/>
    <x v="21"/>
    <x v="141"/>
    <x v="0"/>
    <n v="72"/>
    <n v="2932"/>
    <n v="3.5367913148371533"/>
    <n v="2932"/>
    <n v="3.5367913148371533"/>
    <s v="[Direct River View Floor 36 - 40 Northern City View Northern Exposure Partial Lake View Calm Finish Package Kitchen Island]"/>
    <s v="[view kitchen_island view.water view.city view.direction balcony_patio]"/>
  </r>
  <r>
    <x v="8"/>
    <s v="345 East Wacker Drive"/>
    <x v="108"/>
    <s v="1804"/>
    <n v="18"/>
    <x v="1"/>
    <n v="1"/>
    <m/>
    <x v="207"/>
    <x v="388"/>
    <x v="359"/>
    <x v="0"/>
    <n v="72"/>
    <n v="2943"/>
    <n v="3.5500603136308806"/>
    <n v="2747"/>
    <n v="3.3136308805790109"/>
    <s v="[Direct River View Floor 16 - 20 Northern City View Northern Exposure Partial Lake View Calm Finish Package Kitchen Island]"/>
    <s v="[view kitchen_island view.water view.city view.direction balcony_patio]"/>
  </r>
  <r>
    <x v="8"/>
    <s v="345 East Wacker Drive"/>
    <x v="108"/>
    <s v="2304"/>
    <n v="23"/>
    <x v="1"/>
    <n v="1"/>
    <m/>
    <x v="207"/>
    <x v="6"/>
    <x v="45"/>
    <x v="0"/>
    <n v="15"/>
    <n v="2953"/>
    <n v="3.5621230398069965"/>
    <n v="2953"/>
    <n v="3.5621230398069965"/>
    <s v="[Direct River View Floor 21 - 25 Northern City View Northern Exposure Partial Lake View Kitchen Island Cool Finish Package]"/>
    <s v="[view kitchen_island view.water view.city view.direction balcony_patio]"/>
  </r>
  <r>
    <x v="8"/>
    <s v="345 East Wacker Drive"/>
    <x v="273"/>
    <s v="0904"/>
    <n v="9"/>
    <x v="1"/>
    <n v="1"/>
    <m/>
    <x v="207"/>
    <x v="140"/>
    <x v="500"/>
    <x v="0"/>
    <n v="2"/>
    <n v="2958"/>
    <n v="3.5681544028950545"/>
    <n v="2761"/>
    <n v="3.3305186972255729"/>
    <s v="[Direct River View Floor 6 - 10 Northern City View Northern Exposure Partial Lake View Calm Finish Package Roller Shades Modified Unit Kitchen Island]"/>
    <s v="[view kitchen_island view.water view.city view.direction balcony_patio]"/>
  </r>
  <r>
    <x v="8"/>
    <s v="345 East Wacker Drive"/>
    <x v="108"/>
    <s v="1304"/>
    <n v="13"/>
    <x v="1"/>
    <n v="1"/>
    <m/>
    <x v="207"/>
    <x v="124"/>
    <x v="346"/>
    <x v="0"/>
    <n v="60"/>
    <n v="3005"/>
    <n v="3.6248492159227985"/>
    <n v="3005"/>
    <n v="3.6248492159227985"/>
    <s v="[Calm Finish Package Direct River View Floor 11 - 15 Kitchen Island Northern City View Northern Exposure Partial Lake View Roller Shades]"/>
    <s v="[view kitchen_island view.water view.city view.direction balcony_patio]"/>
  </r>
  <r>
    <x v="8"/>
    <s v="345 East Wacker Drive"/>
    <x v="108"/>
    <s v="2804"/>
    <n v="28"/>
    <x v="1"/>
    <n v="1"/>
    <m/>
    <x v="207"/>
    <x v="451"/>
    <x v="525"/>
    <x v="0"/>
    <n v="29"/>
    <n v="3014"/>
    <n v="3.6357056694813026"/>
    <n v="3014"/>
    <n v="3.6357056694813026"/>
    <s v="[Direct River View Floor 26 - 30 Kitchen Island Northern City View Northern Exposure Partial Lake View Cool Finish Package]"/>
    <s v="[view kitchen_island view.water view.city view.direction balcony_patio]"/>
  </r>
  <r>
    <x v="8"/>
    <s v="345 East Wacker Drive"/>
    <x v="108"/>
    <s v="2704"/>
    <n v="27"/>
    <x v="1"/>
    <n v="1"/>
    <m/>
    <x v="207"/>
    <x v="162"/>
    <x v="321"/>
    <x v="0"/>
    <n v="22"/>
    <n v="3072"/>
    <n v="3.7056694813027744"/>
    <n v="3072"/>
    <n v="3.7056694813027744"/>
    <s v="[Partial Lake View Direct River View Floor 26 - 30 Northern City View Northern Exposure Cool Finish Package Kitchen Island Roller Shades]"/>
    <s v="[view kitchen_island view.water view.city view.direction balcony_patio]"/>
  </r>
  <r>
    <x v="8"/>
    <s v="345 East Wacker Drive"/>
    <x v="108"/>
    <s v="3604"/>
    <n v="36"/>
    <x v="1"/>
    <n v="1"/>
    <m/>
    <x v="207"/>
    <x v="399"/>
    <x v="73"/>
    <x v="0"/>
    <n v="56"/>
    <n v="3078"/>
    <n v="3.7129071170084438"/>
    <n v="3078"/>
    <n v="3.7129071170084438"/>
    <s v="[Floor 36 - 40 Northern City View Northern Exposure Partial Lake View Direct River View Kitchen Island Cool Finish Package]"/>
    <s v="[view kitchen_island view.water view.city view.direction balcony_patio]"/>
  </r>
  <r>
    <x v="8"/>
    <s v="345 East Wacker Drive"/>
    <x v="108"/>
    <s v="3304"/>
    <n v="33"/>
    <x v="1"/>
    <n v="1"/>
    <m/>
    <x v="207"/>
    <x v="220"/>
    <x v="102"/>
    <x v="0"/>
    <n v="51"/>
    <n v="3133"/>
    <n v="3.7792521109770809"/>
    <n v="3133"/>
    <n v="3.7792521109770809"/>
    <s v="[Calm Finish Package Direct River View Floor 31 - 35 Kitchen Island Northern City View Northern Exposure Partial Lake View Upgrade]"/>
    <s v="[renovated view kitchen_island view.water view.city view.direction balcony_patio]"/>
  </r>
  <r>
    <x v="8"/>
    <s v="345 East Wacker Drive"/>
    <x v="108"/>
    <s v="2904"/>
    <n v="29"/>
    <x v="1"/>
    <n v="1"/>
    <m/>
    <x v="207"/>
    <x v="151"/>
    <x v="347"/>
    <x v="0"/>
    <n v="16"/>
    <n v="3178"/>
    <n v="3.8335343787696021"/>
    <n v="3178"/>
    <n v="3.8335343787696021"/>
    <s v="[Direct River View Floor 26 - 30 Northern City View Northern Exposure Partial Lake View Calm Finish Package Upgrade Kitchen Island]"/>
    <s v="[renovated view kitchen_island view.water view.city view.direction balcony_patio]"/>
  </r>
  <r>
    <x v="8"/>
    <s v="345 East Wacker Drive"/>
    <x v="108"/>
    <s v="3204"/>
    <n v="32"/>
    <x v="1"/>
    <n v="1"/>
    <m/>
    <x v="207"/>
    <x v="41"/>
    <x v="279"/>
    <x v="0"/>
    <n v="73"/>
    <n v="3318"/>
    <n v="4.0024125452352228"/>
    <n v="3318"/>
    <n v="4.0024125452352228"/>
    <s v="[Direct River View Floor 31 - 35 Kitchen Island Northern City View Northern Exposure Partial Lake View Upgrade Cool Finish Package]"/>
    <s v="[renovated view kitchen_island view.water view.city view.direction balcony_patio]"/>
  </r>
  <r>
    <x v="8"/>
    <s v="345 East Wacker Drive"/>
    <x v="273"/>
    <s v="0704"/>
    <n v="7"/>
    <x v="1"/>
    <n v="1"/>
    <m/>
    <x v="207"/>
    <x v="350"/>
    <x v="338"/>
    <x v="0"/>
    <n v="16"/>
    <n v="2844"/>
    <n v="3.4306393244873341"/>
    <n v="2844"/>
    <n v="3.4306393244873341"/>
    <s v="[]"/>
    <s v="[]"/>
  </r>
  <r>
    <x v="8"/>
    <s v="345 East Wacker Drive"/>
    <x v="108"/>
    <s v="2504"/>
    <n v="25"/>
    <x v="1"/>
    <n v="1"/>
    <m/>
    <x v="207"/>
    <x v="445"/>
    <x v="425"/>
    <x v="0"/>
    <n v="6"/>
    <n v="3038"/>
    <n v="3.6646562123039805"/>
    <n v="3038"/>
    <n v="3.6646562123039805"/>
    <s v="[]"/>
    <s v="[]"/>
  </r>
  <r>
    <x v="8"/>
    <s v="345 East Wacker Drive"/>
    <x v="273"/>
    <s v="3004"/>
    <n v="30"/>
    <x v="1"/>
    <n v="1"/>
    <m/>
    <x v="207"/>
    <x v="130"/>
    <x v="394"/>
    <x v="0"/>
    <m/>
    <n v="3207"/>
    <n v="3.8685162846803376"/>
    <n v="3207"/>
    <n v="3.8685162846803376"/>
    <s v="[]"/>
    <s v="[]"/>
  </r>
  <r>
    <x v="8"/>
    <s v="345 East Wacker Drive"/>
    <x v="113"/>
    <s v="0707"/>
    <n v="7"/>
    <x v="1"/>
    <n v="1"/>
    <m/>
    <x v="208"/>
    <x v="388"/>
    <x v="276"/>
    <x v="0"/>
    <n v="25"/>
    <n v="2580"/>
    <n v="3.0568720379146921"/>
    <n v="2580"/>
    <n v="3.0568720379146921"/>
    <s v="[Floor 6 - 10 Partial Lake View Southern City View Southern Exposure Western Exposure Kitchen Island Cool Finish Package]"/>
    <s v="[view kitchen_island view.water view.city view.direction balcony_patio]"/>
  </r>
  <r>
    <x v="8"/>
    <s v="345 East Wacker Drive"/>
    <x v="113"/>
    <s v="0307"/>
    <n v="3"/>
    <x v="1"/>
    <n v="1"/>
    <m/>
    <x v="208"/>
    <x v="101"/>
    <x v="500"/>
    <x v="0"/>
    <n v="247"/>
    <n v="2624"/>
    <n v="3.109004739336493"/>
    <n v="2449"/>
    <n v="2.9016587677725116"/>
    <s v="[Partial Lake View Southern City View Southern Exposure Western Exposure Upgrade Kitchen Island Cool Finish Package]"/>
    <s v="[renovated view kitchen_island view.water view.city view.direction balcony_patio]"/>
  </r>
  <r>
    <x v="8"/>
    <s v="345 East Wacker Drive"/>
    <x v="113"/>
    <s v="0807"/>
    <n v="8"/>
    <x v="1"/>
    <n v="1"/>
    <m/>
    <x v="208"/>
    <x v="28"/>
    <x v="0"/>
    <x v="0"/>
    <n v="2"/>
    <n v="2683"/>
    <n v="3.1789099526066349"/>
    <n v="2683"/>
    <n v="3.1789099526066349"/>
    <s v="[Western Exposure Floor 6 - 10 Kitchen Island Partial Lake View Southern City View Southern Exposure Cool Finish Package]"/>
    <s v="[view kitchen_island view.water view.city view.direction balcony_patio]"/>
  </r>
  <r>
    <x v="8"/>
    <s v="345 East Wacker Drive"/>
    <x v="113"/>
    <s v="0607"/>
    <n v="6"/>
    <x v="1"/>
    <n v="1"/>
    <m/>
    <x v="208"/>
    <x v="228"/>
    <x v="129"/>
    <x v="0"/>
    <n v="151"/>
    <n v="2687"/>
    <n v="3.183649289099526"/>
    <n v="2687"/>
    <n v="3.183649289099526"/>
    <s v="[Partial Lake View Southern City View Western Exposure Floor 6 - 10 Calm Finish Package Upgrade Kitchen Island Southern Exposure]"/>
    <s v="[renovated view kitchen_island view.water view.city view.direction balcony_patio]"/>
  </r>
  <r>
    <x v="8"/>
    <s v="345 East Wacker Drive"/>
    <x v="113"/>
    <s v="3407"/>
    <n v="34"/>
    <x v="1"/>
    <n v="1"/>
    <m/>
    <x v="208"/>
    <x v="7"/>
    <x v="39"/>
    <x v="0"/>
    <n v="6"/>
    <n v="2728"/>
    <n v="3.2322274881516586"/>
    <n v="2728"/>
    <n v="3.2322274881516586"/>
    <s v="[Calm Finish Package Floor 31 - 35 Kitchen Island Partial Lake View Southern City View Western Exposure Southern Exposure]"/>
    <s v="[view kitchen_island view.water view.city view.direction balcony_patio]"/>
  </r>
  <r>
    <x v="8"/>
    <s v="345 East Wacker Drive"/>
    <x v="113"/>
    <s v="2007"/>
    <n v="20"/>
    <x v="1"/>
    <n v="1"/>
    <m/>
    <x v="208"/>
    <x v="249"/>
    <x v="388"/>
    <x v="0"/>
    <n v="3"/>
    <n v="2766"/>
    <n v="3.2772511848341233"/>
    <n v="2766"/>
    <n v="3.2772511848341233"/>
    <s v="[Floor 16 - 20 Kitchen Island Partial Lake View Southern City View Southern Exposure Western Exposure Cool Finish Package]"/>
    <s v="[view kitchen_island view.water view.city view.direction balcony_patio]"/>
  </r>
  <r>
    <x v="8"/>
    <s v="345 East Wacker Drive"/>
    <x v="113"/>
    <s v="1407"/>
    <n v="14"/>
    <x v="1"/>
    <n v="1"/>
    <m/>
    <x v="208"/>
    <x v="20"/>
    <x v="151"/>
    <x v="0"/>
    <n v="21"/>
    <n v="2820"/>
    <n v="3.3412322274881516"/>
    <n v="2820"/>
    <n v="3.3412322274881516"/>
    <s v="[Southern Exposure Floor 11 - 15 Partial Lake View Southern City View Western Exposure Calm Finish Package Kitchen Island]"/>
    <s v="[view kitchen_island view.water view.city view.direction balcony_patio]"/>
  </r>
  <r>
    <x v="8"/>
    <s v="345 East Wacker Drive"/>
    <x v="113"/>
    <s v="2607"/>
    <n v="26"/>
    <x v="1"/>
    <n v="1"/>
    <m/>
    <x v="208"/>
    <x v="266"/>
    <x v="369"/>
    <x v="0"/>
    <n v="7"/>
    <n v="2853"/>
    <n v="3.3803317535545023"/>
    <n v="2853"/>
    <n v="3.3803317535545023"/>
    <s v="[Southern Exposure Floor 26 - 30 Partial Lake View Southern City View Western Exposure Calm Finish Package Kitchen Island]"/>
    <s v="[view kitchen_island view.water view.city view.direction balcony_patio]"/>
  </r>
  <r>
    <x v="8"/>
    <s v="345 East Wacker Drive"/>
    <x v="274"/>
    <s v="1507"/>
    <n v="15"/>
    <x v="1"/>
    <n v="1"/>
    <m/>
    <x v="208"/>
    <x v="291"/>
    <x v="63"/>
    <x v="0"/>
    <n v="59"/>
    <n v="2892"/>
    <n v="3.4265402843601898"/>
    <n v="2892"/>
    <n v="3.4265402843601898"/>
    <s v="[Western Exposure Floor 11 - 15 Kitchen Island Partial Lake View Southern City View Cool Finish Package Modified Unit Southern Exposure]"/>
    <s v="[view kitchen_island view.water view.city view.direction balcony_patio]"/>
  </r>
  <r>
    <x v="8"/>
    <s v="345 East Wacker Drive"/>
    <x v="113"/>
    <s v="0407"/>
    <n v="4"/>
    <x v="1"/>
    <n v="1"/>
    <m/>
    <x v="208"/>
    <x v="540"/>
    <x v="28"/>
    <x v="1"/>
    <m/>
    <n v="2924"/>
    <n v="3.4644549763033177"/>
    <n v="2924"/>
    <n v="3.4644549763033177"/>
    <s v="[Partial Lake View Southern City View Western Exposure Upgrade Kitchen Island Cool Finish Package]"/>
    <s v="[renovated view kitchen_island view.water view.city view.direction balcony_patio]"/>
  </r>
  <r>
    <x v="8"/>
    <s v="345 East Wacker Drive"/>
    <x v="113"/>
    <s v="3307"/>
    <n v="33"/>
    <x v="1"/>
    <n v="1"/>
    <m/>
    <x v="208"/>
    <x v="184"/>
    <x v="300"/>
    <x v="0"/>
    <n v="4"/>
    <n v="2929"/>
    <n v="3.4703791469194312"/>
    <n v="2929"/>
    <n v="3.4703791469194312"/>
    <s v="[Southern Exposure Kitchen Island Calm Finish Package Floor 31 - 35 Partial Lake View Southern City View Western Exposure]"/>
    <s v="[view kitchen_island view.water view.city view.direction balcony_patio]"/>
  </r>
  <r>
    <x v="8"/>
    <s v="345 East Wacker Drive"/>
    <x v="274"/>
    <s v="1807"/>
    <n v="18"/>
    <x v="1"/>
    <n v="1"/>
    <m/>
    <x v="208"/>
    <x v="101"/>
    <x v="554"/>
    <x v="0"/>
    <n v="53"/>
    <n v="2946"/>
    <n v="3.4905213270142181"/>
    <n v="2946"/>
    <n v="3.4905213270142181"/>
    <s v="[Partial Lake View Southern City View Western Exposure Calm Finish Package Floor 16 - 20 Kitchen Island Modified Unit Southern Exposure Roller Shades]"/>
    <s v="[view kitchen_island view.water view.city view.direction balcony_patio]"/>
  </r>
  <r>
    <x v="8"/>
    <s v="345 East Wacker Drive"/>
    <x v="274"/>
    <s v="2707"/>
    <n v="27"/>
    <x v="1"/>
    <n v="1"/>
    <m/>
    <x v="208"/>
    <x v="346"/>
    <x v="359"/>
    <x v="0"/>
    <n v="23"/>
    <n v="3022"/>
    <n v="3.580568720379147"/>
    <n v="2821"/>
    <n v="3.3424170616113744"/>
    <s v="[Floor 26 - 30 Partial Lake View Southern City View Southern Exposure Western Exposure Roller Shades Modified Unit Kitchen Island Cool Finish Package]"/>
    <s v="[view kitchen_island view.water view.city view.direction balcony_patio]"/>
  </r>
  <r>
    <x v="8"/>
    <s v="345 East Wacker Drive"/>
    <x v="113"/>
    <s v="0907"/>
    <n v="9"/>
    <x v="1"/>
    <n v="1"/>
    <m/>
    <x v="208"/>
    <x v="149"/>
    <x v="28"/>
    <x v="1"/>
    <m/>
    <n v="3027"/>
    <n v="3.5864928909952605"/>
    <n v="3027"/>
    <n v="3.5864928909952605"/>
    <s v="[Floor 6 - 10 Partial Lake View Southern City View Western Exposure Upgrade Kitchen Island Calm Finish Package]"/>
    <s v="[renovated view kitchen_island view.water view.city view.direction balcony_patio]"/>
  </r>
  <r>
    <x v="8"/>
    <s v="345 East Wacker Drive"/>
    <x v="113"/>
    <s v="3607"/>
    <n v="36"/>
    <x v="1"/>
    <n v="1"/>
    <m/>
    <x v="208"/>
    <x v="101"/>
    <x v="280"/>
    <x v="0"/>
    <n v="57"/>
    <n v="3042"/>
    <n v="3.6042654028436019"/>
    <n v="3042"/>
    <n v="3.6042654028436019"/>
    <s v="[Cool Finish Package Floor 36 - 40 Kitchen Island Partial Lake View Southern City View Southern Exposure Western Exposure]"/>
    <s v="[view kitchen_island view.water view.city view.direction balcony_patio]"/>
  </r>
  <r>
    <x v="8"/>
    <s v="345 East Wacker Drive"/>
    <x v="113"/>
    <s v="3507"/>
    <n v="35"/>
    <x v="1"/>
    <n v="1"/>
    <m/>
    <x v="208"/>
    <x v="150"/>
    <x v="128"/>
    <x v="0"/>
    <n v="48"/>
    <n v="3051"/>
    <n v="3.6149289099526065"/>
    <n v="3051"/>
    <n v="3.6149289099526065"/>
    <s v="[Cool Finish Package Kitchen Island Floor 31 - 35 Partial Lake View Southern City View Southern Exposure Western Exposure]"/>
    <s v="[view kitchen_island view.water view.city view.direction balcony_patio]"/>
  </r>
  <r>
    <x v="8"/>
    <s v="345 East Wacker Drive"/>
    <x v="113"/>
    <s v="1207"/>
    <n v="12"/>
    <x v="1"/>
    <n v="1"/>
    <m/>
    <x v="208"/>
    <x v="203"/>
    <x v="137"/>
    <x v="0"/>
    <n v="275"/>
    <n v="3278"/>
    <n v="3.8838862559241707"/>
    <n v="3278"/>
    <n v="3.8838862559241707"/>
    <s v="[Floor 11 - 15 Partial Lake View Southern City View Western Exposure Kitchen Island Premium Upgrade]"/>
    <s v="[renovated.fully renovated view kitchen_island view.water view.city view.direction balcony_patio]"/>
  </r>
  <r>
    <x v="8"/>
    <s v="345 East Wacker Drive"/>
    <x v="113"/>
    <s v="2407"/>
    <n v="24"/>
    <x v="1"/>
    <n v="1"/>
    <m/>
    <x v="208"/>
    <x v="157"/>
    <x v="587"/>
    <x v="0"/>
    <n v="104"/>
    <n v="3354"/>
    <n v="3.9739336492890995"/>
    <n v="3354"/>
    <n v="3.9739336492890995"/>
    <s v="[Roller Shades Kitchen Island Floor 21 - 25 Partial Lake View Southern City View Southern Exposure Western Exposure Premium Upgrade]"/>
    <s v="[renovated.fully renovated view kitchen_island view.water view.city view.direction balcony_patio]"/>
  </r>
  <r>
    <x v="8"/>
    <s v="345 East Wacker Drive"/>
    <x v="113"/>
    <s v="2107"/>
    <n v="21"/>
    <x v="1"/>
    <n v="1"/>
    <m/>
    <x v="208"/>
    <x v="370"/>
    <x v="461"/>
    <x v="0"/>
    <n v="74"/>
    <n v="3496"/>
    <n v="4.1421800947867302"/>
    <n v="3496"/>
    <n v="4.1421800947867302"/>
    <s v="[Western Exposure Floor 21 - 25 Partial Lake View Southern City View Modified Unit Kitchen Island Southern Exposure Premium Upgrade]"/>
    <s v="[renovated.fully renovated view kitchen_island view.water view.city view.direction balcony_patio]"/>
  </r>
  <r>
    <x v="8"/>
    <s v="345 East Wacker Drive"/>
    <x v="113"/>
    <s v="1607"/>
    <n v="16"/>
    <x v="1"/>
    <n v="1"/>
    <m/>
    <x v="208"/>
    <x v="534"/>
    <x v="19"/>
    <x v="0"/>
    <n v="16"/>
    <n v="3673"/>
    <n v="4.3518957345971563"/>
    <n v="3673"/>
    <n v="4.3518957345971563"/>
    <s v="[Floor 16 - 20 Partial Lake View Southern City View Southern Exposure Western Exposure Kitchen Island Cool Finish Package]"/>
    <s v="[view kitchen_island view.water view.city view.direction balcony_patio]"/>
  </r>
  <r>
    <x v="8"/>
    <s v="345 East Wacker Drive"/>
    <x v="113"/>
    <s v="3007"/>
    <n v="30"/>
    <x v="1"/>
    <n v="1"/>
    <m/>
    <x v="208"/>
    <x v="395"/>
    <x v="530"/>
    <x v="0"/>
    <n v="44"/>
    <n v="2619"/>
    <n v="3.1030805687203791"/>
    <n v="2469"/>
    <n v="2.925355450236967"/>
    <s v="[]"/>
    <s v="[]"/>
  </r>
  <r>
    <x v="8"/>
    <s v="345 East Wacker Drive"/>
    <x v="113"/>
    <s v="2307"/>
    <n v="23"/>
    <x v="1"/>
    <n v="1"/>
    <m/>
    <x v="208"/>
    <x v="347"/>
    <x v="143"/>
    <x v="0"/>
    <n v="4"/>
    <n v="2804"/>
    <n v="3.3222748815165879"/>
    <n v="2804"/>
    <n v="3.3222748815165879"/>
    <s v="[]"/>
    <s v="[]"/>
  </r>
  <r>
    <x v="8"/>
    <s v="345 East Wacker Drive"/>
    <x v="113"/>
    <s v="2207"/>
    <n v="22"/>
    <x v="1"/>
    <n v="1"/>
    <m/>
    <x v="208"/>
    <x v="172"/>
    <x v="367"/>
    <x v="0"/>
    <n v="6"/>
    <n v="2884"/>
    <n v="3.4170616113744074"/>
    <n v="2884"/>
    <n v="3.4170616113744074"/>
    <s v="[]"/>
    <s v="[]"/>
  </r>
  <r>
    <x v="8"/>
    <s v="345 East Wacker Drive"/>
    <x v="274"/>
    <s v="2907"/>
    <n v="29"/>
    <x v="1"/>
    <n v="1"/>
    <m/>
    <x v="208"/>
    <x v="169"/>
    <x v="389"/>
    <x v="0"/>
    <n v="6"/>
    <n v="2992"/>
    <n v="3.5450236966824646"/>
    <n v="2992"/>
    <n v="3.5450236966824646"/>
    <s v="[]"/>
    <s v="[]"/>
  </r>
  <r>
    <x v="8"/>
    <s v="345 East Wacker Drive"/>
    <x v="113"/>
    <s v="3207"/>
    <n v="32"/>
    <x v="1"/>
    <n v="1"/>
    <m/>
    <x v="208"/>
    <x v="541"/>
    <x v="417"/>
    <x v="0"/>
    <n v="26"/>
    <n v="3226"/>
    <n v="3.8222748815165879"/>
    <n v="3226"/>
    <n v="3.8222748815165879"/>
    <s v="[]"/>
    <s v="[]"/>
  </r>
  <r>
    <x v="8"/>
    <s v="345 East Wacker Drive"/>
    <x v="275"/>
    <s v="2705"/>
    <n v="27"/>
    <x v="1"/>
    <n v="1"/>
    <m/>
    <x v="209"/>
    <x v="256"/>
    <x v="125"/>
    <x v="0"/>
    <n v="5"/>
    <n v="2671"/>
    <n v="3.1497641509433962"/>
    <n v="2671"/>
    <n v="3.1497641509433962"/>
    <s v="[Direct River View Floor 26 - 30 Northern City View Northern Exposure Partial Lake View Western Exposure Modified Unit Kitchen Island Cool Finish Package]"/>
    <s v="[view kitchen_island view.water view.city view.direction balcony_patio]"/>
  </r>
  <r>
    <x v="8"/>
    <s v="345 East Wacker Drive"/>
    <x v="275"/>
    <s v="1105"/>
    <n v="11"/>
    <x v="1"/>
    <n v="1"/>
    <m/>
    <x v="209"/>
    <x v="340"/>
    <x v="138"/>
    <x v="0"/>
    <n v="12"/>
    <n v="2723"/>
    <n v="3.2110849056603774"/>
    <n v="2723"/>
    <n v="3.2110849056603774"/>
    <s v="[Direct River View Floor 11 - 15 Northern City View Northern Exposure Partial Lake View Western Exposure Modified Unit Kitchen Island Cool Finish Package]"/>
    <s v="[view kitchen_island view.water view.city view.direction balcony_patio]"/>
  </r>
  <r>
    <x v="8"/>
    <s v="345 East Wacker Drive"/>
    <x v="275"/>
    <s v="3705"/>
    <n v="37"/>
    <x v="1"/>
    <n v="1"/>
    <m/>
    <x v="209"/>
    <x v="455"/>
    <x v="500"/>
    <x v="0"/>
    <n v="4"/>
    <n v="2808"/>
    <n v="3.3113207547169812"/>
    <n v="2621"/>
    <n v="3.0908018867924527"/>
    <s v="[Direct River View Floor 36 - 40 Northern City View Northern Exposure Partial Lake View Western Exposure Modified Unit Calm Finish Package Kitchen Island]"/>
    <s v="[view kitchen_island view.water view.city view.direction balcony_patio]"/>
  </r>
  <r>
    <x v="8"/>
    <s v="345 East Wacker Drive"/>
    <x v="275"/>
    <s v="1205"/>
    <n v="12"/>
    <x v="1"/>
    <n v="1"/>
    <m/>
    <x v="209"/>
    <x v="479"/>
    <x v="279"/>
    <x v="0"/>
    <n v="3"/>
    <n v="2879"/>
    <n v="3.3950471698113209"/>
    <n v="2879"/>
    <n v="3.3950471698113209"/>
    <s v="[Direct River View Floor 11 - 15 Kitchen Island Modified Unit Northern City View Northern Exposure Partial Lake View Western Exposure Cool Finish Package]"/>
    <s v="[view kitchen_island view.water view.city view.direction balcony_patio]"/>
  </r>
  <r>
    <x v="8"/>
    <s v="345 East Wacker Drive"/>
    <x v="111"/>
    <s v="0505"/>
    <n v="5"/>
    <x v="1"/>
    <n v="1"/>
    <m/>
    <x v="209"/>
    <x v="60"/>
    <x v="290"/>
    <x v="0"/>
    <n v="25"/>
    <n v="2919"/>
    <n v="3.4422169811320753"/>
    <n v="2919"/>
    <n v="3.4422169811320753"/>
    <s v="[Calm Finish Package Direct River View Kitchen Island Northern City View Northern Exposure Partial Lake View Western Exposure]"/>
    <s v="[view kitchen_island view.water view.city view.direction balcony_patio]"/>
  </r>
  <r>
    <x v="8"/>
    <s v="345 East Wacker Drive"/>
    <x v="111"/>
    <s v="2205"/>
    <n v="22"/>
    <x v="1"/>
    <n v="1"/>
    <m/>
    <x v="209"/>
    <x v="101"/>
    <x v="61"/>
    <x v="0"/>
    <n v="5"/>
    <n v="2937"/>
    <n v="3.4634433962264151"/>
    <n v="2937"/>
    <n v="3.4634433962264151"/>
    <s v="[Calm Finish Package Direct River View Floor 21 - 25 Kitchen Island Northern City View Northern Exposure Partial Lake View Western Exposure]"/>
    <s v="[view kitchen_island view.water view.city view.direction balcony_patio]"/>
  </r>
  <r>
    <x v="8"/>
    <s v="345 East Wacker Drive"/>
    <x v="111"/>
    <s v="1405"/>
    <n v="14"/>
    <x v="1"/>
    <n v="1"/>
    <m/>
    <x v="209"/>
    <x v="542"/>
    <x v="18"/>
    <x v="0"/>
    <n v="4"/>
    <n v="3009"/>
    <n v="3.5483490566037736"/>
    <n v="3009"/>
    <n v="3.5483490566037736"/>
    <s v="[Direct River View Floor 11 - 15 Kitchen Island Northern City View Northern Exposure Partial Lake View Western Exposure Calm Finish Package]"/>
    <s v="[view kitchen_island view.water view.city view.direction balcony_patio]"/>
  </r>
  <r>
    <x v="8"/>
    <s v="345 East Wacker Drive"/>
    <x v="111"/>
    <s v="2405"/>
    <n v="24"/>
    <x v="1"/>
    <n v="1"/>
    <m/>
    <x v="209"/>
    <x v="234"/>
    <x v="279"/>
    <x v="0"/>
    <n v="25"/>
    <n v="3063"/>
    <n v="3.6120283018867925"/>
    <n v="3063"/>
    <n v="3.6120283018867925"/>
    <s v="[Kitchen Island Northern City View Northern Exposure Partial Lake View Western Exposure Direct River View Floor 21 - 25 Cool Finish Package]"/>
    <s v="[view kitchen_island view.water view.city view.direction balcony_patio]"/>
  </r>
  <r>
    <x v="8"/>
    <s v="345 East Wacker Drive"/>
    <x v="111"/>
    <s v="1505"/>
    <n v="15"/>
    <x v="1"/>
    <n v="1"/>
    <m/>
    <x v="209"/>
    <x v="431"/>
    <x v="19"/>
    <x v="0"/>
    <n v="39"/>
    <n v="3085"/>
    <n v="3.6379716981132075"/>
    <n v="3085"/>
    <n v="3.6379716981132075"/>
    <s v="[Direct River View Floor 11 - 15 Northern City View Northern Exposure Partial Lake View Western Exposure Roller Shades Kitchen Island Cool Finish Package]"/>
    <s v="[view kitchen_island view.water view.city view.direction balcony_patio]"/>
  </r>
  <r>
    <x v="8"/>
    <s v="345 East Wacker Drive"/>
    <x v="111"/>
    <s v="2605"/>
    <n v="26"/>
    <x v="1"/>
    <n v="1"/>
    <m/>
    <x v="209"/>
    <x v="292"/>
    <x v="575"/>
    <x v="0"/>
    <n v="4"/>
    <n v="3086"/>
    <n v="3.6391509433962264"/>
    <n v="3086"/>
    <n v="3.6391509433962264"/>
    <s v="[Western Exposure Direct River View Floor 26 - 30 Kitchen Island Northern City View Northern Exposure Partial Lake View Calm Finish Package]"/>
    <s v="[view kitchen_island view.water view.city view.direction balcony_patio]"/>
  </r>
  <r>
    <x v="8"/>
    <s v="345 East Wacker Drive"/>
    <x v="111"/>
    <s v="0905"/>
    <n v="9"/>
    <x v="1"/>
    <n v="1"/>
    <m/>
    <x v="209"/>
    <x v="133"/>
    <x v="216"/>
    <x v="0"/>
    <n v="4"/>
    <n v="3087"/>
    <n v="3.6403301886792452"/>
    <n v="3087"/>
    <n v="3.6403301886792452"/>
    <s v="[Direct River View Floor 6 - 10 Kitchen Island Northern City View Northern Exposure Partial Lake View Western Exposure Calm Finish Package]"/>
    <s v="[view kitchen_island view.water view.city view.direction balcony_patio]"/>
  </r>
  <r>
    <x v="8"/>
    <s v="345 East Wacker Drive"/>
    <x v="275"/>
    <s v="3105"/>
    <n v="31"/>
    <x v="1"/>
    <n v="1"/>
    <m/>
    <x v="209"/>
    <x v="479"/>
    <x v="279"/>
    <x v="0"/>
    <n v="3"/>
    <n v="3102"/>
    <n v="3.6580188679245285"/>
    <n v="3102"/>
    <n v="3.6580188679245285"/>
    <s v="[Northern City View Northern Exposure Partial Lake View Western Exposure Direct River View Floor 31 - 35 Kitchen Island Modified Unit Cool Finish Package]"/>
    <s v="[view kitchen_island view.water view.city view.direction balcony_patio]"/>
  </r>
  <r>
    <x v="8"/>
    <s v="345 East Wacker Drive"/>
    <x v="111"/>
    <s v="3305"/>
    <n v="33"/>
    <x v="1"/>
    <n v="1"/>
    <m/>
    <x v="209"/>
    <x v="540"/>
    <x v="246"/>
    <x v="0"/>
    <n v="2"/>
    <n v="3113"/>
    <n v="3.670990566037736"/>
    <n v="3113"/>
    <n v="3.670990566037736"/>
    <s v="[Northern City View Northern Exposure Partial Lake View Western Exposure Floor 31 - 35 Direct River View Kitchen Island Calm Finish Package]"/>
    <s v="[view kitchen_island view.water view.city view.direction balcony_patio]"/>
  </r>
  <r>
    <x v="8"/>
    <s v="345 East Wacker Drive"/>
    <x v="111"/>
    <s v="2305"/>
    <n v="23"/>
    <x v="1"/>
    <n v="1"/>
    <m/>
    <x v="209"/>
    <x v="118"/>
    <x v="19"/>
    <x v="0"/>
    <n v="22"/>
    <n v="3135"/>
    <n v="3.6969339622641511"/>
    <n v="3135"/>
    <n v="3.6969339622641511"/>
    <s v="[Direct River View Floor 21 - 25 Northern City View Northern Exposure Partial Lake View Western Exposure Kitchen Island Cool Finish Package]"/>
    <s v="[view kitchen_island view.water view.city view.direction balcony_patio]"/>
  </r>
  <r>
    <x v="8"/>
    <s v="345 East Wacker Drive"/>
    <x v="111"/>
    <s v="2105"/>
    <n v="21"/>
    <x v="1"/>
    <n v="1"/>
    <m/>
    <x v="209"/>
    <x v="274"/>
    <x v="413"/>
    <x v="0"/>
    <n v="52"/>
    <n v="3177"/>
    <n v="3.7464622641509435"/>
    <n v="3177"/>
    <n v="3.7464622641509435"/>
    <s v="[Direct River View Floor 21 - 25 Northern City View Northern Exposure Partial Lake View Western Exposure Calm Finish Package Kitchen Island]"/>
    <s v="[view kitchen_island view.water view.city view.direction balcony_patio]"/>
  </r>
  <r>
    <x v="8"/>
    <s v="345 East Wacker Drive"/>
    <x v="111"/>
    <s v="2905"/>
    <n v="29"/>
    <x v="1"/>
    <n v="1"/>
    <m/>
    <x v="209"/>
    <x v="292"/>
    <x v="351"/>
    <x v="0"/>
    <n v="26"/>
    <n v="3213"/>
    <n v="3.7889150943396226"/>
    <n v="3213"/>
    <n v="3.7889150943396226"/>
    <s v="[Calm Finish Package Direct River View Floor 26 - 30 Kitchen Island Northern City View Northern Exposure Partial Lake View Western Exposure]"/>
    <s v="[view kitchen_island view.water view.city view.direction balcony_patio]"/>
  </r>
  <r>
    <x v="8"/>
    <s v="345 East Wacker Drive"/>
    <x v="111"/>
    <s v="3405"/>
    <n v="34"/>
    <x v="1"/>
    <n v="1"/>
    <m/>
    <x v="209"/>
    <x v="106"/>
    <x v="29"/>
    <x v="0"/>
    <n v="7"/>
    <n v="3220"/>
    <n v="3.7971698113207548"/>
    <n v="3220"/>
    <n v="3.7971698113207548"/>
    <s v="[Direct River View Floor 31 - 35 Northern City View Partial Lake View Western Exposure Kitchen Island Calm Finish Package]"/>
    <s v="[view kitchen_island view.water view.city view.direction balcony_patio]"/>
  </r>
  <r>
    <x v="8"/>
    <s v="345 East Wacker Drive"/>
    <x v="111"/>
    <s v="2805"/>
    <n v="28"/>
    <x v="1"/>
    <n v="1"/>
    <m/>
    <x v="209"/>
    <x v="146"/>
    <x v="465"/>
    <x v="0"/>
    <n v="120"/>
    <n v="2988"/>
    <n v="3.5235849056603774"/>
    <n v="2838"/>
    <n v="3.3466981132075473"/>
    <s v="[]"/>
    <s v="[]"/>
  </r>
  <r>
    <x v="8"/>
    <s v="345 East Wacker Drive"/>
    <x v="276"/>
    <s v="3212"/>
    <n v="32"/>
    <x v="2"/>
    <n v="1"/>
    <m/>
    <x v="91"/>
    <x v="108"/>
    <x v="436"/>
    <x v="0"/>
    <n v="3"/>
    <n v="3233"/>
    <n v="3.5763274336283186"/>
    <n v="3233"/>
    <n v="3.5763274336283186"/>
    <s v="[Direct Lake View Eastern Exposure Floor 31 - 35 Partial River View Southern City View Calm Finish Package Modified Unit Kitchen Island Southern Exposure]"/>
    <s v="[view kitchen_island view.water view.city view.direction]"/>
  </r>
  <r>
    <x v="8"/>
    <s v="345 East Wacker Drive"/>
    <x v="277"/>
    <s v="3712"/>
    <n v="37"/>
    <x v="2"/>
    <n v="1"/>
    <m/>
    <x v="91"/>
    <x v="530"/>
    <x v="170"/>
    <x v="0"/>
    <n v="2"/>
    <n v="3418"/>
    <n v="3.7809734513274336"/>
    <n v="3418"/>
    <n v="3.7809734513274336"/>
    <s v="[Eastern Exposure Floor 36 - 40 Direct Lake View Partial River View Southern City View Calm Finish Package Kitchen Island Southern Exposure]"/>
    <s v="[view kitchen_island view.water view.city view.direction]"/>
  </r>
  <r>
    <x v="8"/>
    <s v="345 East Wacker Drive"/>
    <x v="277"/>
    <s v="2512"/>
    <n v="25"/>
    <x v="2"/>
    <n v="1"/>
    <m/>
    <x v="91"/>
    <x v="147"/>
    <x v="218"/>
    <x v="0"/>
    <n v="25"/>
    <n v="3426"/>
    <n v="3.7898230088495577"/>
    <n v="3426"/>
    <n v="3.7898230088495577"/>
    <s v="[Direct Lake View Eastern Exposure Floor 21 - 25 Partial River View Southern City View Calm Finish Package Kitchen Island Southern Exposure]"/>
    <s v="[view kitchen_island view.water view.city view.direction]"/>
  </r>
  <r>
    <x v="8"/>
    <s v="345 East Wacker Drive"/>
    <x v="276"/>
    <s v="2412"/>
    <n v="24"/>
    <x v="2"/>
    <n v="1"/>
    <m/>
    <x v="91"/>
    <x v="422"/>
    <x v="138"/>
    <x v="0"/>
    <n v="10"/>
    <n v="3441"/>
    <n v="3.8064159292035398"/>
    <n v="3441"/>
    <n v="3.8064159292035398"/>
    <s v="[Direct Lake View Eastern Exposure Floor 21 - 25 Partial River View Southern City View Modified Unit Kitchen Island Southern Exposure Cool Finish Package]"/>
    <s v="[view kitchen_island view.water view.city view.direction]"/>
  </r>
  <r>
    <x v="8"/>
    <s v="345 East Wacker Drive"/>
    <x v="277"/>
    <s v="1512"/>
    <n v="15"/>
    <x v="2"/>
    <n v="1"/>
    <m/>
    <x v="91"/>
    <x v="387"/>
    <x v="555"/>
    <x v="0"/>
    <n v="130"/>
    <n v="3451"/>
    <n v="3.8174778761061945"/>
    <n v="3451"/>
    <n v="3.8174778761061945"/>
    <s v="[Direct Lake View Eastern Exposure Floor 11 - 15 Kitchen Island Partial River View Southern City View Southern Exposure Cool Finish Package]"/>
    <s v="[view kitchen_island view.water view.city view.direction]"/>
  </r>
  <r>
    <x v="8"/>
    <s v="345 East Wacker Drive"/>
    <x v="277"/>
    <s v="2712"/>
    <n v="27"/>
    <x v="2"/>
    <n v="1"/>
    <m/>
    <x v="91"/>
    <x v="118"/>
    <x v="410"/>
    <x v="0"/>
    <n v="14"/>
    <n v="3471"/>
    <n v="3.8396017699115044"/>
    <n v="3471"/>
    <n v="3.8396017699115044"/>
    <s v="[Direct Lake View Eastern Exposure Floor 26 - 30 Partial River View Southern City View Southern Exposure Upgrade Kitchen Island Cool Finish Package]"/>
    <s v="[renovated view kitchen_island view.water view.city view.direction]"/>
  </r>
  <r>
    <x v="8"/>
    <s v="345 East Wacker Drive"/>
    <x v="277"/>
    <s v="4112"/>
    <n v="41"/>
    <x v="2"/>
    <n v="1"/>
    <m/>
    <x v="91"/>
    <x v="101"/>
    <x v="47"/>
    <x v="0"/>
    <n v="6"/>
    <n v="3493"/>
    <n v="3.8639380530973453"/>
    <n v="3493"/>
    <n v="3.8639380530973453"/>
    <s v="[Calm Finish Package Direct Lake View Eastern Exposure Floor 41 + Kitchen Island Southern City View Southern Exposure]"/>
    <s v="[view kitchen_island view.water floor view.direction view.city]"/>
  </r>
  <r>
    <x v="8"/>
    <s v="345 East Wacker Drive"/>
    <x v="276"/>
    <s v="2312"/>
    <n v="23"/>
    <x v="2"/>
    <n v="1"/>
    <m/>
    <x v="91"/>
    <x v="329"/>
    <x v="39"/>
    <x v="0"/>
    <n v="8"/>
    <n v="3512"/>
    <n v="3.8849557522123894"/>
    <n v="3512"/>
    <n v="3.8849557522123894"/>
    <s v="[Direct Lake View Eastern Exposure Floor 21 - 25 Kitchen Island Partial River View Southern City View Southern Exposure Cool Finish Package Modified Unit]"/>
    <s v="[view kitchen_island view.water view.city view.direction]"/>
  </r>
  <r>
    <x v="8"/>
    <s v="345 East Wacker Drive"/>
    <x v="277"/>
    <s v="4012"/>
    <n v="40"/>
    <x v="2"/>
    <n v="1"/>
    <m/>
    <x v="91"/>
    <x v="322"/>
    <x v="431"/>
    <x v="0"/>
    <n v="35"/>
    <n v="3600"/>
    <n v="3.9823008849557522"/>
    <n v="3600"/>
    <n v="3.9823008849557522"/>
    <s v="[Direct Lake View Eastern Exposure Floor 36 - 40 Kitchen Island Southern City View Cool Finish Package Southern Exposure]"/>
    <s v="[view kitchen_island view.water view.city view.direction]"/>
  </r>
  <r>
    <x v="8"/>
    <s v="345 East Wacker Drive"/>
    <x v="277"/>
    <s v="3012"/>
    <n v="30"/>
    <x v="2"/>
    <n v="1"/>
    <m/>
    <x v="91"/>
    <x v="273"/>
    <x v="311"/>
    <x v="0"/>
    <n v="102"/>
    <n v="3655"/>
    <n v="4.043141592920354"/>
    <n v="3655"/>
    <n v="4.043141592920354"/>
    <s v="[Direct Lake View Eastern Exposure Floor 26 - 30 Partial River View Southern City View Calm Finish Package Upgrade Kitchen Island Southern Exposure]"/>
    <s v="[renovated view kitchen_island view.water view.city view.direction]"/>
  </r>
  <r>
    <x v="8"/>
    <s v="345 East Wacker Drive"/>
    <x v="277"/>
    <s v="4412"/>
    <n v="44"/>
    <x v="2"/>
    <n v="1"/>
    <m/>
    <x v="91"/>
    <x v="41"/>
    <x v="588"/>
    <x v="0"/>
    <n v="36"/>
    <n v="3665"/>
    <n v="4.0542035398230087"/>
    <n v="3665"/>
    <n v="4.0542035398230087"/>
    <s v="[Direct Lake View Eastern Exposure Floor 41 + Kitchen Island Southern City View Cool Finish Package Southern Exposure]"/>
    <s v="[view kitchen_island view.water floor view.direction view.city]"/>
  </r>
  <r>
    <x v="8"/>
    <s v="345 East Wacker Drive"/>
    <x v="276"/>
    <s v="4212"/>
    <n v="42"/>
    <x v="2"/>
    <n v="1"/>
    <m/>
    <x v="91"/>
    <x v="543"/>
    <x v="287"/>
    <x v="0"/>
    <n v="55"/>
    <n v="3212"/>
    <n v="3.5530973451327434"/>
    <n v="3212"/>
    <n v="3.5530973451327434"/>
    <s v="[]"/>
    <s v="[]"/>
  </r>
  <r>
    <x v="8"/>
    <s v="345 East Wacker Drive"/>
    <x v="277"/>
    <s v="4312"/>
    <n v="43"/>
    <x v="2"/>
    <n v="1"/>
    <m/>
    <x v="91"/>
    <x v="390"/>
    <x v="183"/>
    <x v="0"/>
    <n v="93"/>
    <n v="3447"/>
    <n v="3.8130530973451329"/>
    <n v="3447"/>
    <n v="3.8130530973451329"/>
    <s v="[]"/>
    <s v="[]"/>
  </r>
  <r>
    <x v="8"/>
    <s v="345 East Wacker Drive"/>
    <x v="277"/>
    <s v="2212"/>
    <n v="22"/>
    <x v="2"/>
    <n v="1"/>
    <m/>
    <x v="91"/>
    <x v="25"/>
    <x v="222"/>
    <x v="0"/>
    <n v="11"/>
    <n v="3476"/>
    <n v="3.8451327433628317"/>
    <n v="3476"/>
    <n v="3.8451327433628317"/>
    <s v="[]"/>
    <s v="[]"/>
  </r>
  <r>
    <x v="8"/>
    <s v="345 East Wacker Drive"/>
    <x v="277"/>
    <s v="2112"/>
    <n v="21"/>
    <x v="2"/>
    <n v="1"/>
    <m/>
    <x v="91"/>
    <x v="130"/>
    <x v="267"/>
    <x v="0"/>
    <m/>
    <n v="3514"/>
    <n v="3.8871681415929205"/>
    <n v="3514"/>
    <n v="3.8871681415929205"/>
    <s v="[]"/>
    <s v="[]"/>
  </r>
  <r>
    <x v="8"/>
    <s v="345 East Wacker Drive"/>
    <x v="277"/>
    <s v="1712"/>
    <n v="17"/>
    <x v="2"/>
    <n v="1"/>
    <m/>
    <x v="91"/>
    <x v="541"/>
    <x v="117"/>
    <x v="0"/>
    <n v="12"/>
    <n v="3523"/>
    <n v="3.8971238938053099"/>
    <n v="3523"/>
    <n v="3.8971238938053099"/>
    <s v="[]"/>
    <s v="[]"/>
  </r>
  <r>
    <x v="8"/>
    <s v="345 East Wacker Drive"/>
    <x v="277"/>
    <s v="2612"/>
    <n v="26"/>
    <x v="2"/>
    <n v="1"/>
    <m/>
    <x v="91"/>
    <x v="330"/>
    <x v="589"/>
    <x v="0"/>
    <n v="4"/>
    <n v="3526"/>
    <n v="3.9004424778761062"/>
    <n v="3526"/>
    <n v="3.9004424778761062"/>
    <s v="[]"/>
    <s v="[]"/>
  </r>
  <r>
    <x v="8"/>
    <s v="345 East Wacker Drive"/>
    <x v="277"/>
    <s v="3312"/>
    <n v="33"/>
    <x v="2"/>
    <n v="1"/>
    <m/>
    <x v="91"/>
    <x v="439"/>
    <x v="35"/>
    <x v="0"/>
    <n v="83"/>
    <n v="3531"/>
    <n v="3.9059734513274336"/>
    <n v="3531"/>
    <n v="3.9059734513274336"/>
    <s v="[]"/>
    <s v="[]"/>
  </r>
  <r>
    <x v="8"/>
    <s v="345 East Wacker Drive"/>
    <x v="278"/>
    <s v="4602"/>
    <n v="46"/>
    <x v="2"/>
    <n v="2"/>
    <n v="1"/>
    <x v="210"/>
    <x v="141"/>
    <x v="280"/>
    <x v="0"/>
    <n v="332"/>
    <n v="5798"/>
    <n v="3.6789340101522843"/>
    <n v="5798"/>
    <n v="3.6789340101522843"/>
    <s v="[Direct River View Floor 41 + Northern City View Northern Exposure Partial Lake View Penthouse Roller Shades]"/>
    <s v="[floor.penthouse view view.water floor view.direction view.city balcony_patio]"/>
  </r>
  <r>
    <x v="8"/>
    <s v="345 East Wacker Drive"/>
    <x v="137"/>
    <s v="4407"/>
    <n v="44"/>
    <x v="2"/>
    <n v="2"/>
    <m/>
    <x v="211"/>
    <x v="13"/>
    <x v="104"/>
    <x v="0"/>
    <n v="67"/>
    <n v="4036"/>
    <n v="3.8075471698113206"/>
    <n v="4036"/>
    <n v="3.8075471698113206"/>
    <s v="[Floor 41 + Kitchen Island Partial Lake View Southern City View Southern Exposure Western Exposure Cool Finish Package]"/>
    <s v="[view kitchen_island view.water floor view.direction view.city balcony_patio]"/>
  </r>
  <r>
    <x v="8"/>
    <s v="345 East Wacker Drive"/>
    <x v="137"/>
    <s v="4107"/>
    <n v="41"/>
    <x v="2"/>
    <n v="2"/>
    <m/>
    <x v="211"/>
    <x v="54"/>
    <x v="247"/>
    <x v="0"/>
    <n v="39"/>
    <n v="4129"/>
    <n v="3.8952830188679246"/>
    <n v="4129"/>
    <n v="3.8952830188679246"/>
    <s v="[Floor 41 + Partial Lake View Southern City View Western Exposure Kitchen Island Calm Finish Package Southern Exposure Roller Shades]"/>
    <s v="[view kitchen_island view.water floor view.direction view.city balcony_patio]"/>
  </r>
  <r>
    <x v="8"/>
    <s v="345 East Wacker Drive"/>
    <x v="137"/>
    <s v="4207"/>
    <n v="42"/>
    <x v="2"/>
    <n v="2"/>
    <m/>
    <x v="211"/>
    <x v="486"/>
    <x v="285"/>
    <x v="0"/>
    <n v="40"/>
    <n v="4400"/>
    <n v="4.1509433962264151"/>
    <n v="4400"/>
    <n v="4.1509433962264151"/>
    <s v="[Calm Finish Package Floor 41 + Kitchen Island Partial Lake View Southern City View Western Exposure Southern Exposure]"/>
    <s v="[view kitchen_island view.water floor view.direction view.city balcony_patio]"/>
  </r>
  <r>
    <x v="8"/>
    <s v="345 East Wacker Drive"/>
    <x v="279"/>
    <s v="4307"/>
    <n v="43"/>
    <x v="2"/>
    <n v="2"/>
    <m/>
    <x v="211"/>
    <x v="262"/>
    <x v="28"/>
    <x v="1"/>
    <m/>
    <n v="4421"/>
    <n v="4.1707547169811319"/>
    <n v="4421"/>
    <n v="4.1707547169811319"/>
    <s v="[Floor 41 + Partial Lake View Southern City View Western Exposure Upgrade Cool Finish Package Kitchen Island]"/>
    <s v="[renovated view kitchen_island view.water floor view.direction view.city]"/>
  </r>
  <r>
    <x v="8"/>
    <s v="345 East Wacker Drive"/>
    <x v="279"/>
    <s v="4507"/>
    <n v="45"/>
    <x v="2"/>
    <n v="2"/>
    <m/>
    <x v="211"/>
    <x v="130"/>
    <x v="387"/>
    <x v="0"/>
    <m/>
    <n v="4149"/>
    <n v="3.9141509433962263"/>
    <n v="4149"/>
    <n v="3.9141509433962263"/>
    <s v="[]"/>
    <s v="[]"/>
  </r>
  <r>
    <x v="8"/>
    <s v="345 East Wacker Drive"/>
    <x v="280"/>
    <s v="4205"/>
    <n v="42"/>
    <x v="2"/>
    <n v="2"/>
    <m/>
    <x v="163"/>
    <x v="220"/>
    <x v="360"/>
    <x v="0"/>
    <n v="2"/>
    <n v="3918"/>
    <n v="3.5715587967183229"/>
    <n v="3918"/>
    <n v="3.5715587967183229"/>
    <s v="[Partial Lake View Western Exposure Calm Finish Package Direct River View Floor 41 + Kitchen Island Northern City View Northern Exposure Roller Shades]"/>
    <s v="[view kitchen_island view.water floor view.direction view.city balcony_patio]"/>
  </r>
  <r>
    <x v="8"/>
    <s v="345 East Wacker Drive"/>
    <x v="281"/>
    <s v="4105"/>
    <n v="41"/>
    <x v="2"/>
    <n v="2"/>
    <m/>
    <x v="163"/>
    <x v="496"/>
    <x v="253"/>
    <x v="0"/>
    <n v="49"/>
    <n v="4998"/>
    <n v="4.5560619872379213"/>
    <n v="4998"/>
    <n v="4.5560619872379213"/>
    <s v="[Northern City View Northern Exposure Partial Lake View Western Exposure Modified Unit Calm Finish Package Direct River View Floor 41 + Kitchen Island Upgrade]"/>
    <s v="[renovated view floor kitchen_island view.water view.city view.direction balcony_patio]"/>
  </r>
  <r>
    <x v="8"/>
    <s v="345 East Wacker Drive"/>
    <x v="133"/>
    <s v="1301"/>
    <n v="13"/>
    <x v="2"/>
    <n v="2"/>
    <m/>
    <x v="212"/>
    <x v="34"/>
    <x v="66"/>
    <x v="0"/>
    <n v="3"/>
    <n v="4165"/>
    <n v="3.5567890691716482"/>
    <n v="4165"/>
    <n v="3.5567890691716482"/>
    <s v="[Direct Lake View Direct River View Eastern Exposure Floor 11 - 15 Northern City View Reduced Sightline Kitchen Island Calm Finish Package]"/>
    <s v="[view kitchen_island view.water view.city view.direction]"/>
  </r>
  <r>
    <x v="8"/>
    <s v="345 East Wacker Drive"/>
    <x v="133"/>
    <s v="3901"/>
    <n v="39"/>
    <x v="2"/>
    <n v="2"/>
    <m/>
    <x v="212"/>
    <x v="301"/>
    <x v="110"/>
    <x v="0"/>
    <n v="64"/>
    <n v="4558"/>
    <n v="3.8923996584116138"/>
    <n v="4558"/>
    <n v="3.8923996584116138"/>
    <s v="[Direct Lake View Direct River View Eastern Exposure Floor 36 - 40 Northern City View Upgrade Kitchen Island Cool Finish Package]"/>
    <s v="[renovated view kitchen_island view.water view.city view.direction]"/>
  </r>
  <r>
    <x v="8"/>
    <s v="345 East Wacker Drive"/>
    <x v="134"/>
    <s v="2901"/>
    <n v="29"/>
    <x v="2"/>
    <n v="2"/>
    <m/>
    <x v="213"/>
    <x v="134"/>
    <x v="139"/>
    <x v="0"/>
    <n v="2"/>
    <n v="4164"/>
    <n v="3.447019867549669"/>
    <n v="4164"/>
    <n v="3.447019867549669"/>
    <s v="[Direct Lake View Direct River View Eastern Exposure Floor 26 - 30 Kitchen Island Northern City View Northern Exposure Calm Finish Package Roller Shades]"/>
    <s v="[view kitchen_island view.water view.city view.direction balcony_patio]"/>
  </r>
  <r>
    <x v="8"/>
    <s v="345 East Wacker Drive"/>
    <x v="282"/>
    <s v="2501"/>
    <n v="25"/>
    <x v="2"/>
    <n v="2"/>
    <m/>
    <x v="213"/>
    <x v="423"/>
    <x v="6"/>
    <x v="0"/>
    <n v="7"/>
    <n v="4192"/>
    <n v="3.4701986754966887"/>
    <n v="4192"/>
    <n v="3.4701986754966887"/>
    <s v="[Direct Lake View Direct River View Eastern Exposure Floor 21 - 25 Northern City View Northern Exposure Calm Finish Package Modified Unit Kitchen Island]"/>
    <s v="[view kitchen_island view.water view.city view.direction]"/>
  </r>
  <r>
    <x v="8"/>
    <s v="345 East Wacker Drive"/>
    <x v="134"/>
    <s v="2001"/>
    <n v="20"/>
    <x v="2"/>
    <n v="2"/>
    <m/>
    <x v="213"/>
    <x v="413"/>
    <x v="279"/>
    <x v="0"/>
    <n v="2"/>
    <n v="4284"/>
    <n v="3.5463576158940397"/>
    <n v="4284"/>
    <n v="3.5463576158940397"/>
    <s v="[Direct Lake View Direct River View Eastern Exposure Floor 16 - 20 Kitchen Island Northern City View Northern Exposure Upgrade Cool Finish Package]"/>
    <s v="[renovated view kitchen_island view.water view.city view.direction balcony_patio]"/>
  </r>
  <r>
    <x v="8"/>
    <s v="345 East Wacker Drive"/>
    <x v="134"/>
    <s v="3501"/>
    <n v="35"/>
    <x v="2"/>
    <n v="2"/>
    <m/>
    <x v="213"/>
    <x v="24"/>
    <x v="88"/>
    <x v="0"/>
    <n v="2"/>
    <n v="4491"/>
    <n v="3.7177152317880795"/>
    <n v="4491"/>
    <n v="3.7177152317880795"/>
    <s v="[Northern Exposure Direct Lake View Direct River View Eastern Exposure Floor 31 - 35 Kitchen Island Northern City View Upgrade Cool Finish Package]"/>
    <s v="[renovated view kitchen_island view.water view.city view.direction balcony_patio]"/>
  </r>
  <r>
    <x v="8"/>
    <s v="345 East Wacker Drive"/>
    <x v="134"/>
    <s v="2101"/>
    <n v="21"/>
    <x v="2"/>
    <n v="2"/>
    <m/>
    <x v="213"/>
    <x v="378"/>
    <x v="590"/>
    <x v="0"/>
    <n v="3"/>
    <n v="3952"/>
    <n v="3.2715231788079469"/>
    <n v="3802"/>
    <n v="3.1473509933774833"/>
    <s v="[]"/>
    <s v="[]"/>
  </r>
  <r>
    <x v="8"/>
    <s v="345 East Wacker Drive"/>
    <x v="134"/>
    <s v="2301"/>
    <n v="23"/>
    <x v="2"/>
    <n v="2"/>
    <m/>
    <x v="213"/>
    <x v="244"/>
    <x v="591"/>
    <x v="0"/>
    <n v="9"/>
    <n v="4238"/>
    <n v="3.5082781456953644"/>
    <n v="4238"/>
    <n v="3.5082781456953644"/>
    <s v="[]"/>
    <s v="[]"/>
  </r>
  <r>
    <x v="8"/>
    <s v="345 East Wacker Drive"/>
    <x v="134"/>
    <s v="1401"/>
    <n v="14"/>
    <x v="2"/>
    <n v="2"/>
    <m/>
    <x v="213"/>
    <x v="544"/>
    <x v="592"/>
    <x v="0"/>
    <n v="29"/>
    <n v="4308"/>
    <n v="3.5662251655629138"/>
    <n v="4308"/>
    <n v="3.5662251655629138"/>
    <s v="[]"/>
    <s v="[]"/>
  </r>
  <r>
    <x v="8"/>
    <s v="345 East Wacker Drive"/>
    <x v="283"/>
    <s v="4605"/>
    <n v="46"/>
    <x v="2"/>
    <n v="2"/>
    <m/>
    <x v="94"/>
    <x v="30"/>
    <x v="500"/>
    <x v="0"/>
    <n v="3"/>
    <n v="4666"/>
    <n v="3.7996742671009773"/>
    <n v="4355"/>
    <n v="3.5464169381107493"/>
    <s v="[Direct Lake View Floor 41 + Southern City View Penthouse Southern Exposure Kitchen Island]"/>
    <s v="[floor.penthouse kitchen_island view.water view floor view.direction view.city]"/>
  </r>
  <r>
    <x v="8"/>
    <s v="345 East Wacker Drive"/>
    <x v="130"/>
    <s v="1201"/>
    <n v="12"/>
    <x v="2"/>
    <n v="2"/>
    <m/>
    <x v="214"/>
    <x v="428"/>
    <x v="85"/>
    <x v="0"/>
    <n v="2"/>
    <n v="4169"/>
    <n v="3.1065573770491803"/>
    <n v="3891"/>
    <n v="2.8994038748137108"/>
    <s v="[Direct Lake View Direct River View Eastern Exposure Floor 11 - 15 Northern City View Northern Exposure Upgrade Reduced Sightline Kitchen Island]"/>
    <s v="[renovated view kitchen_island view.water view.city view.direction balcony_patio]"/>
  </r>
  <r>
    <x v="8"/>
    <s v="345 East Wacker Drive"/>
    <x v="130"/>
    <s v="0901"/>
    <n v="9"/>
    <x v="2"/>
    <n v="2"/>
    <m/>
    <x v="214"/>
    <x v="152"/>
    <x v="256"/>
    <x v="0"/>
    <n v="4"/>
    <n v="4283"/>
    <n v="3.1915052160953801"/>
    <n v="4283"/>
    <n v="3.1915052160953801"/>
    <s v="[Calm Finish Package Direct Lake View Direct River View Eastern Exposure Floor 6 - 10 Kitchen Island Northern City View Northern Exposure Reduced Sightline Upgrade]"/>
    <s v="[renovated view kitchen_island view.water view.city view.direction balcony_patio]"/>
  </r>
  <r>
    <x v="8"/>
    <s v="345 East Wacker Drive"/>
    <x v="130"/>
    <s v="0301"/>
    <n v="3"/>
    <x v="2"/>
    <n v="2"/>
    <m/>
    <x v="214"/>
    <x v="402"/>
    <x v="352"/>
    <x v="0"/>
    <n v="109"/>
    <n v="3796"/>
    <n v="2.8286140089418779"/>
    <n v="3646"/>
    <n v="2.7168405365126675"/>
    <s v="[]"/>
    <s v="[]"/>
  </r>
  <r>
    <x v="8"/>
    <s v="345 East Wacker Drive"/>
    <x v="284"/>
    <s v="4201"/>
    <n v="42"/>
    <x v="4"/>
    <n v="2"/>
    <m/>
    <x v="215"/>
    <x v="77"/>
    <x v="279"/>
    <x v="0"/>
    <n v="134"/>
    <n v="5399"/>
    <n v="3.7441054091539527"/>
    <n v="5399"/>
    <n v="3.7441054091539527"/>
    <s v="[Calm Finish Package Direct Lake View Direct River View Eastern Exposure Floor 41 + Kitchen Island Northern City View Northern Exposure Roller Shades]"/>
    <s v="[view kitchen_island view.water floor view.direction view.city balcony_patio]"/>
  </r>
  <r>
    <x v="8"/>
    <s v="345 East Wacker Drive"/>
    <x v="284"/>
    <s v="4501"/>
    <n v="45"/>
    <x v="4"/>
    <n v="2"/>
    <m/>
    <x v="215"/>
    <x v="479"/>
    <x v="279"/>
    <x v="0"/>
    <n v="3"/>
    <n v="5808"/>
    <n v="4.0277392510402219"/>
    <n v="5808"/>
    <n v="4.0277392510402219"/>
    <s v="[Kitchen Island Northern City View Northern Exposure Calm Finish Package Direct Lake View Direct River View Eastern Exposure Floor 41 +]"/>
    <s v="[view floor kitchen_island view.water view.city view.direction balcony_patio]"/>
  </r>
  <r>
    <x v="8"/>
    <s v="345 East Wacker Drive"/>
    <x v="284"/>
    <s v="4101"/>
    <n v="41"/>
    <x v="4"/>
    <n v="2"/>
    <m/>
    <x v="215"/>
    <x v="125"/>
    <x v="28"/>
    <x v="1"/>
    <m/>
    <n v="5904"/>
    <n v="4.0943134535367545"/>
    <n v="5904"/>
    <n v="4.0943134535367545"/>
    <s v="[Direct River View Eastern Exposure Floor 41 + Kitchen Island Calm Finish Package Roller Shades Northern City View Direct Lake View]"/>
    <s v="[view kitchen_island view.water floor view.direction view.city balcony_patio]"/>
  </r>
  <r>
    <x v="8"/>
    <s v="345 East Wacker Drive"/>
    <x v="284"/>
    <s v="4301"/>
    <n v="43"/>
    <x v="4"/>
    <n v="2"/>
    <m/>
    <x v="215"/>
    <x v="148"/>
    <x v="28"/>
    <x v="1"/>
    <m/>
    <n v="6933"/>
    <n v="4.8079056865464631"/>
    <n v="6933"/>
    <n v="4.8079056865464631"/>
    <s v="[Kitchen Island Direct Lake View Direct River View Eastern Exposure Floor 41 + Northern City View Premium Upgrade]"/>
    <s v="[renovated.fully renovated view kitchen_island view.water floor view.direction view.city balcony_patio]"/>
  </r>
  <r>
    <x v="8"/>
    <s v="345 East Wacker Drive"/>
    <x v="284"/>
    <s v="4001"/>
    <n v="40"/>
    <x v="4"/>
    <n v="2"/>
    <m/>
    <x v="215"/>
    <x v="210"/>
    <x v="580"/>
    <x v="0"/>
    <n v="13"/>
    <n v="5584"/>
    <n v="3.8723994452149793"/>
    <n v="5584"/>
    <n v="3.8723994452149793"/>
    <s v="[]"/>
    <s v="[]"/>
  </r>
  <r>
    <x v="9"/>
    <s v="111 West Wacker Drive"/>
    <x v="285"/>
    <m/>
    <m/>
    <x v="0"/>
    <n v="1"/>
    <m/>
    <x v="216"/>
    <x v="350"/>
    <x v="260"/>
    <x v="0"/>
    <n v="52"/>
    <m/>
    <m/>
    <m/>
    <m/>
    <s v="[]"/>
    <s v="[corner_unit]"/>
  </r>
  <r>
    <x v="9"/>
    <s v="111 West Wacker Drive"/>
    <x v="285"/>
    <s v="5209"/>
    <n v="52"/>
    <x v="0"/>
    <n v="1"/>
    <m/>
    <x v="217"/>
    <x v="545"/>
    <x v="467"/>
    <x v="0"/>
    <n v="87"/>
    <n v="2584"/>
    <n v="4.9596928982725528"/>
    <n v="2584"/>
    <n v="4.9596928982725528"/>
    <s v="[East View]"/>
    <s v="[view.direction view corner_unit]"/>
  </r>
  <r>
    <x v="9"/>
    <s v="111 West Wacker Drive"/>
    <x v="285"/>
    <s v="3809"/>
    <n v="38"/>
    <x v="0"/>
    <n v="1"/>
    <m/>
    <x v="217"/>
    <x v="546"/>
    <x v="593"/>
    <x v="0"/>
    <n v="66"/>
    <n v="2539"/>
    <n v="4.8733205374280226"/>
    <n v="2327"/>
    <n v="4.4664107485604605"/>
    <s v="[]"/>
    <s v="[corner_unit]"/>
  </r>
  <r>
    <x v="9"/>
    <s v="111 West Wacker Drive"/>
    <x v="285"/>
    <s v="5309"/>
    <n v="53"/>
    <x v="0"/>
    <n v="1"/>
    <m/>
    <x v="217"/>
    <x v="372"/>
    <x v="475"/>
    <x v="0"/>
    <n v="14"/>
    <n v="2725"/>
    <n v="5.2303262955854128"/>
    <n v="2498"/>
    <n v="4.794625719769674"/>
    <s v="[]"/>
    <s v="[corner_unit]"/>
  </r>
  <r>
    <x v="9"/>
    <s v="111 West Wacker Drive"/>
    <x v="285"/>
    <s v="5109"/>
    <n v="51"/>
    <x v="0"/>
    <n v="1"/>
    <m/>
    <x v="217"/>
    <x v="330"/>
    <x v="593"/>
    <x v="0"/>
    <n v="30"/>
    <n v="2783"/>
    <n v="5.3416506717850289"/>
    <n v="2551"/>
    <n v="4.8963531669865645"/>
    <s v="[]"/>
    <s v="[corner_unit]"/>
  </r>
  <r>
    <x v="9"/>
    <s v="111 West Wacker Drive"/>
    <x v="285"/>
    <s v="3709"/>
    <n v="37"/>
    <x v="0"/>
    <n v="1"/>
    <m/>
    <x v="218"/>
    <x v="176"/>
    <x v="153"/>
    <x v="0"/>
    <n v="74"/>
    <n v="2342"/>
    <n v="4.4609523809523806"/>
    <n v="2342"/>
    <n v="4.4609523809523806"/>
    <s v="[East View]"/>
    <s v="[view.direction view corner_unit]"/>
  </r>
  <r>
    <x v="9"/>
    <s v="111 West Wacker Drive"/>
    <x v="285"/>
    <s v="4609"/>
    <n v="46"/>
    <x v="0"/>
    <n v="1"/>
    <m/>
    <x v="218"/>
    <x v="333"/>
    <x v="230"/>
    <x v="0"/>
    <n v="51"/>
    <n v="2435"/>
    <n v="4.6380952380952385"/>
    <n v="2232"/>
    <n v="4.2514285714285718"/>
    <s v="[East View]"/>
    <s v="[view.direction view corner_unit]"/>
  </r>
  <r>
    <x v="9"/>
    <s v="111 West Wacker Drive"/>
    <x v="285"/>
    <s v="4109"/>
    <n v="41"/>
    <x v="0"/>
    <n v="1"/>
    <m/>
    <x v="218"/>
    <x v="323"/>
    <x v="434"/>
    <x v="0"/>
    <n v="44"/>
    <n v="2459"/>
    <n v="4.6838095238095239"/>
    <n v="2459"/>
    <n v="4.6838095238095239"/>
    <s v="[East View]"/>
    <s v="[view.direction view corner_unit]"/>
  </r>
  <r>
    <x v="9"/>
    <s v="111 West Wacker Drive"/>
    <x v="285"/>
    <s v="4509"/>
    <n v="45"/>
    <x v="0"/>
    <n v="1"/>
    <m/>
    <x v="218"/>
    <x v="84"/>
    <x v="123"/>
    <x v="0"/>
    <n v="32"/>
    <n v="2524"/>
    <n v="4.8076190476190472"/>
    <n v="2524"/>
    <n v="4.8076190476190472"/>
    <s v="[East View]"/>
    <s v="[view.direction view corner_unit]"/>
  </r>
  <r>
    <x v="9"/>
    <s v="111 West Wacker Drive"/>
    <x v="285"/>
    <s v="3609"/>
    <n v="36"/>
    <x v="0"/>
    <n v="1"/>
    <m/>
    <x v="218"/>
    <x v="444"/>
    <x v="139"/>
    <x v="0"/>
    <n v="142"/>
    <n v="2529"/>
    <n v="4.8171428571428567"/>
    <n v="2529"/>
    <n v="4.8171428571428567"/>
    <s v="[East View]"/>
    <s v="[view.direction view corner_unit]"/>
  </r>
  <r>
    <x v="9"/>
    <s v="111 West Wacker Drive"/>
    <x v="285"/>
    <s v="3309"/>
    <n v="33"/>
    <x v="0"/>
    <n v="1"/>
    <m/>
    <x v="218"/>
    <x v="547"/>
    <x v="28"/>
    <x v="1"/>
    <m/>
    <n v="2861"/>
    <n v="5.4495238095238099"/>
    <n v="2861"/>
    <n v="5.4495238095238099"/>
    <s v="[East View]"/>
    <s v="[view.direction view]"/>
  </r>
  <r>
    <x v="9"/>
    <s v="111 West Wacker Drive"/>
    <x v="285"/>
    <s v="4209"/>
    <n v="42"/>
    <x v="0"/>
    <n v="1"/>
    <m/>
    <x v="218"/>
    <x v="230"/>
    <x v="411"/>
    <x v="0"/>
    <n v="30"/>
    <n v="2617"/>
    <n v="4.9847619047619052"/>
    <n v="2399"/>
    <n v="4.5695238095238091"/>
    <s v="[]"/>
    <s v="[corner_unit]"/>
  </r>
  <r>
    <x v="9"/>
    <s v="111 West Wacker Drive"/>
    <x v="286"/>
    <s v="2507"/>
    <n v="25"/>
    <x v="0"/>
    <n v="1"/>
    <m/>
    <x v="199"/>
    <x v="498"/>
    <x v="28"/>
    <x v="1"/>
    <m/>
    <n v="2258"/>
    <n v="4.1970260223048328"/>
    <n v="2258"/>
    <n v="4.1970260223048328"/>
    <s v="[North View]"/>
    <s v="[view.direction view]"/>
  </r>
  <r>
    <x v="9"/>
    <s v="111 West Wacker Drive"/>
    <x v="286"/>
    <s v="2607"/>
    <n v="26"/>
    <x v="0"/>
    <n v="1"/>
    <m/>
    <x v="199"/>
    <x v="548"/>
    <x v="28"/>
    <x v="1"/>
    <m/>
    <n v="2258"/>
    <n v="4.1970260223048328"/>
    <n v="2258"/>
    <n v="4.1970260223048328"/>
    <s v="[North View]"/>
    <s v="[view.direction view corner_unit]"/>
  </r>
  <r>
    <x v="9"/>
    <s v="111 West Wacker Drive"/>
    <x v="286"/>
    <s v="1607"/>
    <n v="6"/>
    <x v="0"/>
    <n v="1"/>
    <m/>
    <x v="199"/>
    <x v="466"/>
    <x v="41"/>
    <x v="0"/>
    <n v="39"/>
    <n v="2432"/>
    <n v="4.5204460966542754"/>
    <n v="2331"/>
    <n v="4.3327137546468402"/>
    <s v="[North View]"/>
    <s v="[view.direction view corner_unit]"/>
  </r>
  <r>
    <x v="9"/>
    <s v="111 West Wacker Drive"/>
    <x v="286"/>
    <s v="2207"/>
    <n v="22"/>
    <x v="0"/>
    <n v="1"/>
    <m/>
    <x v="199"/>
    <x v="325"/>
    <x v="83"/>
    <x v="0"/>
    <n v="34"/>
    <n v="2434"/>
    <n v="4.5241635687732344"/>
    <n v="2434"/>
    <n v="4.5241635687732344"/>
    <s v="[North View]"/>
    <s v="[view.direction view]"/>
  </r>
  <r>
    <x v="9"/>
    <s v="111 West Wacker Drive"/>
    <x v="286"/>
    <s v="2407"/>
    <n v="24"/>
    <x v="0"/>
    <n v="1"/>
    <m/>
    <x v="199"/>
    <x v="512"/>
    <x v="562"/>
    <x v="0"/>
    <n v="15"/>
    <n v="2296"/>
    <n v="4.2676579925650557"/>
    <n v="2105"/>
    <n v="3.9126394052044611"/>
    <s v="[]"/>
    <s v="[corner_unit]"/>
  </r>
  <r>
    <x v="9"/>
    <s v="111 West Wacker Drive"/>
    <x v="286"/>
    <s v="2707"/>
    <n v="27"/>
    <x v="0"/>
    <n v="1"/>
    <m/>
    <x v="199"/>
    <x v="271"/>
    <x v="313"/>
    <x v="0"/>
    <n v="3"/>
    <n v="2482"/>
    <n v="4.6133828996282524"/>
    <n v="2379"/>
    <n v="4.421933085501859"/>
    <s v="[]"/>
    <s v="[corner_unit]"/>
  </r>
  <r>
    <x v="9"/>
    <s v="111 West Wacker Drive"/>
    <x v="287"/>
    <s v="2203"/>
    <n v="22"/>
    <x v="0"/>
    <n v="1"/>
    <m/>
    <x v="219"/>
    <x v="137"/>
    <x v="275"/>
    <x v="0"/>
    <n v="54"/>
    <n v="2028"/>
    <n v="3.7625231910946195"/>
    <n v="1859"/>
    <n v="3.4489795918367347"/>
    <s v="[North View]"/>
    <s v="[view.direction view corner_unit]"/>
  </r>
  <r>
    <x v="9"/>
    <s v="111 West Wacker Drive"/>
    <x v="286"/>
    <s v="2204"/>
    <n v="22"/>
    <x v="0"/>
    <n v="1"/>
    <m/>
    <x v="219"/>
    <x v="54"/>
    <x v="463"/>
    <x v="0"/>
    <n v="95"/>
    <n v="2030"/>
    <n v="3.7662337662337664"/>
    <n v="2030"/>
    <n v="3.7662337662337664"/>
    <s v="[North View]"/>
    <s v="[view.direction view corner_unit]"/>
  </r>
  <r>
    <x v="9"/>
    <s v="111 West Wacker Drive"/>
    <x v="286"/>
    <s v="1904"/>
    <n v="19"/>
    <x v="0"/>
    <n v="1"/>
    <m/>
    <x v="219"/>
    <x v="549"/>
    <x v="311"/>
    <x v="0"/>
    <n v="84"/>
    <n v="2052"/>
    <n v="3.8070500927643787"/>
    <n v="1881"/>
    <n v="3.489795918367347"/>
    <s v="[North View]"/>
    <s v="[view.direction view]"/>
  </r>
  <r>
    <x v="9"/>
    <s v="111 West Wacker Drive"/>
    <x v="286"/>
    <s v="2104"/>
    <n v="21"/>
    <x v="0"/>
    <n v="1"/>
    <m/>
    <x v="219"/>
    <x v="176"/>
    <x v="27"/>
    <x v="0"/>
    <n v="123"/>
    <n v="2088"/>
    <n v="3.8738404452690167"/>
    <n v="1914"/>
    <n v="3.5510204081632653"/>
    <s v="[North View]"/>
    <s v="[view.direction view]"/>
  </r>
  <r>
    <x v="9"/>
    <s v="111 West Wacker Drive"/>
    <x v="286"/>
    <s v="2504"/>
    <n v="25"/>
    <x v="0"/>
    <n v="1"/>
    <m/>
    <x v="219"/>
    <x v="90"/>
    <x v="585"/>
    <x v="0"/>
    <n v="84"/>
    <n v="2162"/>
    <n v="4.0111317254174397"/>
    <n v="2162"/>
    <n v="4.0111317254174397"/>
    <s v="[North View]"/>
    <s v="[view.direction view corner_unit]"/>
  </r>
  <r>
    <x v="9"/>
    <s v="111 West Wacker Drive"/>
    <x v="286"/>
    <s v="1804"/>
    <n v="18"/>
    <x v="0"/>
    <n v="1"/>
    <m/>
    <x v="219"/>
    <x v="135"/>
    <x v="327"/>
    <x v="0"/>
    <n v="29"/>
    <n v="2214"/>
    <n v="4.1076066790352508"/>
    <n v="2214"/>
    <n v="4.1076066790352508"/>
    <s v="[North View]"/>
    <s v="[view.direction view corner_unit]"/>
  </r>
  <r>
    <x v="9"/>
    <s v="111 West Wacker Drive"/>
    <x v="287"/>
    <s v="2303"/>
    <n v="23"/>
    <x v="0"/>
    <n v="1"/>
    <m/>
    <x v="219"/>
    <x v="455"/>
    <x v="30"/>
    <x v="0"/>
    <n v="19"/>
    <n v="2218"/>
    <n v="4.1150278293135436"/>
    <n v="2218"/>
    <n v="4.1150278293135436"/>
    <s v="[North View]"/>
    <s v="[view.direction view]"/>
  </r>
  <r>
    <x v="9"/>
    <s v="111 West Wacker Drive"/>
    <x v="286"/>
    <s v="1504"/>
    <n v="15"/>
    <x v="0"/>
    <n v="1"/>
    <m/>
    <x v="219"/>
    <x v="236"/>
    <x v="41"/>
    <x v="0"/>
    <n v="98"/>
    <n v="2310"/>
    <n v="4.2857142857142856"/>
    <n v="2214"/>
    <n v="4.1076066790352508"/>
    <s v="[North View]"/>
    <s v="[view.direction view corner_unit]"/>
  </r>
  <r>
    <x v="9"/>
    <s v="111 West Wacker Drive"/>
    <x v="287"/>
    <s v="1703"/>
    <n v="17"/>
    <x v="0"/>
    <n v="1"/>
    <m/>
    <x v="219"/>
    <x v="7"/>
    <x v="52"/>
    <x v="0"/>
    <n v="7"/>
    <n v="2312"/>
    <n v="4.2894248608534324"/>
    <n v="2312"/>
    <n v="4.2894248608534324"/>
    <s v="[North View]"/>
    <s v="[view.direction view corner_unit]"/>
  </r>
  <r>
    <x v="9"/>
    <s v="111 West Wacker Drive"/>
    <x v="287"/>
    <s v="2103"/>
    <n v="21"/>
    <x v="0"/>
    <n v="1"/>
    <m/>
    <x v="219"/>
    <x v="243"/>
    <x v="5"/>
    <x v="0"/>
    <n v="58"/>
    <n v="2417"/>
    <n v="4.4842300556586272"/>
    <n v="2216"/>
    <n v="4.1113172541743968"/>
    <s v="[North View]"/>
    <s v="[view.direction view corner_unit]"/>
  </r>
  <r>
    <x v="9"/>
    <s v="111 West Wacker Drive"/>
    <x v="286"/>
    <s v="2704"/>
    <n v="27"/>
    <x v="0"/>
    <n v="1"/>
    <m/>
    <x v="219"/>
    <x v="210"/>
    <x v="504"/>
    <x v="0"/>
    <n v="109"/>
    <n v="2047"/>
    <n v="3.797773654916512"/>
    <n v="1876"/>
    <n v="3.4805194805194803"/>
    <s v="[]"/>
    <s v="[corner_unit]"/>
  </r>
  <r>
    <x v="9"/>
    <s v="111 West Wacker Drive"/>
    <x v="286"/>
    <s v="2304"/>
    <n v="23"/>
    <x v="0"/>
    <n v="1"/>
    <m/>
    <x v="219"/>
    <x v="236"/>
    <x v="377"/>
    <x v="0"/>
    <n v="61"/>
    <n v="2150"/>
    <n v="3.9888682745825603"/>
    <n v="1971"/>
    <n v="3.6567717996289426"/>
    <s v="[]"/>
    <s v="[corner_unit]"/>
  </r>
  <r>
    <x v="9"/>
    <s v="111 West Wacker Drive"/>
    <x v="286"/>
    <s v="2604"/>
    <n v="26"/>
    <x v="0"/>
    <n v="1"/>
    <m/>
    <x v="219"/>
    <x v="516"/>
    <x v="371"/>
    <x v="0"/>
    <n v="44"/>
    <n v="2150"/>
    <n v="3.9888682745825603"/>
    <n v="1971"/>
    <n v="3.6567717996289426"/>
    <s v="[]"/>
    <s v="[corner_unit]"/>
  </r>
  <r>
    <x v="9"/>
    <s v="111 West Wacker Drive"/>
    <x v="286"/>
    <s v="1704"/>
    <n v="17"/>
    <x v="0"/>
    <n v="1"/>
    <m/>
    <x v="219"/>
    <x v="130"/>
    <x v="22"/>
    <x v="0"/>
    <m/>
    <n v="2355"/>
    <n v="4.3692022263450836"/>
    <n v="2159"/>
    <n v="4.0055658627087203"/>
    <s v="[]"/>
    <s v="[corner_unit]"/>
  </r>
  <r>
    <x v="9"/>
    <s v="111 West Wacker Drive"/>
    <x v="287"/>
    <s v="2703"/>
    <n v="27"/>
    <x v="0"/>
    <n v="1"/>
    <m/>
    <x v="219"/>
    <x v="436"/>
    <x v="417"/>
    <x v="0"/>
    <n v="14"/>
    <n v="2473"/>
    <n v="4.5881261595547311"/>
    <n v="2267"/>
    <n v="4.2059369202226344"/>
    <s v="[]"/>
    <s v="[corner_unit]"/>
  </r>
  <r>
    <x v="9"/>
    <s v="111 West Wacker Drive"/>
    <x v="287"/>
    <s v="1903"/>
    <n v="19"/>
    <x v="0"/>
    <n v="1"/>
    <m/>
    <x v="219"/>
    <x v="550"/>
    <x v="594"/>
    <x v="0"/>
    <n v="3"/>
    <n v="2636"/>
    <n v="4.8905380333951767"/>
    <n v="2416"/>
    <n v="4.4823747680890538"/>
    <s v="[]"/>
    <s v="[corner_unit]"/>
  </r>
  <r>
    <x v="9"/>
    <s v="111 West Wacker Drive"/>
    <x v="286"/>
    <s v="1805"/>
    <n v="18"/>
    <x v="0"/>
    <n v="1"/>
    <m/>
    <x v="220"/>
    <x v="51"/>
    <x v="28"/>
    <x v="1"/>
    <m/>
    <n v="2268"/>
    <n v="4.1691176470588234"/>
    <n v="2268"/>
    <n v="4.1691176470588234"/>
    <s v="[North View]"/>
    <s v="[view.direction view]"/>
  </r>
  <r>
    <x v="9"/>
    <s v="111 West Wacker Drive"/>
    <x v="286"/>
    <s v="2005"/>
    <n v="20"/>
    <x v="0"/>
    <n v="1"/>
    <m/>
    <x v="220"/>
    <x v="11"/>
    <x v="228"/>
    <x v="0"/>
    <n v="73"/>
    <n v="2304"/>
    <n v="4.2352941176470589"/>
    <n v="2304"/>
    <n v="4.2352941176470589"/>
    <s v="[North View]"/>
    <s v="[view.direction view]"/>
  </r>
  <r>
    <x v="9"/>
    <s v="111 West Wacker Drive"/>
    <x v="286"/>
    <s v="1605"/>
    <n v="16"/>
    <x v="0"/>
    <n v="1"/>
    <m/>
    <x v="220"/>
    <x v="156"/>
    <x v="405"/>
    <x v="0"/>
    <n v="15"/>
    <n v="2386"/>
    <n v="4.3860294117647056"/>
    <n v="2386"/>
    <n v="4.3860294117647056"/>
    <s v="[North View]"/>
    <s v="[view.direction view corner_unit]"/>
  </r>
  <r>
    <x v="9"/>
    <s v="111 West Wacker Drive"/>
    <x v="286"/>
    <s v="2205"/>
    <n v="22"/>
    <x v="0"/>
    <n v="1"/>
    <m/>
    <x v="220"/>
    <x v="9"/>
    <x v="1"/>
    <x v="0"/>
    <n v="25"/>
    <n v="2473"/>
    <n v="4.5459558823529411"/>
    <n v="2267"/>
    <n v="4.1672794117647056"/>
    <s v="[North View]"/>
    <s v="[view.direction view]"/>
  </r>
  <r>
    <x v="9"/>
    <s v="111 West Wacker Drive"/>
    <x v="286"/>
    <s v="1905"/>
    <n v="19"/>
    <x v="0"/>
    <n v="1"/>
    <m/>
    <x v="220"/>
    <x v="212"/>
    <x v="371"/>
    <x v="0"/>
    <n v="33"/>
    <n v="2160"/>
    <n v="3.9705882352941178"/>
    <n v="1980"/>
    <n v="3.6397058823529411"/>
    <s v="[]"/>
    <s v="[corner_unit]"/>
  </r>
  <r>
    <x v="9"/>
    <s v="111 West Wacker Drive"/>
    <x v="286"/>
    <s v="2305"/>
    <n v="23"/>
    <x v="0"/>
    <n v="1"/>
    <m/>
    <x v="220"/>
    <x v="287"/>
    <x v="240"/>
    <x v="0"/>
    <n v="15"/>
    <n v="2335"/>
    <n v="4.2922794117647056"/>
    <n v="2140"/>
    <n v="3.9338235294117645"/>
    <s v="[]"/>
    <s v="[corner_unit]"/>
  </r>
  <r>
    <x v="9"/>
    <s v="111 West Wacker Drive"/>
    <x v="286"/>
    <s v="2505"/>
    <n v="25"/>
    <x v="0"/>
    <n v="1"/>
    <m/>
    <x v="220"/>
    <x v="237"/>
    <x v="595"/>
    <x v="0"/>
    <n v="86"/>
    <n v="2369"/>
    <n v="4.3547794117647056"/>
    <n v="2172"/>
    <n v="3.9926470588235294"/>
    <s v="[]"/>
    <s v="[corner_unit]"/>
  </r>
  <r>
    <x v="9"/>
    <s v="111 West Wacker Drive"/>
    <x v="286"/>
    <s v="2105"/>
    <n v="21"/>
    <x v="0"/>
    <n v="1"/>
    <m/>
    <x v="220"/>
    <x v="439"/>
    <x v="580"/>
    <x v="0"/>
    <n v="17"/>
    <n v="2405"/>
    <n v="4.4209558823529411"/>
    <n v="2205"/>
    <n v="4.0533088235294121"/>
    <s v="[]"/>
    <s v="[corner_unit]"/>
  </r>
  <r>
    <x v="9"/>
    <s v="111 West Wacker Drive"/>
    <x v="287"/>
    <s v="2408"/>
    <n v="24"/>
    <x v="0"/>
    <n v="1"/>
    <m/>
    <x v="41"/>
    <x v="476"/>
    <x v="381"/>
    <x v="0"/>
    <n v="102"/>
    <n v="2159"/>
    <n v="3.8553571428571427"/>
    <n v="1979"/>
    <n v="3.5339285714285715"/>
    <s v="[North View]"/>
    <s v="[view.direction view corner_unit]"/>
  </r>
  <r>
    <x v="9"/>
    <s v="111 West Wacker Drive"/>
    <x v="287"/>
    <s v="2108"/>
    <n v="21"/>
    <x v="0"/>
    <n v="1"/>
    <m/>
    <x v="41"/>
    <x v="314"/>
    <x v="85"/>
    <x v="0"/>
    <n v="50"/>
    <n v="2343"/>
    <n v="4.183928571428571"/>
    <n v="2148"/>
    <n v="3.8357142857142859"/>
    <s v="[North View]"/>
    <s v="[view.direction view]"/>
  </r>
  <r>
    <x v="9"/>
    <s v="111 West Wacker Drive"/>
    <x v="287"/>
    <s v="2308"/>
    <n v="23"/>
    <x v="0"/>
    <n v="1"/>
    <m/>
    <x v="41"/>
    <x v="468"/>
    <x v="18"/>
    <x v="0"/>
    <n v="7"/>
    <n v="2357"/>
    <n v="4.2089285714285714"/>
    <n v="2357"/>
    <n v="4.2089285714285714"/>
    <s v="[North View]"/>
    <s v="[view.direction view corner_unit]"/>
  </r>
  <r>
    <x v="9"/>
    <s v="111 West Wacker Drive"/>
    <x v="287"/>
    <s v="2708"/>
    <n v="27"/>
    <x v="0"/>
    <n v="1"/>
    <m/>
    <x v="41"/>
    <x v="18"/>
    <x v="105"/>
    <x v="0"/>
    <n v="2"/>
    <n v="2383"/>
    <n v="4.2553571428571431"/>
    <n v="2383"/>
    <n v="4.2553571428571431"/>
    <s v="[North View]"/>
    <s v="[view.direction view]"/>
  </r>
  <r>
    <x v="9"/>
    <s v="111 West Wacker Drive"/>
    <x v="287"/>
    <s v="1608"/>
    <n v="16"/>
    <x v="0"/>
    <n v="1"/>
    <m/>
    <x v="41"/>
    <x v="34"/>
    <x v="132"/>
    <x v="0"/>
    <n v="11"/>
    <n v="2403"/>
    <n v="4.2910714285714286"/>
    <n v="2403"/>
    <n v="4.2910714285714286"/>
    <s v="[North View]"/>
    <s v="[view.direction view corner_unit]"/>
  </r>
  <r>
    <x v="9"/>
    <s v="111 West Wacker Drive"/>
    <x v="287"/>
    <s v="1908"/>
    <n v="19"/>
    <x v="0"/>
    <n v="1"/>
    <m/>
    <x v="41"/>
    <x v="203"/>
    <x v="52"/>
    <x v="0"/>
    <n v="2"/>
    <n v="2490"/>
    <n v="4.4464285714285712"/>
    <n v="2490"/>
    <n v="4.4464285714285712"/>
    <s v="[North View]"/>
    <s v="[view.direction view corner_unit]"/>
  </r>
  <r>
    <x v="9"/>
    <s v="111 West Wacker Drive"/>
    <x v="287"/>
    <s v="1808"/>
    <n v="18"/>
    <x v="0"/>
    <n v="1"/>
    <m/>
    <x v="41"/>
    <x v="11"/>
    <x v="247"/>
    <x v="0"/>
    <n v="70"/>
    <n v="2572"/>
    <n v="4.5928571428571425"/>
    <n v="2572"/>
    <n v="4.5928571428571425"/>
    <s v="[North View]"/>
    <s v="[view.direction view]"/>
  </r>
  <r>
    <x v="9"/>
    <s v="111 West Wacker Drive"/>
    <x v="287"/>
    <s v="2208"/>
    <n v="22"/>
    <x v="0"/>
    <n v="1"/>
    <m/>
    <x v="41"/>
    <x v="544"/>
    <x v="330"/>
    <x v="0"/>
    <n v="123"/>
    <n v="2439"/>
    <n v="4.3553571428571427"/>
    <n v="2236"/>
    <n v="3.9928571428571429"/>
    <s v="[]"/>
    <s v="[corner_unit]"/>
  </r>
  <r>
    <x v="9"/>
    <s v="111 West Wacker Drive"/>
    <x v="287"/>
    <s v="2008"/>
    <n v="20"/>
    <x v="0"/>
    <n v="1"/>
    <m/>
    <x v="41"/>
    <x v="551"/>
    <x v="377"/>
    <x v="0"/>
    <n v="119"/>
    <n v="2470"/>
    <n v="4.4107142857142856"/>
    <n v="2264"/>
    <n v="4.0428571428571427"/>
    <s v="[]"/>
    <s v="[corner_unit]"/>
  </r>
  <r>
    <x v="9"/>
    <s v="111 West Wacker Drive"/>
    <x v="287"/>
    <s v="1708"/>
    <n v="17"/>
    <x v="0"/>
    <n v="1"/>
    <m/>
    <x v="41"/>
    <x v="142"/>
    <x v="394"/>
    <x v="0"/>
    <n v="10"/>
    <n v="2506"/>
    <n v="4.4749999999999996"/>
    <n v="2402"/>
    <n v="4.2892857142857146"/>
    <s v="[]"/>
    <s v="[corner_unit]"/>
  </r>
  <r>
    <x v="9"/>
    <s v="111 West Wacker Drive"/>
    <x v="287"/>
    <s v="2608"/>
    <n v="26"/>
    <x v="0"/>
    <n v="1"/>
    <m/>
    <x v="41"/>
    <x v="98"/>
    <x v="480"/>
    <x v="0"/>
    <n v="63"/>
    <n v="2616"/>
    <n v="4.6714285714285717"/>
    <n v="2398"/>
    <n v="4.2821428571428575"/>
    <s v="[]"/>
    <s v="[corner_unit]"/>
  </r>
  <r>
    <x v="9"/>
    <s v="111 West Wacker Drive"/>
    <x v="287"/>
    <s v="2606"/>
    <n v="26"/>
    <x v="0"/>
    <n v="1"/>
    <m/>
    <x v="221"/>
    <x v="150"/>
    <x v="237"/>
    <x v="0"/>
    <n v="21"/>
    <n v="2328"/>
    <n v="4.105820105820106"/>
    <n v="2328"/>
    <n v="4.105820105820106"/>
    <s v="[North View]"/>
    <s v="[view.direction view]"/>
  </r>
  <r>
    <x v="9"/>
    <s v="111 West Wacker Drive"/>
    <x v="287"/>
    <s v="2406"/>
    <n v="24"/>
    <x v="0"/>
    <n v="1"/>
    <m/>
    <x v="221"/>
    <x v="66"/>
    <x v="271"/>
    <x v="0"/>
    <n v="4"/>
    <n v="2416"/>
    <n v="4.2610229276895941"/>
    <n v="2416"/>
    <n v="4.2610229276895941"/>
    <s v="[North View]"/>
    <s v="[view.direction view corner_unit]"/>
  </r>
  <r>
    <x v="9"/>
    <s v="111 West Wacker Drive"/>
    <x v="287"/>
    <s v="2306"/>
    <n v="23"/>
    <x v="0"/>
    <n v="1"/>
    <m/>
    <x v="221"/>
    <x v="30"/>
    <x v="242"/>
    <x v="0"/>
    <n v="45"/>
    <n v="2553"/>
    <n v="4.5026455026455023"/>
    <n v="2340"/>
    <n v="4.1269841269841274"/>
    <s v="[North View]"/>
    <s v="[view.direction view corner_unit]"/>
  </r>
  <r>
    <x v="9"/>
    <s v="111 West Wacker Drive"/>
    <x v="287"/>
    <s v="2206"/>
    <n v="22"/>
    <x v="0"/>
    <n v="1"/>
    <m/>
    <x v="221"/>
    <x v="138"/>
    <x v="78"/>
    <x v="0"/>
    <n v="11"/>
    <n v="2346"/>
    <n v="4.1375661375661377"/>
    <n v="2248"/>
    <n v="3.9647266313932978"/>
    <s v="[]"/>
    <s v="[corner_unit]"/>
  </r>
  <r>
    <x v="9"/>
    <s v="111 West Wacker Drive"/>
    <x v="287"/>
    <s v="1706"/>
    <n v="17"/>
    <x v="0"/>
    <n v="1"/>
    <m/>
    <x v="221"/>
    <x v="295"/>
    <x v="325"/>
    <x v="0"/>
    <n v="48"/>
    <n v="2346"/>
    <n v="4.1375661375661377"/>
    <n v="2248"/>
    <n v="3.9647266313932978"/>
    <s v="[]"/>
    <s v="[corner_unit]"/>
  </r>
  <r>
    <x v="9"/>
    <s v="111 West Wacker Drive"/>
    <x v="287"/>
    <s v="2506"/>
    <n v="25"/>
    <x v="0"/>
    <n v="1"/>
    <m/>
    <x v="221"/>
    <x v="130"/>
    <x v="394"/>
    <x v="0"/>
    <m/>
    <n v="2484"/>
    <n v="4.3809523809523814"/>
    <n v="2380"/>
    <n v="4.1975308641975309"/>
    <s v="[]"/>
    <s v="[corner_unit]"/>
  </r>
  <r>
    <x v="9"/>
    <s v="111 West Wacker Drive"/>
    <x v="285"/>
    <s v="4909"/>
    <n v="49"/>
    <x v="0"/>
    <n v="1"/>
    <m/>
    <x v="107"/>
    <x v="552"/>
    <x v="61"/>
    <x v="0"/>
    <n v="44"/>
    <n v="2914"/>
    <n v="5.1033274956217163"/>
    <n v="2793"/>
    <n v="4.8914185639229419"/>
    <s v="[East View]"/>
    <s v="[view.direction view corner_unit]"/>
  </r>
  <r>
    <x v="9"/>
    <s v="111 West Wacker Drive"/>
    <x v="286"/>
    <s v="1702"/>
    <n v="17"/>
    <x v="0"/>
    <n v="1"/>
    <m/>
    <x v="222"/>
    <x v="103"/>
    <x v="129"/>
    <x v="0"/>
    <n v="70"/>
    <n v="2085"/>
    <n v="3.6387434554973823"/>
    <n v="1911"/>
    <n v="3.3350785340314135"/>
    <s v="[North View]"/>
    <s v="[view.direction view]"/>
  </r>
  <r>
    <x v="9"/>
    <s v="111 West Wacker Drive"/>
    <x v="286"/>
    <s v="2302"/>
    <n v="23"/>
    <x v="0"/>
    <n v="1"/>
    <m/>
    <x v="222"/>
    <x v="247"/>
    <x v="437"/>
    <x v="0"/>
    <n v="79"/>
    <n v="2085"/>
    <n v="3.6387434554973823"/>
    <n v="1911"/>
    <n v="3.3350785340314135"/>
    <s v="[North View]"/>
    <s v="[view.direction view corner_unit]"/>
  </r>
  <r>
    <x v="9"/>
    <s v="111 West Wacker Drive"/>
    <x v="286"/>
    <s v="2502"/>
    <n v="25"/>
    <x v="0"/>
    <n v="1"/>
    <m/>
    <x v="222"/>
    <x v="491"/>
    <x v="28"/>
    <x v="1"/>
    <m/>
    <n v="2136"/>
    <n v="3.7277486910994764"/>
    <n v="2136"/>
    <n v="3.7277486910994764"/>
    <s v="[North View]"/>
    <s v="[view.direction view corner_unit]"/>
  </r>
  <r>
    <x v="9"/>
    <s v="111 West Wacker Drive"/>
    <x v="286"/>
    <m/>
    <m/>
    <x v="0"/>
    <n v="1"/>
    <m/>
    <x v="222"/>
    <x v="553"/>
    <x v="480"/>
    <x v="0"/>
    <n v="290"/>
    <m/>
    <m/>
    <m/>
    <m/>
    <s v="[]"/>
    <s v="[corner_unit]"/>
  </r>
  <r>
    <x v="9"/>
    <s v="111 West Wacker Drive"/>
    <x v="286"/>
    <s v="1502"/>
    <n v="15"/>
    <x v="0"/>
    <n v="1"/>
    <m/>
    <x v="222"/>
    <x v="100"/>
    <x v="88"/>
    <x v="0"/>
    <n v="114"/>
    <n v="2371"/>
    <n v="4.1378708551483419"/>
    <n v="2173"/>
    <n v="3.7923211169284468"/>
    <s v="[North View]"/>
    <s v="[view.direction view corner_unit]"/>
  </r>
  <r>
    <x v="9"/>
    <s v="111 West Wacker Drive"/>
    <x v="286"/>
    <s v="2202"/>
    <n v="22"/>
    <x v="0"/>
    <n v="1"/>
    <m/>
    <x v="222"/>
    <x v="5"/>
    <x v="245"/>
    <x v="0"/>
    <n v="101"/>
    <n v="2408"/>
    <n v="4.2024432809773122"/>
    <n v="2408"/>
    <n v="4.2024432809773122"/>
    <s v="[North View]"/>
    <s v="[view.direction view]"/>
  </r>
  <r>
    <x v="9"/>
    <s v="111 West Wacker Drive"/>
    <x v="286"/>
    <s v="2602"/>
    <n v="26"/>
    <x v="0"/>
    <n v="1"/>
    <m/>
    <x v="222"/>
    <x v="295"/>
    <x v="52"/>
    <x v="0"/>
    <n v="160"/>
    <n v="2486"/>
    <n v="4.338568935427574"/>
    <n v="2382"/>
    <n v="4.157068062827225"/>
    <s v="[North View]"/>
    <s v="[view.direction view corner_unit]"/>
  </r>
  <r>
    <x v="9"/>
    <s v="111 West Wacker Drive"/>
    <x v="286"/>
    <s v="1602"/>
    <n v="16"/>
    <x v="0"/>
    <n v="1"/>
    <m/>
    <x v="222"/>
    <x v="371"/>
    <x v="263"/>
    <x v="0"/>
    <n v="46"/>
    <n v="2295"/>
    <n v="4.005235602094241"/>
    <n v="2104"/>
    <n v="3.6719022687609075"/>
    <s v="[]"/>
    <s v="[corner_unit]"/>
  </r>
  <r>
    <x v="9"/>
    <s v="111 West Wacker Drive"/>
    <x v="285"/>
    <s v="5305"/>
    <n v="53"/>
    <x v="0"/>
    <n v="1"/>
    <m/>
    <x v="216"/>
    <x v="366"/>
    <x v="98"/>
    <x v="0"/>
    <n v="3"/>
    <n v="2647"/>
    <n v="4.2216905901116428"/>
    <n v="2647"/>
    <n v="4.2216905901116428"/>
    <s v="[North View]"/>
    <s v="[view.direction view]"/>
  </r>
  <r>
    <x v="9"/>
    <s v="111 West Wacker Drive"/>
    <x v="285"/>
    <s v="5205"/>
    <n v="52"/>
    <x v="0"/>
    <n v="1"/>
    <m/>
    <x v="216"/>
    <x v="554"/>
    <x v="443"/>
    <x v="0"/>
    <n v="72"/>
    <n v="2666"/>
    <n v="4.2519936204146731"/>
    <n v="2444"/>
    <n v="3.8979266347687402"/>
    <s v="[North View]"/>
    <s v="[view.direction view]"/>
  </r>
  <r>
    <x v="9"/>
    <s v="111 West Wacker Drive"/>
    <x v="285"/>
    <s v="5105"/>
    <n v="51"/>
    <x v="0"/>
    <n v="1"/>
    <m/>
    <x v="216"/>
    <x v="444"/>
    <x v="377"/>
    <x v="0"/>
    <n v="11"/>
    <n v="2504"/>
    <n v="3.9936204146730461"/>
    <n v="2295"/>
    <n v="3.660287081339713"/>
    <s v="[]"/>
    <s v="[]"/>
  </r>
  <r>
    <x v="9"/>
    <s v="111 West Wacker Drive"/>
    <x v="285"/>
    <s v="5005"/>
    <n v="50"/>
    <x v="0"/>
    <n v="1"/>
    <m/>
    <x v="216"/>
    <x v="404"/>
    <x v="417"/>
    <x v="0"/>
    <n v="25"/>
    <n v="2612"/>
    <n v="4.1658692185007977"/>
    <n v="2394"/>
    <n v="3.8181818181818183"/>
    <s v="[]"/>
    <s v="[]"/>
  </r>
  <r>
    <x v="9"/>
    <s v="111 West Wacker Drive"/>
    <x v="287"/>
    <s v="1611"/>
    <n v="16"/>
    <x v="0"/>
    <n v="1"/>
    <m/>
    <x v="223"/>
    <x v="306"/>
    <x v="28"/>
    <x v="1"/>
    <m/>
    <n v="2628"/>
    <n v="4.112676056338028"/>
    <n v="2628"/>
    <n v="4.112676056338028"/>
    <s v="[East View]"/>
    <s v="[view.direction view corner_unit]"/>
  </r>
  <r>
    <x v="9"/>
    <s v="111 West Wacker Drive"/>
    <x v="287"/>
    <s v="1811"/>
    <n v="18"/>
    <x v="0"/>
    <n v="1"/>
    <m/>
    <x v="223"/>
    <x v="367"/>
    <x v="325"/>
    <x v="0"/>
    <n v="104"/>
    <n v="2291"/>
    <n v="3.5852895148669797"/>
    <n v="2196"/>
    <n v="3.436619718309859"/>
    <s v="[]"/>
    <s v="[corner_unit]"/>
  </r>
  <r>
    <x v="9"/>
    <s v="111 West Wacker Drive"/>
    <x v="287"/>
    <m/>
    <m/>
    <x v="0"/>
    <n v="1"/>
    <m/>
    <x v="224"/>
    <x v="359"/>
    <x v="596"/>
    <x v="0"/>
    <n v="2"/>
    <m/>
    <m/>
    <m/>
    <m/>
    <s v="[]"/>
    <s v="[corner_unit]"/>
  </r>
  <r>
    <x v="9"/>
    <s v="111 West Wacker Drive"/>
    <x v="287"/>
    <s v="2314"/>
    <n v="23"/>
    <x v="0"/>
    <n v="1"/>
    <m/>
    <x v="224"/>
    <x v="134"/>
    <x v="288"/>
    <x v="0"/>
    <n v="131"/>
    <n v="2298"/>
    <n v="3.4765506807866871"/>
    <n v="2106"/>
    <n v="3.1860816944024206"/>
    <s v="[East View]"/>
    <s v="[view.direction view]"/>
  </r>
  <r>
    <x v="9"/>
    <s v="111 West Wacker Drive"/>
    <x v="287"/>
    <s v="2414"/>
    <n v="24"/>
    <x v="0"/>
    <n v="1"/>
    <m/>
    <x v="224"/>
    <x v="105"/>
    <x v="322"/>
    <x v="0"/>
    <n v="138"/>
    <n v="2299"/>
    <n v="3.4780635400907713"/>
    <n v="2203"/>
    <n v="3.3328290468986386"/>
    <s v="[East View]"/>
    <s v="[view.direction view corner_unit]"/>
  </r>
  <r>
    <x v="9"/>
    <s v="111 West Wacker Drive"/>
    <x v="287"/>
    <s v="1514"/>
    <n v="15"/>
    <x v="0"/>
    <n v="1"/>
    <m/>
    <x v="224"/>
    <x v="154"/>
    <x v="18"/>
    <x v="0"/>
    <n v="78"/>
    <n v="2451"/>
    <n v="3.7080181543116488"/>
    <n v="2451"/>
    <n v="3.7080181543116488"/>
    <s v="[East View]"/>
    <s v="[view.direction view]"/>
  </r>
  <r>
    <x v="9"/>
    <s v="111 West Wacker Drive"/>
    <x v="287"/>
    <s v="1814"/>
    <n v="18"/>
    <x v="0"/>
    <n v="1"/>
    <m/>
    <x v="224"/>
    <x v="29"/>
    <x v="28"/>
    <x v="1"/>
    <m/>
    <n v="2508"/>
    <n v="3.7942511346444783"/>
    <n v="2508"/>
    <n v="3.7942511346444783"/>
    <s v="[East View]"/>
    <s v="[view.direction view corner_unit]"/>
  </r>
  <r>
    <x v="9"/>
    <s v="111 West Wacker Drive"/>
    <x v="287"/>
    <s v="2214"/>
    <n v="22"/>
    <x v="0"/>
    <n v="1"/>
    <m/>
    <x v="224"/>
    <x v="109"/>
    <x v="83"/>
    <x v="0"/>
    <n v="53"/>
    <n v="2702"/>
    <n v="4.0877458396369137"/>
    <n v="2702"/>
    <n v="4.0877458396369137"/>
    <s v="[East View]"/>
    <s v="[view.direction view]"/>
  </r>
  <r>
    <x v="9"/>
    <s v="111 West Wacker Drive"/>
    <x v="287"/>
    <s v="2714"/>
    <n v="27"/>
    <x v="0"/>
    <n v="1"/>
    <m/>
    <x v="224"/>
    <x v="130"/>
    <x v="597"/>
    <x v="0"/>
    <m/>
    <n v="2283"/>
    <n v="3.453857791225416"/>
    <n v="2188"/>
    <n v="3.3101361573373675"/>
    <s v="[]"/>
    <s v="[corner_unit]"/>
  </r>
  <r>
    <x v="9"/>
    <s v="111 West Wacker Drive"/>
    <x v="287"/>
    <s v="1714"/>
    <n v="17"/>
    <x v="0"/>
    <n v="1"/>
    <m/>
    <x v="224"/>
    <x v="130"/>
    <x v="471"/>
    <x v="0"/>
    <m/>
    <n v="2455"/>
    <n v="3.7140695915279878"/>
    <n v="2250"/>
    <n v="3.4039334341906202"/>
    <s v="[]"/>
    <s v="[corner_unit]"/>
  </r>
  <r>
    <x v="9"/>
    <s v="111 West Wacker Drive"/>
    <x v="287"/>
    <s v="2711"/>
    <n v="27"/>
    <x v="0"/>
    <n v="1"/>
    <m/>
    <x v="72"/>
    <x v="63"/>
    <x v="382"/>
    <x v="0"/>
    <n v="76"/>
    <n v="2304"/>
    <n v="3.4439461883408073"/>
    <n v="2112"/>
    <n v="3.1569506726457397"/>
    <s v="[East View]"/>
    <s v="[view.direction view]"/>
  </r>
  <r>
    <x v="9"/>
    <s v="111 West Wacker Drive"/>
    <x v="287"/>
    <s v="2411"/>
    <n v="24"/>
    <x v="0"/>
    <n v="1"/>
    <m/>
    <x v="72"/>
    <x v="466"/>
    <x v="52"/>
    <x v="0"/>
    <n v="77"/>
    <n v="2455"/>
    <n v="3.6696562032884903"/>
    <n v="2353"/>
    <n v="3.5171898355754858"/>
    <s v="[East View]"/>
    <s v="[view.direction view corner_unit]"/>
  </r>
  <r>
    <x v="9"/>
    <s v="111 West Wacker Drive"/>
    <x v="287"/>
    <s v="1711"/>
    <n v="17"/>
    <x v="0"/>
    <n v="1"/>
    <m/>
    <x v="72"/>
    <x v="160"/>
    <x v="414"/>
    <x v="0"/>
    <n v="2"/>
    <n v="2481"/>
    <n v="3.7085201793721971"/>
    <n v="2481"/>
    <n v="3.7085201793721971"/>
    <s v="[East View]"/>
    <s v="[view.direction view]"/>
  </r>
  <r>
    <x v="9"/>
    <s v="111 West Wacker Drive"/>
    <x v="287"/>
    <s v="2211"/>
    <n v="22"/>
    <x v="0"/>
    <n v="1"/>
    <m/>
    <x v="72"/>
    <x v="333"/>
    <x v="542"/>
    <x v="0"/>
    <n v="44"/>
    <n v="2572"/>
    <n v="3.8445440956651717"/>
    <n v="2572"/>
    <n v="3.8445440956651717"/>
    <s v="[East View]"/>
    <s v="[view.direction view]"/>
  </r>
  <r>
    <x v="9"/>
    <s v="111 West Wacker Drive"/>
    <x v="287"/>
    <s v="2511"/>
    <n v="25"/>
    <x v="0"/>
    <n v="1"/>
    <m/>
    <x v="72"/>
    <x v="486"/>
    <x v="290"/>
    <x v="0"/>
    <n v="104"/>
    <n v="2645"/>
    <n v="3.9536621823617337"/>
    <n v="2535"/>
    <n v="3.789237668161435"/>
    <s v="[East View]"/>
    <s v="[view.direction view corner_unit]"/>
  </r>
  <r>
    <x v="9"/>
    <s v="111 West Wacker Drive"/>
    <x v="287"/>
    <s v="2311"/>
    <n v="3"/>
    <x v="0"/>
    <n v="1"/>
    <m/>
    <x v="72"/>
    <x v="203"/>
    <x v="290"/>
    <x v="0"/>
    <n v="8"/>
    <n v="2679"/>
    <n v="4.0044843049327357"/>
    <n v="2679"/>
    <n v="4.0044843049327357"/>
    <s v="[East View]"/>
    <s v="[view.direction view]"/>
  </r>
  <r>
    <x v="9"/>
    <s v="111 West Wacker Drive"/>
    <x v="288"/>
    <s v="4803"/>
    <n v="48"/>
    <x v="1"/>
    <n v="1"/>
    <m/>
    <x v="225"/>
    <x v="454"/>
    <x v="598"/>
    <x v="0"/>
    <n v="4"/>
    <n v="2269"/>
    <n v="3.8720136518771331"/>
    <n v="2080"/>
    <n v="3.5494880546075085"/>
    <s v="[]"/>
    <s v="[corner_unit]"/>
  </r>
  <r>
    <x v="9"/>
    <s v="111 West Wacker Drive"/>
    <x v="288"/>
    <s v="3303"/>
    <n v="33"/>
    <x v="1"/>
    <n v="1"/>
    <m/>
    <x v="226"/>
    <x v="13"/>
    <x v="14"/>
    <x v="0"/>
    <n v="10"/>
    <n v="2665"/>
    <n v="4.3832236842105265"/>
    <n v="2554"/>
    <n v="4.2006578947368425"/>
    <s v="[]"/>
    <s v="[]"/>
  </r>
  <r>
    <x v="9"/>
    <s v="111 West Wacker Drive"/>
    <x v="288"/>
    <s v="4003"/>
    <n v="40"/>
    <x v="1"/>
    <n v="1"/>
    <m/>
    <x v="226"/>
    <x v="101"/>
    <x v="198"/>
    <x v="0"/>
    <n v="9"/>
    <n v="2665"/>
    <n v="4.3832236842105265"/>
    <n v="2554"/>
    <n v="4.2006578947368425"/>
    <s v="[]"/>
    <s v="[]"/>
  </r>
  <r>
    <x v="9"/>
    <s v="111 West Wacker Drive"/>
    <x v="288"/>
    <s v="4503"/>
    <n v="45"/>
    <x v="1"/>
    <n v="1"/>
    <m/>
    <x v="226"/>
    <x v="225"/>
    <x v="0"/>
    <x v="0"/>
    <n v="64"/>
    <n v="2671"/>
    <n v="4.3930921052631575"/>
    <n v="2560"/>
    <n v="4.2105263157894735"/>
    <s v="[]"/>
    <s v="[corner_unit]"/>
  </r>
  <r>
    <x v="9"/>
    <s v="111 West Wacker Drive"/>
    <x v="288"/>
    <s v="3703"/>
    <n v="37"/>
    <x v="1"/>
    <n v="1"/>
    <m/>
    <x v="226"/>
    <x v="100"/>
    <x v="11"/>
    <x v="0"/>
    <n v="110"/>
    <n v="2816"/>
    <n v="4.6315789473684212"/>
    <n v="2816"/>
    <n v="4.6315789473684212"/>
    <s v="[West View]"/>
    <s v="[view.direction view]"/>
  </r>
  <r>
    <x v="9"/>
    <s v="111 West Wacker Drive"/>
    <x v="288"/>
    <s v="4303"/>
    <n v="43"/>
    <x v="1"/>
    <n v="1"/>
    <m/>
    <x v="226"/>
    <x v="17"/>
    <x v="445"/>
    <x v="0"/>
    <n v="65"/>
    <n v="3028"/>
    <n v="4.9802631578947372"/>
    <n v="3028"/>
    <n v="4.9802631578947372"/>
    <s v="[]"/>
    <s v="[]"/>
  </r>
  <r>
    <x v="9"/>
    <s v="111 West Wacker Drive"/>
    <x v="288"/>
    <s v="4403"/>
    <n v="44"/>
    <x v="1"/>
    <n v="1"/>
    <m/>
    <x v="226"/>
    <x v="512"/>
    <x v="222"/>
    <x v="0"/>
    <n v="7"/>
    <n v="2627"/>
    <n v="4.3207236842105265"/>
    <n v="2518"/>
    <n v="4.1414473684210522"/>
    <s v="[]"/>
    <s v="[corner_unit]"/>
  </r>
  <r>
    <x v="9"/>
    <s v="111 West Wacker Drive"/>
    <x v="288"/>
    <s v="3603"/>
    <n v="36"/>
    <x v="1"/>
    <n v="1"/>
    <m/>
    <x v="226"/>
    <x v="212"/>
    <x v="594"/>
    <x v="0"/>
    <n v="23"/>
    <n v="2675"/>
    <n v="4.3996710526315788"/>
    <n v="2452"/>
    <n v="4.0328947368421053"/>
    <s v="[]"/>
    <s v="[corner_unit]"/>
  </r>
  <r>
    <x v="9"/>
    <s v="111 West Wacker Drive"/>
    <x v="288"/>
    <s v="4103"/>
    <n v="41"/>
    <x v="1"/>
    <n v="1"/>
    <m/>
    <x v="226"/>
    <x v="121"/>
    <x v="594"/>
    <x v="0"/>
    <n v="44"/>
    <n v="2675"/>
    <n v="4.3996710526315788"/>
    <n v="2452"/>
    <n v="4.0328947368421053"/>
    <s v="[]"/>
    <s v="[corner_unit]"/>
  </r>
  <r>
    <x v="9"/>
    <s v="111 West Wacker Drive"/>
    <x v="288"/>
    <s v="3503"/>
    <n v="35"/>
    <x v="1"/>
    <n v="1"/>
    <m/>
    <x v="226"/>
    <x v="532"/>
    <x v="569"/>
    <x v="0"/>
    <n v="5"/>
    <n v="2755"/>
    <n v="4.53125"/>
    <n v="2525"/>
    <n v="4.1529605263157894"/>
    <s v="[]"/>
    <s v="[corner_unit]"/>
  </r>
  <r>
    <x v="9"/>
    <s v="111 West Wacker Drive"/>
    <x v="288"/>
    <s v="5203"/>
    <n v="52"/>
    <x v="1"/>
    <n v="1"/>
    <m/>
    <x v="227"/>
    <x v="100"/>
    <x v="123"/>
    <x v="0"/>
    <n v="80"/>
    <n v="2919"/>
    <n v="4.7309562398703404"/>
    <n v="2676"/>
    <n v="4.3371150729335497"/>
    <s v="[West View]"/>
    <s v="[view.direction view]"/>
  </r>
  <r>
    <x v="9"/>
    <s v="111 West Wacker Drive"/>
    <x v="288"/>
    <s v="4002"/>
    <n v="40"/>
    <x v="1"/>
    <n v="1"/>
    <m/>
    <x v="130"/>
    <x v="49"/>
    <x v="20"/>
    <x v="0"/>
    <n v="72"/>
    <n v="2796"/>
    <n v="4.0580551523947754"/>
    <n v="2563"/>
    <n v="3.7198838896952107"/>
    <s v="[Corner Unit]"/>
    <s v="[corner_unit corner_unit]"/>
  </r>
  <r>
    <x v="9"/>
    <s v="111 West Wacker Drive"/>
    <x v="288"/>
    <s v="3702"/>
    <n v="37"/>
    <x v="1"/>
    <n v="1"/>
    <m/>
    <x v="130"/>
    <x v="84"/>
    <x v="211"/>
    <x v="0"/>
    <n v="151"/>
    <n v="2845"/>
    <n v="4.1291727140783747"/>
    <n v="2608"/>
    <n v="3.7851959361393326"/>
    <s v="[Corner Unit]"/>
    <s v="[corner_unit corner_unit]"/>
  </r>
  <r>
    <x v="9"/>
    <s v="111 West Wacker Drive"/>
    <x v="288"/>
    <s v="3302"/>
    <n v="33"/>
    <x v="1"/>
    <n v="1"/>
    <m/>
    <x v="130"/>
    <x v="474"/>
    <x v="132"/>
    <x v="0"/>
    <n v="22"/>
    <n v="2898"/>
    <n v="4.2060957910014514"/>
    <n v="2777"/>
    <n v="4.0304789550072568"/>
    <s v="[Corner Unit]"/>
    <s v="[corner_unit]"/>
  </r>
  <r>
    <x v="9"/>
    <s v="111 West Wacker Drive"/>
    <x v="288"/>
    <s v="4602"/>
    <n v="46"/>
    <x v="1"/>
    <n v="1"/>
    <m/>
    <x v="130"/>
    <x v="307"/>
    <x v="304"/>
    <x v="0"/>
    <n v="142"/>
    <n v="2907"/>
    <n v="4.2191582002902761"/>
    <n v="2665"/>
    <n v="3.8679245283018866"/>
    <s v="[Corner Unit]"/>
    <s v="[corner_unit corner_unit]"/>
  </r>
  <r>
    <x v="9"/>
    <s v="111 West Wacker Drive"/>
    <x v="288"/>
    <s v="3602"/>
    <n v="36"/>
    <x v="1"/>
    <n v="1"/>
    <m/>
    <x v="130"/>
    <x v="351"/>
    <x v="468"/>
    <x v="0"/>
    <n v="85"/>
    <n v="3001"/>
    <n v="4.3555878084179973"/>
    <n v="2751"/>
    <n v="3.9927431059506531"/>
    <s v="[Corner Unit]"/>
    <s v="[corner_unit corner_unit]"/>
  </r>
  <r>
    <x v="9"/>
    <s v="111 West Wacker Drive"/>
    <x v="288"/>
    <s v="3902"/>
    <n v="39"/>
    <x v="1"/>
    <n v="1"/>
    <m/>
    <x v="130"/>
    <x v="212"/>
    <x v="44"/>
    <x v="0"/>
    <n v="105"/>
    <n v="3031"/>
    <n v="4.399129172714078"/>
    <n v="2778"/>
    <n v="4.031930333817126"/>
    <s v="[Corner Unit]"/>
    <s v="[corner_unit corner_unit]"/>
  </r>
  <r>
    <x v="9"/>
    <s v="111 West Wacker Drive"/>
    <x v="288"/>
    <s v="5202"/>
    <n v="52"/>
    <x v="1"/>
    <n v="1"/>
    <m/>
    <x v="130"/>
    <x v="399"/>
    <x v="135"/>
    <x v="0"/>
    <n v="90"/>
    <n v="3044"/>
    <n v="4.4179970972423801"/>
    <n v="2790"/>
    <n v="4.0493468795355589"/>
    <s v="[Corner Unit Southwest View]"/>
    <s v="[corner_unit view.direction view corner_unit]"/>
  </r>
  <r>
    <x v="9"/>
    <s v="111 West Wacker Drive"/>
    <x v="288"/>
    <s v="4302"/>
    <n v="43"/>
    <x v="1"/>
    <n v="1"/>
    <m/>
    <x v="130"/>
    <x v="536"/>
    <x v="120"/>
    <x v="0"/>
    <n v="133"/>
    <n v="3075"/>
    <n v="4.4629898403483308"/>
    <n v="3075"/>
    <n v="4.4629898403483308"/>
    <s v="[Corner Unit]"/>
    <s v="[corner_unit corner_unit]"/>
  </r>
  <r>
    <x v="9"/>
    <s v="111 West Wacker Drive"/>
    <x v="288"/>
    <s v="4202"/>
    <n v="42"/>
    <x v="1"/>
    <n v="1"/>
    <m/>
    <x v="130"/>
    <x v="427"/>
    <x v="50"/>
    <x v="0"/>
    <n v="52"/>
    <n v="3082"/>
    <n v="4.4731494920174164"/>
    <n v="2825"/>
    <n v="4.100145137880987"/>
    <s v="[Corner Unit]"/>
    <s v="[corner_unit corner_unit]"/>
  </r>
  <r>
    <x v="9"/>
    <s v="111 West Wacker Drive"/>
    <x v="288"/>
    <s v="3202"/>
    <n v="32"/>
    <x v="1"/>
    <n v="1"/>
    <m/>
    <x v="130"/>
    <x v="59"/>
    <x v="542"/>
    <x v="0"/>
    <n v="70"/>
    <n v="3114"/>
    <n v="4.5195936139332362"/>
    <n v="2854"/>
    <n v="4.1422351233671986"/>
    <s v="[Corner Unit]"/>
    <s v="[corner_unit corner_unit]"/>
  </r>
  <r>
    <x v="9"/>
    <s v="111 West Wacker Drive"/>
    <x v="288"/>
    <s v="3102"/>
    <n v="31"/>
    <x v="1"/>
    <n v="1"/>
    <m/>
    <x v="130"/>
    <x v="83"/>
    <x v="45"/>
    <x v="0"/>
    <n v="126"/>
    <n v="3135"/>
    <n v="4.5500725689404931"/>
    <n v="2874"/>
    <n v="4.1712626995645863"/>
    <s v="[Corner Unit]"/>
    <s v="[corner_unit corner_unit]"/>
  </r>
  <r>
    <x v="9"/>
    <s v="111 West Wacker Drive"/>
    <x v="288"/>
    <s v="4702"/>
    <n v="47"/>
    <x v="1"/>
    <n v="1"/>
    <m/>
    <x v="130"/>
    <x v="494"/>
    <x v="275"/>
    <x v="0"/>
    <n v="53"/>
    <n v="3146"/>
    <n v="4.5660377358490569"/>
    <n v="2884"/>
    <n v="4.1857764876632801"/>
    <s v="[Corner Unit]"/>
    <s v="[corner_unit corner_unit]"/>
  </r>
  <r>
    <x v="9"/>
    <s v="111 West Wacker Drive"/>
    <x v="288"/>
    <s v="3802"/>
    <n v="38"/>
    <x v="1"/>
    <n v="1"/>
    <m/>
    <x v="130"/>
    <x v="555"/>
    <x v="28"/>
    <x v="1"/>
    <m/>
    <n v="3186"/>
    <n v="4.6240928882438315"/>
    <n v="3186"/>
    <n v="4.6240928882438315"/>
    <s v="[Corner Unit]"/>
    <s v="[corner_unit corner_unit]"/>
  </r>
  <r>
    <x v="9"/>
    <s v="111 West Wacker Drive"/>
    <x v="288"/>
    <s v="4502"/>
    <n v="45"/>
    <x v="1"/>
    <n v="1"/>
    <m/>
    <x v="130"/>
    <x v="91"/>
    <x v="271"/>
    <x v="0"/>
    <n v="69"/>
    <n v="3236"/>
    <n v="4.6966618287373008"/>
    <n v="3101"/>
    <n v="4.500725689404935"/>
    <s v="[Corner Unit]"/>
    <s v="[corner_unit]"/>
  </r>
  <r>
    <x v="9"/>
    <s v="111 West Wacker Drive"/>
    <x v="288"/>
    <s v="4402"/>
    <n v="44"/>
    <x v="1"/>
    <n v="1"/>
    <m/>
    <x v="130"/>
    <x v="528"/>
    <x v="319"/>
    <x v="0"/>
    <n v="42"/>
    <n v="3257"/>
    <n v="4.7271407837445576"/>
    <n v="2986"/>
    <n v="4.3338171262699561"/>
    <s v="[Corner Unit]"/>
    <s v="[corner_unit corner_unit]"/>
  </r>
  <r>
    <x v="9"/>
    <s v="111 West Wacker Drive"/>
    <x v="288"/>
    <s v="4102"/>
    <n v="41"/>
    <x v="1"/>
    <n v="1"/>
    <m/>
    <x v="130"/>
    <x v="383"/>
    <x v="266"/>
    <x v="0"/>
    <n v="178"/>
    <n v="3119"/>
    <n v="4.5268505079825836"/>
    <n v="2989"/>
    <n v="4.3381712626995643"/>
    <s v="[]"/>
    <s v="[corner_unit]"/>
  </r>
  <r>
    <x v="9"/>
    <s v="111 West Wacker Drive"/>
    <x v="288"/>
    <s v="3002"/>
    <n v="30"/>
    <x v="1"/>
    <n v="1"/>
    <m/>
    <x v="228"/>
    <x v="556"/>
    <x v="152"/>
    <x v="0"/>
    <n v="11"/>
    <n v="2859"/>
    <n v="4.1136690647482013"/>
    <n v="2859"/>
    <n v="4.1136690647482013"/>
    <s v="[Corner Unit South Terrace]"/>
    <s v="[corner_unit corner_unit]"/>
  </r>
  <r>
    <x v="9"/>
    <s v="111 West Wacker Drive"/>
    <x v="288"/>
    <s v="5201"/>
    <n v="52"/>
    <x v="1"/>
    <n v="1"/>
    <m/>
    <x v="229"/>
    <x v="160"/>
    <x v="129"/>
    <x v="0"/>
    <n v="163"/>
    <n v="3015"/>
    <n v="4.2524682651622001"/>
    <n v="2764"/>
    <n v="3.8984485190409028"/>
    <s v="[South View]"/>
    <s v="[view.direction view]"/>
  </r>
  <r>
    <x v="9"/>
    <s v="111 West Wacker Drive"/>
    <x v="288"/>
    <s v="5301"/>
    <n v="53"/>
    <x v="1"/>
    <n v="1"/>
    <m/>
    <x v="229"/>
    <x v="11"/>
    <x v="90"/>
    <x v="0"/>
    <n v="29"/>
    <n v="3266"/>
    <n v="4.6064880112834983"/>
    <n v="3266"/>
    <n v="4.6064880112834983"/>
    <s v="[South View]"/>
    <s v="[view.direction view]"/>
  </r>
  <r>
    <x v="9"/>
    <s v="111 West Wacker Drive"/>
    <x v="288"/>
    <s v="3301"/>
    <n v="33"/>
    <x v="1"/>
    <n v="1"/>
    <m/>
    <x v="229"/>
    <x v="331"/>
    <x v="596"/>
    <x v="0"/>
    <n v="11"/>
    <n v="2677"/>
    <n v="3.7757404795486602"/>
    <n v="2454"/>
    <n v="3.4612129760225669"/>
    <s v="[]"/>
    <s v="[]"/>
  </r>
  <r>
    <x v="9"/>
    <s v="111 West Wacker Drive"/>
    <x v="288"/>
    <s v="3701"/>
    <n v="37"/>
    <x v="1"/>
    <n v="1"/>
    <m/>
    <x v="229"/>
    <x v="380"/>
    <x v="351"/>
    <x v="0"/>
    <n v="97"/>
    <n v="2702"/>
    <n v="3.8110014104372354"/>
    <n v="2477"/>
    <n v="3.4936530324400565"/>
    <s v="[]"/>
    <s v="[]"/>
  </r>
  <r>
    <x v="9"/>
    <s v="111 West Wacker Drive"/>
    <x v="288"/>
    <s v="3901"/>
    <n v="39"/>
    <x v="1"/>
    <n v="1"/>
    <m/>
    <x v="229"/>
    <x v="378"/>
    <x v="378"/>
    <x v="0"/>
    <n v="89"/>
    <n v="3012"/>
    <n v="4.2482369534555708"/>
    <n v="2761"/>
    <n v="3.8942172073342736"/>
    <s v="[]"/>
    <s v="[]"/>
  </r>
  <r>
    <x v="9"/>
    <s v="111 West Wacker Drive"/>
    <x v="288"/>
    <s v="5101"/>
    <n v="51"/>
    <x v="1"/>
    <n v="1"/>
    <m/>
    <x v="229"/>
    <x v="322"/>
    <x v="42"/>
    <x v="0"/>
    <n v="54"/>
    <n v="3259"/>
    <n v="4.5966149506346969"/>
    <n v="3123"/>
    <n v="4.4047954866008459"/>
    <s v="[]"/>
    <s v="[]"/>
  </r>
  <r>
    <x v="9"/>
    <s v="111 West Wacker Drive"/>
    <x v="288"/>
    <s v="4601"/>
    <n v="46"/>
    <x v="1"/>
    <n v="1"/>
    <m/>
    <x v="230"/>
    <x v="423"/>
    <x v="448"/>
    <x v="0"/>
    <n v="62"/>
    <n v="2589"/>
    <n v="3.6413502109704643"/>
    <n v="2373"/>
    <n v="3.3375527426160336"/>
    <s v="[Galley Kitchen South View]"/>
    <s v="[view.direction view]"/>
  </r>
  <r>
    <x v="9"/>
    <s v="111 West Wacker Drive"/>
    <x v="288"/>
    <s v="3201"/>
    <n v="32"/>
    <x v="1"/>
    <n v="1"/>
    <m/>
    <x v="230"/>
    <x v="89"/>
    <x v="362"/>
    <x v="0"/>
    <n v="30"/>
    <n v="2669"/>
    <n v="3.7538677918424752"/>
    <n v="2669"/>
    <n v="3.7538677918424752"/>
    <s v="[Galley Kitchen South View]"/>
    <s v="[view.direction view]"/>
  </r>
  <r>
    <x v="9"/>
    <s v="111 West Wacker Drive"/>
    <x v="288"/>
    <s v="3101"/>
    <n v="31"/>
    <x v="1"/>
    <n v="1"/>
    <m/>
    <x v="230"/>
    <x v="28"/>
    <x v="278"/>
    <x v="0"/>
    <n v="34"/>
    <n v="2697"/>
    <n v="3.7932489451476794"/>
    <n v="2697"/>
    <n v="3.7932489451476794"/>
    <s v="[Galley Kitchen South View]"/>
    <s v="[view.direction view]"/>
  </r>
  <r>
    <x v="9"/>
    <s v="111 West Wacker Drive"/>
    <x v="288"/>
    <s v="4301"/>
    <n v="43"/>
    <x v="1"/>
    <n v="1"/>
    <m/>
    <x v="230"/>
    <x v="484"/>
    <x v="298"/>
    <x v="0"/>
    <n v="24"/>
    <n v="2699"/>
    <n v="3.7960618846694798"/>
    <n v="2699"/>
    <n v="3.7960618846694798"/>
    <s v="[Galley Kitchen South View]"/>
    <s v="[view.direction view]"/>
  </r>
  <r>
    <x v="9"/>
    <s v="111 West Wacker Drive"/>
    <x v="288"/>
    <s v="3601"/>
    <n v="36"/>
    <x v="1"/>
    <n v="1"/>
    <m/>
    <x v="230"/>
    <x v="106"/>
    <x v="28"/>
    <x v="1"/>
    <m/>
    <n v="2749"/>
    <n v="3.8663853727144866"/>
    <n v="2749"/>
    <n v="3.8663853727144866"/>
    <s v="[Galley Kitchen South View]"/>
    <s v="[view.direction view]"/>
  </r>
  <r>
    <x v="9"/>
    <s v="111 West Wacker Drive"/>
    <x v="288"/>
    <s v="4401"/>
    <n v="44"/>
    <x v="1"/>
    <n v="1"/>
    <m/>
    <x v="230"/>
    <x v="94"/>
    <x v="386"/>
    <x v="0"/>
    <n v="36"/>
    <n v="2765"/>
    <n v="3.8888888888888888"/>
    <n v="2765"/>
    <n v="3.8888888888888888"/>
    <s v="[Galley Kitchen South View]"/>
    <s v="[view.direction view]"/>
  </r>
  <r>
    <x v="9"/>
    <s v="111 West Wacker Drive"/>
    <x v="288"/>
    <s v="4501"/>
    <n v="45"/>
    <x v="1"/>
    <n v="1"/>
    <m/>
    <x v="230"/>
    <x v="451"/>
    <x v="52"/>
    <x v="0"/>
    <n v="91"/>
    <n v="2807"/>
    <n v="3.9479606188466949"/>
    <n v="2690"/>
    <n v="3.7834036568213785"/>
    <s v="[Galley Kitchen South View]"/>
    <s v="[view.direction view]"/>
  </r>
  <r>
    <x v="9"/>
    <s v="111 West Wacker Drive"/>
    <x v="288"/>
    <s v="4201"/>
    <n v="42"/>
    <x v="1"/>
    <n v="1"/>
    <m/>
    <x v="230"/>
    <x v="488"/>
    <x v="52"/>
    <x v="0"/>
    <n v="40"/>
    <n v="2809"/>
    <n v="3.9507735583684949"/>
    <n v="2809"/>
    <n v="3.9507735583684949"/>
    <s v="[Galley Kitchen South View]"/>
    <s v="[view.direction view]"/>
  </r>
  <r>
    <x v="9"/>
    <s v="111 West Wacker Drive"/>
    <x v="288"/>
    <s v="3401"/>
    <n v="34"/>
    <x v="1"/>
    <n v="1"/>
    <m/>
    <x v="230"/>
    <x v="345"/>
    <x v="468"/>
    <x v="0"/>
    <n v="35"/>
    <n v="2853"/>
    <n v="4.0126582278481013"/>
    <n v="2615"/>
    <n v="3.6779184247538677"/>
    <s v="[Galley Kitchen South View]"/>
    <s v="[view.direction view]"/>
  </r>
  <r>
    <x v="9"/>
    <s v="111 West Wacker Drive"/>
    <x v="288"/>
    <m/>
    <m/>
    <x v="1"/>
    <n v="1"/>
    <m/>
    <x v="230"/>
    <x v="390"/>
    <x v="483"/>
    <x v="0"/>
    <n v="314"/>
    <m/>
    <m/>
    <m/>
    <m/>
    <s v="[]"/>
    <s v="[corner_unit]"/>
  </r>
  <r>
    <x v="9"/>
    <s v="111 West Wacker Drive"/>
    <x v="288"/>
    <s v="4701"/>
    <n v="47"/>
    <x v="1"/>
    <n v="1"/>
    <m/>
    <x v="230"/>
    <x v="240"/>
    <x v="247"/>
    <x v="0"/>
    <n v="38"/>
    <n v="3073"/>
    <n v="4.3220815752461323"/>
    <n v="3073"/>
    <n v="4.3220815752461323"/>
    <s v="[Galley Kitchen South View]"/>
    <s v="[view.direction view]"/>
  </r>
  <r>
    <x v="9"/>
    <s v="111 West Wacker Drive"/>
    <x v="289"/>
    <s v="4912"/>
    <n v="49"/>
    <x v="1"/>
    <n v="1"/>
    <m/>
    <x v="231"/>
    <x v="255"/>
    <x v="412"/>
    <x v="0"/>
    <n v="121"/>
    <n v="2718"/>
    <n v="3.7802503477051461"/>
    <n v="2492"/>
    <n v="3.4659248956884561"/>
    <s v="[U-Shaped Kitchen South View]"/>
    <s v="[view.direction view]"/>
  </r>
  <r>
    <x v="9"/>
    <s v="111 West Wacker Drive"/>
    <x v="288"/>
    <s v="5701"/>
    <n v="57"/>
    <x v="1"/>
    <n v="1"/>
    <m/>
    <x v="232"/>
    <x v="178"/>
    <x v="28"/>
    <x v="1"/>
    <m/>
    <n v="3447"/>
    <n v="4.7025920873124143"/>
    <n v="3447"/>
    <n v="4.7025920873124143"/>
    <s v="[South View]"/>
    <s v="[view.direction view]"/>
  </r>
  <r>
    <x v="9"/>
    <s v="111 West Wacker Drive"/>
    <x v="288"/>
    <s v="3405"/>
    <n v="34"/>
    <x v="1"/>
    <n v="1"/>
    <m/>
    <x v="134"/>
    <x v="185"/>
    <x v="563"/>
    <x v="0"/>
    <n v="61"/>
    <n v="2829"/>
    <n v="3.8385345997286295"/>
    <n v="2829"/>
    <n v="3.8385345997286295"/>
    <s v="[North View]"/>
    <s v="[view.direction view]"/>
  </r>
  <r>
    <x v="9"/>
    <s v="111 West Wacker Drive"/>
    <x v="288"/>
    <s v="3205"/>
    <n v="32"/>
    <x v="1"/>
    <n v="1"/>
    <m/>
    <x v="134"/>
    <x v="221"/>
    <x v="95"/>
    <x v="0"/>
    <n v="20"/>
    <n v="2829"/>
    <n v="3.8385345997286295"/>
    <n v="2593"/>
    <n v="3.5183175033921303"/>
    <s v="[North View]"/>
    <s v="[view.direction view]"/>
  </r>
  <r>
    <x v="9"/>
    <s v="111 West Wacker Drive"/>
    <x v="288"/>
    <s v="4005"/>
    <n v="40"/>
    <x v="1"/>
    <n v="1"/>
    <m/>
    <x v="134"/>
    <x v="63"/>
    <x v="408"/>
    <x v="0"/>
    <n v="32"/>
    <n v="2829"/>
    <n v="3.8385345997286295"/>
    <n v="2829"/>
    <n v="3.8385345997286295"/>
    <s v="[North View]"/>
    <s v="[view.direction view]"/>
  </r>
  <r>
    <x v="9"/>
    <s v="111 West Wacker Drive"/>
    <x v="288"/>
    <s v="4405"/>
    <n v="44"/>
    <x v="1"/>
    <n v="1"/>
    <m/>
    <x v="134"/>
    <x v="476"/>
    <x v="214"/>
    <x v="0"/>
    <n v="33"/>
    <n v="2897"/>
    <n v="3.9308005427408412"/>
    <n v="2656"/>
    <n v="3.6037991858887382"/>
    <s v="[North View]"/>
    <s v="[view.direction view]"/>
  </r>
  <r>
    <x v="9"/>
    <s v="111 West Wacker Drive"/>
    <x v="288"/>
    <s v="4205"/>
    <n v="42"/>
    <x v="1"/>
    <n v="1"/>
    <m/>
    <x v="134"/>
    <x v="90"/>
    <x v="449"/>
    <x v="0"/>
    <n v="44"/>
    <n v="3038"/>
    <n v="4.1221166892808681"/>
    <n v="3038"/>
    <n v="4.1221166892808681"/>
    <s v="[North View]"/>
    <s v="[view.direction view]"/>
  </r>
  <r>
    <x v="9"/>
    <s v="111 West Wacker Drive"/>
    <x v="288"/>
    <s v="4605"/>
    <n v="46"/>
    <x v="1"/>
    <n v="1"/>
    <m/>
    <x v="134"/>
    <x v="155"/>
    <x v="300"/>
    <x v="0"/>
    <n v="7"/>
    <n v="3096"/>
    <n v="4.2008141112618729"/>
    <n v="3096"/>
    <n v="4.2008141112618729"/>
    <s v="[North View]"/>
    <s v="[view.direction view corner_unit]"/>
  </r>
  <r>
    <x v="9"/>
    <s v="111 West Wacker Drive"/>
    <x v="288"/>
    <s v="3105"/>
    <n v="31"/>
    <x v="1"/>
    <n v="1"/>
    <m/>
    <x v="134"/>
    <x v="283"/>
    <x v="90"/>
    <x v="0"/>
    <n v="79"/>
    <n v="3147"/>
    <n v="4.2700135685210316"/>
    <n v="2885"/>
    <n v="3.9145183175033922"/>
    <s v="[North View]"/>
    <s v="[view.direction view corner_unit]"/>
  </r>
  <r>
    <x v="9"/>
    <s v="111 West Wacker Drive"/>
    <x v="288"/>
    <s v="3805"/>
    <n v="38"/>
    <x v="1"/>
    <n v="1"/>
    <m/>
    <x v="134"/>
    <x v="33"/>
    <x v="28"/>
    <x v="1"/>
    <m/>
    <n v="3329"/>
    <n v="4.5169606512890095"/>
    <n v="3329"/>
    <n v="4.5169606512890095"/>
    <s v="[North View]"/>
    <s v="[view.direction view]"/>
  </r>
  <r>
    <x v="9"/>
    <s v="111 West Wacker Drive"/>
    <x v="288"/>
    <s v="4305"/>
    <n v="43"/>
    <x v="1"/>
    <n v="1"/>
    <m/>
    <x v="134"/>
    <x v="466"/>
    <x v="377"/>
    <x v="0"/>
    <n v="2"/>
    <n v="2690"/>
    <n v="3.649932157394844"/>
    <n v="2466"/>
    <n v="3.3459972862957938"/>
    <s v="[]"/>
    <s v="[corner_unit]"/>
  </r>
  <r>
    <x v="9"/>
    <s v="111 West Wacker Drive"/>
    <x v="288"/>
    <s v="3305"/>
    <n v="33"/>
    <x v="1"/>
    <n v="1"/>
    <m/>
    <x v="134"/>
    <x v="195"/>
    <x v="593"/>
    <x v="0"/>
    <n v="85"/>
    <n v="2938"/>
    <n v="3.9864314789687922"/>
    <n v="2693"/>
    <n v="3.6540027137042062"/>
    <s v="[]"/>
    <s v="[corner_unit]"/>
  </r>
  <r>
    <x v="9"/>
    <s v="111 West Wacker Drive"/>
    <x v="288"/>
    <s v="3505"/>
    <n v="35"/>
    <x v="1"/>
    <n v="1"/>
    <m/>
    <x v="134"/>
    <x v="16"/>
    <x v="593"/>
    <x v="0"/>
    <n v="126"/>
    <n v="2938"/>
    <n v="3.9864314789687922"/>
    <n v="2693"/>
    <n v="3.6540027137042062"/>
    <s v="[]"/>
    <s v="[corner_unit]"/>
  </r>
  <r>
    <x v="9"/>
    <s v="111 West Wacker Drive"/>
    <x v="288"/>
    <s v="4705"/>
    <n v="47"/>
    <x v="1"/>
    <n v="1"/>
    <m/>
    <x v="134"/>
    <x v="245"/>
    <x v="599"/>
    <x v="0"/>
    <n v="25"/>
    <n v="3055"/>
    <n v="4.145183175033921"/>
    <n v="2800"/>
    <n v="3.7991858887381276"/>
    <s v="[]"/>
    <s v="[corner_unit]"/>
  </r>
  <r>
    <x v="9"/>
    <s v="111 West Wacker Drive"/>
    <x v="288"/>
    <s v="1610"/>
    <n v="16"/>
    <x v="1"/>
    <n v="1"/>
    <m/>
    <x v="233"/>
    <x v="344"/>
    <x v="76"/>
    <x v="0"/>
    <n v="15"/>
    <n v="3106"/>
    <n v="4.135818908122503"/>
    <n v="3106"/>
    <n v="4.135818908122503"/>
    <s v="[East View]"/>
    <s v="[view.direction view]"/>
  </r>
  <r>
    <x v="9"/>
    <s v="111 West Wacker Drive"/>
    <x v="288"/>
    <s v="3111"/>
    <n v="31"/>
    <x v="1"/>
    <n v="1"/>
    <m/>
    <x v="234"/>
    <x v="331"/>
    <x v="153"/>
    <x v="0"/>
    <n v="208"/>
    <n v="2656"/>
    <n v="3.405128205128205"/>
    <n v="2435"/>
    <n v="3.1217948717948718"/>
    <s v="[South View]"/>
    <s v="[view.direction view corner_unit]"/>
  </r>
  <r>
    <x v="9"/>
    <s v="111 West Wacker Drive"/>
    <x v="288"/>
    <s v="3311"/>
    <n v="33"/>
    <x v="1"/>
    <n v="1"/>
    <m/>
    <x v="234"/>
    <x v="557"/>
    <x v="561"/>
    <x v="0"/>
    <n v="99"/>
    <n v="2766"/>
    <n v="3.546153846153846"/>
    <n v="2536"/>
    <n v="3.2512820512820513"/>
    <s v="[South View]"/>
    <s v="[view.direction view corner_unit]"/>
  </r>
  <r>
    <x v="9"/>
    <s v="111 West Wacker Drive"/>
    <x v="288"/>
    <s v="3511"/>
    <n v="35"/>
    <x v="1"/>
    <n v="1"/>
    <m/>
    <x v="234"/>
    <x v="355"/>
    <x v="320"/>
    <x v="0"/>
    <n v="125"/>
    <n v="3036"/>
    <n v="3.8923076923076922"/>
    <n v="2783"/>
    <n v="3.5679487179487182"/>
    <s v="[South View]"/>
    <s v="[view.direction view]"/>
  </r>
  <r>
    <x v="9"/>
    <s v="111 West Wacker Drive"/>
    <x v="288"/>
    <s v="4711"/>
    <n v="47"/>
    <x v="1"/>
    <n v="1"/>
    <m/>
    <x v="234"/>
    <x v="289"/>
    <x v="105"/>
    <x v="0"/>
    <n v="135"/>
    <n v="3147"/>
    <n v="4.0346153846153845"/>
    <n v="3016"/>
    <n v="3.8666666666666667"/>
    <s v="[South View]"/>
    <s v="[view.direction view corner_unit]"/>
  </r>
  <r>
    <x v="9"/>
    <s v="111 West Wacker Drive"/>
    <x v="288"/>
    <s v="4611"/>
    <n v="46"/>
    <x v="1"/>
    <n v="1"/>
    <m/>
    <x v="234"/>
    <x v="510"/>
    <x v="39"/>
    <x v="0"/>
    <n v="49"/>
    <n v="3248"/>
    <n v="4.1641025641025644"/>
    <n v="3113"/>
    <n v="3.9910256410256411"/>
    <s v="[South View]"/>
    <s v="[view.direction view corner_unit]"/>
  </r>
  <r>
    <x v="9"/>
    <s v="111 West Wacker Drive"/>
    <x v="288"/>
    <s v="4511"/>
    <n v="45"/>
    <x v="1"/>
    <n v="1"/>
    <m/>
    <x v="234"/>
    <x v="485"/>
    <x v="41"/>
    <x v="0"/>
    <n v="69"/>
    <n v="3259"/>
    <n v="4.1782051282051285"/>
    <n v="3123"/>
    <n v="4.0038461538461538"/>
    <s v="[South View]"/>
    <s v="[view.direction view corner_unit]"/>
  </r>
  <r>
    <x v="9"/>
    <s v="111 West Wacker Drive"/>
    <x v="288"/>
    <s v="4411"/>
    <n v="44"/>
    <x v="1"/>
    <n v="1"/>
    <m/>
    <x v="234"/>
    <x v="79"/>
    <x v="28"/>
    <x v="1"/>
    <m/>
    <n v="3351"/>
    <n v="4.296153846153846"/>
    <n v="3351"/>
    <n v="4.296153846153846"/>
    <s v="[South View]"/>
    <s v="[view.direction view corner_unit]"/>
  </r>
  <r>
    <x v="9"/>
    <s v="111 West Wacker Drive"/>
    <x v="288"/>
    <s v="3711"/>
    <n v="37"/>
    <x v="1"/>
    <n v="1"/>
    <m/>
    <x v="234"/>
    <x v="356"/>
    <x v="28"/>
    <x v="1"/>
    <m/>
    <n v="3351"/>
    <n v="4.296153846153846"/>
    <n v="3351"/>
    <n v="4.296153846153846"/>
    <s v="[South View]"/>
    <s v="[view.direction view corner_unit]"/>
  </r>
  <r>
    <x v="9"/>
    <s v="111 West Wacker Drive"/>
    <x v="288"/>
    <s v="4011"/>
    <n v="40"/>
    <x v="1"/>
    <n v="1"/>
    <m/>
    <x v="234"/>
    <x v="33"/>
    <x v="28"/>
    <x v="1"/>
    <m/>
    <n v="3351"/>
    <n v="4.296153846153846"/>
    <n v="3351"/>
    <n v="4.296153846153846"/>
    <s v="[South View]"/>
    <s v="[view.direction view]"/>
  </r>
  <r>
    <x v="9"/>
    <s v="111 West Wacker Drive"/>
    <x v="288"/>
    <s v="5012"/>
    <n v="50"/>
    <x v="1"/>
    <n v="1"/>
    <m/>
    <x v="24"/>
    <x v="320"/>
    <x v="112"/>
    <x v="0"/>
    <n v="200"/>
    <n v="2731"/>
    <n v="3.4745547073791347"/>
    <n v="2503"/>
    <n v="3.1844783715012723"/>
    <s v="[U-Shaped Kitchen South View]"/>
    <s v="[view.direction view]"/>
  </r>
  <r>
    <x v="9"/>
    <s v="111 West Wacker Drive"/>
    <x v="288"/>
    <s v="5312"/>
    <n v="53"/>
    <x v="1"/>
    <n v="1"/>
    <m/>
    <x v="24"/>
    <x v="156"/>
    <x v="275"/>
    <x v="0"/>
    <n v="144"/>
    <n v="2772"/>
    <n v="3.5267175572519083"/>
    <n v="2541"/>
    <n v="3.2328244274809159"/>
    <s v="[U-Shaped Kitchen South View]"/>
    <s v="[view.direction view corner_unit]"/>
  </r>
  <r>
    <x v="9"/>
    <s v="111 West Wacker Drive"/>
    <x v="288"/>
    <s v="2010"/>
    <n v="20"/>
    <x v="1"/>
    <n v="1"/>
    <m/>
    <x v="24"/>
    <x v="70"/>
    <x v="448"/>
    <x v="0"/>
    <n v="92"/>
    <n v="2785"/>
    <n v="3.5432569974554706"/>
    <n v="2553"/>
    <n v="3.2480916030534353"/>
    <s v="[East View]"/>
    <s v="[view.direction view corner_unit]"/>
  </r>
  <r>
    <x v="9"/>
    <s v="111 West Wacker Drive"/>
    <x v="288"/>
    <s v="3307"/>
    <n v="33"/>
    <x v="1"/>
    <n v="1"/>
    <m/>
    <x v="24"/>
    <x v="189"/>
    <x v="130"/>
    <x v="0"/>
    <n v="41"/>
    <n v="2879"/>
    <n v="3.662849872773537"/>
    <n v="2879"/>
    <n v="3.662849872773537"/>
    <s v="[North View]"/>
    <s v="[view.direction view]"/>
  </r>
  <r>
    <x v="9"/>
    <s v="111 West Wacker Drive"/>
    <x v="288"/>
    <s v="1810"/>
    <n v="18"/>
    <x v="1"/>
    <n v="1"/>
    <m/>
    <x v="24"/>
    <x v="267"/>
    <x v="600"/>
    <x v="0"/>
    <n v="30"/>
    <n v="2934"/>
    <n v="3.7328244274809159"/>
    <n v="2934"/>
    <n v="3.7328244274809159"/>
    <s v="[East View]"/>
    <s v="[view.direction view]"/>
  </r>
  <r>
    <x v="9"/>
    <s v="111 West Wacker Drive"/>
    <x v="288"/>
    <s v="3912"/>
    <n v="39"/>
    <x v="1"/>
    <n v="1"/>
    <m/>
    <x v="24"/>
    <x v="128"/>
    <x v="350"/>
    <x v="0"/>
    <n v="158"/>
    <n v="3008"/>
    <n v="3.8269720101781171"/>
    <n v="3008"/>
    <n v="3.8269720101781171"/>
    <s v="[U-Shaped Kitchen South View]"/>
    <s v="[view.direction view]"/>
  </r>
  <r>
    <x v="9"/>
    <s v="111 West Wacker Drive"/>
    <x v="288"/>
    <s v="4412"/>
    <n v="44"/>
    <x v="1"/>
    <n v="1"/>
    <m/>
    <x v="24"/>
    <x v="558"/>
    <x v="152"/>
    <x v="0"/>
    <n v="130"/>
    <n v="3008"/>
    <n v="3.8269720101781171"/>
    <n v="3008"/>
    <n v="3.8269720101781171"/>
    <s v="[U-Shaped Kitchen South View]"/>
    <s v="[view.direction view corner_unit]"/>
  </r>
  <r>
    <x v="9"/>
    <s v="111 West Wacker Drive"/>
    <x v="288"/>
    <s v="3712"/>
    <n v="37"/>
    <x v="1"/>
    <n v="1"/>
    <m/>
    <x v="24"/>
    <x v="91"/>
    <x v="382"/>
    <x v="0"/>
    <n v="15"/>
    <n v="3104"/>
    <n v="3.9491094147582699"/>
    <n v="3104"/>
    <n v="3.9491094147582699"/>
    <s v="[U-Shaped Kitchen South View]"/>
    <s v="[view.direction view corner_unit]"/>
  </r>
  <r>
    <x v="9"/>
    <s v="111 West Wacker Drive"/>
    <x v="288"/>
    <s v="3107"/>
    <n v="31"/>
    <x v="1"/>
    <n v="1"/>
    <m/>
    <x v="24"/>
    <x v="123"/>
    <x v="322"/>
    <x v="0"/>
    <n v="19"/>
    <n v="3152"/>
    <n v="4.0101781170483459"/>
    <n v="3152"/>
    <n v="4.0101781170483459"/>
    <s v="[North View]"/>
    <s v="[view.direction view corner_unit]"/>
  </r>
  <r>
    <x v="9"/>
    <s v="111 West Wacker Drive"/>
    <x v="288"/>
    <s v="5207"/>
    <n v="52"/>
    <x v="1"/>
    <n v="1"/>
    <m/>
    <x v="24"/>
    <x v="30"/>
    <x v="85"/>
    <x v="0"/>
    <n v="10"/>
    <n v="3154"/>
    <n v="4.0127226463104329"/>
    <n v="3154"/>
    <n v="4.0127226463104329"/>
    <s v="[North View]"/>
    <s v="[view.direction view corner_unit]"/>
  </r>
  <r>
    <x v="9"/>
    <s v="111 West Wacker Drive"/>
    <x v="288"/>
    <s v="3112"/>
    <n v="31"/>
    <x v="1"/>
    <n v="1"/>
    <m/>
    <x v="24"/>
    <x v="236"/>
    <x v="468"/>
    <x v="0"/>
    <n v="120"/>
    <n v="3188"/>
    <n v="4.0559796437659035"/>
    <n v="2922"/>
    <n v="3.717557251908397"/>
    <s v="[U-Shaped Kitchen South View]"/>
    <s v="[view.direction view corner_unit]"/>
  </r>
  <r>
    <x v="9"/>
    <s v="111 West Wacker Drive"/>
    <x v="288"/>
    <s v="4512"/>
    <n v="45"/>
    <x v="1"/>
    <n v="1"/>
    <m/>
    <x v="24"/>
    <x v="536"/>
    <x v="4"/>
    <x v="0"/>
    <n v="52"/>
    <n v="3258"/>
    <n v="4.1450381679389317"/>
    <n v="3122"/>
    <n v="3.9720101781170483"/>
    <s v="[U-Shaped Kitchen South View]"/>
    <s v="[view.direction view corner_unit]"/>
  </r>
  <r>
    <x v="9"/>
    <s v="111 West Wacker Drive"/>
    <x v="288"/>
    <s v="4612"/>
    <n v="46"/>
    <x v="1"/>
    <n v="1"/>
    <m/>
    <x v="24"/>
    <x v="312"/>
    <x v="28"/>
    <x v="1"/>
    <m/>
    <n v="3279"/>
    <n v="4.1717557251908399"/>
    <n v="3279"/>
    <n v="4.1717557251908399"/>
    <s v="[U-Shaped Kitchen South View]"/>
    <s v="[view.direction view]"/>
  </r>
  <r>
    <x v="9"/>
    <s v="111 West Wacker Drive"/>
    <x v="288"/>
    <s v="3907"/>
    <n v="39"/>
    <x v="1"/>
    <n v="1"/>
    <m/>
    <x v="24"/>
    <x v="158"/>
    <x v="230"/>
    <x v="0"/>
    <n v="11"/>
    <n v="3398"/>
    <n v="4.3231552162849871"/>
    <n v="3398"/>
    <n v="4.3231552162849871"/>
    <s v="[North View]"/>
    <s v="[view.direction view]"/>
  </r>
  <r>
    <x v="9"/>
    <s v="111 West Wacker Drive"/>
    <x v="288"/>
    <s v="3412"/>
    <n v="34"/>
    <x v="1"/>
    <n v="1"/>
    <m/>
    <x v="24"/>
    <x v="130"/>
    <x v="309"/>
    <x v="0"/>
    <m/>
    <n v="2801"/>
    <n v="3.5636132315521629"/>
    <n v="2568"/>
    <n v="3.2671755725190841"/>
    <s v="[]"/>
    <s v="[corner_unit]"/>
  </r>
  <r>
    <x v="9"/>
    <s v="111 West Wacker Drive"/>
    <x v="288"/>
    <s v="3212"/>
    <n v="32"/>
    <x v="1"/>
    <n v="1"/>
    <m/>
    <x v="24"/>
    <x v="164"/>
    <x v="458"/>
    <x v="0"/>
    <n v="214"/>
    <n v="2801"/>
    <n v="3.5636132315521629"/>
    <n v="2568"/>
    <n v="3.2671755725190841"/>
    <s v="[]"/>
    <s v="[corner_unit]"/>
  </r>
  <r>
    <x v="9"/>
    <s v="111 West Wacker Drive"/>
    <x v="288"/>
    <s v="3512"/>
    <n v="35"/>
    <x v="1"/>
    <n v="1"/>
    <m/>
    <x v="24"/>
    <x v="130"/>
    <x v="38"/>
    <x v="0"/>
    <m/>
    <n v="3007"/>
    <n v="3.8256997455470736"/>
    <n v="2756"/>
    <n v="3.5063613231552164"/>
    <s v="[]"/>
    <s v="[corner_unit]"/>
  </r>
  <r>
    <x v="9"/>
    <s v="111 West Wacker Drive"/>
    <x v="288"/>
    <s v="4507"/>
    <n v="45"/>
    <x v="1"/>
    <n v="1"/>
    <m/>
    <x v="24"/>
    <x v="287"/>
    <x v="593"/>
    <x v="0"/>
    <n v="27"/>
    <n v="3012"/>
    <n v="3.83206106870229"/>
    <n v="2761"/>
    <n v="3.5127226463104324"/>
    <s v="[]"/>
    <s v="[corner_unit]"/>
  </r>
  <r>
    <x v="9"/>
    <s v="111 West Wacker Drive"/>
    <x v="288"/>
    <s v="4707"/>
    <n v="47"/>
    <x v="1"/>
    <n v="1"/>
    <m/>
    <x v="24"/>
    <x v="471"/>
    <x v="309"/>
    <x v="0"/>
    <n v="32"/>
    <n v="3037"/>
    <n v="3.8638676844783717"/>
    <n v="2784"/>
    <n v="3.5419847328244276"/>
    <s v="[]"/>
    <s v="[corner_unit]"/>
  </r>
  <r>
    <x v="9"/>
    <s v="111 West Wacker Drive"/>
    <x v="288"/>
    <s v="2310"/>
    <n v="23"/>
    <x v="1"/>
    <n v="1"/>
    <m/>
    <x v="24"/>
    <x v="371"/>
    <x v="473"/>
    <x v="0"/>
    <n v="85"/>
    <n v="3055"/>
    <n v="3.88676844783715"/>
    <n v="2928"/>
    <n v="3.7251908396946565"/>
    <s v="[]"/>
    <s v="[corner_unit]"/>
  </r>
  <r>
    <x v="9"/>
    <s v="111 West Wacker Drive"/>
    <x v="288"/>
    <s v="4607"/>
    <n v="46"/>
    <x v="1"/>
    <n v="1"/>
    <m/>
    <x v="24"/>
    <x v="434"/>
    <x v="555"/>
    <x v="0"/>
    <n v="10"/>
    <n v="3102"/>
    <n v="3.946564885496183"/>
    <n v="2844"/>
    <n v="3.6183206106870229"/>
    <s v="[]"/>
    <s v="[corner_unit]"/>
  </r>
  <r>
    <x v="9"/>
    <s v="111 West Wacker Drive"/>
    <x v="288"/>
    <s v="4712"/>
    <n v="47"/>
    <x v="1"/>
    <n v="1"/>
    <m/>
    <x v="24"/>
    <x v="352"/>
    <x v="584"/>
    <x v="0"/>
    <n v="130"/>
    <n v="3112"/>
    <n v="3.9592875318066159"/>
    <n v="2853"/>
    <n v="3.6297709923664123"/>
    <s v="[]"/>
    <s v="[corner_unit]"/>
  </r>
  <r>
    <x v="9"/>
    <s v="111 West Wacker Drive"/>
    <x v="288"/>
    <s v="4307"/>
    <n v="43"/>
    <x v="1"/>
    <n v="1"/>
    <m/>
    <x v="24"/>
    <x v="512"/>
    <x v="592"/>
    <x v="0"/>
    <n v="73"/>
    <n v="3134"/>
    <n v="3.9872773536895676"/>
    <n v="2873"/>
    <n v="3.6552162849872776"/>
    <s v="[]"/>
    <s v="[corner_unit]"/>
  </r>
  <r>
    <x v="9"/>
    <s v="111 West Wacker Drive"/>
    <x v="288"/>
    <s v="4107"/>
    <n v="41"/>
    <x v="1"/>
    <n v="1"/>
    <m/>
    <x v="24"/>
    <x v="299"/>
    <x v="390"/>
    <x v="0"/>
    <n v="61"/>
    <n v="3176"/>
    <n v="4.0407124681933846"/>
    <n v="3044"/>
    <n v="3.8727735368956742"/>
    <s v="[]"/>
    <s v="[corner_unit]"/>
  </r>
  <r>
    <x v="9"/>
    <s v="111 West Wacker Drive"/>
    <x v="288"/>
    <s v="5007"/>
    <n v="50"/>
    <x v="1"/>
    <n v="1"/>
    <m/>
    <x v="24"/>
    <x v="516"/>
    <x v="328"/>
    <x v="0"/>
    <n v="18"/>
    <n v="3207"/>
    <n v="4.0801526717557248"/>
    <n v="2940"/>
    <n v="3.7404580152671754"/>
    <s v="[]"/>
    <s v="[corner_unit]"/>
  </r>
  <r>
    <x v="9"/>
    <s v="111 West Wacker Drive"/>
    <x v="288"/>
    <s v="4012"/>
    <n v="40"/>
    <x v="1"/>
    <n v="1"/>
    <m/>
    <x v="24"/>
    <x v="522"/>
    <x v="331"/>
    <x v="0"/>
    <n v="53"/>
    <n v="3212"/>
    <n v="4.0865139949109412"/>
    <n v="2944"/>
    <n v="3.7455470737913488"/>
    <s v="[]"/>
    <s v="[corner_unit]"/>
  </r>
  <r>
    <x v="9"/>
    <s v="111 West Wacker Drive"/>
    <x v="288"/>
    <s v="3312"/>
    <n v="33"/>
    <x v="1"/>
    <n v="1"/>
    <m/>
    <x v="24"/>
    <x v="529"/>
    <x v="431"/>
    <x v="0"/>
    <n v="36"/>
    <n v="3237"/>
    <n v="4.1183206106870225"/>
    <n v="2967"/>
    <n v="3.7748091603053435"/>
    <s v="[]"/>
    <s v="[corner_unit]"/>
  </r>
  <r>
    <x v="9"/>
    <s v="111 West Wacker Drive"/>
    <x v="288"/>
    <s v="3607"/>
    <n v="36"/>
    <x v="1"/>
    <n v="1"/>
    <m/>
    <x v="24"/>
    <x v="481"/>
    <x v="483"/>
    <x v="0"/>
    <n v="40"/>
    <n v="3266"/>
    <n v="4.1552162849872776"/>
    <n v="3130"/>
    <n v="3.9821882951653942"/>
    <s v="[]"/>
    <s v="[corner_unit]"/>
  </r>
  <r>
    <x v="9"/>
    <s v="111 West Wacker Drive"/>
    <x v="288"/>
    <s v="3707"/>
    <n v="37"/>
    <x v="1"/>
    <n v="1"/>
    <m/>
    <x v="24"/>
    <x v="144"/>
    <x v="257"/>
    <x v="0"/>
    <n v="18"/>
    <n v="3291"/>
    <n v="4.1870229007633588"/>
    <n v="3017"/>
    <n v="3.8384223918575064"/>
    <s v="[]"/>
    <s v="[corner_unit]"/>
  </r>
  <r>
    <x v="9"/>
    <s v="111 West Wacker Drive"/>
    <x v="288"/>
    <s v="5212"/>
    <n v="52"/>
    <x v="1"/>
    <n v="1"/>
    <m/>
    <x v="24"/>
    <x v="124"/>
    <x v="377"/>
    <x v="0"/>
    <n v="30"/>
    <n v="3338"/>
    <n v="4.2468193384223918"/>
    <n v="3060"/>
    <n v="3.8931297709923665"/>
    <s v="[]"/>
    <s v="[corner_unit]"/>
  </r>
  <r>
    <x v="9"/>
    <s v="111 West Wacker Drive"/>
    <x v="288"/>
    <s v="4908"/>
    <n v="49"/>
    <x v="1"/>
    <n v="1"/>
    <m/>
    <x v="235"/>
    <x v="557"/>
    <x v="125"/>
    <x v="0"/>
    <n v="123"/>
    <n v="3771"/>
    <n v="4.7916137229987292"/>
    <n v="3457"/>
    <n v="4.3926302414231255"/>
    <s v="[Northeast View Corner Unit]"/>
    <s v="[corner_unit view.direction view corner_unit]"/>
  </r>
  <r>
    <x v="9"/>
    <s v="111 West Wacker Drive"/>
    <x v="288"/>
    <s v="4808"/>
    <n v="48"/>
    <x v="1"/>
    <n v="1"/>
    <m/>
    <x v="235"/>
    <x v="27"/>
    <x v="350"/>
    <x v="0"/>
    <n v="78"/>
    <n v="4014"/>
    <n v="5.1003811944091488"/>
    <n v="4014"/>
    <n v="5.1003811944091488"/>
    <s v="[Northeast View North Terrace]"/>
    <s v="[view.direction view corner_unit]"/>
  </r>
  <r>
    <x v="9"/>
    <s v="111 West Wacker Drive"/>
    <x v="288"/>
    <s v="5505"/>
    <n v="55"/>
    <x v="1"/>
    <n v="1"/>
    <m/>
    <x v="138"/>
    <x v="122"/>
    <x v="321"/>
    <x v="0"/>
    <n v="21"/>
    <n v="3490"/>
    <n v="4.3300248138957818"/>
    <n v="3199"/>
    <n v="3.9689826302729529"/>
    <s v="[North View]"/>
    <s v="[view.direction view]"/>
  </r>
  <r>
    <x v="9"/>
    <s v="111 West Wacker Drive"/>
    <x v="288"/>
    <s v="5206"/>
    <n v="52"/>
    <x v="1"/>
    <n v="1"/>
    <m/>
    <x v="236"/>
    <x v="550"/>
    <x v="201"/>
    <x v="0"/>
    <n v="170"/>
    <n v="3398"/>
    <n v="4.1950617283950615"/>
    <n v="3115"/>
    <n v="3.8456790123456792"/>
    <s v="[U-Shaped Kitchen North View]"/>
    <s v="[view.direction view corner_unit]"/>
  </r>
  <r>
    <x v="9"/>
    <s v="111 West Wacker Drive"/>
    <x v="288"/>
    <s v="5006"/>
    <n v="50"/>
    <x v="1"/>
    <n v="1"/>
    <m/>
    <x v="236"/>
    <x v="124"/>
    <x v="468"/>
    <x v="0"/>
    <n v="89"/>
    <n v="3563"/>
    <n v="4.3987654320987657"/>
    <n v="3266"/>
    <n v="4.0320987654320986"/>
    <s v="[U-Shaped Kitchen North View]"/>
    <s v="[view.direction view corner_unit]"/>
  </r>
  <r>
    <x v="9"/>
    <s v="111 West Wacker Drive"/>
    <x v="288"/>
    <s v="3506"/>
    <n v="35"/>
    <x v="1"/>
    <n v="1"/>
    <m/>
    <x v="236"/>
    <x v="16"/>
    <x v="455"/>
    <x v="0"/>
    <n v="261"/>
    <n v="3253"/>
    <n v="4.0160493827160497"/>
    <n v="2982"/>
    <n v="3.6814814814814816"/>
    <s v="[]"/>
    <s v="[corner_unit]"/>
  </r>
  <r>
    <x v="9"/>
    <s v="111 West Wacker Drive"/>
    <x v="288"/>
    <s v="4706"/>
    <n v="47"/>
    <x v="1"/>
    <n v="1"/>
    <m/>
    <x v="236"/>
    <x v="434"/>
    <x v="37"/>
    <x v="0"/>
    <n v="7"/>
    <n v="3502"/>
    <n v="4.3234567901234566"/>
    <n v="3210"/>
    <n v="3.9629629629629628"/>
    <s v="[]"/>
    <s v="[corner_unit]"/>
  </r>
  <r>
    <x v="9"/>
    <s v="111 West Wacker Drive"/>
    <x v="288"/>
    <s v="1812"/>
    <n v="18"/>
    <x v="1"/>
    <n v="1"/>
    <m/>
    <x v="139"/>
    <x v="559"/>
    <x v="148"/>
    <x v="0"/>
    <n v="98"/>
    <n v="2910"/>
    <n v="3.5881627620221948"/>
    <n v="2668"/>
    <n v="3.2897657213316891"/>
    <s v="[East View]"/>
    <s v="[view.direction view corner_unit]"/>
  </r>
  <r>
    <x v="9"/>
    <s v="111 West Wacker Drive"/>
    <x v="288"/>
    <s v="2712"/>
    <n v="27"/>
    <x v="1"/>
    <n v="1"/>
    <m/>
    <x v="139"/>
    <x v="177"/>
    <x v="585"/>
    <x v="0"/>
    <n v="45"/>
    <n v="3022"/>
    <n v="3.7262638717632552"/>
    <n v="3022"/>
    <n v="3.7262638717632552"/>
    <s v="[East View]"/>
    <s v="[view.direction view corner_unit]"/>
  </r>
  <r>
    <x v="9"/>
    <s v="111 West Wacker Drive"/>
    <x v="288"/>
    <s v="2312"/>
    <n v="23"/>
    <x v="1"/>
    <n v="1"/>
    <m/>
    <x v="139"/>
    <x v="382"/>
    <x v="28"/>
    <x v="1"/>
    <m/>
    <n v="3044"/>
    <n v="3.7533908754623919"/>
    <n v="3044"/>
    <n v="3.7533908754623919"/>
    <s v="[East View]"/>
    <s v="[view.direction view corner_unit]"/>
  </r>
  <r>
    <x v="9"/>
    <s v="111 West Wacker Drive"/>
    <x v="288"/>
    <s v="1512"/>
    <n v="15"/>
    <x v="1"/>
    <n v="1"/>
    <m/>
    <x v="139"/>
    <x v="104"/>
    <x v="508"/>
    <x v="0"/>
    <n v="155"/>
    <n v="3044"/>
    <n v="3.7533908754623919"/>
    <n v="2917"/>
    <n v="3.5967940813810113"/>
    <s v="[East View]"/>
    <s v="[view.direction view corner_unit]"/>
  </r>
  <r>
    <x v="9"/>
    <s v="111 West Wacker Drive"/>
    <x v="288"/>
    <s v="2012"/>
    <n v="20"/>
    <x v="1"/>
    <n v="1"/>
    <m/>
    <x v="139"/>
    <x v="331"/>
    <x v="5"/>
    <x v="0"/>
    <n v="68"/>
    <n v="3077"/>
    <n v="3.7940813810110976"/>
    <n v="2821"/>
    <n v="3.4784217016029593"/>
    <s v="[East View]"/>
    <s v="[view.direction view corner_unit]"/>
  </r>
  <r>
    <x v="9"/>
    <s v="111 West Wacker Drive"/>
    <x v="288"/>
    <s v="1612"/>
    <n v="16"/>
    <x v="1"/>
    <n v="1"/>
    <m/>
    <x v="139"/>
    <x v="451"/>
    <x v="286"/>
    <x v="0"/>
    <n v="125"/>
    <n v="3152"/>
    <n v="3.8865598027127004"/>
    <n v="2889"/>
    <n v="3.562268803945746"/>
    <s v="[East View]"/>
    <s v="[view.direction view corner_unit]"/>
  </r>
  <r>
    <x v="9"/>
    <s v="111 West Wacker Drive"/>
    <x v="288"/>
    <s v="3606"/>
    <n v="36"/>
    <x v="1"/>
    <n v="1"/>
    <m/>
    <x v="237"/>
    <x v="467"/>
    <x v="359"/>
    <x v="0"/>
    <n v="119"/>
    <n v="2967"/>
    <n v="3.6051032806804373"/>
    <n v="2720"/>
    <n v="3.3049817739975698"/>
    <s v="[U-Shaped Kitchen North View]"/>
    <s v="[view.direction view]"/>
  </r>
  <r>
    <x v="9"/>
    <s v="111 West Wacker Drive"/>
    <x v="288"/>
    <s v="3406"/>
    <n v="34"/>
    <x v="1"/>
    <n v="1"/>
    <m/>
    <x v="237"/>
    <x v="48"/>
    <x v="474"/>
    <x v="0"/>
    <n v="192"/>
    <n v="3001"/>
    <n v="3.646415552855407"/>
    <n v="2751"/>
    <n v="3.3426488456865129"/>
    <s v="[U-Shaped Kitchen North View]"/>
    <s v="[view.direction view corner_unit]"/>
  </r>
  <r>
    <x v="9"/>
    <s v="111 West Wacker Drive"/>
    <x v="288"/>
    <s v="4306"/>
    <n v="43"/>
    <x v="1"/>
    <n v="1"/>
    <m/>
    <x v="237"/>
    <x v="154"/>
    <x v="120"/>
    <x v="0"/>
    <n v="86"/>
    <n v="3272"/>
    <n v="3.9756986634264884"/>
    <n v="3272"/>
    <n v="3.9756986634264884"/>
    <s v="[U-Shaped Kitchen North View]"/>
    <s v="[view.direction view]"/>
  </r>
  <r>
    <x v="9"/>
    <s v="111 West Wacker Drive"/>
    <x v="288"/>
    <s v="3306"/>
    <n v="33"/>
    <x v="1"/>
    <n v="1"/>
    <m/>
    <x v="237"/>
    <x v="234"/>
    <x v="23"/>
    <x v="0"/>
    <n v="179"/>
    <n v="3287"/>
    <n v="3.9939246658566221"/>
    <n v="3013"/>
    <n v="3.6609963547995141"/>
    <s v="[U-Shaped Kitchen North View]"/>
    <s v="[view.direction view corner_unit]"/>
  </r>
  <r>
    <x v="9"/>
    <s v="111 West Wacker Drive"/>
    <x v="288"/>
    <s v="3006"/>
    <n v="30"/>
    <x v="1"/>
    <n v="1"/>
    <m/>
    <x v="237"/>
    <x v="506"/>
    <x v="316"/>
    <x v="0"/>
    <n v="110"/>
    <n v="3431"/>
    <n v="4.1688942891859053"/>
    <n v="3145"/>
    <n v="3.8213851761846902"/>
    <s v="[U-Shaped Kitchen North View]"/>
    <s v="[view.direction view]"/>
  </r>
  <r>
    <x v="9"/>
    <s v="111 West Wacker Drive"/>
    <x v="288"/>
    <s v="3206"/>
    <n v="32"/>
    <x v="1"/>
    <n v="1"/>
    <m/>
    <x v="237"/>
    <x v="462"/>
    <x v="323"/>
    <x v="0"/>
    <n v="33"/>
    <n v="3443"/>
    <n v="4.1834750911300125"/>
    <n v="3443"/>
    <n v="4.1834750911300125"/>
    <s v="[U-Shaped Kitchen North View]"/>
    <s v="[view.direction view]"/>
  </r>
  <r>
    <x v="9"/>
    <s v="111 West Wacker Drive"/>
    <x v="288"/>
    <s v="4206"/>
    <n v="42"/>
    <x v="1"/>
    <n v="1"/>
    <m/>
    <x v="237"/>
    <x v="63"/>
    <x v="137"/>
    <x v="0"/>
    <n v="128"/>
    <n v="3502"/>
    <n v="4.2551640340218713"/>
    <n v="3356"/>
    <n v="4.0777642770352367"/>
    <s v="[U-Shaped Kitchen North View]"/>
    <s v="[view.direction view corner_unit]"/>
  </r>
  <r>
    <x v="9"/>
    <s v="111 West Wacker Drive"/>
    <x v="288"/>
    <s v="4006"/>
    <n v="40"/>
    <x v="1"/>
    <n v="1"/>
    <m/>
    <x v="237"/>
    <x v="135"/>
    <x v="29"/>
    <x v="0"/>
    <n v="55"/>
    <n v="3502"/>
    <n v="4.2551640340218713"/>
    <n v="3356"/>
    <n v="4.0777642770352367"/>
    <s v="[U-Shaped Kitchen North View]"/>
    <s v="[view.direction view]"/>
  </r>
  <r>
    <x v="9"/>
    <s v="111 West Wacker Drive"/>
    <x v="288"/>
    <s v="4106"/>
    <n v="41"/>
    <x v="1"/>
    <n v="1"/>
    <m/>
    <x v="237"/>
    <x v="91"/>
    <x v="28"/>
    <x v="1"/>
    <m/>
    <n v="3529"/>
    <n v="4.2879708383961121"/>
    <n v="3529"/>
    <n v="4.2879708383961121"/>
    <s v="[U-Shaped Kitchen North View]"/>
    <s v="[view.direction view corner_unit]"/>
  </r>
  <r>
    <x v="9"/>
    <s v="111 West Wacker Drive"/>
    <x v="288"/>
    <s v="4406"/>
    <n v="44"/>
    <x v="1"/>
    <n v="1"/>
    <m/>
    <x v="237"/>
    <x v="451"/>
    <x v="49"/>
    <x v="0"/>
    <n v="69"/>
    <n v="3560"/>
    <n v="4.3256379100850548"/>
    <n v="3412"/>
    <n v="4.1458080194410689"/>
    <s v="[U-Shaped Kitchen North View]"/>
    <s v="[view.direction view corner_unit]"/>
  </r>
  <r>
    <x v="9"/>
    <s v="111 West Wacker Drive"/>
    <x v="288"/>
    <s v="3806"/>
    <n v="38"/>
    <x v="1"/>
    <n v="1"/>
    <m/>
    <x v="237"/>
    <x v="201"/>
    <x v="35"/>
    <x v="0"/>
    <n v="134"/>
    <n v="3097"/>
    <n v="3.7630619684082625"/>
    <n v="2839"/>
    <n v="3.4495747266099634"/>
    <s v="[]"/>
    <s v="[corner_unit]"/>
  </r>
  <r>
    <x v="9"/>
    <s v="111 West Wacker Drive"/>
    <x v="288"/>
    <s v="2301"/>
    <n v="23"/>
    <x v="1"/>
    <n v="1"/>
    <m/>
    <x v="187"/>
    <x v="419"/>
    <x v="217"/>
    <x v="0"/>
    <n v="55"/>
    <n v="2759"/>
    <n v="2.9011566771819139"/>
    <n v="2529"/>
    <n v="2.6593059936908516"/>
    <s v="[]"/>
    <s v="[corner_unit]"/>
  </r>
  <r>
    <x v="9"/>
    <s v="111 West Wacker Drive"/>
    <x v="288"/>
    <s v="2501"/>
    <n v="25"/>
    <x v="1"/>
    <n v="1"/>
    <m/>
    <x v="187"/>
    <x v="162"/>
    <x v="311"/>
    <x v="0"/>
    <n v="3"/>
    <n v="2979"/>
    <n v="3.1324921135646688"/>
    <n v="2979"/>
    <n v="3.1324921135646688"/>
    <s v="[]"/>
    <s v="[]"/>
  </r>
  <r>
    <x v="9"/>
    <s v="111 West Wacker Drive"/>
    <x v="288"/>
    <s v="2201"/>
    <n v="22"/>
    <x v="1"/>
    <n v="1"/>
    <m/>
    <x v="187"/>
    <x v="345"/>
    <x v="468"/>
    <x v="0"/>
    <n v="35"/>
    <n v="3058"/>
    <n v="3.2155625657202944"/>
    <n v="2803"/>
    <n v="2.9474237644584647"/>
    <s v="[]"/>
    <s v="[corner_unit]"/>
  </r>
  <r>
    <x v="9"/>
    <s v="111 West Wacker Drive"/>
    <x v="288"/>
    <s v="2101"/>
    <n v="21"/>
    <x v="1"/>
    <n v="1"/>
    <m/>
    <x v="187"/>
    <x v="130"/>
    <x v="488"/>
    <x v="0"/>
    <m/>
    <n v="2864"/>
    <n v="3.0115667718191377"/>
    <n v="2625"/>
    <n v="2.7602523659305995"/>
    <s v="[]"/>
    <s v="[corner_unit]"/>
  </r>
  <r>
    <x v="9"/>
    <s v="111 West Wacker Drive"/>
    <x v="288"/>
    <s v="1801"/>
    <n v="18"/>
    <x v="1"/>
    <n v="1"/>
    <m/>
    <x v="187"/>
    <x v="130"/>
    <x v="557"/>
    <x v="0"/>
    <m/>
    <n v="3109"/>
    <n v="3.2691903259726605"/>
    <n v="2850"/>
    <n v="2.9968454258675079"/>
    <s v="[]"/>
    <s v="[corner_unit]"/>
  </r>
  <r>
    <x v="9"/>
    <s v="111 West Wacker Drive"/>
    <x v="288"/>
    <s v="2401"/>
    <n v="24"/>
    <x v="1"/>
    <n v="1"/>
    <m/>
    <x v="187"/>
    <x v="225"/>
    <x v="383"/>
    <x v="0"/>
    <n v="15"/>
    <n v="3112"/>
    <n v="3.2723449001051526"/>
    <n v="2853"/>
    <n v="3"/>
    <s v="[]"/>
    <s v="[corner_unit]"/>
  </r>
  <r>
    <x v="9"/>
    <s v="111 West Wacker Drive"/>
    <x v="288"/>
    <s v="2001"/>
    <n v="20"/>
    <x v="1"/>
    <n v="1"/>
    <m/>
    <x v="187"/>
    <x v="212"/>
    <x v="499"/>
    <x v="0"/>
    <n v="61"/>
    <n v="3161"/>
    <n v="3.3238696109358572"/>
    <n v="2898"/>
    <n v="3.0473186119873819"/>
    <s v="[]"/>
    <s v="[corner_unit]"/>
  </r>
  <r>
    <x v="9"/>
    <s v="111 West Wacker Drive"/>
    <x v="288"/>
    <s v="1601"/>
    <n v="16"/>
    <x v="1"/>
    <n v="1"/>
    <m/>
    <x v="187"/>
    <x v="220"/>
    <x v="360"/>
    <x v="0"/>
    <n v="2"/>
    <n v="3201"/>
    <n v="3.3659305993690851"/>
    <n v="2934"/>
    <n v="3.085173501577287"/>
    <s v="[]"/>
    <s v="[corner_unit]"/>
  </r>
  <r>
    <x v="9"/>
    <s v="111 West Wacker Drive"/>
    <x v="290"/>
    <s v="5402"/>
    <n v="54"/>
    <x v="2"/>
    <n v="2"/>
    <m/>
    <x v="238"/>
    <x v="200"/>
    <x v="193"/>
    <x v="0"/>
    <n v="4"/>
    <n v="3925"/>
    <n v="3.7416587225929456"/>
    <n v="3925"/>
    <n v="3.7416587225929456"/>
    <s v="[Corner Unit Southwest View]"/>
    <s v="[corner_unit view.direction view corner_unit]"/>
  </r>
  <r>
    <x v="9"/>
    <s v="111 West Wacker Drive"/>
    <x v="290"/>
    <s v="5702"/>
    <n v="57"/>
    <x v="2"/>
    <n v="2"/>
    <m/>
    <x v="238"/>
    <x v="334"/>
    <x v="229"/>
    <x v="0"/>
    <n v="15"/>
    <n v="4371"/>
    <n v="4.1668255481410865"/>
    <n v="4371"/>
    <n v="4.1668255481410865"/>
    <s v="[Corner Unit Southwest View]"/>
    <s v="[corner_unit view.direction view corner_unit]"/>
  </r>
  <r>
    <x v="9"/>
    <s v="111 West Wacker Drive"/>
    <x v="290"/>
    <s v="5602"/>
    <n v="56"/>
    <x v="2"/>
    <n v="2"/>
    <m/>
    <x v="238"/>
    <x v="394"/>
    <x v="301"/>
    <x v="0"/>
    <n v="61"/>
    <n v="4496"/>
    <n v="4.2859866539561491"/>
    <n v="4309"/>
    <n v="4.1077216396568161"/>
    <s v="[]"/>
    <s v="[corner_unit]"/>
  </r>
  <r>
    <x v="9"/>
    <s v="111 West Wacker Drive"/>
    <x v="290"/>
    <s v="5502"/>
    <n v="55"/>
    <x v="2"/>
    <n v="2"/>
    <m/>
    <x v="238"/>
    <x v="130"/>
    <x v="197"/>
    <x v="0"/>
    <m/>
    <n v="4971"/>
    <n v="4.7387988560533838"/>
    <n v="4557"/>
    <n v="4.3441372735938986"/>
    <s v="[]"/>
    <s v="[corner_unit]"/>
  </r>
  <r>
    <x v="9"/>
    <s v="111 West Wacker Drive"/>
    <x v="290"/>
    <s v="4810"/>
    <n v="48"/>
    <x v="2"/>
    <n v="2"/>
    <m/>
    <x v="239"/>
    <x v="134"/>
    <x v="300"/>
    <x v="0"/>
    <n v="37"/>
    <n v="3299"/>
    <n v="3.1240530303030303"/>
    <n v="3299"/>
    <n v="3.1240530303030303"/>
    <s v="[Southeast View]"/>
    <s v="[view.direction view corner_unit]"/>
  </r>
  <r>
    <x v="9"/>
    <s v="111 West Wacker Drive"/>
    <x v="290"/>
    <s v="3110"/>
    <n v="31"/>
    <x v="2"/>
    <n v="2"/>
    <m/>
    <x v="239"/>
    <x v="185"/>
    <x v="249"/>
    <x v="0"/>
    <n v="9"/>
    <n v="3427"/>
    <n v="3.2452651515151514"/>
    <n v="3427"/>
    <n v="3.2452651515151514"/>
    <s v="[]"/>
    <s v="[]"/>
  </r>
  <r>
    <x v="9"/>
    <s v="111 West Wacker Drive"/>
    <x v="290"/>
    <s v="5010"/>
    <n v="50"/>
    <x v="2"/>
    <n v="2"/>
    <m/>
    <x v="239"/>
    <x v="131"/>
    <x v="208"/>
    <x v="0"/>
    <n v="28"/>
    <n v="3455"/>
    <n v="3.2717803030303032"/>
    <n v="3455"/>
    <n v="3.2717803030303032"/>
    <s v="[Southeast View]"/>
    <s v="[view.direction view corner_unit]"/>
  </r>
  <r>
    <x v="9"/>
    <s v="111 West Wacker Drive"/>
    <x v="290"/>
    <s v="4210"/>
    <n v="42"/>
    <x v="2"/>
    <n v="2"/>
    <m/>
    <x v="239"/>
    <x v="151"/>
    <x v="199"/>
    <x v="0"/>
    <n v="9"/>
    <n v="3458"/>
    <n v="3.2746212121212119"/>
    <n v="3458"/>
    <n v="3.2746212121212119"/>
    <s v="[Southeast View]"/>
    <s v="[view.direction view]"/>
  </r>
  <r>
    <x v="9"/>
    <s v="111 West Wacker Drive"/>
    <x v="290"/>
    <s v="3410"/>
    <n v="34"/>
    <x v="2"/>
    <n v="2"/>
    <m/>
    <x v="239"/>
    <x v="176"/>
    <x v="18"/>
    <x v="0"/>
    <n v="3"/>
    <n v="3597"/>
    <n v="3.40625"/>
    <n v="3597"/>
    <n v="3.40625"/>
    <s v="[]"/>
    <s v="[]"/>
  </r>
  <r>
    <x v="9"/>
    <s v="111 West Wacker Drive"/>
    <x v="290"/>
    <s v="5310"/>
    <n v="53"/>
    <x v="2"/>
    <n v="2"/>
    <m/>
    <x v="239"/>
    <x v="176"/>
    <x v="18"/>
    <x v="0"/>
    <n v="3"/>
    <n v="3747"/>
    <n v="3.5482954545454546"/>
    <n v="3747"/>
    <n v="3.5482954545454546"/>
    <s v="[Southeast View]"/>
    <s v="[view.direction view]"/>
  </r>
  <r>
    <x v="9"/>
    <s v="111 West Wacker Drive"/>
    <x v="290"/>
    <s v="4410"/>
    <n v="44"/>
    <x v="2"/>
    <n v="2"/>
    <m/>
    <x v="239"/>
    <x v="536"/>
    <x v="256"/>
    <x v="0"/>
    <n v="75"/>
    <n v="3939"/>
    <n v="3.7301136363636362"/>
    <n v="3775"/>
    <n v="3.574810606060606"/>
    <s v="[Southeast View]"/>
    <s v="[view.direction view corner_unit]"/>
  </r>
  <r>
    <x v="9"/>
    <s v="111 West Wacker Drive"/>
    <x v="290"/>
    <s v="3610"/>
    <n v="36"/>
    <x v="2"/>
    <n v="2"/>
    <m/>
    <x v="239"/>
    <x v="453"/>
    <x v="392"/>
    <x v="0"/>
    <n v="19"/>
    <n v="3961"/>
    <n v="3.7509469696969697"/>
    <n v="3961"/>
    <n v="3.7509469696969697"/>
    <s v="[]"/>
    <s v="[corner_unit]"/>
  </r>
  <r>
    <x v="9"/>
    <s v="111 West Wacker Drive"/>
    <x v="290"/>
    <s v="4110"/>
    <n v="41"/>
    <x v="2"/>
    <n v="2"/>
    <m/>
    <x v="239"/>
    <x v="94"/>
    <x v="52"/>
    <x v="0"/>
    <n v="17"/>
    <n v="3995"/>
    <n v="3.7831439393939394"/>
    <n v="3995"/>
    <n v="3.7831439393939394"/>
    <s v="[Southeast View]"/>
    <s v="[view.direction view]"/>
  </r>
  <r>
    <x v="9"/>
    <s v="111 West Wacker Drive"/>
    <x v="290"/>
    <s v="4010"/>
    <n v="40"/>
    <x v="2"/>
    <n v="2"/>
    <m/>
    <x v="239"/>
    <x v="302"/>
    <x v="346"/>
    <x v="0"/>
    <n v="152"/>
    <n v="3769"/>
    <n v="3.5691287878787881"/>
    <n v="3612"/>
    <n v="3.4204545454545454"/>
    <s v="[]"/>
    <s v="[corner_unit]"/>
  </r>
  <r>
    <x v="9"/>
    <s v="111 West Wacker Drive"/>
    <x v="290"/>
    <s v="3910"/>
    <n v="39"/>
    <x v="2"/>
    <n v="2"/>
    <m/>
    <x v="239"/>
    <x v="130"/>
    <x v="446"/>
    <x v="0"/>
    <m/>
    <n v="3769"/>
    <n v="3.5691287878787881"/>
    <n v="3455"/>
    <n v="3.2717803030303032"/>
    <s v="[]"/>
    <s v="[corner_unit]"/>
  </r>
  <r>
    <x v="9"/>
    <s v="111 West Wacker Drive"/>
    <x v="290"/>
    <s v="3310"/>
    <n v="33"/>
    <x v="2"/>
    <n v="2"/>
    <m/>
    <x v="239"/>
    <x v="169"/>
    <x v="601"/>
    <x v="0"/>
    <n v="187"/>
    <n v="3776"/>
    <n v="3.5757575757575757"/>
    <n v="3619"/>
    <n v="3.4270833333333335"/>
    <s v="[]"/>
    <s v="[corner_unit]"/>
  </r>
  <r>
    <x v="9"/>
    <s v="111 West Wacker Drive"/>
    <x v="290"/>
    <s v="3708"/>
    <n v="37"/>
    <x v="2"/>
    <n v="2"/>
    <m/>
    <x v="240"/>
    <x v="43"/>
    <x v="193"/>
    <x v="0"/>
    <n v="29"/>
    <n v="4015"/>
    <n v="3.5848214285714284"/>
    <n v="3680"/>
    <n v="3.2857142857142856"/>
    <s v="[Northeast View]"/>
    <s v="[view.direction view corner_unit]"/>
  </r>
  <r>
    <x v="9"/>
    <s v="111 West Wacker Drive"/>
    <x v="290"/>
    <s v="3608"/>
    <n v="36"/>
    <x v="2"/>
    <n v="2"/>
    <m/>
    <x v="240"/>
    <x v="220"/>
    <x v="83"/>
    <x v="0"/>
    <n v="138"/>
    <n v="4513"/>
    <n v="4.0294642857142859"/>
    <n v="4513"/>
    <n v="4.0294642857142859"/>
    <s v="[Northeast View]"/>
    <s v="[view.direction view corner_unit]"/>
  </r>
  <r>
    <x v="9"/>
    <s v="111 West Wacker Drive"/>
    <x v="290"/>
    <s v="3408"/>
    <n v="34"/>
    <x v="2"/>
    <n v="2"/>
    <m/>
    <x v="240"/>
    <x v="156"/>
    <x v="246"/>
    <x v="0"/>
    <n v="46"/>
    <n v="4515"/>
    <n v="4.03125"/>
    <n v="4515"/>
    <n v="4.03125"/>
    <s v="[Northeast View]"/>
    <s v="[view.direction view corner_unit]"/>
  </r>
  <r>
    <x v="9"/>
    <s v="111 West Wacker Drive"/>
    <x v="290"/>
    <s v="4408"/>
    <n v="44"/>
    <x v="2"/>
    <n v="2"/>
    <m/>
    <x v="240"/>
    <x v="174"/>
    <x v="153"/>
    <x v="0"/>
    <n v="44"/>
    <n v="4602"/>
    <n v="4.1089285714285717"/>
    <n v="4602"/>
    <n v="4.1089285714285717"/>
    <s v="[Northeast View]"/>
    <s v="[view.direction view]"/>
  </r>
  <r>
    <x v="9"/>
    <s v="111 West Wacker Drive"/>
    <x v="290"/>
    <s v="3108"/>
    <n v="31"/>
    <x v="2"/>
    <n v="2"/>
    <m/>
    <x v="240"/>
    <x v="11"/>
    <x v="15"/>
    <x v="0"/>
    <n v="44"/>
    <n v="4672"/>
    <n v="4.1714285714285717"/>
    <n v="4283"/>
    <n v="3.8241071428571427"/>
    <s v="[Northeast View]"/>
    <s v="[view.direction view]"/>
  </r>
  <r>
    <x v="9"/>
    <s v="111 West Wacker Drive"/>
    <x v="290"/>
    <s v="4008"/>
    <n v="40"/>
    <x v="2"/>
    <n v="2"/>
    <m/>
    <x v="240"/>
    <x v="319"/>
    <x v="602"/>
    <x v="0"/>
    <n v="46"/>
    <n v="4856"/>
    <n v="4.3357142857142854"/>
    <n v="4451"/>
    <n v="3.9741071428571431"/>
    <s v="[Northeast View]"/>
    <s v="[view.direction view]"/>
  </r>
  <r>
    <x v="9"/>
    <s v="111 West Wacker Drive"/>
    <x v="290"/>
    <s v="3808"/>
    <n v="38"/>
    <x v="2"/>
    <n v="2"/>
    <m/>
    <x v="240"/>
    <x v="468"/>
    <x v="405"/>
    <x v="0"/>
    <n v="23"/>
    <n v="4904"/>
    <n v="4.378571428571429"/>
    <n v="4904"/>
    <n v="4.378571428571429"/>
    <s v="[Northeast View]"/>
    <s v="[view.direction view]"/>
  </r>
  <r>
    <x v="9"/>
    <s v="111 West Wacker Drive"/>
    <x v="290"/>
    <s v="5308"/>
    <n v="53"/>
    <x v="2"/>
    <n v="2"/>
    <m/>
    <x v="240"/>
    <x v="223"/>
    <x v="603"/>
    <x v="0"/>
    <n v="10"/>
    <n v="5025"/>
    <n v="4.4866071428571432"/>
    <n v="5025"/>
    <n v="4.4866071428571432"/>
    <s v="[Northeast View]"/>
    <s v="[view.direction view]"/>
  </r>
  <r>
    <x v="9"/>
    <s v="111 West Wacker Drive"/>
    <x v="290"/>
    <s v="3008"/>
    <n v="30"/>
    <x v="2"/>
    <n v="2"/>
    <m/>
    <x v="240"/>
    <x v="32"/>
    <x v="28"/>
    <x v="1"/>
    <m/>
    <n v="5042"/>
    <n v="4.5017857142857141"/>
    <n v="5042"/>
    <n v="4.5017857142857141"/>
    <s v="[Northeast View]"/>
    <s v="[view.direction view corner_unit]"/>
  </r>
  <r>
    <x v="9"/>
    <s v="111 West Wacker Drive"/>
    <x v="290"/>
    <s v="4608"/>
    <n v="46"/>
    <x v="2"/>
    <n v="2"/>
    <m/>
    <x v="240"/>
    <x v="328"/>
    <x v="53"/>
    <x v="0"/>
    <n v="23"/>
    <n v="5442"/>
    <n v="4.8589285714285717"/>
    <n v="5215"/>
    <n v="4.65625"/>
    <s v="[Northeast View Corner Unit]"/>
    <s v="[corner_unit view.direction view corner_unit]"/>
  </r>
  <r>
    <x v="9"/>
    <s v="111 West Wacker Drive"/>
    <x v="290"/>
    <s v="5208"/>
    <n v="52"/>
    <x v="2"/>
    <n v="2"/>
    <m/>
    <x v="240"/>
    <x v="317"/>
    <x v="102"/>
    <x v="0"/>
    <n v="48"/>
    <n v="5467"/>
    <n v="4.8812499999999996"/>
    <n v="5239"/>
    <n v="4.6776785714285714"/>
    <s v="[Northeast View]"/>
    <s v="[view.direction view corner_unit]"/>
  </r>
  <r>
    <x v="9"/>
    <s v="111 West Wacker Drive"/>
    <x v="290"/>
    <s v="5104"/>
    <n v="51"/>
    <x v="2"/>
    <n v="2"/>
    <m/>
    <x v="241"/>
    <x v="100"/>
    <x v="172"/>
    <x v="0"/>
    <n v="130"/>
    <n v="3760"/>
    <n v="3.2724107919930376"/>
    <n v="3447"/>
    <n v="3"/>
    <s v="[Corner Unit]"/>
    <s v="[corner_unit]"/>
  </r>
  <r>
    <x v="9"/>
    <s v="111 West Wacker Drive"/>
    <x v="290"/>
    <s v="4904"/>
    <n v="49"/>
    <x v="2"/>
    <n v="2"/>
    <m/>
    <x v="241"/>
    <x v="24"/>
    <x v="172"/>
    <x v="0"/>
    <n v="18"/>
    <n v="3925"/>
    <n v="3.4160139251523063"/>
    <n v="3925"/>
    <n v="3.4160139251523063"/>
    <s v="[Corner Unit]"/>
    <s v="[corner_unit]"/>
  </r>
  <r>
    <x v="9"/>
    <s v="111 West Wacker Drive"/>
    <x v="290"/>
    <s v="5304"/>
    <n v="53"/>
    <x v="2"/>
    <n v="2"/>
    <m/>
    <x v="241"/>
    <x v="134"/>
    <x v="246"/>
    <x v="0"/>
    <n v="48"/>
    <n v="4111"/>
    <n v="3.5778938207136641"/>
    <n v="3768"/>
    <n v="3.2793733681462141"/>
    <s v="[Corner Unit]"/>
    <s v="[corner_unit corner_unit]"/>
  </r>
  <r>
    <x v="9"/>
    <s v="111 West Wacker Drive"/>
    <x v="290"/>
    <s v="5004"/>
    <n v="50"/>
    <x v="2"/>
    <n v="2"/>
    <m/>
    <x v="241"/>
    <x v="198"/>
    <x v="395"/>
    <x v="0"/>
    <n v="12"/>
    <n v="4149"/>
    <n v="3.6109660574412534"/>
    <n v="3803"/>
    <n v="3.309834638816362"/>
    <s v="[Corner Unit]"/>
    <s v="[corner_unit]"/>
  </r>
  <r>
    <x v="9"/>
    <s v="111 West Wacker Drive"/>
    <x v="290"/>
    <s v="5708"/>
    <n v="57"/>
    <x v="2"/>
    <n v="2"/>
    <m/>
    <x v="242"/>
    <x v="400"/>
    <x v="153"/>
    <x v="0"/>
    <n v="211"/>
    <n v="4439"/>
    <n v="3.8499566348655683"/>
    <n v="4069"/>
    <n v="3.5290546400693841"/>
    <s v="[South View]"/>
    <s v="[view.direction view corner_unit]"/>
  </r>
  <r>
    <x v="9"/>
    <s v="111 West Wacker Drive"/>
    <x v="290"/>
    <s v="4704"/>
    <n v="47"/>
    <x v="2"/>
    <n v="2"/>
    <m/>
    <x v="243"/>
    <x v="399"/>
    <x v="398"/>
    <x v="0"/>
    <n v="5"/>
    <n v="3933"/>
    <n v="3.4081455805892547"/>
    <n v="3605"/>
    <n v="3.1239168110918545"/>
    <s v="[Corner Unit]"/>
    <s v="[corner_unit]"/>
  </r>
  <r>
    <x v="9"/>
    <s v="111 West Wacker Drive"/>
    <x v="290"/>
    <s v="3204"/>
    <n v="32"/>
    <x v="2"/>
    <n v="2"/>
    <m/>
    <x v="243"/>
    <x v="411"/>
    <x v="112"/>
    <x v="0"/>
    <n v="77"/>
    <n v="4137"/>
    <n v="3.5849220103986137"/>
    <n v="3792"/>
    <n v="3.2859618717504331"/>
    <s v="[Corner Unit]"/>
    <s v="[corner_unit corner_unit]"/>
  </r>
  <r>
    <x v="9"/>
    <s v="111 West Wacker Drive"/>
    <x v="290"/>
    <s v="3304"/>
    <n v="33"/>
    <x v="2"/>
    <n v="2"/>
    <m/>
    <x v="243"/>
    <x v="78"/>
    <x v="503"/>
    <x v="0"/>
    <n v="99"/>
    <n v="4179"/>
    <n v="3.6213171577123049"/>
    <n v="4179"/>
    <n v="3.6213171577123049"/>
    <s v="[Corner Unit]"/>
    <s v="[corner_unit]"/>
  </r>
  <r>
    <x v="9"/>
    <s v="111 West Wacker Drive"/>
    <x v="290"/>
    <s v="4104"/>
    <n v="41"/>
    <x v="2"/>
    <n v="2"/>
    <m/>
    <x v="243"/>
    <x v="97"/>
    <x v="236"/>
    <x v="0"/>
    <n v="24"/>
    <n v="4322"/>
    <n v="3.7452339688041594"/>
    <n v="4322"/>
    <n v="3.7452339688041594"/>
    <s v="[Corner Unit]"/>
    <s v="[corner_unit]"/>
  </r>
  <r>
    <x v="9"/>
    <s v="111 West Wacker Drive"/>
    <x v="290"/>
    <s v="4504"/>
    <n v="45"/>
    <x v="2"/>
    <n v="2"/>
    <m/>
    <x v="243"/>
    <x v="17"/>
    <x v="362"/>
    <x v="0"/>
    <n v="8"/>
    <n v="4342"/>
    <n v="3.7625649913344885"/>
    <n v="4342"/>
    <n v="3.7625649913344885"/>
    <s v="[Corner Unit]"/>
    <s v="[corner_unit]"/>
  </r>
  <r>
    <x v="9"/>
    <s v="111 West Wacker Drive"/>
    <x v="290"/>
    <s v="4304"/>
    <n v="43"/>
    <x v="2"/>
    <n v="2"/>
    <m/>
    <x v="243"/>
    <x v="59"/>
    <x v="428"/>
    <x v="0"/>
    <n v="64"/>
    <n v="4353"/>
    <n v="3.7720970537261698"/>
    <n v="3990"/>
    <n v="3.4575389948006934"/>
    <s v="[Corner Unit]"/>
    <s v="[corner_unit]"/>
  </r>
  <r>
    <x v="9"/>
    <s v="111 West Wacker Drive"/>
    <x v="290"/>
    <s v="3804"/>
    <n v="38"/>
    <x v="2"/>
    <n v="2"/>
    <m/>
    <x v="243"/>
    <x v="294"/>
    <x v="28"/>
    <x v="1"/>
    <m/>
    <n v="4414"/>
    <n v="3.8249566724436743"/>
    <n v="4414"/>
    <n v="3.8249566724436743"/>
    <s v="[Corner Unit]"/>
    <s v="[corner_unit]"/>
  </r>
  <r>
    <x v="9"/>
    <s v="111 West Wacker Drive"/>
    <x v="290"/>
    <s v="4604"/>
    <n v="46"/>
    <x v="2"/>
    <n v="2"/>
    <m/>
    <x v="243"/>
    <x v="29"/>
    <x v="28"/>
    <x v="1"/>
    <m/>
    <n v="4692"/>
    <n v="4.0658578856152516"/>
    <n v="4692"/>
    <n v="4.0658578856152516"/>
    <s v="[Corner Unit]"/>
    <s v="[corner_unit corner_unit]"/>
  </r>
  <r>
    <x v="9"/>
    <s v="111 West Wacker Drive"/>
    <x v="290"/>
    <s v="3904"/>
    <n v="39"/>
    <x v="2"/>
    <n v="2"/>
    <m/>
    <x v="243"/>
    <x v="334"/>
    <x v="28"/>
    <x v="1"/>
    <m/>
    <n v="4697"/>
    <n v="4.0701906412478337"/>
    <n v="4697"/>
    <n v="4.0701906412478337"/>
    <s v="[Corner Unit]"/>
    <s v="[corner_unit corner_unit]"/>
  </r>
  <r>
    <x v="9"/>
    <s v="111 West Wacker Drive"/>
    <x v="290"/>
    <s v="3504"/>
    <n v="35"/>
    <x v="2"/>
    <n v="2"/>
    <m/>
    <x v="243"/>
    <x v="212"/>
    <x v="378"/>
    <x v="0"/>
    <n v="44"/>
    <n v="4912"/>
    <n v="4.2564991334488731"/>
    <n v="4503"/>
    <n v="3.9020797227036397"/>
    <s v="[]"/>
    <s v="[corner_unit]"/>
  </r>
  <r>
    <x v="9"/>
    <s v="111 West Wacker Drive"/>
    <x v="290"/>
    <m/>
    <m/>
    <x v="2"/>
    <n v="2"/>
    <m/>
    <x v="244"/>
    <x v="560"/>
    <x v="279"/>
    <x v="0"/>
    <n v="292"/>
    <m/>
    <m/>
    <m/>
    <m/>
    <s v="[]"/>
    <s v="[corner_unit]"/>
  </r>
  <r>
    <x v="9"/>
    <s v="111 West Wacker Drive"/>
    <x v="290"/>
    <s v="1515"/>
    <n v="15"/>
    <x v="2"/>
    <n v="2"/>
    <m/>
    <x v="244"/>
    <x v="0"/>
    <x v="482"/>
    <x v="0"/>
    <n v="12"/>
    <n v="4267"/>
    <n v="3.3545597484276728"/>
    <n v="4089"/>
    <n v="3.2146226415094339"/>
    <s v="[]"/>
    <s v="[corner_unit]"/>
  </r>
  <r>
    <x v="9"/>
    <s v="111 West Wacker Drive"/>
    <x v="290"/>
    <s v="2715"/>
    <n v="27"/>
    <x v="2"/>
    <n v="2"/>
    <m/>
    <x v="244"/>
    <x v="130"/>
    <x v="541"/>
    <x v="0"/>
    <m/>
    <n v="4522"/>
    <n v="3.5550314465408803"/>
    <n v="4145"/>
    <n v="3.2586477987421385"/>
    <s v="[]"/>
    <s v="[corner_unit]"/>
  </r>
  <r>
    <x v="9"/>
    <s v="111 West Wacker Drive"/>
    <x v="290"/>
    <s v="5404"/>
    <n v="54"/>
    <x v="2"/>
    <n v="2"/>
    <m/>
    <x v="245"/>
    <x v="58"/>
    <x v="53"/>
    <x v="0"/>
    <n v="90"/>
    <n v="5083"/>
    <n v="3.9648985959438376"/>
    <n v="4871"/>
    <n v="3.7995319812792512"/>
    <s v="[Double Sinks North View]"/>
    <s v="[view.direction view corner_unit]"/>
  </r>
  <r>
    <x v="9"/>
    <s v="111 West Wacker Drive"/>
    <x v="290"/>
    <s v="5504"/>
    <n v="55"/>
    <x v="2"/>
    <n v="2"/>
    <m/>
    <x v="245"/>
    <x v="535"/>
    <x v="270"/>
    <x v="0"/>
    <n v="107"/>
    <n v="5384"/>
    <n v="4.1996879875195008"/>
    <n v="4935"/>
    <n v="3.8494539781591262"/>
    <s v="[North View]"/>
    <s v="[view.direction view]"/>
  </r>
  <r>
    <x v="9"/>
    <s v="111 West Wacker Drive"/>
    <x v="290"/>
    <s v="5604"/>
    <n v="56"/>
    <x v="2"/>
    <n v="2"/>
    <m/>
    <x v="245"/>
    <x v="328"/>
    <x v="401"/>
    <x v="0"/>
    <n v="2"/>
    <n v="5638"/>
    <n v="4.3978159126365055"/>
    <n v="5168"/>
    <n v="4.0312012480499222"/>
    <s v="[]"/>
    <s v="[corner_unit]"/>
  </r>
  <r>
    <x v="9"/>
    <s v="111 West Wacker Drive"/>
    <x v="290"/>
    <s v="1609"/>
    <n v="16"/>
    <x v="2"/>
    <n v="2"/>
    <m/>
    <x v="246"/>
    <x v="177"/>
    <x v="393"/>
    <x v="0"/>
    <n v="4"/>
    <n v="3730"/>
    <n v="2.783582089552239"/>
    <n v="3730"/>
    <n v="2.783582089552239"/>
    <s v="[Corner Unit Northeast View]"/>
    <s v="[corner_unit view.direction view corner_unit]"/>
  </r>
  <r>
    <x v="9"/>
    <s v="111 West Wacker Drive"/>
    <x v="290"/>
    <s v="1509"/>
    <n v="15"/>
    <x v="2"/>
    <n v="2"/>
    <m/>
    <x v="246"/>
    <x v="561"/>
    <x v="604"/>
    <x v="0"/>
    <n v="2"/>
    <n v="3974"/>
    <n v="2.9656716417910447"/>
    <n v="3643"/>
    <n v="2.7186567164179105"/>
    <s v="[]"/>
    <s v="[corner_unit]"/>
  </r>
  <r>
    <x v="9"/>
    <s v="111 West Wacker Drive"/>
    <x v="290"/>
    <s v="4806"/>
    <n v="48"/>
    <x v="2"/>
    <n v="2"/>
    <m/>
    <x v="214"/>
    <x v="94"/>
    <x v="434"/>
    <x v="0"/>
    <n v="67"/>
    <n v="6194"/>
    <n v="4.6154992548435168"/>
    <n v="5678"/>
    <n v="4.2309985096870344"/>
    <s v="[North View North Terrace]"/>
    <s v="[view.direction view]"/>
  </r>
  <r>
    <x v="9"/>
    <s v="111 West Wacker Drive"/>
    <x v="290"/>
    <s v="4906"/>
    <n v="49"/>
    <x v="2"/>
    <n v="2"/>
    <m/>
    <x v="214"/>
    <x v="164"/>
    <x v="524"/>
    <x v="0"/>
    <n v="217"/>
    <n v="5565"/>
    <n v="4.1467958271236958"/>
    <n v="5101"/>
    <n v="3.8010432190760062"/>
    <s v="[]"/>
    <s v="[corner_unit]"/>
  </r>
  <r>
    <x v="9"/>
    <s v="111 West Wacker Drive"/>
    <x v="290"/>
    <s v="2209"/>
    <n v="22"/>
    <x v="2"/>
    <n v="2"/>
    <m/>
    <x v="247"/>
    <x v="105"/>
    <x v="500"/>
    <x v="0"/>
    <n v="79"/>
    <n v="4230"/>
    <n v="3.1473214285714284"/>
    <n v="4230"/>
    <n v="3.1473214285714284"/>
    <s v="[Corner Unit Northeast View]"/>
    <s v="[corner_unit view.direction view]"/>
  </r>
  <r>
    <x v="9"/>
    <s v="111 West Wacker Drive"/>
    <x v="290"/>
    <s v="2609"/>
    <n v="26"/>
    <x v="2"/>
    <n v="2"/>
    <m/>
    <x v="247"/>
    <x v="105"/>
    <x v="248"/>
    <x v="0"/>
    <n v="27"/>
    <n v="4398"/>
    <n v="3.2723214285714284"/>
    <n v="4398"/>
    <n v="3.2723214285714284"/>
    <s v="[Corner Unit Northeast View]"/>
    <s v="[corner_unit view.direction view corner_unit]"/>
  </r>
  <r>
    <x v="9"/>
    <s v="111 West Wacker Drive"/>
    <x v="290"/>
    <s v="5507"/>
    <n v="55"/>
    <x v="2"/>
    <n v="2"/>
    <m/>
    <x v="102"/>
    <x v="87"/>
    <x v="327"/>
    <x v="0"/>
    <n v="64"/>
    <n v="6207"/>
    <n v="4.553925165077036"/>
    <n v="5690"/>
    <n v="4.1746148202494497"/>
    <s v="[Southeast View]"/>
    <s v="[view.direction view corner_unit]"/>
  </r>
  <r>
    <x v="9"/>
    <s v="111 West Wacker Drive"/>
    <x v="290"/>
    <s v="5607"/>
    <n v="56"/>
    <x v="2"/>
    <n v="2"/>
    <m/>
    <x v="102"/>
    <x v="14"/>
    <x v="101"/>
    <x v="0"/>
    <n v="15"/>
    <n v="6401"/>
    <n v="4.6962582538517976"/>
    <n v="5868"/>
    <n v="4.3052090975788699"/>
    <s v="[]"/>
    <s v="[corner_unit]"/>
  </r>
  <r>
    <x v="9"/>
    <s v="111 West Wacker Drive"/>
    <x v="291"/>
    <m/>
    <m/>
    <x v="4"/>
    <n v="3"/>
    <m/>
    <x v="248"/>
    <x v="487"/>
    <x v="385"/>
    <x v="0"/>
    <n v="102"/>
    <m/>
    <m/>
    <m/>
    <m/>
    <s v="[]"/>
    <s v="[balcony_patio corner_unit]"/>
  </r>
  <r>
    <x v="9"/>
    <s v="111 West Wacker Drive"/>
    <x v="291"/>
    <s v="5503"/>
    <n v="55"/>
    <x v="4"/>
    <n v="3"/>
    <m/>
    <x v="248"/>
    <x v="337"/>
    <x v="468"/>
    <x v="0"/>
    <n v="37"/>
    <n v="6500"/>
    <n v="4.1374920432845324"/>
    <n v="5958"/>
    <n v="3.7924888605983451"/>
    <s v="[Corner Unit U-Shaped Kitchen]"/>
    <s v="[corner_unit balcony_patio]"/>
  </r>
  <r>
    <x v="9"/>
    <s v="111 West Wacker Drive"/>
    <x v="291"/>
    <s v="5703"/>
    <n v="57"/>
    <x v="4"/>
    <n v="3"/>
    <m/>
    <x v="248"/>
    <x v="561"/>
    <x v="293"/>
    <x v="0"/>
    <n v="105"/>
    <n v="5419"/>
    <n v="3.4493952896244431"/>
    <n v="4967"/>
    <n v="3.1616804583068108"/>
    <s v="[]"/>
    <s v="[balcony_patio]"/>
  </r>
  <r>
    <x v="9"/>
    <s v="111 West Wacker Drive"/>
    <x v="291"/>
    <s v="5403"/>
    <n v="54"/>
    <x v="4"/>
    <n v="3"/>
    <m/>
    <x v="248"/>
    <x v="277"/>
    <x v="309"/>
    <x v="0"/>
    <n v="17"/>
    <n v="5435"/>
    <n v="3.4595798854232971"/>
    <n v="4982"/>
    <n v="3.1712285168682368"/>
    <s v="[]"/>
    <s v="[balcony_patio]"/>
  </r>
  <r>
    <x v="9"/>
    <s v="111 West Wacker Drive"/>
    <x v="291"/>
    <s v="5406"/>
    <n v="54"/>
    <x v="4"/>
    <n v="3"/>
    <m/>
    <x v="249"/>
    <x v="541"/>
    <x v="537"/>
    <x v="0"/>
    <n v="297"/>
    <n v="7039"/>
    <n v="4.3450617283950619"/>
    <n v="6452"/>
    <n v="3.9827160493827161"/>
    <s v="[]"/>
    <s v="[corner_unit]"/>
  </r>
  <r>
    <x v="9"/>
    <s v="111 West Wacker Drive"/>
    <x v="291"/>
    <s v="2415"/>
    <n v="24"/>
    <x v="4"/>
    <n v="3"/>
    <m/>
    <x v="250"/>
    <x v="203"/>
    <x v="204"/>
    <x v="0"/>
    <n v="264"/>
    <n v="5075"/>
    <n v="2.9267589388696655"/>
    <n v="4652"/>
    <n v="2.6828143021914648"/>
    <s v="[]"/>
    <s v="[]"/>
  </r>
  <r>
    <x v="9"/>
    <s v="111 West Wacker Drive"/>
    <x v="291"/>
    <s v="1915"/>
    <n v="19"/>
    <x v="4"/>
    <n v="3"/>
    <m/>
    <x v="250"/>
    <x v="94"/>
    <x v="20"/>
    <x v="0"/>
    <n v="204"/>
    <n v="5155"/>
    <n v="2.9728950403690888"/>
    <n v="4725"/>
    <n v="2.7249134948096887"/>
    <s v="[]"/>
    <s v="[]"/>
  </r>
  <r>
    <x v="9"/>
    <s v="111 West Wacker Drive"/>
    <x v="291"/>
    <s v="2015"/>
    <n v="20"/>
    <x v="4"/>
    <n v="3"/>
    <m/>
    <x v="250"/>
    <x v="422"/>
    <x v="369"/>
    <x v="0"/>
    <n v="66"/>
    <n v="5347"/>
    <n v="3.0836216839677046"/>
    <n v="4901"/>
    <n v="2.8264129181084199"/>
    <s v="[]"/>
    <s v="[]"/>
  </r>
  <r>
    <x v="9"/>
    <s v="111 West Wacker Drive"/>
    <x v="291"/>
    <s v="2115"/>
    <n v="21"/>
    <x v="4"/>
    <n v="3"/>
    <m/>
    <x v="250"/>
    <x v="159"/>
    <x v="28"/>
    <x v="1"/>
    <m/>
    <n v="5562"/>
    <n v="3.2076124567474049"/>
    <n v="5562"/>
    <n v="3.2076124567474049"/>
    <s v="[]"/>
    <s v="[corner_unit]"/>
  </r>
  <r>
    <x v="9"/>
    <s v="111 West Wacker Drive"/>
    <x v="291"/>
    <s v="2515"/>
    <n v="25"/>
    <x v="4"/>
    <n v="3"/>
    <m/>
    <x v="250"/>
    <x v="25"/>
    <x v="528"/>
    <x v="0"/>
    <n v="156"/>
    <n v="4547"/>
    <n v="2.6222606689734715"/>
    <n v="4168"/>
    <n v="2.4036908881199537"/>
    <s v="[]"/>
    <s v="[corner_unit]"/>
  </r>
  <r>
    <x v="9"/>
    <s v="111 West Wacker Drive"/>
    <x v="291"/>
    <s v="2315"/>
    <n v="23"/>
    <x v="4"/>
    <n v="3"/>
    <m/>
    <x v="250"/>
    <x v="478"/>
    <x v="524"/>
    <x v="0"/>
    <n v="60"/>
    <n v="5362"/>
    <n v="3.0922722029988465"/>
    <n v="4915"/>
    <n v="2.834486735870819"/>
    <s v="[]"/>
    <s v="[corner_unit]"/>
  </r>
  <r>
    <x v="9"/>
    <s v="111 West Wacker Drive"/>
    <x v="291"/>
    <s v="1815"/>
    <n v="18"/>
    <x v="4"/>
    <n v="3"/>
    <m/>
    <x v="250"/>
    <x v="516"/>
    <x v="491"/>
    <x v="0"/>
    <n v="21"/>
    <n v="5418"/>
    <n v="3.124567474048443"/>
    <n v="4966"/>
    <n v="2.8638985005767013"/>
    <s v="[]"/>
    <s v="[corner_unit]"/>
  </r>
  <r>
    <x v="9"/>
    <s v="111 West Wacker Drive"/>
    <x v="291"/>
    <s v="1715"/>
    <n v="17"/>
    <x v="4"/>
    <n v="3"/>
    <m/>
    <x v="250"/>
    <x v="248"/>
    <x v="588"/>
    <x v="0"/>
    <n v="7"/>
    <n v="6249"/>
    <n v="3.6038062283737022"/>
    <n v="5728"/>
    <n v="3.303344867358708"/>
    <s v="[]"/>
    <s v="[corner_unit]"/>
  </r>
  <r>
    <x v="9"/>
    <s v="111 West Wacker Drive"/>
    <x v="292"/>
    <s v="PH02"/>
    <n v="61"/>
    <x v="4"/>
    <n v="3"/>
    <m/>
    <x v="251"/>
    <x v="120"/>
    <x v="76"/>
    <x v="0"/>
    <n v="2"/>
    <n v="10014"/>
    <n v="4.4368630926007979"/>
    <n v="10014"/>
    <n v="4.4368630926007979"/>
    <s v="[Corner Unit]"/>
    <s v="[corner_unit]"/>
  </r>
  <r>
    <x v="9"/>
    <s v="111 West Wacker Drive"/>
    <x v="292"/>
    <s v="PH03"/>
    <n v="61"/>
    <x v="4"/>
    <n v="3"/>
    <m/>
    <x v="252"/>
    <x v="460"/>
    <x v="271"/>
    <x v="0"/>
    <n v="29"/>
    <n v="12480"/>
    <n v="5.3447537473233409"/>
    <n v="11960"/>
    <n v="5.1220556745182009"/>
    <s v="[Corner Unit Northeast View]"/>
    <s v="[corner_unit view.direction vie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111 West Wacker Drive, Chicago, IL 60601"/>
    <s v="--"/>
    <s v="--"/>
    <n v="0.83235817743567908"/>
    <n v="2014"/>
    <n v="505"/>
    <n v="60"/>
    <n v="830.83793103448272"/>
    <n v="0.97425742574257423"/>
    <n v="4.3564356435643561E-2"/>
    <n v="2437.8333333333335"/>
    <n v="4.2026805335571877"/>
    <n v="3233.9473684210525"/>
    <n v="4.2532728103430371"/>
    <n v="4711.25"/>
    <n v="4.1156977283981186"/>
    <n v="8282.75"/>
    <n v="3.9789970588853025"/>
    <n v="5000"/>
    <n v="2"/>
    <m/>
    <m/>
    <n v="3658.3333333333335"/>
    <n v="4.1830362378327663"/>
    <n v="2393.5833333333335"/>
    <n v="4.1297669623489002"/>
    <n v="3163.7368421052633"/>
    <n v="4.1604840040656681"/>
    <n v="4711.25"/>
    <n v="4.1156977283981186"/>
    <n v="8047"/>
    <n v="3.8623363815144671"/>
    <n v="5000"/>
    <n v="2"/>
    <m/>
    <m/>
    <n v="3586.3333333333335"/>
    <n v="4.1007095109651699"/>
  </r>
  <r>
    <x v="1"/>
    <s v="201 North Garland Court, Chicago, IL 60601"/>
    <n v="0.93640397352730143"/>
    <n v="0.33287726181582172"/>
    <n v="0.79292722962208628"/>
    <n v="2016"/>
    <n v="402"/>
    <n v="42"/>
    <n v="771.7439024390244"/>
    <n v="0.96268656716417911"/>
    <n v="6.2189054726368161E-2"/>
    <n v="2410.5"/>
    <n v="4.4638888888888886"/>
    <n v="2728.2857142857142"/>
    <n v="3.6941934563354111"/>
    <n v="3900.6666666666665"/>
    <n v="3.523637458596808"/>
    <m/>
    <m/>
    <m/>
    <m/>
    <n v="8000"/>
    <n v="1.99"/>
    <n v="2758.75"/>
    <n v="3.7859164593875976"/>
    <n v="2410.5"/>
    <n v="4.4638888888888886"/>
    <n v="2728.2857142857142"/>
    <n v="3.6941934563354111"/>
    <n v="3900.6666666666665"/>
    <n v="3.523637458596808"/>
    <m/>
    <m/>
    <m/>
    <m/>
    <n v="8000"/>
    <n v="1.99"/>
    <n v="2758.75"/>
    <n v="3.7859164593875976"/>
  </r>
  <r>
    <x v="2"/>
    <s v="343 West Wolf Point Plaza, Chicago, IL 60654"/>
    <n v="0.93132815334244645"/>
    <n v="0.35629409748772306"/>
    <n v="0.78276990512272304"/>
    <n v="2015"/>
    <n v="529"/>
    <n v="46"/>
    <n v="759.6193771626298"/>
    <n v="0.98109640831758038"/>
    <n v="6.0491493383742913E-2"/>
    <n v="2277.6428571428573"/>
    <n v="4.2765201230323182"/>
    <n v="3026.8823529411766"/>
    <n v="4.1886049393197693"/>
    <n v="4908.4285714285716"/>
    <n v="4.3172396825238311"/>
    <n v="7142"/>
    <n v="3.9048660470202297"/>
    <m/>
    <m/>
    <m/>
    <m/>
    <n v="3148.25"/>
    <n v="4.1948592346790976"/>
    <n v="2277.6428571428573"/>
    <n v="4.2765201230323182"/>
    <n v="3026.8823529411766"/>
    <n v="4.1886049393197693"/>
    <n v="4908.4285714285716"/>
    <n v="4.3172396825238311"/>
    <n v="7142"/>
    <n v="3.9048660470202297"/>
    <m/>
    <m/>
    <m/>
    <m/>
    <n v="3148.25"/>
    <n v="4.1948592346790976"/>
  </r>
  <r>
    <x v="3"/>
    <s v="71 West Hubbard Street, Chicago, IL 60654"/>
    <n v="0.928036500423009"/>
    <n v="0.2292346705096078"/>
    <n v="0.78194868624111269"/>
    <n v="2012"/>
    <n v="409"/>
    <n v="49"/>
    <n v="844.03543307086613"/>
    <n v="0.97310513447432767"/>
    <n v="4.6454767726161368E-2"/>
    <n v="2435.36"/>
    <n v="3.9786336839228755"/>
    <n v="3433"/>
    <n v="3.6489295575042644"/>
    <n v="4299.375"/>
    <n v="3.5670059313306095"/>
    <m/>
    <m/>
    <n v="6000"/>
    <n v="2.1"/>
    <m/>
    <m/>
    <n v="3072.8"/>
    <n v="3.741932341265009"/>
    <n v="2435.36"/>
    <n v="3.9786336839228755"/>
    <n v="3433"/>
    <n v="3.6489295575042644"/>
    <n v="4299.375"/>
    <n v="3.5670059313306095"/>
    <m/>
    <m/>
    <n v="6000"/>
    <n v="2.1"/>
    <m/>
    <m/>
    <n v="3072.8"/>
    <n v="3.741932341265009"/>
  </r>
  <r>
    <x v="4"/>
    <s v="25 West Randolph Street, Chicago, IL 60601"/>
    <n v="0.92183630764741886"/>
    <n v="0.20535652912257685"/>
    <n v="0.81404164536684209"/>
    <n v="2015"/>
    <n v="690"/>
    <n v="34"/>
    <n v="861.99318181818182"/>
    <n v="0.97681159420289854"/>
    <n v="3.4782608695652174E-2"/>
    <n v="2346.8518518518517"/>
    <n v="3.5687472959041791"/>
    <n v="2772.8"/>
    <n v="3.4614883264151999"/>
    <n v="3897.4"/>
    <n v="3.0336044474904189"/>
    <m/>
    <m/>
    <m/>
    <m/>
    <n v="6500"/>
    <n v="2.2000000000000002"/>
    <n v="2647.744680851064"/>
    <n v="3.4232112893021207"/>
    <n v="2346.8518518518517"/>
    <n v="3.5687472959041791"/>
    <n v="2772.8"/>
    <n v="3.4614883264151999"/>
    <n v="3897.4"/>
    <n v="3.0336044474904189"/>
    <m/>
    <m/>
    <m/>
    <m/>
    <n v="6500"/>
    <n v="2.2000000000000002"/>
    <n v="2647.744680851064"/>
    <n v="3.4232112893021207"/>
  </r>
  <r>
    <x v="5"/>
    <s v="220 East Illinois Street, Chicago, IL 60611"/>
    <n v="0.91713060999798979"/>
    <n v="0.60686061046264184"/>
    <n v="0.81299250500751186"/>
    <n v="2017"/>
    <n v="490"/>
    <n v="57"/>
    <n v="975.47712418300648"/>
    <n v="0.93061224489795924"/>
    <n v="8.1632653061224483E-2"/>
    <n v="2767.7777777777778"/>
    <n v="4.6548438028484913"/>
    <n v="3433.7096774193546"/>
    <n v="4.2314143188515336"/>
    <n v="5139.2941176470586"/>
    <n v="4.0995059853138809"/>
    <n v="6740.8888888888887"/>
    <n v="4.1791711950030797"/>
    <m/>
    <m/>
    <m/>
    <m/>
    <n v="4233.19696969697"/>
    <n v="4.2007367313185986"/>
    <n v="2767.7777777777778"/>
    <n v="4.6548438028484913"/>
    <n v="3433.7096774193546"/>
    <n v="4.2314143188515336"/>
    <n v="5139.2941176470586"/>
    <n v="4.0995059853138809"/>
    <n v="6740.8888888888887"/>
    <n v="4.1791711950030797"/>
    <m/>
    <m/>
    <m/>
    <m/>
    <n v="4233.19696969697"/>
    <n v="4.2007367313185986"/>
  </r>
  <r>
    <x v="6"/>
    <s v="360 West Hubbard Street, Chicago, IL 60654"/>
    <n v="0.91559095768426613"/>
    <n v="0.45361881708378332"/>
    <n v="0.80838839686904462"/>
    <n v="2013"/>
    <n v="450"/>
    <n v="43"/>
    <n v="815.31349206349205"/>
    <n v="0.97555555555555551"/>
    <n v="4.2222222222222223E-2"/>
    <n v="2194"/>
    <n v="4.1841944914060303"/>
    <n v="3302.0833333333335"/>
    <n v="4.0770064736230882"/>
    <n v="4707"/>
    <n v="3.6234699702247797"/>
    <m/>
    <m/>
    <n v="6500"/>
    <n v="3"/>
    <m/>
    <m/>
    <n v="3087.8048780487807"/>
    <n v="3.9982314300151591"/>
    <n v="2194"/>
    <n v="4.1841944914060303"/>
    <n v="3302.0833333333335"/>
    <n v="4.0770064736230882"/>
    <n v="4707"/>
    <n v="3.6234699702247797"/>
    <m/>
    <m/>
    <n v="6500"/>
    <n v="3"/>
    <m/>
    <m/>
    <n v="3087.8048780487807"/>
    <n v="3.9982314300151591"/>
  </r>
  <r>
    <x v="7"/>
    <s v="88 East Wacker Place, Chicago, IL 60601"/>
    <n v="0.91199871429866797"/>
    <n v="0.32929771316694872"/>
    <n v="0.84680547139214879"/>
    <n v="2022"/>
    <n v="289"/>
    <n v="47"/>
    <n v="737.95022624434387"/>
    <n v="0.95847750865051906"/>
    <n v="0.10380622837370242"/>
    <n v="2785.4545454545455"/>
    <n v="5.0786433326862115"/>
    <n v="3070.6666666666665"/>
    <n v="4.2391220382357879"/>
    <n v="5131"/>
    <n v="4.6031110246666485"/>
    <m/>
    <m/>
    <m/>
    <m/>
    <m/>
    <m/>
    <n v="3334.2285714285713"/>
    <n v="4.5189745972738535"/>
    <n v="2785.4545454545455"/>
    <n v="5.0786433326862115"/>
    <n v="3070.6666666666665"/>
    <n v="4.2391220382357879"/>
    <n v="5131"/>
    <n v="4.6031110246666485"/>
    <m/>
    <m/>
    <m/>
    <m/>
    <m/>
    <m/>
    <n v="3334.2285714285713"/>
    <n v="4.5189745972738535"/>
  </r>
  <r>
    <x v="8"/>
    <s v="637 North Wells Street, Chicago, IL 60654"/>
    <n v="0.90274401395879356"/>
    <n v="0.5138154425003536"/>
    <n v="0.77328393496068781"/>
    <n v="2017"/>
    <n v="445"/>
    <n v="39"/>
    <n v="741.81403508771928"/>
    <n v="0.96404494382022476"/>
    <n v="6.741573033707865E-2"/>
    <n v="2546.2083333333335"/>
    <n v="4.0151225241508692"/>
    <n v="3071.8333333333335"/>
    <n v="3.7973371450321554"/>
    <n v="4321.333333333333"/>
    <n v="3.769469058556246"/>
    <m/>
    <m/>
    <n v="4500"/>
    <n v="1.9"/>
    <n v="9000"/>
    <n v="2.2999999999999998"/>
    <n v="3044.9803921568628"/>
    <n v="3.8381157163688489"/>
    <n v="2546.2083333333335"/>
    <n v="4.0151225241508692"/>
    <n v="3071.8333333333335"/>
    <n v="3.7973371450321554"/>
    <n v="4321.333333333333"/>
    <n v="3.769469058556246"/>
    <m/>
    <m/>
    <n v="4500"/>
    <n v="1.9"/>
    <n v="9000"/>
    <n v="2.2999999999999998"/>
    <n v="3044.9803921568628"/>
    <n v="3.8381157163688489"/>
  </r>
  <r>
    <x v="9"/>
    <s v="345 East Wacker Drive, Chicago, IL 60601"/>
    <n v="0.90151046656162603"/>
    <n v="0.66694263659148856"/>
    <n v="0.76937713033673572"/>
    <n v="2013"/>
    <n v="515"/>
    <n v="45"/>
    <n v="772.38"/>
    <n v="0.99223300970873785"/>
    <n v="3.8834951456310676E-2"/>
    <n v="2210.9411764705883"/>
    <n v="3.9070087965033413"/>
    <n v="2988.2631578947367"/>
    <n v="3.9841753812774967"/>
    <n v="4381.333333333333"/>
    <n v="3.8733144815214646"/>
    <n v="6418.5"/>
    <n v="4.4511095700416092"/>
    <m/>
    <m/>
    <m/>
    <m/>
    <n v="2935.2195121951218"/>
    <n v="3.9756854971919391"/>
    <n v="2210.9411764705883"/>
    <n v="3.9070087965033413"/>
    <n v="2988.2631578947367"/>
    <n v="3.9841753812774967"/>
    <n v="4381.333333333333"/>
    <n v="3.8733144815214646"/>
    <n v="6418.5"/>
    <n v="4.4511095700416092"/>
    <m/>
    <m/>
    <m/>
    <m/>
    <n v="2935.2195121951218"/>
    <n v="3.97568549719193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767458-70A2-4EFC-9D55-C19D9726C62E}" name="avg_days_on_mk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AS3:AT9" firstHeaderRow="1" firstDataRow="1" firstDataCol="1"/>
  <pivotFields count="30">
    <pivotField showAll="0" sortType="ascending">
      <items count="24">
        <item m="1" x="18"/>
        <item m="1" x="22"/>
        <item x="2"/>
        <item m="1" x="19"/>
        <item m="1" x="11"/>
        <item m="1" x="10"/>
        <item m="1" x="12"/>
        <item m="1" x="13"/>
        <item x="8"/>
        <item x="5"/>
        <item m="1" x="20"/>
        <item x="3"/>
        <item x="0"/>
        <item x="6"/>
        <item m="1" x="17"/>
        <item x="9"/>
        <item x="4"/>
        <item m="1" x="14"/>
        <item m="1" x="15"/>
        <item m="1" x="16"/>
        <item x="7"/>
        <item m="1" x="21"/>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v="4"/>
    </i>
    <i>
      <x v="1"/>
    </i>
    <i>
      <x/>
    </i>
    <i>
      <x v="2"/>
    </i>
    <i>
      <x v="3"/>
    </i>
    <i t="grand">
      <x/>
    </i>
  </rowItems>
  <colItems count="1">
    <i/>
  </colItems>
  <dataFields count="1">
    <dataField name="Average of Days on Mkt" fld="12" subtotal="average" baseField="0" baseItem="3" numFmtId="3"/>
  </dataFields>
  <formats count="10">
    <format dxfId="682">
      <pivotArea outline="0" collapsedLevelsAreSubtotals="1" fieldPosition="0"/>
    </format>
    <format dxfId="681">
      <pivotArea dataOnly="0" labelOnly="1" outline="0" fieldPosition="0">
        <references count="1">
          <reference field="4294967294" count="1">
            <x v="0"/>
          </reference>
        </references>
      </pivotArea>
    </format>
    <format dxfId="680">
      <pivotArea outline="0" collapsedLevelsAreSubtotals="1" fieldPosition="0"/>
    </format>
    <format dxfId="679">
      <pivotArea dataOnly="0" labelOnly="1" outline="0" axis="axisValues" fieldPosition="0"/>
    </format>
    <format dxfId="678">
      <pivotArea type="all" dataOnly="0" outline="0" fieldPosition="0"/>
    </format>
    <format dxfId="677">
      <pivotArea outline="0" collapsedLevelsAreSubtotals="1" fieldPosition="0"/>
    </format>
    <format dxfId="676">
      <pivotArea field="5" type="button" dataOnly="0" labelOnly="1" outline="0" axis="axisRow" fieldPosition="0"/>
    </format>
    <format dxfId="675">
      <pivotArea dataOnly="0" labelOnly="1" fieldPosition="0">
        <references count="1">
          <reference field="5" count="0"/>
        </references>
      </pivotArea>
    </format>
    <format dxfId="674">
      <pivotArea dataOnly="0" labelOnly="1" grandRow="1" outline="0" fieldPosition="0"/>
    </format>
    <format dxfId="67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54A4DC-D7D5-4F0B-99D6-0B975250AE75}" name="leased_percent_by_property"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BX3:BZ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Leased % " fld="9" subtotal="average" baseField="0" baseItem="13"/>
    <dataField name=" Exposure %" fld="10" subtotal="average" baseField="0" baseItem="13"/>
  </dataFields>
  <formats count="14">
    <format dxfId="696">
      <pivotArea outline="0" collapsedLevelsAreSubtotals="1" fieldPosition="0"/>
    </format>
    <format dxfId="695">
      <pivotArea dataOnly="0" labelOnly="1" outline="0" axis="axisValues" fieldPosition="0"/>
    </format>
    <format dxfId="694">
      <pivotArea dataOnly="0" labelOnly="1" outline="0" axis="axisValues" fieldPosition="0"/>
    </format>
    <format dxfId="693">
      <pivotArea outline="0" collapsedLevelsAreSubtotals="1" fieldPosition="0"/>
    </format>
    <format dxfId="692">
      <pivotArea outline="0" collapsedLevelsAreSubtotals="1" fieldPosition="0"/>
    </format>
    <format dxfId="691">
      <pivotArea dataOnly="0" labelOnly="1" outline="0" fieldPosition="0">
        <references count="1">
          <reference field="4294967294" count="1">
            <x v="1"/>
          </reference>
        </references>
      </pivotArea>
    </format>
    <format dxfId="690">
      <pivotArea dataOnly="0" labelOnly="1" outline="0" fieldPosition="0">
        <references count="1">
          <reference field="4294967294" count="1">
            <x v="1"/>
          </reference>
        </references>
      </pivotArea>
    </format>
    <format dxfId="689">
      <pivotArea type="all" dataOnly="0" outline="0" fieldPosition="0"/>
    </format>
    <format dxfId="688">
      <pivotArea outline="0" collapsedLevelsAreSubtotals="1" fieldPosition="0"/>
    </format>
    <format dxfId="687">
      <pivotArea field="0" type="button" dataOnly="0" labelOnly="1" outline="0" axis="axisRow" fieldPosition="0"/>
    </format>
    <format dxfId="686">
      <pivotArea dataOnly="0" labelOnly="1" fieldPosition="0">
        <references count="1">
          <reference field="0" count="0"/>
        </references>
      </pivotArea>
    </format>
    <format dxfId="685">
      <pivotArea dataOnly="0" labelOnly="1" grandRow="1" outline="0" fieldPosition="0"/>
    </format>
    <format dxfId="684">
      <pivotArea dataOnly="0" labelOnly="1" outline="0" fieldPosition="0">
        <references count="1">
          <reference field="4294967294" count="1">
            <x v="1"/>
          </reference>
        </references>
      </pivotArea>
    </format>
    <format dxfId="68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7421C5-087B-4C54-8B5A-78FC61BD53B4}" name="3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3:W8"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5">
    <i>
      <x v="24"/>
    </i>
    <i>
      <x v="8"/>
    </i>
    <i>
      <x v="5"/>
    </i>
    <i>
      <x v="2"/>
    </i>
    <i t="grand">
      <x/>
    </i>
  </rowItems>
  <colFields count="1">
    <field x="-2"/>
  </colFields>
  <colItems count="2">
    <i>
      <x/>
    </i>
    <i i="1">
      <x v="1"/>
    </i>
  </colItems>
  <dataFields count="2">
    <dataField name="Asking" fld="17" subtotal="average" baseField="0" baseItem="4"/>
    <dataField name="Effective" fld="31" subtotal="average" baseField="0" baseItem="18"/>
  </dataFields>
  <formats count="9">
    <format dxfId="705">
      <pivotArea dataOnly="0" labelOnly="1" outline="0" axis="axisValues" fieldPosition="0"/>
    </format>
    <format dxfId="704">
      <pivotArea dataOnly="0" labelOnly="1" outline="0" axis="axisValues" fieldPosition="0"/>
    </format>
    <format dxfId="703">
      <pivotArea outline="0" collapsedLevelsAreSubtotals="1" fieldPosition="0"/>
    </format>
    <format dxfId="702">
      <pivotArea type="all" dataOnly="0" outline="0" fieldPosition="0"/>
    </format>
    <format dxfId="701">
      <pivotArea outline="0" collapsedLevelsAreSubtotals="1" fieldPosition="0"/>
    </format>
    <format dxfId="700">
      <pivotArea field="0" type="button" dataOnly="0" labelOnly="1" outline="0" axis="axisRow" fieldPosition="0"/>
    </format>
    <format dxfId="699">
      <pivotArea dataOnly="0" labelOnly="1" fieldPosition="0">
        <references count="1">
          <reference field="0" count="6">
            <x v="13"/>
            <x v="15"/>
            <x v="16"/>
            <x v="18"/>
            <x v="19"/>
            <x v="21"/>
          </reference>
        </references>
      </pivotArea>
    </format>
    <format dxfId="698">
      <pivotArea dataOnly="0" labelOnly="1" grandRow="1" outline="0" fieldPosition="0"/>
    </format>
    <format dxfId="697">
      <pivotArea dataOnly="0" labelOnly="1" outline="0" fieldPosition="0">
        <references count="1">
          <reference field="4294967294" count="2">
            <x v="0"/>
            <x v="1"/>
          </reference>
        </references>
      </pivotArea>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90320D-8419-4008-870C-08AEA204ACC6}" name="asking_vs_effective_psf_active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H5:BJ16" firstHeaderRow="0"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5"/>
    </i>
    <i>
      <x v="8"/>
    </i>
    <i>
      <x v="1"/>
    </i>
    <i>
      <x v="22"/>
    </i>
    <i>
      <x v="6"/>
    </i>
    <i>
      <x v="2"/>
    </i>
    <i>
      <x v="10"/>
    </i>
    <i>
      <x v="7"/>
    </i>
    <i>
      <x v="21"/>
    </i>
    <i t="grand">
      <x/>
    </i>
  </rowItems>
  <colFields count="1">
    <field x="-2"/>
  </colFields>
  <colItems count="2">
    <i>
      <x/>
    </i>
    <i i="1">
      <x v="1"/>
    </i>
  </colItems>
  <pageFields count="1">
    <pageField fld="11" hier="-1"/>
  </pageFields>
  <dataFields count="2">
    <dataField name="Average of Asking PSF" fld="14" subtotal="average" baseField="0" baseItem="13"/>
    <dataField name="Average of Effective PSF" fld="16" subtotal="average" baseField="0" baseItem="11"/>
  </dataFields>
  <formats count="14">
    <format dxfId="719">
      <pivotArea outline="0" collapsedLevelsAreSubtotals="1" fieldPosition="0"/>
    </format>
    <format dxfId="718">
      <pivotArea outline="0" collapsedLevelsAreSubtotals="1" fieldPosition="0"/>
    </format>
    <format dxfId="717">
      <pivotArea dataOnly="0" labelOnly="1" outline="0" axis="axisValues" fieldPosition="0"/>
    </format>
    <format dxfId="716">
      <pivotArea outline="0" collapsedLevelsAreSubtotals="1" fieldPosition="0"/>
    </format>
    <format dxfId="715">
      <pivotArea outline="0" collapsedLevelsAreSubtotals="1" fieldPosition="0"/>
    </format>
    <format dxfId="714">
      <pivotArea outline="0" collapsedLevelsAreSubtotals="1" fieldPosition="0"/>
    </format>
    <format dxfId="713">
      <pivotArea outline="0" collapsedLevelsAreSubtotals="1" fieldPosition="0"/>
    </format>
    <format dxfId="712">
      <pivotArea dataOnly="0" labelOnly="1" outline="0" fieldPosition="0">
        <references count="1">
          <reference field="4294967294" count="1">
            <x v="1"/>
          </reference>
        </references>
      </pivotArea>
    </format>
    <format dxfId="711">
      <pivotArea type="all" dataOnly="0" outline="0" fieldPosition="0"/>
    </format>
    <format dxfId="710">
      <pivotArea outline="0" collapsedLevelsAreSubtotals="1" fieldPosition="0"/>
    </format>
    <format dxfId="709">
      <pivotArea field="0" type="button" dataOnly="0" labelOnly="1" outline="0" axis="axisRow" fieldPosition="0"/>
    </format>
    <format dxfId="708">
      <pivotArea dataOnly="0" labelOnly="1" fieldPosition="0">
        <references count="1">
          <reference field="0" count="0"/>
        </references>
      </pivotArea>
    </format>
    <format dxfId="707">
      <pivotArea dataOnly="0" labelOnly="1" grandRow="1" outline="0" fieldPosition="0"/>
    </format>
    <format dxfId="706">
      <pivotArea dataOnly="0" labelOnly="1" outline="0" fieldPosition="0">
        <references count="1">
          <reference field="4294967294" count="1">
            <x v="1"/>
          </reference>
        </references>
      </pivotArea>
    </format>
  </formats>
  <chartFormats count="1">
    <chartFormat chart="6"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859BC6-943A-46F9-9332-0BAB7EB9EE47}" name="avg_time_on_mkt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32" colHeaderCaption=" ">
  <location ref="CR3:CS35" firstHeaderRow="1"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dataField="1"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2">
    <field x="25"/>
    <field x="23"/>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Items count="1">
    <i/>
  </colItems>
  <dataFields count="1">
    <dataField name="Avg Days on Mkt" fld="12" subtotal="average" baseField="19" baseItem="10"/>
  </dataFields>
  <formats count="25">
    <format dxfId="744">
      <pivotArea outline="0" collapsedLevelsAreSubtotals="1" fieldPosition="0"/>
    </format>
    <format dxfId="743">
      <pivotArea dataOnly="0" labelOnly="1" outline="0" axis="axisValues" fieldPosition="0"/>
    </format>
    <format dxfId="742">
      <pivotArea outline="0" collapsedLevelsAreSubtotals="1" fieldPosition="0"/>
    </format>
    <format dxfId="741">
      <pivotArea field="25" type="button" dataOnly="0" labelOnly="1" outline="0" axis="axisRow" fieldPosition="0"/>
    </format>
    <format dxfId="740">
      <pivotArea field="24" type="button" dataOnly="0" labelOnly="1" outline="0"/>
    </format>
    <format dxfId="739">
      <pivotArea field="23" type="button" dataOnly="0" labelOnly="1" outline="0" axis="axisRow" fieldPosition="1"/>
    </format>
    <format dxfId="738">
      <pivotArea field="10" type="button" dataOnly="0" labelOnly="1" outline="0"/>
    </format>
    <format dxfId="737">
      <pivotArea type="topRight" dataOnly="0" labelOnly="1" outline="0" fieldPosition="0"/>
    </format>
    <format dxfId="736">
      <pivotArea dataOnly="0" labelOnly="1" fieldPosition="0">
        <references count="1">
          <reference field="25" count="2">
            <x v="2"/>
            <x v="3"/>
          </reference>
        </references>
      </pivotArea>
    </format>
    <format dxfId="735">
      <pivotArea type="all" dataOnly="0" outline="0" fieldPosition="0"/>
    </format>
    <format dxfId="734">
      <pivotArea outline="0" collapsedLevelsAreSubtotals="1" fieldPosition="0"/>
    </format>
    <format dxfId="733">
      <pivotArea field="25" type="button" dataOnly="0" labelOnly="1" outline="0" axis="axisRow" fieldPosition="0"/>
    </format>
    <format dxfId="732">
      <pivotArea dataOnly="0" labelOnly="1" fieldPosition="0">
        <references count="1">
          <reference field="25" count="2">
            <x v="2"/>
            <x v="3"/>
          </reference>
        </references>
      </pivotArea>
    </format>
    <format dxfId="731">
      <pivotArea dataOnly="0" labelOnly="1" grandRow="1" outline="0" fieldPosition="0"/>
    </format>
    <format dxfId="730">
      <pivotArea dataOnly="0" labelOnly="1" fieldPosition="0">
        <references count="2">
          <reference field="23" count="7">
            <x v="6"/>
            <x v="7"/>
            <x v="8"/>
            <x v="9"/>
            <x v="10"/>
            <x v="11"/>
            <x v="12"/>
          </reference>
          <reference field="25" count="1" selected="0">
            <x v="2"/>
          </reference>
        </references>
      </pivotArea>
    </format>
    <format dxfId="729">
      <pivotArea dataOnly="0" labelOnly="1" fieldPosition="0">
        <references count="2">
          <reference field="23" count="6">
            <x v="1"/>
            <x v="2"/>
            <x v="3"/>
            <x v="4"/>
            <x v="5"/>
            <x v="6"/>
          </reference>
          <reference field="25" count="1" selected="0">
            <x v="3"/>
          </reference>
        </references>
      </pivotArea>
    </format>
    <format dxfId="728">
      <pivotArea dataOnly="0" labelOnly="1" outline="0" axis="axisValues" fieldPosition="0"/>
    </format>
    <format dxfId="727">
      <pivotArea type="all" dataOnly="0" outline="0" fieldPosition="0"/>
    </format>
    <format dxfId="726">
      <pivotArea outline="0" collapsedLevelsAreSubtotals="1" fieldPosition="0"/>
    </format>
    <format dxfId="725">
      <pivotArea field="25" type="button" dataOnly="0" labelOnly="1" outline="0" axis="axisRow" fieldPosition="0"/>
    </format>
    <format dxfId="724">
      <pivotArea dataOnly="0" labelOnly="1" fieldPosition="0">
        <references count="1">
          <reference field="25" count="2">
            <x v="2"/>
            <x v="3"/>
          </reference>
        </references>
      </pivotArea>
    </format>
    <format dxfId="723">
      <pivotArea dataOnly="0" labelOnly="1" grandRow="1" outline="0" fieldPosition="0"/>
    </format>
    <format dxfId="722">
      <pivotArea dataOnly="0" labelOnly="1" fieldPosition="0">
        <references count="2">
          <reference field="23" count="7">
            <x v="6"/>
            <x v="7"/>
            <x v="8"/>
            <x v="9"/>
            <x v="10"/>
            <x v="11"/>
            <x v="12"/>
          </reference>
          <reference field="25" count="1" selected="0">
            <x v="2"/>
          </reference>
        </references>
      </pivotArea>
    </format>
    <format dxfId="721">
      <pivotArea dataOnly="0" labelOnly="1" fieldPosition="0">
        <references count="2">
          <reference field="23" count="6">
            <x v="1"/>
            <x v="2"/>
            <x v="3"/>
            <x v="4"/>
            <x v="5"/>
            <x v="6"/>
          </reference>
          <reference field="25" count="1" selected="0">
            <x v="3"/>
          </reference>
        </references>
      </pivotArea>
    </format>
    <format dxfId="720">
      <pivotArea dataOnly="0" labelOnly="1" outline="0" axis="axisValues" fieldPosition="0"/>
    </format>
  </formats>
  <chartFormats count="1">
    <chartFormat chart="3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30920E-5730-4688-B8CB-7D28B5C8BEF2}" name="avg_sqf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R5:BS11" firstHeaderRow="1"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i>
    <i>
      <x v="4"/>
    </i>
    <i>
      <x v="1"/>
    </i>
    <i>
      <x v="2"/>
    </i>
    <i>
      <x v="3"/>
    </i>
    <i t="grand">
      <x/>
    </i>
  </rowItems>
  <colItems count="1">
    <i/>
  </colItems>
  <dataFields count="1">
    <dataField name="Avg Sqft" fld="8" subtotal="average" baseField="5" baseItem="2" numFmtId="3"/>
  </dataFields>
  <formats count="15">
    <format dxfId="759">
      <pivotArea outline="0" collapsedLevelsAreSubtotals="1" fieldPosition="0"/>
    </format>
    <format dxfId="758">
      <pivotArea outline="0" collapsedLevelsAreSubtotals="1" fieldPosition="0"/>
    </format>
    <format dxfId="757">
      <pivotArea dataOnly="0" labelOnly="1" outline="0" axis="axisValues" fieldPosition="0"/>
    </format>
    <format dxfId="756">
      <pivotArea outline="0" collapsedLevelsAreSubtotals="1" fieldPosition="0"/>
    </format>
    <format dxfId="755">
      <pivotArea outline="0" collapsedLevelsAreSubtotals="1" fieldPosition="0"/>
    </format>
    <format dxfId="754">
      <pivotArea outline="0" collapsedLevelsAreSubtotals="1" fieldPosition="0"/>
    </format>
    <format dxfId="753">
      <pivotArea outline="0" collapsedLevelsAreSubtotals="1" fieldPosition="0">
        <references count="1">
          <reference field="4294967294" count="1" selected="0">
            <x v="0"/>
          </reference>
        </references>
      </pivotArea>
    </format>
    <format dxfId="752">
      <pivotArea dataOnly="0" labelOnly="1" outline="0" fieldPosition="0">
        <references count="1">
          <reference field="4294967294" count="1">
            <x v="0"/>
          </reference>
        </references>
      </pivotArea>
    </format>
    <format dxfId="751">
      <pivotArea dataOnly="0" labelOnly="1" outline="0" fieldPosition="0">
        <references count="1">
          <reference field="4294967294" count="1">
            <x v="0"/>
          </reference>
        </references>
      </pivotArea>
    </format>
    <format dxfId="750">
      <pivotArea type="all" dataOnly="0" outline="0" fieldPosition="0"/>
    </format>
    <format dxfId="749">
      <pivotArea outline="0" collapsedLevelsAreSubtotals="1" fieldPosition="0"/>
    </format>
    <format dxfId="748">
      <pivotArea field="5" type="button" dataOnly="0" labelOnly="1" outline="0" axis="axisRow" fieldPosition="0"/>
    </format>
    <format dxfId="747">
      <pivotArea dataOnly="0" labelOnly="1" fieldPosition="0">
        <references count="1">
          <reference field="5" count="0"/>
        </references>
      </pivotArea>
    </format>
    <format dxfId="746">
      <pivotArea dataOnly="0" labelOnly="1" grandRow="1" outline="0" fieldPosition="0"/>
    </format>
    <format dxfId="7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4E870D-CF73-4F7A-912C-A32B0C0E4345}" name="asking_and_effective_rent_by_month"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7" colHeaderCaption=" ">
  <location ref="CN3:CP35" firstHeaderRow="0"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showAll="0" sortType="ascending">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axis="axisRow"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sd="0" x="0"/>
        <item sd="0" x="1"/>
        <item sd="0" x="2"/>
        <item sd="0" x="3"/>
        <item sd="0" x="4"/>
        <item sd="0" x="5"/>
        <item h="1" sd="0" x="6"/>
        <item sd="0" x="7"/>
        <item sd="0" x="8"/>
        <item sd="0" x="9"/>
        <item sd="0" x="10"/>
        <item sd="0" x="11"/>
        <item sd="0" x="12"/>
        <item sd="0" x="13"/>
        <item t="default"/>
      </items>
    </pivotField>
    <pivotField showAll="0">
      <items count="7">
        <item x="1"/>
        <item x="2"/>
        <item x="3"/>
        <item x="4"/>
        <item x="0"/>
        <item x="5"/>
        <item t="default"/>
      </items>
    </pivotField>
    <pivotField axis="axisRow" showAll="0" sortType="ascending">
      <items count="7">
        <item h="1" x="0"/>
        <item x="5"/>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2"/>
  </colFields>
  <colItems count="2">
    <i>
      <x/>
    </i>
    <i i="1">
      <x v="1"/>
    </i>
  </colItems>
  <dataFields count="2">
    <dataField name="Average of Asking Rent" fld="13" subtotal="average" baseField="21" baseItem="8"/>
    <dataField name="Average of Effective Rent" fld="15" subtotal="average" baseField="21" baseItem="9"/>
  </dataFields>
  <formats count="45">
    <format dxfId="804">
      <pivotArea outline="0" collapsedLevelsAreSubtotals="1" fieldPosition="0"/>
    </format>
    <format dxfId="803">
      <pivotArea dataOnly="0" labelOnly="1" outline="0" axis="axisValues" fieldPosition="0"/>
    </format>
    <format dxfId="802">
      <pivotArea outline="0" collapsedLevelsAreSubtotals="1" fieldPosition="0"/>
    </format>
    <format dxfId="801">
      <pivotArea field="25" type="button" dataOnly="0" labelOnly="1" outline="0" axis="axisRow" fieldPosition="0"/>
    </format>
    <format dxfId="800">
      <pivotArea field="24" type="button" dataOnly="0" labelOnly="1" outline="0"/>
    </format>
    <format dxfId="799">
      <pivotArea field="23" type="button" dataOnly="0" labelOnly="1" outline="0" axis="axisRow" fieldPosition="1"/>
    </format>
    <format dxfId="798">
      <pivotArea field="10" type="button" dataOnly="0" labelOnly="1" outline="0" axis="axisRow" fieldPosition="2"/>
    </format>
    <format dxfId="797">
      <pivotArea type="topRight" dataOnly="0" labelOnly="1" outline="0" fieldPosition="0"/>
    </format>
    <format dxfId="796">
      <pivotArea dataOnly="0" labelOnly="1" fieldPosition="0">
        <references count="1">
          <reference field="25" count="2">
            <x v="2"/>
            <x v="3"/>
          </reference>
        </references>
      </pivotArea>
    </format>
    <format dxfId="795">
      <pivotArea outline="0" collapsedLevelsAreSubtotals="1" fieldPosition="0"/>
    </format>
    <format dxfId="794">
      <pivotArea dataOnly="0" labelOnly="1" outline="0" axis="axisValues" fieldPosition="0"/>
    </format>
    <format dxfId="793">
      <pivotArea collapsedLevelsAreSubtotals="1" fieldPosition="0">
        <references count="2">
          <reference field="23" count="1">
            <x v="6"/>
          </reference>
          <reference field="25" count="1" selected="0">
            <x v="2"/>
          </reference>
        </references>
      </pivotArea>
    </format>
    <format dxfId="792">
      <pivotArea collapsedLevelsAreSubtotals="1" fieldPosition="0">
        <references count="2">
          <reference field="23" count="1">
            <x v="7"/>
          </reference>
          <reference field="25" count="1" selected="0">
            <x v="2"/>
          </reference>
        </references>
      </pivotArea>
    </format>
    <format dxfId="791">
      <pivotArea collapsedLevelsAreSubtotals="1" fieldPosition="0">
        <references count="2">
          <reference field="23" count="1">
            <x v="8"/>
          </reference>
          <reference field="25" count="1" selected="0">
            <x v="2"/>
          </reference>
        </references>
      </pivotArea>
    </format>
    <format dxfId="790">
      <pivotArea collapsedLevelsAreSubtotals="1" fieldPosition="0">
        <references count="2">
          <reference field="23" count="1">
            <x v="9"/>
          </reference>
          <reference field="25" count="1" selected="0">
            <x v="2"/>
          </reference>
        </references>
      </pivotArea>
    </format>
    <format dxfId="789">
      <pivotArea collapsedLevelsAreSubtotals="1" fieldPosition="0">
        <references count="2">
          <reference field="23" count="1">
            <x v="10"/>
          </reference>
          <reference field="25" count="1" selected="0">
            <x v="2"/>
          </reference>
        </references>
      </pivotArea>
    </format>
    <format dxfId="788">
      <pivotArea collapsedLevelsAreSubtotals="1" fieldPosition="0">
        <references count="2">
          <reference field="23" count="1">
            <x v="11"/>
          </reference>
          <reference field="25" count="1" selected="0">
            <x v="2"/>
          </reference>
        </references>
      </pivotArea>
    </format>
    <format dxfId="787">
      <pivotArea collapsedLevelsAreSubtotals="1" fieldPosition="0">
        <references count="2">
          <reference field="23" count="1">
            <x v="12"/>
          </reference>
          <reference field="25" count="1" selected="0">
            <x v="2"/>
          </reference>
        </references>
      </pivotArea>
    </format>
    <format dxfId="786">
      <pivotArea collapsedLevelsAreSubtotals="1" fieldPosition="0">
        <references count="1">
          <reference field="25" count="1">
            <x v="3"/>
          </reference>
        </references>
      </pivotArea>
    </format>
    <format dxfId="785">
      <pivotArea collapsedLevelsAreSubtotals="1" fieldPosition="0">
        <references count="2">
          <reference field="23" count="1">
            <x v="1"/>
          </reference>
          <reference field="25" count="1" selected="0">
            <x v="3"/>
          </reference>
        </references>
      </pivotArea>
    </format>
    <format dxfId="784">
      <pivotArea collapsedLevelsAreSubtotals="1" fieldPosition="0">
        <references count="2">
          <reference field="23" count="1">
            <x v="2"/>
          </reference>
          <reference field="25" count="1" selected="0">
            <x v="3"/>
          </reference>
        </references>
      </pivotArea>
    </format>
    <format dxfId="783">
      <pivotArea collapsedLevelsAreSubtotals="1" fieldPosition="0">
        <references count="2">
          <reference field="23" count="1">
            <x v="3"/>
          </reference>
          <reference field="25" count="1" selected="0">
            <x v="3"/>
          </reference>
        </references>
      </pivotArea>
    </format>
    <format dxfId="782">
      <pivotArea collapsedLevelsAreSubtotals="1" fieldPosition="0">
        <references count="2">
          <reference field="23" count="1">
            <x v="4"/>
          </reference>
          <reference field="25" count="1" selected="0">
            <x v="3"/>
          </reference>
        </references>
      </pivotArea>
    </format>
    <format dxfId="781">
      <pivotArea collapsedLevelsAreSubtotals="1" fieldPosition="0">
        <references count="2">
          <reference field="23" count="1">
            <x v="5"/>
          </reference>
          <reference field="25" count="1" selected="0">
            <x v="3"/>
          </reference>
        </references>
      </pivotArea>
    </format>
    <format dxfId="780">
      <pivotArea outline="0" collapsedLevelsAreSubtotals="1" fieldPosition="0"/>
    </format>
    <format dxfId="779">
      <pivotArea collapsedLevelsAreSubtotals="1" fieldPosition="0">
        <references count="2">
          <reference field="23" count="1">
            <x v="6"/>
          </reference>
          <reference field="25" count="1" selected="0">
            <x v="3"/>
          </reference>
        </references>
      </pivotArea>
    </format>
    <format dxfId="778">
      <pivotArea grandRow="1" outline="0" collapsedLevelsAreSubtotals="1" fieldPosition="0"/>
    </format>
    <format dxfId="777">
      <pivotArea outline="0" collapsedLevelsAreSubtotals="1" fieldPosition="0"/>
    </format>
    <format dxfId="776">
      <pivotArea dataOnly="0" labelOnly="1" outline="0" fieldPosition="0">
        <references count="1">
          <reference field="4294967294" count="1">
            <x v="1"/>
          </reference>
        </references>
      </pivotArea>
    </format>
    <format dxfId="775">
      <pivotArea type="all" dataOnly="0" outline="0" fieldPosition="0"/>
    </format>
    <format dxfId="774">
      <pivotArea outline="0" collapsedLevelsAreSubtotals="1" fieldPosition="0"/>
    </format>
    <format dxfId="773">
      <pivotArea field="25" type="button" dataOnly="0" labelOnly="1" outline="0" axis="axisRow" fieldPosition="0"/>
    </format>
    <format dxfId="772">
      <pivotArea dataOnly="0" labelOnly="1" fieldPosition="0">
        <references count="1">
          <reference field="25" count="2">
            <x v="2"/>
            <x v="3"/>
          </reference>
        </references>
      </pivotArea>
    </format>
    <format dxfId="771">
      <pivotArea dataOnly="0" labelOnly="1" grandRow="1" outline="0" fieldPosition="0"/>
    </format>
    <format dxfId="770">
      <pivotArea dataOnly="0" labelOnly="1" fieldPosition="0">
        <references count="2">
          <reference field="23" count="7">
            <x v="6"/>
            <x v="7"/>
            <x v="8"/>
            <x v="9"/>
            <x v="10"/>
            <x v="11"/>
            <x v="12"/>
          </reference>
          <reference field="25" count="1" selected="0">
            <x v="2"/>
          </reference>
        </references>
      </pivotArea>
    </format>
    <format dxfId="769">
      <pivotArea dataOnly="0" labelOnly="1" fieldPosition="0">
        <references count="2">
          <reference field="23" count="6">
            <x v="1"/>
            <x v="2"/>
            <x v="3"/>
            <x v="4"/>
            <x v="5"/>
            <x v="6"/>
          </reference>
          <reference field="25" count="1" selected="0">
            <x v="3"/>
          </reference>
        </references>
      </pivotArea>
    </format>
    <format dxfId="768">
      <pivotArea dataOnly="0" labelOnly="1" outline="0" fieldPosition="0">
        <references count="1">
          <reference field="4294967294" count="1">
            <x v="1"/>
          </reference>
        </references>
      </pivotArea>
    </format>
    <format dxfId="767">
      <pivotArea type="all" dataOnly="0" outline="0" fieldPosition="0"/>
    </format>
    <format dxfId="766">
      <pivotArea outline="0" collapsedLevelsAreSubtotals="1" fieldPosition="0"/>
    </format>
    <format dxfId="765">
      <pivotArea field="25" type="button" dataOnly="0" labelOnly="1" outline="0" axis="axisRow" fieldPosition="0"/>
    </format>
    <format dxfId="764">
      <pivotArea dataOnly="0" labelOnly="1" fieldPosition="0">
        <references count="1">
          <reference field="25" count="2">
            <x v="2"/>
            <x v="3"/>
          </reference>
        </references>
      </pivotArea>
    </format>
    <format dxfId="763">
      <pivotArea dataOnly="0" labelOnly="1" grandRow="1" outline="0" fieldPosition="0"/>
    </format>
    <format dxfId="762">
      <pivotArea dataOnly="0" labelOnly="1" fieldPosition="0">
        <references count="2">
          <reference field="23" count="7">
            <x v="6"/>
            <x v="7"/>
            <x v="8"/>
            <x v="9"/>
            <x v="10"/>
            <x v="11"/>
            <x v="12"/>
          </reference>
          <reference field="25" count="1" selected="0">
            <x v="2"/>
          </reference>
        </references>
      </pivotArea>
    </format>
    <format dxfId="761">
      <pivotArea dataOnly="0" labelOnly="1" fieldPosition="0">
        <references count="2">
          <reference field="23" count="6">
            <x v="1"/>
            <x v="2"/>
            <x v="3"/>
            <x v="4"/>
            <x v="5"/>
            <x v="6"/>
          </reference>
          <reference field="25" count="1" selected="0">
            <x v="3"/>
          </reference>
        </references>
      </pivotArea>
    </format>
    <format dxfId="76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0751F6-DDDE-490A-B708-29E0EE0AD736}" name="concessions_as_percent_of_asking_ren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0">
  <location ref="BL5:BM12" firstHeaderRow="1" firstDataRow="1" firstDataCol="1"/>
  <pivotFields count="30">
    <pivotField axis="axisRow" showAll="0" measureFilter="1"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7">
    <i>
      <x v="4"/>
    </i>
    <i>
      <x v="22"/>
    </i>
    <i>
      <x v="8"/>
    </i>
    <i>
      <x v="10"/>
    </i>
    <i>
      <x v="5"/>
    </i>
    <i>
      <x v="6"/>
    </i>
    <i t="grand">
      <x/>
    </i>
  </rowItems>
  <colItems count="1">
    <i/>
  </colItems>
  <dataFields count="1">
    <dataField name="Average of Concessions as % of Asking Rent" fld="21" subtotal="average" baseField="0" baseItem="13"/>
  </dataFields>
  <formats count="12">
    <format dxfId="816">
      <pivotArea outline="0" collapsedLevelsAreSubtotals="1" fieldPosition="0"/>
    </format>
    <format dxfId="815">
      <pivotArea outline="0" collapsedLevelsAreSubtotals="1" fieldPosition="0"/>
    </format>
    <format dxfId="814">
      <pivotArea dataOnly="0" labelOnly="1" outline="0" axis="axisValues" fieldPosition="0"/>
    </format>
    <format dxfId="813">
      <pivotArea outline="0" collapsedLevelsAreSubtotals="1" fieldPosition="0"/>
    </format>
    <format dxfId="812">
      <pivotArea outline="0" collapsedLevelsAreSubtotals="1" fieldPosition="0"/>
    </format>
    <format dxfId="811">
      <pivotArea outline="0" collapsedLevelsAreSubtotals="1" fieldPosition="0"/>
    </format>
    <format dxfId="810">
      <pivotArea type="all" dataOnly="0" outline="0" fieldPosition="0"/>
    </format>
    <format dxfId="809">
      <pivotArea outline="0" collapsedLevelsAreSubtotals="1" fieldPosition="0"/>
    </format>
    <format dxfId="808">
      <pivotArea field="0" type="button" dataOnly="0" labelOnly="1" outline="0" axis="axisRow" fieldPosition="0"/>
    </format>
    <format dxfId="807">
      <pivotArea dataOnly="0" labelOnly="1" fieldPosition="0">
        <references count="1">
          <reference field="0" count="4">
            <x v="11"/>
            <x v="13"/>
            <x v="16"/>
            <x v="20"/>
          </reference>
        </references>
      </pivotArea>
    </format>
    <format dxfId="806">
      <pivotArea dataOnly="0" labelOnly="1" grandRow="1" outline="0" fieldPosition="0"/>
    </format>
    <format dxfId="805">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73"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2401E7-AE50-4D28-BF2D-62FDA6C56543}" name="concessions_as_percent_of_asking_ren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O5:BP11" firstHeaderRow="1"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v="4"/>
    </i>
    <i>
      <x/>
    </i>
    <i>
      <x v="2"/>
    </i>
    <i>
      <x v="1"/>
    </i>
    <i>
      <x v="3"/>
    </i>
    <i t="grand">
      <x/>
    </i>
  </rowItems>
  <colItems count="1">
    <i/>
  </colItems>
  <dataFields count="1">
    <dataField name="Average of Concessions as % of Asking Rent" fld="21" subtotal="average" baseField="5" baseItem="1"/>
  </dataFields>
  <formats count="12">
    <format dxfId="828">
      <pivotArea outline="0" collapsedLevelsAreSubtotals="1" fieldPosition="0"/>
    </format>
    <format dxfId="827">
      <pivotArea outline="0" collapsedLevelsAreSubtotals="1" fieldPosition="0"/>
    </format>
    <format dxfId="826">
      <pivotArea dataOnly="0" labelOnly="1" outline="0" axis="axisValues" fieldPosition="0"/>
    </format>
    <format dxfId="825">
      <pivotArea outline="0" collapsedLevelsAreSubtotals="1" fieldPosition="0"/>
    </format>
    <format dxfId="824">
      <pivotArea outline="0" collapsedLevelsAreSubtotals="1" fieldPosition="0"/>
    </format>
    <format dxfId="823">
      <pivotArea outline="0" collapsedLevelsAreSubtotals="1" fieldPosition="0"/>
    </format>
    <format dxfId="822">
      <pivotArea type="all" dataOnly="0" outline="0" fieldPosition="0"/>
    </format>
    <format dxfId="821">
      <pivotArea outline="0" collapsedLevelsAreSubtotals="1" fieldPosition="0"/>
    </format>
    <format dxfId="820">
      <pivotArea field="5" type="button" dataOnly="0" labelOnly="1" outline="0" axis="axisRow" fieldPosition="0"/>
    </format>
    <format dxfId="819">
      <pivotArea dataOnly="0" labelOnly="1" fieldPosition="0">
        <references count="1">
          <reference field="5" count="0"/>
        </references>
      </pivotArea>
    </format>
    <format dxfId="818">
      <pivotArea dataOnly="0" labelOnly="1" grandRow="1" outline="0" fieldPosition="0"/>
    </format>
    <format dxfId="817">
      <pivotArea dataOnly="0" labelOnly="1" outline="0" axis="axisValues" fieldPosition="0"/>
    </format>
  </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3C2059-A148-4FEC-9135-2906641A7845}" name="4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Y3:AA8"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5">
    <i>
      <x v="11"/>
    </i>
    <i>
      <x v="2"/>
    </i>
    <i>
      <x v="4"/>
    </i>
    <i>
      <x v="10"/>
    </i>
    <i t="grand">
      <x/>
    </i>
  </rowItems>
  <colFields count="1">
    <field x="-2"/>
  </colFields>
  <colItems count="2">
    <i>
      <x/>
    </i>
    <i i="1">
      <x v="1"/>
    </i>
  </colItems>
  <dataFields count="2">
    <dataField name="Asking" fld="19" subtotal="average" baseField="0" baseItem="15"/>
    <dataField name="Effective" fld="33" subtotal="average" baseField="0" baseItem="15"/>
  </dataFields>
  <formats count="12">
    <format dxfId="840">
      <pivotArea dataOnly="0" labelOnly="1" outline="0" axis="axisValues" fieldPosition="0"/>
    </format>
    <format dxfId="839">
      <pivotArea dataOnly="0" labelOnly="1" outline="0" axis="axisValues" fieldPosition="0"/>
    </format>
    <format dxfId="838">
      <pivotArea dataOnly="0" labelOnly="1" outline="0" fieldPosition="0">
        <references count="1">
          <reference field="4294967294" count="2">
            <x v="0"/>
            <x v="1"/>
          </reference>
        </references>
      </pivotArea>
    </format>
    <format dxfId="837">
      <pivotArea outline="0" collapsedLevelsAreSubtotals="1" fieldPosition="0"/>
    </format>
    <format dxfId="836">
      <pivotArea type="all" dataOnly="0" outline="0" fieldPosition="0"/>
    </format>
    <format dxfId="835">
      <pivotArea outline="0" collapsedLevelsAreSubtotals="1" fieldPosition="0"/>
    </format>
    <format dxfId="834">
      <pivotArea field="0" type="button" dataOnly="0" labelOnly="1" outline="0" axis="axisRow" fieldPosition="0"/>
    </format>
    <format dxfId="833">
      <pivotArea dataOnly="0" labelOnly="1" fieldPosition="0">
        <references count="1">
          <reference field="0" count="6">
            <x v="13"/>
            <x v="15"/>
            <x v="16"/>
            <x v="17"/>
            <x v="21"/>
            <x v="22"/>
          </reference>
        </references>
      </pivotArea>
    </format>
    <format dxfId="832">
      <pivotArea dataOnly="0" labelOnly="1" grandRow="1" outline="0" fieldPosition="0"/>
    </format>
    <format dxfId="831">
      <pivotArea dataOnly="0" labelOnly="1" outline="0" fieldPosition="0">
        <references count="1">
          <reference field="4294967294" count="2">
            <x v="0"/>
            <x v="1"/>
          </reference>
        </references>
      </pivotArea>
    </format>
    <format dxfId="830">
      <pivotArea outline="0" collapsedLevelsAreSubtotals="1" fieldPosition="0"/>
    </format>
    <format dxfId="829">
      <pivotArea dataOnly="0" labelOnly="1" outline="0" fieldPosition="0">
        <references count="1">
          <reference field="4294967294" count="2">
            <x v="0"/>
            <x v="1"/>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91F7DB-B862-4FD4-943F-6B6CD9C5E144}" name="average_days_on_mk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BU3:BV14" firstHeaderRow="1" firstDataRow="1" firstDataCol="1"/>
  <pivotFields count="30">
    <pivotField axis="axisRow" showAll="0" sortType="ascending">
      <items count="24">
        <item m="1" x="18"/>
        <item m="1" x="22"/>
        <item x="2"/>
        <item m="1" x="19"/>
        <item m="1" x="11"/>
        <item m="1" x="10"/>
        <item m="1" x="12"/>
        <item m="1" x="13"/>
        <item x="5"/>
        <item m="1" x="20"/>
        <item x="3"/>
        <item x="0"/>
        <item m="1" x="17"/>
        <item x="9"/>
        <item x="4"/>
        <item m="1" x="14"/>
        <item m="1" x="15"/>
        <item m="1" x="16"/>
        <item x="7"/>
        <item m="1" x="21"/>
        <item x="1"/>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ascending">
      <items count="7">
        <item x="0"/>
        <item x="1"/>
        <item x="2"/>
        <item x="4"/>
        <item x="3"/>
        <item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2"/>
    </i>
    <i>
      <x v="20"/>
    </i>
    <i>
      <x v="18"/>
    </i>
    <i>
      <x v="21"/>
    </i>
    <i>
      <x v="14"/>
    </i>
    <i>
      <x v="2"/>
    </i>
    <i>
      <x v="8"/>
    </i>
    <i>
      <x v="13"/>
    </i>
    <i>
      <x v="10"/>
    </i>
    <i>
      <x v="11"/>
    </i>
    <i t="grand">
      <x/>
    </i>
  </rowItems>
  <colItems count="1">
    <i/>
  </colItems>
  <dataFields count="1">
    <dataField name="Average of Days on Mkt" fld="12" subtotal="average" baseField="0" baseItem="3" numFmtId="3"/>
  </dataFields>
  <formats count="10">
    <format dxfId="850">
      <pivotArea outline="0" collapsedLevelsAreSubtotals="1" fieldPosition="0"/>
    </format>
    <format dxfId="849">
      <pivotArea dataOnly="0" labelOnly="1" outline="0" fieldPosition="0">
        <references count="1">
          <reference field="4294967294" count="1">
            <x v="0"/>
          </reference>
        </references>
      </pivotArea>
    </format>
    <format dxfId="848">
      <pivotArea outline="0" collapsedLevelsAreSubtotals="1" fieldPosition="0"/>
    </format>
    <format dxfId="847">
      <pivotArea dataOnly="0" labelOnly="1" outline="0" axis="axisValues" fieldPosition="0"/>
    </format>
    <format dxfId="846">
      <pivotArea type="all" dataOnly="0" outline="0" fieldPosition="0"/>
    </format>
    <format dxfId="845">
      <pivotArea outline="0" collapsedLevelsAreSubtotals="1" fieldPosition="0"/>
    </format>
    <format dxfId="844">
      <pivotArea field="0" type="button" dataOnly="0" labelOnly="1" outline="0" axis="axisRow" fieldPosition="0"/>
    </format>
    <format dxfId="843">
      <pivotArea dataOnly="0" labelOnly="1" fieldPosition="0">
        <references count="1">
          <reference field="0" count="0"/>
        </references>
      </pivotArea>
    </format>
    <format dxfId="842">
      <pivotArea dataOnly="0" labelOnly="1" grandRow="1" outline="0" fieldPosition="0"/>
    </format>
    <format dxfId="84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50AFCD-8A2C-4AF2-850B-E3A15241E2D6}" name="avg_days_on_mk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AM3:AN14" firstHeaderRow="1"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2"/>
    </i>
    <i>
      <x v="10"/>
    </i>
    <i>
      <x v="8"/>
    </i>
    <i>
      <x v="21"/>
    </i>
    <i>
      <x v="7"/>
    </i>
    <i>
      <x v="1"/>
    </i>
    <i>
      <x v="2"/>
    </i>
    <i>
      <x v="6"/>
    </i>
    <i>
      <x v="4"/>
    </i>
    <i>
      <x v="5"/>
    </i>
    <i t="grand">
      <x/>
    </i>
  </rowItems>
  <colItems count="1">
    <i/>
  </colItems>
  <dataFields count="1">
    <dataField name="Average of Days on Mkt" fld="12" subtotal="average" baseField="0" baseItem="3" numFmtId="3"/>
  </dataFields>
  <formats count="10">
    <format dxfId="860">
      <pivotArea outline="0" collapsedLevelsAreSubtotals="1" fieldPosition="0"/>
    </format>
    <format dxfId="859">
      <pivotArea dataOnly="0" labelOnly="1" outline="0" fieldPosition="0">
        <references count="1">
          <reference field="4294967294" count="1">
            <x v="0"/>
          </reference>
        </references>
      </pivotArea>
    </format>
    <format dxfId="858">
      <pivotArea outline="0" collapsedLevelsAreSubtotals="1" fieldPosition="0"/>
    </format>
    <format dxfId="857">
      <pivotArea dataOnly="0" labelOnly="1" outline="0" axis="axisValues" fieldPosition="0"/>
    </format>
    <format dxfId="856">
      <pivotArea type="all" dataOnly="0" outline="0" fieldPosition="0"/>
    </format>
    <format dxfId="855">
      <pivotArea outline="0" collapsedLevelsAreSubtotals="1" fieldPosition="0"/>
    </format>
    <format dxfId="854">
      <pivotArea field="0" type="button" dataOnly="0" labelOnly="1" outline="0" axis="axisRow" fieldPosition="0"/>
    </format>
    <format dxfId="853">
      <pivotArea dataOnly="0" labelOnly="1" fieldPosition="0">
        <references count="1">
          <reference field="0" count="0"/>
        </references>
      </pivotArea>
    </format>
    <format dxfId="852">
      <pivotArea dataOnly="0" labelOnly="1" grandRow="1" outline="0" fieldPosition="0"/>
    </format>
    <format dxfId="851">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CAC7BE-6466-4132-9DE3-7327CF06EBA2}" name="asking_vs_effective_closed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V5:AX16" firstHeaderRow="0"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8"/>
    </i>
    <i>
      <x v="4"/>
    </i>
    <i>
      <x v="5"/>
    </i>
    <i>
      <x v="22"/>
    </i>
    <i>
      <x v="10"/>
    </i>
    <i>
      <x v="21"/>
    </i>
    <i>
      <x v="1"/>
    </i>
    <i>
      <x v="2"/>
    </i>
    <i>
      <x v="6"/>
    </i>
    <i>
      <x v="7"/>
    </i>
    <i t="grand">
      <x/>
    </i>
  </rowItems>
  <colFields count="1">
    <field x="-2"/>
  </colFields>
  <colItems count="2">
    <i>
      <x/>
    </i>
    <i i="1">
      <x v="1"/>
    </i>
  </colItems>
  <dataFields count="2">
    <dataField name="Average of Asking Rent" fld="13" subtotal="average" baseField="0" baseItem="13"/>
    <dataField name="Average of Effective Rent" fld="15" subtotal="average" baseField="0" baseItem="14"/>
  </dataFields>
  <formats count="14">
    <format dxfId="874">
      <pivotArea outline="0" collapsedLevelsAreSubtotals="1" fieldPosition="0"/>
    </format>
    <format dxfId="873">
      <pivotArea outline="0" collapsedLevelsAreSubtotals="1" fieldPosition="0"/>
    </format>
    <format dxfId="872">
      <pivotArea dataOnly="0" labelOnly="1" outline="0" axis="axisValues" fieldPosition="0"/>
    </format>
    <format dxfId="871">
      <pivotArea outline="0" collapsedLevelsAreSubtotals="1" fieldPosition="0"/>
    </format>
    <format dxfId="870">
      <pivotArea outline="0" collapsedLevelsAreSubtotals="1" fieldPosition="0"/>
    </format>
    <format dxfId="869">
      <pivotArea outline="0" collapsedLevelsAreSubtotals="1" fieldPosition="0"/>
    </format>
    <format dxfId="868">
      <pivotArea outline="0" collapsedLevelsAreSubtotals="1" fieldPosition="0"/>
    </format>
    <format dxfId="867">
      <pivotArea dataOnly="0" labelOnly="1" outline="0" fieldPosition="0">
        <references count="1">
          <reference field="4294967294" count="1">
            <x v="1"/>
          </reference>
        </references>
      </pivotArea>
    </format>
    <format dxfId="866">
      <pivotArea type="all" dataOnly="0" outline="0" fieldPosition="0"/>
    </format>
    <format dxfId="865">
      <pivotArea outline="0" collapsedLevelsAreSubtotals="1" fieldPosition="0"/>
    </format>
    <format dxfId="864">
      <pivotArea field="0" type="button" dataOnly="0" labelOnly="1" outline="0" axis="axisRow" fieldPosition="0"/>
    </format>
    <format dxfId="863">
      <pivotArea dataOnly="0" labelOnly="1" fieldPosition="0">
        <references count="1">
          <reference field="0" count="0"/>
        </references>
      </pivotArea>
    </format>
    <format dxfId="862">
      <pivotArea dataOnly="0" labelOnly="1" grandRow="1" outline="0" fieldPosition="0"/>
    </format>
    <format dxfId="861">
      <pivotArea dataOnly="0" labelOnly="1" outline="0" fieldPosition="0">
        <references count="1">
          <reference field="4294967294" count="1">
            <x v="1"/>
          </reference>
        </references>
      </pivotArea>
    </format>
  </formats>
  <chartFormats count="2">
    <chartFormat chart="3" format="2"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B24CFC-5AE3-4C92-ABBD-60D44E1687E8}"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G3:AI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Average of Leased %" fld="9" subtotal="average" baseField="0" baseItem="16" numFmtId="166"/>
    <dataField name="Average of Exposure %" fld="10" subtotal="average" baseField="0" baseItem="16"/>
  </dataFields>
  <formats count="12">
    <format dxfId="886">
      <pivotArea dataOnly="0" labelOnly="1" outline="0" axis="axisValues" fieldPosition="0"/>
    </format>
    <format dxfId="885">
      <pivotArea dataOnly="0" labelOnly="1" outline="0" axis="axisValues" fieldPosition="0"/>
    </format>
    <format dxfId="884">
      <pivotArea outline="0" collapsedLevelsAreSubtotals="1" fieldPosition="0"/>
    </format>
    <format dxfId="883">
      <pivotArea type="all" dataOnly="0" outline="0" fieldPosition="0"/>
    </format>
    <format dxfId="882">
      <pivotArea outline="0" collapsedLevelsAreSubtotals="1" fieldPosition="0"/>
    </format>
    <format dxfId="881">
      <pivotArea field="0" type="button" dataOnly="0" labelOnly="1" outline="0" axis="axisRow" fieldPosition="0"/>
    </format>
    <format dxfId="880">
      <pivotArea dataOnly="0" labelOnly="1" fieldPosition="0">
        <references count="1">
          <reference field="0" count="6">
            <x v="13"/>
            <x v="15"/>
            <x v="16"/>
            <x v="17"/>
            <x v="21"/>
            <x v="22"/>
          </reference>
        </references>
      </pivotArea>
    </format>
    <format dxfId="879">
      <pivotArea dataOnly="0" labelOnly="1" grandRow="1" outline="0" fieldPosition="0"/>
    </format>
    <format dxfId="878">
      <pivotArea outline="0" collapsedLevelsAreSubtotals="1" fieldPosition="0"/>
    </format>
    <format dxfId="877">
      <pivotArea dataOnly="0" labelOnly="1" outline="0" fieldPosition="0">
        <references count="1">
          <reference field="4294967294" count="2">
            <x v="0"/>
            <x v="1"/>
          </reference>
        </references>
      </pivotArea>
    </format>
    <format dxfId="876">
      <pivotArea outline="0" collapsedLevelsAreSubtotals="1" fieldPosition="0"/>
    </format>
    <format dxfId="87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163397-9ED3-4AF9-BF37-B4EC1D7A9927}" name="asking_vs_effective_psf_closed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D5:BF16" firstHeaderRow="0"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1"/>
    </i>
    <i>
      <x v="8"/>
    </i>
    <i>
      <x v="5"/>
    </i>
    <i>
      <x v="22"/>
    </i>
    <i>
      <x v="2"/>
    </i>
    <i>
      <x v="10"/>
    </i>
    <i>
      <x v="6"/>
    </i>
    <i>
      <x v="7"/>
    </i>
    <i>
      <x v="21"/>
    </i>
    <i t="grand">
      <x/>
    </i>
  </rowItems>
  <colFields count="1">
    <field x="-2"/>
  </colFields>
  <colItems count="2">
    <i>
      <x/>
    </i>
    <i i="1">
      <x v="1"/>
    </i>
  </colItems>
  <dataFields count="2">
    <dataField name="Average of Asking PSF" fld="14" subtotal="average" baseField="0" baseItem="12"/>
    <dataField name="Average of Effective PSF" fld="16" subtotal="average" baseField="0" baseItem="11"/>
  </dataFields>
  <formats count="14">
    <format dxfId="900">
      <pivotArea outline="0" collapsedLevelsAreSubtotals="1" fieldPosition="0"/>
    </format>
    <format dxfId="899">
      <pivotArea outline="0" collapsedLevelsAreSubtotals="1" fieldPosition="0"/>
    </format>
    <format dxfId="898">
      <pivotArea dataOnly="0" labelOnly="1" outline="0" axis="axisValues" fieldPosition="0"/>
    </format>
    <format dxfId="897">
      <pivotArea outline="0" collapsedLevelsAreSubtotals="1" fieldPosition="0"/>
    </format>
    <format dxfId="896">
      <pivotArea outline="0" collapsedLevelsAreSubtotals="1" fieldPosition="0"/>
    </format>
    <format dxfId="895">
      <pivotArea outline="0" collapsedLevelsAreSubtotals="1" fieldPosition="0"/>
    </format>
    <format dxfId="894">
      <pivotArea outline="0" collapsedLevelsAreSubtotals="1" fieldPosition="0"/>
    </format>
    <format dxfId="893">
      <pivotArea dataOnly="0" labelOnly="1" outline="0" fieldPosition="0">
        <references count="1">
          <reference field="4294967294" count="1">
            <x v="1"/>
          </reference>
        </references>
      </pivotArea>
    </format>
    <format dxfId="892">
      <pivotArea type="all" dataOnly="0" outline="0" fieldPosition="0"/>
    </format>
    <format dxfId="891">
      <pivotArea outline="0" collapsedLevelsAreSubtotals="1" fieldPosition="0"/>
    </format>
    <format dxfId="890">
      <pivotArea field="0" type="button" dataOnly="0" labelOnly="1" outline="0" axis="axisRow" fieldPosition="0"/>
    </format>
    <format dxfId="889">
      <pivotArea dataOnly="0" labelOnly="1" fieldPosition="0">
        <references count="1">
          <reference field="0" count="0"/>
        </references>
      </pivotArea>
    </format>
    <format dxfId="888">
      <pivotArea dataOnly="0" labelOnly="1" grandRow="1" outline="0" fieldPosition="0"/>
    </format>
    <format dxfId="887">
      <pivotArea dataOnly="0" labelOnly="1" outline="0" fieldPosition="0">
        <references count="1">
          <reference field="4294967294" count="1">
            <x v="1"/>
          </reference>
        </references>
      </pivotArea>
    </format>
  </formats>
  <chartFormats count="2">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3B9600D-4060-4806-81E6-5380441C7A8B}" name="leasing_volume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42" colHeaderCaption=" ">
  <location ref="CU3:CV35" firstHeaderRow="1"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dataField="1"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2">
    <field x="25"/>
    <field x="23"/>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Items count="1">
    <i/>
  </colItems>
  <dataFields count="1">
    <dataField name="# Leases" fld="10" subtotal="count" baseField="0" baseItem="0"/>
  </dataFields>
  <formats count="25">
    <format dxfId="925">
      <pivotArea outline="0" collapsedLevelsAreSubtotals="1" fieldPosition="0"/>
    </format>
    <format dxfId="924">
      <pivotArea dataOnly="0" labelOnly="1" outline="0" axis="axisValues" fieldPosition="0"/>
    </format>
    <format dxfId="923">
      <pivotArea outline="0" collapsedLevelsAreSubtotals="1" fieldPosition="0"/>
    </format>
    <format dxfId="922">
      <pivotArea field="25" type="button" dataOnly="0" labelOnly="1" outline="0" axis="axisRow" fieldPosition="0"/>
    </format>
    <format dxfId="921">
      <pivotArea field="24" type="button" dataOnly="0" labelOnly="1" outline="0"/>
    </format>
    <format dxfId="920">
      <pivotArea field="23" type="button" dataOnly="0" labelOnly="1" outline="0" axis="axisRow" fieldPosition="1"/>
    </format>
    <format dxfId="919">
      <pivotArea field="10" type="button" dataOnly="0" labelOnly="1" outline="0"/>
    </format>
    <format dxfId="918">
      <pivotArea type="topRight" dataOnly="0" labelOnly="1" outline="0" fieldPosition="0"/>
    </format>
    <format dxfId="917">
      <pivotArea dataOnly="0" labelOnly="1" fieldPosition="0">
        <references count="1">
          <reference field="25" count="2">
            <x v="2"/>
            <x v="3"/>
          </reference>
        </references>
      </pivotArea>
    </format>
    <format dxfId="916">
      <pivotArea type="all" dataOnly="0" outline="0" fieldPosition="0"/>
    </format>
    <format dxfId="915">
      <pivotArea outline="0" collapsedLevelsAreSubtotals="1" fieldPosition="0"/>
    </format>
    <format dxfId="914">
      <pivotArea field="25" type="button" dataOnly="0" labelOnly="1" outline="0" axis="axisRow" fieldPosition="0"/>
    </format>
    <format dxfId="913">
      <pivotArea dataOnly="0" labelOnly="1" fieldPosition="0">
        <references count="1">
          <reference field="25" count="2">
            <x v="2"/>
            <x v="3"/>
          </reference>
        </references>
      </pivotArea>
    </format>
    <format dxfId="912">
      <pivotArea dataOnly="0" labelOnly="1" grandRow="1" outline="0" fieldPosition="0"/>
    </format>
    <format dxfId="911">
      <pivotArea dataOnly="0" labelOnly="1" fieldPosition="0">
        <references count="2">
          <reference field="23" count="7">
            <x v="6"/>
            <x v="7"/>
            <x v="8"/>
            <x v="9"/>
            <x v="10"/>
            <x v="11"/>
            <x v="12"/>
          </reference>
          <reference field="25" count="1" selected="0">
            <x v="2"/>
          </reference>
        </references>
      </pivotArea>
    </format>
    <format dxfId="910">
      <pivotArea dataOnly="0" labelOnly="1" fieldPosition="0">
        <references count="2">
          <reference field="23" count="6">
            <x v="1"/>
            <x v="2"/>
            <x v="3"/>
            <x v="4"/>
            <x v="5"/>
            <x v="6"/>
          </reference>
          <reference field="25" count="1" selected="0">
            <x v="3"/>
          </reference>
        </references>
      </pivotArea>
    </format>
    <format dxfId="909">
      <pivotArea dataOnly="0" labelOnly="1" outline="0" axis="axisValues" fieldPosition="0"/>
    </format>
    <format dxfId="908">
      <pivotArea type="all" dataOnly="0" outline="0" fieldPosition="0"/>
    </format>
    <format dxfId="907">
      <pivotArea outline="0" collapsedLevelsAreSubtotals="1" fieldPosition="0"/>
    </format>
    <format dxfId="906">
      <pivotArea field="25" type="button" dataOnly="0" labelOnly="1" outline="0" axis="axisRow" fieldPosition="0"/>
    </format>
    <format dxfId="905">
      <pivotArea dataOnly="0" labelOnly="1" fieldPosition="0">
        <references count="1">
          <reference field="25" count="2">
            <x v="2"/>
            <x v="3"/>
          </reference>
        </references>
      </pivotArea>
    </format>
    <format dxfId="904">
      <pivotArea dataOnly="0" labelOnly="1" grandRow="1" outline="0" fieldPosition="0"/>
    </format>
    <format dxfId="903">
      <pivotArea dataOnly="0" labelOnly="1" fieldPosition="0">
        <references count="2">
          <reference field="23" count="7">
            <x v="6"/>
            <x v="7"/>
            <x v="8"/>
            <x v="9"/>
            <x v="10"/>
            <x v="11"/>
            <x v="12"/>
          </reference>
          <reference field="25" count="1" selected="0">
            <x v="2"/>
          </reference>
        </references>
      </pivotArea>
    </format>
    <format dxfId="902">
      <pivotArea dataOnly="0" labelOnly="1" fieldPosition="0">
        <references count="2">
          <reference field="23" count="6">
            <x v="1"/>
            <x v="2"/>
            <x v="3"/>
            <x v="4"/>
            <x v="5"/>
            <x v="6"/>
          </reference>
          <reference field="25" count="1" selected="0">
            <x v="3"/>
          </reference>
        </references>
      </pivotArea>
    </format>
    <format dxfId="901">
      <pivotArea dataOnly="0" labelOnly="1" outline="0" axis="axisValues" fieldPosition="0"/>
    </format>
  </formats>
  <chartFormats count="1">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91269E8-3487-4658-9DF1-A95CC81F62FE}" name="1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O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3"/>
    </i>
    <i>
      <x v="6"/>
    </i>
    <i>
      <x v="24"/>
    </i>
    <i>
      <x v="5"/>
    </i>
    <i>
      <x v="23"/>
    </i>
    <i>
      <x v="11"/>
    </i>
    <i>
      <x v="2"/>
    </i>
    <i>
      <x v="10"/>
    </i>
    <i>
      <x v="4"/>
    </i>
    <i>
      <x v="8"/>
    </i>
    <i t="grand">
      <x/>
    </i>
  </rowItems>
  <colFields count="1">
    <field x="-2"/>
  </colFields>
  <colItems count="2">
    <i>
      <x/>
    </i>
    <i i="1">
      <x v="1"/>
    </i>
  </colItems>
  <dataFields count="2">
    <dataField name="Asking" fld="13" subtotal="average" baseField="0" baseItem="7"/>
    <dataField name="Effective" fld="27" subtotal="average" baseField="0" baseItem="21"/>
  </dataFields>
  <formats count="9">
    <format dxfId="934">
      <pivotArea dataOnly="0" labelOnly="1" outline="0" axis="axisValues" fieldPosition="0"/>
    </format>
    <format dxfId="933">
      <pivotArea dataOnly="0" labelOnly="1" outline="0" axis="axisValues" fieldPosition="0"/>
    </format>
    <format dxfId="932">
      <pivotArea outline="0" collapsedLevelsAreSubtotals="1" fieldPosition="0"/>
    </format>
    <format dxfId="931">
      <pivotArea type="all" dataOnly="0" outline="0" fieldPosition="0"/>
    </format>
    <format dxfId="930">
      <pivotArea outline="0" collapsedLevelsAreSubtotals="1" fieldPosition="0"/>
    </format>
    <format dxfId="929">
      <pivotArea field="0" type="button" dataOnly="0" labelOnly="1" outline="0" axis="axisRow" fieldPosition="0"/>
    </format>
    <format dxfId="928">
      <pivotArea dataOnly="0" labelOnly="1" fieldPosition="0">
        <references count="1">
          <reference field="0" count="0"/>
        </references>
      </pivotArea>
    </format>
    <format dxfId="927">
      <pivotArea dataOnly="0" labelOnly="1" grandRow="1" outline="0" fieldPosition="0"/>
    </format>
    <format dxfId="926">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6AD7783-00FC-4B66-B7AA-9CDADAE76881}" name="2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Q3:S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11">
    <i>
      <x v="6"/>
    </i>
    <i>
      <x v="3"/>
    </i>
    <i>
      <x v="4"/>
    </i>
    <i>
      <x v="11"/>
    </i>
    <i>
      <x v="24"/>
    </i>
    <i>
      <x v="10"/>
    </i>
    <i>
      <x v="2"/>
    </i>
    <i>
      <x v="5"/>
    </i>
    <i>
      <x v="23"/>
    </i>
    <i>
      <x v="8"/>
    </i>
    <i t="grand">
      <x/>
    </i>
  </rowItems>
  <colFields count="1">
    <field x="-2"/>
  </colFields>
  <colItems count="2">
    <i>
      <x/>
    </i>
    <i i="1">
      <x v="1"/>
    </i>
  </colItems>
  <dataFields count="2">
    <dataField name="Asking" fld="15" subtotal="average" baseField="0" baseItem="2"/>
    <dataField name="Effective" fld="29" subtotal="average" baseField="0" baseItem="21"/>
  </dataFields>
  <formats count="9">
    <format dxfId="943">
      <pivotArea dataOnly="0" labelOnly="1" outline="0" axis="axisValues" fieldPosition="0"/>
    </format>
    <format dxfId="942">
      <pivotArea dataOnly="0" labelOnly="1" outline="0" axis="axisValues" fieldPosition="0"/>
    </format>
    <format dxfId="941">
      <pivotArea outline="0" collapsedLevelsAreSubtotals="1" fieldPosition="0"/>
    </format>
    <format dxfId="940">
      <pivotArea type="all" dataOnly="0" outline="0" fieldPosition="0"/>
    </format>
    <format dxfId="939">
      <pivotArea outline="0" collapsedLevelsAreSubtotals="1" fieldPosition="0"/>
    </format>
    <format dxfId="938">
      <pivotArea field="0" type="button" dataOnly="0" labelOnly="1" outline="0" axis="axisRow" fieldPosition="0"/>
    </format>
    <format dxfId="937">
      <pivotArea dataOnly="0" labelOnly="1" fieldPosition="0">
        <references count="1">
          <reference field="0" count="0"/>
        </references>
      </pivotArea>
    </format>
    <format dxfId="936">
      <pivotArea dataOnly="0" labelOnly="1" grandRow="1" outline="0" fieldPosition="0"/>
    </format>
    <format dxfId="935">
      <pivotArea dataOnly="0" labelOnly="1" outline="0" fieldPosition="0">
        <references count="1">
          <reference field="4294967294" count="2">
            <x v="0"/>
            <x v="1"/>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0E1F715-245A-40F7-A0C0-7D9A520AB30B}" name="asking_rent_by_unit_type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9" colHeaderCaption=" ">
  <location ref="CB3:CG36" firstHeaderRow="1" firstDataRow="2"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axis="axisCol"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axis="axisRow"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5"/>
  </colFields>
  <colItems count="5">
    <i>
      <x/>
    </i>
    <i>
      <x v="1"/>
    </i>
    <i>
      <x v="2"/>
    </i>
    <i>
      <x v="3"/>
    </i>
    <i>
      <x v="4"/>
    </i>
  </colItems>
  <dataFields count="1">
    <dataField name="Average of Asking Rent" fld="13" subtotal="average" baseField="21" baseItem="9"/>
  </dataFields>
  <formats count="50">
    <format dxfId="993">
      <pivotArea outline="0" collapsedLevelsAreSubtotals="1" fieldPosition="0"/>
    </format>
    <format dxfId="992">
      <pivotArea dataOnly="0" labelOnly="1" outline="0" axis="axisValues" fieldPosition="0"/>
    </format>
    <format dxfId="991">
      <pivotArea outline="0" collapsedLevelsAreSubtotals="1" fieldPosition="0"/>
    </format>
    <format dxfId="990">
      <pivotArea field="24" type="button" dataOnly="0" labelOnly="1" outline="0"/>
    </format>
    <format dxfId="989">
      <pivotArea field="23" type="button" dataOnly="0" labelOnly="1" outline="0" axis="axisRow" fieldPosition="1"/>
    </format>
    <format dxfId="988">
      <pivotArea field="10" type="button" dataOnly="0" labelOnly="1" outline="0" axis="axisRow" fieldPosition="2"/>
    </format>
    <format dxfId="987">
      <pivotArea type="topRight" dataOnly="0" labelOnly="1" outline="0" fieldPosition="0"/>
    </format>
    <format dxfId="986">
      <pivotArea collapsedLevelsAreSubtotals="1" fieldPosition="0">
        <references count="2">
          <reference field="23" count="1">
            <x v="6"/>
          </reference>
          <reference field="25" count="1" selected="0">
            <x v="2"/>
          </reference>
        </references>
      </pivotArea>
    </format>
    <format dxfId="985">
      <pivotArea collapsedLevelsAreSubtotals="1" fieldPosition="0">
        <references count="2">
          <reference field="23" count="1">
            <x v="7"/>
          </reference>
          <reference field="25" count="1" selected="0">
            <x v="2"/>
          </reference>
        </references>
      </pivotArea>
    </format>
    <format dxfId="984">
      <pivotArea collapsedLevelsAreSubtotals="1" fieldPosition="0">
        <references count="2">
          <reference field="23" count="1">
            <x v="8"/>
          </reference>
          <reference field="25" count="1" selected="0">
            <x v="2"/>
          </reference>
        </references>
      </pivotArea>
    </format>
    <format dxfId="983">
      <pivotArea collapsedLevelsAreSubtotals="1" fieldPosition="0">
        <references count="2">
          <reference field="23" count="1">
            <x v="9"/>
          </reference>
          <reference field="25" count="1" selected="0">
            <x v="2"/>
          </reference>
        </references>
      </pivotArea>
    </format>
    <format dxfId="982">
      <pivotArea collapsedLevelsAreSubtotals="1" fieldPosition="0">
        <references count="2">
          <reference field="23" count="1">
            <x v="10"/>
          </reference>
          <reference field="25" count="1" selected="0">
            <x v="2"/>
          </reference>
        </references>
      </pivotArea>
    </format>
    <format dxfId="981">
      <pivotArea collapsedLevelsAreSubtotals="1" fieldPosition="0">
        <references count="2">
          <reference field="23" count="1">
            <x v="11"/>
          </reference>
          <reference field="25" count="1" selected="0">
            <x v="2"/>
          </reference>
        </references>
      </pivotArea>
    </format>
    <format dxfId="980">
      <pivotArea collapsedLevelsAreSubtotals="1" fieldPosition="0">
        <references count="2">
          <reference field="23" count="1">
            <x v="12"/>
          </reference>
          <reference field="25" count="1" selected="0">
            <x v="2"/>
          </reference>
        </references>
      </pivotArea>
    </format>
    <format dxfId="979">
      <pivotArea collapsedLevelsAreSubtotals="1" fieldPosition="0">
        <references count="1">
          <reference field="25" count="1">
            <x v="3"/>
          </reference>
        </references>
      </pivotArea>
    </format>
    <format dxfId="978">
      <pivotArea collapsedLevelsAreSubtotals="1" fieldPosition="0">
        <references count="2">
          <reference field="23" count="1">
            <x v="1"/>
          </reference>
          <reference field="25" count="1" selected="0">
            <x v="3"/>
          </reference>
        </references>
      </pivotArea>
    </format>
    <format dxfId="977">
      <pivotArea collapsedLevelsAreSubtotals="1" fieldPosition="0">
        <references count="2">
          <reference field="23" count="1">
            <x v="2"/>
          </reference>
          <reference field="25" count="1" selected="0">
            <x v="3"/>
          </reference>
        </references>
      </pivotArea>
    </format>
    <format dxfId="976">
      <pivotArea collapsedLevelsAreSubtotals="1" fieldPosition="0">
        <references count="2">
          <reference field="23" count="1">
            <x v="3"/>
          </reference>
          <reference field="25" count="1" selected="0">
            <x v="3"/>
          </reference>
        </references>
      </pivotArea>
    </format>
    <format dxfId="975">
      <pivotArea collapsedLevelsAreSubtotals="1" fieldPosition="0">
        <references count="2">
          <reference field="23" count="1">
            <x v="4"/>
          </reference>
          <reference field="25" count="1" selected="0">
            <x v="3"/>
          </reference>
        </references>
      </pivotArea>
    </format>
    <format dxfId="974">
      <pivotArea collapsedLevelsAreSubtotals="1" fieldPosition="0">
        <references count="2">
          <reference field="23" count="1">
            <x v="5"/>
          </reference>
          <reference field="25" count="1" selected="0">
            <x v="3"/>
          </reference>
        </references>
      </pivotArea>
    </format>
    <format dxfId="973">
      <pivotArea collapsedLevelsAreSubtotals="1" fieldPosition="0">
        <references count="2">
          <reference field="23" count="1">
            <x v="6"/>
          </reference>
          <reference field="25" count="1" selected="0">
            <x v="3"/>
          </reference>
        </references>
      </pivotArea>
    </format>
    <format dxfId="972">
      <pivotArea outline="0" collapsedLevelsAreSubtotals="1" fieldPosition="0"/>
    </format>
    <format dxfId="971">
      <pivotArea type="origin" dataOnly="0" labelOnly="1" outline="0" fieldPosition="0"/>
    </format>
    <format dxfId="970">
      <pivotArea field="25" type="button" dataOnly="0" labelOnly="1" outline="0" axis="axisRow" fieldPosition="0"/>
    </format>
    <format dxfId="969">
      <pivotArea dataOnly="0" labelOnly="1" fieldPosition="0">
        <references count="1">
          <reference field="25" count="2">
            <x v="2"/>
            <x v="3"/>
          </reference>
        </references>
      </pivotArea>
    </format>
    <format dxfId="968">
      <pivotArea dataOnly="0" labelOnly="1" grandRow="1" outline="0" fieldPosition="0"/>
    </format>
    <format dxfId="967">
      <pivotArea dataOnly="0" labelOnly="1" fieldPosition="0">
        <references count="2">
          <reference field="23" count="7">
            <x v="6"/>
            <x v="7"/>
            <x v="8"/>
            <x v="9"/>
            <x v="10"/>
            <x v="11"/>
            <x v="12"/>
          </reference>
          <reference field="25" count="1" selected="0">
            <x v="2"/>
          </reference>
        </references>
      </pivotArea>
    </format>
    <format dxfId="966">
      <pivotArea dataOnly="0" labelOnly="1" fieldPosition="0">
        <references count="2">
          <reference field="23" count="6">
            <x v="1"/>
            <x v="2"/>
            <x v="3"/>
            <x v="4"/>
            <x v="5"/>
            <x v="6"/>
          </reference>
          <reference field="25" count="1" selected="0">
            <x v="3"/>
          </reference>
        </references>
      </pivotArea>
    </format>
    <format dxfId="965">
      <pivotArea type="all" dataOnly="0" outline="0" fieldPosition="0"/>
    </format>
    <format dxfId="964">
      <pivotArea outline="0" collapsedLevelsAreSubtotals="1" fieldPosition="0"/>
    </format>
    <format dxfId="963">
      <pivotArea type="origin" dataOnly="0" labelOnly="1" outline="0" fieldPosition="0"/>
    </format>
    <format dxfId="962">
      <pivotArea field="5" type="button" dataOnly="0" labelOnly="1" outline="0" axis="axisCol" fieldPosition="0"/>
    </format>
    <format dxfId="961">
      <pivotArea type="topRight" dataOnly="0" labelOnly="1" outline="0" fieldPosition="0"/>
    </format>
    <format dxfId="960">
      <pivotArea field="25" type="button" dataOnly="0" labelOnly="1" outline="0" axis="axisRow" fieldPosition="0"/>
    </format>
    <format dxfId="959">
      <pivotArea dataOnly="0" labelOnly="1" fieldPosition="0">
        <references count="1">
          <reference field="25" count="2">
            <x v="2"/>
            <x v="3"/>
          </reference>
        </references>
      </pivotArea>
    </format>
    <format dxfId="958">
      <pivotArea dataOnly="0" labelOnly="1" grandRow="1" outline="0" fieldPosition="0"/>
    </format>
    <format dxfId="957">
      <pivotArea dataOnly="0" labelOnly="1" fieldPosition="0">
        <references count="2">
          <reference field="23" count="7">
            <x v="6"/>
            <x v="7"/>
            <x v="8"/>
            <x v="9"/>
            <x v="10"/>
            <x v="11"/>
            <x v="12"/>
          </reference>
          <reference field="25" count="1" selected="0">
            <x v="2"/>
          </reference>
        </references>
      </pivotArea>
    </format>
    <format dxfId="956">
      <pivotArea dataOnly="0" labelOnly="1" fieldPosition="0">
        <references count="2">
          <reference field="23" count="6">
            <x v="1"/>
            <x v="2"/>
            <x v="3"/>
            <x v="4"/>
            <x v="5"/>
            <x v="6"/>
          </reference>
          <reference field="25" count="1" selected="0">
            <x v="3"/>
          </reference>
        </references>
      </pivotArea>
    </format>
    <format dxfId="955">
      <pivotArea dataOnly="0" labelOnly="1" fieldPosition="0">
        <references count="1">
          <reference field="5" count="0"/>
        </references>
      </pivotArea>
    </format>
    <format dxfId="954">
      <pivotArea type="all" dataOnly="0" outline="0" fieldPosition="0"/>
    </format>
    <format dxfId="953">
      <pivotArea outline="0" collapsedLevelsAreSubtotals="1" fieldPosition="0"/>
    </format>
    <format dxfId="952">
      <pivotArea type="origin" dataOnly="0" labelOnly="1" outline="0" fieldPosition="0"/>
    </format>
    <format dxfId="951">
      <pivotArea field="5" type="button" dataOnly="0" labelOnly="1" outline="0" axis="axisCol" fieldPosition="0"/>
    </format>
    <format dxfId="950">
      <pivotArea type="topRight" dataOnly="0" labelOnly="1" outline="0" fieldPosition="0"/>
    </format>
    <format dxfId="949">
      <pivotArea field="25" type="button" dataOnly="0" labelOnly="1" outline="0" axis="axisRow" fieldPosition="0"/>
    </format>
    <format dxfId="948">
      <pivotArea dataOnly="0" labelOnly="1" fieldPosition="0">
        <references count="1">
          <reference field="25" count="2">
            <x v="2"/>
            <x v="3"/>
          </reference>
        </references>
      </pivotArea>
    </format>
    <format dxfId="947">
      <pivotArea dataOnly="0" labelOnly="1" grandRow="1" outline="0" fieldPosition="0"/>
    </format>
    <format dxfId="946">
      <pivotArea dataOnly="0" labelOnly="1" fieldPosition="0">
        <references count="2">
          <reference field="23" count="7">
            <x v="6"/>
            <x v="7"/>
            <x v="8"/>
            <x v="9"/>
            <x v="10"/>
            <x v="11"/>
            <x v="12"/>
          </reference>
          <reference field="25" count="1" selected="0">
            <x v="2"/>
          </reference>
        </references>
      </pivotArea>
    </format>
    <format dxfId="945">
      <pivotArea dataOnly="0" labelOnly="1" fieldPosition="0">
        <references count="2">
          <reference field="23" count="6">
            <x v="1"/>
            <x v="2"/>
            <x v="3"/>
            <x v="4"/>
            <x v="5"/>
            <x v="6"/>
          </reference>
          <reference field="25" count="1" selected="0">
            <x v="3"/>
          </reference>
        </references>
      </pivotArea>
    </format>
    <format dxfId="944">
      <pivotArea dataOnly="0" labelOnly="1" fieldPosition="0">
        <references count="1">
          <reference field="5" count="0"/>
        </references>
      </pivotArea>
    </format>
  </formats>
  <chartFormats count="13">
    <chartFormat chart="11" format="39" series="1">
      <pivotArea type="data" outline="0" fieldPosition="0">
        <references count="1">
          <reference field="5" count="1" selected="0">
            <x v="0"/>
          </reference>
        </references>
      </pivotArea>
    </chartFormat>
    <chartFormat chart="11" format="40" series="1">
      <pivotArea type="data" outline="0" fieldPosition="0">
        <references count="1">
          <reference field="5" count="1" selected="0">
            <x v="1"/>
          </reference>
        </references>
      </pivotArea>
    </chartFormat>
    <chartFormat chart="11" format="41" series="1">
      <pivotArea type="data" outline="0" fieldPosition="0">
        <references count="1">
          <reference field="5" count="1" selected="0">
            <x v="2"/>
          </reference>
        </references>
      </pivotArea>
    </chartFormat>
    <chartFormat chart="11" format="42" series="1">
      <pivotArea type="data" outline="0" fieldPosition="0">
        <references count="1">
          <reference field="5" count="1" selected="0">
            <x v="3"/>
          </reference>
        </references>
      </pivotArea>
    </chartFormat>
    <chartFormat chart="11" format="43" series="1">
      <pivotArea type="data" outline="0" fieldPosition="0">
        <references count="1">
          <reference field="5" count="1" selected="0">
            <x v="4"/>
          </reference>
        </references>
      </pivotArea>
    </chartFormat>
    <chartFormat chart="11" format="44" series="1">
      <pivotArea type="data" outline="0" fieldPosition="0">
        <references count="1">
          <reference field="5" count="1" selected="0">
            <x v="5"/>
          </reference>
        </references>
      </pivotArea>
    </chartFormat>
    <chartFormat chart="11" format="45" series="1">
      <pivotArea type="data" outline="0" fieldPosition="0">
        <references count="2">
          <reference field="4294967294" count="1" selected="0">
            <x v="0"/>
          </reference>
          <reference field="5" count="1" selected="0">
            <x v="4"/>
          </reference>
        </references>
      </pivotArea>
    </chartFormat>
    <chartFormat chart="11" format="46" series="1">
      <pivotArea type="data" outline="0" fieldPosition="0">
        <references count="2">
          <reference field="4294967294" count="1" selected="0">
            <x v="0"/>
          </reference>
          <reference field="5" count="1" selected="0">
            <x v="5"/>
          </reference>
        </references>
      </pivotArea>
    </chartFormat>
    <chartFormat chart="11" format="51" series="1">
      <pivotArea type="data" outline="0" fieldPosition="0">
        <references count="2">
          <reference field="4294967294" count="1" selected="0">
            <x v="0"/>
          </reference>
          <reference field="5" count="1" selected="0">
            <x v="0"/>
          </reference>
        </references>
      </pivotArea>
    </chartFormat>
    <chartFormat chart="11" format="52" series="1">
      <pivotArea type="data" outline="0" fieldPosition="0">
        <references count="2">
          <reference field="4294967294" count="1" selected="0">
            <x v="0"/>
          </reference>
          <reference field="5" count="1" selected="0">
            <x v="1"/>
          </reference>
        </references>
      </pivotArea>
    </chartFormat>
    <chartFormat chart="11" format="53" series="1">
      <pivotArea type="data" outline="0" fieldPosition="0">
        <references count="2">
          <reference field="4294967294" count="1" selected="0">
            <x v="0"/>
          </reference>
          <reference field="5" count="1" selected="0">
            <x v="2"/>
          </reference>
        </references>
      </pivotArea>
    </chartFormat>
    <chartFormat chart="11" format="54" series="1">
      <pivotArea type="data" outline="0" fieldPosition="0">
        <references count="2">
          <reference field="4294967294" count="1" selected="0">
            <x v="0"/>
          </reference>
          <reference field="5" count="1" selected="0">
            <x v="3"/>
          </reference>
        </references>
      </pivotArea>
    </chartFormat>
    <chartFormat chart="11" format="5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851ABBB-D184-4E1F-95DE-11A353581AB2}" name="asking_vs_effective_active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Z5:BB16" firstHeaderRow="0"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5"/>
    </i>
    <i>
      <x v="1"/>
    </i>
    <i>
      <x v="2"/>
    </i>
    <i>
      <x v="8"/>
    </i>
    <i>
      <x v="22"/>
    </i>
    <i>
      <x v="10"/>
    </i>
    <i>
      <x v="6"/>
    </i>
    <i>
      <x v="21"/>
    </i>
    <i>
      <x v="7"/>
    </i>
    <i t="grand">
      <x/>
    </i>
  </rowItems>
  <colFields count="1">
    <field x="-2"/>
  </colFields>
  <colItems count="2">
    <i>
      <x/>
    </i>
    <i i="1">
      <x v="1"/>
    </i>
  </colItems>
  <pageFields count="1">
    <pageField fld="11" hier="-1"/>
  </pageFields>
  <dataFields count="2">
    <dataField name="Average of Asking Rent" fld="13" subtotal="average" baseField="0" baseItem="13"/>
    <dataField name="Average of Effective Rent" fld="15" subtotal="average" baseField="0" baseItem="14"/>
  </dataFields>
  <formats count="14">
    <format dxfId="1007">
      <pivotArea outline="0" collapsedLevelsAreSubtotals="1" fieldPosition="0"/>
    </format>
    <format dxfId="1006">
      <pivotArea outline="0" collapsedLevelsAreSubtotals="1" fieldPosition="0"/>
    </format>
    <format dxfId="1005">
      <pivotArea dataOnly="0" labelOnly="1" outline="0" axis="axisValues" fieldPosition="0"/>
    </format>
    <format dxfId="1004">
      <pivotArea outline="0" collapsedLevelsAreSubtotals="1" fieldPosition="0"/>
    </format>
    <format dxfId="1003">
      <pivotArea outline="0" collapsedLevelsAreSubtotals="1" fieldPosition="0"/>
    </format>
    <format dxfId="1002">
      <pivotArea outline="0" collapsedLevelsAreSubtotals="1" fieldPosition="0"/>
    </format>
    <format dxfId="1001">
      <pivotArea outline="0" collapsedLevelsAreSubtotals="1" fieldPosition="0"/>
    </format>
    <format dxfId="1000">
      <pivotArea dataOnly="0" labelOnly="1" outline="0" fieldPosition="0">
        <references count="1">
          <reference field="4294967294" count="1">
            <x v="1"/>
          </reference>
        </references>
      </pivotArea>
    </format>
    <format dxfId="999">
      <pivotArea type="all" dataOnly="0" outline="0" fieldPosition="0"/>
    </format>
    <format dxfId="998">
      <pivotArea outline="0" collapsedLevelsAreSubtotals="1" fieldPosition="0"/>
    </format>
    <format dxfId="997">
      <pivotArea field="0" type="button" dataOnly="0" labelOnly="1" outline="0" axis="axisRow" fieldPosition="0"/>
    </format>
    <format dxfId="996">
      <pivotArea dataOnly="0" labelOnly="1" fieldPosition="0">
        <references count="1">
          <reference field="0" count="0"/>
        </references>
      </pivotArea>
    </format>
    <format dxfId="995">
      <pivotArea dataOnly="0" labelOnly="1" grandRow="1" outline="0" fieldPosition="0"/>
    </format>
    <format dxfId="994">
      <pivotArea dataOnly="0" labelOnly="1" outline="0" fieldPosition="0">
        <references count="1">
          <reference field="4294967294" count="1">
            <x v="1"/>
          </reference>
        </references>
      </pivotArea>
    </format>
  </formats>
  <chartFormats count="1">
    <chartFormat chart="3"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A504D60-52C7-4B5D-94A0-EBDE77800BB9}" name="studio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3:K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10"/>
    </i>
    <i>
      <x v="24"/>
    </i>
    <i>
      <x v="5"/>
    </i>
    <i>
      <x v="6"/>
    </i>
    <i>
      <x v="3"/>
    </i>
    <i>
      <x v="4"/>
    </i>
    <i>
      <x v="2"/>
    </i>
    <i>
      <x v="11"/>
    </i>
    <i>
      <x v="8"/>
    </i>
    <i>
      <x v="23"/>
    </i>
    <i t="grand">
      <x/>
    </i>
  </rowItems>
  <colFields count="1">
    <field x="-2"/>
  </colFields>
  <colItems count="2">
    <i>
      <x/>
    </i>
    <i i="1">
      <x v="1"/>
    </i>
  </colItems>
  <dataFields count="2">
    <dataField name="Asking" fld="11" subtotal="average" baseField="0" baseItem="3" numFmtId="3"/>
    <dataField name="Effective" fld="25" subtotal="average" baseField="0" baseItem="10"/>
  </dataFields>
  <formats count="10">
    <format dxfId="1017">
      <pivotArea dataOnly="0" labelOnly="1" outline="0" axis="axisValues" fieldPosition="0"/>
    </format>
    <format dxfId="1016">
      <pivotArea dataOnly="0" labelOnly="1" outline="0" axis="axisValues" fieldPosition="0"/>
    </format>
    <format dxfId="1015">
      <pivotArea dataOnly="0" labelOnly="1" outline="0" fieldPosition="0">
        <references count="1">
          <reference field="4294967294" count="1">
            <x v="1"/>
          </reference>
        </references>
      </pivotArea>
    </format>
    <format dxfId="1014">
      <pivotArea outline="0" collapsedLevelsAreSubtotals="1" fieldPosition="0"/>
    </format>
    <format dxfId="1013">
      <pivotArea type="all" dataOnly="0" outline="0" fieldPosition="0"/>
    </format>
    <format dxfId="1012">
      <pivotArea outline="0" collapsedLevelsAreSubtotals="1" fieldPosition="0"/>
    </format>
    <format dxfId="1011">
      <pivotArea field="0" type="button" dataOnly="0" labelOnly="1" outline="0" axis="axisRow" fieldPosition="0"/>
    </format>
    <format dxfId="1010">
      <pivotArea dataOnly="0" labelOnly="1" fieldPosition="0">
        <references count="1">
          <reference field="0" count="0"/>
        </references>
      </pivotArea>
    </format>
    <format dxfId="1009">
      <pivotArea dataOnly="0" labelOnly="1" grandRow="1" outline="0" fieldPosition="0"/>
    </format>
    <format dxfId="1008">
      <pivotArea dataOnly="0" labelOnly="1" outline="0" fieldPosition="0">
        <references count="1">
          <reference field="4294967294" count="2">
            <x v="0"/>
            <x v="1"/>
          </reference>
        </references>
      </pivotArea>
    </format>
  </format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E2449E-35CF-446C-A838-06A85A41FB5F}" name="5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C3:AE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Asking" fld="21" subtotal="average" baseField="0" baseItem="6"/>
    <dataField name="Effective" fld="35" subtotal="average" baseField="0" baseItem="2"/>
  </dataFields>
  <formats count="10">
    <format dxfId="1027">
      <pivotArea dataOnly="0" labelOnly="1" outline="0" axis="axisValues" fieldPosition="0"/>
    </format>
    <format dxfId="1026">
      <pivotArea dataOnly="0" labelOnly="1" outline="0" axis="axisValues" fieldPosition="0"/>
    </format>
    <format dxfId="1025">
      <pivotArea outline="0" collapsedLevelsAreSubtotals="1" fieldPosition="0"/>
    </format>
    <format dxfId="1024">
      <pivotArea type="all" dataOnly="0" outline="0" fieldPosition="0"/>
    </format>
    <format dxfId="1023">
      <pivotArea outline="0" collapsedLevelsAreSubtotals="1" fieldPosition="0"/>
    </format>
    <format dxfId="1022">
      <pivotArea field="0" type="button" dataOnly="0" labelOnly="1" outline="0" axis="axisRow" fieldPosition="0"/>
    </format>
    <format dxfId="1021">
      <pivotArea dataOnly="0" labelOnly="1" fieldPosition="0">
        <references count="1">
          <reference field="0" count="6">
            <x v="13"/>
            <x v="15"/>
            <x v="16"/>
            <x v="17"/>
            <x v="21"/>
            <x v="22"/>
          </reference>
        </references>
      </pivotArea>
    </format>
    <format dxfId="1020">
      <pivotArea dataOnly="0" labelOnly="1" grandRow="1" outline="0" fieldPosition="0"/>
    </format>
    <format dxfId="1019">
      <pivotArea outline="0" collapsedLevelsAreSubtotals="1" fieldPosition="0"/>
    </format>
    <format dxfId="101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C80BF4E-37DA-48D9-A279-FE6BEE0C46C3}" name="active_listings_by_property"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P5:AQ16" firstHeaderRow="1"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dataField="1"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
    </i>
    <i>
      <x v="1"/>
    </i>
    <i>
      <x v="22"/>
    </i>
    <i>
      <x v="6"/>
    </i>
    <i>
      <x v="4"/>
    </i>
    <i>
      <x v="5"/>
    </i>
    <i>
      <x v="8"/>
    </i>
    <i>
      <x v="21"/>
    </i>
    <i>
      <x v="10"/>
    </i>
    <i>
      <x v="7"/>
    </i>
    <i t="grand">
      <x/>
    </i>
  </rowItems>
  <colItems count="1">
    <i/>
  </colItems>
  <pageFields count="1">
    <pageField fld="11" hier="-1"/>
  </pageFields>
  <dataFields count="1">
    <dataField name="Count of Asking Rent" fld="13" subtotal="count" baseField="0" baseItem="11"/>
  </dataFields>
  <formats count="9">
    <format dxfId="1036">
      <pivotArea outline="0" collapsedLevelsAreSubtotals="1" fieldPosition="0"/>
    </format>
    <format dxfId="1035">
      <pivotArea outline="0" collapsedLevelsAreSubtotals="1" fieldPosition="0"/>
    </format>
    <format dxfId="1034">
      <pivotArea dataOnly="0" labelOnly="1" outline="0" axis="axisValues" fieldPosition="0"/>
    </format>
    <format dxfId="1033">
      <pivotArea type="all" dataOnly="0" outline="0" fieldPosition="0"/>
    </format>
    <format dxfId="1032">
      <pivotArea outline="0" collapsedLevelsAreSubtotals="1" fieldPosition="0"/>
    </format>
    <format dxfId="1031">
      <pivotArea field="0" type="button" dataOnly="0" labelOnly="1" outline="0" axis="axisRow" fieldPosition="0"/>
    </format>
    <format dxfId="1030">
      <pivotArea dataOnly="0" labelOnly="1" fieldPosition="0">
        <references count="1">
          <reference field="0" count="0"/>
        </references>
      </pivotArea>
    </format>
    <format dxfId="1029">
      <pivotArea dataOnly="0" labelOnly="1" grandRow="1" outline="0" fieldPosition="0"/>
    </format>
    <format dxfId="1028">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4C310BD-E02A-48CF-BE1E-FA231D68EB33}" name="asking_and_effective_rent_psf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7" colHeaderCaption=" ">
  <location ref="CJ3:CL35" firstHeaderRow="0"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axis="axisRow"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subtotalTop="0" showAll="0" defaultSubtotal="0"/>
    <pivotField dataField="1" numFmtId="164" subtotalTop="0" showAll="0" defaultSubtotal="0"/>
    <pivotField subtotalTop="0" showAll="0" defaultSubtotal="0"/>
    <pivotField dataField="1"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2"/>
  </colFields>
  <colItems count="2">
    <i>
      <x/>
    </i>
    <i i="1">
      <x v="1"/>
    </i>
  </colItems>
  <dataFields count="2">
    <dataField name="Average of Asking PSF" fld="14" subtotal="average" baseField="21" baseItem="9"/>
    <dataField name="Effective Rent PSF " fld="16" subtotal="average" baseField="23" baseItem="1"/>
  </dataFields>
  <formats count="46">
    <format dxfId="1082">
      <pivotArea outline="0" collapsedLevelsAreSubtotals="1" fieldPosition="0"/>
    </format>
    <format dxfId="1081">
      <pivotArea dataOnly="0" labelOnly="1" outline="0" axis="axisValues" fieldPosition="0"/>
    </format>
    <format dxfId="1080">
      <pivotArea outline="0" collapsedLevelsAreSubtotals="1" fieldPosition="0"/>
    </format>
    <format dxfId="1079">
      <pivotArea field="25" type="button" dataOnly="0" labelOnly="1" outline="0" axis="axisRow" fieldPosition="0"/>
    </format>
    <format dxfId="1078">
      <pivotArea field="24" type="button" dataOnly="0" labelOnly="1" outline="0"/>
    </format>
    <format dxfId="1077">
      <pivotArea field="23" type="button" dataOnly="0" labelOnly="1" outline="0" axis="axisRow" fieldPosition="1"/>
    </format>
    <format dxfId="1076">
      <pivotArea field="10" type="button" dataOnly="0" labelOnly="1" outline="0" axis="axisRow" fieldPosition="2"/>
    </format>
    <format dxfId="1075">
      <pivotArea type="topRight" dataOnly="0" labelOnly="1" outline="0" fieldPosition="0"/>
    </format>
    <format dxfId="1074">
      <pivotArea dataOnly="0" labelOnly="1" fieldPosition="0">
        <references count="1">
          <reference field="25" count="2">
            <x v="2"/>
            <x v="3"/>
          </reference>
        </references>
      </pivotArea>
    </format>
    <format dxfId="1073">
      <pivotArea outline="0" collapsedLevelsAreSubtotals="1" fieldPosition="0"/>
    </format>
    <format dxfId="1072">
      <pivotArea dataOnly="0" labelOnly="1" outline="0" axis="axisValues" fieldPosition="0"/>
    </format>
    <format dxfId="1071">
      <pivotArea collapsedLevelsAreSubtotals="1" fieldPosition="0">
        <references count="2">
          <reference field="23" count="1">
            <x v="6"/>
          </reference>
          <reference field="25" count="1" selected="0">
            <x v="2"/>
          </reference>
        </references>
      </pivotArea>
    </format>
    <format dxfId="1070">
      <pivotArea collapsedLevelsAreSubtotals="1" fieldPosition="0">
        <references count="2">
          <reference field="23" count="1">
            <x v="7"/>
          </reference>
          <reference field="25" count="1" selected="0">
            <x v="2"/>
          </reference>
        </references>
      </pivotArea>
    </format>
    <format dxfId="1069">
      <pivotArea collapsedLevelsAreSubtotals="1" fieldPosition="0">
        <references count="2">
          <reference field="23" count="1">
            <x v="8"/>
          </reference>
          <reference field="25" count="1" selected="0">
            <x v="2"/>
          </reference>
        </references>
      </pivotArea>
    </format>
    <format dxfId="1068">
      <pivotArea collapsedLevelsAreSubtotals="1" fieldPosition="0">
        <references count="2">
          <reference field="23" count="1">
            <x v="9"/>
          </reference>
          <reference field="25" count="1" selected="0">
            <x v="2"/>
          </reference>
        </references>
      </pivotArea>
    </format>
    <format dxfId="1067">
      <pivotArea collapsedLevelsAreSubtotals="1" fieldPosition="0">
        <references count="2">
          <reference field="23" count="1">
            <x v="10"/>
          </reference>
          <reference field="25" count="1" selected="0">
            <x v="2"/>
          </reference>
        </references>
      </pivotArea>
    </format>
    <format dxfId="1066">
      <pivotArea collapsedLevelsAreSubtotals="1" fieldPosition="0">
        <references count="2">
          <reference field="23" count="1">
            <x v="11"/>
          </reference>
          <reference field="25" count="1" selected="0">
            <x v="2"/>
          </reference>
        </references>
      </pivotArea>
    </format>
    <format dxfId="1065">
      <pivotArea collapsedLevelsAreSubtotals="1" fieldPosition="0">
        <references count="2">
          <reference field="23" count="1">
            <x v="12"/>
          </reference>
          <reference field="25" count="1" selected="0">
            <x v="2"/>
          </reference>
        </references>
      </pivotArea>
    </format>
    <format dxfId="1064">
      <pivotArea collapsedLevelsAreSubtotals="1" fieldPosition="0">
        <references count="1">
          <reference field="25" count="1">
            <x v="3"/>
          </reference>
        </references>
      </pivotArea>
    </format>
    <format dxfId="1063">
      <pivotArea collapsedLevelsAreSubtotals="1" fieldPosition="0">
        <references count="2">
          <reference field="23" count="1">
            <x v="1"/>
          </reference>
          <reference field="25" count="1" selected="0">
            <x v="3"/>
          </reference>
        </references>
      </pivotArea>
    </format>
    <format dxfId="1062">
      <pivotArea collapsedLevelsAreSubtotals="1" fieldPosition="0">
        <references count="2">
          <reference field="23" count="1">
            <x v="2"/>
          </reference>
          <reference field="25" count="1" selected="0">
            <x v="3"/>
          </reference>
        </references>
      </pivotArea>
    </format>
    <format dxfId="1061">
      <pivotArea collapsedLevelsAreSubtotals="1" fieldPosition="0">
        <references count="2">
          <reference field="23" count="1">
            <x v="3"/>
          </reference>
          <reference field="25" count="1" selected="0">
            <x v="3"/>
          </reference>
        </references>
      </pivotArea>
    </format>
    <format dxfId="1060">
      <pivotArea collapsedLevelsAreSubtotals="1" fieldPosition="0">
        <references count="2">
          <reference field="23" count="1">
            <x v="4"/>
          </reference>
          <reference field="25" count="1" selected="0">
            <x v="3"/>
          </reference>
        </references>
      </pivotArea>
    </format>
    <format dxfId="1059">
      <pivotArea collapsedLevelsAreSubtotals="1" fieldPosition="0">
        <references count="2">
          <reference field="23" count="1">
            <x v="5"/>
          </reference>
          <reference field="25" count="1" selected="0">
            <x v="3"/>
          </reference>
        </references>
      </pivotArea>
    </format>
    <format dxfId="1058">
      <pivotArea outline="0" collapsedLevelsAreSubtotals="1" fieldPosition="0"/>
    </format>
    <format dxfId="1057">
      <pivotArea dataOnly="0" labelOnly="1" outline="0" fieldPosition="0">
        <references count="1">
          <reference field="4294967294" count="1">
            <x v="1"/>
          </reference>
        </references>
      </pivotArea>
    </format>
    <format dxfId="1056">
      <pivotArea collapsedLevelsAreSubtotals="1" fieldPosition="0">
        <references count="2">
          <reference field="23" count="1">
            <x v="6"/>
          </reference>
          <reference field="25" count="1" selected="0">
            <x v="3"/>
          </reference>
        </references>
      </pivotArea>
    </format>
    <format dxfId="1055">
      <pivotArea grandRow="1" outline="0" collapsedLevelsAreSubtotals="1" fieldPosition="0"/>
    </format>
    <format dxfId="1054">
      <pivotArea outline="0" collapsedLevelsAreSubtotals="1" fieldPosition="0"/>
    </format>
    <format dxfId="1053">
      <pivotArea dataOnly="0" labelOnly="1" outline="0" fieldPosition="0">
        <references count="1">
          <reference field="4294967294" count="1">
            <x v="1"/>
          </reference>
        </references>
      </pivotArea>
    </format>
    <format dxfId="1052">
      <pivotArea type="all" dataOnly="0" outline="0" fieldPosition="0"/>
    </format>
    <format dxfId="1051">
      <pivotArea outline="0" collapsedLevelsAreSubtotals="1" fieldPosition="0"/>
    </format>
    <format dxfId="1050">
      <pivotArea field="25" type="button" dataOnly="0" labelOnly="1" outline="0" axis="axisRow" fieldPosition="0"/>
    </format>
    <format dxfId="1049">
      <pivotArea dataOnly="0" labelOnly="1" fieldPosition="0">
        <references count="1">
          <reference field="25" count="2">
            <x v="2"/>
            <x v="3"/>
          </reference>
        </references>
      </pivotArea>
    </format>
    <format dxfId="1048">
      <pivotArea dataOnly="0" labelOnly="1" grandRow="1" outline="0" fieldPosition="0"/>
    </format>
    <format dxfId="1047">
      <pivotArea dataOnly="0" labelOnly="1" fieldPosition="0">
        <references count="2">
          <reference field="23" count="7">
            <x v="6"/>
            <x v="7"/>
            <x v="8"/>
            <x v="9"/>
            <x v="10"/>
            <x v="11"/>
            <x v="12"/>
          </reference>
          <reference field="25" count="1" selected="0">
            <x v="2"/>
          </reference>
        </references>
      </pivotArea>
    </format>
    <format dxfId="1046">
      <pivotArea dataOnly="0" labelOnly="1" fieldPosition="0">
        <references count="2">
          <reference field="23" count="6">
            <x v="1"/>
            <x v="2"/>
            <x v="3"/>
            <x v="4"/>
            <x v="5"/>
            <x v="6"/>
          </reference>
          <reference field="25" count="1" selected="0">
            <x v="3"/>
          </reference>
        </references>
      </pivotArea>
    </format>
    <format dxfId="1045">
      <pivotArea dataOnly="0" labelOnly="1" outline="0" fieldPosition="0">
        <references count="1">
          <reference field="4294967294" count="1">
            <x v="1"/>
          </reference>
        </references>
      </pivotArea>
    </format>
    <format dxfId="1044">
      <pivotArea type="all" dataOnly="0" outline="0" fieldPosition="0"/>
    </format>
    <format dxfId="1043">
      <pivotArea outline="0" collapsedLevelsAreSubtotals="1" fieldPosition="0"/>
    </format>
    <format dxfId="1042">
      <pivotArea field="25" type="button" dataOnly="0" labelOnly="1" outline="0" axis="axisRow" fieldPosition="0"/>
    </format>
    <format dxfId="1041">
      <pivotArea dataOnly="0" labelOnly="1" fieldPosition="0">
        <references count="1">
          <reference field="25" count="2">
            <x v="2"/>
            <x v="3"/>
          </reference>
        </references>
      </pivotArea>
    </format>
    <format dxfId="1040">
      <pivotArea dataOnly="0" labelOnly="1" grandRow="1" outline="0" fieldPosition="0"/>
    </format>
    <format dxfId="1039">
      <pivotArea dataOnly="0" labelOnly="1" fieldPosition="0">
        <references count="2">
          <reference field="23" count="7">
            <x v="6"/>
            <x v="7"/>
            <x v="8"/>
            <x v="9"/>
            <x v="10"/>
            <x v="11"/>
            <x v="12"/>
          </reference>
          <reference field="25" count="1" selected="0">
            <x v="2"/>
          </reference>
        </references>
      </pivotArea>
    </format>
    <format dxfId="1038">
      <pivotArea dataOnly="0" labelOnly="1" fieldPosition="0">
        <references count="2">
          <reference field="23" count="6">
            <x v="1"/>
            <x v="2"/>
            <x v="3"/>
            <x v="4"/>
            <x v="5"/>
            <x v="6"/>
          </reference>
          <reference field="25" count="1" selected="0">
            <x v="3"/>
          </reference>
        </references>
      </pivotArea>
    </format>
    <format dxfId="1037">
      <pivotArea dataOnly="0" labelOnly="1" outline="0" fieldPosition="0">
        <references count="1">
          <reference field="4294967294" count="2">
            <x v="0"/>
            <x v="1"/>
          </reference>
        </references>
      </pivotArea>
    </format>
  </formats>
  <chartFormats count="3">
    <chartFormat chart="14" format="3"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1"/>
          </reference>
        </references>
      </pivotArea>
    </chartFormat>
    <chartFormat chart="1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8C312BD-EEA9-4AFE-895F-09146E37DF6C}" name="30_day_avg_eff_vs_eff_psf"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E3:G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0"/>
  </rowFields>
  <rowItems count="11">
    <i>
      <x v="6"/>
    </i>
    <i>
      <x v="3"/>
    </i>
    <i>
      <x v="24"/>
    </i>
    <i>
      <x v="11"/>
    </i>
    <i>
      <x v="4"/>
    </i>
    <i>
      <x v="10"/>
    </i>
    <i>
      <x v="5"/>
    </i>
    <i>
      <x v="23"/>
    </i>
    <i>
      <x v="2"/>
    </i>
    <i>
      <x v="8"/>
    </i>
    <i t="grand">
      <x/>
    </i>
  </rowItems>
  <colFields count="1">
    <field x="-2"/>
  </colFields>
  <colItems count="2">
    <i>
      <x/>
    </i>
    <i i="1">
      <x v="1"/>
    </i>
  </colItems>
  <dataFields count="2">
    <dataField name="Effective Rent" fld="37" subtotal="average" baseField="0" baseItem="11" numFmtId="165"/>
    <dataField name="Effective PSF" fld="38" subtotal="average" baseField="0" baseItem="2"/>
  </dataFields>
  <formats count="14">
    <format dxfId="1096">
      <pivotArea dataOnly="0" labelOnly="1" outline="0" axis="axisValues" fieldPosition="0"/>
    </format>
    <format dxfId="1095">
      <pivotArea dataOnly="0" labelOnly="1" outline="0" axis="axisValues" fieldPosition="0"/>
    </format>
    <format dxfId="1094">
      <pivotArea dataOnly="0" labelOnly="1" outline="0" axis="axisValues" fieldPosition="0"/>
    </format>
    <format dxfId="1093">
      <pivotArea outline="0" collapsedLevelsAreSubtotals="1" fieldPosition="0"/>
    </format>
    <format dxfId="1092">
      <pivotArea dataOnly="0" labelOnly="1" outline="0" fieldPosition="0">
        <references count="1">
          <reference field="4294967294" count="1">
            <x v="1"/>
          </reference>
        </references>
      </pivotArea>
    </format>
    <format dxfId="1091">
      <pivotArea dataOnly="0" labelOnly="1" outline="0" fieldPosition="0">
        <references count="1">
          <reference field="4294967294" count="1">
            <x v="1"/>
          </reference>
        </references>
      </pivotArea>
    </format>
    <format dxfId="1090">
      <pivotArea dataOnly="0" labelOnly="1" outline="0" fieldPosition="0">
        <references count="1">
          <reference field="4294967294" count="1">
            <x v="0"/>
          </reference>
        </references>
      </pivotArea>
    </format>
    <format dxfId="1089">
      <pivotArea outline="0" collapsedLevelsAreSubtotals="1" fieldPosition="0">
        <references count="1">
          <reference field="4294967294" count="1" selected="0">
            <x v="0"/>
          </reference>
        </references>
      </pivotArea>
    </format>
    <format dxfId="1088">
      <pivotArea type="all" dataOnly="0" outline="0" fieldPosition="0"/>
    </format>
    <format dxfId="1087">
      <pivotArea outline="0" collapsedLevelsAreSubtotals="1" fieldPosition="0"/>
    </format>
    <format dxfId="1086">
      <pivotArea field="0" type="button" dataOnly="0" labelOnly="1" outline="0" axis="axisRow" fieldPosition="0"/>
    </format>
    <format dxfId="1085">
      <pivotArea dataOnly="0" labelOnly="1" fieldPosition="0">
        <references count="1">
          <reference field="0" count="0"/>
        </references>
      </pivotArea>
    </format>
    <format dxfId="1084">
      <pivotArea dataOnly="0" labelOnly="1" grandRow="1" outline="0" fieldPosition="0"/>
    </format>
    <format dxfId="1083">
      <pivotArea dataOnly="0" labelOnly="1" outline="0" fieldPosition="0">
        <references count="1">
          <reference field="4294967294" count="2">
            <x v="0"/>
            <x v="1"/>
          </reference>
        </references>
      </pivotArea>
    </format>
  </formats>
  <chartFormats count="2">
    <chartFormat chart="6"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5387AD7-06BE-4448-9FFD-52E2C5469E4E}" name="30_day_avg_asking_vs_asking_psf"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3:C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6"/>
    </i>
    <i>
      <x v="3"/>
    </i>
    <i>
      <x v="24"/>
    </i>
    <i>
      <x v="11"/>
    </i>
    <i>
      <x v="4"/>
    </i>
    <i>
      <x v="10"/>
    </i>
    <i>
      <x v="5"/>
    </i>
    <i>
      <x v="23"/>
    </i>
    <i>
      <x v="2"/>
    </i>
    <i>
      <x v="8"/>
    </i>
    <i t="grand">
      <x/>
    </i>
  </rowItems>
  <colFields count="1">
    <field x="-2"/>
  </colFields>
  <colItems count="2">
    <i>
      <x/>
    </i>
    <i i="1">
      <x v="1"/>
    </i>
  </colItems>
  <dataFields count="2">
    <dataField name="Asking Rent" fld="23" subtotal="average" baseField="0" baseItem="2"/>
    <dataField name="Asking PSF" fld="24" subtotal="average" baseField="0" baseItem="7" numFmtId="164"/>
  </dataFields>
  <formats count="14">
    <format dxfId="1110">
      <pivotArea outline="0" collapsedLevelsAreSubtotals="1" fieldPosition="0"/>
    </format>
    <format dxfId="1109">
      <pivotArea dataOnly="0" labelOnly="1" outline="0" axis="axisValues" fieldPosition="0"/>
    </format>
    <format dxfId="1108">
      <pivotArea dataOnly="0" labelOnly="1" outline="0" axis="axisValues" fieldPosition="0"/>
    </format>
    <format dxfId="1107">
      <pivotArea outline="0" collapsedLevelsAreSubtotals="1" fieldPosition="0"/>
    </format>
    <format dxfId="1106">
      <pivotArea outline="0" collapsedLevelsAreSubtotals="1" fieldPosition="0"/>
    </format>
    <format dxfId="1105">
      <pivotArea dataOnly="0" labelOnly="1" outline="0" fieldPosition="0">
        <references count="1">
          <reference field="4294967294" count="1">
            <x v="0"/>
          </reference>
        </references>
      </pivotArea>
    </format>
    <format dxfId="1104">
      <pivotArea dataOnly="0" labelOnly="1" outline="0" fieldPosition="0">
        <references count="1">
          <reference field="4294967294" count="1">
            <x v="1"/>
          </reference>
        </references>
      </pivotArea>
    </format>
    <format dxfId="1103">
      <pivotArea outline="0" collapsedLevelsAreSubtotals="1" fieldPosition="0">
        <references count="1">
          <reference field="4294967294" count="1" selected="0">
            <x v="1"/>
          </reference>
        </references>
      </pivotArea>
    </format>
    <format dxfId="1102">
      <pivotArea type="all" dataOnly="0" outline="0" fieldPosition="0"/>
    </format>
    <format dxfId="1101">
      <pivotArea outline="0" collapsedLevelsAreSubtotals="1" fieldPosition="0"/>
    </format>
    <format dxfId="1100">
      <pivotArea field="0" type="button" dataOnly="0" labelOnly="1" outline="0" axis="axisRow" fieldPosition="0"/>
    </format>
    <format dxfId="1099">
      <pivotArea dataOnly="0" labelOnly="1" fieldPosition="0">
        <references count="1">
          <reference field="0" count="0"/>
        </references>
      </pivotArea>
    </format>
    <format dxfId="1098">
      <pivotArea dataOnly="0" labelOnly="1" grandRow="1" outline="0" fieldPosition="0"/>
    </format>
    <format dxfId="1097">
      <pivotArea dataOnly="0" labelOnly="1" outline="0" fieldPosition="0">
        <references count="1">
          <reference field="4294967294" count="2">
            <x v="0"/>
            <x v="1"/>
          </reference>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9E45A74-5A71-41B3-8FE6-028271D79FB2}" name="property_unit_and_floorplan_level_data"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rowHeaderCaption="Floorplan Data (closed listings)">
  <location ref="B89:K452" firstHeaderRow="0" firstDataRow="1" firstDataCol="1"/>
  <pivotFields count="30">
    <pivotField axis="axisRow" showAll="0">
      <items count="24">
        <item m="1" x="22"/>
        <item x="2"/>
        <item x="5"/>
        <item m="1" x="20"/>
        <item x="3"/>
        <item x="0"/>
        <item x="9"/>
        <item x="4"/>
        <item x="7"/>
        <item m="1" x="21"/>
        <item x="1"/>
        <item m="1" x="10"/>
        <item m="1" x="11"/>
        <item m="1" x="12"/>
        <item m="1" x="13"/>
        <item m="1" x="14"/>
        <item m="1" x="15"/>
        <item m="1" x="16"/>
        <item m="1" x="17"/>
        <item m="1" x="18"/>
        <item m="1" x="19"/>
        <item x="6"/>
        <item x="8"/>
        <item t="default"/>
      </items>
    </pivotField>
    <pivotField showAll="0"/>
    <pivotField axis="axisRow" showAll="0">
      <items count="505">
        <item m="1" x="494"/>
        <item m="1" x="502"/>
        <item m="1" x="493"/>
        <item m="1" x="297"/>
        <item m="1" x="498"/>
        <item m="1" x="298"/>
        <item m="1" x="501"/>
        <item m="1" x="301"/>
        <item m="1" x="490"/>
        <item m="1" x="295"/>
        <item m="1" x="491"/>
        <item m="1" x="293"/>
        <item m="1" x="303"/>
        <item m="1" x="488"/>
        <item m="1" x="496"/>
        <item m="1" x="300"/>
        <item m="1" x="499"/>
        <item m="1" x="500"/>
        <item m="1" x="299"/>
        <item m="1" x="497"/>
        <item m="1" x="503"/>
        <item x="0"/>
        <item x="288"/>
        <item x="289"/>
        <item m="1" x="408"/>
        <item m="1" x="302"/>
        <item m="1" x="457"/>
        <item m="1" x="404"/>
        <item m="1" x="343"/>
        <item m="1" x="489"/>
        <item m="1" x="492"/>
        <item m="1" x="495"/>
        <item m="1" x="294"/>
        <item m="1" x="327"/>
        <item m="1" x="296"/>
        <item m="1" x="456"/>
        <item m="1" x="452"/>
        <item m="1" x="405"/>
        <item m="1" x="439"/>
        <item m="1" x="337"/>
        <item m="1" x="467"/>
        <item m="1" x="398"/>
        <item m="1" x="338"/>
        <item m="1" x="429"/>
        <item m="1" x="341"/>
        <item m="1" x="430"/>
        <item m="1" x="418"/>
        <item m="1" x="390"/>
        <item m="1" x="468"/>
        <item m="1" x="402"/>
        <item x="7"/>
        <item x="9"/>
        <item m="1" x="314"/>
        <item x="11"/>
        <item m="1" x="315"/>
        <item x="13"/>
        <item m="1" x="316"/>
        <item x="15"/>
        <item m="1" x="317"/>
        <item x="17"/>
        <item x="101"/>
        <item x="105"/>
        <item x="103"/>
        <item x="107"/>
        <item x="108"/>
        <item x="109"/>
        <item x="111"/>
        <item x="113"/>
        <item x="115"/>
        <item x="116"/>
        <item x="117"/>
        <item x="118"/>
        <item x="119"/>
        <item x="120"/>
        <item x="122"/>
        <item x="123"/>
        <item x="124"/>
        <item x="127"/>
        <item x="128"/>
        <item m="1" x="309"/>
        <item x="290"/>
        <item m="1" x="466"/>
        <item m="1" x="416"/>
        <item m="1" x="377"/>
        <item m="1" x="459"/>
        <item m="1" x="419"/>
        <item m="1" x="329"/>
        <item m="1" x="382"/>
        <item m="1" x="415"/>
        <item m="1" x="407"/>
        <item m="1" x="384"/>
        <item m="1" x="334"/>
        <item m="1" x="420"/>
        <item m="1" x="350"/>
        <item m="1" x="332"/>
        <item x="22"/>
        <item m="1" x="318"/>
        <item m="1" x="319"/>
        <item m="1" x="320"/>
        <item m="1" x="321"/>
        <item m="1" x="322"/>
        <item x="130"/>
        <item x="132"/>
        <item x="133"/>
        <item x="134"/>
        <item x="135"/>
        <item x="137"/>
        <item x="138"/>
        <item x="139"/>
        <item x="140"/>
        <item x="291"/>
        <item m="1" x="414"/>
        <item m="1" x="378"/>
        <item m="1" x="433"/>
        <item m="1" x="410"/>
        <item m="1" x="470"/>
        <item m="1" x="454"/>
        <item m="1" x="376"/>
        <item m="1" x="339"/>
        <item m="1" x="349"/>
        <item m="1" x="385"/>
        <item m="1" x="391"/>
        <item m="1" x="422"/>
        <item m="1" x="351"/>
        <item m="1" x="387"/>
        <item m="1" x="461"/>
        <item m="1" x="431"/>
        <item m="1" x="333"/>
        <item m="1" x="346"/>
        <item m="1" x="462"/>
        <item m="1" x="432"/>
        <item m="1" x="340"/>
        <item m="1" x="392"/>
        <item m="1" x="347"/>
        <item m="1" x="395"/>
        <item m="1" x="323"/>
        <item m="1" x="324"/>
        <item m="1" x="325"/>
        <item x="141"/>
        <item x="143"/>
        <item x="144"/>
        <item m="1" x="476"/>
        <item m="1" x="353"/>
        <item m="1" x="342"/>
        <item m="1" x="464"/>
        <item m="1" x="463"/>
        <item m="1" x="358"/>
        <item m="1" x="401"/>
        <item m="1" x="473"/>
        <item m="1" x="443"/>
        <item m="1" x="356"/>
        <item m="1" x="366"/>
        <item m="1" x="485"/>
        <item m="1" x="369"/>
        <item m="1" x="444"/>
        <item m="1" x="359"/>
        <item m="1" x="373"/>
        <item m="1" x="381"/>
        <item m="1" x="355"/>
        <item m="1" x="370"/>
        <item m="1" x="450"/>
        <item m="1" x="357"/>
        <item m="1" x="344"/>
        <item m="1" x="365"/>
        <item m="1" x="371"/>
        <item m="1" x="482"/>
        <item m="1" x="446"/>
        <item m="1" x="442"/>
        <item m="1" x="435"/>
        <item m="1" x="479"/>
        <item m="1" x="449"/>
        <item m="1" x="487"/>
        <item m="1" x="478"/>
        <item m="1" x="425"/>
        <item m="1" x="393"/>
        <item m="1" x="389"/>
        <item m="1" x="331"/>
        <item m="1" x="438"/>
        <item m="1" x="417"/>
        <item m="1" x="330"/>
        <item m="1" x="447"/>
        <item m="1" x="445"/>
        <item m="1" x="304"/>
        <item x="34"/>
        <item m="1" x="305"/>
        <item m="1" x="307"/>
        <item x="30"/>
        <item x="33"/>
        <item m="1" x="306"/>
        <item m="1" x="364"/>
        <item m="1" x="388"/>
        <item x="38"/>
        <item m="1" x="394"/>
        <item x="39"/>
        <item m="1" x="396"/>
        <item x="32"/>
        <item m="1" x="397"/>
        <item m="1" x="399"/>
        <item m="1" x="400"/>
        <item m="1" x="403"/>
        <item m="1" x="406"/>
        <item m="1" x="409"/>
        <item m="1" x="411"/>
        <item m="1" x="412"/>
        <item m="1" x="413"/>
        <item m="1" x="363"/>
        <item m="1" x="368"/>
        <item m="1" x="367"/>
        <item m="1" x="421"/>
        <item m="1" x="424"/>
        <item m="1" x="423"/>
        <item m="1" x="426"/>
        <item m="1" x="427"/>
        <item m="1" x="428"/>
        <item m="1" x="434"/>
        <item m="1" x="436"/>
        <item m="1" x="437"/>
        <item m="1" x="440"/>
        <item m="1" x="441"/>
        <item x="61"/>
        <item x="62"/>
        <item x="63"/>
        <item x="65"/>
        <item m="1" x="372"/>
        <item x="67"/>
        <item x="60"/>
        <item m="1" x="374"/>
        <item m="1" x="375"/>
        <item m="1" x="379"/>
        <item m="1" x="380"/>
        <item m="1" x="383"/>
        <item m="1" x="386"/>
        <item x="164"/>
        <item x="159"/>
        <item x="162"/>
        <item x="165"/>
        <item x="166"/>
        <item x="155"/>
        <item x="152"/>
        <item x="156"/>
        <item x="163"/>
        <item x="42"/>
        <item x="43"/>
        <item x="46"/>
        <item x="49"/>
        <item m="1" x="308"/>
        <item x="44"/>
        <item x="45"/>
        <item x="48"/>
        <item m="1" x="469"/>
        <item x="47"/>
        <item m="1" x="471"/>
        <item m="1" x="474"/>
        <item m="1" x="472"/>
        <item m="1" x="481"/>
        <item m="1" x="451"/>
        <item m="1" x="453"/>
        <item m="1" x="455"/>
        <item x="70"/>
        <item m="1" x="458"/>
        <item m="1" x="460"/>
        <item m="1" x="465"/>
        <item x="51"/>
        <item m="1" x="311"/>
        <item m="1" x="312"/>
        <item m="1" x="313"/>
        <item x="71"/>
        <item x="72"/>
        <item x="29"/>
        <item x="28"/>
        <item x="26"/>
        <item x="27"/>
        <item x="285"/>
        <item x="223"/>
        <item x="224"/>
        <item x="225"/>
        <item x="88"/>
        <item x="90"/>
        <item x="95"/>
        <item x="96"/>
        <item x="98"/>
        <item x="171"/>
        <item x="177"/>
        <item m="1" x="483"/>
        <item m="1" x="484"/>
        <item x="52"/>
        <item x="53"/>
        <item x="54"/>
        <item x="55"/>
        <item x="56"/>
        <item x="57"/>
        <item x="58"/>
        <item x="59"/>
        <item x="6"/>
        <item x="226"/>
        <item x="227"/>
        <item x="228"/>
        <item x="229"/>
        <item x="230"/>
        <item x="231"/>
        <item x="232"/>
        <item x="233"/>
        <item x="234"/>
        <item x="235"/>
        <item x="236"/>
        <item x="237"/>
        <item x="238"/>
        <item x="239"/>
        <item x="240"/>
        <item x="243"/>
        <item x="245"/>
        <item x="174"/>
        <item x="170"/>
        <item x="176"/>
        <item x="175"/>
        <item x="172"/>
        <item x="178"/>
        <item x="173"/>
        <item x="64"/>
        <item x="66"/>
        <item x="68"/>
        <item x="69"/>
        <item x="75"/>
        <item x="73"/>
        <item x="74"/>
        <item x="76"/>
        <item m="1" x="448"/>
        <item m="1" x="475"/>
        <item m="1" x="477"/>
        <item m="1" x="480"/>
        <item m="1" x="486"/>
        <item m="1" x="310"/>
        <item m="1" x="328"/>
        <item m="1" x="326"/>
        <item m="1" x="336"/>
        <item m="1" x="335"/>
        <item m="1" x="362"/>
        <item m="1" x="345"/>
        <item m="1" x="348"/>
        <item m="1" x="352"/>
        <item m="1" x="354"/>
        <item m="1" x="361"/>
        <item m="1" x="360"/>
        <item x="25"/>
        <item x="24"/>
        <item x="286"/>
        <item x="218"/>
        <item x="219"/>
        <item x="220"/>
        <item x="221"/>
        <item x="222"/>
        <item x="287"/>
        <item x="78"/>
        <item x="77"/>
        <item x="79"/>
        <item x="81"/>
        <item x="82"/>
        <item x="83"/>
        <item x="84"/>
        <item x="86"/>
        <item x="87"/>
        <item x="92"/>
        <item x="93"/>
        <item x="100"/>
        <item x="169"/>
        <item x="168"/>
        <item x="167"/>
        <item x="254"/>
        <item x="158"/>
        <item x="149"/>
        <item x="145"/>
        <item x="146"/>
        <item x="150"/>
        <item x="157"/>
        <item x="148"/>
        <item x="161"/>
        <item x="154"/>
        <item x="151"/>
        <item x="153"/>
        <item x="160"/>
        <item x="147"/>
        <item x="248"/>
        <item x="249"/>
        <item x="250"/>
        <item x="251"/>
        <item x="252"/>
        <item x="253"/>
        <item x="246"/>
        <item x="247"/>
        <item x="182"/>
        <item x="179"/>
        <item x="180"/>
        <item x="181"/>
        <item x="10"/>
        <item x="1"/>
        <item x="2"/>
        <item x="3"/>
        <item x="4"/>
        <item x="5"/>
        <item x="8"/>
        <item x="12"/>
        <item x="14"/>
        <item x="16"/>
        <item x="18"/>
        <item x="19"/>
        <item x="20"/>
        <item x="21"/>
        <item x="23"/>
        <item x="31"/>
        <item x="35"/>
        <item x="36"/>
        <item x="37"/>
        <item x="40"/>
        <item x="41"/>
        <item x="50"/>
        <item x="80"/>
        <item x="85"/>
        <item x="89"/>
        <item x="91"/>
        <item x="94"/>
        <item x="97"/>
        <item x="99"/>
        <item x="102"/>
        <item x="104"/>
        <item x="106"/>
        <item x="110"/>
        <item x="112"/>
        <item x="114"/>
        <item x="121"/>
        <item x="125"/>
        <item x="126"/>
        <item x="129"/>
        <item x="131"/>
        <item x="136"/>
        <item x="14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41"/>
        <item x="242"/>
        <item x="24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92"/>
        <item t="default"/>
      </items>
    </pivotField>
    <pivotField dataField="1" showAll="0"/>
    <pivotField dataField="1" showAll="0"/>
    <pivotField axis="axisRow" showAll="0">
      <items count="7">
        <item n="Studio" x="0"/>
        <item n="1BR" x="1"/>
        <item n="2BR" x="2"/>
        <item n="3BR" x="4"/>
        <item x="3"/>
        <item m="1" x="5"/>
        <item t="default"/>
      </items>
    </pivotField>
    <pivotField showAll="0"/>
    <pivotField showAll="0"/>
    <pivotField dataField="1"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dataField="1" showAll="0"/>
    <pivotField dataField="1" showAll="0"/>
    <pivotField dataField="1" numFmtId="164" showAll="0"/>
    <pivotField dataField="1" showAll="0"/>
    <pivotField dataField="1"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3">
    <field x="0"/>
    <field x="5"/>
    <field x="2"/>
  </rowFields>
  <rowItems count="363">
    <i>
      <x v="1"/>
    </i>
    <i r="1">
      <x/>
    </i>
    <i r="2">
      <x v="285"/>
    </i>
    <i r="2">
      <x v="286"/>
    </i>
    <i r="2">
      <x v="287"/>
    </i>
    <i r="2">
      <x v="288"/>
    </i>
    <i r="2">
      <x v="289"/>
    </i>
    <i r="2">
      <x v="290"/>
    </i>
    <i r="2">
      <x v="291"/>
    </i>
    <i r="2">
      <x v="292"/>
    </i>
    <i r="1">
      <x v="1"/>
    </i>
    <i r="2">
      <x v="219"/>
    </i>
    <i r="2">
      <x v="220"/>
    </i>
    <i r="2">
      <x v="221"/>
    </i>
    <i r="2">
      <x v="222"/>
    </i>
    <i r="2">
      <x v="224"/>
    </i>
    <i r="2">
      <x v="225"/>
    </i>
    <i r="2">
      <x v="258"/>
    </i>
    <i r="2">
      <x v="318"/>
    </i>
    <i r="2">
      <x v="319"/>
    </i>
    <i r="2">
      <x v="320"/>
    </i>
    <i r="2">
      <x v="321"/>
    </i>
    <i r="1">
      <x v="2"/>
    </i>
    <i r="2">
      <x v="266"/>
    </i>
    <i r="2">
      <x v="267"/>
    </i>
    <i r="2">
      <x v="322"/>
    </i>
    <i r="2">
      <x v="323"/>
    </i>
    <i r="2">
      <x v="324"/>
    </i>
    <i r="1">
      <x v="3"/>
    </i>
    <i r="2">
      <x v="325"/>
    </i>
    <i r="1">
      <x v="4"/>
    </i>
    <i r="2">
      <x v="292"/>
    </i>
    <i>
      <x v="2"/>
    </i>
    <i r="1">
      <x/>
    </i>
    <i r="2">
      <x v="364"/>
    </i>
    <i r="2">
      <x v="365"/>
    </i>
    <i r="2">
      <x v="366"/>
    </i>
    <i r="1">
      <x v="1"/>
    </i>
    <i r="2">
      <x v="281"/>
    </i>
    <i r="2">
      <x v="282"/>
    </i>
    <i r="2">
      <x v="311"/>
    </i>
    <i r="2">
      <x v="312"/>
    </i>
    <i r="2">
      <x v="313"/>
    </i>
    <i r="2">
      <x v="314"/>
    </i>
    <i r="2">
      <x v="315"/>
    </i>
    <i r="2">
      <x v="316"/>
    </i>
    <i r="2">
      <x v="317"/>
    </i>
    <i r="1">
      <x v="2"/>
    </i>
    <i r="2">
      <x v="389"/>
    </i>
    <i r="2">
      <x v="390"/>
    </i>
    <i r="2">
      <x v="391"/>
    </i>
    <i r="2">
      <x v="392"/>
    </i>
    <i>
      <x v="4"/>
    </i>
    <i r="1">
      <x/>
    </i>
    <i r="2">
      <x v="276"/>
    </i>
    <i r="2">
      <x v="277"/>
    </i>
    <i r="2">
      <x v="278"/>
    </i>
    <i r="2">
      <x v="279"/>
    </i>
    <i r="2">
      <x v="280"/>
    </i>
    <i r="2">
      <x v="352"/>
    </i>
    <i r="2">
      <x v="353"/>
    </i>
    <i r="2">
      <x v="354"/>
    </i>
    <i r="2">
      <x v="355"/>
    </i>
    <i r="2">
      <x v="356"/>
    </i>
    <i r="2">
      <x v="357"/>
    </i>
    <i r="2">
      <x v="358"/>
    </i>
    <i r="2">
      <x v="359"/>
    </i>
    <i r="2">
      <x v="360"/>
    </i>
    <i r="2">
      <x v="361"/>
    </i>
    <i r="2">
      <x v="362"/>
    </i>
    <i r="2">
      <x v="363"/>
    </i>
    <i r="2">
      <x v="415"/>
    </i>
    <i r="2">
      <x v="416"/>
    </i>
    <i r="2">
      <x v="417"/>
    </i>
    <i r="2">
      <x v="418"/>
    </i>
    <i r="2">
      <x v="419"/>
    </i>
    <i r="2">
      <x v="420"/>
    </i>
    <i r="2">
      <x v="421"/>
    </i>
    <i r="1">
      <x v="1"/>
    </i>
    <i r="2">
      <x v="60"/>
    </i>
    <i r="2">
      <x v="61"/>
    </i>
    <i r="2">
      <x v="62"/>
    </i>
    <i r="2">
      <x v="63"/>
    </i>
    <i r="2">
      <x v="64"/>
    </i>
    <i r="2">
      <x v="65"/>
    </i>
    <i r="2">
      <x v="66"/>
    </i>
    <i r="2">
      <x v="67"/>
    </i>
    <i r="2">
      <x v="68"/>
    </i>
    <i r="2">
      <x v="69"/>
    </i>
    <i r="2">
      <x v="70"/>
    </i>
    <i r="2">
      <x v="71"/>
    </i>
    <i r="2">
      <x v="72"/>
    </i>
    <i r="2">
      <x v="73"/>
    </i>
    <i r="2">
      <x v="74"/>
    </i>
    <i r="2">
      <x v="75"/>
    </i>
    <i r="2">
      <x v="76"/>
    </i>
    <i r="2">
      <x v="77"/>
    </i>
    <i r="2">
      <x v="78"/>
    </i>
    <i r="2">
      <x v="422"/>
    </i>
    <i r="2">
      <x v="423"/>
    </i>
    <i r="2">
      <x v="424"/>
    </i>
    <i r="2">
      <x v="425"/>
    </i>
    <i r="2">
      <x v="426"/>
    </i>
    <i r="2">
      <x v="427"/>
    </i>
    <i r="2">
      <x v="428"/>
    </i>
    <i r="2">
      <x v="429"/>
    </i>
    <i r="2">
      <x v="430"/>
    </i>
    <i r="2">
      <x v="431"/>
    </i>
    <i r="1">
      <x v="2"/>
    </i>
    <i r="2">
      <x v="101"/>
    </i>
    <i r="2">
      <x v="102"/>
    </i>
    <i r="2">
      <x v="103"/>
    </i>
    <i r="2">
      <x v="104"/>
    </i>
    <i r="2">
      <x v="105"/>
    </i>
    <i r="2">
      <x v="106"/>
    </i>
    <i r="2">
      <x v="107"/>
    </i>
    <i r="2">
      <x v="108"/>
    </i>
    <i r="2">
      <x v="109"/>
    </i>
    <i r="2">
      <x v="432"/>
    </i>
    <i r="2">
      <x v="433"/>
    </i>
    <i r="1">
      <x v="3"/>
    </i>
    <i r="2">
      <x v="138"/>
    </i>
    <i r="2">
      <x v="139"/>
    </i>
    <i r="2">
      <x v="140"/>
    </i>
    <i r="2">
      <x v="434"/>
    </i>
    <i>
      <x v="5"/>
    </i>
    <i r="1">
      <x/>
    </i>
    <i r="2">
      <x v="21"/>
    </i>
    <i r="2">
      <x v="394"/>
    </i>
    <i r="2">
      <x v="395"/>
    </i>
    <i r="2">
      <x v="396"/>
    </i>
    <i r="1">
      <x v="1"/>
    </i>
    <i r="2">
      <x v="50"/>
    </i>
    <i r="2">
      <x v="51"/>
    </i>
    <i r="2">
      <x v="53"/>
    </i>
    <i r="2">
      <x v="55"/>
    </i>
    <i r="2">
      <x v="57"/>
    </i>
    <i r="2">
      <x v="59"/>
    </i>
    <i r="2">
      <x v="293"/>
    </i>
    <i r="2">
      <x v="393"/>
    </i>
    <i r="2">
      <x v="397"/>
    </i>
    <i r="2">
      <x v="398"/>
    </i>
    <i r="2">
      <x v="399"/>
    </i>
    <i r="2">
      <x v="400"/>
    </i>
    <i r="2">
      <x v="401"/>
    </i>
    <i r="2">
      <x v="402"/>
    </i>
    <i r="2">
      <x v="403"/>
    </i>
    <i r="2">
      <x v="404"/>
    </i>
    <i r="2">
      <x v="405"/>
    </i>
    <i r="1">
      <x v="2"/>
    </i>
    <i r="2">
      <x v="95"/>
    </i>
    <i r="2">
      <x v="406"/>
    </i>
    <i r="2">
      <x v="407"/>
    </i>
    <i>
      <x v="6"/>
    </i>
    <i r="1">
      <x/>
    </i>
    <i r="2">
      <x v="272"/>
    </i>
    <i r="2">
      <x v="345"/>
    </i>
    <i r="2">
      <x v="351"/>
    </i>
    <i r="1">
      <x v="1"/>
    </i>
    <i r="2">
      <x v="22"/>
    </i>
    <i r="2">
      <x v="23"/>
    </i>
    <i r="1">
      <x v="2"/>
    </i>
    <i r="2">
      <x v="80"/>
    </i>
    <i r="1">
      <x v="3"/>
    </i>
    <i r="2">
      <x v="110"/>
    </i>
    <i r="2">
      <x v="503"/>
    </i>
    <i>
      <x v="7"/>
    </i>
    <i r="1">
      <x/>
    </i>
    <i r="2">
      <x v="370"/>
    </i>
    <i r="2">
      <x v="371"/>
    </i>
    <i r="2">
      <x v="374"/>
    </i>
    <i r="2">
      <x v="380"/>
    </i>
    <i r="1">
      <x v="1"/>
    </i>
    <i r="2">
      <x v="237"/>
    </i>
    <i r="2">
      <x v="238"/>
    </i>
    <i r="2">
      <x v="239"/>
    </i>
    <i r="2">
      <x v="369"/>
    </i>
    <i r="2">
      <x v="372"/>
    </i>
    <i r="2">
      <x v="376"/>
    </i>
    <i r="2">
      <x v="377"/>
    </i>
    <i r="2">
      <x v="378"/>
    </i>
    <i r="1">
      <x v="2"/>
    </i>
    <i r="2">
      <x v="233"/>
    </i>
    <i r="2">
      <x v="234"/>
    </i>
    <i r="2">
      <x v="368"/>
    </i>
    <i r="2">
      <x v="373"/>
    </i>
    <i r="2">
      <x v="375"/>
    </i>
    <i r="2">
      <x v="379"/>
    </i>
    <i r="1">
      <x v="3"/>
    </i>
    <i r="2">
      <x v="232"/>
    </i>
    <i r="2">
      <x v="235"/>
    </i>
    <i r="2">
      <x v="236"/>
    </i>
    <i r="2">
      <x v="240"/>
    </i>
    <i>
      <x v="8"/>
    </i>
    <i r="1">
      <x/>
    </i>
    <i r="2">
      <x v="273"/>
    </i>
    <i r="2">
      <x v="274"/>
    </i>
    <i r="2">
      <x v="275"/>
    </i>
    <i r="2">
      <x v="294"/>
    </i>
    <i r="2">
      <x v="295"/>
    </i>
    <i r="2">
      <x v="296"/>
    </i>
    <i r="2">
      <x v="297"/>
    </i>
    <i r="2">
      <x v="346"/>
    </i>
    <i r="2">
      <x v="347"/>
    </i>
    <i r="2">
      <x v="348"/>
    </i>
    <i r="2">
      <x v="349"/>
    </i>
    <i r="2">
      <x v="350"/>
    </i>
    <i r="1">
      <x v="1"/>
    </i>
    <i r="2">
      <x v="298"/>
    </i>
    <i r="2">
      <x v="299"/>
    </i>
    <i r="2">
      <x v="300"/>
    </i>
    <i r="2">
      <x v="301"/>
    </i>
    <i r="2">
      <x v="302"/>
    </i>
    <i r="2">
      <x v="303"/>
    </i>
    <i r="2">
      <x v="304"/>
    </i>
    <i r="2">
      <x v="305"/>
    </i>
    <i r="2">
      <x v="306"/>
    </i>
    <i r="2">
      <x v="307"/>
    </i>
    <i r="2">
      <x v="308"/>
    </i>
    <i r="2">
      <x v="309"/>
    </i>
    <i r="2">
      <x v="310"/>
    </i>
    <i r="2">
      <x v="470"/>
    </i>
    <i r="2">
      <x v="471"/>
    </i>
    <i r="2">
      <x v="472"/>
    </i>
    <i r="1">
      <x v="2"/>
    </i>
    <i r="2">
      <x v="381"/>
    </i>
    <i r="2">
      <x v="382"/>
    </i>
    <i r="2">
      <x v="383"/>
    </i>
    <i r="2">
      <x v="384"/>
    </i>
    <i r="2">
      <x v="385"/>
    </i>
    <i r="2">
      <x v="386"/>
    </i>
    <i r="2">
      <x v="387"/>
    </i>
    <i r="2">
      <x v="388"/>
    </i>
    <i r="1">
      <x v="3"/>
    </i>
    <i r="2">
      <x v="367"/>
    </i>
    <i>
      <x v="10"/>
    </i>
    <i r="1">
      <x/>
    </i>
    <i r="2">
      <x v="268"/>
    </i>
    <i r="2">
      <x v="269"/>
    </i>
    <i r="2">
      <x v="270"/>
    </i>
    <i r="2">
      <x v="271"/>
    </i>
    <i r="2">
      <x v="343"/>
    </i>
    <i r="2">
      <x v="344"/>
    </i>
    <i r="2">
      <x v="393"/>
    </i>
    <i r="1">
      <x v="1"/>
    </i>
    <i r="2">
      <x v="183"/>
    </i>
    <i r="2">
      <x v="186"/>
    </i>
    <i r="2">
      <x v="187"/>
    </i>
    <i r="2">
      <x v="191"/>
    </i>
    <i r="2">
      <x v="193"/>
    </i>
    <i r="2">
      <x v="195"/>
    </i>
    <i r="2">
      <x v="393"/>
    </i>
    <i r="2">
      <x v="408"/>
    </i>
    <i r="2">
      <x v="409"/>
    </i>
    <i r="2">
      <x v="410"/>
    </i>
    <i r="2">
      <x v="411"/>
    </i>
    <i r="2">
      <x v="412"/>
    </i>
    <i r="2">
      <x v="413"/>
    </i>
    <i r="1">
      <x v="2"/>
    </i>
    <i r="2">
      <x v="241"/>
    </i>
    <i r="2">
      <x v="242"/>
    </i>
    <i r="2">
      <x v="243"/>
    </i>
    <i r="2">
      <x v="244"/>
    </i>
    <i r="2">
      <x v="246"/>
    </i>
    <i r="2">
      <x v="247"/>
    </i>
    <i r="2">
      <x v="248"/>
    </i>
    <i r="2">
      <x v="250"/>
    </i>
    <i r="2">
      <x v="393"/>
    </i>
    <i r="2">
      <x v="414"/>
    </i>
    <i r="1">
      <x v="3"/>
    </i>
    <i r="2">
      <x v="262"/>
    </i>
    <i r="1">
      <x v="4"/>
    </i>
    <i r="2">
      <x v="269"/>
    </i>
    <i>
      <x v="21"/>
    </i>
    <i r="1">
      <x/>
    </i>
    <i r="2">
      <x v="435"/>
    </i>
    <i r="2">
      <x v="436"/>
    </i>
    <i r="2">
      <x v="437"/>
    </i>
    <i r="2">
      <x v="438"/>
    </i>
    <i r="2">
      <x v="439"/>
    </i>
    <i r="2">
      <x v="440"/>
    </i>
    <i r="1">
      <x v="1"/>
    </i>
    <i r="2">
      <x v="441"/>
    </i>
    <i r="2">
      <x v="442"/>
    </i>
    <i r="2">
      <x v="443"/>
    </i>
    <i r="2">
      <x v="444"/>
    </i>
    <i r="2">
      <x v="445"/>
    </i>
    <i r="2">
      <x v="446"/>
    </i>
    <i r="2">
      <x v="447"/>
    </i>
    <i r="2">
      <x v="448"/>
    </i>
    <i r="2">
      <x v="449"/>
    </i>
    <i r="2">
      <x v="450"/>
    </i>
    <i r="2">
      <x v="451"/>
    </i>
    <i r="2">
      <x v="452"/>
    </i>
    <i r="2">
      <x v="453"/>
    </i>
    <i r="2">
      <x v="454"/>
    </i>
    <i r="2">
      <x v="455"/>
    </i>
    <i r="2">
      <x v="456"/>
    </i>
    <i r="2">
      <x v="457"/>
    </i>
    <i r="2">
      <x v="458"/>
    </i>
    <i r="2">
      <x v="459"/>
    </i>
    <i r="1">
      <x v="2"/>
    </i>
    <i r="2">
      <x v="460"/>
    </i>
    <i r="2">
      <x v="461"/>
    </i>
    <i r="2">
      <x v="462"/>
    </i>
    <i r="2">
      <x v="463"/>
    </i>
    <i r="2">
      <x v="464"/>
    </i>
    <i r="2">
      <x v="465"/>
    </i>
    <i r="2">
      <x v="466"/>
    </i>
    <i r="2">
      <x v="467"/>
    </i>
    <i r="2">
      <x v="468"/>
    </i>
    <i r="2">
      <x v="469"/>
    </i>
    <i>
      <x v="22"/>
    </i>
    <i r="1">
      <x/>
    </i>
    <i r="2">
      <x v="473"/>
    </i>
    <i r="2">
      <x v="474"/>
    </i>
    <i r="2">
      <x v="475"/>
    </i>
    <i r="2">
      <x v="476"/>
    </i>
    <i r="2">
      <x v="477"/>
    </i>
    <i r="2">
      <x v="478"/>
    </i>
    <i r="2">
      <x v="479"/>
    </i>
    <i r="2">
      <x v="480"/>
    </i>
    <i r="1">
      <x v="1"/>
    </i>
    <i r="2">
      <x v="60"/>
    </i>
    <i r="2">
      <x v="61"/>
    </i>
    <i r="2">
      <x v="62"/>
    </i>
    <i r="2">
      <x v="63"/>
    </i>
    <i r="2">
      <x v="64"/>
    </i>
    <i r="2">
      <x v="65"/>
    </i>
    <i r="2">
      <x v="66"/>
    </i>
    <i r="2">
      <x v="67"/>
    </i>
    <i r="2">
      <x v="68"/>
    </i>
    <i r="2">
      <x v="69"/>
    </i>
    <i r="2">
      <x v="70"/>
    </i>
    <i r="2">
      <x v="481"/>
    </i>
    <i r="2">
      <x v="482"/>
    </i>
    <i r="2">
      <x v="483"/>
    </i>
    <i r="2">
      <x v="484"/>
    </i>
    <i r="2">
      <x v="485"/>
    </i>
    <i r="2">
      <x v="486"/>
    </i>
    <i r="2">
      <x v="487"/>
    </i>
    <i r="2">
      <x v="488"/>
    </i>
    <i r="2">
      <x v="489"/>
    </i>
    <i r="2">
      <x v="490"/>
    </i>
    <i r="2">
      <x v="491"/>
    </i>
    <i r="2">
      <x v="492"/>
    </i>
    <i r="2">
      <x v="493"/>
    </i>
    <i r="1">
      <x v="2"/>
    </i>
    <i r="2">
      <x v="101"/>
    </i>
    <i r="2">
      <x v="103"/>
    </i>
    <i r="2">
      <x v="104"/>
    </i>
    <i r="2">
      <x v="106"/>
    </i>
    <i r="2">
      <x v="494"/>
    </i>
    <i r="2">
      <x v="495"/>
    </i>
    <i r="2">
      <x v="496"/>
    </i>
    <i r="2">
      <x v="497"/>
    </i>
    <i r="2">
      <x v="498"/>
    </i>
    <i r="2">
      <x v="499"/>
    </i>
    <i r="2">
      <x v="500"/>
    </i>
    <i r="2">
      <x v="501"/>
    </i>
    <i r="1">
      <x v="3"/>
    </i>
    <i r="2">
      <x v="502"/>
    </i>
    <i t="grand">
      <x/>
    </i>
  </rowItems>
  <colFields count="1">
    <field x="-2"/>
  </colFields>
  <colItems count="9">
    <i>
      <x/>
    </i>
    <i i="1">
      <x v="1"/>
    </i>
    <i i="2">
      <x v="2"/>
    </i>
    <i i="3">
      <x v="3"/>
    </i>
    <i i="4">
      <x v="4"/>
    </i>
    <i i="5">
      <x v="5"/>
    </i>
    <i i="6">
      <x v="6"/>
    </i>
    <i i="7">
      <x v="7"/>
    </i>
    <i i="8">
      <x v="8"/>
    </i>
  </colItems>
  <dataFields count="9">
    <dataField name="Avg Floor #" fld="4" subtotal="average" baseField="0" baseItem="11" numFmtId="3"/>
    <dataField name="Avg Sqft" fld="8" subtotal="average" baseField="2" baseItem="13" numFmtId="3"/>
    <dataField name="Avg Rent" fld="13" subtotal="average" baseField="2" baseItem="9" numFmtId="165"/>
    <dataField name=" Avg Effective Rent" fld="15" subtotal="average" baseField="0" baseItem="11" numFmtId="165"/>
    <dataField name="Avg Rent PSF" fld="14" subtotal="average" baseField="2" baseItem="9" numFmtId="164"/>
    <dataField name="Avg Effective Rent PSF" fld="16" subtotal="average" baseField="0" baseItem="11" numFmtId="164"/>
    <dataField name="Concession %" fld="21" subtotal="average" baseField="2" baseItem="34" numFmtId="166"/>
    <dataField name="Avg Days on Mkt" fld="12" subtotal="average" baseField="2" baseItem="3" numFmtId="3"/>
    <dataField name="# Leases" fld="3" subtotal="count" baseField="0" baseItem="0" numFmtId="3"/>
  </dataFields>
  <formats count="150">
    <format dxfId="672">
      <pivotArea outline="0" collapsedLevelsAreSubtotals="1" fieldPosition="0"/>
    </format>
    <format dxfId="671">
      <pivotArea outline="0" collapsedLevelsAreSubtotals="1" fieldPosition="0"/>
    </format>
    <format dxfId="670">
      <pivotArea dataOnly="0" labelOnly="1" outline="0" axis="axisValues" fieldPosition="0"/>
    </format>
    <format dxfId="669">
      <pivotArea outline="0" collapsedLevelsAreSubtotals="1" fieldPosition="0"/>
    </format>
    <format dxfId="668">
      <pivotArea outline="0" collapsedLevelsAreSubtotals="1" fieldPosition="0"/>
    </format>
    <format dxfId="667">
      <pivotArea outline="0" collapsedLevelsAreSubtotals="1" fieldPosition="0"/>
    </format>
    <format dxfId="666">
      <pivotArea outline="0" collapsedLevelsAreSubtotals="1" fieldPosition="0">
        <references count="1">
          <reference field="4294967294" count="1" selected="0">
            <x v="1"/>
          </reference>
        </references>
      </pivotArea>
    </format>
    <format dxfId="665">
      <pivotArea dataOnly="0" labelOnly="1" outline="0" fieldPosition="0">
        <references count="1">
          <reference field="4294967294" count="1">
            <x v="1"/>
          </reference>
        </references>
      </pivotArea>
    </format>
    <format dxfId="664">
      <pivotArea field="0" type="button" dataOnly="0" labelOnly="1" outline="0" axis="axisRow" fieldPosition="0"/>
    </format>
    <format dxfId="663">
      <pivotArea dataOnly="0" labelOnly="1" outline="0" fieldPosition="0">
        <references count="1">
          <reference field="4294967294" count="1">
            <x v="1"/>
          </reference>
        </references>
      </pivotArea>
    </format>
    <format dxfId="662">
      <pivotArea field="0" type="button" dataOnly="0" labelOnly="1" outline="0" axis="axisRow" fieldPosition="0"/>
    </format>
    <format dxfId="661">
      <pivotArea dataOnly="0" labelOnly="1" outline="0" fieldPosition="0">
        <references count="1">
          <reference field="4294967294" count="1">
            <x v="1"/>
          </reference>
        </references>
      </pivotArea>
    </format>
    <format dxfId="660">
      <pivotArea field="0" type="button" dataOnly="0" labelOnly="1" outline="0" axis="axisRow" fieldPosition="0"/>
    </format>
    <format dxfId="659">
      <pivotArea dataOnly="0" labelOnly="1" outline="0" fieldPosition="0">
        <references count="1">
          <reference field="4294967294" count="1">
            <x v="1"/>
          </reference>
        </references>
      </pivotArea>
    </format>
    <format dxfId="658">
      <pivotArea type="all" dataOnly="0" outline="0" fieldPosition="0"/>
    </format>
    <format dxfId="657">
      <pivotArea outline="0" collapsedLevelsAreSubtotals="1" fieldPosition="0"/>
    </format>
    <format dxfId="656">
      <pivotArea dataOnly="0" labelOnly="1" fieldPosition="0">
        <references count="1">
          <reference field="0" count="0"/>
        </references>
      </pivotArea>
    </format>
    <format dxfId="655">
      <pivotArea dataOnly="0" labelOnly="1" grandRow="1" outline="0" fieldPosition="0"/>
    </format>
    <format dxfId="654">
      <pivotArea dataOnly="0" labelOnly="1" fieldPosition="0">
        <references count="2">
          <reference field="0" count="1" selected="0">
            <x v="0"/>
          </reference>
          <reference field="5" count="3">
            <x v="0"/>
            <x v="1"/>
            <x v="2"/>
          </reference>
        </references>
      </pivotArea>
    </format>
    <format dxfId="653">
      <pivotArea dataOnly="0" labelOnly="1" fieldPosition="0">
        <references count="2">
          <reference field="0" count="1" selected="0">
            <x v="1"/>
          </reference>
          <reference field="5" count="0"/>
        </references>
      </pivotArea>
    </format>
    <format dxfId="652">
      <pivotArea dataOnly="0" labelOnly="1" fieldPosition="0">
        <references count="2">
          <reference field="0" count="1" selected="0">
            <x v="2"/>
          </reference>
          <reference field="5" count="3">
            <x v="0"/>
            <x v="1"/>
            <x v="2"/>
          </reference>
        </references>
      </pivotArea>
    </format>
    <format dxfId="651">
      <pivotArea dataOnly="0" labelOnly="1" fieldPosition="0">
        <references count="2">
          <reference field="0" count="1" selected="0">
            <x v="3"/>
          </reference>
          <reference field="5" count="0"/>
        </references>
      </pivotArea>
    </format>
    <format dxfId="650">
      <pivotArea dataOnly="0" labelOnly="1" fieldPosition="0">
        <references count="2">
          <reference field="0" count="1" selected="0">
            <x v="4"/>
          </reference>
          <reference field="5" count="3">
            <x v="0"/>
            <x v="1"/>
            <x v="2"/>
          </reference>
        </references>
      </pivotArea>
    </format>
    <format dxfId="649">
      <pivotArea dataOnly="0" labelOnly="1" fieldPosition="0">
        <references count="2">
          <reference field="0" count="1" selected="0">
            <x v="5"/>
          </reference>
          <reference field="5" count="3">
            <x v="0"/>
            <x v="1"/>
            <x v="2"/>
          </reference>
        </references>
      </pivotArea>
    </format>
    <format dxfId="648">
      <pivotArea dataOnly="0" labelOnly="1" fieldPosition="0">
        <references count="2">
          <reference field="0" count="1" selected="0">
            <x v="6"/>
          </reference>
          <reference field="5" count="0"/>
        </references>
      </pivotArea>
    </format>
    <format dxfId="647">
      <pivotArea dataOnly="0" labelOnly="1" fieldPosition="0">
        <references count="2">
          <reference field="0" count="1" selected="0">
            <x v="7"/>
          </reference>
          <reference field="5" count="0"/>
        </references>
      </pivotArea>
    </format>
    <format dxfId="646">
      <pivotArea dataOnly="0" labelOnly="1" fieldPosition="0">
        <references count="2">
          <reference field="0" count="1" selected="0">
            <x v="8"/>
          </reference>
          <reference field="5" count="3">
            <x v="0"/>
            <x v="1"/>
            <x v="2"/>
          </reference>
        </references>
      </pivotArea>
    </format>
    <format dxfId="645">
      <pivotArea dataOnly="0" labelOnly="1" fieldPosition="0">
        <references count="2">
          <reference field="0" count="1" selected="0">
            <x v="9"/>
          </reference>
          <reference field="5" count="0"/>
        </references>
      </pivotArea>
    </format>
    <format dxfId="644">
      <pivotArea dataOnly="0" labelOnly="1" fieldPosition="0">
        <references count="2">
          <reference field="0" count="1" selected="0">
            <x v="10"/>
          </reference>
          <reference field="5" count="0"/>
        </references>
      </pivotArea>
    </format>
    <format dxfId="643">
      <pivotArea dataOnly="0" labelOnly="1" fieldPosition="0">
        <references count="3">
          <reference field="0" count="1" selected="0">
            <x v="0"/>
          </reference>
          <reference field="2" count="4">
            <x v="8"/>
            <x v="10"/>
            <x v="13"/>
            <x v="29"/>
          </reference>
          <reference field="5" count="1" selected="0">
            <x v="0"/>
          </reference>
        </references>
      </pivotArea>
    </format>
    <format dxfId="642">
      <pivotArea dataOnly="0" labelOnly="1" fieldPosition="0">
        <references count="3">
          <reference field="0" count="1" selected="0">
            <x v="0"/>
          </reference>
          <reference field="2" count="2">
            <x v="2"/>
            <x v="31"/>
          </reference>
          <reference field="5" count="1" selected="0">
            <x v="1"/>
          </reference>
        </references>
      </pivotArea>
    </format>
    <format dxfId="641">
      <pivotArea dataOnly="0" labelOnly="1" fieldPosition="0">
        <references count="3">
          <reference field="0" count="1" selected="0">
            <x v="0"/>
          </reference>
          <reference field="2" count="5">
            <x v="1"/>
            <x v="4"/>
            <x v="6"/>
            <x v="16"/>
            <x v="17"/>
          </reference>
          <reference field="5" count="1" selected="0">
            <x v="2"/>
          </reference>
        </references>
      </pivotArea>
    </format>
    <format dxfId="640">
      <pivotArea dataOnly="0" labelOnly="1" fieldPosition="0">
        <references count="3">
          <reference field="0" count="1" selected="0">
            <x v="1"/>
          </reference>
          <reference field="2" count="6">
            <x v="285"/>
            <x v="286"/>
            <x v="287"/>
            <x v="288"/>
            <x v="290"/>
            <x v="292"/>
          </reference>
          <reference field="5" count="1" selected="0">
            <x v="0"/>
          </reference>
        </references>
      </pivotArea>
    </format>
    <format dxfId="639">
      <pivotArea dataOnly="0" labelOnly="1" fieldPosition="0">
        <references count="3">
          <reference field="0" count="1" selected="0">
            <x v="1"/>
          </reference>
          <reference field="2" count="3">
            <x v="222"/>
            <x v="224"/>
            <x v="319"/>
          </reference>
          <reference field="5" count="1" selected="0">
            <x v="1"/>
          </reference>
        </references>
      </pivotArea>
    </format>
    <format dxfId="638">
      <pivotArea dataOnly="0" labelOnly="1" fieldPosition="0">
        <references count="3">
          <reference field="0" count="1" selected="0">
            <x v="1"/>
          </reference>
          <reference field="2" count="2">
            <x v="266"/>
            <x v="267"/>
          </reference>
          <reference field="5" count="1" selected="0">
            <x v="2"/>
          </reference>
        </references>
      </pivotArea>
    </format>
    <format dxfId="637">
      <pivotArea dataOnly="0" labelOnly="1" fieldPosition="0">
        <references count="3">
          <reference field="0" count="1" selected="0">
            <x v="1"/>
          </reference>
          <reference field="2" count="1">
            <x v="325"/>
          </reference>
          <reference field="5" count="1" selected="0">
            <x v="3"/>
          </reference>
        </references>
      </pivotArea>
    </format>
    <format dxfId="636">
      <pivotArea dataOnly="0" labelOnly="1" fieldPosition="0">
        <references count="3">
          <reference field="0" count="1" selected="0">
            <x v="2"/>
          </reference>
          <reference field="2" count="2">
            <x v="364"/>
            <x v="366"/>
          </reference>
          <reference field="5" count="1" selected="0">
            <x v="0"/>
          </reference>
        </references>
      </pivotArea>
    </format>
    <format dxfId="635">
      <pivotArea dataOnly="0" labelOnly="1" fieldPosition="0">
        <references count="3">
          <reference field="0" count="1" selected="0">
            <x v="2"/>
          </reference>
          <reference field="2" count="7">
            <x v="281"/>
            <x v="311"/>
            <x v="312"/>
            <x v="313"/>
            <x v="314"/>
            <x v="315"/>
            <x v="317"/>
          </reference>
          <reference field="5" count="1" selected="0">
            <x v="1"/>
          </reference>
        </references>
      </pivotArea>
    </format>
    <format dxfId="634">
      <pivotArea dataOnly="0" labelOnly="1" fieldPosition="0">
        <references count="3">
          <reference field="0" count="1" selected="0">
            <x v="2"/>
          </reference>
          <reference field="2" count="2">
            <x v="389"/>
            <x v="391"/>
          </reference>
          <reference field="5" count="1" selected="0">
            <x v="2"/>
          </reference>
        </references>
      </pivotArea>
    </format>
    <format dxfId="633">
      <pivotArea dataOnly="0" labelOnly="1" fieldPosition="0">
        <references count="3">
          <reference field="0" count="1" selected="0">
            <x v="3"/>
          </reference>
          <reference field="2" count="3">
            <x v="263"/>
            <x v="264"/>
            <x v="265"/>
          </reference>
          <reference field="5" count="1" selected="0">
            <x v="0"/>
          </reference>
        </references>
      </pivotArea>
    </format>
    <format dxfId="632">
      <pivotArea dataOnly="0" labelOnly="1" fieldPosition="0">
        <references count="3">
          <reference field="0" count="1" selected="0">
            <x v="3"/>
          </reference>
          <reference field="2" count="5">
            <x v="51"/>
            <x v="53"/>
            <x v="55"/>
            <x v="57"/>
            <x v="58"/>
          </reference>
          <reference field="5" count="1" selected="0">
            <x v="1"/>
          </reference>
        </references>
      </pivotArea>
    </format>
    <format dxfId="631">
      <pivotArea dataOnly="0" labelOnly="1" fieldPosition="0">
        <references count="3">
          <reference field="0" count="1" selected="0">
            <x v="3"/>
          </reference>
          <reference field="2" count="2">
            <x v="99"/>
            <x v="100"/>
          </reference>
          <reference field="5" count="1" selected="0">
            <x v="2"/>
          </reference>
        </references>
      </pivotArea>
    </format>
    <format dxfId="630">
      <pivotArea dataOnly="0" labelOnly="1" fieldPosition="0">
        <references count="3">
          <reference field="0" count="1" selected="0">
            <x v="3"/>
          </reference>
          <reference field="2" count="2">
            <x v="135"/>
            <x v="137"/>
          </reference>
          <reference field="5" count="1" selected="0">
            <x v="3"/>
          </reference>
        </references>
      </pivotArea>
    </format>
    <format dxfId="629">
      <pivotArea dataOnly="0" labelOnly="1" fieldPosition="0">
        <references count="3">
          <reference field="0" count="1" selected="0">
            <x v="4"/>
          </reference>
          <reference field="2" count="9">
            <x v="276"/>
            <x v="277"/>
            <x v="278"/>
            <x v="279"/>
            <x v="280"/>
            <x v="352"/>
            <x v="360"/>
            <x v="362"/>
            <x v="363"/>
          </reference>
          <reference field="5" count="1" selected="0">
            <x v="0"/>
          </reference>
        </references>
      </pivotArea>
    </format>
    <format dxfId="628">
      <pivotArea dataOnly="0" labelOnly="1" fieldPosition="0">
        <references count="3">
          <reference field="0" count="1" selected="0">
            <x v="4"/>
          </reference>
          <reference field="2" count="9">
            <x v="61"/>
            <x v="62"/>
            <x v="63"/>
            <x v="65"/>
            <x v="66"/>
            <x v="68"/>
            <x v="69"/>
            <x v="70"/>
            <x v="74"/>
          </reference>
          <reference field="5" count="1" selected="0">
            <x v="1"/>
          </reference>
        </references>
      </pivotArea>
    </format>
    <format dxfId="627">
      <pivotArea dataOnly="0" labelOnly="1" fieldPosition="0">
        <references count="3">
          <reference field="0" count="1" selected="0">
            <x v="4"/>
          </reference>
          <reference field="2" count="9">
            <x v="101"/>
            <x v="102"/>
            <x v="103"/>
            <x v="104"/>
            <x v="105"/>
            <x v="106"/>
            <x v="107"/>
            <x v="108"/>
            <x v="109"/>
          </reference>
          <reference field="5" count="1" selected="0">
            <x v="2"/>
          </reference>
        </references>
      </pivotArea>
    </format>
    <format dxfId="626">
      <pivotArea dataOnly="0" labelOnly="1" fieldPosition="0">
        <references count="3">
          <reference field="0" count="1" selected="0">
            <x v="5"/>
          </reference>
          <reference field="2" count="1">
            <x v="21"/>
          </reference>
          <reference field="5" count="1" selected="0">
            <x v="0"/>
          </reference>
        </references>
      </pivotArea>
    </format>
    <format dxfId="625">
      <pivotArea dataOnly="0" labelOnly="1" fieldPosition="0">
        <references count="3">
          <reference field="0" count="1" selected="0">
            <x v="5"/>
          </reference>
          <reference field="2" count="5">
            <x v="51"/>
            <x v="55"/>
            <x v="57"/>
            <x v="59"/>
            <x v="293"/>
          </reference>
          <reference field="5" count="1" selected="0">
            <x v="1"/>
          </reference>
        </references>
      </pivotArea>
    </format>
    <format dxfId="624">
      <pivotArea dataOnly="0" labelOnly="1" fieldPosition="0">
        <references count="3">
          <reference field="0" count="1" selected="0">
            <x v="5"/>
          </reference>
          <reference field="2" count="1">
            <x v="95"/>
          </reference>
          <reference field="5" count="1" selected="0">
            <x v="2"/>
          </reference>
        </references>
      </pivotArea>
    </format>
    <format dxfId="623">
      <pivotArea dataOnly="0" labelOnly="1" fieldPosition="0">
        <references count="3">
          <reference field="0" count="1" selected="0">
            <x v="6"/>
          </reference>
          <reference field="2" count="3">
            <x v="272"/>
            <x v="345"/>
            <x v="351"/>
          </reference>
          <reference field="5" count="1" selected="0">
            <x v="0"/>
          </reference>
        </references>
      </pivotArea>
    </format>
    <format dxfId="622">
      <pivotArea dataOnly="0" labelOnly="1" fieldPosition="0">
        <references count="3">
          <reference field="0" count="1" selected="0">
            <x v="6"/>
          </reference>
          <reference field="2" count="1">
            <x v="22"/>
          </reference>
          <reference field="5" count="1" selected="0">
            <x v="1"/>
          </reference>
        </references>
      </pivotArea>
    </format>
    <format dxfId="621">
      <pivotArea dataOnly="0" labelOnly="1" fieldPosition="0">
        <references count="3">
          <reference field="0" count="1" selected="0">
            <x v="6"/>
          </reference>
          <reference field="2" count="1">
            <x v="80"/>
          </reference>
          <reference field="5" count="1" selected="0">
            <x v="2"/>
          </reference>
        </references>
      </pivotArea>
    </format>
    <format dxfId="620">
      <pivotArea dataOnly="0" labelOnly="1" fieldPosition="0">
        <references count="3">
          <reference field="0" count="1" selected="0">
            <x v="6"/>
          </reference>
          <reference field="2" count="1">
            <x v="110"/>
          </reference>
          <reference field="5" count="1" selected="0">
            <x v="3"/>
          </reference>
        </references>
      </pivotArea>
    </format>
    <format dxfId="619">
      <pivotArea dataOnly="0" labelOnly="1" fieldPosition="0">
        <references count="3">
          <reference field="0" count="1" selected="0">
            <x v="7"/>
          </reference>
          <reference field="2" count="2">
            <x v="371"/>
            <x v="380"/>
          </reference>
          <reference field="5" count="1" selected="0">
            <x v="0"/>
          </reference>
        </references>
      </pivotArea>
    </format>
    <format dxfId="618">
      <pivotArea dataOnly="0" labelOnly="1" fieldPosition="0">
        <references count="3">
          <reference field="0" count="1" selected="0">
            <x v="7"/>
          </reference>
          <reference field="2" count="6">
            <x v="237"/>
            <x v="238"/>
            <x v="239"/>
            <x v="372"/>
            <x v="376"/>
            <x v="377"/>
          </reference>
          <reference field="5" count="1" selected="0">
            <x v="1"/>
          </reference>
        </references>
      </pivotArea>
    </format>
    <format dxfId="617">
      <pivotArea dataOnly="0" labelOnly="1" fieldPosition="0">
        <references count="3">
          <reference field="0" count="1" selected="0">
            <x v="7"/>
          </reference>
          <reference field="2" count="4">
            <x v="234"/>
            <x v="373"/>
            <x v="375"/>
            <x v="379"/>
          </reference>
          <reference field="5" count="1" selected="0">
            <x v="2"/>
          </reference>
        </references>
      </pivotArea>
    </format>
    <format dxfId="616">
      <pivotArea dataOnly="0" labelOnly="1" fieldPosition="0">
        <references count="3">
          <reference field="0" count="1" selected="0">
            <x v="7"/>
          </reference>
          <reference field="2" count="1">
            <x v="232"/>
          </reference>
          <reference field="5" count="1" selected="0">
            <x v="3"/>
          </reference>
        </references>
      </pivotArea>
    </format>
    <format dxfId="615">
      <pivotArea dataOnly="0" labelOnly="1" fieldPosition="0">
        <references count="3">
          <reference field="0" count="1" selected="0">
            <x v="8"/>
          </reference>
          <reference field="2" count="7">
            <x v="273"/>
            <x v="274"/>
            <x v="275"/>
            <x v="294"/>
            <x v="295"/>
            <x v="297"/>
            <x v="349"/>
          </reference>
          <reference field="5" count="1" selected="0">
            <x v="0"/>
          </reference>
        </references>
      </pivotArea>
    </format>
    <format dxfId="614">
      <pivotArea dataOnly="0" labelOnly="1" fieldPosition="0">
        <references count="3">
          <reference field="0" count="1" selected="0">
            <x v="8"/>
          </reference>
          <reference field="2" count="7">
            <x v="300"/>
            <x v="301"/>
            <x v="302"/>
            <x v="303"/>
            <x v="305"/>
            <x v="306"/>
            <x v="307"/>
          </reference>
          <reference field="5" count="1" selected="0">
            <x v="1"/>
          </reference>
        </references>
      </pivotArea>
    </format>
    <format dxfId="613">
      <pivotArea dataOnly="0" labelOnly="1" fieldPosition="0">
        <references count="3">
          <reference field="0" count="1" selected="0">
            <x v="8"/>
          </reference>
          <reference field="2" count="6">
            <x v="382"/>
            <x v="383"/>
            <x v="384"/>
            <x v="385"/>
            <x v="386"/>
            <x v="388"/>
          </reference>
          <reference field="5" count="1" selected="0">
            <x v="2"/>
          </reference>
        </references>
      </pivotArea>
    </format>
    <format dxfId="612">
      <pivotArea dataOnly="0" labelOnly="1" fieldPosition="0">
        <references count="3">
          <reference field="0" count="1" selected="0">
            <x v="9"/>
          </reference>
          <reference field="2" count="5">
            <x v="332"/>
            <x v="337"/>
            <x v="338"/>
            <x v="340"/>
            <x v="341"/>
          </reference>
          <reference field="5" count="1" selected="0">
            <x v="0"/>
          </reference>
        </references>
      </pivotArea>
    </format>
    <format dxfId="611">
      <pivotArea dataOnly="0" labelOnly="1" fieldPosition="0">
        <references count="3">
          <reference field="0" count="1" selected="0">
            <x v="9"/>
          </reference>
          <reference field="2" count="14">
            <x v="180"/>
            <x v="189"/>
            <x v="190"/>
            <x v="192"/>
            <x v="199"/>
            <x v="200"/>
            <x v="202"/>
            <x v="205"/>
            <x v="206"/>
            <x v="208"/>
            <x v="211"/>
            <x v="223"/>
            <x v="230"/>
            <x v="326"/>
          </reference>
          <reference field="5" count="1" selected="0">
            <x v="1"/>
          </reference>
        </references>
      </pivotArea>
    </format>
    <format dxfId="610">
      <pivotArea dataOnly="0" labelOnly="1" fieldPosition="0">
        <references count="3">
          <reference field="0" count="1" selected="0">
            <x v="9"/>
          </reference>
          <reference field="2" count="8">
            <x v="249"/>
            <x v="251"/>
            <x v="253"/>
            <x v="255"/>
            <x v="256"/>
            <x v="257"/>
            <x v="259"/>
            <x v="327"/>
          </reference>
          <reference field="5" count="1" selected="0">
            <x v="2"/>
          </reference>
        </references>
      </pivotArea>
    </format>
    <format dxfId="609">
      <pivotArea dataOnly="0" labelOnly="1" fieldPosition="0">
        <references count="3">
          <reference field="0" count="1" selected="0">
            <x v="9"/>
          </reference>
          <reference field="2" count="3">
            <x v="283"/>
            <x v="284"/>
            <x v="330"/>
          </reference>
          <reference field="5" count="1" selected="0">
            <x v="3"/>
          </reference>
        </references>
      </pivotArea>
    </format>
    <format dxfId="608">
      <pivotArea dataOnly="0" labelOnly="1" fieldPosition="0">
        <references count="3">
          <reference field="0" count="1" selected="0">
            <x v="10"/>
          </reference>
          <reference field="2" count="2">
            <x v="343"/>
            <x v="344"/>
          </reference>
          <reference field="5" count="1" selected="0">
            <x v="0"/>
          </reference>
        </references>
      </pivotArea>
    </format>
    <format dxfId="607">
      <pivotArea dataOnly="0" labelOnly="1" fieldPosition="0">
        <references count="3">
          <reference field="0" count="1" selected="0">
            <x v="10"/>
          </reference>
          <reference field="2" count="8">
            <x v="182"/>
            <x v="183"/>
            <x v="184"/>
            <x v="185"/>
            <x v="186"/>
            <x v="188"/>
            <x v="191"/>
            <x v="193"/>
          </reference>
          <reference field="5" count="1" selected="0">
            <x v="1"/>
          </reference>
        </references>
      </pivotArea>
    </format>
    <format dxfId="606">
      <pivotArea dataOnly="0" labelOnly="1" fieldPosition="0">
        <references count="3">
          <reference field="0" count="1" selected="0">
            <x v="10"/>
          </reference>
          <reference field="2" count="6">
            <x v="242"/>
            <x v="245"/>
            <x v="246"/>
            <x v="247"/>
            <x v="248"/>
            <x v="250"/>
          </reference>
          <reference field="5" count="1" selected="0">
            <x v="2"/>
          </reference>
        </references>
      </pivotArea>
    </format>
    <format dxfId="605">
      <pivotArea dataOnly="0" labelOnly="1" fieldPosition="0">
        <references count="3">
          <reference field="0" count="1" selected="0">
            <x v="10"/>
          </reference>
          <reference field="2" count="1">
            <x v="262"/>
          </reference>
          <reference field="5" count="1" selected="0">
            <x v="3"/>
          </reference>
        </references>
      </pivotArea>
    </format>
    <format dxfId="604">
      <pivotArea field="0" type="button" dataOnly="0" labelOnly="1" outline="0" axis="axisRow" fieldPosition="0"/>
    </format>
    <format dxfId="603">
      <pivotArea dataOnly="0" labelOnly="1" outline="0" fieldPosition="0">
        <references count="1">
          <reference field="4294967294" count="1">
            <x v="1"/>
          </reference>
        </references>
      </pivotArea>
    </format>
    <format dxfId="602">
      <pivotArea dataOnly="0" labelOnly="1" outline="0" fieldPosition="0">
        <references count="1">
          <reference field="4294967294" count="2">
            <x v="3"/>
            <x v="5"/>
          </reference>
        </references>
      </pivotArea>
    </format>
    <format dxfId="601">
      <pivotArea dataOnly="0" labelOnly="1" outline="0" fieldPosition="0">
        <references count="1">
          <reference field="4294967294" count="2">
            <x v="3"/>
            <x v="5"/>
          </reference>
        </references>
      </pivotArea>
    </format>
    <format dxfId="600">
      <pivotArea dataOnly="0" labelOnly="1" outline="0" fieldPosition="0">
        <references count="1">
          <reference field="4294967294" count="1">
            <x v="3"/>
          </reference>
        </references>
      </pivotArea>
    </format>
    <format dxfId="599">
      <pivotArea outline="0" collapsedLevelsAreSubtotals="1" fieldPosition="0">
        <references count="1">
          <reference field="4294967294" count="1" selected="0">
            <x v="6"/>
          </reference>
        </references>
      </pivotArea>
    </format>
    <format dxfId="598">
      <pivotArea outline="0" collapsedLevelsAreSubtotals="1" fieldPosition="0">
        <references count="1">
          <reference field="4294967294" count="1" selected="0">
            <x v="0"/>
          </reference>
        </references>
      </pivotArea>
    </format>
    <format dxfId="597">
      <pivotArea dataOnly="0" labelOnly="1" outline="0" fieldPosition="0">
        <references count="1">
          <reference field="4294967294" count="1">
            <x v="0"/>
          </reference>
        </references>
      </pivotArea>
    </format>
    <format dxfId="596">
      <pivotArea dataOnly="0" labelOnly="1" outline="0" fieldPosition="0">
        <references count="1">
          <reference field="4294967294" count="1">
            <x v="7"/>
          </reference>
        </references>
      </pivotArea>
    </format>
    <format dxfId="595">
      <pivotArea dataOnly="0" labelOnly="1" outline="0" fieldPosition="0">
        <references count="1">
          <reference field="4294967294" count="1">
            <x v="6"/>
          </reference>
        </references>
      </pivotArea>
    </format>
    <format dxfId="594">
      <pivotArea outline="0" collapsedLevelsAreSubtotals="1" fieldPosition="0">
        <references count="1">
          <reference field="4294967294" count="1" selected="0">
            <x v="7"/>
          </reference>
        </references>
      </pivotArea>
    </format>
    <format dxfId="593">
      <pivotArea dataOnly="0" labelOnly="1" outline="0" fieldPosition="0">
        <references count="1">
          <reference field="4294967294" count="9">
            <x v="0"/>
            <x v="1"/>
            <x v="2"/>
            <x v="3"/>
            <x v="4"/>
            <x v="5"/>
            <x v="6"/>
            <x v="7"/>
            <x v="8"/>
          </reference>
        </references>
      </pivotArea>
    </format>
    <format dxfId="592">
      <pivotArea outline="0" collapsedLevelsAreSubtotals="1" fieldPosition="0">
        <references count="1">
          <reference field="4294967294" count="4" selected="0">
            <x v="2"/>
            <x v="3"/>
            <x v="4"/>
            <x v="5"/>
          </reference>
        </references>
      </pivotArea>
    </format>
    <format dxfId="591">
      <pivotArea collapsedLevelsAreSubtotals="1" fieldPosition="0">
        <references count="2">
          <reference field="4294967294" count="1" selected="0">
            <x v="2"/>
          </reference>
          <reference field="0" count="1">
            <x v="11"/>
          </reference>
        </references>
      </pivotArea>
    </format>
    <format dxfId="590">
      <pivotArea collapsedLevelsAreSubtotals="1" fieldPosition="0">
        <references count="3">
          <reference field="4294967294" count="1" selected="0">
            <x v="2"/>
          </reference>
          <reference field="0" count="1" selected="0">
            <x v="11"/>
          </reference>
          <reference field="5" count="1">
            <x v="0"/>
          </reference>
        </references>
      </pivotArea>
    </format>
    <format dxfId="589">
      <pivotArea collapsedLevelsAreSubtotals="1" fieldPosition="0">
        <references count="4">
          <reference field="4294967294" count="1" selected="0">
            <x v="2"/>
          </reference>
          <reference field="0" count="1" selected="0">
            <x v="11"/>
          </reference>
          <reference field="2" count="5">
            <x v="9"/>
            <x v="11"/>
            <x v="21"/>
            <x v="32"/>
            <x v="34"/>
          </reference>
          <reference field="5" count="1" selected="0">
            <x v="0"/>
          </reference>
        </references>
      </pivotArea>
    </format>
    <format dxfId="588">
      <pivotArea collapsedLevelsAreSubtotals="1" fieldPosition="0">
        <references count="3">
          <reference field="4294967294" count="1" selected="0">
            <x v="2"/>
          </reference>
          <reference field="0" count="1" selected="0">
            <x v="11"/>
          </reference>
          <reference field="5" count="1">
            <x v="1"/>
          </reference>
        </references>
      </pivotArea>
    </format>
    <format dxfId="587">
      <pivotArea collapsedLevelsAreSubtotals="1" fieldPosition="0">
        <references count="4">
          <reference field="4294967294" count="1" selected="0">
            <x v="2"/>
          </reference>
          <reference field="0" count="1" selected="0">
            <x v="11"/>
          </reference>
          <reference field="2" count="10">
            <x v="5"/>
            <x v="7"/>
            <x v="15"/>
            <x v="18"/>
            <x v="51"/>
            <x v="53"/>
            <x v="55"/>
            <x v="57"/>
            <x v="59"/>
            <x v="293"/>
          </reference>
          <reference field="5" count="1" selected="0">
            <x v="1"/>
          </reference>
        </references>
      </pivotArea>
    </format>
    <format dxfId="586">
      <pivotArea collapsedLevelsAreSubtotals="1" fieldPosition="0">
        <references count="3">
          <reference field="4294967294" count="1" selected="0">
            <x v="2"/>
          </reference>
          <reference field="0" count="1" selected="0">
            <x v="11"/>
          </reference>
          <reference field="5" count="1">
            <x v="2"/>
          </reference>
        </references>
      </pivotArea>
    </format>
    <format dxfId="585">
      <pivotArea collapsedLevelsAreSubtotals="1" fieldPosition="0">
        <references count="4">
          <reference field="4294967294" count="1" selected="0">
            <x v="2"/>
          </reference>
          <reference field="0" count="1" selected="0">
            <x v="11"/>
          </reference>
          <reference field="2" count="3">
            <x v="12"/>
            <x v="25"/>
            <x v="95"/>
          </reference>
          <reference field="5" count="1" selected="0">
            <x v="2"/>
          </reference>
        </references>
      </pivotArea>
    </format>
    <format dxfId="584">
      <pivotArea collapsedLevelsAreSubtotals="1" fieldPosition="0">
        <references count="3">
          <reference field="4294967294" count="1" selected="0">
            <x v="2"/>
          </reference>
          <reference field="0" count="1" selected="0">
            <x v="11"/>
          </reference>
          <reference field="5" count="1">
            <x v="4"/>
          </reference>
        </references>
      </pivotArea>
    </format>
    <format dxfId="583">
      <pivotArea collapsedLevelsAreSubtotals="1" fieldPosition="0">
        <references count="4">
          <reference field="4294967294" count="1" selected="0">
            <x v="2"/>
          </reference>
          <reference field="0" count="1" selected="0">
            <x v="11"/>
          </reference>
          <reference field="2" count="3">
            <x v="3"/>
            <x v="51"/>
            <x v="293"/>
          </reference>
          <reference field="5" count="1" selected="0">
            <x v="4"/>
          </reference>
        </references>
      </pivotArea>
    </format>
    <format dxfId="582">
      <pivotArea collapsedLevelsAreSubtotals="1" fieldPosition="0">
        <references count="3">
          <reference field="4294967294" count="1" selected="0">
            <x v="2"/>
          </reference>
          <reference field="0" count="1" selected="0">
            <x v="11"/>
          </reference>
          <reference field="5" count="1">
            <x v="5"/>
          </reference>
        </references>
      </pivotArea>
    </format>
    <format dxfId="581">
      <pivotArea collapsedLevelsAreSubtotals="1" fieldPosition="0">
        <references count="4">
          <reference field="4294967294" count="1" selected="0">
            <x v="2"/>
          </reference>
          <reference field="0" count="1" selected="0">
            <x v="11"/>
          </reference>
          <reference field="2" count="1">
            <x v="293"/>
          </reference>
          <reference field="5" count="1" selected="0">
            <x v="5"/>
          </reference>
        </references>
      </pivotArea>
    </format>
    <format dxfId="580">
      <pivotArea collapsedLevelsAreSubtotals="1" fieldPosition="0">
        <references count="2">
          <reference field="4294967294" count="1" selected="0">
            <x v="2"/>
          </reference>
          <reference field="0" count="1">
            <x v="12"/>
          </reference>
        </references>
      </pivotArea>
    </format>
    <format dxfId="579">
      <pivotArea collapsedLevelsAreSubtotals="1" fieldPosition="0">
        <references count="3">
          <reference field="4294967294" count="1" selected="0">
            <x v="2"/>
          </reference>
          <reference field="0" count="1" selected="0">
            <x v="12"/>
          </reference>
          <reference field="5" count="1">
            <x v="0"/>
          </reference>
        </references>
      </pivotArea>
    </format>
    <format dxfId="578">
      <pivotArea collapsedLevelsAreSubtotals="1" fieldPosition="0">
        <references count="4">
          <reference field="4294967294" count="1" selected="0">
            <x v="2"/>
          </reference>
          <reference field="0" count="1" selected="0">
            <x v="12"/>
          </reference>
          <reference field="2" count="12">
            <x v="263"/>
            <x v="264"/>
            <x v="265"/>
            <x v="285"/>
            <x v="286"/>
            <x v="287"/>
            <x v="288"/>
            <x v="289"/>
            <x v="290"/>
            <x v="291"/>
            <x v="292"/>
            <x v="331"/>
          </reference>
          <reference field="5" count="1" selected="0">
            <x v="0"/>
          </reference>
        </references>
      </pivotArea>
    </format>
    <format dxfId="577">
      <pivotArea collapsedLevelsAreSubtotals="1" fieldPosition="0">
        <references count="3">
          <reference field="4294967294" count="1" selected="0">
            <x v="2"/>
          </reference>
          <reference field="0" count="1" selected="0">
            <x v="12"/>
          </reference>
          <reference field="5" count="1">
            <x v="1"/>
          </reference>
        </references>
      </pivotArea>
    </format>
    <format dxfId="576">
      <pivotArea collapsedLevelsAreSubtotals="1" fieldPosition="0">
        <references count="4">
          <reference field="4294967294" count="1" selected="0">
            <x v="2"/>
          </reference>
          <reference field="0" count="1" selected="0">
            <x v="12"/>
          </reference>
          <reference field="2" count="20">
            <x v="50"/>
            <x v="51"/>
            <x v="52"/>
            <x v="53"/>
            <x v="54"/>
            <x v="55"/>
            <x v="56"/>
            <x v="57"/>
            <x v="58"/>
            <x v="219"/>
            <x v="220"/>
            <x v="221"/>
            <x v="222"/>
            <x v="224"/>
            <x v="225"/>
            <x v="258"/>
            <x v="318"/>
            <x v="319"/>
            <x v="320"/>
            <x v="321"/>
          </reference>
          <reference field="5" count="1" selected="0">
            <x v="1"/>
          </reference>
        </references>
      </pivotArea>
    </format>
    <format dxfId="575">
      <pivotArea collapsedLevelsAreSubtotals="1" fieldPosition="0">
        <references count="3">
          <reference field="4294967294" count="1" selected="0">
            <x v="2"/>
          </reference>
          <reference field="0" count="1" selected="0">
            <x v="12"/>
          </reference>
          <reference field="5" count="1">
            <x v="2"/>
          </reference>
        </references>
      </pivotArea>
    </format>
    <format dxfId="574">
      <pivotArea collapsedLevelsAreSubtotals="1" fieldPosition="0">
        <references count="4">
          <reference field="4294967294" count="1" selected="0">
            <x v="2"/>
          </reference>
          <reference field="0" count="1" selected="0">
            <x v="12"/>
          </reference>
          <reference field="2" count="12">
            <x v="95"/>
            <x v="96"/>
            <x v="97"/>
            <x v="98"/>
            <x v="99"/>
            <x v="100"/>
            <x v="135"/>
            <x v="266"/>
            <x v="267"/>
            <x v="322"/>
            <x v="323"/>
            <x v="324"/>
          </reference>
          <reference field="5" count="1" selected="0">
            <x v="2"/>
          </reference>
        </references>
      </pivotArea>
    </format>
    <format dxfId="573">
      <pivotArea collapsedLevelsAreSubtotals="1" fieldPosition="0">
        <references count="3">
          <reference field="4294967294" count="1" selected="0">
            <x v="2"/>
          </reference>
          <reference field="0" count="1" selected="0">
            <x v="12"/>
          </reference>
          <reference field="5" count="1">
            <x v="3"/>
          </reference>
        </references>
      </pivotArea>
    </format>
    <format dxfId="572">
      <pivotArea collapsedLevelsAreSubtotals="1" fieldPosition="0">
        <references count="4">
          <reference field="4294967294" count="1" selected="0">
            <x v="2"/>
          </reference>
          <reference field="0" count="1" selected="0">
            <x v="12"/>
          </reference>
          <reference field="2" count="4">
            <x v="135"/>
            <x v="136"/>
            <x v="137"/>
            <x v="325"/>
          </reference>
          <reference field="5" count="1" selected="0">
            <x v="3"/>
          </reference>
        </references>
      </pivotArea>
    </format>
    <format dxfId="571">
      <pivotArea collapsedLevelsAreSubtotals="1" fieldPosition="0">
        <references count="2">
          <reference field="4294967294" count="1" selected="0">
            <x v="2"/>
          </reference>
          <reference field="0" count="1">
            <x v="13"/>
          </reference>
        </references>
      </pivotArea>
    </format>
    <format dxfId="570">
      <pivotArea collapsedLevelsAreSubtotals="1" fieldPosition="0">
        <references count="3">
          <reference field="4294967294" count="1" selected="0">
            <x v="2"/>
          </reference>
          <reference field="0" count="1" selected="0">
            <x v="13"/>
          </reference>
          <reference field="5" count="1">
            <x v="0"/>
          </reference>
        </references>
      </pivotArea>
    </format>
    <format dxfId="569">
      <pivotArea collapsedLevelsAreSubtotals="1" fieldPosition="0">
        <references count="4">
          <reference field="4294967294" count="1" selected="0">
            <x v="2"/>
          </reference>
          <reference field="0" count="1" selected="0">
            <x v="13"/>
          </reference>
          <reference field="2" count="7">
            <x v="268"/>
            <x v="269"/>
            <x v="270"/>
            <x v="271"/>
            <x v="343"/>
            <x v="344"/>
            <x v="393"/>
          </reference>
          <reference field="5" count="1" selected="0">
            <x v="0"/>
          </reference>
        </references>
      </pivotArea>
    </format>
    <format dxfId="568">
      <pivotArea collapsedLevelsAreSubtotals="1" fieldPosition="0">
        <references count="3">
          <reference field="4294967294" count="1" selected="0">
            <x v="2"/>
          </reference>
          <reference field="0" count="1" selected="0">
            <x v="13"/>
          </reference>
          <reference field="5" count="1">
            <x v="1"/>
          </reference>
        </references>
      </pivotArea>
    </format>
    <format dxfId="567">
      <pivotArea collapsedLevelsAreSubtotals="1" fieldPosition="0">
        <references count="4">
          <reference field="4294967294" count="1" selected="0">
            <x v="2"/>
          </reference>
          <reference field="0" count="1" selected="0">
            <x v="13"/>
          </reference>
          <reference field="2" count="11">
            <x v="182"/>
            <x v="183"/>
            <x v="184"/>
            <x v="185"/>
            <x v="186"/>
            <x v="187"/>
            <x v="188"/>
            <x v="191"/>
            <x v="193"/>
            <x v="195"/>
            <x v="393"/>
          </reference>
          <reference field="5" count="1" selected="0">
            <x v="1"/>
          </reference>
        </references>
      </pivotArea>
    </format>
    <format dxfId="566">
      <pivotArea collapsedLevelsAreSubtotals="1" fieldPosition="0">
        <references count="3">
          <reference field="4294967294" count="1" selected="0">
            <x v="2"/>
          </reference>
          <reference field="0" count="1" selected="0">
            <x v="13"/>
          </reference>
          <reference field="5" count="1">
            <x v="2"/>
          </reference>
        </references>
      </pivotArea>
    </format>
    <format dxfId="565">
      <pivotArea collapsedLevelsAreSubtotals="1" fieldPosition="0">
        <references count="4">
          <reference field="4294967294" count="1" selected="0">
            <x v="2"/>
          </reference>
          <reference field="0" count="1" selected="0">
            <x v="13"/>
          </reference>
          <reference field="2" count="10">
            <x v="241"/>
            <x v="242"/>
            <x v="243"/>
            <x v="244"/>
            <x v="245"/>
            <x v="246"/>
            <x v="247"/>
            <x v="248"/>
            <x v="250"/>
            <x v="393"/>
          </reference>
          <reference field="5" count="1" selected="0">
            <x v="2"/>
          </reference>
        </references>
      </pivotArea>
    </format>
    <format dxfId="564">
      <pivotArea collapsedLevelsAreSubtotals="1" fieldPosition="0">
        <references count="3">
          <reference field="4294967294" count="1" selected="0">
            <x v="2"/>
          </reference>
          <reference field="0" count="1" selected="0">
            <x v="13"/>
          </reference>
          <reference field="5" count="1">
            <x v="3"/>
          </reference>
        </references>
      </pivotArea>
    </format>
    <format dxfId="563">
      <pivotArea collapsedLevelsAreSubtotals="1" fieldPosition="0">
        <references count="4">
          <reference field="4294967294" count="1" selected="0">
            <x v="2"/>
          </reference>
          <reference field="0" count="1" selected="0">
            <x v="13"/>
          </reference>
          <reference field="2" count="1">
            <x v="262"/>
          </reference>
          <reference field="5" count="1" selected="0">
            <x v="3"/>
          </reference>
        </references>
      </pivotArea>
    </format>
    <format dxfId="562">
      <pivotArea collapsedLevelsAreSubtotals="1" fieldPosition="0">
        <references count="2">
          <reference field="4294967294" count="1" selected="0">
            <x v="2"/>
          </reference>
          <reference field="0" count="1">
            <x v="14"/>
          </reference>
        </references>
      </pivotArea>
    </format>
    <format dxfId="561">
      <pivotArea collapsedLevelsAreSubtotals="1" fieldPosition="0">
        <references count="3">
          <reference field="4294967294" count="1" selected="0">
            <x v="2"/>
          </reference>
          <reference field="0" count="1" selected="0">
            <x v="14"/>
          </reference>
          <reference field="5" count="1">
            <x v="0"/>
          </reference>
        </references>
      </pivotArea>
    </format>
    <format dxfId="560">
      <pivotArea collapsedLevelsAreSubtotals="1" fieldPosition="0">
        <references count="4">
          <reference field="4294967294" count="1" selected="0">
            <x v="2"/>
          </reference>
          <reference field="0" count="1" selected="0">
            <x v="14"/>
          </reference>
          <reference field="2" count="17">
            <x v="276"/>
            <x v="277"/>
            <x v="278"/>
            <x v="279"/>
            <x v="280"/>
            <x v="352"/>
            <x v="353"/>
            <x v="354"/>
            <x v="355"/>
            <x v="356"/>
            <x v="357"/>
            <x v="358"/>
            <x v="359"/>
            <x v="360"/>
            <x v="361"/>
            <x v="362"/>
            <x v="363"/>
          </reference>
          <reference field="5" count="1" selected="0">
            <x v="0"/>
          </reference>
        </references>
      </pivotArea>
    </format>
    <format dxfId="559">
      <pivotArea collapsedLevelsAreSubtotals="1" fieldPosition="0">
        <references count="3">
          <reference field="4294967294" count="1" selected="0">
            <x v="2"/>
          </reference>
          <reference field="0" count="1" selected="0">
            <x v="14"/>
          </reference>
          <reference field="5" count="1">
            <x v="1"/>
          </reference>
        </references>
      </pivotArea>
    </format>
    <format dxfId="558">
      <pivotArea collapsedLevelsAreSubtotals="1" fieldPosition="0">
        <references count="4">
          <reference field="4294967294" count="1" selected="0">
            <x v="2"/>
          </reference>
          <reference field="0" count="1" selected="0">
            <x v="14"/>
          </reference>
          <reference field="2" count="20">
            <x v="60"/>
            <x v="61"/>
            <x v="62"/>
            <x v="63"/>
            <x v="64"/>
            <x v="65"/>
            <x v="66"/>
            <x v="67"/>
            <x v="68"/>
            <x v="69"/>
            <x v="70"/>
            <x v="71"/>
            <x v="72"/>
            <x v="73"/>
            <x v="74"/>
            <x v="75"/>
            <x v="76"/>
            <x v="77"/>
            <x v="78"/>
            <x v="79"/>
          </reference>
          <reference field="5" count="1" selected="0">
            <x v="1"/>
          </reference>
        </references>
      </pivotArea>
    </format>
    <format dxfId="557">
      <pivotArea collapsedLevelsAreSubtotals="1" fieldPosition="0">
        <references count="3">
          <reference field="4294967294" count="1" selected="0">
            <x v="2"/>
          </reference>
          <reference field="0" count="1" selected="0">
            <x v="14"/>
          </reference>
          <reference field="5" count="1">
            <x v="2"/>
          </reference>
        </references>
      </pivotArea>
    </format>
    <format dxfId="556">
      <pivotArea collapsedLevelsAreSubtotals="1" fieldPosition="0">
        <references count="4">
          <reference field="4294967294" count="1" selected="0">
            <x v="2"/>
          </reference>
          <reference field="0" count="1" selected="0">
            <x v="14"/>
          </reference>
          <reference field="2" count="9">
            <x v="101"/>
            <x v="102"/>
            <x v="103"/>
            <x v="104"/>
            <x v="105"/>
            <x v="106"/>
            <x v="107"/>
            <x v="108"/>
            <x v="109"/>
          </reference>
          <reference field="5" count="1" selected="0">
            <x v="2"/>
          </reference>
        </references>
      </pivotArea>
    </format>
    <format dxfId="555">
      <pivotArea collapsedLevelsAreSubtotals="1" fieldPosition="0">
        <references count="3">
          <reference field="4294967294" count="1" selected="0">
            <x v="2"/>
          </reference>
          <reference field="0" count="1" selected="0">
            <x v="14"/>
          </reference>
          <reference field="5" count="1">
            <x v="3"/>
          </reference>
        </references>
      </pivotArea>
    </format>
    <format dxfId="554">
      <pivotArea collapsedLevelsAreSubtotals="1" fieldPosition="0">
        <references count="4">
          <reference field="4294967294" count="1" selected="0">
            <x v="2"/>
          </reference>
          <reference field="0" count="1" selected="0">
            <x v="14"/>
          </reference>
          <reference field="2" count="3">
            <x v="138"/>
            <x v="139"/>
            <x v="140"/>
          </reference>
          <reference field="5" count="1" selected="0">
            <x v="3"/>
          </reference>
        </references>
      </pivotArea>
    </format>
    <format dxfId="553">
      <pivotArea collapsedLevelsAreSubtotals="1" fieldPosition="0">
        <references count="2">
          <reference field="4294967294" count="1" selected="0">
            <x v="2"/>
          </reference>
          <reference field="0" count="1">
            <x v="15"/>
          </reference>
        </references>
      </pivotArea>
    </format>
    <format dxfId="552">
      <pivotArea collapsedLevelsAreSubtotals="1" fieldPosition="0">
        <references count="3">
          <reference field="4294967294" count="1" selected="0">
            <x v="2"/>
          </reference>
          <reference field="0" count="1" selected="0">
            <x v="15"/>
          </reference>
          <reference field="5" count="1">
            <x v="0"/>
          </reference>
        </references>
      </pivotArea>
    </format>
    <format dxfId="551">
      <pivotArea collapsedLevelsAreSubtotals="1" fieldPosition="0">
        <references count="4">
          <reference field="4294967294" count="1" selected="0">
            <x v="2"/>
          </reference>
          <reference field="0" count="1" selected="0">
            <x v="15"/>
          </reference>
          <reference field="2" count="4">
            <x v="370"/>
            <x v="371"/>
            <x v="374"/>
            <x v="380"/>
          </reference>
          <reference field="5" count="1" selected="0">
            <x v="0"/>
          </reference>
        </references>
      </pivotArea>
    </format>
    <format dxfId="550">
      <pivotArea collapsedLevelsAreSubtotals="1" fieldPosition="0">
        <references count="3">
          <reference field="4294967294" count="1" selected="0">
            <x v="2"/>
          </reference>
          <reference field="0" count="1" selected="0">
            <x v="15"/>
          </reference>
          <reference field="5" count="1">
            <x v="1"/>
          </reference>
        </references>
      </pivotArea>
    </format>
    <format dxfId="549">
      <pivotArea collapsedLevelsAreSubtotals="1" fieldPosition="0">
        <references count="4">
          <reference field="4294967294" count="1" selected="0">
            <x v="2"/>
          </reference>
          <reference field="0" count="1" selected="0">
            <x v="15"/>
          </reference>
          <reference field="2" count="8">
            <x v="237"/>
            <x v="238"/>
            <x v="239"/>
            <x v="369"/>
            <x v="372"/>
            <x v="376"/>
            <x v="377"/>
            <x v="378"/>
          </reference>
          <reference field="5" count="1" selected="0">
            <x v="1"/>
          </reference>
        </references>
      </pivotArea>
    </format>
    <format dxfId="548">
      <pivotArea collapsedLevelsAreSubtotals="1" fieldPosition="0">
        <references count="3">
          <reference field="4294967294" count="1" selected="0">
            <x v="2"/>
          </reference>
          <reference field="0" count="1" selected="0">
            <x v="15"/>
          </reference>
          <reference field="5" count="1">
            <x v="2"/>
          </reference>
        </references>
      </pivotArea>
    </format>
    <format dxfId="547">
      <pivotArea collapsedLevelsAreSubtotals="1" fieldPosition="0">
        <references count="4">
          <reference field="4294967294" count="1" selected="0">
            <x v="2"/>
          </reference>
          <reference field="0" count="1" selected="0">
            <x v="15"/>
          </reference>
          <reference field="2" count="6">
            <x v="233"/>
            <x v="234"/>
            <x v="368"/>
            <x v="373"/>
            <x v="375"/>
            <x v="379"/>
          </reference>
          <reference field="5" count="1" selected="0">
            <x v="2"/>
          </reference>
        </references>
      </pivotArea>
    </format>
    <format dxfId="546">
      <pivotArea collapsedLevelsAreSubtotals="1" fieldPosition="0">
        <references count="3">
          <reference field="4294967294" count="1" selected="0">
            <x v="2"/>
          </reference>
          <reference field="0" count="1" selected="0">
            <x v="15"/>
          </reference>
          <reference field="5" count="1">
            <x v="3"/>
          </reference>
        </references>
      </pivotArea>
    </format>
    <format dxfId="545">
      <pivotArea collapsedLevelsAreSubtotals="1" fieldPosition="0">
        <references count="4">
          <reference field="4294967294" count="1" selected="0">
            <x v="2"/>
          </reference>
          <reference field="0" count="1" selected="0">
            <x v="15"/>
          </reference>
          <reference field="2" count="4">
            <x v="232"/>
            <x v="235"/>
            <x v="236"/>
            <x v="240"/>
          </reference>
          <reference field="5" count="1" selected="0">
            <x v="3"/>
          </reference>
        </references>
      </pivotArea>
    </format>
    <format dxfId="544">
      <pivotArea collapsedLevelsAreSubtotals="1" fieldPosition="0">
        <references count="2">
          <reference field="4294967294" count="1" selected="0">
            <x v="2"/>
          </reference>
          <reference field="0" count="1">
            <x v="16"/>
          </reference>
        </references>
      </pivotArea>
    </format>
    <format dxfId="543">
      <pivotArea collapsedLevelsAreSubtotals="1" fieldPosition="0">
        <references count="3">
          <reference field="4294967294" count="1" selected="0">
            <x v="2"/>
          </reference>
          <reference field="0" count="1" selected="0">
            <x v="16"/>
          </reference>
          <reference field="5" count="1">
            <x v="0"/>
          </reference>
        </references>
      </pivotArea>
    </format>
    <format dxfId="542">
      <pivotArea collapsedLevelsAreSubtotals="1" fieldPosition="0">
        <references count="4">
          <reference field="4294967294" count="1" selected="0">
            <x v="2"/>
          </reference>
          <reference field="0" count="1" selected="0">
            <x v="16"/>
          </reference>
          <reference field="2" count="37">
            <x v="28"/>
            <x v="33"/>
            <x v="39"/>
            <x v="42"/>
            <x v="44"/>
            <x v="86"/>
            <x v="91"/>
            <x v="93"/>
            <x v="94"/>
            <x v="118"/>
            <x v="119"/>
            <x v="123"/>
            <x v="127"/>
            <x v="128"/>
            <x v="131"/>
            <x v="133"/>
            <x v="142"/>
            <x v="143"/>
            <x v="146"/>
            <x v="150"/>
            <x v="155"/>
            <x v="158"/>
            <x v="161"/>
            <x v="162"/>
            <x v="176"/>
            <x v="179"/>
            <x v="332"/>
            <x v="333"/>
            <x v="334"/>
            <x v="335"/>
            <x v="336"/>
            <x v="337"/>
            <x v="338"/>
            <x v="339"/>
            <x v="340"/>
            <x v="341"/>
            <x v="342"/>
          </reference>
          <reference field="5" count="1" selected="0">
            <x v="0"/>
          </reference>
        </references>
      </pivotArea>
    </format>
    <format dxfId="541">
      <pivotArea collapsedLevelsAreSubtotals="1" fieldPosition="0">
        <references count="3">
          <reference field="4294967294" count="1" selected="0">
            <x v="2"/>
          </reference>
          <reference field="0" count="1" selected="0">
            <x v="16"/>
          </reference>
          <reference field="5" count="1">
            <x v="1"/>
          </reference>
        </references>
      </pivotArea>
    </format>
    <format dxfId="540">
      <pivotArea collapsedLevelsAreSubtotals="1" fieldPosition="0">
        <references count="4">
          <reference field="4294967294" count="1" selected="0">
            <x v="2"/>
          </reference>
          <reference field="0" count="1" selected="0">
            <x v="16"/>
          </reference>
          <reference field="2" count="86">
            <x v="24"/>
            <x v="27"/>
            <x v="37"/>
            <x v="38"/>
            <x v="41"/>
            <x v="43"/>
            <x v="45"/>
            <x v="46"/>
            <x v="47"/>
            <x v="49"/>
            <x v="82"/>
            <x v="83"/>
            <x v="85"/>
            <x v="87"/>
            <x v="88"/>
            <x v="89"/>
            <x v="90"/>
            <x v="92"/>
            <x v="111"/>
            <x v="112"/>
            <x v="113"/>
            <x v="114"/>
            <x v="117"/>
            <x v="120"/>
            <x v="121"/>
            <x v="122"/>
            <x v="124"/>
            <x v="126"/>
            <x v="130"/>
            <x v="132"/>
            <x v="134"/>
            <x v="147"/>
            <x v="149"/>
            <x v="151"/>
            <x v="153"/>
            <x v="154"/>
            <x v="156"/>
            <x v="157"/>
            <x v="159"/>
            <x v="163"/>
            <x v="164"/>
            <x v="166"/>
            <x v="167"/>
            <x v="168"/>
            <x v="173"/>
            <x v="174"/>
            <x v="175"/>
            <x v="177"/>
            <x v="178"/>
            <x v="180"/>
            <x v="181"/>
            <x v="189"/>
            <x v="190"/>
            <x v="192"/>
            <x v="194"/>
            <x v="196"/>
            <x v="197"/>
            <x v="198"/>
            <x v="199"/>
            <x v="200"/>
            <x v="201"/>
            <x v="202"/>
            <x v="203"/>
            <x v="204"/>
            <x v="205"/>
            <x v="206"/>
            <x v="207"/>
            <x v="208"/>
            <x v="209"/>
            <x v="210"/>
            <x v="211"/>
            <x v="212"/>
            <x v="213"/>
            <x v="214"/>
            <x v="215"/>
            <x v="216"/>
            <x v="217"/>
            <x v="218"/>
            <x v="223"/>
            <x v="226"/>
            <x v="227"/>
            <x v="228"/>
            <x v="229"/>
            <x v="230"/>
            <x v="231"/>
            <x v="326"/>
          </reference>
          <reference field="5" count="1" selected="0">
            <x v="1"/>
          </reference>
        </references>
      </pivotArea>
    </format>
    <format dxfId="539">
      <pivotArea collapsedLevelsAreSubtotals="1" fieldPosition="0">
        <references count="3">
          <reference field="4294967294" count="1" selected="0">
            <x v="2"/>
          </reference>
          <reference field="0" count="1" selected="0">
            <x v="16"/>
          </reference>
          <reference field="5" count="1">
            <x v="2"/>
          </reference>
        </references>
      </pivotArea>
    </format>
    <format dxfId="538">
      <pivotArea collapsedLevelsAreSubtotals="1" fieldPosition="0">
        <references count="4">
          <reference field="4294967294" count="1" selected="0">
            <x v="2"/>
          </reference>
          <reference field="0" count="1" selected="0">
            <x v="16"/>
          </reference>
          <reference field="2" count="34">
            <x v="26"/>
            <x v="35"/>
            <x v="36"/>
            <x v="40"/>
            <x v="48"/>
            <x v="81"/>
            <x v="84"/>
            <x v="115"/>
            <x v="116"/>
            <x v="125"/>
            <x v="129"/>
            <x v="141"/>
            <x v="144"/>
            <x v="145"/>
            <x v="148"/>
            <x v="160"/>
            <x v="165"/>
            <x v="169"/>
            <x v="170"/>
            <x v="172"/>
            <x v="249"/>
            <x v="251"/>
            <x v="252"/>
            <x v="253"/>
            <x v="254"/>
            <x v="255"/>
            <x v="256"/>
            <x v="257"/>
            <x v="259"/>
            <x v="260"/>
            <x v="261"/>
            <x v="327"/>
            <x v="328"/>
            <x v="329"/>
          </reference>
          <reference field="5" count="1" selected="0">
            <x v="2"/>
          </reference>
        </references>
      </pivotArea>
    </format>
    <format dxfId="537">
      <pivotArea collapsedLevelsAreSubtotals="1" fieldPosition="0">
        <references count="3">
          <reference field="4294967294" count="1" selected="0">
            <x v="2"/>
          </reference>
          <reference field="0" count="1" selected="0">
            <x v="16"/>
          </reference>
          <reference field="5" count="1">
            <x v="3"/>
          </reference>
        </references>
      </pivotArea>
    </format>
    <format dxfId="536">
      <pivotArea collapsedLevelsAreSubtotals="1" fieldPosition="0">
        <references count="4">
          <reference field="4294967294" count="1" selected="0">
            <x v="2"/>
          </reference>
          <reference field="0" count="1" selected="0">
            <x v="16"/>
          </reference>
          <reference field="2" count="5">
            <x v="152"/>
            <x v="171"/>
            <x v="283"/>
            <x v="284"/>
            <x v="330"/>
          </reference>
          <reference field="5" count="1" selected="0">
            <x v="3"/>
          </reference>
        </references>
      </pivotArea>
    </format>
    <format dxfId="535">
      <pivotArea collapsedLevelsAreSubtotals="1" fieldPosition="0">
        <references count="2">
          <reference field="4294967294" count="1" selected="0">
            <x v="2"/>
          </reference>
          <reference field="0" count="1">
            <x v="17"/>
          </reference>
        </references>
      </pivotArea>
    </format>
    <format dxfId="534">
      <pivotArea collapsedLevelsAreSubtotals="1" fieldPosition="0">
        <references count="3">
          <reference field="4294967294" count="1" selected="0">
            <x v="2"/>
          </reference>
          <reference field="0" count="1" selected="0">
            <x v="17"/>
          </reference>
          <reference field="5" count="1">
            <x v="0"/>
          </reference>
        </references>
      </pivotArea>
    </format>
    <format dxfId="533">
      <pivotArea collapsedLevelsAreSubtotals="1" fieldPosition="0">
        <references count="4">
          <reference field="4294967294" count="1" selected="0">
            <x v="2"/>
          </reference>
          <reference field="0" count="1" selected="0">
            <x v="17"/>
          </reference>
          <reference field="2" count="3">
            <x v="364"/>
            <x v="365"/>
            <x v="366"/>
          </reference>
          <reference field="5" count="1" selected="0">
            <x v="0"/>
          </reference>
        </references>
      </pivotArea>
    </format>
    <format dxfId="532">
      <pivotArea collapsedLevelsAreSubtotals="1" fieldPosition="0">
        <references count="3">
          <reference field="4294967294" count="1" selected="0">
            <x v="2"/>
          </reference>
          <reference field="0" count="1" selected="0">
            <x v="17"/>
          </reference>
          <reference field="5" count="1">
            <x v="1"/>
          </reference>
        </references>
      </pivotArea>
    </format>
    <format dxfId="531">
      <pivotArea collapsedLevelsAreSubtotals="1" fieldPosition="0">
        <references count="4">
          <reference field="4294967294" count="1" selected="0">
            <x v="2"/>
          </reference>
          <reference field="0" count="1" selected="0">
            <x v="17"/>
          </reference>
          <reference field="2" count="9">
            <x v="281"/>
            <x v="282"/>
            <x v="311"/>
            <x v="312"/>
            <x v="313"/>
            <x v="314"/>
            <x v="315"/>
            <x v="316"/>
            <x v="317"/>
          </reference>
          <reference field="5" count="1" selected="0">
            <x v="1"/>
          </reference>
        </references>
      </pivotArea>
    </format>
    <format dxfId="530">
      <pivotArea collapsedLevelsAreSubtotals="1" fieldPosition="0">
        <references count="3">
          <reference field="4294967294" count="1" selected="0">
            <x v="2"/>
          </reference>
          <reference field="0" count="1" selected="0">
            <x v="17"/>
          </reference>
          <reference field="5" count="1">
            <x v="2"/>
          </reference>
        </references>
      </pivotArea>
    </format>
    <format dxfId="529">
      <pivotArea collapsedLevelsAreSubtotals="1" fieldPosition="0">
        <references count="4">
          <reference field="4294967294" count="1" selected="0">
            <x v="2"/>
          </reference>
          <reference field="0" count="1" selected="0">
            <x v="17"/>
          </reference>
          <reference field="2" count="4">
            <x v="389"/>
            <x v="390"/>
            <x v="391"/>
            <x v="392"/>
          </reference>
          <reference field="5" count="1" selected="0">
            <x v="2"/>
          </reference>
        </references>
      </pivotArea>
    </format>
    <format dxfId="528">
      <pivotArea collapsedLevelsAreSubtotals="1" fieldPosition="0">
        <references count="2">
          <reference field="4294967294" count="1" selected="0">
            <x v="2"/>
          </reference>
          <reference field="0" count="1">
            <x v="18"/>
          </reference>
        </references>
      </pivotArea>
    </format>
    <format dxfId="527">
      <pivotArea collapsedLevelsAreSubtotals="1" fieldPosition="0">
        <references count="3">
          <reference field="4294967294" count="1" selected="0">
            <x v="2"/>
          </reference>
          <reference field="0" count="1" selected="0">
            <x v="18"/>
          </reference>
          <reference field="5" count="1">
            <x v="0"/>
          </reference>
        </references>
      </pivotArea>
    </format>
    <format dxfId="526">
      <pivotArea collapsedLevelsAreSubtotals="1" fieldPosition="0">
        <references count="4">
          <reference field="4294967294" count="1" selected="0">
            <x v="2"/>
          </reference>
          <reference field="0" count="1" selected="0">
            <x v="18"/>
          </reference>
          <reference field="2" count="11">
            <x v="273"/>
            <x v="274"/>
            <x v="275"/>
            <x v="294"/>
            <x v="295"/>
            <x v="296"/>
            <x v="297"/>
            <x v="346"/>
            <x v="347"/>
            <x v="348"/>
            <x v="349"/>
          </reference>
          <reference field="5" count="1" selected="0">
            <x v="0"/>
          </reference>
        </references>
      </pivotArea>
    </format>
    <format dxfId="525">
      <pivotArea outline="0" collapsedLevelsAreSubtotals="1" fieldPosition="0">
        <references count="1">
          <reference field="4294967294" count="1" selected="0">
            <x v="2"/>
          </reference>
        </references>
      </pivotArea>
    </format>
    <format dxfId="524">
      <pivotArea outline="0" collapsedLevelsAreSubtotals="1" fieldPosition="0">
        <references count="1">
          <reference field="4294967294" count="1" selected="0">
            <x v="3"/>
          </reference>
        </references>
      </pivotArea>
    </format>
    <format dxfId="523">
      <pivotArea outline="0" collapsedLevelsAreSubtotals="1" fieldPosition="0">
        <references count="1">
          <reference field="4294967294" count="1" selected="0">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9CDB8DA-8A8F-42E9-A859-DFB0A288B8C8}" name="PivotTable5" cacheId="35" applyNumberFormats="0" applyBorderFormats="0" applyFontFormats="0" applyPatternFormats="0" applyAlignmentFormats="0" applyWidthHeightFormats="1" dataCaption="Values" showError="1" updatedVersion="8" minRefreshableVersion="3" rowGrandTotals="0" colGrandTotals="0" itemPrintTitles="1" createdVersion="8" indent="0" outline="1" outlineData="1" multipleFieldFilters="0" rowHeaderCaption="">
  <location ref="B45:AF390" firstHeaderRow="1" firstDataRow="3" firstDataCol="1"/>
  <pivotFields count="30">
    <pivotField axis="axisRow" showAll="0" defaultSubtotal="0">
      <items count="23">
        <item m="1" x="18"/>
        <item m="1" x="22"/>
        <item x="2"/>
        <item m="1" x="19"/>
        <item m="1" x="11"/>
        <item m="1" x="10"/>
        <item m="1" x="12"/>
        <item m="1" x="13"/>
        <item x="5"/>
        <item m="1" x="20"/>
        <item x="3"/>
        <item x="0"/>
        <item m="1" x="17"/>
        <item x="9"/>
        <item x="4"/>
        <item m="1" x="14"/>
        <item m="1" x="15"/>
        <item m="1" x="16"/>
        <item x="7"/>
        <item m="1" x="21"/>
        <item x="1"/>
        <item x="6"/>
        <item x="8"/>
      </items>
    </pivotField>
    <pivotField showAll="0" defaultSubtotal="0"/>
    <pivotField showAll="0" defaultSubtotal="0"/>
    <pivotField showAll="0" defaultSubtotal="0"/>
    <pivotField showAll="0" defaultSubtotal="0"/>
    <pivotField axis="axisRow" showAll="0" defaultSubtotal="0">
      <items count="6">
        <item n="Studio" x="0"/>
        <item n="1BR " x="1"/>
        <item n="2BR" x="2"/>
        <item n="3BR" x="4"/>
        <item n="4BR" x="3"/>
        <item m="1" x="5"/>
      </items>
    </pivotField>
    <pivotField showAll="0" defaultSubtotal="0"/>
    <pivotField subtotalTop="0" showAll="0" defaultSubtotal="0"/>
    <pivotField axis="axisRow" numFmtId="3" showAll="0" sortType="ascending" defaultSubtotal="0">
      <items count="253">
        <item x="169"/>
        <item x="170"/>
        <item x="171"/>
        <item x="123"/>
        <item x="8"/>
        <item x="150"/>
        <item x="172"/>
        <item x="217"/>
        <item x="198"/>
        <item x="218"/>
        <item x="199"/>
        <item x="219"/>
        <item x="0"/>
        <item x="173"/>
        <item x="220"/>
        <item x="124"/>
        <item x="41"/>
        <item x="174"/>
        <item x="221"/>
        <item x="107"/>
        <item x="42"/>
        <item x="222"/>
        <item x="66"/>
        <item x="43"/>
        <item x="175"/>
        <item x="155"/>
        <item x="44"/>
        <item x="225"/>
        <item x="67"/>
        <item x="151"/>
        <item x="152"/>
        <item x="45"/>
        <item x="68"/>
        <item x="69"/>
        <item x="108"/>
        <item x="177"/>
        <item x="153"/>
        <item x="46"/>
        <item x="70"/>
        <item x="154"/>
        <item x="226"/>
        <item x="9"/>
        <item x="227"/>
        <item x="10"/>
        <item x="216"/>
        <item x="127"/>
        <item x="223"/>
        <item x="11"/>
        <item x="12"/>
        <item x="1"/>
        <item x="200"/>
        <item x="47"/>
        <item x="71"/>
        <item x="128"/>
        <item x="48"/>
        <item x="224"/>
        <item x="201"/>
        <item x="72"/>
        <item x="73"/>
        <item x="129"/>
        <item x="74"/>
        <item x="16"/>
        <item x="17"/>
        <item x="18"/>
        <item x="130"/>
        <item x="131"/>
        <item x="228"/>
        <item x="19"/>
        <item x="156"/>
        <item x="157"/>
        <item x="75"/>
        <item x="76"/>
        <item x="229"/>
        <item x="230"/>
        <item x="77"/>
        <item x="78"/>
        <item x="2"/>
        <item x="202"/>
        <item x="231"/>
        <item x="20"/>
        <item x="21"/>
        <item x="132"/>
        <item x="133"/>
        <item x="79"/>
        <item x="3"/>
        <item x="22"/>
        <item x="232"/>
        <item x="109"/>
        <item x="134"/>
        <item x="135"/>
        <item x="110"/>
        <item x="233"/>
        <item x="23"/>
        <item x="158"/>
        <item x="203"/>
        <item x="176"/>
        <item x="178"/>
        <item x="179"/>
        <item x="180"/>
        <item x="204"/>
        <item x="205"/>
        <item x="234"/>
        <item x="159"/>
        <item x="136"/>
        <item x="24"/>
        <item x="235"/>
        <item x="181"/>
        <item x="80"/>
        <item x="160"/>
        <item x="182"/>
        <item x="137"/>
        <item x="50"/>
        <item x="161"/>
        <item x="206"/>
        <item x="138"/>
        <item x="81"/>
        <item x="236"/>
        <item x="139"/>
        <item x="82"/>
        <item x="83"/>
        <item x="84"/>
        <item x="140"/>
        <item x="85"/>
        <item x="141"/>
        <item x="183"/>
        <item x="86"/>
        <item x="237"/>
        <item x="25"/>
        <item x="51"/>
        <item x="207"/>
        <item x="26"/>
        <item x="142"/>
        <item x="87"/>
        <item x="208"/>
        <item x="209"/>
        <item x="52"/>
        <item x="88"/>
        <item x="53"/>
        <item x="4"/>
        <item x="89"/>
        <item x="54"/>
        <item x="5"/>
        <item x="27"/>
        <item x="143"/>
        <item x="6"/>
        <item x="111"/>
        <item x="144"/>
        <item x="90"/>
        <item x="184"/>
        <item x="185"/>
        <item x="14"/>
        <item x="91"/>
        <item x="28"/>
        <item x="92"/>
        <item x="145"/>
        <item x="55"/>
        <item x="112"/>
        <item x="186"/>
        <item x="187"/>
        <item x="189"/>
        <item x="56"/>
        <item x="190"/>
        <item x="57"/>
        <item x="58"/>
        <item x="93"/>
        <item x="49"/>
        <item x="188"/>
        <item x="238"/>
        <item x="239"/>
        <item x="211"/>
        <item x="31"/>
        <item x="15"/>
        <item x="59"/>
        <item x="125"/>
        <item x="162"/>
        <item x="163"/>
        <item x="164"/>
        <item x="7"/>
        <item x="126"/>
        <item x="165"/>
        <item x="240"/>
        <item x="166"/>
        <item x="167"/>
        <item x="168"/>
        <item x="32"/>
        <item x="29"/>
        <item x="241"/>
        <item x="242"/>
        <item x="243"/>
        <item x="33"/>
        <item x="34"/>
        <item x="212"/>
        <item x="146"/>
        <item x="60"/>
        <item x="61"/>
        <item x="213"/>
        <item x="191"/>
        <item x="147"/>
        <item x="192"/>
        <item x="94"/>
        <item x="113"/>
        <item x="114"/>
        <item x="95"/>
        <item x="115"/>
        <item x="116"/>
        <item x="62"/>
        <item x="35"/>
        <item x="36"/>
        <item x="244"/>
        <item x="37"/>
        <item x="245"/>
        <item x="148"/>
        <item x="96"/>
        <item x="63"/>
        <item x="193"/>
        <item x="97"/>
        <item x="98"/>
        <item x="99"/>
        <item x="117"/>
        <item x="118"/>
        <item x="149"/>
        <item x="100"/>
        <item x="194"/>
        <item x="246"/>
        <item x="214"/>
        <item x="247"/>
        <item x="101"/>
        <item x="102"/>
        <item x="38"/>
        <item x="195"/>
        <item x="39"/>
        <item x="215"/>
        <item x="196"/>
        <item x="119"/>
        <item x="30"/>
        <item x="248"/>
        <item x="197"/>
        <item x="210"/>
        <item x="120"/>
        <item x="249"/>
        <item x="121"/>
        <item x="122"/>
        <item x="250"/>
        <item x="64"/>
        <item x="65"/>
        <item x="40"/>
        <item x="103"/>
        <item x="104"/>
        <item x="105"/>
        <item x="106"/>
        <item x="251"/>
        <item x="252"/>
        <item x="13"/>
      </items>
    </pivotField>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howAll="0" defaultSubtotal="0"/>
    <pivotField numFmtId="164" showAll="0" defaultSubtotal="0"/>
    <pivotField showAll="0" defaultSubtotal="0"/>
    <pivotField numFmtId="164"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sd="0" x="0"/>
        <item x="5"/>
      </items>
    </pivotField>
    <pivotField axis="axisCol" showAll="0" defaultSubtotal="0">
      <items count="6">
        <item x="1"/>
        <item x="2"/>
        <item x="3"/>
        <item sd="0" x="0"/>
        <item x="4"/>
        <item x="5"/>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3">
    <field x="0"/>
    <field x="5"/>
    <field x="8"/>
  </rowFields>
  <rowItems count="343">
    <i>
      <x v="2"/>
    </i>
    <i r="1">
      <x/>
    </i>
    <i r="2">
      <x v="16"/>
    </i>
    <i r="2">
      <x v="20"/>
    </i>
    <i r="2">
      <x v="23"/>
    </i>
    <i r="2">
      <x v="26"/>
    </i>
    <i r="2">
      <x v="31"/>
    </i>
    <i r="2">
      <x v="37"/>
    </i>
    <i r="2">
      <x v="51"/>
    </i>
    <i r="2">
      <x v="54"/>
    </i>
    <i r="1">
      <x v="1"/>
    </i>
    <i r="2">
      <x v="111"/>
    </i>
    <i r="2">
      <x v="128"/>
    </i>
    <i r="2">
      <x v="135"/>
    </i>
    <i r="2">
      <x v="137"/>
    </i>
    <i r="2">
      <x v="140"/>
    </i>
    <i r="2">
      <x v="155"/>
    </i>
    <i r="2">
      <x v="160"/>
    </i>
    <i r="2">
      <x v="162"/>
    </i>
    <i r="2">
      <x v="163"/>
    </i>
    <i r="2">
      <x v="165"/>
    </i>
    <i r="2">
      <x v="172"/>
    </i>
    <i r="1">
      <x v="2"/>
    </i>
    <i r="2">
      <x v="193"/>
    </i>
    <i r="2">
      <x v="194"/>
    </i>
    <i r="2">
      <x v="205"/>
    </i>
    <i r="2">
      <x v="213"/>
    </i>
    <i r="2">
      <x v="243"/>
    </i>
    <i r="1">
      <x v="3"/>
    </i>
    <i r="2">
      <x v="244"/>
    </i>
    <i r="1">
      <x v="4"/>
    </i>
    <i r="2">
      <x v="54"/>
    </i>
    <i>
      <x v="8"/>
    </i>
    <i r="1">
      <x/>
    </i>
    <i r="2">
      <x v="3"/>
    </i>
    <i r="2">
      <x v="15"/>
    </i>
    <i r="1">
      <x v="1"/>
    </i>
    <i r="2">
      <x v="45"/>
    </i>
    <i r="2">
      <x v="53"/>
    </i>
    <i r="2">
      <x v="59"/>
    </i>
    <i r="2">
      <x v="61"/>
    </i>
    <i r="2">
      <x v="64"/>
    </i>
    <i r="2">
      <x v="65"/>
    </i>
    <i r="2">
      <x v="70"/>
    </i>
    <i r="2">
      <x v="81"/>
    </i>
    <i r="2">
      <x v="82"/>
    </i>
    <i r="2">
      <x v="88"/>
    </i>
    <i r="2">
      <x v="89"/>
    </i>
    <i r="2">
      <x v="103"/>
    </i>
    <i r="2">
      <x v="110"/>
    </i>
    <i r="2">
      <x v="114"/>
    </i>
    <i r="2">
      <x v="117"/>
    </i>
    <i r="2">
      <x v="121"/>
    </i>
    <i r="2">
      <x v="123"/>
    </i>
    <i r="2">
      <x v="131"/>
    </i>
    <i r="2">
      <x v="143"/>
    </i>
    <i r="2">
      <x v="146"/>
    </i>
    <i r="2">
      <x v="154"/>
    </i>
    <i r="2">
      <x v="173"/>
    </i>
    <i r="2">
      <x v="178"/>
    </i>
    <i r="1">
      <x v="2"/>
    </i>
    <i r="2">
      <x v="192"/>
    </i>
    <i r="2">
      <x v="197"/>
    </i>
    <i r="2">
      <x v="211"/>
    </i>
    <i r="2">
      <x v="220"/>
    </i>
    <i>
      <x v="10"/>
    </i>
    <i r="1">
      <x/>
    </i>
    <i r="2">
      <x v="20"/>
    </i>
    <i r="2">
      <x v="22"/>
    </i>
    <i r="2">
      <x v="28"/>
    </i>
    <i r="2">
      <x v="32"/>
    </i>
    <i r="2">
      <x v="33"/>
    </i>
    <i r="2">
      <x v="38"/>
    </i>
    <i r="2">
      <x v="52"/>
    </i>
    <i r="2">
      <x v="57"/>
    </i>
    <i r="2">
      <x v="58"/>
    </i>
    <i r="2">
      <x v="60"/>
    </i>
    <i r="2">
      <x v="63"/>
    </i>
    <i r="2">
      <x v="70"/>
    </i>
    <i r="2">
      <x v="71"/>
    </i>
    <i r="2">
      <x v="74"/>
    </i>
    <i r="2">
      <x v="75"/>
    </i>
    <i r="2">
      <x v="83"/>
    </i>
    <i r="1">
      <x v="1"/>
    </i>
    <i r="2">
      <x v="75"/>
    </i>
    <i r="2">
      <x v="83"/>
    </i>
    <i r="2">
      <x v="107"/>
    </i>
    <i r="2">
      <x v="115"/>
    </i>
    <i r="2">
      <x v="118"/>
    </i>
    <i r="2">
      <x v="119"/>
    </i>
    <i r="2">
      <x v="120"/>
    </i>
    <i r="2">
      <x v="122"/>
    </i>
    <i r="2">
      <x v="125"/>
    </i>
    <i r="2">
      <x v="132"/>
    </i>
    <i r="2">
      <x v="135"/>
    </i>
    <i r="2">
      <x v="136"/>
    </i>
    <i r="2">
      <x v="139"/>
    </i>
    <i r="2">
      <x v="142"/>
    </i>
    <i r="2">
      <x v="147"/>
    </i>
    <i r="2">
      <x v="151"/>
    </i>
    <i r="2">
      <x v="153"/>
    </i>
    <i r="1">
      <x v="2"/>
    </i>
    <i r="2">
      <x v="199"/>
    </i>
    <i r="2">
      <x v="202"/>
    </i>
    <i r="2">
      <x v="212"/>
    </i>
    <i r="2">
      <x v="215"/>
    </i>
    <i r="2">
      <x v="216"/>
    </i>
    <i r="2">
      <x v="217"/>
    </i>
    <i r="2">
      <x v="221"/>
    </i>
    <i r="2">
      <x v="226"/>
    </i>
    <i r="2">
      <x v="227"/>
    </i>
    <i r="1">
      <x v="3"/>
    </i>
    <i r="2">
      <x v="246"/>
    </i>
    <i r="2">
      <x v="247"/>
    </i>
    <i r="2">
      <x v="248"/>
    </i>
    <i r="2">
      <x v="249"/>
    </i>
    <i>
      <x v="11"/>
    </i>
    <i r="1">
      <x/>
    </i>
    <i r="2">
      <x v="12"/>
    </i>
    <i r="2">
      <x v="49"/>
    </i>
    <i r="1">
      <x v="1"/>
    </i>
    <i r="2">
      <x v="49"/>
    </i>
    <i r="2">
      <x v="76"/>
    </i>
    <i r="2">
      <x v="84"/>
    </i>
    <i r="2">
      <x v="138"/>
    </i>
    <i r="2">
      <x v="141"/>
    </i>
    <i r="2">
      <x v="144"/>
    </i>
    <i r="1">
      <x v="2"/>
    </i>
    <i r="2">
      <x v="177"/>
    </i>
    <i>
      <x v="13"/>
    </i>
    <i r="1">
      <x/>
    </i>
    <i r="2">
      <x v="7"/>
    </i>
    <i r="2">
      <x v="9"/>
    </i>
    <i r="2">
      <x v="10"/>
    </i>
    <i r="2">
      <x v="11"/>
    </i>
    <i r="2">
      <x v="14"/>
    </i>
    <i r="2">
      <x v="16"/>
    </i>
    <i r="2">
      <x v="18"/>
    </i>
    <i r="2">
      <x v="19"/>
    </i>
    <i r="2">
      <x v="21"/>
    </i>
    <i r="2">
      <x v="44"/>
    </i>
    <i r="2">
      <x v="46"/>
    </i>
    <i r="2">
      <x v="55"/>
    </i>
    <i r="2">
      <x v="57"/>
    </i>
    <i r="1">
      <x v="1"/>
    </i>
    <i r="2">
      <x v="27"/>
    </i>
    <i r="2">
      <x v="40"/>
    </i>
    <i r="2">
      <x v="42"/>
    </i>
    <i r="2">
      <x v="64"/>
    </i>
    <i r="2">
      <x v="66"/>
    </i>
    <i r="2">
      <x v="72"/>
    </i>
    <i r="2">
      <x v="73"/>
    </i>
    <i r="2">
      <x v="78"/>
    </i>
    <i r="2">
      <x v="88"/>
    </i>
    <i r="2">
      <x v="91"/>
    </i>
    <i r="2">
      <x v="101"/>
    </i>
    <i r="2">
      <x v="104"/>
    </i>
    <i r="2">
      <x v="105"/>
    </i>
    <i r="2">
      <x v="114"/>
    </i>
    <i r="2">
      <x v="116"/>
    </i>
    <i r="2">
      <x v="117"/>
    </i>
    <i r="2">
      <x v="126"/>
    </i>
    <i r="2">
      <x v="158"/>
    </i>
    <i r="1">
      <x v="2"/>
    </i>
    <i r="2">
      <x v="167"/>
    </i>
    <i r="2">
      <x v="168"/>
    </i>
    <i r="2">
      <x v="180"/>
    </i>
    <i r="2">
      <x v="186"/>
    </i>
    <i r="2">
      <x v="187"/>
    </i>
    <i r="2">
      <x v="188"/>
    </i>
    <i r="2">
      <x v="208"/>
    </i>
    <i r="2">
      <x v="210"/>
    </i>
    <i r="2">
      <x v="223"/>
    </i>
    <i r="2">
      <x v="224"/>
    </i>
    <i r="2">
      <x v="225"/>
    </i>
    <i r="2">
      <x v="227"/>
    </i>
    <i r="1">
      <x v="3"/>
    </i>
    <i r="2">
      <x v="235"/>
    </i>
    <i r="2">
      <x v="239"/>
    </i>
    <i r="2">
      <x v="242"/>
    </i>
    <i r="2">
      <x v="250"/>
    </i>
    <i r="2">
      <x v="251"/>
    </i>
    <i>
      <x v="14"/>
    </i>
    <i r="1">
      <x/>
    </i>
    <i r="2">
      <x v="19"/>
    </i>
    <i r="2">
      <x v="34"/>
    </i>
    <i r="2">
      <x v="85"/>
    </i>
    <i r="1">
      <x v="1"/>
    </i>
    <i r="2">
      <x v="87"/>
    </i>
    <i r="2">
      <x v="90"/>
    </i>
    <i r="2">
      <x v="145"/>
    </i>
    <i r="2">
      <x v="156"/>
    </i>
    <i r="1">
      <x v="2"/>
    </i>
    <i r="2">
      <x v="200"/>
    </i>
    <i r="2">
      <x v="201"/>
    </i>
    <i r="2">
      <x v="203"/>
    </i>
    <i r="2">
      <x v="204"/>
    </i>
    <i r="2">
      <x v="218"/>
    </i>
    <i r="2">
      <x v="219"/>
    </i>
    <i r="1">
      <x v="3"/>
    </i>
    <i r="2">
      <x v="233"/>
    </i>
    <i r="2">
      <x v="238"/>
    </i>
    <i r="2">
      <x v="240"/>
    </i>
    <i r="2">
      <x v="241"/>
    </i>
    <i>
      <x v="18"/>
    </i>
    <i r="1">
      <x/>
    </i>
    <i r="2">
      <x/>
    </i>
    <i r="2">
      <x v="1"/>
    </i>
    <i r="2">
      <x v="2"/>
    </i>
    <i r="2">
      <x v="6"/>
    </i>
    <i r="2">
      <x v="13"/>
    </i>
    <i r="2">
      <x v="17"/>
    </i>
    <i r="2">
      <x v="24"/>
    </i>
    <i r="2">
      <x v="34"/>
    </i>
    <i r="2">
      <x v="76"/>
    </i>
    <i r="2">
      <x v="79"/>
    </i>
    <i r="2">
      <x v="87"/>
    </i>
    <i r="1">
      <x v="1"/>
    </i>
    <i r="2">
      <x v="35"/>
    </i>
    <i r="2">
      <x v="84"/>
    </i>
    <i r="2">
      <x v="96"/>
    </i>
    <i r="2">
      <x v="97"/>
    </i>
    <i r="2">
      <x v="98"/>
    </i>
    <i r="2">
      <x v="106"/>
    </i>
    <i r="2">
      <x v="109"/>
    </i>
    <i r="2">
      <x v="114"/>
    </i>
    <i r="2">
      <x v="124"/>
    </i>
    <i r="2">
      <x v="130"/>
    </i>
    <i r="2">
      <x v="140"/>
    </i>
    <i r="2">
      <x v="149"/>
    </i>
    <i r="2">
      <x v="157"/>
    </i>
    <i r="2">
      <x v="166"/>
    </i>
    <i r="1">
      <x v="2"/>
    </i>
    <i r="2">
      <x v="159"/>
    </i>
    <i r="2">
      <x v="161"/>
    </i>
    <i r="2">
      <x v="196"/>
    </i>
    <i r="2">
      <x v="198"/>
    </i>
    <i r="2">
      <x v="214"/>
    </i>
    <i r="2">
      <x v="222"/>
    </i>
    <i r="2">
      <x v="229"/>
    </i>
    <i r="2">
      <x v="232"/>
    </i>
    <i r="1">
      <x v="3"/>
    </i>
    <i r="2">
      <x v="236"/>
    </i>
    <i>
      <x v="20"/>
    </i>
    <i r="1">
      <x/>
    </i>
    <i r="2">
      <x v="4"/>
    </i>
    <i r="2">
      <x v="41"/>
    </i>
    <i r="2">
      <x v="43"/>
    </i>
    <i r="2">
      <x v="47"/>
    </i>
    <i r="2">
      <x v="48"/>
    </i>
    <i r="2">
      <x v="252"/>
    </i>
    <i r="1">
      <x v="1"/>
    </i>
    <i r="2">
      <x v="61"/>
    </i>
    <i r="2">
      <x v="62"/>
    </i>
    <i r="2">
      <x v="63"/>
    </i>
    <i r="2">
      <x v="67"/>
    </i>
    <i r="2">
      <x v="79"/>
    </i>
    <i r="2">
      <x v="80"/>
    </i>
    <i r="2">
      <x v="85"/>
    </i>
    <i r="2">
      <x v="92"/>
    </i>
    <i r="2">
      <x v="127"/>
    </i>
    <i r="2">
      <x v="130"/>
    </i>
    <i r="2">
      <x v="150"/>
    </i>
    <i r="2">
      <x v="152"/>
    </i>
    <i r="2">
      <x v="171"/>
    </i>
    <i r="2">
      <x v="185"/>
    </i>
    <i r="2">
      <x v="252"/>
    </i>
    <i r="1">
      <x v="2"/>
    </i>
    <i r="2">
      <x v="170"/>
    </i>
    <i r="2">
      <x v="184"/>
    </i>
    <i r="2">
      <x v="189"/>
    </i>
    <i r="2">
      <x v="190"/>
    </i>
    <i r="2">
      <x v="206"/>
    </i>
    <i r="2">
      <x v="207"/>
    </i>
    <i r="2">
      <x v="209"/>
    </i>
    <i r="2">
      <x v="228"/>
    </i>
    <i r="2">
      <x v="230"/>
    </i>
    <i r="2">
      <x v="234"/>
    </i>
    <i r="2">
      <x v="252"/>
    </i>
    <i r="1">
      <x v="3"/>
    </i>
    <i r="2">
      <x v="245"/>
    </i>
    <i r="1">
      <x v="4"/>
    </i>
    <i r="2">
      <x v="47"/>
    </i>
    <i>
      <x v="21"/>
    </i>
    <i r="1">
      <x/>
    </i>
    <i r="2">
      <x v="5"/>
    </i>
    <i r="2">
      <x v="22"/>
    </i>
    <i r="2">
      <x v="29"/>
    </i>
    <i r="2">
      <x v="30"/>
    </i>
    <i r="2">
      <x v="36"/>
    </i>
    <i r="2">
      <x v="39"/>
    </i>
    <i r="1">
      <x v="1"/>
    </i>
    <i r="2">
      <x v="22"/>
    </i>
    <i r="2">
      <x v="25"/>
    </i>
    <i r="2">
      <x v="39"/>
    </i>
    <i r="2">
      <x v="68"/>
    </i>
    <i r="2">
      <x v="69"/>
    </i>
    <i r="2">
      <x v="76"/>
    </i>
    <i r="2">
      <x v="81"/>
    </i>
    <i r="2">
      <x v="93"/>
    </i>
    <i r="2">
      <x v="102"/>
    </i>
    <i r="2">
      <x v="108"/>
    </i>
    <i r="2">
      <x v="112"/>
    </i>
    <i r="1">
      <x v="2"/>
    </i>
    <i r="2">
      <x v="174"/>
    </i>
    <i r="2">
      <x v="175"/>
    </i>
    <i r="2">
      <x v="176"/>
    </i>
    <i r="2">
      <x v="179"/>
    </i>
    <i r="2">
      <x v="181"/>
    </i>
    <i r="2">
      <x v="182"/>
    </i>
    <i r="2">
      <x v="183"/>
    </i>
    <i>
      <x v="22"/>
    </i>
    <i r="1">
      <x/>
    </i>
    <i r="2">
      <x v="8"/>
    </i>
    <i r="2">
      <x v="10"/>
    </i>
    <i r="2">
      <x v="19"/>
    </i>
    <i r="2">
      <x v="31"/>
    </i>
    <i r="2">
      <x v="50"/>
    </i>
    <i r="1">
      <x v="1"/>
    </i>
    <i r="2">
      <x v="56"/>
    </i>
    <i r="2">
      <x v="74"/>
    </i>
    <i r="2">
      <x v="77"/>
    </i>
    <i r="2">
      <x v="94"/>
    </i>
    <i r="2">
      <x v="99"/>
    </i>
    <i r="2">
      <x v="100"/>
    </i>
    <i r="2">
      <x v="113"/>
    </i>
    <i r="2">
      <x v="119"/>
    </i>
    <i r="2">
      <x v="120"/>
    </i>
    <i r="2">
      <x v="121"/>
    </i>
    <i r="2">
      <x v="129"/>
    </i>
    <i r="2">
      <x v="133"/>
    </i>
    <i r="2">
      <x v="134"/>
    </i>
    <i r="1">
      <x v="2"/>
    </i>
    <i r="2">
      <x v="151"/>
    </i>
    <i r="2">
      <x v="169"/>
    </i>
    <i r="2">
      <x v="175"/>
    </i>
    <i r="2">
      <x v="191"/>
    </i>
    <i r="2">
      <x v="195"/>
    </i>
    <i r="2">
      <x v="199"/>
    </i>
    <i r="2">
      <x v="224"/>
    </i>
    <i r="2">
      <x v="237"/>
    </i>
    <i r="1">
      <x v="3"/>
    </i>
    <i r="2">
      <x v="231"/>
    </i>
  </rowItems>
  <colFields count="2">
    <field x="25"/>
    <field x="23"/>
  </colFields>
  <colItems count="30">
    <i>
      <x/>
      <x v="7"/>
    </i>
    <i r="1">
      <x v="8"/>
    </i>
    <i r="1">
      <x v="9"/>
    </i>
    <i r="1">
      <x v="10"/>
    </i>
    <i r="1">
      <x v="11"/>
    </i>
    <i r="1">
      <x v="12"/>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dataFields count="1">
    <dataField name="Avg Rent" fld="13" subtotal="average" baseField="23" baseItem="3"/>
  </dataFields>
  <formats count="244">
    <format dxfId="336">
      <pivotArea outline="0" collapsedLevelsAreSubtotals="1" fieldPosition="0"/>
    </format>
    <format dxfId="335">
      <pivotArea type="origin" dataOnly="0" labelOnly="1" outline="0" offset="A4" fieldPosition="0"/>
    </format>
    <format dxfId="334">
      <pivotArea type="all" dataOnly="0" outline="0" fieldPosition="0"/>
    </format>
    <format dxfId="333">
      <pivotArea outline="0" collapsedLevelsAreSubtotals="1" fieldPosition="0"/>
    </format>
    <format dxfId="332">
      <pivotArea type="origin" dataOnly="0" labelOnly="1" outline="0" fieldPosition="0"/>
    </format>
    <format dxfId="331">
      <pivotArea field="25" type="button" dataOnly="0" labelOnly="1" outline="0" axis="axisCol" fieldPosition="0"/>
    </format>
    <format dxfId="330">
      <pivotArea field="24" type="button" dataOnly="0" labelOnly="1" outline="0"/>
    </format>
    <format dxfId="329">
      <pivotArea field="23" type="button" dataOnly="0" labelOnly="1" outline="0" axis="axisCol" fieldPosition="1"/>
    </format>
    <format dxfId="328">
      <pivotArea field="10" type="button" dataOnly="0" labelOnly="1" outline="0"/>
    </format>
    <format dxfId="327">
      <pivotArea type="topRight" dataOnly="0" labelOnly="1" outline="0" fieldPosition="0"/>
    </format>
    <format dxfId="326">
      <pivotArea field="0" type="button" dataOnly="0" labelOnly="1" outline="0" axis="axisRow" fieldPosition="0"/>
    </format>
    <format dxfId="325">
      <pivotArea dataOnly="0" labelOnly="1" fieldPosition="0">
        <references count="1">
          <reference field="0" count="0"/>
        </references>
      </pivotArea>
    </format>
    <format>
      <pivotArea collapsedLevelsAreSubtotals="1" fieldPosition="0">
        <references count="1">
          <reference field="0" count="1">
            <x v="0"/>
          </reference>
        </references>
      </pivotArea>
    </format>
    <format dxfId="324">
      <pivotArea type="origin" dataOnly="0" labelOnly="1" outline="0" offset="A3" fieldPosition="0"/>
    </format>
    <format dxfId="323">
      <pivotArea type="origin" dataOnly="0" labelOnly="1" outline="0" offset="A2" fieldPosition="0"/>
    </format>
    <format dxfId="322">
      <pivotArea type="origin" dataOnly="0" labelOnly="1" outline="0" offset="A2:A3" fieldPosition="0"/>
    </format>
    <format dxfId="321">
      <pivotArea type="origin" dataOnly="0" labelOnly="1" outline="0" offset="A2:A3" fieldPosition="0"/>
    </format>
    <format dxfId="320">
      <pivotArea outline="0" collapsedLevelsAreSubtotals="1" fieldPosition="0"/>
    </format>
    <format dxfId="319">
      <pivotArea field="25" type="button" dataOnly="0" labelOnly="1" outline="0" axis="axisCol" fieldPosition="0"/>
    </format>
    <format dxfId="318">
      <pivotArea field="24" type="button" dataOnly="0" labelOnly="1" outline="0"/>
    </format>
    <format dxfId="317">
      <pivotArea field="23" type="button" dataOnly="0" labelOnly="1" outline="0" axis="axisCol" fieldPosition="1"/>
    </format>
    <format dxfId="316">
      <pivotArea field="10" type="button" dataOnly="0" labelOnly="1" outline="0"/>
    </format>
    <format dxfId="315">
      <pivotArea type="origin" dataOnly="0" labelOnly="1" outline="0" offset="A4" fieldPosition="0"/>
    </format>
    <format dxfId="314">
      <pivotArea field="0" type="button" dataOnly="0" labelOnly="1" outline="0" axis="axisRow" fieldPosition="0"/>
    </format>
    <format dxfId="313">
      <pivotArea collapsedLevelsAreSubtotals="1" fieldPosition="0">
        <references count="1">
          <reference field="25" count="1">
            <x v="0"/>
          </reference>
        </references>
      </pivotArea>
    </format>
    <format dxfId="312">
      <pivotArea collapsedLevelsAreSubtotals="1" fieldPosition="0">
        <references count="1">
          <reference field="25" count="1">
            <x v="1"/>
          </reference>
        </references>
      </pivotArea>
    </format>
    <format dxfId="311">
      <pivotArea collapsedLevelsAreSubtotals="1" fieldPosition="0">
        <references count="1">
          <reference field="25" count="1">
            <x v="2"/>
          </reference>
        </references>
      </pivotArea>
    </format>
    <format dxfId="310">
      <pivotArea field="0" type="button" dataOnly="0" labelOnly="1" outline="0" axis="axisRow" fieldPosition="0"/>
    </format>
    <format dxfId="309">
      <pivotArea field="-2" type="button" dataOnly="0" labelOnly="1" outline="0" axis="axisValues" fieldPosition="0"/>
    </format>
    <format dxfId="308">
      <pivotArea type="topRight" dataOnly="0" labelOnly="1" outline="0" fieldPosition="0"/>
    </format>
    <format dxfId="307">
      <pivotArea dataOnly="0" labelOnly="1" fieldPosition="0">
        <references count="1">
          <reference field="0" count="0"/>
        </references>
      </pivotArea>
    </format>
    <format dxfId="306">
      <pivotArea dataOnly="0" labelOnly="1" outline="0" fieldPosition="0">
        <references count="2">
          <reference field="4294967294" count="1">
            <x v="0"/>
          </reference>
          <reference field="0" count="1" selected="0">
            <x v="2"/>
          </reference>
        </references>
      </pivotArea>
    </format>
    <format dxfId="305">
      <pivotArea dataOnly="0" labelOnly="1" outline="0" fieldPosition="0">
        <references count="2">
          <reference field="4294967294" count="1">
            <x v="0"/>
          </reference>
          <reference field="0" count="1" selected="0">
            <x v="8"/>
          </reference>
        </references>
      </pivotArea>
    </format>
    <format dxfId="304">
      <pivotArea dataOnly="0" labelOnly="1" outline="0" fieldPosition="0">
        <references count="2">
          <reference field="4294967294" count="1">
            <x v="0"/>
          </reference>
          <reference field="0" count="1" selected="0">
            <x v="10"/>
          </reference>
        </references>
      </pivotArea>
    </format>
    <format dxfId="303">
      <pivotArea dataOnly="0" labelOnly="1" outline="0" fieldPosition="0">
        <references count="2">
          <reference field="4294967294" count="1">
            <x v="0"/>
          </reference>
          <reference field="0" count="1" selected="0">
            <x v="11"/>
          </reference>
        </references>
      </pivotArea>
    </format>
    <format dxfId="302">
      <pivotArea dataOnly="0" labelOnly="1" outline="0" fieldPosition="0">
        <references count="2">
          <reference field="4294967294" count="1">
            <x v="0"/>
          </reference>
          <reference field="0" count="1" selected="0">
            <x v="13"/>
          </reference>
        </references>
      </pivotArea>
    </format>
    <format dxfId="301">
      <pivotArea dataOnly="0" labelOnly="1" outline="0" fieldPosition="0">
        <references count="2">
          <reference field="4294967294" count="1">
            <x v="0"/>
          </reference>
          <reference field="0" count="1" selected="0">
            <x v="14"/>
          </reference>
        </references>
      </pivotArea>
    </format>
    <format dxfId="300">
      <pivotArea dataOnly="0" labelOnly="1" outline="0" fieldPosition="0">
        <references count="2">
          <reference field="4294967294" count="1">
            <x v="0"/>
          </reference>
          <reference field="0" count="1" selected="0">
            <x v="18"/>
          </reference>
        </references>
      </pivotArea>
    </format>
    <format dxfId="299">
      <pivotArea dataOnly="0" labelOnly="1" outline="0" fieldPosition="0">
        <references count="2">
          <reference field="4294967294" count="1">
            <x v="0"/>
          </reference>
          <reference field="0" count="1" selected="0">
            <x v="20"/>
          </reference>
        </references>
      </pivotArea>
    </format>
    <format dxfId="298">
      <pivotArea dataOnly="0" labelOnly="1" outline="0" fieldPosition="0">
        <references count="2">
          <reference field="4294967294" count="1">
            <x v="0"/>
          </reference>
          <reference field="0" count="1" selected="0">
            <x v="21"/>
          </reference>
        </references>
      </pivotArea>
    </format>
    <format dxfId="297">
      <pivotArea dataOnly="0" labelOnly="1" outline="0" fieldPosition="0">
        <references count="2">
          <reference field="4294967294" count="1">
            <x v="0"/>
          </reference>
          <reference field="0" count="1" selected="0">
            <x v="22"/>
          </reference>
        </references>
      </pivotArea>
    </format>
    <format dxfId="296">
      <pivotArea outline="0" collapsedLevelsAreSubtotals="1" fieldPosition="0">
        <references count="2">
          <reference field="4294967294" count="1" selected="0">
            <x v="0"/>
          </reference>
          <reference field="0" count="1" selected="0">
            <x v="2"/>
          </reference>
        </references>
      </pivotArea>
    </format>
    <format dxfId="295">
      <pivotArea dataOnly="0" labelOnly="1" outline="0" fieldPosition="0">
        <references count="2">
          <reference field="4294967294" count="1">
            <x v="0"/>
          </reference>
          <reference field="0" count="1" selected="0">
            <x v="2"/>
          </reference>
        </references>
      </pivotArea>
    </format>
    <format dxfId="294">
      <pivotArea type="all" dataOnly="0" outline="0" fieldPosition="0"/>
    </format>
    <format dxfId="293">
      <pivotArea outline="0" collapsedLevelsAreSubtotals="1" fieldPosition="0"/>
    </format>
    <format dxfId="292">
      <pivotArea type="origin" dataOnly="0" labelOnly="1" outline="0" fieldPosition="0"/>
    </format>
    <format dxfId="291">
      <pivotArea field="0" type="button" dataOnly="0" labelOnly="1" outline="0" axis="axisRow" fieldPosition="0"/>
    </format>
    <format dxfId="290">
      <pivotArea field="-2" type="button" dataOnly="0" labelOnly="1" outline="0" axis="axisValues" fieldPosition="0"/>
    </format>
    <format dxfId="289">
      <pivotArea type="topRight" dataOnly="0" labelOnly="1" outline="0" fieldPosition="0"/>
    </format>
    <format dxfId="288">
      <pivotArea field="25" type="button" dataOnly="0" labelOnly="1" outline="0" axis="axisCol" fieldPosition="0"/>
    </format>
    <format dxfId="287">
      <pivotArea dataOnly="0" labelOnly="1" fieldPosition="0">
        <references count="1">
          <reference field="25" count="3">
            <x v="0"/>
            <x v="1"/>
            <x v="2"/>
          </reference>
        </references>
      </pivotArea>
    </format>
    <format dxfId="286">
      <pivotArea dataOnly="0" labelOnly="1" grandRow="1" outline="0" fieldPosition="0"/>
    </format>
    <format dxfId="285">
      <pivotArea dataOnly="0" labelOnly="1" fieldPosition="0">
        <references count="2">
          <reference field="23" count="7">
            <x v="6"/>
            <x v="7"/>
            <x v="8"/>
            <x v="9"/>
            <x v="10"/>
            <x v="11"/>
            <x v="12"/>
          </reference>
          <reference field="25" count="1" selected="0">
            <x v="0"/>
          </reference>
        </references>
      </pivotArea>
    </format>
    <format dxfId="284">
      <pivotArea dataOnly="0" labelOnly="1" fieldPosition="0">
        <references count="2">
          <reference field="23" count="12">
            <x v="1"/>
            <x v="2"/>
            <x v="3"/>
            <x v="4"/>
            <x v="5"/>
            <x v="6"/>
            <x v="7"/>
            <x v="8"/>
            <x v="9"/>
            <x v="10"/>
            <x v="11"/>
            <x v="12"/>
          </reference>
          <reference field="25" count="1" selected="0">
            <x v="1"/>
          </reference>
        </references>
      </pivotArea>
    </format>
    <format dxfId="283">
      <pivotArea dataOnly="0" labelOnly="1" fieldPosition="0">
        <references count="2">
          <reference field="23" count="3">
            <x v="1"/>
            <x v="2"/>
            <x v="3"/>
          </reference>
          <reference field="25" count="1" selected="0">
            <x v="2"/>
          </reference>
        </references>
      </pivotArea>
    </format>
    <format dxfId="282">
      <pivotArea dataOnly="0" labelOnly="1" fieldPosition="0">
        <references count="1">
          <reference field="0" count="0"/>
        </references>
      </pivotArea>
    </format>
    <format dxfId="281">
      <pivotArea dataOnly="0" labelOnly="1" outline="0" fieldPosition="0">
        <references count="2">
          <reference field="4294967294" count="1">
            <x v="0"/>
          </reference>
          <reference field="0" count="1" selected="0">
            <x v="2"/>
          </reference>
        </references>
      </pivotArea>
    </format>
    <format dxfId="280">
      <pivotArea dataOnly="0" labelOnly="1" outline="0" fieldPosition="0">
        <references count="2">
          <reference field="4294967294" count="1">
            <x v="0"/>
          </reference>
          <reference field="0" count="1" selected="0">
            <x v="8"/>
          </reference>
        </references>
      </pivotArea>
    </format>
    <format dxfId="279">
      <pivotArea dataOnly="0" labelOnly="1" outline="0" fieldPosition="0">
        <references count="2">
          <reference field="4294967294" count="1">
            <x v="0"/>
          </reference>
          <reference field="0" count="1" selected="0">
            <x v="10"/>
          </reference>
        </references>
      </pivotArea>
    </format>
    <format dxfId="278">
      <pivotArea dataOnly="0" labelOnly="1" outline="0" fieldPosition="0">
        <references count="2">
          <reference field="4294967294" count="1">
            <x v="0"/>
          </reference>
          <reference field="0" count="1" selected="0">
            <x v="11"/>
          </reference>
        </references>
      </pivotArea>
    </format>
    <format dxfId="277">
      <pivotArea dataOnly="0" labelOnly="1" outline="0" fieldPosition="0">
        <references count="2">
          <reference field="4294967294" count="1">
            <x v="0"/>
          </reference>
          <reference field="0" count="1" selected="0">
            <x v="13"/>
          </reference>
        </references>
      </pivotArea>
    </format>
    <format dxfId="276">
      <pivotArea dataOnly="0" labelOnly="1" outline="0" fieldPosition="0">
        <references count="2">
          <reference field="4294967294" count="1">
            <x v="0"/>
          </reference>
          <reference field="0" count="1" selected="0">
            <x v="14"/>
          </reference>
        </references>
      </pivotArea>
    </format>
    <format dxfId="275">
      <pivotArea dataOnly="0" labelOnly="1" outline="0" fieldPosition="0">
        <references count="2">
          <reference field="4294967294" count="1">
            <x v="0"/>
          </reference>
          <reference field="0" count="1" selected="0">
            <x v="18"/>
          </reference>
        </references>
      </pivotArea>
    </format>
    <format dxfId="274">
      <pivotArea dataOnly="0" labelOnly="1" outline="0" fieldPosition="0">
        <references count="2">
          <reference field="4294967294" count="1">
            <x v="0"/>
          </reference>
          <reference field="0" count="1" selected="0">
            <x v="20"/>
          </reference>
        </references>
      </pivotArea>
    </format>
    <format dxfId="273">
      <pivotArea dataOnly="0" labelOnly="1" outline="0" fieldPosition="0">
        <references count="2">
          <reference field="4294967294" count="1">
            <x v="0"/>
          </reference>
          <reference field="0" count="1" selected="0">
            <x v="21"/>
          </reference>
        </references>
      </pivotArea>
    </format>
    <format dxfId="272">
      <pivotArea dataOnly="0" labelOnly="1" outline="0" fieldPosition="0">
        <references count="2">
          <reference field="4294967294" count="1">
            <x v="0"/>
          </reference>
          <reference field="0" count="1" selected="0">
            <x v="22"/>
          </reference>
        </references>
      </pivotArea>
    </format>
    <format dxfId="271">
      <pivotArea dataOnly="0" outline="0" fieldPosition="0">
        <references count="1">
          <reference field="0" count="1">
            <x v="10"/>
          </reference>
        </references>
      </pivotArea>
    </format>
    <format dxfId="270">
      <pivotArea dataOnly="0" labelOnly="1" fieldPosition="0">
        <references count="1">
          <reference field="0" count="0"/>
        </references>
      </pivotArea>
    </format>
    <format dxfId="269">
      <pivotArea outline="0" collapsedLevelsAreSubtotals="1" fieldPosition="0">
        <references count="2">
          <reference field="4294967294" count="1" selected="0">
            <x v="0"/>
          </reference>
          <reference field="0" count="2" selected="0">
            <x v="2"/>
            <x v="8"/>
          </reference>
        </references>
      </pivotArea>
    </format>
    <format dxfId="268">
      <pivotArea dataOnly="0" labelOnly="1" fieldPosition="0">
        <references count="1">
          <reference field="0" count="2">
            <x v="2"/>
            <x v="8"/>
          </reference>
        </references>
      </pivotArea>
    </format>
    <format>
      <pivotArea outline="0" collapsedLevelsAreSubtotals="1" fieldPosition="0">
        <references count="2">
          <reference field="4294967294" count="1" selected="0">
            <x v="0"/>
          </reference>
          <reference field="0" count="9" selected="0">
            <x v="2"/>
            <x v="8"/>
            <x v="10"/>
            <x v="11"/>
            <x v="13"/>
            <x v="14"/>
            <x v="18"/>
            <x v="20"/>
            <x v="21"/>
          </reference>
        </references>
      </pivotArea>
    </format>
    <format>
      <pivotArea dataOnly="0" labelOnly="1" fieldPosition="0">
        <references count="1">
          <reference field="0" count="0"/>
        </references>
      </pivotArea>
    </format>
    <format dxfId="267">
      <pivotArea dataOnly="0" labelOnly="1" fieldPosition="0">
        <references count="1">
          <reference field="0" count="0"/>
        </references>
      </pivotArea>
    </format>
    <format dxfId="266">
      <pivotArea dataOnly="0" labelOnly="1" grandRow="1" outline="0" fieldPosition="0"/>
    </format>
    <format dxfId="265">
      <pivotArea outline="0" collapsedLevelsAreSubtotals="1" fieldPosition="0"/>
    </format>
    <format dxfId="264">
      <pivotArea field="25" type="button" dataOnly="0" labelOnly="1" outline="0" axis="axisCol" fieldPosition="0"/>
    </format>
    <format dxfId="263">
      <pivotArea dataOnly="0" labelOnly="1" fieldPosition="0">
        <references count="1">
          <reference field="25" count="3">
            <x v="0"/>
            <x v="1"/>
            <x v="2"/>
          </reference>
        </references>
      </pivotArea>
    </format>
    <format dxfId="262">
      <pivotArea dataOnly="0" labelOnly="1" fieldPosition="0">
        <references count="2">
          <reference field="23" count="7">
            <x v="6"/>
            <x v="7"/>
            <x v="8"/>
            <x v="9"/>
            <x v="10"/>
            <x v="11"/>
            <x v="12"/>
          </reference>
          <reference field="25" count="1" selected="0">
            <x v="0"/>
          </reference>
        </references>
      </pivotArea>
    </format>
    <format dxfId="261">
      <pivotArea dataOnly="0" labelOnly="1" fieldPosition="0">
        <references count="2">
          <reference field="23" count="12">
            <x v="1"/>
            <x v="2"/>
            <x v="3"/>
            <x v="4"/>
            <x v="5"/>
            <x v="6"/>
            <x v="7"/>
            <x v="8"/>
            <x v="9"/>
            <x v="10"/>
            <x v="11"/>
            <x v="12"/>
          </reference>
          <reference field="25" count="1" selected="0">
            <x v="1"/>
          </reference>
        </references>
      </pivotArea>
    </format>
    <format dxfId="260">
      <pivotArea dataOnly="0" labelOnly="1" fieldPosition="0">
        <references count="2">
          <reference field="23" count="3">
            <x v="1"/>
            <x v="2"/>
            <x v="3"/>
          </reference>
          <reference field="25" count="1" selected="0">
            <x v="2"/>
          </reference>
        </references>
      </pivotArea>
    </format>
    <format dxfId="259">
      <pivotArea dataOnly="0" labelOnly="1" fieldPosition="0">
        <references count="1">
          <reference field="0" count="0"/>
        </references>
      </pivotArea>
    </format>
    <format dxfId="258">
      <pivotArea dataOnly="0" labelOnly="1" outline="0" fieldPosition="0">
        <references count="2">
          <reference field="4294967294" count="1">
            <x v="0"/>
          </reference>
          <reference field="0" count="1" selected="0">
            <x v="2"/>
          </reference>
        </references>
      </pivotArea>
    </format>
    <format dxfId="257">
      <pivotArea dataOnly="0" labelOnly="1" outline="0" fieldPosition="0">
        <references count="2">
          <reference field="4294967294" count="1">
            <x v="0"/>
          </reference>
          <reference field="0" count="1" selected="0">
            <x v="8"/>
          </reference>
        </references>
      </pivotArea>
    </format>
    <format dxfId="256">
      <pivotArea dataOnly="0" labelOnly="1" outline="0" fieldPosition="0">
        <references count="2">
          <reference field="4294967294" count="1">
            <x v="0"/>
          </reference>
          <reference field="0" count="1" selected="0">
            <x v="10"/>
          </reference>
        </references>
      </pivotArea>
    </format>
    <format dxfId="255">
      <pivotArea dataOnly="0" labelOnly="1" outline="0" fieldPosition="0">
        <references count="2">
          <reference field="4294967294" count="1">
            <x v="0"/>
          </reference>
          <reference field="0" count="1" selected="0">
            <x v="11"/>
          </reference>
        </references>
      </pivotArea>
    </format>
    <format dxfId="254">
      <pivotArea dataOnly="0" labelOnly="1" outline="0" fieldPosition="0">
        <references count="2">
          <reference field="4294967294" count="1">
            <x v="0"/>
          </reference>
          <reference field="0" count="1" selected="0">
            <x v="13"/>
          </reference>
        </references>
      </pivotArea>
    </format>
    <format dxfId="253">
      <pivotArea dataOnly="0" labelOnly="1" outline="0" fieldPosition="0">
        <references count="2">
          <reference field="4294967294" count="1">
            <x v="0"/>
          </reference>
          <reference field="0" count="1" selected="0">
            <x v="14"/>
          </reference>
        </references>
      </pivotArea>
    </format>
    <format dxfId="252">
      <pivotArea dataOnly="0" labelOnly="1" outline="0" fieldPosition="0">
        <references count="2">
          <reference field="4294967294" count="1">
            <x v="0"/>
          </reference>
          <reference field="0" count="1" selected="0">
            <x v="18"/>
          </reference>
        </references>
      </pivotArea>
    </format>
    <format dxfId="251">
      <pivotArea dataOnly="0" labelOnly="1" outline="0" fieldPosition="0">
        <references count="2">
          <reference field="4294967294" count="1">
            <x v="0"/>
          </reference>
          <reference field="0" count="1" selected="0">
            <x v="20"/>
          </reference>
        </references>
      </pivotArea>
    </format>
    <format dxfId="250">
      <pivotArea dataOnly="0" labelOnly="1" outline="0" fieldPosition="0">
        <references count="2">
          <reference field="4294967294" count="1">
            <x v="0"/>
          </reference>
          <reference field="0" count="1" selected="0">
            <x v="21"/>
          </reference>
        </references>
      </pivotArea>
    </format>
    <format dxfId="249">
      <pivotArea dataOnly="0" labelOnly="1" outline="0" fieldPosition="0">
        <references count="2">
          <reference field="4294967294" count="1">
            <x v="0"/>
          </reference>
          <reference field="0" count="1" selected="0">
            <x v="22"/>
          </reference>
        </references>
      </pivotArea>
    </format>
    <format dxfId="248">
      <pivotArea collapsedLevelsAreSubtotals="1" fieldPosition="0">
        <references count="4">
          <reference field="4294967294" count="1" selected="0">
            <x v="0"/>
          </reference>
          <reference field="0" count="1" selected="0">
            <x v="2"/>
          </reference>
          <reference field="23" count="7">
            <x v="6"/>
            <x v="7"/>
            <x v="8"/>
            <x v="9"/>
            <x v="10"/>
            <x v="11"/>
            <x v="12"/>
          </reference>
          <reference field="25" count="1" selected="0">
            <x v="0"/>
          </reference>
        </references>
      </pivotArea>
    </format>
    <format dxfId="247">
      <pivotArea collapsedLevelsAreSubtotals="1" fieldPosition="0">
        <references count="3">
          <reference field="4294967294" count="1" selected="0">
            <x v="0"/>
          </reference>
          <reference field="0" count="1" selected="0">
            <x v="2"/>
          </reference>
          <reference field="25" count="1">
            <x v="1"/>
          </reference>
        </references>
      </pivotArea>
    </format>
    <format dxfId="246">
      <pivotArea collapsedLevelsAreSubtotals="1" fieldPosition="0">
        <references count="4">
          <reference field="4294967294" count="1" selected="0">
            <x v="0"/>
          </reference>
          <reference field="0" count="1" selected="0">
            <x v="2"/>
          </reference>
          <reference field="23" count="12">
            <x v="1"/>
            <x v="2"/>
            <x v="3"/>
            <x v="4"/>
            <x v="5"/>
            <x v="6"/>
            <x v="7"/>
            <x v="8"/>
            <x v="9"/>
            <x v="10"/>
            <x v="11"/>
            <x v="12"/>
          </reference>
          <reference field="25" count="1" selected="0">
            <x v="1"/>
          </reference>
        </references>
      </pivotArea>
    </format>
    <format dxfId="245">
      <pivotArea collapsedLevelsAreSubtotals="1" fieldPosition="0">
        <references count="3">
          <reference field="4294967294" count="1" selected="0">
            <x v="0"/>
          </reference>
          <reference field="0" count="1" selected="0">
            <x v="2"/>
          </reference>
          <reference field="25" count="1">
            <x v="2"/>
          </reference>
        </references>
      </pivotArea>
    </format>
    <format dxfId="244">
      <pivotArea collapsedLevelsAreSubtotals="1" fieldPosition="0">
        <references count="4">
          <reference field="4294967294" count="1" selected="0">
            <x v="0"/>
          </reference>
          <reference field="0" count="1" selected="0">
            <x v="2"/>
          </reference>
          <reference field="23" count="3">
            <x v="1"/>
            <x v="2"/>
            <x v="3"/>
          </reference>
          <reference field="25" count="1" selected="0">
            <x v="2"/>
          </reference>
        </references>
      </pivotArea>
    </format>
    <format dxfId="243">
      <pivotArea collapsedLevelsAreSubtotals="1" fieldPosition="0">
        <references count="4">
          <reference field="4294967294" count="1" selected="0">
            <x v="0"/>
          </reference>
          <reference field="0" count="1" selected="0">
            <x v="8"/>
          </reference>
          <reference field="23" count="1">
            <x v="6"/>
          </reference>
          <reference field="25" count="1" selected="0">
            <x v="0"/>
          </reference>
        </references>
      </pivotArea>
    </format>
    <format dxfId="242">
      <pivotArea collapsedLevelsAreSubtotals="1" fieldPosition="0">
        <references count="4">
          <reference field="4294967294" count="1" selected="0">
            <x v="0"/>
          </reference>
          <reference field="0" count="1" selected="0">
            <x v="10"/>
          </reference>
          <reference field="23" count="1">
            <x v="6"/>
          </reference>
          <reference field="25" count="1" selected="0">
            <x v="0"/>
          </reference>
        </references>
      </pivotArea>
    </format>
    <format dxfId="241">
      <pivotArea collapsedLevelsAreSubtotals="1" fieldPosition="0">
        <references count="4">
          <reference field="4294967294" count="1" selected="0">
            <x v="0"/>
          </reference>
          <reference field="0" count="1" selected="0">
            <x v="11"/>
          </reference>
          <reference field="23" count="1">
            <x v="6"/>
          </reference>
          <reference field="25" count="1" selected="0">
            <x v="0"/>
          </reference>
        </references>
      </pivotArea>
    </format>
    <format dxfId="240">
      <pivotArea collapsedLevelsAreSubtotals="1" fieldPosition="0">
        <references count="4">
          <reference field="4294967294" count="1" selected="0">
            <x v="0"/>
          </reference>
          <reference field="0" count="1" selected="0">
            <x v="13"/>
          </reference>
          <reference field="23" count="1">
            <x v="6"/>
          </reference>
          <reference field="25" count="1" selected="0">
            <x v="0"/>
          </reference>
        </references>
      </pivotArea>
    </format>
    <format dxfId="239">
      <pivotArea collapsedLevelsAreSubtotals="1" fieldPosition="0">
        <references count="4">
          <reference field="4294967294" count="1" selected="0">
            <x v="0"/>
          </reference>
          <reference field="0" count="1" selected="0">
            <x v="14"/>
          </reference>
          <reference field="23" count="1">
            <x v="6"/>
          </reference>
          <reference field="25" count="1" selected="0">
            <x v="0"/>
          </reference>
        </references>
      </pivotArea>
    </format>
    <format dxfId="238">
      <pivotArea collapsedLevelsAreSubtotals="1" fieldPosition="0">
        <references count="4">
          <reference field="4294967294" count="1" selected="0">
            <x v="0"/>
          </reference>
          <reference field="0" count="1" selected="0">
            <x v="18"/>
          </reference>
          <reference field="23" count="1">
            <x v="6"/>
          </reference>
          <reference field="25" count="1" selected="0">
            <x v="0"/>
          </reference>
        </references>
      </pivotArea>
    </format>
    <format dxfId="237">
      <pivotArea collapsedLevelsAreSubtotals="1" fieldPosition="0">
        <references count="4">
          <reference field="4294967294" count="1" selected="0">
            <x v="0"/>
          </reference>
          <reference field="0" count="1" selected="0">
            <x v="20"/>
          </reference>
          <reference field="23" count="1">
            <x v="6"/>
          </reference>
          <reference field="25" count="1" selected="0">
            <x v="0"/>
          </reference>
        </references>
      </pivotArea>
    </format>
    <format dxfId="236">
      <pivotArea collapsedLevelsAreSubtotals="1" fieldPosition="0">
        <references count="4">
          <reference field="4294967294" count="1" selected="0">
            <x v="0"/>
          </reference>
          <reference field="0" count="1" selected="0">
            <x v="21"/>
          </reference>
          <reference field="23" count="1">
            <x v="6"/>
          </reference>
          <reference field="25" count="1" selected="0">
            <x v="0"/>
          </reference>
        </references>
      </pivotArea>
    </format>
    <format dxfId="235">
      <pivotArea collapsedLevelsAreSubtotals="1" fieldPosition="0">
        <references count="4">
          <reference field="4294967294" count="1" selected="0">
            <x v="0"/>
          </reference>
          <reference field="0" count="1" selected="0">
            <x v="22"/>
          </reference>
          <reference field="23" count="1">
            <x v="6"/>
          </reference>
          <reference field="25" count="1" selected="0">
            <x v="0"/>
          </reference>
        </references>
      </pivotArea>
    </format>
    <format dxfId="234">
      <pivotArea dataOnly="0" labelOnly="1" fieldPosition="0">
        <references count="1">
          <reference field="0" count="0"/>
        </references>
      </pivotArea>
    </format>
    <format dxfId="233">
      <pivotArea type="all" dataOnly="0" outline="0" fieldPosition="0"/>
    </format>
    <format dxfId="232">
      <pivotArea outline="0" collapsedLevelsAreSubtotals="1" fieldPosition="0"/>
    </format>
    <format dxfId="231">
      <pivotArea type="origin" dataOnly="0" labelOnly="1" outline="0" fieldPosition="0"/>
    </format>
    <format dxfId="230">
      <pivotArea field="0" type="button" dataOnly="0" labelOnly="1" outline="0" axis="axisRow" fieldPosition="0"/>
    </format>
    <format dxfId="229">
      <pivotArea field="-2" type="button" dataOnly="0" labelOnly="1" outline="0" axis="axisValues" fieldPosition="0"/>
    </format>
    <format dxfId="228">
      <pivotArea type="topRight" dataOnly="0" labelOnly="1" outline="0" fieldPosition="0"/>
    </format>
    <format dxfId="227">
      <pivotArea field="25" type="button" dataOnly="0" labelOnly="1" outline="0" axis="axisCol" fieldPosition="0"/>
    </format>
    <format dxfId="226">
      <pivotArea dataOnly="0" labelOnly="1" fieldPosition="0">
        <references count="1">
          <reference field="25" count="3">
            <x v="0"/>
            <x v="1"/>
            <x v="2"/>
          </reference>
        </references>
      </pivotArea>
    </format>
    <format dxfId="225">
      <pivotArea dataOnly="0" labelOnly="1" fieldPosition="0">
        <references count="2">
          <reference field="23" count="7">
            <x v="6"/>
            <x v="7"/>
            <x v="8"/>
            <x v="9"/>
            <x v="10"/>
            <x v="11"/>
            <x v="12"/>
          </reference>
          <reference field="25" count="1" selected="0">
            <x v="0"/>
          </reference>
        </references>
      </pivotArea>
    </format>
    <format dxfId="224">
      <pivotArea dataOnly="0" labelOnly="1" fieldPosition="0">
        <references count="2">
          <reference field="23" count="12">
            <x v="1"/>
            <x v="2"/>
            <x v="3"/>
            <x v="4"/>
            <x v="5"/>
            <x v="6"/>
            <x v="7"/>
            <x v="8"/>
            <x v="9"/>
            <x v="10"/>
            <x v="11"/>
            <x v="12"/>
          </reference>
          <reference field="25" count="1" selected="0">
            <x v="1"/>
          </reference>
        </references>
      </pivotArea>
    </format>
    <format dxfId="223">
      <pivotArea dataOnly="0" labelOnly="1" fieldPosition="0">
        <references count="2">
          <reference field="23" count="3">
            <x v="1"/>
            <x v="2"/>
            <x v="3"/>
          </reference>
          <reference field="25" count="1" selected="0">
            <x v="2"/>
          </reference>
        </references>
      </pivotArea>
    </format>
    <format dxfId="222">
      <pivotArea dataOnly="0" labelOnly="1" fieldPosition="0">
        <references count="1">
          <reference field="0" count="0"/>
        </references>
      </pivotArea>
    </format>
    <format dxfId="221">
      <pivotArea dataOnly="0" labelOnly="1" outline="0" fieldPosition="0">
        <references count="2">
          <reference field="4294967294" count="1">
            <x v="0"/>
          </reference>
          <reference field="0" count="1" selected="0">
            <x v="2"/>
          </reference>
        </references>
      </pivotArea>
    </format>
    <format dxfId="220">
      <pivotArea dataOnly="0" labelOnly="1" outline="0" fieldPosition="0">
        <references count="2">
          <reference field="4294967294" count="1">
            <x v="0"/>
          </reference>
          <reference field="0" count="1" selected="0">
            <x v="8"/>
          </reference>
        </references>
      </pivotArea>
    </format>
    <format dxfId="219">
      <pivotArea dataOnly="0" labelOnly="1" outline="0" fieldPosition="0">
        <references count="2">
          <reference field="4294967294" count="1">
            <x v="0"/>
          </reference>
          <reference field="0" count="1" selected="0">
            <x v="10"/>
          </reference>
        </references>
      </pivotArea>
    </format>
    <format dxfId="218">
      <pivotArea dataOnly="0" labelOnly="1" outline="0" fieldPosition="0">
        <references count="2">
          <reference field="4294967294" count="1">
            <x v="0"/>
          </reference>
          <reference field="0" count="1" selected="0">
            <x v="11"/>
          </reference>
        </references>
      </pivotArea>
    </format>
    <format dxfId="217">
      <pivotArea dataOnly="0" labelOnly="1" outline="0" fieldPosition="0">
        <references count="2">
          <reference field="4294967294" count="1">
            <x v="0"/>
          </reference>
          <reference field="0" count="1" selected="0">
            <x v="13"/>
          </reference>
        </references>
      </pivotArea>
    </format>
    <format dxfId="216">
      <pivotArea dataOnly="0" labelOnly="1" outline="0" fieldPosition="0">
        <references count="2">
          <reference field="4294967294" count="1">
            <x v="0"/>
          </reference>
          <reference field="0" count="1" selected="0">
            <x v="14"/>
          </reference>
        </references>
      </pivotArea>
    </format>
    <format dxfId="215">
      <pivotArea dataOnly="0" labelOnly="1" outline="0" fieldPosition="0">
        <references count="2">
          <reference field="4294967294" count="1">
            <x v="0"/>
          </reference>
          <reference field="0" count="1" selected="0">
            <x v="18"/>
          </reference>
        </references>
      </pivotArea>
    </format>
    <format dxfId="214">
      <pivotArea dataOnly="0" labelOnly="1" outline="0" fieldPosition="0">
        <references count="2">
          <reference field="4294967294" count="1">
            <x v="0"/>
          </reference>
          <reference field="0" count="1" selected="0">
            <x v="20"/>
          </reference>
        </references>
      </pivotArea>
    </format>
    <format dxfId="213">
      <pivotArea dataOnly="0" labelOnly="1" outline="0" fieldPosition="0">
        <references count="2">
          <reference field="4294967294" count="1">
            <x v="0"/>
          </reference>
          <reference field="0" count="1" selected="0">
            <x v="21"/>
          </reference>
        </references>
      </pivotArea>
    </format>
    <format dxfId="212">
      <pivotArea dataOnly="0" labelOnly="1" outline="0" fieldPosition="0">
        <references count="2">
          <reference field="4294967294" count="1">
            <x v="0"/>
          </reference>
          <reference field="0" count="1" selected="0">
            <x v="22"/>
          </reference>
        </references>
      </pivotArea>
    </format>
    <format dxfId="211">
      <pivotArea field="25" type="button" dataOnly="0" labelOnly="1" outline="0" axis="axisCol" fieldPosition="0"/>
    </format>
    <format dxfId="210">
      <pivotArea dataOnly="0" labelOnly="1" outline="0" fieldPosition="0">
        <references count="2">
          <reference field="4294967294" count="1">
            <x v="0"/>
          </reference>
          <reference field="0" count="1" selected="0">
            <x v="2"/>
          </reference>
        </references>
      </pivotArea>
    </format>
    <format dxfId="209">
      <pivotArea dataOnly="0" labelOnly="1" outline="0" fieldPosition="0">
        <references count="2">
          <reference field="4294967294" count="1">
            <x v="0"/>
          </reference>
          <reference field="0" count="1" selected="0">
            <x v="8"/>
          </reference>
        </references>
      </pivotArea>
    </format>
    <format dxfId="208">
      <pivotArea dataOnly="0" labelOnly="1" outline="0" fieldPosition="0">
        <references count="2">
          <reference field="4294967294" count="1">
            <x v="0"/>
          </reference>
          <reference field="0" count="1" selected="0">
            <x v="10"/>
          </reference>
        </references>
      </pivotArea>
    </format>
    <format dxfId="207">
      <pivotArea dataOnly="0" labelOnly="1" outline="0" fieldPosition="0">
        <references count="2">
          <reference field="4294967294" count="1">
            <x v="0"/>
          </reference>
          <reference field="0" count="1" selected="0">
            <x v="11"/>
          </reference>
        </references>
      </pivotArea>
    </format>
    <format dxfId="206">
      <pivotArea dataOnly="0" labelOnly="1" outline="0" fieldPosition="0">
        <references count="2">
          <reference field="4294967294" count="1">
            <x v="0"/>
          </reference>
          <reference field="0" count="1" selected="0">
            <x v="13"/>
          </reference>
        </references>
      </pivotArea>
    </format>
    <format dxfId="205">
      <pivotArea dataOnly="0" labelOnly="1" outline="0" fieldPosition="0">
        <references count="2">
          <reference field="4294967294" count="1">
            <x v="0"/>
          </reference>
          <reference field="0" count="1" selected="0">
            <x v="14"/>
          </reference>
        </references>
      </pivotArea>
    </format>
    <format dxfId="204">
      <pivotArea dataOnly="0" labelOnly="1" outline="0" fieldPosition="0">
        <references count="2">
          <reference field="4294967294" count="1">
            <x v="0"/>
          </reference>
          <reference field="0" count="1" selected="0">
            <x v="18"/>
          </reference>
        </references>
      </pivotArea>
    </format>
    <format dxfId="203">
      <pivotArea dataOnly="0" labelOnly="1" outline="0" fieldPosition="0">
        <references count="2">
          <reference field="4294967294" count="1">
            <x v="0"/>
          </reference>
          <reference field="0" count="1" selected="0">
            <x v="20"/>
          </reference>
        </references>
      </pivotArea>
    </format>
    <format dxfId="202">
      <pivotArea dataOnly="0" labelOnly="1" outline="0" fieldPosition="0">
        <references count="2">
          <reference field="4294967294" count="1">
            <x v="0"/>
          </reference>
          <reference field="0" count="1" selected="0">
            <x v="21"/>
          </reference>
        </references>
      </pivotArea>
    </format>
    <format dxfId="201">
      <pivotArea dataOnly="0" labelOnly="1" outline="0" fieldPosition="0">
        <references count="2">
          <reference field="4294967294" count="1">
            <x v="0"/>
          </reference>
          <reference field="0" count="1" selected="0">
            <x v="22"/>
          </reference>
        </references>
      </pivotArea>
    </format>
    <format dxfId="200">
      <pivotArea type="all" dataOnly="0" outline="0" fieldPosition="0"/>
    </format>
    <format dxfId="199">
      <pivotArea dataOnly="0" outline="0" fieldPosition="0">
        <references count="1">
          <reference field="0" count="1">
            <x v="2"/>
          </reference>
        </references>
      </pivotArea>
    </format>
    <format dxfId="198">
      <pivotArea outline="0" collapsedLevelsAreSubtotals="1" fieldPosition="0">
        <references count="2">
          <reference field="4294967294" count="1" selected="0">
            <x v="0"/>
          </reference>
          <reference field="0" count="1" selected="0">
            <x v="8"/>
          </reference>
        </references>
      </pivotArea>
    </format>
    <format dxfId="197">
      <pivotArea type="all" dataOnly="0" outline="0" fieldPosition="0"/>
    </format>
    <format dxfId="196">
      <pivotArea outline="0" collapsedLevelsAreSubtotals="1" fieldPosition="0"/>
    </format>
    <format dxfId="195">
      <pivotArea type="origin" dataOnly="0" labelOnly="1" outline="0" fieldPosition="0"/>
    </format>
    <format dxfId="194">
      <pivotArea field="0" type="button" dataOnly="0" labelOnly="1" outline="0" axis="axisRow" fieldPosition="0"/>
    </format>
    <format dxfId="193">
      <pivotArea field="-2" type="button" dataOnly="0" labelOnly="1" outline="0" axis="axisValues" fieldPosition="0"/>
    </format>
    <format dxfId="192">
      <pivotArea type="topRight" dataOnly="0" labelOnly="1" outline="0" fieldPosition="0"/>
    </format>
    <format dxfId="191">
      <pivotArea field="25" type="button" dataOnly="0" labelOnly="1" outline="0" axis="axisCol" fieldPosition="0"/>
    </format>
    <format dxfId="190">
      <pivotArea dataOnly="0" labelOnly="1" fieldPosition="0">
        <references count="1">
          <reference field="25" count="0"/>
        </references>
      </pivotArea>
    </format>
    <format dxfId="189">
      <pivotArea dataOnly="0" labelOnly="1" fieldPosition="0">
        <references count="2">
          <reference field="23" count="7">
            <x v="6"/>
            <x v="7"/>
            <x v="8"/>
            <x v="9"/>
            <x v="10"/>
            <x v="11"/>
            <x v="12"/>
          </reference>
          <reference field="25" count="1" selected="0">
            <x v="0"/>
          </reference>
        </references>
      </pivotArea>
    </format>
    <format dxfId="188">
      <pivotArea dataOnly="0" labelOnly="1" fieldPosition="0">
        <references count="2">
          <reference field="23" count="12">
            <x v="1"/>
            <x v="2"/>
            <x v="3"/>
            <x v="4"/>
            <x v="5"/>
            <x v="6"/>
            <x v="7"/>
            <x v="8"/>
            <x v="9"/>
            <x v="10"/>
            <x v="11"/>
            <x v="12"/>
          </reference>
          <reference field="25" count="1" selected="0">
            <x v="1"/>
          </reference>
        </references>
      </pivotArea>
    </format>
    <format dxfId="187">
      <pivotArea dataOnly="0" labelOnly="1" fieldPosition="0">
        <references count="2">
          <reference field="23" count="4">
            <x v="1"/>
            <x v="2"/>
            <x v="3"/>
            <x v="4"/>
          </reference>
          <reference field="25" count="1" selected="0">
            <x v="2"/>
          </reference>
        </references>
      </pivotArea>
    </format>
    <format dxfId="186">
      <pivotArea dataOnly="0" labelOnly="1" fieldPosition="0">
        <references count="1">
          <reference field="0" count="0"/>
        </references>
      </pivotArea>
    </format>
    <format dxfId="185">
      <pivotArea dataOnly="0" labelOnly="1" outline="0" fieldPosition="0">
        <references count="2">
          <reference field="4294967294" count="1">
            <x v="0"/>
          </reference>
          <reference field="0" count="1" selected="0">
            <x v="2"/>
          </reference>
        </references>
      </pivotArea>
    </format>
    <format dxfId="184">
      <pivotArea dataOnly="0" labelOnly="1" outline="0" fieldPosition="0">
        <references count="2">
          <reference field="4294967294" count="1">
            <x v="0"/>
          </reference>
          <reference field="0" count="1" selected="0">
            <x v="8"/>
          </reference>
        </references>
      </pivotArea>
    </format>
    <format dxfId="183">
      <pivotArea dataOnly="0" labelOnly="1" outline="0" fieldPosition="0">
        <references count="2">
          <reference field="4294967294" count="1">
            <x v="0"/>
          </reference>
          <reference field="0" count="1" selected="0">
            <x v="10"/>
          </reference>
        </references>
      </pivotArea>
    </format>
    <format dxfId="182">
      <pivotArea dataOnly="0" labelOnly="1" outline="0" fieldPosition="0">
        <references count="2">
          <reference field="4294967294" count="1">
            <x v="0"/>
          </reference>
          <reference field="0" count="1" selected="0">
            <x v="11"/>
          </reference>
        </references>
      </pivotArea>
    </format>
    <format dxfId="181">
      <pivotArea dataOnly="0" labelOnly="1" outline="0" fieldPosition="0">
        <references count="2">
          <reference field="4294967294" count="1">
            <x v="0"/>
          </reference>
          <reference field="0" count="1" selected="0">
            <x v="13"/>
          </reference>
        </references>
      </pivotArea>
    </format>
    <format dxfId="180">
      <pivotArea dataOnly="0" labelOnly="1" outline="0" fieldPosition="0">
        <references count="2">
          <reference field="4294967294" count="1">
            <x v="0"/>
          </reference>
          <reference field="0" count="1" selected="0">
            <x v="14"/>
          </reference>
        </references>
      </pivotArea>
    </format>
    <format dxfId="179">
      <pivotArea dataOnly="0" labelOnly="1" outline="0" fieldPosition="0">
        <references count="2">
          <reference field="4294967294" count="1">
            <x v="0"/>
          </reference>
          <reference field="0" count="1" selected="0">
            <x v="18"/>
          </reference>
        </references>
      </pivotArea>
    </format>
    <format dxfId="178">
      <pivotArea dataOnly="0" labelOnly="1" outline="0" fieldPosition="0">
        <references count="2">
          <reference field="4294967294" count="1">
            <x v="0"/>
          </reference>
          <reference field="0" count="1" selected="0">
            <x v="20"/>
          </reference>
        </references>
      </pivotArea>
    </format>
    <format dxfId="177">
      <pivotArea dataOnly="0" labelOnly="1" outline="0" fieldPosition="0">
        <references count="2">
          <reference field="4294967294" count="1">
            <x v="0"/>
          </reference>
          <reference field="0" count="1" selected="0">
            <x v="21"/>
          </reference>
        </references>
      </pivotArea>
    </format>
    <format dxfId="176">
      <pivotArea dataOnly="0" labelOnly="1" outline="0" fieldPosition="0">
        <references count="2">
          <reference field="4294967294" count="1">
            <x v="0"/>
          </reference>
          <reference field="0" count="1" selected="0">
            <x v="22"/>
          </reference>
        </references>
      </pivotArea>
    </format>
    <format dxfId="175">
      <pivotArea dataOnly="0" labelOnly="1" fieldPosition="0">
        <references count="1">
          <reference field="25" count="1">
            <x v="1"/>
          </reference>
        </references>
      </pivotArea>
    </format>
    <format dxfId="174">
      <pivotArea dataOnly="0" labelOnly="1" fieldPosition="0">
        <references count="1">
          <reference field="25" count="1">
            <x v="2"/>
          </reference>
        </references>
      </pivotArea>
    </format>
    <format dxfId="173">
      <pivotArea dataOnly="0" labelOnly="1" fieldPosition="0">
        <references count="1">
          <reference field="25" count="1">
            <x v="0"/>
          </reference>
        </references>
      </pivotArea>
    </format>
    <format dxfId="172">
      <pivotArea dataOnly="0" labelOnly="1" fieldPosition="0">
        <references count="1">
          <reference field="0" count="0"/>
        </references>
      </pivotArea>
    </format>
    <format dxfId="171">
      <pivotArea outline="0" collapsedLevelsAreSubtotals="1" fieldPosition="0">
        <references count="2">
          <reference field="4294967294" count="1" selected="0">
            <x v="0"/>
          </reference>
          <reference field="0" count="1" selected="0">
            <x v="8"/>
          </reference>
        </references>
      </pivotArea>
    </format>
    <format dxfId="170">
      <pivotArea dataOnly="0" labelOnly="1" offset="IV1" fieldPosition="0">
        <references count="1">
          <reference field="0" count="1">
            <x v="8"/>
          </reference>
        </references>
      </pivotArea>
    </format>
    <format dxfId="169">
      <pivotArea outline="0" collapsedLevelsAreSubtotals="1" fieldPosition="0">
        <references count="2">
          <reference field="4294967294" count="1" selected="0">
            <x v="0"/>
          </reference>
          <reference field="0" count="1" selected="0">
            <x v="10"/>
          </reference>
        </references>
      </pivotArea>
    </format>
    <format dxfId="168">
      <pivotArea dataOnly="0" labelOnly="1" offset="IV1" fieldPosition="0">
        <references count="1">
          <reference field="0" count="1">
            <x v="10"/>
          </reference>
        </references>
      </pivotArea>
    </format>
    <format dxfId="167">
      <pivotArea outline="0" collapsedLevelsAreSubtotals="1" fieldPosition="0">
        <references count="2">
          <reference field="4294967294" count="1" selected="0">
            <x v="0"/>
          </reference>
          <reference field="0" count="1" selected="0">
            <x v="2"/>
          </reference>
        </references>
      </pivotArea>
    </format>
    <format dxfId="166">
      <pivotArea dataOnly="0" labelOnly="1" offset="IV1" fieldPosition="0">
        <references count="1">
          <reference field="0" count="1">
            <x v="2"/>
          </reference>
        </references>
      </pivotArea>
    </format>
    <format dxfId="165">
      <pivotArea dataOnly="0" outline="0" fieldPosition="0">
        <references count="1">
          <reference field="0" count="1">
            <x v="11"/>
          </reference>
        </references>
      </pivotArea>
    </format>
    <format dxfId="164">
      <pivotArea dataOnly="0" outline="0" fieldPosition="0">
        <references count="1">
          <reference field="0" count="1">
            <x v="13"/>
          </reference>
        </references>
      </pivotArea>
    </format>
    <format dxfId="163">
      <pivotArea dataOnly="0" outline="0" fieldPosition="0">
        <references count="1">
          <reference field="0" count="1">
            <x v="14"/>
          </reference>
        </references>
      </pivotArea>
    </format>
    <format dxfId="162">
      <pivotArea dataOnly="0" outline="0" fieldPosition="0">
        <references count="1">
          <reference field="4294967294" count="1">
            <x v="0"/>
          </reference>
        </references>
      </pivotArea>
    </format>
    <format dxfId="161">
      <pivotArea dataOnly="0" labelOnly="1" offset="IV1" fieldPosition="0">
        <references count="1">
          <reference field="0" count="1">
            <x v="18"/>
          </reference>
        </references>
      </pivotArea>
    </format>
    <format dxfId="160">
      <pivotArea dataOnly="0" labelOnly="1" offset="IV1" fieldPosition="0">
        <references count="1">
          <reference field="0" count="1">
            <x v="20"/>
          </reference>
        </references>
      </pivotArea>
    </format>
    <format dxfId="159">
      <pivotArea dataOnly="0" labelOnly="1" offset="IV1" fieldPosition="0">
        <references count="1">
          <reference field="0" count="1">
            <x v="21"/>
          </reference>
        </references>
      </pivotArea>
    </format>
    <format dxfId="158">
      <pivotArea dataOnly="0" labelOnly="1" offset="IV1" fieldPosition="0">
        <references count="1">
          <reference field="0" count="1">
            <x v="22"/>
          </reference>
        </references>
      </pivotArea>
    </format>
    <format dxfId="157">
      <pivotArea dataOnly="0" outline="0" fieldPosition="0">
        <references count="1">
          <reference field="0" count="1">
            <x v="22"/>
          </reference>
        </references>
      </pivotArea>
    </format>
    <format dxfId="156">
      <pivotArea dataOnly="0" labelOnly="1" fieldPosition="0">
        <references count="1">
          <reference field="0" count="0"/>
        </references>
      </pivotArea>
    </format>
    <format dxfId="155">
      <pivotArea dataOnly="0" labelOnly="1" fieldPosition="0">
        <references count="1">
          <reference field="0" count="0"/>
        </references>
      </pivotArea>
    </format>
    <format dxfId="154">
      <pivotArea dataOnly="0" labelOnly="1" fieldPosition="0">
        <references count="1">
          <reference field="0" count="9">
            <x v="2"/>
            <x v="8"/>
            <x v="10"/>
            <x v="11"/>
            <x v="13"/>
            <x v="14"/>
            <x v="18"/>
            <x v="20"/>
            <x v="21"/>
          </reference>
        </references>
      </pivotArea>
    </format>
    <format dxfId="153">
      <pivotArea dataOnly="0" labelOnly="1" fieldPosition="0">
        <references count="1">
          <reference field="0" count="1">
            <x v="22"/>
          </reference>
        </references>
      </pivotArea>
    </format>
    <format dxfId="152">
      <pivotArea outline="0" collapsedLevelsAreSubtotals="1" fieldPosition="0"/>
    </format>
    <format dxfId="151">
      <pivotArea type="origin" dataOnly="0" labelOnly="1" outline="0" offset="A2" fieldPosition="0"/>
    </format>
    <format dxfId="150">
      <pivotArea field="0" type="button" dataOnly="0" labelOnly="1" outline="0" axis="axisRow" fieldPosition="0"/>
    </format>
    <format dxfId="149">
      <pivotArea dataOnly="0" labelOnly="1" fieldPosition="0">
        <references count="1">
          <reference field="0" count="0"/>
        </references>
      </pivotArea>
    </format>
    <format dxfId="148">
      <pivotArea dataOnly="0" labelOnly="1" fieldPosition="0">
        <references count="2">
          <reference field="0" count="1" selected="0">
            <x v="2"/>
          </reference>
          <reference field="5" count="0"/>
        </references>
      </pivotArea>
    </format>
    <format dxfId="147">
      <pivotArea dataOnly="0" labelOnly="1" fieldPosition="0">
        <references count="2">
          <reference field="0" count="1" selected="0">
            <x v="8"/>
          </reference>
          <reference field="5" count="3">
            <x v="0"/>
            <x v="1"/>
            <x v="2"/>
          </reference>
        </references>
      </pivotArea>
    </format>
    <format dxfId="146">
      <pivotArea dataOnly="0" labelOnly="1" fieldPosition="0">
        <references count="2">
          <reference field="0" count="1" selected="0">
            <x v="10"/>
          </reference>
          <reference field="5" count="4">
            <x v="0"/>
            <x v="1"/>
            <x v="2"/>
            <x v="3"/>
          </reference>
        </references>
      </pivotArea>
    </format>
    <format dxfId="145">
      <pivotArea dataOnly="0" labelOnly="1" fieldPosition="0">
        <references count="2">
          <reference field="0" count="1" selected="0">
            <x v="11"/>
          </reference>
          <reference field="5" count="3">
            <x v="0"/>
            <x v="1"/>
            <x v="2"/>
          </reference>
        </references>
      </pivotArea>
    </format>
    <format dxfId="144">
      <pivotArea dataOnly="0" labelOnly="1" fieldPosition="0">
        <references count="2">
          <reference field="0" count="1" selected="0">
            <x v="13"/>
          </reference>
          <reference field="5" count="4">
            <x v="0"/>
            <x v="1"/>
            <x v="2"/>
            <x v="3"/>
          </reference>
        </references>
      </pivotArea>
    </format>
    <format dxfId="143">
      <pivotArea dataOnly="0" labelOnly="1" fieldPosition="0">
        <references count="2">
          <reference field="0" count="1" selected="0">
            <x v="14"/>
          </reference>
          <reference field="5" count="4">
            <x v="0"/>
            <x v="1"/>
            <x v="2"/>
            <x v="3"/>
          </reference>
        </references>
      </pivotArea>
    </format>
    <format dxfId="142">
      <pivotArea dataOnly="0" labelOnly="1" fieldPosition="0">
        <references count="2">
          <reference field="0" count="1" selected="0">
            <x v="18"/>
          </reference>
          <reference field="5" count="4">
            <x v="0"/>
            <x v="1"/>
            <x v="2"/>
            <x v="3"/>
          </reference>
        </references>
      </pivotArea>
    </format>
    <format dxfId="141">
      <pivotArea dataOnly="0" labelOnly="1" fieldPosition="0">
        <references count="2">
          <reference field="0" count="1" selected="0">
            <x v="20"/>
          </reference>
          <reference field="5" count="0"/>
        </references>
      </pivotArea>
    </format>
    <format dxfId="140">
      <pivotArea dataOnly="0" labelOnly="1" fieldPosition="0">
        <references count="2">
          <reference field="0" count="1" selected="0">
            <x v="21"/>
          </reference>
          <reference field="5" count="3">
            <x v="0"/>
            <x v="1"/>
            <x v="2"/>
          </reference>
        </references>
      </pivotArea>
    </format>
    <format dxfId="139">
      <pivotArea dataOnly="0" labelOnly="1" fieldPosition="0">
        <references count="2">
          <reference field="0" count="1" selected="0">
            <x v="22"/>
          </reference>
          <reference field="5" count="4">
            <x v="0"/>
            <x v="1"/>
            <x v="2"/>
            <x v="3"/>
          </reference>
        </references>
      </pivotArea>
    </format>
    <format dxfId="138">
      <pivotArea dataOnly="0" labelOnly="1" fieldPosition="0">
        <references count="3">
          <reference field="0" count="1" selected="0">
            <x v="2"/>
          </reference>
          <reference field="5" count="1" selected="0">
            <x v="0"/>
          </reference>
          <reference field="8" count="8">
            <x v="16"/>
            <x v="20"/>
            <x v="23"/>
            <x v="26"/>
            <x v="31"/>
            <x v="37"/>
            <x v="51"/>
            <x v="54"/>
          </reference>
        </references>
      </pivotArea>
    </format>
    <format dxfId="137">
      <pivotArea dataOnly="0" labelOnly="1" fieldPosition="0">
        <references count="3">
          <reference field="0" count="1" selected="0">
            <x v="2"/>
          </reference>
          <reference field="5" count="1" selected="0">
            <x v="1"/>
          </reference>
          <reference field="8" count="11">
            <x v="111"/>
            <x v="128"/>
            <x v="135"/>
            <x v="137"/>
            <x v="140"/>
            <x v="155"/>
            <x v="160"/>
            <x v="162"/>
            <x v="163"/>
            <x v="165"/>
            <x v="172"/>
          </reference>
        </references>
      </pivotArea>
    </format>
    <format dxfId="136">
      <pivotArea dataOnly="0" labelOnly="1" fieldPosition="0">
        <references count="3">
          <reference field="0" count="1" selected="0">
            <x v="2"/>
          </reference>
          <reference field="5" count="1" selected="0">
            <x v="2"/>
          </reference>
          <reference field="8" count="5">
            <x v="193"/>
            <x v="194"/>
            <x v="205"/>
            <x v="213"/>
            <x v="243"/>
          </reference>
        </references>
      </pivotArea>
    </format>
    <format dxfId="135">
      <pivotArea dataOnly="0" labelOnly="1" fieldPosition="0">
        <references count="3">
          <reference field="0" count="1" selected="0">
            <x v="2"/>
          </reference>
          <reference field="5" count="1" selected="0">
            <x v="3"/>
          </reference>
          <reference field="8" count="1">
            <x v="244"/>
          </reference>
        </references>
      </pivotArea>
    </format>
    <format dxfId="134">
      <pivotArea dataOnly="0" labelOnly="1" fieldPosition="0">
        <references count="3">
          <reference field="0" count="1" selected="0">
            <x v="2"/>
          </reference>
          <reference field="5" count="1" selected="0">
            <x v="4"/>
          </reference>
          <reference field="8" count="1">
            <x v="54"/>
          </reference>
        </references>
      </pivotArea>
    </format>
    <format dxfId="133">
      <pivotArea dataOnly="0" labelOnly="1" fieldPosition="0">
        <references count="3">
          <reference field="0" count="1" selected="0">
            <x v="8"/>
          </reference>
          <reference field="5" count="1" selected="0">
            <x v="0"/>
          </reference>
          <reference field="8" count="2">
            <x v="3"/>
            <x v="15"/>
          </reference>
        </references>
      </pivotArea>
    </format>
    <format dxfId="132">
      <pivotArea dataOnly="0" labelOnly="1" fieldPosition="0">
        <references count="3">
          <reference field="0" count="1" selected="0">
            <x v="8"/>
          </reference>
          <reference field="5" count="1" selected="0">
            <x v="1"/>
          </reference>
          <reference field="8" count="23">
            <x v="45"/>
            <x v="53"/>
            <x v="59"/>
            <x v="61"/>
            <x v="64"/>
            <x v="65"/>
            <x v="70"/>
            <x v="81"/>
            <x v="82"/>
            <x v="88"/>
            <x v="89"/>
            <x v="103"/>
            <x v="110"/>
            <x v="114"/>
            <x v="117"/>
            <x v="121"/>
            <x v="123"/>
            <x v="131"/>
            <x v="143"/>
            <x v="146"/>
            <x v="154"/>
            <x v="173"/>
            <x v="178"/>
          </reference>
        </references>
      </pivotArea>
    </format>
    <format dxfId="131">
      <pivotArea dataOnly="0" labelOnly="1" fieldPosition="0">
        <references count="3">
          <reference field="0" count="1" selected="0">
            <x v="8"/>
          </reference>
          <reference field="5" count="1" selected="0">
            <x v="2"/>
          </reference>
          <reference field="8" count="4">
            <x v="192"/>
            <x v="197"/>
            <x v="211"/>
            <x v="220"/>
          </reference>
        </references>
      </pivotArea>
    </format>
    <format dxfId="130">
      <pivotArea dataOnly="0" labelOnly="1" fieldPosition="0">
        <references count="3">
          <reference field="0" count="1" selected="0">
            <x v="10"/>
          </reference>
          <reference field="5" count="1" selected="0">
            <x v="0"/>
          </reference>
          <reference field="8" count="16">
            <x v="20"/>
            <x v="22"/>
            <x v="28"/>
            <x v="32"/>
            <x v="33"/>
            <x v="38"/>
            <x v="52"/>
            <x v="57"/>
            <x v="58"/>
            <x v="60"/>
            <x v="63"/>
            <x v="70"/>
            <x v="71"/>
            <x v="74"/>
            <x v="75"/>
            <x v="83"/>
          </reference>
        </references>
      </pivotArea>
    </format>
    <format dxfId="129">
      <pivotArea dataOnly="0" labelOnly="1" fieldPosition="0">
        <references count="3">
          <reference field="0" count="1" selected="0">
            <x v="10"/>
          </reference>
          <reference field="5" count="1" selected="0">
            <x v="1"/>
          </reference>
          <reference field="8" count="17">
            <x v="75"/>
            <x v="83"/>
            <x v="107"/>
            <x v="115"/>
            <x v="118"/>
            <x v="119"/>
            <x v="120"/>
            <x v="122"/>
            <x v="125"/>
            <x v="132"/>
            <x v="135"/>
            <x v="136"/>
            <x v="139"/>
            <x v="142"/>
            <x v="147"/>
            <x v="151"/>
            <x v="153"/>
          </reference>
        </references>
      </pivotArea>
    </format>
    <format dxfId="128">
      <pivotArea dataOnly="0" labelOnly="1" fieldPosition="0">
        <references count="3">
          <reference field="0" count="1" selected="0">
            <x v="10"/>
          </reference>
          <reference field="5" count="1" selected="0">
            <x v="2"/>
          </reference>
          <reference field="8" count="9">
            <x v="199"/>
            <x v="202"/>
            <x v="212"/>
            <x v="215"/>
            <x v="216"/>
            <x v="217"/>
            <x v="221"/>
            <x v="226"/>
            <x v="227"/>
          </reference>
        </references>
      </pivotArea>
    </format>
    <format dxfId="127">
      <pivotArea dataOnly="0" labelOnly="1" fieldPosition="0">
        <references count="3">
          <reference field="0" count="1" selected="0">
            <x v="10"/>
          </reference>
          <reference field="5" count="1" selected="0">
            <x v="3"/>
          </reference>
          <reference field="8" count="4">
            <x v="246"/>
            <x v="247"/>
            <x v="248"/>
            <x v="249"/>
          </reference>
        </references>
      </pivotArea>
    </format>
    <format dxfId="126">
      <pivotArea dataOnly="0" labelOnly="1" fieldPosition="0">
        <references count="3">
          <reference field="0" count="1" selected="0">
            <x v="11"/>
          </reference>
          <reference field="5" count="1" selected="0">
            <x v="0"/>
          </reference>
          <reference field="8" count="2">
            <x v="12"/>
            <x v="49"/>
          </reference>
        </references>
      </pivotArea>
    </format>
    <format dxfId="125">
      <pivotArea dataOnly="0" labelOnly="1" fieldPosition="0">
        <references count="3">
          <reference field="0" count="1" selected="0">
            <x v="11"/>
          </reference>
          <reference field="5" count="1" selected="0">
            <x v="1"/>
          </reference>
          <reference field="8" count="6">
            <x v="49"/>
            <x v="76"/>
            <x v="84"/>
            <x v="138"/>
            <x v="141"/>
            <x v="144"/>
          </reference>
        </references>
      </pivotArea>
    </format>
    <format dxfId="124">
      <pivotArea dataOnly="0" labelOnly="1" fieldPosition="0">
        <references count="3">
          <reference field="0" count="1" selected="0">
            <x v="11"/>
          </reference>
          <reference field="5" count="1" selected="0">
            <x v="2"/>
          </reference>
          <reference field="8" count="1">
            <x v="177"/>
          </reference>
        </references>
      </pivotArea>
    </format>
    <format dxfId="123">
      <pivotArea dataOnly="0" labelOnly="1" fieldPosition="0">
        <references count="3">
          <reference field="0" count="1" selected="0">
            <x v="13"/>
          </reference>
          <reference field="5" count="1" selected="0">
            <x v="0"/>
          </reference>
          <reference field="8" count="13">
            <x v="7"/>
            <x v="9"/>
            <x v="10"/>
            <x v="11"/>
            <x v="14"/>
            <x v="16"/>
            <x v="18"/>
            <x v="19"/>
            <x v="21"/>
            <x v="44"/>
            <x v="46"/>
            <x v="55"/>
            <x v="57"/>
          </reference>
        </references>
      </pivotArea>
    </format>
    <format dxfId="122">
      <pivotArea dataOnly="0" labelOnly="1" fieldPosition="0">
        <references count="3">
          <reference field="0" count="1" selected="0">
            <x v="13"/>
          </reference>
          <reference field="5" count="1" selected="0">
            <x v="1"/>
          </reference>
          <reference field="8" count="18">
            <x v="27"/>
            <x v="40"/>
            <x v="42"/>
            <x v="64"/>
            <x v="66"/>
            <x v="72"/>
            <x v="73"/>
            <x v="78"/>
            <x v="88"/>
            <x v="91"/>
            <x v="101"/>
            <x v="104"/>
            <x v="105"/>
            <x v="114"/>
            <x v="116"/>
            <x v="117"/>
            <x v="126"/>
            <x v="158"/>
          </reference>
        </references>
      </pivotArea>
    </format>
    <format dxfId="121">
      <pivotArea dataOnly="0" labelOnly="1" fieldPosition="0">
        <references count="3">
          <reference field="0" count="1" selected="0">
            <x v="13"/>
          </reference>
          <reference field="5" count="1" selected="0">
            <x v="2"/>
          </reference>
          <reference field="8" count="12">
            <x v="167"/>
            <x v="168"/>
            <x v="180"/>
            <x v="186"/>
            <x v="187"/>
            <x v="188"/>
            <x v="208"/>
            <x v="210"/>
            <x v="223"/>
            <x v="224"/>
            <x v="225"/>
            <x v="227"/>
          </reference>
        </references>
      </pivotArea>
    </format>
    <format dxfId="120">
      <pivotArea dataOnly="0" labelOnly="1" fieldPosition="0">
        <references count="3">
          <reference field="0" count="1" selected="0">
            <x v="13"/>
          </reference>
          <reference field="5" count="1" selected="0">
            <x v="3"/>
          </reference>
          <reference field="8" count="5">
            <x v="235"/>
            <x v="239"/>
            <x v="242"/>
            <x v="250"/>
            <x v="251"/>
          </reference>
        </references>
      </pivotArea>
    </format>
    <format dxfId="119">
      <pivotArea dataOnly="0" labelOnly="1" fieldPosition="0">
        <references count="3">
          <reference field="0" count="1" selected="0">
            <x v="14"/>
          </reference>
          <reference field="5" count="1" selected="0">
            <x v="0"/>
          </reference>
          <reference field="8" count="3">
            <x v="19"/>
            <x v="34"/>
            <x v="85"/>
          </reference>
        </references>
      </pivotArea>
    </format>
    <format dxfId="118">
      <pivotArea dataOnly="0" labelOnly="1" fieldPosition="0">
        <references count="3">
          <reference field="0" count="1" selected="0">
            <x v="14"/>
          </reference>
          <reference field="5" count="1" selected="0">
            <x v="1"/>
          </reference>
          <reference field="8" count="4">
            <x v="87"/>
            <x v="90"/>
            <x v="145"/>
            <x v="156"/>
          </reference>
        </references>
      </pivotArea>
    </format>
    <format dxfId="117">
      <pivotArea dataOnly="0" labelOnly="1" fieldPosition="0">
        <references count="3">
          <reference field="0" count="1" selected="0">
            <x v="14"/>
          </reference>
          <reference field="5" count="1" selected="0">
            <x v="2"/>
          </reference>
          <reference field="8" count="6">
            <x v="200"/>
            <x v="201"/>
            <x v="203"/>
            <x v="204"/>
            <x v="218"/>
            <x v="219"/>
          </reference>
        </references>
      </pivotArea>
    </format>
    <format dxfId="116">
      <pivotArea dataOnly="0" labelOnly="1" fieldPosition="0">
        <references count="3">
          <reference field="0" count="1" selected="0">
            <x v="14"/>
          </reference>
          <reference field="5" count="1" selected="0">
            <x v="3"/>
          </reference>
          <reference field="8" count="4">
            <x v="233"/>
            <x v="238"/>
            <x v="240"/>
            <x v="241"/>
          </reference>
        </references>
      </pivotArea>
    </format>
    <format dxfId="115">
      <pivotArea dataOnly="0" labelOnly="1" fieldPosition="0">
        <references count="3">
          <reference field="0" count="1" selected="0">
            <x v="18"/>
          </reference>
          <reference field="5" count="1" selected="0">
            <x v="0"/>
          </reference>
          <reference field="8" count="11">
            <x v="0"/>
            <x v="1"/>
            <x v="2"/>
            <x v="6"/>
            <x v="13"/>
            <x v="17"/>
            <x v="24"/>
            <x v="34"/>
            <x v="76"/>
            <x v="79"/>
            <x v="87"/>
          </reference>
        </references>
      </pivotArea>
    </format>
    <format dxfId="114">
      <pivotArea dataOnly="0" labelOnly="1" fieldPosition="0">
        <references count="3">
          <reference field="0" count="1" selected="0">
            <x v="18"/>
          </reference>
          <reference field="5" count="1" selected="0">
            <x v="1"/>
          </reference>
          <reference field="8" count="14">
            <x v="35"/>
            <x v="84"/>
            <x v="96"/>
            <x v="97"/>
            <x v="98"/>
            <x v="106"/>
            <x v="109"/>
            <x v="114"/>
            <x v="124"/>
            <x v="130"/>
            <x v="140"/>
            <x v="149"/>
            <x v="157"/>
            <x v="166"/>
          </reference>
        </references>
      </pivotArea>
    </format>
    <format dxfId="113">
      <pivotArea dataOnly="0" labelOnly="1" fieldPosition="0">
        <references count="3">
          <reference field="0" count="1" selected="0">
            <x v="18"/>
          </reference>
          <reference field="5" count="1" selected="0">
            <x v="2"/>
          </reference>
          <reference field="8" count="8">
            <x v="159"/>
            <x v="161"/>
            <x v="196"/>
            <x v="198"/>
            <x v="214"/>
            <x v="222"/>
            <x v="229"/>
            <x v="232"/>
          </reference>
        </references>
      </pivotArea>
    </format>
    <format dxfId="112">
      <pivotArea dataOnly="0" labelOnly="1" fieldPosition="0">
        <references count="3">
          <reference field="0" count="1" selected="0">
            <x v="18"/>
          </reference>
          <reference field="5" count="1" selected="0">
            <x v="3"/>
          </reference>
          <reference field="8" count="1">
            <x v="236"/>
          </reference>
        </references>
      </pivotArea>
    </format>
    <format dxfId="111">
      <pivotArea dataOnly="0" labelOnly="1" fieldPosition="0">
        <references count="3">
          <reference field="0" count="1" selected="0">
            <x v="20"/>
          </reference>
          <reference field="5" count="1" selected="0">
            <x v="0"/>
          </reference>
          <reference field="8" count="6">
            <x v="4"/>
            <x v="41"/>
            <x v="43"/>
            <x v="47"/>
            <x v="48"/>
            <x v="252"/>
          </reference>
        </references>
      </pivotArea>
    </format>
    <format dxfId="110">
      <pivotArea dataOnly="0" labelOnly="1" fieldPosition="0">
        <references count="3">
          <reference field="0" count="1" selected="0">
            <x v="20"/>
          </reference>
          <reference field="5" count="1" selected="0">
            <x v="1"/>
          </reference>
          <reference field="8" count="15">
            <x v="61"/>
            <x v="62"/>
            <x v="63"/>
            <x v="67"/>
            <x v="79"/>
            <x v="80"/>
            <x v="85"/>
            <x v="92"/>
            <x v="127"/>
            <x v="130"/>
            <x v="150"/>
            <x v="152"/>
            <x v="171"/>
            <x v="185"/>
            <x v="252"/>
          </reference>
        </references>
      </pivotArea>
    </format>
    <format dxfId="109">
      <pivotArea dataOnly="0" labelOnly="1" fieldPosition="0">
        <references count="3">
          <reference field="0" count="1" selected="0">
            <x v="20"/>
          </reference>
          <reference field="5" count="1" selected="0">
            <x v="2"/>
          </reference>
          <reference field="8" count="11">
            <x v="170"/>
            <x v="184"/>
            <x v="189"/>
            <x v="190"/>
            <x v="206"/>
            <x v="207"/>
            <x v="209"/>
            <x v="228"/>
            <x v="230"/>
            <x v="234"/>
            <x v="252"/>
          </reference>
        </references>
      </pivotArea>
    </format>
    <format dxfId="108">
      <pivotArea dataOnly="0" labelOnly="1" fieldPosition="0">
        <references count="3">
          <reference field="0" count="1" selected="0">
            <x v="20"/>
          </reference>
          <reference field="5" count="1" selected="0">
            <x v="3"/>
          </reference>
          <reference field="8" count="1">
            <x v="245"/>
          </reference>
        </references>
      </pivotArea>
    </format>
    <format dxfId="107">
      <pivotArea dataOnly="0" labelOnly="1" fieldPosition="0">
        <references count="3">
          <reference field="0" count="1" selected="0">
            <x v="20"/>
          </reference>
          <reference field="5" count="1" selected="0">
            <x v="4"/>
          </reference>
          <reference field="8" count="1">
            <x v="47"/>
          </reference>
        </references>
      </pivotArea>
    </format>
    <format dxfId="106">
      <pivotArea dataOnly="0" labelOnly="1" fieldPosition="0">
        <references count="3">
          <reference field="0" count="1" selected="0">
            <x v="21"/>
          </reference>
          <reference field="5" count="1" selected="0">
            <x v="0"/>
          </reference>
          <reference field="8" count="6">
            <x v="5"/>
            <x v="22"/>
            <x v="29"/>
            <x v="30"/>
            <x v="36"/>
            <x v="39"/>
          </reference>
        </references>
      </pivotArea>
    </format>
    <format dxfId="105">
      <pivotArea dataOnly="0" labelOnly="1" fieldPosition="0">
        <references count="3">
          <reference field="0" count="1" selected="0">
            <x v="21"/>
          </reference>
          <reference field="5" count="1" selected="0">
            <x v="1"/>
          </reference>
          <reference field="8" count="11">
            <x v="22"/>
            <x v="25"/>
            <x v="39"/>
            <x v="68"/>
            <x v="69"/>
            <x v="76"/>
            <x v="81"/>
            <x v="93"/>
            <x v="102"/>
            <x v="108"/>
            <x v="112"/>
          </reference>
        </references>
      </pivotArea>
    </format>
    <format dxfId="104">
      <pivotArea dataOnly="0" labelOnly="1" fieldPosition="0">
        <references count="3">
          <reference field="0" count="1" selected="0">
            <x v="21"/>
          </reference>
          <reference field="5" count="1" selected="0">
            <x v="2"/>
          </reference>
          <reference field="8" count="7">
            <x v="174"/>
            <x v="175"/>
            <x v="176"/>
            <x v="179"/>
            <x v="181"/>
            <x v="182"/>
            <x v="183"/>
          </reference>
        </references>
      </pivotArea>
    </format>
    <format dxfId="103">
      <pivotArea dataOnly="0" labelOnly="1" fieldPosition="0">
        <references count="3">
          <reference field="0" count="1" selected="0">
            <x v="22"/>
          </reference>
          <reference field="5" count="1" selected="0">
            <x v="0"/>
          </reference>
          <reference field="8" count="5">
            <x v="8"/>
            <x v="10"/>
            <x v="19"/>
            <x v="31"/>
            <x v="50"/>
          </reference>
        </references>
      </pivotArea>
    </format>
    <format dxfId="102">
      <pivotArea dataOnly="0" labelOnly="1" fieldPosition="0">
        <references count="3">
          <reference field="0" count="1" selected="0">
            <x v="22"/>
          </reference>
          <reference field="5" count="1" selected="0">
            <x v="1"/>
          </reference>
          <reference field="8" count="13">
            <x v="56"/>
            <x v="74"/>
            <x v="77"/>
            <x v="94"/>
            <x v="99"/>
            <x v="100"/>
            <x v="113"/>
            <x v="119"/>
            <x v="120"/>
            <x v="121"/>
            <x v="129"/>
            <x v="133"/>
            <x v="134"/>
          </reference>
        </references>
      </pivotArea>
    </format>
    <format dxfId="101">
      <pivotArea dataOnly="0" labelOnly="1" fieldPosition="0">
        <references count="3">
          <reference field="0" count="1" selected="0">
            <x v="22"/>
          </reference>
          <reference field="5" count="1" selected="0">
            <x v="2"/>
          </reference>
          <reference field="8" count="8">
            <x v="151"/>
            <x v="169"/>
            <x v="175"/>
            <x v="191"/>
            <x v="195"/>
            <x v="199"/>
            <x v="224"/>
            <x v="237"/>
          </reference>
        </references>
      </pivotArea>
    </format>
    <format dxfId="100">
      <pivotArea dataOnly="0" labelOnly="1" fieldPosition="0">
        <references count="3">
          <reference field="0" count="1" selected="0">
            <x v="22"/>
          </reference>
          <reference field="5" count="1" selected="0">
            <x v="3"/>
          </reference>
          <reference field="8" count="1">
            <x v="231"/>
          </reference>
        </references>
      </pivotArea>
    </format>
    <format dxfId="99">
      <pivotArea dataOnly="0" labelOnly="1" fieldPosition="0">
        <references count="1">
          <reference field="25" count="3">
            <x v="0"/>
            <x v="1"/>
            <x v="2"/>
          </reference>
        </references>
      </pivotArea>
    </format>
    <format dxfId="98">
      <pivotArea dataOnly="0" labelOnly="1" fieldPosition="0">
        <references count="2">
          <reference field="23" count="6">
            <x v="7"/>
            <x v="8"/>
            <x v="9"/>
            <x v="10"/>
            <x v="11"/>
            <x v="12"/>
          </reference>
          <reference field="25" count="1" selected="0">
            <x v="0"/>
          </reference>
        </references>
      </pivotArea>
    </format>
    <format dxfId="97">
      <pivotArea dataOnly="0" labelOnly="1" fieldPosition="0">
        <references count="2">
          <reference field="23" count="12">
            <x v="1"/>
            <x v="2"/>
            <x v="3"/>
            <x v="4"/>
            <x v="5"/>
            <x v="6"/>
            <x v="7"/>
            <x v="8"/>
            <x v="9"/>
            <x v="10"/>
            <x v="11"/>
            <x v="12"/>
          </reference>
          <reference field="25" count="1" selected="0">
            <x v="1"/>
          </reference>
        </references>
      </pivotArea>
    </format>
    <format dxfId="96">
      <pivotArea dataOnly="0" labelOnly="1" fieldPosition="0">
        <references count="2">
          <reference field="23" count="12">
            <x v="1"/>
            <x v="2"/>
            <x v="3"/>
            <x v="4"/>
            <x v="5"/>
            <x v="6"/>
            <x v="7"/>
            <x v="8"/>
            <x v="9"/>
            <x v="10"/>
            <x v="11"/>
            <x v="12"/>
          </reference>
          <reference field="25" count="1" selected="0">
            <x v="2"/>
          </reference>
        </references>
      </pivotArea>
    </format>
  </formats>
  <pivotTableStyleInfo name="HelloData_Pivot_Table" showRowHeaders="1" showColHeaders="1" showRowStripes="0" showColStripes="0" showLastColumn="1"/>
  <filters count="1">
    <filter fld="10" type="dateNewerThan" evalOrder="-1" id="1">
      <autoFilter ref="A1">
        <filterColumn colId="0">
          <customFilters>
            <customFilter operator="greaterThan" val="451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597C1B5-F443-4995-87D8-A2D041187FE2}" name="PivotTable1" cacheId="35" applyNumberFormats="0" applyBorderFormats="0" applyFontFormats="0" applyPatternFormats="0" applyAlignmentFormats="0" applyWidthHeightFormats="1" dataCaption="Values" showError="1" updatedVersion="8" minRefreshableVersion="3" rowGrandTotals="0" colGrandTotals="0" itemPrintTitles="1" createdVersion="8" indent="0" outline="1" outlineData="1" multipleFieldFilters="0" rowHeaderCaption="">
  <location ref="B5:V40" firstHeaderRow="1" firstDataRow="3" firstDataCol="1"/>
  <pivotFields count="30">
    <pivotField axis="axisCol" showAll="0" defaultSubtotal="0">
      <items count="23">
        <item m="1" x="18"/>
        <item m="1" x="22"/>
        <item x="2"/>
        <item m="1" x="19"/>
        <item m="1" x="11"/>
        <item m="1" x="10"/>
        <item m="1" x="12"/>
        <item m="1" x="13"/>
        <item x="5"/>
        <item m="1" x="20"/>
        <item x="3"/>
        <item x="0"/>
        <item m="1" x="17"/>
        <item x="9"/>
        <item x="4"/>
        <item m="1" x="14"/>
        <item m="1" x="15"/>
        <item m="1" x="16"/>
        <item x="7"/>
        <item m="1" x="21"/>
        <item x="1"/>
        <item x="6"/>
        <item x="8"/>
      </items>
    </pivotField>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numFmtId="3" showAll="0" sortType="ascending"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dataField="1"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howAll="0" defaultSubtotal="0"/>
    <pivotField numFmtId="164" showAll="0" defaultSubtotal="0"/>
    <pivotField showAll="0" defaultSubtotal="0"/>
    <pivotField numFmtId="164"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sd="0" x="0"/>
        <item x="5"/>
      </items>
    </pivotField>
    <pivotField axis="axisRow" showAll="0" defaultSubtotal="0">
      <items count="6">
        <item x="1"/>
        <item x="2"/>
        <item x="3"/>
        <item sd="0" x="0"/>
        <item x="4"/>
        <item x="5"/>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2">
    <field x="25"/>
    <field x="23"/>
  </rowFields>
  <rowItems count="33">
    <i>
      <x/>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Fields count="2">
    <field x="0"/>
    <field x="-2"/>
  </colFields>
  <colItems count="20">
    <i>
      <x v="2"/>
      <x/>
    </i>
    <i r="1" i="1">
      <x v="1"/>
    </i>
    <i>
      <x v="8"/>
      <x/>
    </i>
    <i r="1" i="1">
      <x v="1"/>
    </i>
    <i>
      <x v="10"/>
      <x/>
    </i>
    <i r="1" i="1">
      <x v="1"/>
    </i>
    <i>
      <x v="11"/>
      <x/>
    </i>
    <i r="1" i="1">
      <x v="1"/>
    </i>
    <i>
      <x v="13"/>
      <x/>
    </i>
    <i r="1" i="1">
      <x v="1"/>
    </i>
    <i>
      <x v="14"/>
      <x/>
    </i>
    <i r="1" i="1">
      <x v="1"/>
    </i>
    <i>
      <x v="18"/>
      <x/>
    </i>
    <i r="1" i="1">
      <x v="1"/>
    </i>
    <i>
      <x v="20"/>
      <x/>
    </i>
    <i r="1" i="1">
      <x v="1"/>
    </i>
    <i>
      <x v="21"/>
      <x/>
    </i>
    <i r="1" i="1">
      <x v="1"/>
    </i>
    <i>
      <x v="22"/>
      <x/>
    </i>
    <i r="1" i="1">
      <x v="1"/>
    </i>
  </colItems>
  <dataFields count="2">
    <dataField name="Avg Rent" fld="13" subtotal="average" baseField="23" baseItem="3"/>
    <dataField name="# Leases" fld="10" subtotal="count" baseField="0" baseItem="0"/>
  </dataFields>
  <formats count="190">
    <format dxfId="522">
      <pivotArea outline="0" collapsedLevelsAreSubtotals="1" fieldPosition="0"/>
    </format>
    <format dxfId="521">
      <pivotArea type="origin" dataOnly="0" labelOnly="1" outline="0" offset="A4" fieldPosition="0"/>
    </format>
    <format dxfId="520">
      <pivotArea type="all" dataOnly="0" outline="0" fieldPosition="0"/>
    </format>
    <format dxfId="519">
      <pivotArea outline="0" collapsedLevelsAreSubtotals="1" fieldPosition="0"/>
    </format>
    <format dxfId="518">
      <pivotArea type="origin" dataOnly="0" labelOnly="1" outline="0" fieldPosition="0"/>
    </format>
    <format dxfId="517">
      <pivotArea field="25" type="button" dataOnly="0" labelOnly="1" outline="0" axis="axisRow" fieldPosition="0"/>
    </format>
    <format dxfId="516">
      <pivotArea field="24" type="button" dataOnly="0" labelOnly="1" outline="0"/>
    </format>
    <format dxfId="515">
      <pivotArea field="23" type="button" dataOnly="0" labelOnly="1" outline="0" axis="axisRow" fieldPosition="1"/>
    </format>
    <format dxfId="514">
      <pivotArea field="10" type="button" dataOnly="0" labelOnly="1" outline="0"/>
    </format>
    <format dxfId="513">
      <pivotArea type="topRight" dataOnly="0" labelOnly="1" outline="0" fieldPosition="0"/>
    </format>
    <format dxfId="512">
      <pivotArea field="0" type="button" dataOnly="0" labelOnly="1" outline="0" axis="axisCol" fieldPosition="0"/>
    </format>
    <format dxfId="511">
      <pivotArea dataOnly="0" labelOnly="1" fieldPosition="0">
        <references count="1">
          <reference field="0" count="0"/>
        </references>
      </pivotArea>
    </format>
    <format>
      <pivotArea collapsedLevelsAreSubtotals="1" fieldPosition="0">
        <references count="1">
          <reference field="0" count="1">
            <x v="0"/>
          </reference>
        </references>
      </pivotArea>
    </format>
    <format dxfId="510">
      <pivotArea type="origin" dataOnly="0" labelOnly="1" outline="0" offset="A3" fieldPosition="0"/>
    </format>
    <format dxfId="509">
      <pivotArea type="origin" dataOnly="0" labelOnly="1" outline="0" offset="A2" fieldPosition="0"/>
    </format>
    <format dxfId="508">
      <pivotArea type="origin" dataOnly="0" labelOnly="1" outline="0" offset="A2:A3" fieldPosition="0"/>
    </format>
    <format dxfId="507">
      <pivotArea type="origin" dataOnly="0" labelOnly="1" outline="0" offset="A2:A3" fieldPosition="0"/>
    </format>
    <format dxfId="506">
      <pivotArea outline="0" collapsedLevelsAreSubtotals="1" fieldPosition="0"/>
    </format>
    <format dxfId="505">
      <pivotArea field="25" type="button" dataOnly="0" labelOnly="1" outline="0" axis="axisRow" fieldPosition="0"/>
    </format>
    <format dxfId="504">
      <pivotArea field="24" type="button" dataOnly="0" labelOnly="1" outline="0"/>
    </format>
    <format dxfId="503">
      <pivotArea field="23" type="button" dataOnly="0" labelOnly="1" outline="0" axis="axisRow" fieldPosition="1"/>
    </format>
    <format dxfId="502">
      <pivotArea field="10" type="button" dataOnly="0" labelOnly="1" outline="0"/>
    </format>
    <format dxfId="501">
      <pivotArea type="origin" dataOnly="0" labelOnly="1" outline="0" offset="A4" fieldPosition="0"/>
    </format>
    <format dxfId="500">
      <pivotArea field="0" type="button" dataOnly="0" labelOnly="1" outline="0" axis="axisCol" fieldPosition="0"/>
    </format>
    <format dxfId="499">
      <pivotArea collapsedLevelsAreSubtotals="1" fieldPosition="0">
        <references count="1">
          <reference field="25" count="1">
            <x v="0"/>
          </reference>
        </references>
      </pivotArea>
    </format>
    <format dxfId="498">
      <pivotArea collapsedLevelsAreSubtotals="1" fieldPosition="0">
        <references count="1">
          <reference field="25" count="1">
            <x v="1"/>
          </reference>
        </references>
      </pivotArea>
    </format>
    <format dxfId="497">
      <pivotArea collapsedLevelsAreSubtotals="1" fieldPosition="0">
        <references count="1">
          <reference field="25" count="1">
            <x v="2"/>
          </reference>
        </references>
      </pivotArea>
    </format>
    <format dxfId="496">
      <pivotArea field="0" type="button" dataOnly="0" labelOnly="1" outline="0" axis="axisCol" fieldPosition="0"/>
    </format>
    <format dxfId="495">
      <pivotArea field="-2" type="button" dataOnly="0" labelOnly="1" outline="0" axis="axisCol" fieldPosition="1"/>
    </format>
    <format dxfId="494">
      <pivotArea type="topRight" dataOnly="0" labelOnly="1" outline="0" fieldPosition="0"/>
    </format>
    <format dxfId="493">
      <pivotArea dataOnly="0" labelOnly="1" fieldPosition="0">
        <references count="1">
          <reference field="0" count="0"/>
        </references>
      </pivotArea>
    </format>
    <format dxfId="492">
      <pivotArea dataOnly="0" labelOnly="1" outline="0" fieldPosition="0">
        <references count="2">
          <reference field="4294967294" count="2">
            <x v="0"/>
            <x v="1"/>
          </reference>
          <reference field="0" count="1" selected="0">
            <x v="2"/>
          </reference>
        </references>
      </pivotArea>
    </format>
    <format dxfId="491">
      <pivotArea dataOnly="0" labelOnly="1" outline="0" fieldPosition="0">
        <references count="2">
          <reference field="4294967294" count="2">
            <x v="0"/>
            <x v="1"/>
          </reference>
          <reference field="0" count="1" selected="0">
            <x v="8"/>
          </reference>
        </references>
      </pivotArea>
    </format>
    <format dxfId="490">
      <pivotArea dataOnly="0" labelOnly="1" outline="0" fieldPosition="0">
        <references count="2">
          <reference field="4294967294" count="2">
            <x v="0"/>
            <x v="1"/>
          </reference>
          <reference field="0" count="1" selected="0">
            <x v="10"/>
          </reference>
        </references>
      </pivotArea>
    </format>
    <format dxfId="489">
      <pivotArea dataOnly="0" labelOnly="1" outline="0" fieldPosition="0">
        <references count="2">
          <reference field="4294967294" count="2">
            <x v="0"/>
            <x v="1"/>
          </reference>
          <reference field="0" count="1" selected="0">
            <x v="11"/>
          </reference>
        </references>
      </pivotArea>
    </format>
    <format dxfId="488">
      <pivotArea dataOnly="0" labelOnly="1" outline="0" fieldPosition="0">
        <references count="2">
          <reference field="4294967294" count="2">
            <x v="0"/>
            <x v="1"/>
          </reference>
          <reference field="0" count="1" selected="0">
            <x v="13"/>
          </reference>
        </references>
      </pivotArea>
    </format>
    <format dxfId="487">
      <pivotArea dataOnly="0" labelOnly="1" outline="0" fieldPosition="0">
        <references count="2">
          <reference field="4294967294" count="2">
            <x v="0"/>
            <x v="1"/>
          </reference>
          <reference field="0" count="1" selected="0">
            <x v="14"/>
          </reference>
        </references>
      </pivotArea>
    </format>
    <format dxfId="486">
      <pivotArea dataOnly="0" labelOnly="1" outline="0" fieldPosition="0">
        <references count="2">
          <reference field="4294967294" count="2">
            <x v="0"/>
            <x v="1"/>
          </reference>
          <reference field="0" count="1" selected="0">
            <x v="18"/>
          </reference>
        </references>
      </pivotArea>
    </format>
    <format dxfId="485">
      <pivotArea dataOnly="0" labelOnly="1" outline="0" fieldPosition="0">
        <references count="2">
          <reference field="4294967294" count="2">
            <x v="0"/>
            <x v="1"/>
          </reference>
          <reference field="0" count="1" selected="0">
            <x v="20"/>
          </reference>
        </references>
      </pivotArea>
    </format>
    <format dxfId="484">
      <pivotArea dataOnly="0" labelOnly="1" outline="0" fieldPosition="0">
        <references count="2">
          <reference field="4294967294" count="2">
            <x v="0"/>
            <x v="1"/>
          </reference>
          <reference field="0" count="1" selected="0">
            <x v="21"/>
          </reference>
        </references>
      </pivotArea>
    </format>
    <format dxfId="483">
      <pivotArea dataOnly="0" labelOnly="1" outline="0" fieldPosition="0">
        <references count="2">
          <reference field="4294967294" count="2">
            <x v="0"/>
            <x v="1"/>
          </reference>
          <reference field="0" count="1" selected="0">
            <x v="22"/>
          </reference>
        </references>
      </pivotArea>
    </format>
    <format dxfId="482">
      <pivotArea outline="0" collapsedLevelsAreSubtotals="1" fieldPosition="0">
        <references count="2">
          <reference field="4294967294" count="2" selected="0">
            <x v="0"/>
            <x v="1"/>
          </reference>
          <reference field="0" count="1" selected="0">
            <x v="2"/>
          </reference>
        </references>
      </pivotArea>
    </format>
    <format dxfId="481">
      <pivotArea dataOnly="0" labelOnly="1" outline="0" fieldPosition="0">
        <references count="2">
          <reference field="4294967294" count="2">
            <x v="0"/>
            <x v="1"/>
          </reference>
          <reference field="0" count="1" selected="0">
            <x v="2"/>
          </reference>
        </references>
      </pivotArea>
    </format>
    <format dxfId="480">
      <pivotArea dataOnly="0" outline="0" fieldPosition="0">
        <references count="2">
          <reference field="4294967294" count="1">
            <x v="1"/>
          </reference>
          <reference field="0" count="1" selected="0">
            <x v="8"/>
          </reference>
        </references>
      </pivotArea>
    </format>
    <format dxfId="479">
      <pivotArea type="all" dataOnly="0" outline="0" fieldPosition="0"/>
    </format>
    <format dxfId="478">
      <pivotArea outline="0" collapsedLevelsAreSubtotals="1" fieldPosition="0"/>
    </format>
    <format dxfId="477">
      <pivotArea type="origin" dataOnly="0" labelOnly="1" outline="0" fieldPosition="0"/>
    </format>
    <format dxfId="476">
      <pivotArea field="0" type="button" dataOnly="0" labelOnly="1" outline="0" axis="axisCol" fieldPosition="0"/>
    </format>
    <format dxfId="475">
      <pivotArea field="-2" type="button" dataOnly="0" labelOnly="1" outline="0" axis="axisCol" fieldPosition="1"/>
    </format>
    <format dxfId="474">
      <pivotArea type="topRight" dataOnly="0" labelOnly="1" outline="0" fieldPosition="0"/>
    </format>
    <format dxfId="473">
      <pivotArea field="25" type="button" dataOnly="0" labelOnly="1" outline="0" axis="axisRow" fieldPosition="0"/>
    </format>
    <format dxfId="472">
      <pivotArea dataOnly="0" labelOnly="1" fieldPosition="0">
        <references count="1">
          <reference field="25" count="3">
            <x v="0"/>
            <x v="1"/>
            <x v="2"/>
          </reference>
        </references>
      </pivotArea>
    </format>
    <format dxfId="471">
      <pivotArea dataOnly="0" labelOnly="1" grandRow="1" outline="0" fieldPosition="0"/>
    </format>
    <format dxfId="470">
      <pivotArea dataOnly="0" labelOnly="1" fieldPosition="0">
        <references count="2">
          <reference field="23" count="7">
            <x v="6"/>
            <x v="7"/>
            <x v="8"/>
            <x v="9"/>
            <x v="10"/>
            <x v="11"/>
            <x v="12"/>
          </reference>
          <reference field="25" count="1" selected="0">
            <x v="0"/>
          </reference>
        </references>
      </pivotArea>
    </format>
    <format dxfId="469">
      <pivotArea dataOnly="0" labelOnly="1" fieldPosition="0">
        <references count="2">
          <reference field="23" count="12">
            <x v="1"/>
            <x v="2"/>
            <x v="3"/>
            <x v="4"/>
            <x v="5"/>
            <x v="6"/>
            <x v="7"/>
            <x v="8"/>
            <x v="9"/>
            <x v="10"/>
            <x v="11"/>
            <x v="12"/>
          </reference>
          <reference field="25" count="1" selected="0">
            <x v="1"/>
          </reference>
        </references>
      </pivotArea>
    </format>
    <format dxfId="468">
      <pivotArea dataOnly="0" labelOnly="1" fieldPosition="0">
        <references count="2">
          <reference field="23" count="3">
            <x v="1"/>
            <x v="2"/>
            <x v="3"/>
          </reference>
          <reference field="25" count="1" selected="0">
            <x v="2"/>
          </reference>
        </references>
      </pivotArea>
    </format>
    <format dxfId="467">
      <pivotArea dataOnly="0" labelOnly="1" fieldPosition="0">
        <references count="1">
          <reference field="0" count="0"/>
        </references>
      </pivotArea>
    </format>
    <format dxfId="466">
      <pivotArea dataOnly="0" labelOnly="1" outline="0" fieldPosition="0">
        <references count="2">
          <reference field="4294967294" count="2">
            <x v="0"/>
            <x v="1"/>
          </reference>
          <reference field="0" count="1" selected="0">
            <x v="2"/>
          </reference>
        </references>
      </pivotArea>
    </format>
    <format dxfId="465">
      <pivotArea dataOnly="0" labelOnly="1" outline="0" fieldPosition="0">
        <references count="2">
          <reference field="4294967294" count="2">
            <x v="0"/>
            <x v="1"/>
          </reference>
          <reference field="0" count="1" selected="0">
            <x v="8"/>
          </reference>
        </references>
      </pivotArea>
    </format>
    <format dxfId="464">
      <pivotArea dataOnly="0" labelOnly="1" outline="0" fieldPosition="0">
        <references count="2">
          <reference field="4294967294" count="2">
            <x v="0"/>
            <x v="1"/>
          </reference>
          <reference field="0" count="1" selected="0">
            <x v="10"/>
          </reference>
        </references>
      </pivotArea>
    </format>
    <format dxfId="463">
      <pivotArea dataOnly="0" labelOnly="1" outline="0" fieldPosition="0">
        <references count="2">
          <reference field="4294967294" count="2">
            <x v="0"/>
            <x v="1"/>
          </reference>
          <reference field="0" count="1" selected="0">
            <x v="11"/>
          </reference>
        </references>
      </pivotArea>
    </format>
    <format dxfId="462">
      <pivotArea dataOnly="0" labelOnly="1" outline="0" fieldPosition="0">
        <references count="2">
          <reference field="4294967294" count="2">
            <x v="0"/>
            <x v="1"/>
          </reference>
          <reference field="0" count="1" selected="0">
            <x v="13"/>
          </reference>
        </references>
      </pivotArea>
    </format>
    <format dxfId="461">
      <pivotArea dataOnly="0" labelOnly="1" outline="0" fieldPosition="0">
        <references count="2">
          <reference field="4294967294" count="2">
            <x v="0"/>
            <x v="1"/>
          </reference>
          <reference field="0" count="1" selected="0">
            <x v="14"/>
          </reference>
        </references>
      </pivotArea>
    </format>
    <format dxfId="460">
      <pivotArea dataOnly="0" labelOnly="1" outline="0" fieldPosition="0">
        <references count="2">
          <reference field="4294967294" count="2">
            <x v="0"/>
            <x v="1"/>
          </reference>
          <reference field="0" count="1" selected="0">
            <x v="18"/>
          </reference>
        </references>
      </pivotArea>
    </format>
    <format dxfId="459">
      <pivotArea dataOnly="0" labelOnly="1" outline="0" fieldPosition="0">
        <references count="2">
          <reference field="4294967294" count="2">
            <x v="0"/>
            <x v="1"/>
          </reference>
          <reference field="0" count="1" selected="0">
            <x v="20"/>
          </reference>
        </references>
      </pivotArea>
    </format>
    <format dxfId="458">
      <pivotArea dataOnly="0" labelOnly="1" outline="0" fieldPosition="0">
        <references count="2">
          <reference field="4294967294" count="2">
            <x v="0"/>
            <x v="1"/>
          </reference>
          <reference field="0" count="1" selected="0">
            <x v="21"/>
          </reference>
        </references>
      </pivotArea>
    </format>
    <format dxfId="457">
      <pivotArea dataOnly="0" labelOnly="1" outline="0" fieldPosition="0">
        <references count="2">
          <reference field="4294967294" count="2">
            <x v="0"/>
            <x v="1"/>
          </reference>
          <reference field="0" count="1" selected="0">
            <x v="22"/>
          </reference>
        </references>
      </pivotArea>
    </format>
    <format dxfId="456">
      <pivotArea dataOnly="0" outline="0" fieldPosition="0">
        <references count="1">
          <reference field="0" count="1">
            <x v="10"/>
          </reference>
        </references>
      </pivotArea>
    </format>
    <format dxfId="455">
      <pivotArea dataOnly="0" labelOnly="1" fieldPosition="0">
        <references count="1">
          <reference field="0" count="0"/>
        </references>
      </pivotArea>
    </format>
    <format dxfId="454">
      <pivotArea outline="0" collapsedLevelsAreSubtotals="1" fieldPosition="0">
        <references count="2">
          <reference field="4294967294" count="2" selected="0">
            <x v="0"/>
            <x v="1"/>
          </reference>
          <reference field="0" count="2" selected="0">
            <x v="2"/>
            <x v="8"/>
          </reference>
        </references>
      </pivotArea>
    </format>
    <format dxfId="453">
      <pivotArea dataOnly="0" labelOnly="1" fieldPosition="0">
        <references count="1">
          <reference field="0" count="2">
            <x v="2"/>
            <x v="8"/>
          </reference>
        </references>
      </pivotArea>
    </format>
    <format>
      <pivotArea outline="0" collapsedLevelsAreSubtotals="1" fieldPosition="0">
        <references count="2">
          <reference field="4294967294" count="2" selected="0">
            <x v="0"/>
            <x v="1"/>
          </reference>
          <reference field="0" count="9" selected="0">
            <x v="2"/>
            <x v="8"/>
            <x v="10"/>
            <x v="11"/>
            <x v="13"/>
            <x v="14"/>
            <x v="18"/>
            <x v="20"/>
            <x v="21"/>
          </reference>
        </references>
      </pivotArea>
    </format>
    <format>
      <pivotArea dataOnly="0" labelOnly="1" fieldPosition="0">
        <references count="1">
          <reference field="0" count="0"/>
        </references>
      </pivotArea>
    </format>
    <format dxfId="452">
      <pivotArea dataOnly="0" labelOnly="1" fieldPosition="0">
        <references count="1">
          <reference field="0" count="0"/>
        </references>
      </pivotArea>
    </format>
    <format dxfId="451">
      <pivotArea dataOnly="0" labelOnly="1" grandRow="1" outline="0" fieldPosition="0"/>
    </format>
    <format dxfId="450">
      <pivotArea outline="0" collapsedLevelsAreSubtotals="1" fieldPosition="0"/>
    </format>
    <format dxfId="449">
      <pivotArea field="25" type="button" dataOnly="0" labelOnly="1" outline="0" axis="axisRow" fieldPosition="0"/>
    </format>
    <format dxfId="448">
      <pivotArea dataOnly="0" labelOnly="1" fieldPosition="0">
        <references count="1">
          <reference field="25" count="3">
            <x v="0"/>
            <x v="1"/>
            <x v="2"/>
          </reference>
        </references>
      </pivotArea>
    </format>
    <format dxfId="447">
      <pivotArea dataOnly="0" labelOnly="1" fieldPosition="0">
        <references count="2">
          <reference field="23" count="7">
            <x v="6"/>
            <x v="7"/>
            <x v="8"/>
            <x v="9"/>
            <x v="10"/>
            <x v="11"/>
            <x v="12"/>
          </reference>
          <reference field="25" count="1" selected="0">
            <x v="0"/>
          </reference>
        </references>
      </pivotArea>
    </format>
    <format dxfId="446">
      <pivotArea dataOnly="0" labelOnly="1" fieldPosition="0">
        <references count="2">
          <reference field="23" count="12">
            <x v="1"/>
            <x v="2"/>
            <x v="3"/>
            <x v="4"/>
            <x v="5"/>
            <x v="6"/>
            <x v="7"/>
            <x v="8"/>
            <x v="9"/>
            <x v="10"/>
            <x v="11"/>
            <x v="12"/>
          </reference>
          <reference field="25" count="1" selected="0">
            <x v="1"/>
          </reference>
        </references>
      </pivotArea>
    </format>
    <format dxfId="445">
      <pivotArea dataOnly="0" labelOnly="1" fieldPosition="0">
        <references count="2">
          <reference field="23" count="3">
            <x v="1"/>
            <x v="2"/>
            <x v="3"/>
          </reference>
          <reference field="25" count="1" selected="0">
            <x v="2"/>
          </reference>
        </references>
      </pivotArea>
    </format>
    <format dxfId="444">
      <pivotArea dataOnly="0" labelOnly="1" fieldPosition="0">
        <references count="1">
          <reference field="0" count="0"/>
        </references>
      </pivotArea>
    </format>
    <format dxfId="443">
      <pivotArea dataOnly="0" labelOnly="1" outline="0" fieldPosition="0">
        <references count="2">
          <reference field="4294967294" count="2">
            <x v="0"/>
            <x v="1"/>
          </reference>
          <reference field="0" count="1" selected="0">
            <x v="2"/>
          </reference>
        </references>
      </pivotArea>
    </format>
    <format dxfId="442">
      <pivotArea dataOnly="0" labelOnly="1" outline="0" fieldPosition="0">
        <references count="2">
          <reference field="4294967294" count="2">
            <x v="0"/>
            <x v="1"/>
          </reference>
          <reference field="0" count="1" selected="0">
            <x v="8"/>
          </reference>
        </references>
      </pivotArea>
    </format>
    <format dxfId="441">
      <pivotArea dataOnly="0" labelOnly="1" outline="0" fieldPosition="0">
        <references count="2">
          <reference field="4294967294" count="2">
            <x v="0"/>
            <x v="1"/>
          </reference>
          <reference field="0" count="1" selected="0">
            <x v="10"/>
          </reference>
        </references>
      </pivotArea>
    </format>
    <format dxfId="440">
      <pivotArea dataOnly="0" labelOnly="1" outline="0" fieldPosition="0">
        <references count="2">
          <reference field="4294967294" count="2">
            <x v="0"/>
            <x v="1"/>
          </reference>
          <reference field="0" count="1" selected="0">
            <x v="11"/>
          </reference>
        </references>
      </pivotArea>
    </format>
    <format dxfId="439">
      <pivotArea dataOnly="0" labelOnly="1" outline="0" fieldPosition="0">
        <references count="2">
          <reference field="4294967294" count="2">
            <x v="0"/>
            <x v="1"/>
          </reference>
          <reference field="0" count="1" selected="0">
            <x v="13"/>
          </reference>
        </references>
      </pivotArea>
    </format>
    <format dxfId="438">
      <pivotArea dataOnly="0" labelOnly="1" outline="0" fieldPosition="0">
        <references count="2">
          <reference field="4294967294" count="2">
            <x v="0"/>
            <x v="1"/>
          </reference>
          <reference field="0" count="1" selected="0">
            <x v="14"/>
          </reference>
        </references>
      </pivotArea>
    </format>
    <format dxfId="437">
      <pivotArea dataOnly="0" labelOnly="1" outline="0" fieldPosition="0">
        <references count="2">
          <reference field="4294967294" count="2">
            <x v="0"/>
            <x v="1"/>
          </reference>
          <reference field="0" count="1" selected="0">
            <x v="18"/>
          </reference>
        </references>
      </pivotArea>
    </format>
    <format dxfId="436">
      <pivotArea dataOnly="0" labelOnly="1" outline="0" fieldPosition="0">
        <references count="2">
          <reference field="4294967294" count="2">
            <x v="0"/>
            <x v="1"/>
          </reference>
          <reference field="0" count="1" selected="0">
            <x v="20"/>
          </reference>
        </references>
      </pivotArea>
    </format>
    <format dxfId="435">
      <pivotArea dataOnly="0" labelOnly="1" outline="0" fieldPosition="0">
        <references count="2">
          <reference field="4294967294" count="2">
            <x v="0"/>
            <x v="1"/>
          </reference>
          <reference field="0" count="1" selected="0">
            <x v="21"/>
          </reference>
        </references>
      </pivotArea>
    </format>
    <format dxfId="434">
      <pivotArea dataOnly="0" labelOnly="1" outline="0" fieldPosition="0">
        <references count="2">
          <reference field="4294967294" count="2">
            <x v="0"/>
            <x v="1"/>
          </reference>
          <reference field="0" count="1" selected="0">
            <x v="22"/>
          </reference>
        </references>
      </pivotArea>
    </format>
    <format dxfId="433">
      <pivotArea collapsedLevelsAreSubtotals="1" fieldPosition="0">
        <references count="4">
          <reference field="4294967294" count="1" selected="0">
            <x v="0"/>
          </reference>
          <reference field="0" count="1" selected="0">
            <x v="2"/>
          </reference>
          <reference field="23" count="7">
            <x v="6"/>
            <x v="7"/>
            <x v="8"/>
            <x v="9"/>
            <x v="10"/>
            <x v="11"/>
            <x v="12"/>
          </reference>
          <reference field="25" count="1" selected="0">
            <x v="0"/>
          </reference>
        </references>
      </pivotArea>
    </format>
    <format dxfId="432">
      <pivotArea collapsedLevelsAreSubtotals="1" fieldPosition="0">
        <references count="3">
          <reference field="4294967294" count="1" selected="0">
            <x v="0"/>
          </reference>
          <reference field="0" count="1" selected="0">
            <x v="2"/>
          </reference>
          <reference field="25" count="1">
            <x v="1"/>
          </reference>
        </references>
      </pivotArea>
    </format>
    <format dxfId="431">
      <pivotArea collapsedLevelsAreSubtotals="1" fieldPosition="0">
        <references count="4">
          <reference field="4294967294" count="1" selected="0">
            <x v="0"/>
          </reference>
          <reference field="0" count="1" selected="0">
            <x v="2"/>
          </reference>
          <reference field="23" count="12">
            <x v="1"/>
            <x v="2"/>
            <x v="3"/>
            <x v="4"/>
            <x v="5"/>
            <x v="6"/>
            <x v="7"/>
            <x v="8"/>
            <x v="9"/>
            <x v="10"/>
            <x v="11"/>
            <x v="12"/>
          </reference>
          <reference field="25" count="1" selected="0">
            <x v="1"/>
          </reference>
        </references>
      </pivotArea>
    </format>
    <format dxfId="430">
      <pivotArea collapsedLevelsAreSubtotals="1" fieldPosition="0">
        <references count="3">
          <reference field="4294967294" count="1" selected="0">
            <x v="0"/>
          </reference>
          <reference field="0" count="1" selected="0">
            <x v="2"/>
          </reference>
          <reference field="25" count="1">
            <x v="2"/>
          </reference>
        </references>
      </pivotArea>
    </format>
    <format dxfId="429">
      <pivotArea collapsedLevelsAreSubtotals="1" fieldPosition="0">
        <references count="4">
          <reference field="4294967294" count="1" selected="0">
            <x v="0"/>
          </reference>
          <reference field="0" count="1" selected="0">
            <x v="2"/>
          </reference>
          <reference field="23" count="3">
            <x v="1"/>
            <x v="2"/>
            <x v="3"/>
          </reference>
          <reference field="25" count="1" selected="0">
            <x v="2"/>
          </reference>
        </references>
      </pivotArea>
    </format>
    <format dxfId="428">
      <pivotArea collapsedLevelsAreSubtotals="1" fieldPosition="0">
        <references count="4">
          <reference field="4294967294" count="1" selected="0">
            <x v="0"/>
          </reference>
          <reference field="0" count="1" selected="0">
            <x v="8"/>
          </reference>
          <reference field="23" count="1">
            <x v="6"/>
          </reference>
          <reference field="25" count="1" selected="0">
            <x v="0"/>
          </reference>
        </references>
      </pivotArea>
    </format>
    <format dxfId="427">
      <pivotArea collapsedLevelsAreSubtotals="1" fieldPosition="0">
        <references count="4">
          <reference field="4294967294" count="1" selected="0">
            <x v="0"/>
          </reference>
          <reference field="0" count="1" selected="0">
            <x v="10"/>
          </reference>
          <reference field="23" count="1">
            <x v="6"/>
          </reference>
          <reference field="25" count="1" selected="0">
            <x v="0"/>
          </reference>
        </references>
      </pivotArea>
    </format>
    <format dxfId="426">
      <pivotArea collapsedLevelsAreSubtotals="1" fieldPosition="0">
        <references count="4">
          <reference field="4294967294" count="1" selected="0">
            <x v="0"/>
          </reference>
          <reference field="0" count="1" selected="0">
            <x v="11"/>
          </reference>
          <reference field="23" count="1">
            <x v="6"/>
          </reference>
          <reference field="25" count="1" selected="0">
            <x v="0"/>
          </reference>
        </references>
      </pivotArea>
    </format>
    <format dxfId="425">
      <pivotArea collapsedLevelsAreSubtotals="1" fieldPosition="0">
        <references count="4">
          <reference field="4294967294" count="1" selected="0">
            <x v="0"/>
          </reference>
          <reference field="0" count="1" selected="0">
            <x v="13"/>
          </reference>
          <reference field="23" count="1">
            <x v="6"/>
          </reference>
          <reference field="25" count="1" selected="0">
            <x v="0"/>
          </reference>
        </references>
      </pivotArea>
    </format>
    <format dxfId="424">
      <pivotArea collapsedLevelsAreSubtotals="1" fieldPosition="0">
        <references count="4">
          <reference field="4294967294" count="1" selected="0">
            <x v="0"/>
          </reference>
          <reference field="0" count="1" selected="0">
            <x v="14"/>
          </reference>
          <reference field="23" count="1">
            <x v="6"/>
          </reference>
          <reference field="25" count="1" selected="0">
            <x v="0"/>
          </reference>
        </references>
      </pivotArea>
    </format>
    <format dxfId="423">
      <pivotArea collapsedLevelsAreSubtotals="1" fieldPosition="0">
        <references count="4">
          <reference field="4294967294" count="1" selected="0">
            <x v="0"/>
          </reference>
          <reference field="0" count="1" selected="0">
            <x v="18"/>
          </reference>
          <reference field="23" count="1">
            <x v="6"/>
          </reference>
          <reference field="25" count="1" selected="0">
            <x v="0"/>
          </reference>
        </references>
      </pivotArea>
    </format>
    <format dxfId="422">
      <pivotArea collapsedLevelsAreSubtotals="1" fieldPosition="0">
        <references count="4">
          <reference field="4294967294" count="1" selected="0">
            <x v="0"/>
          </reference>
          <reference field="0" count="1" selected="0">
            <x v="20"/>
          </reference>
          <reference field="23" count="1">
            <x v="6"/>
          </reference>
          <reference field="25" count="1" selected="0">
            <x v="0"/>
          </reference>
        </references>
      </pivotArea>
    </format>
    <format dxfId="421">
      <pivotArea collapsedLevelsAreSubtotals="1" fieldPosition="0">
        <references count="4">
          <reference field="4294967294" count="1" selected="0">
            <x v="0"/>
          </reference>
          <reference field="0" count="1" selected="0">
            <x v="21"/>
          </reference>
          <reference field="23" count="1">
            <x v="6"/>
          </reference>
          <reference field="25" count="1" selected="0">
            <x v="0"/>
          </reference>
        </references>
      </pivotArea>
    </format>
    <format dxfId="420">
      <pivotArea collapsedLevelsAreSubtotals="1" fieldPosition="0">
        <references count="4">
          <reference field="4294967294" count="1" selected="0">
            <x v="0"/>
          </reference>
          <reference field="0" count="1" selected="0">
            <x v="22"/>
          </reference>
          <reference field="23" count="1">
            <x v="6"/>
          </reference>
          <reference field="25" count="1" selected="0">
            <x v="0"/>
          </reference>
        </references>
      </pivotArea>
    </format>
    <format dxfId="419">
      <pivotArea dataOnly="0" labelOnly="1" fieldPosition="0">
        <references count="1">
          <reference field="0" count="0"/>
        </references>
      </pivotArea>
    </format>
    <format dxfId="418">
      <pivotArea type="all" dataOnly="0" outline="0" fieldPosition="0"/>
    </format>
    <format dxfId="417">
      <pivotArea outline="0" collapsedLevelsAreSubtotals="1" fieldPosition="0"/>
    </format>
    <format dxfId="416">
      <pivotArea type="origin" dataOnly="0" labelOnly="1" outline="0" fieldPosition="0"/>
    </format>
    <format dxfId="415">
      <pivotArea field="0" type="button" dataOnly="0" labelOnly="1" outline="0" axis="axisCol" fieldPosition="0"/>
    </format>
    <format dxfId="414">
      <pivotArea field="-2" type="button" dataOnly="0" labelOnly="1" outline="0" axis="axisCol" fieldPosition="1"/>
    </format>
    <format dxfId="413">
      <pivotArea type="topRight" dataOnly="0" labelOnly="1" outline="0" fieldPosition="0"/>
    </format>
    <format dxfId="412">
      <pivotArea field="25" type="button" dataOnly="0" labelOnly="1" outline="0" axis="axisRow" fieldPosition="0"/>
    </format>
    <format dxfId="411">
      <pivotArea dataOnly="0" labelOnly="1" fieldPosition="0">
        <references count="1">
          <reference field="25" count="3">
            <x v="0"/>
            <x v="1"/>
            <x v="2"/>
          </reference>
        </references>
      </pivotArea>
    </format>
    <format dxfId="410">
      <pivotArea dataOnly="0" labelOnly="1" fieldPosition="0">
        <references count="2">
          <reference field="23" count="7">
            <x v="6"/>
            <x v="7"/>
            <x v="8"/>
            <x v="9"/>
            <x v="10"/>
            <x v="11"/>
            <x v="12"/>
          </reference>
          <reference field="25" count="1" selected="0">
            <x v="0"/>
          </reference>
        </references>
      </pivotArea>
    </format>
    <format dxfId="409">
      <pivotArea dataOnly="0" labelOnly="1" fieldPosition="0">
        <references count="2">
          <reference field="23" count="12">
            <x v="1"/>
            <x v="2"/>
            <x v="3"/>
            <x v="4"/>
            <x v="5"/>
            <x v="6"/>
            <x v="7"/>
            <x v="8"/>
            <x v="9"/>
            <x v="10"/>
            <x v="11"/>
            <x v="12"/>
          </reference>
          <reference field="25" count="1" selected="0">
            <x v="1"/>
          </reference>
        </references>
      </pivotArea>
    </format>
    <format dxfId="408">
      <pivotArea dataOnly="0" labelOnly="1" fieldPosition="0">
        <references count="2">
          <reference field="23" count="3">
            <x v="1"/>
            <x v="2"/>
            <x v="3"/>
          </reference>
          <reference field="25" count="1" selected="0">
            <x v="2"/>
          </reference>
        </references>
      </pivotArea>
    </format>
    <format dxfId="407">
      <pivotArea dataOnly="0" labelOnly="1" fieldPosition="0">
        <references count="1">
          <reference field="0" count="0"/>
        </references>
      </pivotArea>
    </format>
    <format dxfId="406">
      <pivotArea dataOnly="0" labelOnly="1" outline="0" fieldPosition="0">
        <references count="2">
          <reference field="4294967294" count="2">
            <x v="0"/>
            <x v="1"/>
          </reference>
          <reference field="0" count="1" selected="0">
            <x v="2"/>
          </reference>
        </references>
      </pivotArea>
    </format>
    <format dxfId="405">
      <pivotArea dataOnly="0" labelOnly="1" outline="0" fieldPosition="0">
        <references count="2">
          <reference field="4294967294" count="2">
            <x v="0"/>
            <x v="1"/>
          </reference>
          <reference field="0" count="1" selected="0">
            <x v="8"/>
          </reference>
        </references>
      </pivotArea>
    </format>
    <format dxfId="404">
      <pivotArea dataOnly="0" labelOnly="1" outline="0" fieldPosition="0">
        <references count="2">
          <reference field="4294967294" count="2">
            <x v="0"/>
            <x v="1"/>
          </reference>
          <reference field="0" count="1" selected="0">
            <x v="10"/>
          </reference>
        </references>
      </pivotArea>
    </format>
    <format dxfId="403">
      <pivotArea dataOnly="0" labelOnly="1" outline="0" fieldPosition="0">
        <references count="2">
          <reference field="4294967294" count="2">
            <x v="0"/>
            <x v="1"/>
          </reference>
          <reference field="0" count="1" selected="0">
            <x v="11"/>
          </reference>
        </references>
      </pivotArea>
    </format>
    <format dxfId="402">
      <pivotArea dataOnly="0" labelOnly="1" outline="0" fieldPosition="0">
        <references count="2">
          <reference field="4294967294" count="2">
            <x v="0"/>
            <x v="1"/>
          </reference>
          <reference field="0" count="1" selected="0">
            <x v="13"/>
          </reference>
        </references>
      </pivotArea>
    </format>
    <format dxfId="401">
      <pivotArea dataOnly="0" labelOnly="1" outline="0" fieldPosition="0">
        <references count="2">
          <reference field="4294967294" count="2">
            <x v="0"/>
            <x v="1"/>
          </reference>
          <reference field="0" count="1" selected="0">
            <x v="14"/>
          </reference>
        </references>
      </pivotArea>
    </format>
    <format dxfId="400">
      <pivotArea dataOnly="0" labelOnly="1" outline="0" fieldPosition="0">
        <references count="2">
          <reference field="4294967294" count="2">
            <x v="0"/>
            <x v="1"/>
          </reference>
          <reference field="0" count="1" selected="0">
            <x v="18"/>
          </reference>
        </references>
      </pivotArea>
    </format>
    <format dxfId="399">
      <pivotArea dataOnly="0" labelOnly="1" outline="0" fieldPosition="0">
        <references count="2">
          <reference field="4294967294" count="2">
            <x v="0"/>
            <x v="1"/>
          </reference>
          <reference field="0" count="1" selected="0">
            <x v="20"/>
          </reference>
        </references>
      </pivotArea>
    </format>
    <format dxfId="398">
      <pivotArea dataOnly="0" labelOnly="1" outline="0" fieldPosition="0">
        <references count="2">
          <reference field="4294967294" count="2">
            <x v="0"/>
            <x v="1"/>
          </reference>
          <reference field="0" count="1" selected="0">
            <x v="21"/>
          </reference>
        </references>
      </pivotArea>
    </format>
    <format dxfId="397">
      <pivotArea dataOnly="0" labelOnly="1" outline="0" fieldPosition="0">
        <references count="2">
          <reference field="4294967294" count="2">
            <x v="0"/>
            <x v="1"/>
          </reference>
          <reference field="0" count="1" selected="0">
            <x v="22"/>
          </reference>
        </references>
      </pivotArea>
    </format>
    <format dxfId="396">
      <pivotArea field="25" type="button" dataOnly="0" labelOnly="1" outline="0" axis="axisRow" fieldPosition="0"/>
    </format>
    <format dxfId="395">
      <pivotArea dataOnly="0" labelOnly="1" outline="0" fieldPosition="0">
        <references count="2">
          <reference field="4294967294" count="2">
            <x v="0"/>
            <x v="1"/>
          </reference>
          <reference field="0" count="1" selected="0">
            <x v="2"/>
          </reference>
        </references>
      </pivotArea>
    </format>
    <format dxfId="394">
      <pivotArea dataOnly="0" labelOnly="1" outline="0" fieldPosition="0">
        <references count="2">
          <reference field="4294967294" count="2">
            <x v="0"/>
            <x v="1"/>
          </reference>
          <reference field="0" count="1" selected="0">
            <x v="8"/>
          </reference>
        </references>
      </pivotArea>
    </format>
    <format dxfId="393">
      <pivotArea dataOnly="0" labelOnly="1" outline="0" fieldPosition="0">
        <references count="2">
          <reference field="4294967294" count="2">
            <x v="0"/>
            <x v="1"/>
          </reference>
          <reference field="0" count="1" selected="0">
            <x v="10"/>
          </reference>
        </references>
      </pivotArea>
    </format>
    <format dxfId="392">
      <pivotArea dataOnly="0" labelOnly="1" outline="0" fieldPosition="0">
        <references count="2">
          <reference field="4294967294" count="2">
            <x v="0"/>
            <x v="1"/>
          </reference>
          <reference field="0" count="1" selected="0">
            <x v="11"/>
          </reference>
        </references>
      </pivotArea>
    </format>
    <format dxfId="391">
      <pivotArea dataOnly="0" labelOnly="1" outline="0" fieldPosition="0">
        <references count="2">
          <reference field="4294967294" count="2">
            <x v="0"/>
            <x v="1"/>
          </reference>
          <reference field="0" count="1" selected="0">
            <x v="13"/>
          </reference>
        </references>
      </pivotArea>
    </format>
    <format dxfId="390">
      <pivotArea dataOnly="0" labelOnly="1" outline="0" fieldPosition="0">
        <references count="2">
          <reference field="4294967294" count="2">
            <x v="0"/>
            <x v="1"/>
          </reference>
          <reference field="0" count="1" selected="0">
            <x v="14"/>
          </reference>
        </references>
      </pivotArea>
    </format>
    <format dxfId="389">
      <pivotArea dataOnly="0" labelOnly="1" outline="0" fieldPosition="0">
        <references count="2">
          <reference field="4294967294" count="2">
            <x v="0"/>
            <x v="1"/>
          </reference>
          <reference field="0" count="1" selected="0">
            <x v="18"/>
          </reference>
        </references>
      </pivotArea>
    </format>
    <format dxfId="388">
      <pivotArea dataOnly="0" labelOnly="1" outline="0" fieldPosition="0">
        <references count="2">
          <reference field="4294967294" count="2">
            <x v="0"/>
            <x v="1"/>
          </reference>
          <reference field="0" count="1" selected="0">
            <x v="20"/>
          </reference>
        </references>
      </pivotArea>
    </format>
    <format dxfId="387">
      <pivotArea dataOnly="0" labelOnly="1" outline="0" fieldPosition="0">
        <references count="2">
          <reference field="4294967294" count="2">
            <x v="0"/>
            <x v="1"/>
          </reference>
          <reference field="0" count="1" selected="0">
            <x v="21"/>
          </reference>
        </references>
      </pivotArea>
    </format>
    <format dxfId="386">
      <pivotArea dataOnly="0" labelOnly="1" outline="0" fieldPosition="0">
        <references count="2">
          <reference field="4294967294" count="2">
            <x v="0"/>
            <x v="1"/>
          </reference>
          <reference field="0" count="1" selected="0">
            <x v="22"/>
          </reference>
        </references>
      </pivotArea>
    </format>
    <format dxfId="385">
      <pivotArea type="all" dataOnly="0" outline="0" fieldPosition="0"/>
    </format>
    <format dxfId="384">
      <pivotArea dataOnly="0" outline="0" fieldPosition="0">
        <references count="1">
          <reference field="0" count="1">
            <x v="2"/>
          </reference>
        </references>
      </pivotArea>
    </format>
    <format dxfId="383">
      <pivotArea outline="0" collapsedLevelsAreSubtotals="1" fieldPosition="0">
        <references count="2">
          <reference field="4294967294" count="2" selected="0">
            <x v="0"/>
            <x v="1"/>
          </reference>
          <reference field="0" count="1" selected="0">
            <x v="8"/>
          </reference>
        </references>
      </pivotArea>
    </format>
    <format dxfId="382">
      <pivotArea collapsedLevelsAreSubtotals="1" fieldPosition="0">
        <references count="4">
          <reference field="4294967294" count="1" selected="0">
            <x v="1"/>
          </reference>
          <reference field="0" count="1" selected="0">
            <x v="8"/>
          </reference>
          <reference field="23" count="1">
            <x v="9"/>
          </reference>
          <reference field="25" count="1" selected="0">
            <x v="0"/>
          </reference>
        </references>
      </pivotArea>
    </format>
    <format dxfId="381">
      <pivotArea type="all" dataOnly="0" outline="0" fieldPosition="0"/>
    </format>
    <format dxfId="380">
      <pivotArea outline="0" collapsedLevelsAreSubtotals="1" fieldPosition="0"/>
    </format>
    <format dxfId="379">
      <pivotArea type="origin" dataOnly="0" labelOnly="1" outline="0" fieldPosition="0"/>
    </format>
    <format dxfId="378">
      <pivotArea field="0" type="button" dataOnly="0" labelOnly="1" outline="0" axis="axisCol" fieldPosition="0"/>
    </format>
    <format dxfId="377">
      <pivotArea field="-2" type="button" dataOnly="0" labelOnly="1" outline="0" axis="axisCol" fieldPosition="1"/>
    </format>
    <format dxfId="376">
      <pivotArea type="topRight" dataOnly="0" labelOnly="1" outline="0" fieldPosition="0"/>
    </format>
    <format dxfId="375">
      <pivotArea field="25" type="button" dataOnly="0" labelOnly="1" outline="0" axis="axisRow" fieldPosition="0"/>
    </format>
    <format dxfId="374">
      <pivotArea dataOnly="0" labelOnly="1" fieldPosition="0">
        <references count="1">
          <reference field="25" count="0"/>
        </references>
      </pivotArea>
    </format>
    <format dxfId="373">
      <pivotArea dataOnly="0" labelOnly="1" fieldPosition="0">
        <references count="2">
          <reference field="23" count="7">
            <x v="6"/>
            <x v="7"/>
            <x v="8"/>
            <x v="9"/>
            <x v="10"/>
            <x v="11"/>
            <x v="12"/>
          </reference>
          <reference field="25" count="1" selected="0">
            <x v="0"/>
          </reference>
        </references>
      </pivotArea>
    </format>
    <format dxfId="372">
      <pivotArea dataOnly="0" labelOnly="1" fieldPosition="0">
        <references count="2">
          <reference field="23" count="12">
            <x v="1"/>
            <x v="2"/>
            <x v="3"/>
            <x v="4"/>
            <x v="5"/>
            <x v="6"/>
            <x v="7"/>
            <x v="8"/>
            <x v="9"/>
            <x v="10"/>
            <x v="11"/>
            <x v="12"/>
          </reference>
          <reference field="25" count="1" selected="0">
            <x v="1"/>
          </reference>
        </references>
      </pivotArea>
    </format>
    <format dxfId="371">
      <pivotArea dataOnly="0" labelOnly="1" fieldPosition="0">
        <references count="2">
          <reference field="23" count="4">
            <x v="1"/>
            <x v="2"/>
            <x v="3"/>
            <x v="4"/>
          </reference>
          <reference field="25" count="1" selected="0">
            <x v="2"/>
          </reference>
        </references>
      </pivotArea>
    </format>
    <format dxfId="370">
      <pivotArea dataOnly="0" labelOnly="1" fieldPosition="0">
        <references count="1">
          <reference field="0" count="0"/>
        </references>
      </pivotArea>
    </format>
    <format dxfId="369">
      <pivotArea dataOnly="0" labelOnly="1" outline="0" fieldPosition="0">
        <references count="2">
          <reference field="4294967294" count="2">
            <x v="0"/>
            <x v="1"/>
          </reference>
          <reference field="0" count="1" selected="0">
            <x v="2"/>
          </reference>
        </references>
      </pivotArea>
    </format>
    <format dxfId="368">
      <pivotArea dataOnly="0" labelOnly="1" outline="0" fieldPosition="0">
        <references count="2">
          <reference field="4294967294" count="2">
            <x v="0"/>
            <x v="1"/>
          </reference>
          <reference field="0" count="1" selected="0">
            <x v="8"/>
          </reference>
        </references>
      </pivotArea>
    </format>
    <format dxfId="367">
      <pivotArea dataOnly="0" labelOnly="1" outline="0" fieldPosition="0">
        <references count="2">
          <reference field="4294967294" count="2">
            <x v="0"/>
            <x v="1"/>
          </reference>
          <reference field="0" count="1" selected="0">
            <x v="10"/>
          </reference>
        </references>
      </pivotArea>
    </format>
    <format dxfId="366">
      <pivotArea dataOnly="0" labelOnly="1" outline="0" fieldPosition="0">
        <references count="2">
          <reference field="4294967294" count="2">
            <x v="0"/>
            <x v="1"/>
          </reference>
          <reference field="0" count="1" selected="0">
            <x v="11"/>
          </reference>
        </references>
      </pivotArea>
    </format>
    <format dxfId="365">
      <pivotArea dataOnly="0" labelOnly="1" outline="0" fieldPosition="0">
        <references count="2">
          <reference field="4294967294" count="2">
            <x v="0"/>
            <x v="1"/>
          </reference>
          <reference field="0" count="1" selected="0">
            <x v="13"/>
          </reference>
        </references>
      </pivotArea>
    </format>
    <format dxfId="364">
      <pivotArea dataOnly="0" labelOnly="1" outline="0" fieldPosition="0">
        <references count="2">
          <reference field="4294967294" count="2">
            <x v="0"/>
            <x v="1"/>
          </reference>
          <reference field="0" count="1" selected="0">
            <x v="14"/>
          </reference>
        </references>
      </pivotArea>
    </format>
    <format dxfId="363">
      <pivotArea dataOnly="0" labelOnly="1" outline="0" fieldPosition="0">
        <references count="2">
          <reference field="4294967294" count="2">
            <x v="0"/>
            <x v="1"/>
          </reference>
          <reference field="0" count="1" selected="0">
            <x v="18"/>
          </reference>
        </references>
      </pivotArea>
    </format>
    <format dxfId="362">
      <pivotArea dataOnly="0" labelOnly="1" outline="0" fieldPosition="0">
        <references count="2">
          <reference field="4294967294" count="2">
            <x v="0"/>
            <x v="1"/>
          </reference>
          <reference field="0" count="1" selected="0">
            <x v="20"/>
          </reference>
        </references>
      </pivotArea>
    </format>
    <format dxfId="361">
      <pivotArea dataOnly="0" labelOnly="1" outline="0" fieldPosition="0">
        <references count="2">
          <reference field="4294967294" count="2">
            <x v="0"/>
            <x v="1"/>
          </reference>
          <reference field="0" count="1" selected="0">
            <x v="21"/>
          </reference>
        </references>
      </pivotArea>
    </format>
    <format dxfId="360">
      <pivotArea dataOnly="0" labelOnly="1" outline="0" fieldPosition="0">
        <references count="2">
          <reference field="4294967294" count="2">
            <x v="0"/>
            <x v="1"/>
          </reference>
          <reference field="0" count="1" selected="0">
            <x v="22"/>
          </reference>
        </references>
      </pivotArea>
    </format>
    <format dxfId="359">
      <pivotArea dataOnly="0" labelOnly="1" fieldPosition="0">
        <references count="1">
          <reference field="25" count="1">
            <x v="1"/>
          </reference>
        </references>
      </pivotArea>
    </format>
    <format dxfId="358">
      <pivotArea dataOnly="0" labelOnly="1" fieldPosition="0">
        <references count="1">
          <reference field="25" count="1">
            <x v="2"/>
          </reference>
        </references>
      </pivotArea>
    </format>
    <format dxfId="357">
      <pivotArea dataOnly="0" labelOnly="1" fieldPosition="0">
        <references count="1">
          <reference field="25" count="1">
            <x v="0"/>
          </reference>
        </references>
      </pivotArea>
    </format>
    <format dxfId="356">
      <pivotArea dataOnly="0" labelOnly="1" fieldPosition="0">
        <references count="1">
          <reference field="0" count="0"/>
        </references>
      </pivotArea>
    </format>
    <format dxfId="355">
      <pivotArea outline="0" collapsedLevelsAreSubtotals="1" fieldPosition="0">
        <references count="2">
          <reference field="4294967294" count="1" selected="0">
            <x v="0"/>
          </reference>
          <reference field="0" count="1" selected="0">
            <x v="8"/>
          </reference>
        </references>
      </pivotArea>
    </format>
    <format dxfId="354">
      <pivotArea dataOnly="0" labelOnly="1" offset="A256" fieldPosition="0">
        <references count="1">
          <reference field="0" count="1">
            <x v="8"/>
          </reference>
        </references>
      </pivotArea>
    </format>
    <format dxfId="353">
      <pivotArea outline="0" collapsedLevelsAreSubtotals="1" fieldPosition="0">
        <references count="2">
          <reference field="4294967294" count="1" selected="0">
            <x v="0"/>
          </reference>
          <reference field="0" count="1" selected="0">
            <x v="10"/>
          </reference>
        </references>
      </pivotArea>
    </format>
    <format dxfId="352">
      <pivotArea dataOnly="0" labelOnly="1" offset="A256" fieldPosition="0">
        <references count="1">
          <reference field="0" count="1">
            <x v="10"/>
          </reference>
        </references>
      </pivotArea>
    </format>
    <format dxfId="351">
      <pivotArea outline="0" collapsedLevelsAreSubtotals="1" fieldPosition="0">
        <references count="2">
          <reference field="4294967294" count="1" selected="0">
            <x v="0"/>
          </reference>
          <reference field="0" count="1" selected="0">
            <x v="2"/>
          </reference>
        </references>
      </pivotArea>
    </format>
    <format dxfId="350">
      <pivotArea dataOnly="0" labelOnly="1" offset="A256" fieldPosition="0">
        <references count="1">
          <reference field="0" count="1">
            <x v="2"/>
          </reference>
        </references>
      </pivotArea>
    </format>
    <format dxfId="349">
      <pivotArea dataOnly="0" outline="0" fieldPosition="0">
        <references count="1">
          <reference field="0" count="1">
            <x v="11"/>
          </reference>
        </references>
      </pivotArea>
    </format>
    <format dxfId="348">
      <pivotArea dataOnly="0" outline="0" fieldPosition="0">
        <references count="1">
          <reference field="0" count="1">
            <x v="13"/>
          </reference>
        </references>
      </pivotArea>
    </format>
    <format dxfId="347">
      <pivotArea dataOnly="0" outline="0" fieldPosition="0">
        <references count="1">
          <reference field="0" count="1">
            <x v="14"/>
          </reference>
        </references>
      </pivotArea>
    </format>
    <format dxfId="346">
      <pivotArea dataOnly="0" outline="0" fieldPosition="0">
        <references count="1">
          <reference field="4294967294" count="1">
            <x v="0"/>
          </reference>
        </references>
      </pivotArea>
    </format>
    <format dxfId="345">
      <pivotArea dataOnly="0" labelOnly="1" offset="A256" fieldPosition="0">
        <references count="1">
          <reference field="0" count="1">
            <x v="18"/>
          </reference>
        </references>
      </pivotArea>
    </format>
    <format dxfId="344">
      <pivotArea dataOnly="0" labelOnly="1" offset="A256" fieldPosition="0">
        <references count="1">
          <reference field="0" count="1">
            <x v="20"/>
          </reference>
        </references>
      </pivotArea>
    </format>
    <format dxfId="343">
      <pivotArea dataOnly="0" labelOnly="1" offset="A256" fieldPosition="0">
        <references count="1">
          <reference field="0" count="1">
            <x v="21"/>
          </reference>
        </references>
      </pivotArea>
    </format>
    <format dxfId="342">
      <pivotArea dataOnly="0" labelOnly="1" offset="A256" fieldPosition="0">
        <references count="1">
          <reference field="0" count="1">
            <x v="22"/>
          </reference>
        </references>
      </pivotArea>
    </format>
    <format dxfId="341">
      <pivotArea dataOnly="0" outline="0" fieldPosition="0">
        <references count="1">
          <reference field="0" count="1">
            <x v="22"/>
          </reference>
        </references>
      </pivotArea>
    </format>
    <format dxfId="340">
      <pivotArea dataOnly="0" labelOnly="1" fieldPosition="0">
        <references count="1">
          <reference field="0" count="0"/>
        </references>
      </pivotArea>
    </format>
    <format dxfId="339">
      <pivotArea dataOnly="0" labelOnly="1" fieldPosition="0">
        <references count="1">
          <reference field="0" count="0"/>
        </references>
      </pivotArea>
    </format>
    <format dxfId="338">
      <pivotArea dataOnly="0" labelOnly="1" fieldPosition="0">
        <references count="1">
          <reference field="0" count="9">
            <x v="2"/>
            <x v="8"/>
            <x v="10"/>
            <x v="11"/>
            <x v="13"/>
            <x v="14"/>
            <x v="18"/>
            <x v="20"/>
            <x v="21"/>
          </reference>
        </references>
      </pivotArea>
    </format>
    <format dxfId="337">
      <pivotArea dataOnly="0" labelOnly="1" fieldPosition="0">
        <references count="1">
          <reference field="0" count="1">
            <x v="22"/>
          </reference>
        </references>
      </pivotArea>
    </format>
    <format>
      <pivotArea dataOnly="0" labelOnly="1" fieldPosition="0">
        <references count="2">
          <reference field="23" count="12">
            <x v="1"/>
            <x v="2"/>
            <x v="3"/>
            <x v="4"/>
            <x v="5"/>
            <x v="6"/>
            <x v="7"/>
            <x v="8"/>
            <x v="9"/>
            <x v="10"/>
            <x v="11"/>
            <x v="12"/>
          </reference>
          <reference field="25" count="1" selected="0">
            <x v="2"/>
          </reference>
        </references>
      </pivotArea>
    </format>
  </formats>
  <pivotTableStyleInfo name="HelloData_Pivot_Table" showRowHeaders="1" showColHeaders="1" showRowStripes="0" showColStripes="0" showLastColumn="1"/>
  <filters count="1">
    <filter fld="10" type="dateNewerThan" evalOrder="-1" id="1">
      <autoFilter ref="A1">
        <filterColumn colId="0">
          <customFilters>
            <customFilter operator="greaterThan" val="451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s" xr10:uid="{C446F4C7-DAD9-4378-8880-89D432EC9014}" sourceName="Beds">
  <pivotTables>
    <pivotTable tabId="13" name="avg_days_on_mkt_by_property"/>
    <pivotTable tabId="13" name="active_listings_by_property"/>
    <pivotTable tabId="13" name="avg_days_on_mkt_by_unit_type"/>
    <pivotTable tabId="13" name="asking_vs_effective_closed_listings"/>
    <pivotTable tabId="13" name="concessions_as_percent_of_asking_rent_by_unit_type"/>
    <pivotTable tabId="13" name="concessions_as_percent_of_asking_rent_by_property"/>
    <pivotTable tabId="13" name="asking_vs_effective_psf_closed_listings"/>
    <pivotTable tabId="15" name="property_unit_and_floorplan_level_data"/>
    <pivotTable tabId="13" name="avg_sqft_by_unit_type"/>
    <pivotTable tabId="13" name="average_days_on_mkt_by_property"/>
    <pivotTable tabId="13" name="asking_rent_by_unit_type_by_month"/>
    <pivotTable tabId="13" name="avg_time_on_mkt_by_month"/>
    <pivotTable tabId="13" name="leasing_volume_by_month"/>
    <pivotTable tabId="13" name="asking_and_effective_rent_psf_by_month"/>
    <pivotTable tabId="13" name="asking_and_effective_rent_by_month"/>
    <pivotTable tabId="13" name="asking_vs_effective_active_listings"/>
    <pivotTable tabId="13" name="asking_vs_effective_psf_active_listings"/>
  </pivotTables>
  <data>
    <tabular pivotCacheId="341728258">
      <items count="6">
        <i x="1" s="1"/>
        <i x="2" s="1"/>
        <i x="4" s="1"/>
        <i x="3" s="1"/>
        <i x="0"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40C04735-6905-4D89-8608-EDD309BFB2DD}" sourceName="Property Name">
  <pivotTables>
    <pivotTable tabId="13" name="leasing_volume_by_month"/>
    <pivotTable tabId="13" name="active_listings_by_property"/>
    <pivotTable tabId="13" name="asking_and_effective_rent_by_month"/>
    <pivotTable tabId="13" name="asking_and_effective_rent_psf_by_month"/>
    <pivotTable tabId="13" name="asking_rent_by_unit_type_by_month"/>
    <pivotTable tabId="13" name="asking_vs_effective_active_listings"/>
    <pivotTable tabId="13" name="asking_vs_effective_closed_listings"/>
    <pivotTable tabId="13" name="asking_vs_effective_psf_active_listings"/>
    <pivotTable tabId="13" name="asking_vs_effective_psf_closed_listings"/>
    <pivotTable tabId="13" name="average_days_on_mkt_by_property"/>
    <pivotTable tabId="13" name="avg_days_on_mkt_by_property"/>
    <pivotTable tabId="13" name="avg_days_on_mkt_by_unit_type"/>
    <pivotTable tabId="13" name="avg_sqft_by_unit_type"/>
    <pivotTable tabId="13" name="avg_time_on_mkt_by_month"/>
    <pivotTable tabId="13" name="concessions_as_percent_of_asking_rent_by_property"/>
    <pivotTable tabId="13" name="concessions_as_percent_of_asking_rent_by_unit_type"/>
    <pivotTable tabId="15" name="property_unit_and_floorplan_level_data"/>
  </pivotTables>
  <data>
    <tabular pivotCacheId="341728258">
      <items count="23">
        <i x="2" s="1"/>
        <i x="8" s="1"/>
        <i x="5" s="1"/>
        <i x="3" s="1"/>
        <i x="0" s="1"/>
        <i x="6" s="1"/>
        <i x="9" s="1"/>
        <i x="4" s="1"/>
        <i x="7" s="1"/>
        <i x="1" s="1"/>
        <i x="18" s="1" nd="1"/>
        <i x="22" s="1" nd="1"/>
        <i x="19" s="1" nd="1"/>
        <i x="11" s="1" nd="1"/>
        <i x="10" s="1" nd="1"/>
        <i x="12" s="1" nd="1"/>
        <i x="13" s="1" nd="1"/>
        <i x="20" s="1" nd="1"/>
        <i x="17" s="1" nd="1"/>
        <i x="14" s="1" nd="1"/>
        <i x="15" s="1" nd="1"/>
        <i x="16" s="1" nd="1"/>
        <i x="2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s" xr10:uid="{4F05C4C9-052E-4200-8580-834F02ED6CB2}" cache="Slicer_Beds" caption="Beds" style="HelloData_Light_Slicer" rowHeight="241300"/>
  <slicer name="Properties" xr10:uid="{3E66CCF6-62ED-4B11-8538-BCAE6B0C897F}" cache="Slicer_Property_Name" caption="Properties" startItem="3" style="HelloData_Light_Slicer" rowHeight="241300"/>
</slicers>
</file>

<file path=xl/tables/table9.xml><?xml version="1.0" encoding="utf-8"?>
<table xmlns="http://schemas.openxmlformats.org/spreadsheetml/2006/main" id="9" name="Table1" displayName="Table1" ref="B3:AN11">
  <autoFilter ref="B3:AN11"/>
  <tableColumns count="39">
    <tableColumn id="1" name="Property"/>
    <tableColumn id="2" name="Address"/>
    <tableColumn id="3" name="Similarity"/>
    <tableColumn id="4" name="Dist. (mi)"/>
    <tableColumn id="5" name="Quality"/>
    <tableColumn id="6" name="Yr Built"/>
    <tableColumn id="7" name="# Units"/>
    <tableColumn id="8" name="Stories"/>
    <tableColumn id="9" name="Avg Sqft"/>
    <tableColumn id="10" name="Leased %"/>
    <tableColumn id="11" name="Exposure %"/>
    <tableColumn id="12" name="Studio"/>
    <tableColumn id="13" name="Studio PSF"/>
    <tableColumn id="14" name="1BR"/>
    <tableColumn id="15" name="1BR PSF"/>
    <tableColumn id="16" name="2BR"/>
    <tableColumn id="17" name="2BR PSF"/>
    <tableColumn id="18" name="3BR"/>
    <tableColumn id="19" name="3BR PSF"/>
    <tableColumn id="20" name="4BR"/>
    <tableColumn id="21" name="4BR PSF"/>
    <tableColumn id="22" name="5BR"/>
    <tableColumn id="23" name="5BR PSF"/>
    <tableColumn id="24" name="Avg"/>
    <tableColumn id="25" name="Avg PSF"/>
    <tableColumn id="26" name=" Studio "/>
    <tableColumn id="27" name="Studio PSF "/>
    <tableColumn id="28" name=" 1BR "/>
    <tableColumn id="29" name="1BR PSF "/>
    <tableColumn id="30" name=" 2BR "/>
    <tableColumn id="31" name="2BR PSF "/>
    <tableColumn id="32" name=" 3BR "/>
    <tableColumn id="33" name="3BR PSF "/>
    <tableColumn id="34" name=" 4BR "/>
    <tableColumn id="35" name="4BR PSF "/>
    <tableColumn id="36" name="5BR "/>
    <tableColumn id="37" name="5BR PSF "/>
    <tableColumn id="38" name=" Avg "/>
    <tableColumn id="39" name=" Avg PSF "/>
  </tableColumns>
  <tableStyleInfo name="HelloData_Table" showFirstColumn="false" showLastColumn="false" showRowStripes="true" showColumnStripes="false"/>
</table>
</file>

<file path=xl/tables/table10.xml><?xml version="1.0" encoding="utf-8"?>
<table xmlns="http://schemas.openxmlformats.org/spreadsheetml/2006/main" id="10" name="unit_details" displayName="unit_details" ref="B3:T1428">
  <autoFilter ref="B3:T1428"/>
  <tableColumns count="19">
    <tableColumn id="1" name="Property Name"/>
    <tableColumn id="2" name="Address"/>
    <tableColumn id="3" name="Floorplan Name"/>
    <tableColumn id="4" name="Unit #"/>
    <tableColumn id="5" name="Floor #"/>
    <tableColumn id="6" name="Beds"/>
    <tableColumn id="7" name="Baths"/>
    <tableColumn id="8" name="Partial Baths"/>
    <tableColumn id="9" name="Sqft"/>
    <tableColumn id="10" name="First Listed"/>
    <tableColumn id="11" name="Leased Date"/>
    <tableColumn id="12" name="Active Listing?"/>
    <tableColumn id="13" name="Days on Mkt"/>
    <tableColumn id="14" name="Asking Rent"/>
    <tableColumn id="15" name="Asking PSF"/>
    <tableColumn id="16" name="Effective Rent"/>
    <tableColumn id="17" name="Effective PSF"/>
    <tableColumn id="18" name="Advertised Unit Amenities"/>
    <tableColumn id="19" name="Detected Unit Amenities"/>
  </tableColumns>
  <tableStyleInfo name="HelloData_Table"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eased_Date" xr10:uid="{09B98005-5496-46D1-9B8C-FCF8BDB401DD}" sourceName="Leased Date">
  <pivotTables>
    <pivotTable tabId="13" name="asking_rent_by_unit_type_by_month"/>
    <pivotTable tabId="13" name="average_days_on_mkt_by_property"/>
    <pivotTable tabId="13" name="avg_time_on_mkt_by_month"/>
    <pivotTable tabId="13" name="avg_days_on_mkt_by_unit_type"/>
    <pivotTable tabId="13" name="leasing_volume_by_month"/>
    <pivotTable tabId="13" name="avg_days_on_mkt_by_property"/>
    <pivotTable tabId="13" name="asking_and_effective_rent_psf_by_month"/>
    <pivotTable tabId="13" name="asking_and_effective_rent_by_month"/>
    <pivotTable tabId="13" name="concessions_as_percent_of_asking_rent_by_unit_type"/>
    <pivotTable tabId="13" name="concessions_as_percent_of_asking_rent_by_property"/>
    <pivotTable tabId="13" name="asking_vs_effective_closed_listings"/>
    <pivotTable tabId="13" name="asking_vs_effective_psf_closed_listings"/>
    <pivotTable tabId="13" name="avg_sqft_by_unit_type"/>
    <pivotTable tabId="15" name="property_unit_and_floorplan_level_data"/>
    <pivotTable tabId="13" name="asking_vs_effective_active_listings"/>
    <pivotTable tabId="13" name="asking_vs_effective_psf_active_listings"/>
  </pivotTables>
  <state minimalRefreshVersion="6" lastRefreshVersion="6" pivotCacheId="341728258"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eased Date" xr10:uid="{5311F54D-3768-48EF-AC1D-7AC300958900}" cache="NativeTimeline_Leased_Date" caption="Timeline" level="2" selectionLevel="2" scrollPosition="2023-01-01T00:00:00" style="Custom Timeline"/>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7.xml"/><Relationship Id="rId5" Type="http://schemas.microsoft.com/office/2011/relationships/timeline" Target="../timelines/timelin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9.xml"/><Relationship Id="rId1" Type="http://schemas.openxmlformats.org/officeDocument/2006/relationships/pivotTable" Target="../pivotTables/pivotTable28.xml"/></Relationships>
</file>

<file path=xl/worksheets/_rels/sheet7.xml.rels><?xml version="1.0" encoding="UTF-8"?>
<Relationships xmlns="http://schemas.openxmlformats.org/package/2006/relationships"><Relationship Id="rId1" Target="../printerSettings/printerSettings3.bin" Type="http://schemas.openxmlformats.org/officeDocument/2006/relationships/printerSettings"></Relationship><Relationship Id="rId2" Target="../tables/table9.xml" Type="http://schemas.openxmlformats.org/officeDocument/2006/relationships/table"></Relationship></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Relationships xmlns="http://schemas.openxmlformats.org/package/2006/relationships"><Relationship Id="rId1" Target="../printerSettings/printerSettings5.bin" Type="http://schemas.openxmlformats.org/officeDocument/2006/relationships/printerSettings"></Relationship><Relationship Id="rId2" Target="../tables/table10.xml" Type="http://schemas.openxmlformats.org/officeDocument/2006/relationships/table"></Relationship></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C8E0-64EC-4287-8430-F19A203D93F8}">
  <sheetPr codeName="Sheet1"/>
  <dimension ref="B7:D19"/>
  <sheetViews>
    <sheetView showGridLines="false" tabSelected="true" zoomScale="130" zoomScaleNormal="130" workbookViewId="0"/>
  </sheetViews>
  <sheetFormatPr defaultColWidth="8.7265625" defaultRowHeight="14.5"/>
  <cols>
    <col customWidth="true" max="1" min="1" style="55" width="2.54296875"/>
    <col customWidth="true" max="2" min="2" style="55" width="3.90625"/>
    <col customWidth="true" max="3" min="3" style="55" width="19.1796875"/>
    <col customWidth="true" max="4" min="4" style="55" width="14.36328125"/>
    <col max="16384" min="5" style="55" width="8.7265625"/>
  </cols>
  <sheetData>
    <row r="1"/>
    <row r="2"/>
    <row r="3"/>
    <row r="4"/>
    <row r="5"/>
    <row r="6"/>
    <row r="7" spans="2:4" ht="22" customHeight="true">
      <c r="B7" s="606" t="s">
        <v>610</v>
      </c>
      <c r="C7" s="504"/>
      <c r="D7" s="504"/>
    </row>
    <row r="8"/>
    <row r="9" spans="2:4" ht="23.15" customHeight="true" thickBot="true">
      <c r="B9" s="603" t="s">
        <v>596</v>
      </c>
      <c r="C9" s="82"/>
      <c r="D9" s="82"/>
    </row>
    <row r="10" spans="2:4" ht="18.5">
      <c r="B10" s="604">
        <v>1</v>
      </c>
      <c r="C10" s="605" t="s">
        <v>1055</v>
      </c>
    </row>
    <row r="11" spans="2:4" s="81" customFormat="true" ht="18.5">
      <c r="B11" s="604">
        <v>2</v>
      </c>
      <c r="C11" s="605" t="s">
        <v>749</v>
      </c>
    </row>
    <row r="12" spans="2:4" s="81" customFormat="true" ht="18.5">
      <c r="B12" s="604">
        <v>3</v>
      </c>
      <c r="C12" s="605" t="s">
        <v>595</v>
      </c>
    </row>
    <row r="13" spans="2:4" s="81" customFormat="true" ht="18.5">
      <c r="B13" s="604">
        <v>4</v>
      </c>
      <c r="C13" s="605" t="s">
        <v>1203</v>
      </c>
    </row>
    <row r="14" spans="2:4" s="81" customFormat="true" ht="18.5">
      <c r="B14" s="604">
        <v>5</v>
      </c>
      <c r="C14" s="605" t="s">
        <v>10</v>
      </c>
    </row>
    <row r="15" spans="2:4" s="81" customFormat="true" ht="18.5">
      <c r="B15" s="604">
        <v>6</v>
      </c>
      <c r="C15" s="605" t="s">
        <v>838</v>
      </c>
    </row>
    <row r="16" spans="2:4" s="81" customFormat="true" ht="18.5">
      <c r="B16" s="604">
        <v>7</v>
      </c>
      <c r="C16" s="605" t="s">
        <v>594</v>
      </c>
    </row>
    <row r="17" spans="2:3" s="81" customFormat="true" ht="18.5">
      <c r="B17" s="604">
        <v>8</v>
      </c>
      <c r="C17" s="605" t="s">
        <v>855</v>
      </c>
    </row>
    <row r="18" spans="2:3" s="81" customFormat="true" ht="18.5">
      <c r="B18" s="604">
        <v>9</v>
      </c>
      <c r="C18" s="605" t="s">
        <v>1195</v>
      </c>
    </row>
    <row r="19" spans="2:3" s="81" customFormat="true" ht="18.5">
      <c r="B19" s="604">
        <v>10</v>
      </c>
      <c r="C19" s="605" t="s">
        <v>752</v>
      </c>
    </row>
  </sheetData>
  <hyperlinks>
    <hyperlink ref="C12" location="'Data Analysis'!A1" display="Data Analysis"/>
    <hyperlink ref="C14" location="'Rent Comps'!A1" display="3. Rent Comps"/>
    <hyperlink ref="C16" location="'Unit-Level Data'!A1" display="4. Unit-Level Data"/>
    <hyperlink ref="C18" location="'Fees &amp; Amenities'!A1" display="Fees &amp; Amenities"/>
    <hyperlink ref="C11" location="'30-Day Trends'!A1" display="30-Day Trends"/>
    <hyperlink ref="C19" location="Specials!A1" display="Specials"/>
    <hyperlink ref="C15" location="'Rent Comparison'!A1" display="Rent Comparison"/>
    <hyperlink ref="C17" location="'Unit Mix'!A1" display="Unit Mix"/>
    <hyperlink ref="C13" location="'Leasing Trends'!A1" display="Leasing Trends"/>
    <hyperlink ref="C10" location="'Weekly Market Updates'!A1" display="Weekly Market Updates"/>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EC87-9B88-4275-92A0-9C6F48B54680}">
  <sheetPr codeName="Sheet2"/>
  <dimension ref="B2:T49"/>
  <sheetViews>
    <sheetView showGridLines="false" zoomScaleNormal="100" workbookViewId="0"/>
  </sheetViews>
  <sheetFormatPr defaultRowHeight="14.5"/>
  <cols>
    <col customWidth="true" max="1" min="1" width="2.6328125"/>
    <col customWidth="true" max="2" min="2" width="40.90625"/>
    <col bestFit="true" customWidth="true" max="3" min="3" width="20.1796875"/>
    <col customWidth="true" max="4" min="4" width="1.6328125"/>
    <col customWidth="true" max="5" min="5" width="11.1796875"/>
    <col customWidth="true" max="6" min="6" width="10.6328125"/>
    <col customWidth="true" max="7" min="7" width="5.6328125"/>
    <col customWidth="true" max="8" min="8" width="13.08984375"/>
    <col customWidth="true" max="9" min="9" width="8.6328125"/>
    <col customWidth="true" max="10" min="10" style="601" width="8.6328125"/>
    <col customWidth="true" max="11" min="11" width="10.6328125"/>
    <col customWidth="true" max="12" min="12" width="5.6328125"/>
    <col customWidth="true" max="13" min="13" width="18.54296875"/>
    <col customWidth="true" max="14" min="14" width="10.6328125"/>
    <col customWidth="true" max="15" min="15" width="5.6328125"/>
    <col customWidth="true" max="16" min="16" width="18.36328125"/>
    <col customWidth="true" max="17" min="17" width="15.26953125"/>
    <col bestFit="true" customWidth="true" max="20" min="20" width="9.453125"/>
  </cols>
  <sheetData>
    <row r="1"/>
    <row r="2" spans="2:20" ht="26">
      <c r="B2" s="696" t="s">
        <v>1055</v>
      </c>
      <c r="N2" s="699"/>
      <c r="O2" s="701" t="s">
        <v>1054</v>
      </c>
      <c r="P2" s="701" t="str">
        <f>IFERROR(TEXT(Q2 - 7, "m/d/yyyy") &amp; "    - ","")</f>
      </c>
      <c r="Q2" s="701">
        <v>45785</v>
      </c>
      <c r="R2" s="701"/>
    </row>
    <row r="3" spans="2:20">
      <c r="B3" s="697" t="s">
        <v>1056</v>
      </c>
      <c r="I3" s="778"/>
      <c r="J3" s="778"/>
      <c r="K3" s="129"/>
      <c r="L3" s="129"/>
      <c r="M3" s="129"/>
      <c r="N3" s="129"/>
      <c r="O3" s="129"/>
      <c r="P3" s="129"/>
      <c r="T3" s="769"/>
    </row>
    <row r="4" spans="2:20" ht="15" thickBot="true">
      <c r="B4" s="697"/>
      <c r="I4" s="129"/>
      <c r="J4" s="129"/>
      <c r="K4" s="129"/>
      <c r="L4" s="129"/>
      <c r="M4" s="129"/>
      <c r="N4" s="129"/>
      <c r="O4" s="129"/>
      <c r="P4" s="129"/>
      <c r="T4" s="769"/>
    </row>
    <row r="5" spans="2:20" ht="15" thickBot="true">
      <c r="B5" s="646" t="s">
        <v>11</v>
      </c>
      <c r="C5" s="615" t="s">
        <v>1053</v>
      </c>
      <c r="D5" s="614"/>
      <c r="E5" s="615" t="s">
        <v>1045</v>
      </c>
      <c r="F5" s="663" t="s">
        <v>1046</v>
      </c>
      <c r="G5" s="616" t="s">
        <v>1049</v>
      </c>
      <c r="H5" s="615" t="s">
        <v>1048</v>
      </c>
      <c r="I5" s="615" t="s">
        <v>836</v>
      </c>
      <c r="J5" s="617" t="s">
        <v>837</v>
      </c>
      <c r="K5" s="613" t="s">
        <v>1047</v>
      </c>
      <c r="L5" s="616" t="s">
        <v>1049</v>
      </c>
      <c r="M5" s="676" t="s">
        <v>1050</v>
      </c>
      <c r="N5" s="613" t="s">
        <v>1052</v>
      </c>
      <c r="O5" s="616" t="s">
        <v>1049</v>
      </c>
      <c r="P5" s="676" t="s">
        <v>1051</v>
      </c>
      <c r="Q5" s="683" t="s">
        <v>778</v>
      </c>
    </row>
    <row r="6" spans="2:20">
      <c r="B6" s="610" t="str">
        <f ca="true">IF(OFFSET('Rent Comparison'!$A$1,1,2)="{{subject.building_name}}","",OFFSET('Rent Comparison'!$A$1,1,2))</f>
      </c>
      <c r="C6" s="779" t="str">
        <f ca="true">IF(ISBLANK(B6),"",IFERROR(INDEX(Specials!B:J,MATCH(B6&amp;" - Active",Specials!I:I,0),2),""))</f>
      </c>
      <c r="D6" s="647"/>
      <c r="E6" s="657" t="s">
        <v>13</v>
      </c>
      <c r="F6" s="664">
        <f ca="true">COUNTIFS('Unit-Level Data'!L:L, "&gt;=" &amp; ($Q$2 - 7),
          'Unit-Level Data'!L:L, "&lt;" &amp; $Q$2,
          'Unit-Level Data'!G:G, 0,
          'Unit-Level Data'!B:B, B6)</f>
        <v>0</v>
      </c>
      <c r="G6" s="648">
        <f ca="true">COUNTIFS('Unit-Level Data'!L:L, "&gt;=" &amp; ($Q$2 - 7),
          'Unit-Level Data'!L:L, "&lt;" &amp; $Q$2,
          'Unit-Level Data'!G:G, 0,
          'Unit-Level Data'!B:B, B6)
-
COUNTIFS('Unit-Level Data'!L:L, "&gt;=" &amp; ($Q$2 - 14),
         'Unit-Level Data'!L:L, "&lt;=" &amp; ($Q$2 - 7),
         'Unit-Level Data'!G:G, 0,
         'Unit-Level Data'!B:B, B6)</f>
        <v>0</v>
      </c>
      <c r="H6" s="649" t="str">
        <f ca="true">IFERROR(AVERAGEIFS('Unit-Level Data'!O:O,'Unit-Level Data'!L:L, "&gt;=" &amp; ($Q$2 - 7),
          'Unit-Level Data'!L:L, "&lt;" &amp; $Q$2,
          'Unit-Level Data'!G:G, 0,
          'Unit-Level Data'!B:B, B6),"")</f>
      </c>
      <c r="I6" s="650">
        <f ca="true">IFERROR(
    AVERAGEIFS('Unit-Level Data'!O:O,
               'Unit-Level Data'!L:L, "&gt;=" &amp; ($Q$2 - 7),
               'Unit-Level Data'!L:L, "&lt;" &amp; $Q$2,
               'Unit-Level Data'!G:G, 0,
               'Unit-Level Data'!B:B, B6)
    -
    AVERAGEIFS('Unit-Level Data'!O:O,
               'Unit-Level Data'!L:L, "&gt;=" &amp; ($Q$2 - 14),
               'Unit-Level Data'!L:L, "&lt;=" &amp; ($Q$2 - 7),
               'Unit-Level Data'!G:G, 0,
               'Unit-Level Data'!B:B, B6),
0)</f>
        <v>0</v>
      </c>
      <c r="J6" s="665">
        <f ca="true">IFERROR(I6/AVERAGEIFS('Unit-Level Data'!O:O,
               'Unit-Level Data'!L:L, "&gt;=" &amp; ($Q$2 - 14),
               'Unit-Level Data'!L:L, "&lt;=" &amp; ($Q$2 - 7),
               'Unit-Level Data'!G:G, 0,
               'Unit-Level Data'!B:B, B6),0)</f>
        <v>0</v>
      </c>
      <c r="K6" s="664">
        <f ca="true">COUNTIFS('Unit-Level Data'!K:K, "&gt;=" &amp; ($Q$2 - 7),
          'Unit-Level Data'!K:K, "&lt;" &amp; $Q$2,
          'Unit-Level Data'!G:G, 0,
          'Unit-Level Data'!B:B, B6)</f>
        <v>0</v>
      </c>
      <c r="L6" s="648">
        <f ca="true">
COUNTIFS(
    'Unit-Level Data'!K:K, "&gt;=" &amp; ($Q$2 - 7),
    'Unit-Level Data'!K:K, "&lt;" &amp; $Q$2,
    'Unit-Level Data'!G:G, 0,
    'Unit-Level Data'!B:B, B6
)
-
COUNTIFS(
    'Unit-Level Data'!K:K, "&gt;=" &amp; ($Q$2 - 14),
    'Unit-Level Data'!K:K, "&lt;=" &amp; ($Q$2 - 7),
    'Unit-Level Data'!G:G, 0,
    'Unit-Level Data'!B:B, B6
)</f>
        <v>0</v>
      </c>
      <c r="M6" s="677" t="str">
        <f ca="true">IFERROR(AVERAGEIFS('Unit-Level Data'!O:O,'Unit-Level Data'!K:K,"&gt;="&amp;($Q$2-7),
'Unit-Level Data'!K:K,"&lt;="&amp;$Q$2,
'Unit-Level Data'!G:G,0,
'Unit-Level Data'!B:B,B6),"")</f>
      </c>
      <c r="N6" s="690">
        <f ca="true">COUNTIFS('Unit-Level Data'!B:B, B6,
          'Unit-Level Data'!G:G, 0,
          'Unit-Level Data'!L:L, "")</f>
        <v>0</v>
      </c>
      <c r="O6" s="648">
        <f ca="true">N6-(N6-K6+F6)</f>
        <v>0</v>
      </c>
      <c r="P6" s="677" t="str">
        <f ca="true">IFERROR(AVERAGEIFS('Unit-Level Data'!O:O,'Unit-Level Data'!B:B, B6,
          'Unit-Level Data'!G:G, 0,
          'Unit-Level Data'!L:L, ""),"")</f>
      </c>
      <c r="Q6" s="684" t="str">
        <f ca="true">IFERROR(N6/SUMIFS('Unit Mix'!G:G,'Unit Mix'!D:D,0,'Unit Mix'!B:B,B6),"")</f>
      </c>
    </row>
    <row r="7" spans="2:20">
      <c r="B7" s="611" t="str">
        <f ca="true">IF(OFFSET('Rent Comps'!$A$1,3,2)="{{subject.full_address}}","",OFFSET('Rent Comps'!$A$1,3,2))</f>
      </c>
      <c r="C7" s="780"/>
      <c r="D7" s="647"/>
      <c r="E7" s="658" t="s">
        <v>1038</v>
      </c>
      <c r="F7" s="666">
        <f ca="true">COUNTIFS('Unit-Level Data'!L:L, "&gt;=" &amp; ($Q$2 - 7),
          'Unit-Level Data'!L:L, "&lt;" &amp; $Q$2,
          'Unit-Level Data'!G:G, 1,
          'Unit-Level Data'!B:B, B6)</f>
        <v>0</v>
      </c>
      <c r="G7" s="632">
        <f ca="true">COUNTIFS('Unit-Level Data'!L:L, "&gt;=" &amp; ($Q$2 - 7),
          'Unit-Level Data'!L:L, "&lt;" &amp; $Q$2,
          'Unit-Level Data'!G:G, 1,
          'Unit-Level Data'!B:B, B6)
-
COUNTIFS('Unit-Level Data'!L:L, "&gt;=" &amp; ($Q$2 - 14),
         'Unit-Level Data'!L:L, "&lt;=" &amp; ($Q$2 - 7),
         'Unit-Level Data'!G:G, 1,
         'Unit-Level Data'!B:B, B6)</f>
        <v>0</v>
      </c>
      <c r="H7" s="630" t="str">
        <f ca="true">IFERROR(AVERAGEIFS('Unit-Level Data'!O:O,'Unit-Level Data'!L:L, "&gt;=" &amp; ($Q$2 - 7),
          'Unit-Level Data'!L:L, "&lt;" &amp; $Q$2,
          'Unit-Level Data'!G:G, 1,
          'Unit-Level Data'!B:B, B6),"")</f>
      </c>
      <c r="I7" s="631">
        <f ca="true">IFERROR(
    AVERAGEIFS('Unit-Level Data'!O:O,
               'Unit-Level Data'!L:L, "&gt;=" &amp; ($Q$2 - 7),
               'Unit-Level Data'!L:L, "&lt;" &amp; $Q$2,
               'Unit-Level Data'!G:G, 1,
               'Unit-Level Data'!B:B, B6)
    -
    AVERAGEIFS('Unit-Level Data'!O:O,
               'Unit-Level Data'!L:L, "&gt;=" &amp; ($Q$2 - 14),
               'Unit-Level Data'!L:L, "&lt;=" &amp; ($Q$2 - 7),
               'Unit-Level Data'!G:G, 1,
               'Unit-Level Data'!B:B, B6),
0)</f>
        <v>0</v>
      </c>
      <c r="J7" s="667">
        <f ca="true">IFERROR(I7/AVERAGEIFS('Unit-Level Data'!O:O,
               'Unit-Level Data'!L:L, "&gt;=" &amp; ($Q$2 - 14),
               'Unit-Level Data'!L:L, "&lt;=" &amp; ($Q$2 - 7),
               'Unit-Level Data'!G:G, 1,
               'Unit-Level Data'!B:B, B6),0)</f>
        <v>0</v>
      </c>
      <c r="K7" s="666">
        <f ca="true">COUNTIFS('Unit-Level Data'!K:K, "&gt;=" &amp; ($Q$2 - 7),
          'Unit-Level Data'!K:K, "&lt;" &amp; $Q$2,
          'Unit-Level Data'!G:G, 1,
          'Unit-Level Data'!B:B, B6)</f>
        <v>0</v>
      </c>
      <c r="L7" s="632">
        <f ca="true">
COUNTIFS(
    'Unit-Level Data'!K:K, "&gt;=" &amp; ($Q$2 - 7),
    'Unit-Level Data'!K:K, "&lt;" &amp; $Q$2,
    'Unit-Level Data'!G:G, 1,
    'Unit-Level Data'!B:B, B6
)
-
COUNTIFS(
    'Unit-Level Data'!K:K, "&gt;=" &amp; ($Q$2 - 14),
    'Unit-Level Data'!K:K, "&lt;=" &amp; ($Q$2 - 7),
    'Unit-Level Data'!G:G, 1,
    'Unit-Level Data'!B:B, B6
)</f>
        <v>0</v>
      </c>
      <c r="M7" s="678" t="str">
        <f ca="true">IFERROR(AVERAGEIFS('Unit-Level Data'!O:O,'Unit-Level Data'!K:K,"&gt;="&amp;($Q$2-7),
'Unit-Level Data'!K:K,"&lt;="&amp;$Q$2,
'Unit-Level Data'!G:G,1,
'Unit-Level Data'!B:B,B6),"")</f>
      </c>
      <c r="N7" s="691">
        <f ca="true">COUNTIFS('Unit-Level Data'!B:B, B6,
          'Unit-Level Data'!G:G, 1,
          'Unit-Level Data'!L:L, "")</f>
        <v>0</v>
      </c>
      <c r="O7" s="632">
        <f t="shared" ref="O7:O9" ca="true" si="0">N7-(N7-K7+F7)</f>
        <v>0</v>
      </c>
      <c r="P7" s="678" t="str">
        <f ca="true">IFERROR(AVERAGEIFS('Unit-Level Data'!O:O,'Unit-Level Data'!B:B, B6,
          'Unit-Level Data'!G:G, 1,
          'Unit-Level Data'!L:L, ""),"")</f>
      </c>
      <c r="Q7" s="685" t="str">
        <f ca="true">IFERROR(N7/SUMIFS('Unit Mix'!G:G,'Unit Mix'!D:D,1,'Unit Mix'!B:B,B6),"")</f>
      </c>
    </row>
    <row r="8" spans="2:20">
      <c r="B8" s="611" t="str">
        <f ca="true">IF(OFFSET('Rent Comparison'!$A$1,2,2)="{{subject.management_company}}","",OFFSET('Rent Comparison'!$A$1,2,2))</f>
      </c>
      <c r="C8" s="780"/>
      <c r="D8" s="647"/>
      <c r="E8" s="658" t="s">
        <v>1039</v>
      </c>
      <c r="F8" s="666">
        <f ca="true">COUNTIFS('Unit-Level Data'!L:L, "&gt;=" &amp; ($Q$2 - 7),
          'Unit-Level Data'!L:L, "&lt;" &amp; $Q$2,
          'Unit-Level Data'!G:G, 2,
          'Unit-Level Data'!B:B, B6)</f>
        <v>0</v>
      </c>
      <c r="G8" s="632">
        <f ca="true">COUNTIFS('Unit-Level Data'!L:L, "&gt;=" &amp; ($Q$2 - 7),
          'Unit-Level Data'!L:L, "&lt;" &amp; $Q$2,
          'Unit-Level Data'!G:G, 2,
          'Unit-Level Data'!B:B, B6)
-
COUNTIFS('Unit-Level Data'!L:L, "&gt;=" &amp; ($Q$2 - 14),
         'Unit-Level Data'!L:L, "&lt;=" &amp; ($Q$2 - 7),
         'Unit-Level Data'!G:G, 2,
         'Unit-Level Data'!B:B, B6)</f>
        <v>0</v>
      </c>
      <c r="H8" s="630" t="str">
        <f ca="true">IFERROR(AVERAGEIFS('Unit-Level Data'!O:O,'Unit-Level Data'!L:L, "&gt;=" &amp; ($Q$2 - 7),
          'Unit-Level Data'!L:L, "&lt;" &amp; $Q$2,
          'Unit-Level Data'!G:G, 2,
          'Unit-Level Data'!B:B, B6),"")</f>
      </c>
      <c r="I8" s="631">
        <f ca="true">IFERROR(
    AVERAGEIFS('Unit-Level Data'!O:O,
               'Unit-Level Data'!L:L, "&gt;=" &amp; ($Q$2 - 7),
               'Unit-Level Data'!L:L, "&lt;" &amp; $Q$2,
               'Unit-Level Data'!G:G, 2,
               'Unit-Level Data'!B:B, B6)
    -
    AVERAGEIFS('Unit-Level Data'!O:O,
               'Unit-Level Data'!L:L, "&gt;=" &amp; ($Q$2 - 14),
               'Unit-Level Data'!L:L, "&lt;=" &amp; ($Q$2 - 7),
               'Unit-Level Data'!G:G, 2,
               'Unit-Level Data'!B:B, B6),
0)</f>
        <v>0</v>
      </c>
      <c r="J8" s="667">
        <f ca="true">IFERROR(I8/AVERAGEIFS('Unit-Level Data'!O:O,
               'Unit-Level Data'!L:L, "&gt;=" &amp; ($Q$2 - 14),
               'Unit-Level Data'!L:L, "&lt;=" &amp; ($Q$2 - 7),
               'Unit-Level Data'!G:G, 2,
               'Unit-Level Data'!B:B, B6),0)</f>
        <v>0</v>
      </c>
      <c r="K8" s="666">
        <f ca="true">COUNTIFS('Unit-Level Data'!K:K, "&gt;=" &amp; ($Q$2 - 7),
          'Unit-Level Data'!K:K, "&lt;" &amp; $Q$2,
          'Unit-Level Data'!G:G, 2,
          'Unit-Level Data'!B:B, B6)</f>
        <v>0</v>
      </c>
      <c r="L8" s="632">
        <f ca="true">
COUNTIFS(
    'Unit-Level Data'!K:K, "&gt;=" &amp; ($Q$2 - 7),
    'Unit-Level Data'!K:K, "&lt;" &amp; $Q$2,
    'Unit-Level Data'!G:G, 2,
    'Unit-Level Data'!B:B, B6
)
-
COUNTIFS(
    'Unit-Level Data'!K:K, "&gt;=" &amp; ($Q$2 - 14),
    'Unit-Level Data'!K:K, "&lt;=" &amp; ($Q$2 - 7),
    'Unit-Level Data'!G:G, 2,
    'Unit-Level Data'!B:B, B6
)</f>
        <v>0</v>
      </c>
      <c r="M8" s="678" t="str">
        <f ca="true">IFERROR(AVERAGEIFS('Unit-Level Data'!O:O,'Unit-Level Data'!K:K,"&gt;="&amp;($Q$2-7),
'Unit-Level Data'!K:K,"&lt;="&amp;$Q$2,
'Unit-Level Data'!G:G,2,
'Unit-Level Data'!B:B,B6),"")</f>
      </c>
      <c r="N8" s="691">
        <f ca="true">COUNTIFS('Unit-Level Data'!B:B, B6,
          'Unit-Level Data'!G:G, 2,
          'Unit-Level Data'!L:L, "")</f>
        <v>0</v>
      </c>
      <c r="O8" s="632">
        <f t="shared" ca="true" si="0"/>
        <v>0</v>
      </c>
      <c r="P8" s="678" t="str">
        <f ca="true">IFERROR(AVERAGEIFS('Unit-Level Data'!O:O,'Unit-Level Data'!B:B, B6,
          'Unit-Level Data'!G:G, 2,
          'Unit-Level Data'!L:L, ""),"")</f>
      </c>
      <c r="Q8" s="685" t="str">
        <f ca="true">IFERROR(N8/SUMIFS('Unit Mix'!G:G,'Unit Mix'!D:D,2,'Unit Mix'!B:B,B6),"")</f>
      </c>
    </row>
    <row r="9" spans="2:20" ht="15" thickBot="true">
      <c r="B9" s="655" t="str">
        <f ca="true">IF(OFFSET('Rent Comparison'!$A$1,3,2)="{{subject.property_website}}","",OFFSET('Rent Comparison'!$A$1,3,2))</f>
      </c>
      <c r="C9" s="781"/>
      <c r="D9" s="651"/>
      <c r="E9" s="659" t="s">
        <v>1040</v>
      </c>
      <c r="F9" s="668">
        <f ca="true">COUNTIFS('Unit-Level Data'!L:L, "&gt;=" &amp; ($Q$2 - 7),
          'Unit-Level Data'!L:L, "&lt;" &amp; $Q$2,
          'Unit-Level Data'!G:G, 3,
          'Unit-Level Data'!B:B, B6)</f>
        <v>0</v>
      </c>
      <c r="G9" s="635">
        <f ca="true">COUNTIFS('Unit-Level Data'!L:L, "&gt;=" &amp; ($Q$2 - 7),
          'Unit-Level Data'!L:L, "&lt;" &amp; $Q$2,
          'Unit-Level Data'!G:G, 3,
          'Unit-Level Data'!B:B, B6)
-
COUNTIFS('Unit-Level Data'!L:L, "&gt;=" &amp; ($Q$2 - 14),
         'Unit-Level Data'!L:L, "&lt;=" &amp; ($Q$2 - 7),
         'Unit-Level Data'!G:G, 3,
         'Unit-Level Data'!B:B, B6)</f>
        <v>0</v>
      </c>
      <c r="H9" s="633" t="str">
        <f ca="true">IFERROR(AVERAGEIFS('Unit-Level Data'!O:O,'Unit-Level Data'!L:L, "&gt;=" &amp; ($Q$2 - 7),
          'Unit-Level Data'!L:L, "&lt;" &amp; $Q$2,
          'Unit-Level Data'!G:G, 3,
          'Unit-Level Data'!B:B, B6),"")</f>
      </c>
      <c r="I9" s="634">
        <f ca="true">IFERROR(
    AVERAGEIFS('Unit-Level Data'!O:O,
               'Unit-Level Data'!L:L, "&gt;=" &amp; ($Q$2 - 7),
               'Unit-Level Data'!L:L, "&lt;" &amp; $Q$2,
               'Unit-Level Data'!G:G, 3,
               'Unit-Level Data'!B:B, B6)
    -
    AVERAGEIFS('Unit-Level Data'!O:O,
               'Unit-Level Data'!L:L, "&gt;=" &amp; ($Q$2 - 14),
               'Unit-Level Data'!L:L, "&lt;=" &amp; ($Q$2 - 7),
               'Unit-Level Data'!G:G, 3,
               'Unit-Level Data'!B:B, B6),
0)</f>
        <v>0</v>
      </c>
      <c r="J9" s="669">
        <f ca="true">IFERROR(I9/AVERAGEIFS('Unit-Level Data'!O:O,
               'Unit-Level Data'!L:L, "&gt;=" &amp; ($Q$2 - 14),
               'Unit-Level Data'!L:L, "&lt;=" &amp; ($Q$2 - 7),
               'Unit-Level Data'!G:G, 3,
               'Unit-Level Data'!B:B, B6),0)</f>
        <v>0</v>
      </c>
      <c r="K9" s="668">
        <f ca="true">COUNTIFS('Unit-Level Data'!K:K, "&gt;=" &amp; ($Q$2 - 7),
          'Unit-Level Data'!K:K, "&lt;" &amp; $Q$2,
          'Unit-Level Data'!G:G, 3,
          'Unit-Level Data'!B:B, B6)</f>
        <v>0</v>
      </c>
      <c r="L9" s="635">
        <f ca="true">
COUNTIFS(
    'Unit-Level Data'!K:K, "&gt;=" &amp; ($Q$2 - 7),
    'Unit-Level Data'!K:K, "&lt;" &amp; $Q$2,
    'Unit-Level Data'!G:G, 3,
    'Unit-Level Data'!B:B, B6
)
-
COUNTIFS(
    'Unit-Level Data'!K:K, "&gt;=" &amp; ($Q$2 - 14),
    'Unit-Level Data'!K:K, "&lt;=" &amp; ($Q$2 - 7),
    'Unit-Level Data'!G:G, 3,
    'Unit-Level Data'!B:B, B6
)</f>
        <v>0</v>
      </c>
      <c r="M9" s="679" t="str">
        <f ca="true">IFERROR(AVERAGEIFS('Unit-Level Data'!O:O,'Unit-Level Data'!K:K,"&gt;="&amp;($Q$2-7),
'Unit-Level Data'!K:K,"&lt;="&amp;$Q$2,
'Unit-Level Data'!G:G,3,
'Unit-Level Data'!B:B,B6),"")</f>
      </c>
      <c r="N9" s="692">
        <f ca="true">COUNTIFS('Unit-Level Data'!B:B, B6,
          'Unit-Level Data'!G:G, 3,
          'Unit-Level Data'!L:L, "")</f>
        <v>0</v>
      </c>
      <c r="O9" s="635">
        <f t="shared" ca="true" si="0"/>
        <v>0</v>
      </c>
      <c r="P9" s="679" t="str">
        <f ca="true">IFERROR(AVERAGEIFS('Unit-Level Data'!O:O,'Unit-Level Data'!B:B, B6,
          'Unit-Level Data'!G:G, 3,
          'Unit-Level Data'!L:L, ""),"")</f>
      </c>
      <c r="Q9" s="686" t="str">
        <f ca="true">IFERROR(N9/SUMIFS('Unit Mix'!G:G,'Unit Mix'!D:D,3,'Unit Mix'!B:B,B6),"")</f>
      </c>
    </row>
    <row r="10" spans="2:20">
      <c r="B10" s="636" t="str">
        <f ca="true">IF(OFFSET('Rent Comparison'!$A$1,1,6)="{{h:comparables.#.building_name}}","",OFFSET('Rent Comparison'!$A$1,1,6))</f>
      </c>
      <c r="C10" s="775" t="str">
        <f ca="true">IF(ISBLANK(B10),"",IFERROR(INDEX(Specials!B:J,MATCH(B10&amp;" - Active",Specials!I:I,0),2),""))</f>
      </c>
      <c r="D10" s="652"/>
      <c r="E10" s="660" t="s">
        <v>13</v>
      </c>
      <c r="F10" s="670">
        <f ca="true">COUNTIFS('Unit-Level Data'!L:L, "&gt;=" &amp; ($Q$2 - 7),
          'Unit-Level Data'!L:L, "&lt;" &amp; $Q$2,
          'Unit-Level Data'!G:G, 0,
          'Unit-Level Data'!B:B, B10)</f>
        <v>0</v>
      </c>
      <c r="G10" s="639">
        <f ca="true">COUNTIFS('Unit-Level Data'!L:L, "&gt;=" &amp; ($Q$2 - 7),
          'Unit-Level Data'!L:L, "&lt;" &amp; $Q$2,
          'Unit-Level Data'!G:G, 0,
          'Unit-Level Data'!B:B, B10)
-
COUNTIFS('Unit-Level Data'!L:L, "&gt;=" &amp; ($Q$2 - 14),
         'Unit-Level Data'!L:L, "&lt;=" &amp; ($Q$2 - 7),
         'Unit-Level Data'!G:G, 0,
         'Unit-Level Data'!B:B, B10)</f>
        <v>0</v>
      </c>
      <c r="H10" s="637" t="str">
        <f ca="true">IFERROR(AVERAGEIFS('Unit-Level Data'!O:O,'Unit-Level Data'!L:L, "&gt;=" &amp; ($Q$2 - 7),
          'Unit-Level Data'!L:L, "&lt;" &amp; $Q$2,
          'Unit-Level Data'!G:G, 0,
          'Unit-Level Data'!B:B, B10),"")</f>
      </c>
      <c r="I10" s="638">
        <f ca="true">IFERROR(
    AVERAGEIFS('Unit-Level Data'!O:O,
               'Unit-Level Data'!L:L, "&gt;=" &amp; ($Q$2 - 7),
               'Unit-Level Data'!L:L, "&lt;" &amp; $Q$2,
               'Unit-Level Data'!G:G, 0,
               'Unit-Level Data'!B:B, B10)
    -
    AVERAGEIFS('Unit-Level Data'!O:O,
               'Unit-Level Data'!L:L, "&gt;=" &amp; ($Q$2 - 14),
               'Unit-Level Data'!L:L, "&lt;=" &amp; ($Q$2 - 7),
               'Unit-Level Data'!G:G, 0,
               'Unit-Level Data'!B:B, B10),
0)</f>
        <v>0</v>
      </c>
      <c r="J10" s="671">
        <f ca="true">IFERROR(I10/AVERAGEIFS('Unit-Level Data'!O:O,
               'Unit-Level Data'!L:L, "&gt;=" &amp; ($Q$2 - 14),
               'Unit-Level Data'!L:L, "&lt;=" &amp; ($Q$2 - 7),
               'Unit-Level Data'!G:G, 0,
               'Unit-Level Data'!B:B, B10),0)</f>
        <v>0</v>
      </c>
      <c r="K10" s="670">
        <f ca="true">COUNTIFS('Unit-Level Data'!K:K, "&gt;=" &amp; ($Q$2 - 7),
          'Unit-Level Data'!K:K, "&lt;" &amp; $Q$2,
          'Unit-Level Data'!G:G, 0,
          'Unit-Level Data'!B:B, B10)</f>
        <v>0</v>
      </c>
      <c r="L10" s="639">
        <f ca="true">
COUNTIFS(
    'Unit-Level Data'!K:K, "&gt;=" &amp; ($Q$2 - 7),
    'Unit-Level Data'!K:K, "&lt;" &amp; $Q$2,
    'Unit-Level Data'!G:G, 0,
    'Unit-Level Data'!B:B, B10
)
-
COUNTIFS(
    'Unit-Level Data'!K:K, "&gt;=" &amp; ($Q$2 - 14),
    'Unit-Level Data'!K:K, "&lt;=" &amp; ($Q$2 - 7),
    'Unit-Level Data'!G:G, 0,
    'Unit-Level Data'!B:B, B10
)</f>
        <v>0</v>
      </c>
      <c r="M10" s="680" t="str">
        <f ca="true">IFERROR(AVERAGEIFS('Unit-Level Data'!O:O,'Unit-Level Data'!K:K,"&gt;="&amp;($Q$2-7),
'Unit-Level Data'!K:K,"&lt;="&amp;$Q$2,
'Unit-Level Data'!G:G,0,
'Unit-Level Data'!B:B,B10),"")</f>
      </c>
      <c r="N10" s="693">
        <f ca="true">COUNTIFS('Unit-Level Data'!B:B, B10,
          'Unit-Level Data'!G:G, 0,
          'Unit-Level Data'!L:L, "")</f>
        <v>0</v>
      </c>
      <c r="O10" s="639">
        <f ca="true">N10-(N10-K10+F10)</f>
        <v>0</v>
      </c>
      <c r="P10" s="680" t="str">
        <f ca="true">IFERROR(AVERAGEIFS('Unit-Level Data'!O:O,'Unit-Level Data'!B:B, B10,
          'Unit-Level Data'!G:G, 0,
          'Unit-Level Data'!L:L, ""),"")</f>
      </c>
      <c r="Q10" s="687" t="str">
        <f ca="true">IFERROR(N10/SUMIFS('Unit Mix'!G:G,'Unit Mix'!D:D,0,'Unit Mix'!B:B,B10),"")</f>
      </c>
    </row>
    <row r="11" spans="2:20">
      <c r="B11" s="612" t="str">
        <f ca="true">IF(OFFSET('Rent Comps'!$A$1,4,2)="{{v:comparables.#.full_address}}","",OFFSET('Rent Comps'!$A$1,4,2))</f>
      </c>
      <c r="C11" s="776"/>
      <c r="D11" s="653"/>
      <c r="E11" s="661" t="s">
        <v>1038</v>
      </c>
      <c r="F11" s="672">
        <f ca="true">COUNTIFS('Unit-Level Data'!L:L, "&gt;=" &amp; ($Q$2 - 7),
          'Unit-Level Data'!L:L, "&lt;" &amp; $Q$2,
          'Unit-Level Data'!G:G, 1,
          'Unit-Level Data'!B:B, B10)</f>
        <v>0</v>
      </c>
      <c r="G11" s="642">
        <f ca="true">COUNTIFS('Unit-Level Data'!L:L, "&gt;=" &amp; ($Q$2 - 7),
          'Unit-Level Data'!L:L, "&lt;" &amp; $Q$2,
          'Unit-Level Data'!G:G, 1,
          'Unit-Level Data'!B:B, B10)
-
COUNTIFS('Unit-Level Data'!L:L, "&gt;=" &amp; ($Q$2 - 14),
         'Unit-Level Data'!L:L, "&lt;=" &amp; ($Q$2 - 7),
         'Unit-Level Data'!G:G, 1,
         'Unit-Level Data'!B:B, B10)</f>
        <v>0</v>
      </c>
      <c r="H11" s="640" t="str">
        <f ca="true">IFERROR(AVERAGEIFS('Unit-Level Data'!O:O,'Unit-Level Data'!L:L, "&gt;=" &amp; ($Q$2 - 7),
          'Unit-Level Data'!L:L, "&lt;" &amp; $Q$2,
          'Unit-Level Data'!G:G, 1,
          'Unit-Level Data'!B:B, B10),"")</f>
      </c>
      <c r="I11" s="641">
        <f ca="true">IFERROR(
    AVERAGEIFS('Unit-Level Data'!O:O,
               'Unit-Level Data'!L:L, "&gt;=" &amp; ($Q$2 - 7),
               'Unit-Level Data'!L:L, "&lt;" &amp; $Q$2,
               'Unit-Level Data'!G:G, 1,
               'Unit-Level Data'!B:B, B10)
    -
    AVERAGEIFS('Unit-Level Data'!O:O,
               'Unit-Level Data'!L:L, "&gt;=" &amp; ($Q$2 - 14),
               'Unit-Level Data'!L:L, "&lt;=" &amp; ($Q$2 - 7),
               'Unit-Level Data'!G:G, 1,
               'Unit-Level Data'!B:B, B10),
0)</f>
        <v>0</v>
      </c>
      <c r="J11" s="673">
        <f ca="true">IFERROR(I11/AVERAGEIFS('Unit-Level Data'!O:O,
               'Unit-Level Data'!L:L, "&gt;=" &amp; ($Q$2 - 14),
               'Unit-Level Data'!L:L, "&lt;=" &amp; ($Q$2 - 7),
               'Unit-Level Data'!G:G, 1,
               'Unit-Level Data'!B:B, B10),0)</f>
        <v>0</v>
      </c>
      <c r="K11" s="672">
        <f ca="true">COUNTIFS('Unit-Level Data'!K:K, "&gt;=" &amp; ($Q$2 - 7),
          'Unit-Level Data'!K:K, "&lt;" &amp; $Q$2,
          'Unit-Level Data'!G:G, 1,
          'Unit-Level Data'!B:B, B10)</f>
        <v>0</v>
      </c>
      <c r="L11" s="642">
        <f ca="true">
COUNTIFS(
    'Unit-Level Data'!K:K, "&gt;=" &amp; ($Q$2 - 7),
    'Unit-Level Data'!K:K, "&lt;" &amp; $Q$2,
    'Unit-Level Data'!G:G, 1,
    'Unit-Level Data'!B:B, B10
)
-
COUNTIFS(
    'Unit-Level Data'!K:K, "&gt;=" &amp; ($Q$2 - 14),
    'Unit-Level Data'!K:K, "&lt;=" &amp; ($Q$2 - 7),
    'Unit-Level Data'!G:G, 1,
    'Unit-Level Data'!B:B, B10
)</f>
        <v>0</v>
      </c>
      <c r="M11" s="681" t="str">
        <f ca="true">IFERROR(AVERAGEIFS('Unit-Level Data'!O:O,'Unit-Level Data'!K:K,"&gt;="&amp;($Q$2-7),
'Unit-Level Data'!K:K,"&lt;="&amp;$Q$2,
'Unit-Level Data'!G:G,1,
'Unit-Level Data'!B:B,B10),"")</f>
      </c>
      <c r="N11" s="694">
        <f ca="true">COUNTIFS('Unit-Level Data'!B:B, B10,
          'Unit-Level Data'!G:G, 1,
          'Unit-Level Data'!L:L, "")</f>
        <v>0</v>
      </c>
      <c r="O11" s="642">
        <f t="shared" ref="O11:O13" ca="true" si="1">N11-(N11-K11+F11)</f>
        <v>0</v>
      </c>
      <c r="P11" s="681" t="str">
        <f ca="true">IFERROR(AVERAGEIFS('Unit-Level Data'!O:O,'Unit-Level Data'!B:B, B10,
          'Unit-Level Data'!G:G, 1,
          'Unit-Level Data'!L:L, ""),"")</f>
      </c>
      <c r="Q11" s="688" t="str">
        <f ca="true">IFERROR(N11/SUMIFS('Unit Mix'!G:G,'Unit Mix'!D:D,1,'Unit Mix'!B:B,B10),"")</f>
      </c>
    </row>
    <row r="12" spans="2:20">
      <c r="B12" s="612" t="str">
        <f ca="true">IF(OFFSET('Rent Comparison'!$A$1,2,6)="{{h:comparables.#.management_company}}","",OFFSET('Rent Comparison'!$A$1,2,6))</f>
      </c>
      <c r="C12" s="776"/>
      <c r="D12" s="653"/>
      <c r="E12" s="661" t="s">
        <v>1039</v>
      </c>
      <c r="F12" s="672">
        <f ca="true">COUNTIFS('Unit-Level Data'!L:L, "&gt;=" &amp; ($Q$2 - 7),
          'Unit-Level Data'!L:L, "&lt;" &amp; $Q$2,
          'Unit-Level Data'!G:G, 2,
          'Unit-Level Data'!B:B, B10)</f>
        <v>0</v>
      </c>
      <c r="G12" s="642">
        <f ca="true">COUNTIFS('Unit-Level Data'!L:L, "&gt;=" &amp; ($Q$2 - 7),
          'Unit-Level Data'!L:L, "&lt;" &amp; $Q$2,
          'Unit-Level Data'!G:G, 2,
          'Unit-Level Data'!B:B, B10)
-
COUNTIFS('Unit-Level Data'!L:L, "&gt;=" &amp; ($Q$2 - 14),
         'Unit-Level Data'!L:L, "&lt;=" &amp; ($Q$2 - 7),
         'Unit-Level Data'!G:G, 2,
         'Unit-Level Data'!B:B, B10)</f>
        <v>0</v>
      </c>
      <c r="H12" s="640" t="str">
        <f ca="true">IFERROR(AVERAGEIFS('Unit-Level Data'!O:O,'Unit-Level Data'!L:L, "&gt;=" &amp; ($Q$2 - 7),
          'Unit-Level Data'!L:L, "&lt;" &amp; $Q$2,
          'Unit-Level Data'!G:G, 2,
          'Unit-Level Data'!B:B, B10),"")</f>
      </c>
      <c r="I12" s="641">
        <f ca="true">IFERROR(
    AVERAGEIFS('Unit-Level Data'!O:O,
               'Unit-Level Data'!L:L, "&gt;=" &amp; ($Q$2 - 7),
               'Unit-Level Data'!L:L, "&lt;" &amp; $Q$2,
               'Unit-Level Data'!G:G, 2,
               'Unit-Level Data'!B:B, B10)
    -
    AVERAGEIFS('Unit-Level Data'!O:O,
               'Unit-Level Data'!L:L, "&gt;=" &amp; ($Q$2 - 14),
               'Unit-Level Data'!L:L, "&lt;=" &amp; ($Q$2 - 7),
               'Unit-Level Data'!G:G, 2,
               'Unit-Level Data'!B:B, B10),
0)</f>
        <v>0</v>
      </c>
      <c r="J12" s="673">
        <f ca="true">IFERROR(I12/AVERAGEIFS('Unit-Level Data'!O:O,
               'Unit-Level Data'!L:L, "&gt;=" &amp; ($Q$2 - 14),
               'Unit-Level Data'!L:L, "&lt;=" &amp; ($Q$2 - 7),
               'Unit-Level Data'!G:G, 2,
               'Unit-Level Data'!B:B, B10),0)</f>
        <v>0</v>
      </c>
      <c r="K12" s="672">
        <f ca="true">COUNTIFS('Unit-Level Data'!K:K, "&gt;=" &amp; ($Q$2 - 7),
          'Unit-Level Data'!K:K, "&lt;" &amp; $Q$2,
          'Unit-Level Data'!G:G, 2,
          'Unit-Level Data'!B:B, B10)</f>
        <v>0</v>
      </c>
      <c r="L12" s="642">
        <f ca="true">
COUNTIFS(
    'Unit-Level Data'!K:K, "&gt;=" &amp; ($Q$2 - 7),
    'Unit-Level Data'!K:K, "&lt;" &amp; $Q$2,
    'Unit-Level Data'!G:G, 2,
    'Unit-Level Data'!B:B, B10
)
-
COUNTIFS(
    'Unit-Level Data'!K:K, "&gt;=" &amp; ($Q$2 - 14),
    'Unit-Level Data'!K:K, "&lt;=" &amp; ($Q$2 - 7),
    'Unit-Level Data'!G:G, 2,
    'Unit-Level Data'!B:B, B10
)</f>
        <v>0</v>
      </c>
      <c r="M12" s="681" t="str">
        <f ca="true">IFERROR(AVERAGEIFS('Unit-Level Data'!O:O,'Unit-Level Data'!K:K,"&gt;="&amp;($Q$2-7),
'Unit-Level Data'!K:K,"&lt;="&amp;$Q$2,
'Unit-Level Data'!G:G,2,
'Unit-Level Data'!B:B,B10),"")</f>
      </c>
      <c r="N12" s="694">
        <f ca="true">COUNTIFS('Unit-Level Data'!B:B, B10,
          'Unit-Level Data'!G:G, 2,
          'Unit-Level Data'!L:L, "")</f>
        <v>0</v>
      </c>
      <c r="O12" s="642">
        <f t="shared" ca="true" si="1"/>
        <v>0</v>
      </c>
      <c r="P12" s="681" t="str">
        <f ca="true">IFERROR(AVERAGEIFS('Unit-Level Data'!O:O,'Unit-Level Data'!B:B, B10,
          'Unit-Level Data'!G:G, 2,
          'Unit-Level Data'!L:L, ""),"")</f>
      </c>
      <c r="Q12" s="688" t="str">
        <f ca="true">IFERROR(N12/SUMIFS('Unit Mix'!G:G,'Unit Mix'!D:D,2,'Unit Mix'!B:B,B10),"")</f>
      </c>
      <c r="T12" s="769"/>
    </row>
    <row r="13" spans="2:20" ht="15" thickBot="true">
      <c r="B13" s="656" t="str">
        <f ca="true">IF(OFFSET('Rent Comparison'!$A$1,3,6)="{{h:comparables.#.property_website}}","",OFFSET('Rent Comparison'!$A$1,3,6))</f>
      </c>
      <c r="C13" s="777"/>
      <c r="D13" s="654"/>
      <c r="E13" s="662" t="s">
        <v>1040</v>
      </c>
      <c r="F13" s="674">
        <f ca="true">COUNTIFS('Unit-Level Data'!L:L, "&gt;=" &amp; ($Q$2 - 7),
          'Unit-Level Data'!L:L, "&lt;" &amp; $Q$2,
          'Unit-Level Data'!G:G, 3,
          'Unit-Level Data'!B:B, B10)</f>
        <v>0</v>
      </c>
      <c r="G13" s="645">
        <f ca="true">COUNTIFS('Unit-Level Data'!L:L, "&gt;=" &amp; ($Q$2 - 7),
          'Unit-Level Data'!L:L, "&lt;" &amp; $Q$2,
          'Unit-Level Data'!G:G, 3,
          'Unit-Level Data'!B:B, B10)
-
COUNTIFS('Unit-Level Data'!L:L, "&gt;=" &amp; ($Q$2 - 14),
         'Unit-Level Data'!L:L, "&lt;=" &amp; ($Q$2 - 7),
         'Unit-Level Data'!G:G, 3,
         'Unit-Level Data'!B:B, B10)</f>
        <v>0</v>
      </c>
      <c r="H13" s="643" t="str">
        <f ca="true">IFERROR(AVERAGEIFS('Unit-Level Data'!O:O,'Unit-Level Data'!L:L, "&gt;=" &amp; ($Q$2 - 7),
          'Unit-Level Data'!L:L, "&lt;" &amp; $Q$2,
          'Unit-Level Data'!G:G, 3,
          'Unit-Level Data'!B:B, B10),"")</f>
      </c>
      <c r="I13" s="644">
        <f ca="true">IFERROR(
    AVERAGEIFS('Unit-Level Data'!O:O,
               'Unit-Level Data'!L:L, "&gt;=" &amp; ($Q$2 - 7),
               'Unit-Level Data'!L:L, "&lt;" &amp; $Q$2,
               'Unit-Level Data'!G:G, 3,
               'Unit-Level Data'!B:B, B10)
    -
    AVERAGEIFS('Unit-Level Data'!O:O,
               'Unit-Level Data'!L:L, "&gt;=" &amp; ($Q$2 - 14),
               'Unit-Level Data'!L:L, "&lt;=" &amp; ($Q$2 - 7),
               'Unit-Level Data'!G:G, 3,
               'Unit-Level Data'!B:B, B10),
0)</f>
        <v>0</v>
      </c>
      <c r="J13" s="675">
        <f ca="true">IFERROR(I13/AVERAGEIFS('Unit-Level Data'!O:O,
               'Unit-Level Data'!L:L, "&gt;=" &amp; ($Q$2 - 14),
               'Unit-Level Data'!L:L, "&lt;=" &amp; ($Q$2 - 7),
               'Unit-Level Data'!G:G, 3,
               'Unit-Level Data'!B:B, B10),0)</f>
        <v>0</v>
      </c>
      <c r="K13" s="674">
        <f ca="true">COUNTIFS('Unit-Level Data'!K:K, "&gt;=" &amp; ($Q$2 - 7),
          'Unit-Level Data'!K:K, "&lt;" &amp; $Q$2,
          'Unit-Level Data'!G:G, 3,
          'Unit-Level Data'!B:B, B10)</f>
        <v>0</v>
      </c>
      <c r="L13" s="645">
        <f ca="true">
COUNTIFS(
    'Unit-Level Data'!K:K, "&gt;=" &amp; ($Q$2 - 7),
    'Unit-Level Data'!K:K, "&lt;" &amp; $Q$2,
    'Unit-Level Data'!G:G, 3,
    'Unit-Level Data'!B:B, B10
)
-
COUNTIFS(
    'Unit-Level Data'!K:K, "&gt;=" &amp; ($Q$2 - 14),
    'Unit-Level Data'!K:K, "&lt;=" &amp; ($Q$2 - 7),
    'Unit-Level Data'!G:G, 3,
    'Unit-Level Data'!B:B, B10
)</f>
        <v>0</v>
      </c>
      <c r="M13" s="682" t="str">
        <f ca="true">IFERROR(AVERAGEIFS('Unit-Level Data'!O:O,'Unit-Level Data'!K:K,"&gt;="&amp;($Q$2-7),
'Unit-Level Data'!K:K,"&lt;="&amp;$Q$2,
'Unit-Level Data'!G:G,3,
'Unit-Level Data'!B:B,B10),"")</f>
      </c>
      <c r="N13" s="695">
        <f ca="true">COUNTIFS('Unit-Level Data'!B:B, B10,
          'Unit-Level Data'!G:G, 3,
          'Unit-Level Data'!L:L, "")</f>
        <v>0</v>
      </c>
      <c r="O13" s="645">
        <f t="shared" ca="true" si="1"/>
        <v>0</v>
      </c>
      <c r="P13" s="682" t="str">
        <f ca="true">IFERROR(AVERAGEIFS('Unit-Level Data'!O:O,'Unit-Level Data'!B:B, B10,
          'Unit-Level Data'!G:G, 3,
          'Unit-Level Data'!L:L, ""),"")</f>
      </c>
      <c r="Q13" s="689" t="str">
        <f ca="true">IFERROR(N13/SUMIFS('Unit Mix'!G:G,'Unit Mix'!D:D,3,'Unit Mix'!B:B,B10),"")</f>
      </c>
      <c r="T13" s="769"/>
    </row>
    <row r="14" spans="2:20">
      <c r="B14" s="636" t="str">
        <f ca="true">IF(ISBLANK(OFFSET('Rent Comparison'!$A$1,1,7)),"",OFFSET('Rent Comparison'!$A$1,1,7))</f>
      </c>
      <c r="C14" s="775" t="str">
        <f ca="true">IF(ISBLANK(B14),"",IFERROR(INDEX(Specials!B:J,MATCH(B14&amp;" - Active",Specials!I:I,0),2),""))</f>
      </c>
      <c r="D14" s="652"/>
      <c r="E14" s="660" t="s">
        <v>13</v>
      </c>
      <c r="F14" s="670">
        <f ca="true">COUNTIFS('Unit-Level Data'!L:L, "&gt;=" &amp; ($Q$2 - 7),
          'Unit-Level Data'!L:L, "&lt;" &amp; $Q$2,
          'Unit-Level Data'!G:G, 0,
          'Unit-Level Data'!B:B, B14)</f>
        <v>0</v>
      </c>
      <c r="G14" s="639">
        <f ca="true">COUNTIFS('Unit-Level Data'!L:L, "&gt;=" &amp; ($Q$2 - 7),
          'Unit-Level Data'!L:L, "&lt;" &amp; $Q$2,
          'Unit-Level Data'!G:G, 0,
          'Unit-Level Data'!B:B, B14)
-
COUNTIFS('Unit-Level Data'!L:L, "&gt;=" &amp; ($Q$2 - 14),
         'Unit-Level Data'!L:L, "&lt;=" &amp; ($Q$2 - 7),
         'Unit-Level Data'!G:G, 0,
         'Unit-Level Data'!B:B, B14)</f>
        <v>0</v>
      </c>
      <c r="H14" s="637" t="str">
        <f ca="true">IFERROR(AVERAGEIFS('Unit-Level Data'!O:O,'Unit-Level Data'!L:L, "&gt;=" &amp; ($Q$2 - 7),
          'Unit-Level Data'!L:L, "&lt;" &amp; $Q$2,
          'Unit-Level Data'!G:G, 0,
          'Unit-Level Data'!B:B, B14),"")</f>
      </c>
      <c r="I14" s="638">
        <f ca="true">IFERROR(
    AVERAGEIFS('Unit-Level Data'!O:O,
               'Unit-Level Data'!L:L, "&gt;=" &amp; ($Q$2 - 7),
               'Unit-Level Data'!L:L, "&lt;" &amp; $Q$2,
               'Unit-Level Data'!G:G, 0,
               'Unit-Level Data'!B:B, B14)
    -
    AVERAGEIFS('Unit-Level Data'!O:O,
               'Unit-Level Data'!L:L, "&gt;=" &amp; ($Q$2 - 14),
               'Unit-Level Data'!L:L, "&lt;=" &amp; ($Q$2 - 7),
               'Unit-Level Data'!G:G, 0,
               'Unit-Level Data'!B:B, B14),
0)</f>
        <v>0</v>
      </c>
      <c r="J14" s="671">
        <f ca="true">IFERROR(I14/AVERAGEIFS('Unit-Level Data'!O:O,
               'Unit-Level Data'!L:L, "&gt;=" &amp; ($Q$2 - 14),
               'Unit-Level Data'!L:L, "&lt;=" &amp; ($Q$2 - 7),
               'Unit-Level Data'!G:G, 0,
               'Unit-Level Data'!B:B, B14),0)</f>
        <v>0</v>
      </c>
      <c r="K14" s="670">
        <f ca="true">COUNTIFS('Unit-Level Data'!K:K, "&gt;=" &amp; ($Q$2 - 7),
          'Unit-Level Data'!K:K, "&lt;" &amp; $Q$2,
          'Unit-Level Data'!G:G, 0,
          'Unit-Level Data'!B:B, B14)</f>
        <v>0</v>
      </c>
      <c r="L14" s="639">
        <f ca="true">
COUNTIFS(
    'Unit-Level Data'!K:K, "&gt;=" &amp; ($Q$2 - 7),
    'Unit-Level Data'!K:K, "&lt;" &amp; $Q$2,
    'Unit-Level Data'!G:G, 0,
    'Unit-Level Data'!B:B, B14
)
-
COUNTIFS(
    'Unit-Level Data'!K:K, "&gt;=" &amp; ($Q$2 - 14),
    'Unit-Level Data'!K:K, "&lt;=" &amp; ($Q$2 - 7),
    'Unit-Level Data'!G:G, 0,
    'Unit-Level Data'!B:B, B14
)</f>
        <v>0</v>
      </c>
      <c r="M14" s="680" t="str">
        <f ca="true">IFERROR(AVERAGEIFS('Unit-Level Data'!O:O,'Unit-Level Data'!K:K,"&gt;="&amp;($Q$2-7),
'Unit-Level Data'!K:K,"&lt;="&amp;$Q$2,
'Unit-Level Data'!G:G,0,
'Unit-Level Data'!B:B,B14),"")</f>
      </c>
      <c r="N14" s="693">
        <f ca="true">COUNTIFS('Unit-Level Data'!B:B, B14,
          'Unit-Level Data'!G:G, 0,
          'Unit-Level Data'!L:L, "")</f>
        <v>0</v>
      </c>
      <c r="O14" s="639">
        <f ca="true">N14-(N14-K14+F14)</f>
        <v>0</v>
      </c>
      <c r="P14" s="680" t="str">
        <f ca="true">IFERROR(AVERAGEIFS('Unit-Level Data'!O:O,'Unit-Level Data'!B:B, B14,
          'Unit-Level Data'!G:G, 0,
          'Unit-Level Data'!L:L, ""),"")</f>
      </c>
      <c r="Q14" s="687" t="str">
        <f ca="true">IFERROR(N14/SUMIFS('Unit Mix'!G:G,'Unit Mix'!D:D,0,'Unit Mix'!B:B,B14),"")</f>
      </c>
      <c r="T14" s="769"/>
    </row>
    <row r="15" spans="2:20">
      <c r="B15" s="612" t="str">
        <f ca="true">IF(ISBLANK(OFFSET('Rent Comps'!$A$1,5,2)),"",OFFSET('Rent Comps'!$A$1,5,2))</f>
      </c>
      <c r="C15" s="776"/>
      <c r="D15" s="653"/>
      <c r="E15" s="661" t="s">
        <v>1038</v>
      </c>
      <c r="F15" s="672">
        <f ca="true">COUNTIFS('Unit-Level Data'!L:L, "&gt;=" &amp; ($Q$2 - 7),
          'Unit-Level Data'!L:L, "&lt;" &amp; $Q$2,
          'Unit-Level Data'!G:G, 1,
          'Unit-Level Data'!B:B, B14)</f>
        <v>0</v>
      </c>
      <c r="G15" s="642">
        <f ca="true">COUNTIFS('Unit-Level Data'!L:L, "&gt;=" &amp; ($Q$2 - 7),
          'Unit-Level Data'!L:L, "&lt;" &amp; $Q$2,
          'Unit-Level Data'!G:G, 1,
          'Unit-Level Data'!B:B, B14)
-
COUNTIFS('Unit-Level Data'!L:L, "&gt;=" &amp; ($Q$2 - 14),
         'Unit-Level Data'!L:L, "&lt;=" &amp; ($Q$2 - 7),
         'Unit-Level Data'!G:G, 1,
         'Unit-Level Data'!B:B, B14)</f>
        <v>0</v>
      </c>
      <c r="H15" s="640" t="str">
        <f ca="true">IFERROR(AVERAGEIFS('Unit-Level Data'!O:O,'Unit-Level Data'!L:L, "&gt;=" &amp; ($Q$2 - 7),
          'Unit-Level Data'!L:L, "&lt;" &amp; $Q$2,
          'Unit-Level Data'!G:G, 1,
          'Unit-Level Data'!B:B, B14),"")</f>
      </c>
      <c r="I15" s="641">
        <f ca="true">IFERROR(
    AVERAGEIFS('Unit-Level Data'!O:O,
               'Unit-Level Data'!L:L, "&gt;=" &amp; ($Q$2 - 7),
               'Unit-Level Data'!L:L, "&lt;" &amp; $Q$2,
               'Unit-Level Data'!G:G, 1,
               'Unit-Level Data'!B:B, B14)
    -
    AVERAGEIFS('Unit-Level Data'!O:O,
               'Unit-Level Data'!L:L, "&gt;=" &amp; ($Q$2 - 14),
               'Unit-Level Data'!L:L, "&lt;=" &amp; ($Q$2 - 7),
               'Unit-Level Data'!G:G, 1,
               'Unit-Level Data'!B:B, B14),
0)</f>
        <v>0</v>
      </c>
      <c r="J15" s="673">
        <f ca="true">IFERROR(I15/AVERAGEIFS('Unit-Level Data'!O:O,
               'Unit-Level Data'!L:L, "&gt;=" &amp; ($Q$2 - 14),
               'Unit-Level Data'!L:L, "&lt;=" &amp; ($Q$2 - 7),
               'Unit-Level Data'!G:G, 1,
               'Unit-Level Data'!B:B, B14),0)</f>
        <v>0</v>
      </c>
      <c r="K15" s="672">
        <f ca="true">COUNTIFS('Unit-Level Data'!K:K, "&gt;=" &amp; ($Q$2 - 7),
          'Unit-Level Data'!K:K, "&lt;" &amp; $Q$2,
          'Unit-Level Data'!G:G, 1,
          'Unit-Level Data'!B:B, B14)</f>
        <v>0</v>
      </c>
      <c r="L15" s="642">
        <f ca="true">
COUNTIFS(
    'Unit-Level Data'!K:K, "&gt;=" &amp; ($Q$2 - 7),
    'Unit-Level Data'!K:K, "&lt;" &amp; $Q$2,
    'Unit-Level Data'!G:G, 1,
    'Unit-Level Data'!B:B, B14
)
-
COUNTIFS(
    'Unit-Level Data'!K:K, "&gt;=" &amp; ($Q$2 - 14),
    'Unit-Level Data'!K:K, "&lt;=" &amp; ($Q$2 - 7),
    'Unit-Level Data'!G:G, 1,
    'Unit-Level Data'!B:B, B14
)</f>
        <v>0</v>
      </c>
      <c r="M15" s="681" t="str">
        <f ca="true">IFERROR(AVERAGEIFS('Unit-Level Data'!O:O,'Unit-Level Data'!K:K,"&gt;="&amp;($Q$2-7),
'Unit-Level Data'!K:K,"&lt;="&amp;$Q$2,
'Unit-Level Data'!G:G,1,
'Unit-Level Data'!B:B,B14),"")</f>
      </c>
      <c r="N15" s="694">
        <f ca="true">COUNTIFS('Unit-Level Data'!B:B, B14,
          'Unit-Level Data'!G:G, 1,
          'Unit-Level Data'!L:L, "")</f>
        <v>0</v>
      </c>
      <c r="O15" s="642">
        <f t="shared" ref="O15:O17" ca="true" si="2">N15-(N15-K15+F15)</f>
        <v>0</v>
      </c>
      <c r="P15" s="681" t="str">
        <f ca="true">IFERROR(AVERAGEIFS('Unit-Level Data'!O:O,'Unit-Level Data'!B:B, B14,
          'Unit-Level Data'!G:G, 1,
          'Unit-Level Data'!L:L, ""),"")</f>
      </c>
      <c r="Q15" s="688" t="str">
        <f ca="true">IFERROR(N15/SUMIFS('Unit Mix'!G:G,'Unit Mix'!D:D,1,'Unit Mix'!B:B,B14),"")</f>
      </c>
      <c r="T15" s="769"/>
    </row>
    <row r="16" spans="2:20">
      <c r="B16" s="612" t="str">
        <f ca="true">IF(ISBLANK(OFFSET('Rent Comparison'!$A$1,2,7)),"",OFFSET('Rent Comparison'!$A$1,2,7))</f>
      </c>
      <c r="C16" s="776"/>
      <c r="D16" s="653"/>
      <c r="E16" s="661" t="s">
        <v>1039</v>
      </c>
      <c r="F16" s="672">
        <f ca="true">COUNTIFS('Unit-Level Data'!L:L, "&gt;=" &amp; ($Q$2 - 7),
          'Unit-Level Data'!L:L, "&lt;" &amp; $Q$2,
          'Unit-Level Data'!G:G, 2,
          'Unit-Level Data'!B:B, B14)</f>
        <v>0</v>
      </c>
      <c r="G16" s="642">
        <f ca="true">COUNTIFS('Unit-Level Data'!L:L, "&gt;=" &amp; ($Q$2 - 7),
          'Unit-Level Data'!L:L, "&lt;" &amp; $Q$2,
          'Unit-Level Data'!G:G, 2,
          'Unit-Level Data'!B:B, B14)
-
COUNTIFS('Unit-Level Data'!L:L, "&gt;=" &amp; ($Q$2 - 14),
         'Unit-Level Data'!L:L, "&lt;=" &amp; ($Q$2 - 7),
         'Unit-Level Data'!G:G, 2,
         'Unit-Level Data'!B:B, B14)</f>
        <v>0</v>
      </c>
      <c r="H16" s="640" t="str">
        <f ca="true">IFERROR(AVERAGEIFS('Unit-Level Data'!O:O,'Unit-Level Data'!L:L, "&gt;=" &amp; ($Q$2 - 7),
          'Unit-Level Data'!L:L, "&lt;" &amp; $Q$2,
          'Unit-Level Data'!G:G, 2,
          'Unit-Level Data'!B:B, B14),"")</f>
      </c>
      <c r="I16" s="641">
        <f ca="true">IFERROR(
    AVERAGEIFS('Unit-Level Data'!O:O,
               'Unit-Level Data'!L:L, "&gt;=" &amp; ($Q$2 - 7),
               'Unit-Level Data'!L:L, "&lt;" &amp; $Q$2,
               'Unit-Level Data'!G:G, 2,
               'Unit-Level Data'!B:B, B14)
    -
    AVERAGEIFS('Unit-Level Data'!O:O,
               'Unit-Level Data'!L:L, "&gt;=" &amp; ($Q$2 - 14),
               'Unit-Level Data'!L:L, "&lt;=" &amp; ($Q$2 - 7),
               'Unit-Level Data'!G:G, 2,
               'Unit-Level Data'!B:B, B14),
0)</f>
        <v>0</v>
      </c>
      <c r="J16" s="673">
        <f ca="true">IFERROR(I16/AVERAGEIFS('Unit-Level Data'!O:O,
               'Unit-Level Data'!L:L, "&gt;=" &amp; ($Q$2 - 14),
               'Unit-Level Data'!L:L, "&lt;=" &amp; ($Q$2 - 7),
               'Unit-Level Data'!G:G, 2,
               'Unit-Level Data'!B:B, B14),0)</f>
        <v>0</v>
      </c>
      <c r="K16" s="672">
        <f ca="true">COUNTIFS('Unit-Level Data'!K:K, "&gt;=" &amp; ($Q$2 - 7),
          'Unit-Level Data'!K:K, "&lt;" &amp; $Q$2,
          'Unit-Level Data'!G:G, 2,
          'Unit-Level Data'!B:B, B14)</f>
        <v>0</v>
      </c>
      <c r="L16" s="642">
        <f ca="true">
COUNTIFS(
    'Unit-Level Data'!K:K, "&gt;=" &amp; ($Q$2 - 7),
    'Unit-Level Data'!K:K, "&lt;" &amp; $Q$2,
    'Unit-Level Data'!G:G, 2,
    'Unit-Level Data'!B:B, B14
)
-
COUNTIFS(
    'Unit-Level Data'!K:K, "&gt;=" &amp; ($Q$2 - 14),
    'Unit-Level Data'!K:K, "&lt;=" &amp; ($Q$2 - 7),
    'Unit-Level Data'!G:G, 2,
    'Unit-Level Data'!B:B, B14
)</f>
        <v>0</v>
      </c>
      <c r="M16" s="681" t="str">
        <f ca="true">IFERROR(AVERAGEIFS('Unit-Level Data'!O:O,'Unit-Level Data'!K:K,"&gt;="&amp;($Q$2-7),
'Unit-Level Data'!K:K,"&lt;="&amp;$Q$2,
'Unit-Level Data'!G:G,2,
'Unit-Level Data'!B:B,B14),"")</f>
      </c>
      <c r="N16" s="694">
        <f ca="true">COUNTIFS('Unit-Level Data'!B:B, B14,
          'Unit-Level Data'!G:G, 2,
          'Unit-Level Data'!L:L, "")</f>
        <v>0</v>
      </c>
      <c r="O16" s="642">
        <f t="shared" ca="true" si="2"/>
        <v>0</v>
      </c>
      <c r="P16" s="681" t="str">
        <f ca="true">IFERROR(AVERAGEIFS('Unit-Level Data'!O:O,'Unit-Level Data'!B:B, B14,
          'Unit-Level Data'!G:G, 2,
          'Unit-Level Data'!L:L, ""),"")</f>
      </c>
      <c r="Q16" s="688" t="str">
        <f ca="true">IFERROR(N16/SUMIFS('Unit Mix'!G:G,'Unit Mix'!D:D,2,'Unit Mix'!B:B,B14),"")</f>
      </c>
      <c r="T16" s="769"/>
    </row>
    <row r="17" spans="2:20" ht="15" thickBot="true">
      <c r="B17" s="656" t="str">
        <f ca="true">IF(ISBLANK(OFFSET('Rent Comparison'!$A$1,3,7)),"",OFFSET('Rent Comparison'!$A$1,3,7))</f>
      </c>
      <c r="C17" s="777"/>
      <c r="D17" s="654"/>
      <c r="E17" s="662" t="s">
        <v>1040</v>
      </c>
      <c r="F17" s="674">
        <f ca="true">COUNTIFS('Unit-Level Data'!L:L, "&gt;=" &amp; ($Q$2 - 7),
          'Unit-Level Data'!L:L, "&lt;" &amp; $Q$2,
          'Unit-Level Data'!G:G, 3,
          'Unit-Level Data'!B:B, B14)</f>
        <v>0</v>
      </c>
      <c r="G17" s="645">
        <f ca="true">COUNTIFS('Unit-Level Data'!L:L, "&gt;=" &amp; ($Q$2 - 7),
          'Unit-Level Data'!L:L, "&lt;" &amp; $Q$2,
          'Unit-Level Data'!G:G, 3,
          'Unit-Level Data'!B:B, B14)
-
COUNTIFS('Unit-Level Data'!L:L, "&gt;=" &amp; ($Q$2 - 14),
         'Unit-Level Data'!L:L, "&lt;=" &amp; ($Q$2 - 7),
         'Unit-Level Data'!G:G, 3,
         'Unit-Level Data'!B:B, B14)</f>
        <v>0</v>
      </c>
      <c r="H17" s="643" t="str">
        <f ca="true">IFERROR(AVERAGEIFS('Unit-Level Data'!O:O,'Unit-Level Data'!L:L, "&gt;=" &amp; ($Q$2 - 7),
          'Unit-Level Data'!L:L, "&lt;" &amp; $Q$2,
          'Unit-Level Data'!G:G, 3,
          'Unit-Level Data'!B:B, B14),"")</f>
      </c>
      <c r="I17" s="644">
        <f ca="true">IFERROR(
    AVERAGEIFS('Unit-Level Data'!O:O,
               'Unit-Level Data'!L:L, "&gt;=" &amp; ($Q$2 - 7),
               'Unit-Level Data'!L:L, "&lt;" &amp; $Q$2,
               'Unit-Level Data'!G:G, 3,
               'Unit-Level Data'!B:B, B14)
    -
    AVERAGEIFS('Unit-Level Data'!O:O,
               'Unit-Level Data'!L:L, "&gt;=" &amp; ($Q$2 - 14),
               'Unit-Level Data'!L:L, "&lt;=" &amp; ($Q$2 - 7),
               'Unit-Level Data'!G:G, 3,
               'Unit-Level Data'!B:B, B14),
0)</f>
        <v>0</v>
      </c>
      <c r="J17" s="675">
        <f ca="true">IFERROR(I17/AVERAGEIFS('Unit-Level Data'!O:O,
               'Unit-Level Data'!L:L, "&gt;=" &amp; ($Q$2 - 14),
               'Unit-Level Data'!L:L, "&lt;=" &amp; ($Q$2 - 7),
               'Unit-Level Data'!G:G, 3,
               'Unit-Level Data'!B:B, B14),0)</f>
        <v>0</v>
      </c>
      <c r="K17" s="674">
        <f ca="true">COUNTIFS('Unit-Level Data'!K:K, "&gt;=" &amp; ($Q$2 - 7),
          'Unit-Level Data'!K:K, "&lt;" &amp; $Q$2,
          'Unit-Level Data'!G:G, 3,
          'Unit-Level Data'!B:B, B14)</f>
        <v>0</v>
      </c>
      <c r="L17" s="645">
        <f ca="true">
COUNTIFS(
    'Unit-Level Data'!K:K, "&gt;=" &amp; ($Q$2 - 7),
    'Unit-Level Data'!K:K, "&lt;" &amp; $Q$2,
    'Unit-Level Data'!G:G, 3,
    'Unit-Level Data'!B:B, B14
)
-
COUNTIFS(
    'Unit-Level Data'!K:K, "&gt;=" &amp; ($Q$2 - 14),
    'Unit-Level Data'!K:K, "&lt;=" &amp; ($Q$2 - 7),
    'Unit-Level Data'!G:G, 3,
    'Unit-Level Data'!B:B, B14
)</f>
        <v>0</v>
      </c>
      <c r="M17" s="682" t="str">
        <f ca="true">IFERROR(AVERAGEIFS('Unit-Level Data'!O:O,'Unit-Level Data'!K:K,"&gt;="&amp;($Q$2-7),
'Unit-Level Data'!K:K,"&lt;="&amp;$Q$2,
'Unit-Level Data'!G:G,3,
'Unit-Level Data'!B:B,B14),"")</f>
      </c>
      <c r="N17" s="695">
        <f ca="true">COUNTIFS('Unit-Level Data'!B:B, B14,
          'Unit-Level Data'!G:G, 3,
          'Unit-Level Data'!L:L, "")</f>
        <v>0</v>
      </c>
      <c r="O17" s="645">
        <f t="shared" ca="true" si="2"/>
        <v>0</v>
      </c>
      <c r="P17" s="682" t="str">
        <f ca="true">IFERROR(AVERAGEIFS('Unit-Level Data'!O:O,'Unit-Level Data'!B:B, B14,
          'Unit-Level Data'!G:G, 3,
          'Unit-Level Data'!L:L, ""),"")</f>
      </c>
      <c r="Q17" s="689" t="str">
        <f ca="true">IFERROR(N17/SUMIFS('Unit Mix'!G:G,'Unit Mix'!D:D,3,'Unit Mix'!B:B,B14),"")</f>
      </c>
      <c r="T17" s="769"/>
    </row>
    <row r="18" spans="2:20">
      <c r="B18" s="636" t="str">
        <f ca="true">IF(ISBLANK(OFFSET('Rent Comparison'!$A$1,1,8)),"",OFFSET('Rent Comparison'!$A$1,1,8))</f>
      </c>
      <c r="C18" s="775" t="str">
        <f ca="true">IF(ISBLANK(B18),"",IFERROR(INDEX(Specials!B:J,MATCH(B18&amp;" - Active",Specials!I:I,0),2),""))</f>
      </c>
      <c r="D18" s="652"/>
      <c r="E18" s="660" t="s">
        <v>13</v>
      </c>
      <c r="F18" s="670">
        <f ca="true">COUNTIFS('Unit-Level Data'!L:L, "&gt;=" &amp; ($Q$2 - 7),
          'Unit-Level Data'!L:L, "&lt;" &amp; $Q$2,
          'Unit-Level Data'!G:G, 0,
          'Unit-Level Data'!B:B, B18)</f>
        <v>0</v>
      </c>
      <c r="G18" s="639">
        <f ca="true">COUNTIFS('Unit-Level Data'!L:L, "&gt;=" &amp; ($Q$2 - 7),
          'Unit-Level Data'!L:L, "&lt;" &amp; $Q$2,
          'Unit-Level Data'!G:G, 0,
          'Unit-Level Data'!B:B, B18)
-
COUNTIFS('Unit-Level Data'!L:L, "&gt;=" &amp; ($Q$2 - 14),
         'Unit-Level Data'!L:L, "&lt;=" &amp; ($Q$2 - 7),
         'Unit-Level Data'!G:G, 0,
         'Unit-Level Data'!B:B, B18)</f>
        <v>0</v>
      </c>
      <c r="H18" s="637" t="str">
        <f ca="true">IFERROR(AVERAGEIFS('Unit-Level Data'!O:O,'Unit-Level Data'!L:L, "&gt;=" &amp; ($Q$2 - 7),
          'Unit-Level Data'!L:L, "&lt;" &amp; $Q$2,
          'Unit-Level Data'!G:G, 0,
          'Unit-Level Data'!B:B, B18),"")</f>
      </c>
      <c r="I18" s="638">
        <f ca="true">IFERROR(
    AVERAGEIFS('Unit-Level Data'!O:O,
               'Unit-Level Data'!L:L, "&gt;=" &amp; ($Q$2 - 7),
               'Unit-Level Data'!L:L, "&lt;" &amp; $Q$2,
               'Unit-Level Data'!G:G, 0,
               'Unit-Level Data'!B:B, B18)
    -
    AVERAGEIFS('Unit-Level Data'!O:O,
               'Unit-Level Data'!L:L, "&gt;=" &amp; ($Q$2 - 14),
               'Unit-Level Data'!L:L, "&lt;=" &amp; ($Q$2 - 7),
               'Unit-Level Data'!G:G, 0,
               'Unit-Level Data'!B:B, B18),
0)</f>
        <v>0</v>
      </c>
      <c r="J18" s="671">
        <f ca="true">IFERROR(I18/AVERAGEIFS('Unit-Level Data'!O:O,
               'Unit-Level Data'!L:L, "&gt;=" &amp; ($Q$2 - 14),
               'Unit-Level Data'!L:L, "&lt;=" &amp; ($Q$2 - 7),
               'Unit-Level Data'!G:G, 0,
               'Unit-Level Data'!B:B, B18),0)</f>
        <v>0</v>
      </c>
      <c r="K18" s="670">
        <f ca="true">COUNTIFS('Unit-Level Data'!K:K, "&gt;=" &amp; ($Q$2 - 7),
          'Unit-Level Data'!K:K, "&lt;" &amp; $Q$2,
          'Unit-Level Data'!G:G, 0,
          'Unit-Level Data'!B:B, B18)</f>
        <v>0</v>
      </c>
      <c r="L18" s="639">
        <f ca="true">
COUNTIFS(
    'Unit-Level Data'!K:K, "&gt;=" &amp; ($Q$2 - 7),
    'Unit-Level Data'!K:K, "&lt;" &amp; $Q$2,
    'Unit-Level Data'!G:G, 0,
    'Unit-Level Data'!B:B, B18
)
-
COUNTIFS(
    'Unit-Level Data'!K:K, "&gt;=" &amp; ($Q$2 - 14),
    'Unit-Level Data'!K:K, "&lt;=" &amp; ($Q$2 - 7),
    'Unit-Level Data'!G:G, 0,
    'Unit-Level Data'!B:B, B18
)</f>
        <v>0</v>
      </c>
      <c r="M18" s="680" t="str">
        <f ca="true">IFERROR(AVERAGEIFS('Unit-Level Data'!O:O,'Unit-Level Data'!K:K,"&gt;="&amp;($Q$2-7),
'Unit-Level Data'!K:K,"&lt;="&amp;$Q$2,
'Unit-Level Data'!G:G,0,
'Unit-Level Data'!B:B,B18),"")</f>
      </c>
      <c r="N18" s="693">
        <f ca="true">COUNTIFS('Unit-Level Data'!B:B, B18,
          'Unit-Level Data'!G:G, 0,
          'Unit-Level Data'!L:L, "")</f>
        <v>0</v>
      </c>
      <c r="O18" s="639">
        <f ca="true">N18-(N18-K18+F18)</f>
        <v>0</v>
      </c>
      <c r="P18" s="680" t="str">
        <f ca="true">IFERROR(AVERAGEIFS('Unit-Level Data'!O:O,'Unit-Level Data'!B:B, B18,
          'Unit-Level Data'!G:G, 0,
          'Unit-Level Data'!L:L, ""),"")</f>
      </c>
      <c r="Q18" s="687" t="str">
        <f ca="true">IFERROR(N18/SUMIFS('Unit Mix'!G:G,'Unit Mix'!D:D,0,'Unit Mix'!B:B,B18),"")</f>
      </c>
      <c r="T18" s="769"/>
    </row>
    <row r="19" spans="2:20">
      <c r="B19" s="612" t="str">
        <f ca="true">IF(ISBLANK(OFFSET('Rent Comps'!$A$1,6,2)),"",OFFSET('Rent Comps'!$A$1,6,2))</f>
      </c>
      <c r="C19" s="776"/>
      <c r="D19" s="653"/>
      <c r="E19" s="661" t="s">
        <v>1038</v>
      </c>
      <c r="F19" s="672">
        <f ca="true">COUNTIFS('Unit-Level Data'!L:L, "&gt;=" &amp; ($Q$2 - 7),
          'Unit-Level Data'!L:L, "&lt;" &amp; $Q$2,
          'Unit-Level Data'!G:G, 1,
          'Unit-Level Data'!B:B, B18)</f>
        <v>0</v>
      </c>
      <c r="G19" s="642">
        <f ca="true">COUNTIFS('Unit-Level Data'!L:L, "&gt;=" &amp; ($Q$2 - 7),
          'Unit-Level Data'!L:L, "&lt;" &amp; $Q$2,
          'Unit-Level Data'!G:G, 1,
          'Unit-Level Data'!B:B, B18)
-
COUNTIFS('Unit-Level Data'!L:L, "&gt;=" &amp; ($Q$2 - 14),
         'Unit-Level Data'!L:L, "&lt;=" &amp; ($Q$2 - 7),
         'Unit-Level Data'!G:G, 1,
         'Unit-Level Data'!B:B, B18)</f>
        <v>0</v>
      </c>
      <c r="H19" s="640" t="str">
        <f ca="true">IFERROR(AVERAGEIFS('Unit-Level Data'!O:O,'Unit-Level Data'!L:L, "&gt;=" &amp; ($Q$2 - 7),
          'Unit-Level Data'!L:L, "&lt;" &amp; $Q$2,
          'Unit-Level Data'!G:G, 1,
          'Unit-Level Data'!B:B, B18),"")</f>
      </c>
      <c r="I19" s="641">
        <f ca="true">IFERROR(
    AVERAGEIFS('Unit-Level Data'!O:O,
               'Unit-Level Data'!L:L, "&gt;=" &amp; ($Q$2 - 7),
               'Unit-Level Data'!L:L, "&lt;" &amp; $Q$2,
               'Unit-Level Data'!G:G, 1,
               'Unit-Level Data'!B:B, B18)
    -
    AVERAGEIFS('Unit-Level Data'!O:O,
               'Unit-Level Data'!L:L, "&gt;=" &amp; ($Q$2 - 14),
               'Unit-Level Data'!L:L, "&lt;=" &amp; ($Q$2 - 7),
               'Unit-Level Data'!G:G, 1,
               'Unit-Level Data'!B:B, B18),
0)</f>
        <v>0</v>
      </c>
      <c r="J19" s="673">
        <f ca="true">IFERROR(I19/AVERAGEIFS('Unit-Level Data'!O:O,
               'Unit-Level Data'!L:L, "&gt;=" &amp; ($Q$2 - 14),
               'Unit-Level Data'!L:L, "&lt;=" &amp; ($Q$2 - 7),
               'Unit-Level Data'!G:G, 1,
               'Unit-Level Data'!B:B, B18),0)</f>
        <v>0</v>
      </c>
      <c r="K19" s="672">
        <f ca="true">COUNTIFS('Unit-Level Data'!K:K, "&gt;=" &amp; ($Q$2 - 7),
          'Unit-Level Data'!K:K, "&lt;" &amp; $Q$2,
          'Unit-Level Data'!G:G, 1,
          'Unit-Level Data'!B:B, B18)</f>
        <v>0</v>
      </c>
      <c r="L19" s="642">
        <f ca="true">
COUNTIFS(
    'Unit-Level Data'!K:K, "&gt;=" &amp; ($Q$2 - 7),
    'Unit-Level Data'!K:K, "&lt;" &amp; $Q$2,
    'Unit-Level Data'!G:G, 1,
    'Unit-Level Data'!B:B, B18
)
-
COUNTIFS(
    'Unit-Level Data'!K:K, "&gt;=" &amp; ($Q$2 - 14),
    'Unit-Level Data'!K:K, "&lt;=" &amp; ($Q$2 - 7),
    'Unit-Level Data'!G:G, 1,
    'Unit-Level Data'!B:B, B18
)</f>
        <v>0</v>
      </c>
      <c r="M19" s="681" t="str">
        <f ca="true">IFERROR(AVERAGEIFS('Unit-Level Data'!O:O,'Unit-Level Data'!K:K,"&gt;="&amp;($Q$2-7),
'Unit-Level Data'!K:K,"&lt;="&amp;$Q$2,
'Unit-Level Data'!G:G,1,
'Unit-Level Data'!B:B,B18),"")</f>
      </c>
      <c r="N19" s="694">
        <f ca="true">COUNTIFS('Unit-Level Data'!B:B, B18,
          'Unit-Level Data'!G:G, 1,
          'Unit-Level Data'!L:L, "")</f>
        <v>0</v>
      </c>
      <c r="O19" s="642">
        <f t="shared" ref="O19:O21" ca="true" si="3">N19-(N19-K19+F19)</f>
        <v>0</v>
      </c>
      <c r="P19" s="681" t="str">
        <f ca="true">IFERROR(AVERAGEIFS('Unit-Level Data'!O:O,'Unit-Level Data'!B:B, B18,
          'Unit-Level Data'!G:G, 1,
          'Unit-Level Data'!L:L, ""),"")</f>
      </c>
      <c r="Q19" s="688" t="str">
        <f ca="true">IFERROR(N19/SUMIFS('Unit Mix'!G:G,'Unit Mix'!D:D,1,'Unit Mix'!B:B,B18),"")</f>
      </c>
      <c r="T19" s="769"/>
    </row>
    <row r="20" spans="2:20">
      <c r="B20" s="612" t="str">
        <f ca="true">IF(ISBLANK(OFFSET('Rent Comparison'!$A$1,2,8)),"",OFFSET('Rent Comparison'!$A$1,2,8))</f>
      </c>
      <c r="C20" s="776"/>
      <c r="D20" s="653"/>
      <c r="E20" s="661" t="s">
        <v>1039</v>
      </c>
      <c r="F20" s="672">
        <f ca="true">COUNTIFS('Unit-Level Data'!L:L, "&gt;=" &amp; ($Q$2 - 7),
          'Unit-Level Data'!L:L, "&lt;" &amp; $Q$2,
          'Unit-Level Data'!G:G, 2,
          'Unit-Level Data'!B:B, B18)</f>
        <v>0</v>
      </c>
      <c r="G20" s="642">
        <f ca="true">COUNTIFS('Unit-Level Data'!L:L, "&gt;=" &amp; ($Q$2 - 7),
          'Unit-Level Data'!L:L, "&lt;" &amp; $Q$2,
          'Unit-Level Data'!G:G, 2,
          'Unit-Level Data'!B:B, B18)
-
COUNTIFS('Unit-Level Data'!L:L, "&gt;=" &amp; ($Q$2 - 14),
         'Unit-Level Data'!L:L, "&lt;=" &amp; ($Q$2 - 7),
         'Unit-Level Data'!G:G, 2,
         'Unit-Level Data'!B:B, B18)</f>
        <v>0</v>
      </c>
      <c r="H20" s="640" t="str">
        <f ca="true">IFERROR(AVERAGEIFS('Unit-Level Data'!O:O,'Unit-Level Data'!L:L, "&gt;=" &amp; ($Q$2 - 7),
          'Unit-Level Data'!L:L, "&lt;" &amp; $Q$2,
          'Unit-Level Data'!G:G, 2,
          'Unit-Level Data'!B:B, B18),"")</f>
      </c>
      <c r="I20" s="641">
        <f ca="true">IFERROR(
    AVERAGEIFS('Unit-Level Data'!O:O,
               'Unit-Level Data'!L:L, "&gt;=" &amp; ($Q$2 - 7),
               'Unit-Level Data'!L:L, "&lt;" &amp; $Q$2,
               'Unit-Level Data'!G:G, 2,
               'Unit-Level Data'!B:B, B18)
    -
    AVERAGEIFS('Unit-Level Data'!O:O,
               'Unit-Level Data'!L:L, "&gt;=" &amp; ($Q$2 - 14),
               'Unit-Level Data'!L:L, "&lt;=" &amp; ($Q$2 - 7),
               'Unit-Level Data'!G:G, 2,
               'Unit-Level Data'!B:B, B18),
0)</f>
        <v>0</v>
      </c>
      <c r="J20" s="673">
        <f ca="true">IFERROR(I20/AVERAGEIFS('Unit-Level Data'!O:O,
               'Unit-Level Data'!L:L, "&gt;=" &amp; ($Q$2 - 14),
               'Unit-Level Data'!L:L, "&lt;=" &amp; ($Q$2 - 7),
               'Unit-Level Data'!G:G, 2,
               'Unit-Level Data'!B:B, B18),0)</f>
        <v>0</v>
      </c>
      <c r="K20" s="672">
        <f ca="true">COUNTIFS('Unit-Level Data'!K:K, "&gt;=" &amp; ($Q$2 - 7),
          'Unit-Level Data'!K:K, "&lt;" &amp; $Q$2,
          'Unit-Level Data'!G:G, 2,
          'Unit-Level Data'!B:B, B18)</f>
        <v>0</v>
      </c>
      <c r="L20" s="642">
        <f ca="true">
COUNTIFS(
    'Unit-Level Data'!K:K, "&gt;=" &amp; ($Q$2 - 7),
    'Unit-Level Data'!K:K, "&lt;" &amp; $Q$2,
    'Unit-Level Data'!G:G, 2,
    'Unit-Level Data'!B:B, B18
)
-
COUNTIFS(
    'Unit-Level Data'!K:K, "&gt;=" &amp; ($Q$2 - 14),
    'Unit-Level Data'!K:K, "&lt;=" &amp; ($Q$2 - 7),
    'Unit-Level Data'!G:G, 2,
    'Unit-Level Data'!B:B, B18
)</f>
        <v>0</v>
      </c>
      <c r="M20" s="681" t="str">
        <f ca="true">IFERROR(AVERAGEIFS('Unit-Level Data'!O:O,'Unit-Level Data'!K:K,"&gt;="&amp;($Q$2-7),
'Unit-Level Data'!K:K,"&lt;="&amp;$Q$2,
'Unit-Level Data'!G:G,2,
'Unit-Level Data'!B:B,B18),"")</f>
      </c>
      <c r="N20" s="694">
        <f ca="true">COUNTIFS('Unit-Level Data'!B:B, B18,
          'Unit-Level Data'!G:G, 2,
          'Unit-Level Data'!L:L, "")</f>
        <v>0</v>
      </c>
      <c r="O20" s="642">
        <f t="shared" ca="true" si="3"/>
        <v>0</v>
      </c>
      <c r="P20" s="681" t="str">
        <f ca="true">IFERROR(AVERAGEIFS('Unit-Level Data'!O:O,'Unit-Level Data'!B:B, B18,
          'Unit-Level Data'!G:G, 2,
          'Unit-Level Data'!L:L, ""),"")</f>
      </c>
      <c r="Q20" s="688" t="str">
        <f ca="true">IFERROR(N20/SUMIFS('Unit Mix'!G:G,'Unit Mix'!D:D,2,'Unit Mix'!B:B,B18),"")</f>
      </c>
    </row>
    <row r="21" spans="2:20" ht="15" thickBot="true">
      <c r="B21" s="656" t="str">
        <f ca="true">IF(ISBLANK(OFFSET('Rent Comparison'!$A$1,3,8)),"",OFFSET('Rent Comparison'!$A$1,3,8))</f>
      </c>
      <c r="C21" s="777"/>
      <c r="D21" s="654"/>
      <c r="E21" s="662" t="s">
        <v>1040</v>
      </c>
      <c r="F21" s="674">
        <f ca="true">COUNTIFS('Unit-Level Data'!L:L, "&gt;=" &amp; ($Q$2 - 7),
          'Unit-Level Data'!L:L, "&lt;" &amp; $Q$2,
          'Unit-Level Data'!G:G, 3,
          'Unit-Level Data'!B:B, B18)</f>
        <v>0</v>
      </c>
      <c r="G21" s="645">
        <f ca="true">COUNTIFS('Unit-Level Data'!L:L, "&gt;=" &amp; ($Q$2 - 7),
          'Unit-Level Data'!L:L, "&lt;" &amp; $Q$2,
          'Unit-Level Data'!G:G, 3,
          'Unit-Level Data'!B:B, B18)
-
COUNTIFS('Unit-Level Data'!L:L, "&gt;=" &amp; ($Q$2 - 14),
         'Unit-Level Data'!L:L, "&lt;=" &amp; ($Q$2 - 7),
         'Unit-Level Data'!G:G, 3,
         'Unit-Level Data'!B:B, B18)</f>
        <v>0</v>
      </c>
      <c r="H21" s="643" t="str">
        <f ca="true">IFERROR(AVERAGEIFS('Unit-Level Data'!O:O,'Unit-Level Data'!L:L, "&gt;=" &amp; ($Q$2 - 7),
          'Unit-Level Data'!L:L, "&lt;" &amp; $Q$2,
          'Unit-Level Data'!G:G, 3,
          'Unit-Level Data'!B:B, B18),"")</f>
      </c>
      <c r="I21" s="644">
        <f ca="true">IFERROR(
    AVERAGEIFS('Unit-Level Data'!O:O,
               'Unit-Level Data'!L:L, "&gt;=" &amp; ($Q$2 - 7),
               'Unit-Level Data'!L:L, "&lt;" &amp; $Q$2,
               'Unit-Level Data'!G:G, 3,
               'Unit-Level Data'!B:B, B18)
    -
    AVERAGEIFS('Unit-Level Data'!O:O,
               'Unit-Level Data'!L:L, "&gt;=" &amp; ($Q$2 - 14),
               'Unit-Level Data'!L:L, "&lt;=" &amp; ($Q$2 - 7),
               'Unit-Level Data'!G:G, 3,
               'Unit-Level Data'!B:B, B18),
0)</f>
        <v>0</v>
      </c>
      <c r="J21" s="675">
        <f ca="true">IFERROR(I21/AVERAGEIFS('Unit-Level Data'!O:O,
               'Unit-Level Data'!L:L, "&gt;=" &amp; ($Q$2 - 14),
               'Unit-Level Data'!L:L, "&lt;=" &amp; ($Q$2 - 7),
               'Unit-Level Data'!G:G, 3,
               'Unit-Level Data'!B:B, B18),0)</f>
        <v>0</v>
      </c>
      <c r="K21" s="674">
        <f ca="true">COUNTIFS('Unit-Level Data'!K:K, "&gt;=" &amp; ($Q$2 - 7),
          'Unit-Level Data'!K:K, "&lt;" &amp; $Q$2,
          'Unit-Level Data'!G:G, 3,
          'Unit-Level Data'!B:B, B18)</f>
        <v>0</v>
      </c>
      <c r="L21" s="645">
        <f ca="true">
COUNTIFS(
    'Unit-Level Data'!K:K, "&gt;=" &amp; ($Q$2 - 7),
    'Unit-Level Data'!K:K, "&lt;" &amp; $Q$2,
    'Unit-Level Data'!G:G, 3,
    'Unit-Level Data'!B:B, B18
)
-
COUNTIFS(
    'Unit-Level Data'!K:K, "&gt;=" &amp; ($Q$2 - 14),
    'Unit-Level Data'!K:K, "&lt;=" &amp; ($Q$2 - 7),
    'Unit-Level Data'!G:G, 3,
    'Unit-Level Data'!B:B, B18
)</f>
        <v>0</v>
      </c>
      <c r="M21" s="682" t="str">
        <f ca="true">IFERROR(AVERAGEIFS('Unit-Level Data'!O:O,'Unit-Level Data'!K:K,"&gt;="&amp;($Q$2-7),
'Unit-Level Data'!K:K,"&lt;="&amp;$Q$2,
'Unit-Level Data'!G:G,3,
'Unit-Level Data'!B:B,B18),"")</f>
      </c>
      <c r="N21" s="695">
        <f ca="true">COUNTIFS('Unit-Level Data'!B:B, B18,
          'Unit-Level Data'!G:G, 3,
          'Unit-Level Data'!L:L, "")</f>
        <v>0</v>
      </c>
      <c r="O21" s="645">
        <f t="shared" ca="true" si="3"/>
        <v>0</v>
      </c>
      <c r="P21" s="682" t="str">
        <f ca="true">IFERROR(AVERAGEIFS('Unit-Level Data'!O:O,'Unit-Level Data'!B:B, B18,
          'Unit-Level Data'!G:G, 3,
          'Unit-Level Data'!L:L, ""),"")</f>
      </c>
      <c r="Q21" s="689" t="str">
        <f ca="true">IFERROR(N21/SUMIFS('Unit Mix'!G:G,'Unit Mix'!D:D,3,'Unit Mix'!B:B,B18),"")</f>
      </c>
    </row>
    <row r="22" spans="2:20">
      <c r="B22" s="636" t="str">
        <f ca="true">IF(ISBLANK(OFFSET('Rent Comparison'!$A$1,1,9)),"",OFFSET('Rent Comparison'!$A$1,1,9))</f>
      </c>
      <c r="C22" s="775" t="str">
        <f ca="true">IF(ISBLANK(B22),"",IFERROR(INDEX(Specials!B:J,MATCH(B22&amp;" - Active",Specials!I:I,0),2),""))</f>
      </c>
      <c r="D22" s="652"/>
      <c r="E22" s="660" t="s">
        <v>13</v>
      </c>
      <c r="F22" s="670">
        <f ca="true">COUNTIFS('Unit-Level Data'!L:L, "&gt;=" &amp; ($Q$2 - 7),
          'Unit-Level Data'!L:L, "&lt;" &amp; $Q$2,
          'Unit-Level Data'!G:G, 0,
          'Unit-Level Data'!B:B, B22)</f>
        <v>0</v>
      </c>
      <c r="G22" s="639">
        <f ca="true">COUNTIFS('Unit-Level Data'!L:L, "&gt;=" &amp; ($Q$2 - 7),
          'Unit-Level Data'!L:L, "&lt;" &amp; $Q$2,
          'Unit-Level Data'!G:G, 0,
          'Unit-Level Data'!B:B, B22)
-
COUNTIFS('Unit-Level Data'!L:L, "&gt;=" &amp; ($Q$2 - 14),
         'Unit-Level Data'!L:L, "&lt;=" &amp; ($Q$2 - 7),
         'Unit-Level Data'!G:G, 0,
         'Unit-Level Data'!B:B, B22)</f>
        <v>0</v>
      </c>
      <c r="H22" s="637" t="str">
        <f ca="true">IFERROR(AVERAGEIFS('Unit-Level Data'!O:O,'Unit-Level Data'!L:L, "&gt;=" &amp; ($Q$2 - 7),
          'Unit-Level Data'!L:L, "&lt;" &amp; $Q$2,
          'Unit-Level Data'!G:G, 0,
          'Unit-Level Data'!B:B, B22),"")</f>
      </c>
      <c r="I22" s="638">
        <f ca="true">IFERROR(
    AVERAGEIFS('Unit-Level Data'!O:O,
               'Unit-Level Data'!L:L, "&gt;=" &amp; ($Q$2 - 7),
               'Unit-Level Data'!L:L, "&lt;" &amp; $Q$2,
               'Unit-Level Data'!G:G, 0,
               'Unit-Level Data'!B:B, B22)
    -
    AVERAGEIFS('Unit-Level Data'!O:O,
               'Unit-Level Data'!L:L, "&gt;=" &amp; ($Q$2 - 14),
               'Unit-Level Data'!L:L, "&lt;=" &amp; ($Q$2 - 7),
               'Unit-Level Data'!G:G, 0,
               'Unit-Level Data'!B:B, B22),
0)</f>
        <v>0</v>
      </c>
      <c r="J22" s="671">
        <f ca="true">IFERROR(I22/AVERAGEIFS('Unit-Level Data'!O:O,
               'Unit-Level Data'!L:L, "&gt;=" &amp; ($Q$2 - 14),
               'Unit-Level Data'!L:L, "&lt;=" &amp; ($Q$2 - 7),
               'Unit-Level Data'!G:G, 0,
               'Unit-Level Data'!B:B, B22),0)</f>
        <v>0</v>
      </c>
      <c r="K22" s="670">
        <f ca="true">COUNTIFS('Unit-Level Data'!K:K, "&gt;=" &amp; ($Q$2 - 7),
          'Unit-Level Data'!K:K, "&lt;" &amp; $Q$2,
          'Unit-Level Data'!G:G, 0,
          'Unit-Level Data'!B:B, B22)</f>
        <v>0</v>
      </c>
      <c r="L22" s="639">
        <f ca="true">
COUNTIFS(
    'Unit-Level Data'!K:K, "&gt;=" &amp; ($Q$2 - 7),
    'Unit-Level Data'!K:K, "&lt;" &amp; $Q$2,
    'Unit-Level Data'!G:G, 0,
    'Unit-Level Data'!B:B, B22
)
-
COUNTIFS(
    'Unit-Level Data'!K:K, "&gt;=" &amp; ($Q$2 - 14),
    'Unit-Level Data'!K:K, "&lt;=" &amp; ($Q$2 - 7),
    'Unit-Level Data'!G:G, 0,
    'Unit-Level Data'!B:B, B22
)</f>
        <v>0</v>
      </c>
      <c r="M22" s="680" t="str">
        <f ca="true">IFERROR(AVERAGEIFS('Unit-Level Data'!O:O,'Unit-Level Data'!K:K,"&gt;="&amp;($Q$2-7),
'Unit-Level Data'!K:K,"&lt;="&amp;$Q$2,
'Unit-Level Data'!G:G,0,
'Unit-Level Data'!B:B,B22),"")</f>
      </c>
      <c r="N22" s="693">
        <f ca="true">COUNTIFS('Unit-Level Data'!B:B, B22,
          'Unit-Level Data'!G:G, 0,
          'Unit-Level Data'!L:L, "")</f>
        <v>0</v>
      </c>
      <c r="O22" s="639">
        <f ca="true">N22-(N22-K22+F22)</f>
        <v>0</v>
      </c>
      <c r="P22" s="680" t="str">
        <f ca="true">IFERROR(AVERAGEIFS('Unit-Level Data'!O:O,'Unit-Level Data'!B:B, B22,
          'Unit-Level Data'!G:G, 0,
          'Unit-Level Data'!L:L, ""),"")</f>
      </c>
      <c r="Q22" s="687" t="str">
        <f ca="true">IFERROR(N22/SUMIFS('Unit Mix'!G:G,'Unit Mix'!D:D,0,'Unit Mix'!B:B,B22),"")</f>
      </c>
    </row>
    <row r="23" spans="2:20">
      <c r="B23" s="612" t="str">
        <f ca="true">IF(ISBLANK(OFFSET('Rent Comps'!$A$1,7,2)),"",OFFSET('Rent Comps'!$A$1,7,2))</f>
      </c>
      <c r="C23" s="776"/>
      <c r="D23" s="653"/>
      <c r="E23" s="661" t="s">
        <v>1038</v>
      </c>
      <c r="F23" s="672">
        <f ca="true">COUNTIFS('Unit-Level Data'!L:L, "&gt;=" &amp; ($Q$2 - 7),
          'Unit-Level Data'!L:L, "&lt;" &amp; $Q$2,
          'Unit-Level Data'!G:G, 1,
          'Unit-Level Data'!B:B, B22)</f>
        <v>0</v>
      </c>
      <c r="G23" s="642">
        <f ca="true">COUNTIFS('Unit-Level Data'!L:L, "&gt;=" &amp; ($Q$2 - 7),
          'Unit-Level Data'!L:L, "&lt;" &amp; $Q$2,
          'Unit-Level Data'!G:G, 1,
          'Unit-Level Data'!B:B, B22)
-
COUNTIFS('Unit-Level Data'!L:L, "&gt;=" &amp; ($Q$2 - 14),
         'Unit-Level Data'!L:L, "&lt;=" &amp; ($Q$2 - 7),
         'Unit-Level Data'!G:G, 1,
         'Unit-Level Data'!B:B, B22)</f>
        <v>0</v>
      </c>
      <c r="H23" s="640" t="str">
        <f ca="true">IFERROR(AVERAGEIFS('Unit-Level Data'!O:O,'Unit-Level Data'!L:L, "&gt;=" &amp; ($Q$2 - 7),
          'Unit-Level Data'!L:L, "&lt;" &amp; $Q$2,
          'Unit-Level Data'!G:G, 1,
          'Unit-Level Data'!B:B, B22),"")</f>
      </c>
      <c r="I23" s="641">
        <f ca="true">IFERROR(
    AVERAGEIFS('Unit-Level Data'!O:O,
               'Unit-Level Data'!L:L, "&gt;=" &amp; ($Q$2 - 7),
               'Unit-Level Data'!L:L, "&lt;" &amp; $Q$2,
               'Unit-Level Data'!G:G, 1,
               'Unit-Level Data'!B:B, B22)
    -
    AVERAGEIFS('Unit-Level Data'!O:O,
               'Unit-Level Data'!L:L, "&gt;=" &amp; ($Q$2 - 14),
               'Unit-Level Data'!L:L, "&lt;=" &amp; ($Q$2 - 7),
               'Unit-Level Data'!G:G, 1,
               'Unit-Level Data'!B:B, B22),
0)</f>
        <v>0</v>
      </c>
      <c r="J23" s="673">
        <f ca="true">IFERROR(I23/AVERAGEIFS('Unit-Level Data'!O:O,
               'Unit-Level Data'!L:L, "&gt;=" &amp; ($Q$2 - 14),
               'Unit-Level Data'!L:L, "&lt;=" &amp; ($Q$2 - 7),
               'Unit-Level Data'!G:G, 1,
               'Unit-Level Data'!B:B, B22),0)</f>
        <v>0</v>
      </c>
      <c r="K23" s="672">
        <f ca="true">COUNTIFS('Unit-Level Data'!K:K, "&gt;=" &amp; ($Q$2 - 7),
          'Unit-Level Data'!K:K, "&lt;" &amp; $Q$2,
          'Unit-Level Data'!G:G, 1,
          'Unit-Level Data'!B:B, B22)</f>
        <v>0</v>
      </c>
      <c r="L23" s="642">
        <f ca="true">
COUNTIFS(
    'Unit-Level Data'!K:K, "&gt;=" &amp; ($Q$2 - 7),
    'Unit-Level Data'!K:K, "&lt;" &amp; $Q$2,
    'Unit-Level Data'!G:G, 1,
    'Unit-Level Data'!B:B, B22
)
-
COUNTIFS(
    'Unit-Level Data'!K:K, "&gt;=" &amp; ($Q$2 - 14),
    'Unit-Level Data'!K:K, "&lt;=" &amp; ($Q$2 - 7),
    'Unit-Level Data'!G:G, 1,
    'Unit-Level Data'!B:B, B22
)</f>
        <v>0</v>
      </c>
      <c r="M23" s="681" t="str">
        <f ca="true">IFERROR(AVERAGEIFS('Unit-Level Data'!O:O,'Unit-Level Data'!K:K,"&gt;="&amp;($Q$2-7),
'Unit-Level Data'!K:K,"&lt;="&amp;$Q$2,
'Unit-Level Data'!G:G,1,
'Unit-Level Data'!B:B,B22),"")</f>
      </c>
      <c r="N23" s="694">
        <f ca="true">COUNTIFS('Unit-Level Data'!B:B, B22,
          'Unit-Level Data'!G:G, 1,
          'Unit-Level Data'!L:L, "")</f>
        <v>0</v>
      </c>
      <c r="O23" s="642">
        <f t="shared" ref="O23:O25" ca="true" si="4">N23-(N23-K23+F23)</f>
        <v>0</v>
      </c>
      <c r="P23" s="681" t="str">
        <f ca="true">IFERROR(AVERAGEIFS('Unit-Level Data'!O:O,'Unit-Level Data'!B:B, B22,
          'Unit-Level Data'!G:G, 1,
          'Unit-Level Data'!L:L, ""),"")</f>
      </c>
      <c r="Q23" s="688" t="str">
        <f ca="true">IFERROR(N23/SUMIFS('Unit Mix'!G:G,'Unit Mix'!D:D,1,'Unit Mix'!B:B,B22),"")</f>
      </c>
    </row>
    <row r="24" spans="2:20">
      <c r="B24" s="612" t="str">
        <f ca="true">IF(ISBLANK(OFFSET('Rent Comparison'!$A$1,2,9)),"",OFFSET('Rent Comparison'!$A$1,2,9))</f>
      </c>
      <c r="C24" s="776"/>
      <c r="D24" s="653"/>
      <c r="E24" s="661" t="s">
        <v>1039</v>
      </c>
      <c r="F24" s="672">
        <f ca="true">COUNTIFS('Unit-Level Data'!L:L, "&gt;=" &amp; ($Q$2 - 7),
          'Unit-Level Data'!L:L, "&lt;" &amp; $Q$2,
          'Unit-Level Data'!G:G, 2,
          'Unit-Level Data'!B:B, B22)</f>
        <v>0</v>
      </c>
      <c r="G24" s="642">
        <f ca="true">COUNTIFS('Unit-Level Data'!L:L, "&gt;=" &amp; ($Q$2 - 7),
          'Unit-Level Data'!L:L, "&lt;" &amp; $Q$2,
          'Unit-Level Data'!G:G, 2,
          'Unit-Level Data'!B:B, B22)
-
COUNTIFS('Unit-Level Data'!L:L, "&gt;=" &amp; ($Q$2 - 14),
         'Unit-Level Data'!L:L, "&lt;=" &amp; ($Q$2 - 7),
         'Unit-Level Data'!G:G, 2,
         'Unit-Level Data'!B:B, B22)</f>
        <v>0</v>
      </c>
      <c r="H24" s="640" t="str">
        <f ca="true">IFERROR(AVERAGEIFS('Unit-Level Data'!O:O,'Unit-Level Data'!L:L, "&gt;=" &amp; ($Q$2 - 7),
          'Unit-Level Data'!L:L, "&lt;" &amp; $Q$2,
          'Unit-Level Data'!G:G, 2,
          'Unit-Level Data'!B:B, B22),"")</f>
      </c>
      <c r="I24" s="641">
        <f ca="true">IFERROR(
    AVERAGEIFS('Unit-Level Data'!O:O,
               'Unit-Level Data'!L:L, "&gt;=" &amp; ($Q$2 - 7),
               'Unit-Level Data'!L:L, "&lt;" &amp; $Q$2,
               'Unit-Level Data'!G:G, 2,
               'Unit-Level Data'!B:B, B22)
    -
    AVERAGEIFS('Unit-Level Data'!O:O,
               'Unit-Level Data'!L:L, "&gt;=" &amp; ($Q$2 - 14),
               'Unit-Level Data'!L:L, "&lt;=" &amp; ($Q$2 - 7),
               'Unit-Level Data'!G:G, 2,
               'Unit-Level Data'!B:B, B22),
0)</f>
        <v>0</v>
      </c>
      <c r="J24" s="673">
        <f ca="true">IFERROR(I24/AVERAGEIFS('Unit-Level Data'!O:O,
               'Unit-Level Data'!L:L, "&gt;=" &amp; ($Q$2 - 14),
               'Unit-Level Data'!L:L, "&lt;=" &amp; ($Q$2 - 7),
               'Unit-Level Data'!G:G, 2,
               'Unit-Level Data'!B:B, B22),0)</f>
        <v>0</v>
      </c>
      <c r="K24" s="672">
        <f ca="true">COUNTIFS('Unit-Level Data'!K:K, "&gt;=" &amp; ($Q$2 - 7),
          'Unit-Level Data'!K:K, "&lt;" &amp; $Q$2,
          'Unit-Level Data'!G:G, 2,
          'Unit-Level Data'!B:B, B22)</f>
        <v>0</v>
      </c>
      <c r="L24" s="642">
        <f ca="true">
COUNTIFS(
    'Unit-Level Data'!K:K, "&gt;=" &amp; ($Q$2 - 7),
    'Unit-Level Data'!K:K, "&lt;" &amp; $Q$2,
    'Unit-Level Data'!G:G, 2,
    'Unit-Level Data'!B:B, B22
)
-
COUNTIFS(
    'Unit-Level Data'!K:K, "&gt;=" &amp; ($Q$2 - 14),
    'Unit-Level Data'!K:K, "&lt;=" &amp; ($Q$2 - 7),
    'Unit-Level Data'!G:G, 2,
    'Unit-Level Data'!B:B, B22
)</f>
        <v>0</v>
      </c>
      <c r="M24" s="681" t="str">
        <f ca="true">IFERROR(AVERAGEIFS('Unit-Level Data'!O:O,'Unit-Level Data'!K:K,"&gt;="&amp;($Q$2-7),
'Unit-Level Data'!K:K,"&lt;="&amp;$Q$2,
'Unit-Level Data'!G:G,2,
'Unit-Level Data'!B:B,B22),"")</f>
      </c>
      <c r="N24" s="694">
        <f ca="true">COUNTIFS('Unit-Level Data'!B:B, B22,
          'Unit-Level Data'!G:G, 2,
          'Unit-Level Data'!L:L, "")</f>
        <v>0</v>
      </c>
      <c r="O24" s="642">
        <f t="shared" ca="true" si="4"/>
        <v>0</v>
      </c>
      <c r="P24" s="681" t="str">
        <f ca="true">IFERROR(AVERAGEIFS('Unit-Level Data'!O:O,'Unit-Level Data'!B:B, B22,
          'Unit-Level Data'!G:G, 2,
          'Unit-Level Data'!L:L, ""),"")</f>
      </c>
      <c r="Q24" s="688" t="str">
        <f ca="true">IFERROR(N24/SUMIFS('Unit Mix'!G:G,'Unit Mix'!D:D,2,'Unit Mix'!B:B,B22),"")</f>
      </c>
    </row>
    <row r="25" spans="2:20" ht="15" thickBot="true">
      <c r="B25" s="656" t="str">
        <f ca="true">IF(ISBLANK(OFFSET('Rent Comparison'!$A$1,3,9)),"",OFFSET('Rent Comparison'!$A$1,3,9))</f>
      </c>
      <c r="C25" s="777"/>
      <c r="D25" s="654"/>
      <c r="E25" s="662" t="s">
        <v>1040</v>
      </c>
      <c r="F25" s="674">
        <f ca="true">COUNTIFS('Unit-Level Data'!L:L, "&gt;=" &amp; ($Q$2 - 7),
          'Unit-Level Data'!L:L, "&lt;" &amp; $Q$2,
          'Unit-Level Data'!G:G, 3,
          'Unit-Level Data'!B:B, B22)</f>
        <v>0</v>
      </c>
      <c r="G25" s="645">
        <f ca="true">COUNTIFS('Unit-Level Data'!L:L, "&gt;=" &amp; ($Q$2 - 7),
          'Unit-Level Data'!L:L, "&lt;" &amp; $Q$2,
          'Unit-Level Data'!G:G, 3,
          'Unit-Level Data'!B:B, B22)
-
COUNTIFS('Unit-Level Data'!L:L, "&gt;=" &amp; ($Q$2 - 14),
         'Unit-Level Data'!L:L, "&lt;=" &amp; ($Q$2 - 7),
         'Unit-Level Data'!G:G, 3,
         'Unit-Level Data'!B:B, B22)</f>
        <v>0</v>
      </c>
      <c r="H25" s="643" t="str">
        <f ca="true">IFERROR(AVERAGEIFS('Unit-Level Data'!O:O,'Unit-Level Data'!L:L, "&gt;=" &amp; ($Q$2 - 7),
          'Unit-Level Data'!L:L, "&lt;" &amp; $Q$2,
          'Unit-Level Data'!G:G, 3,
          'Unit-Level Data'!B:B, B22),"")</f>
      </c>
      <c r="I25" s="644">
        <f ca="true">IFERROR(
    AVERAGEIFS('Unit-Level Data'!O:O,
               'Unit-Level Data'!L:L, "&gt;=" &amp; ($Q$2 - 7),
               'Unit-Level Data'!L:L, "&lt;" &amp; $Q$2,
               'Unit-Level Data'!G:G, 3,
               'Unit-Level Data'!B:B, B22)
    -
    AVERAGEIFS('Unit-Level Data'!O:O,
               'Unit-Level Data'!L:L, "&gt;=" &amp; ($Q$2 - 14),
               'Unit-Level Data'!L:L, "&lt;=" &amp; ($Q$2 - 7),
               'Unit-Level Data'!G:G, 3,
               'Unit-Level Data'!B:B, B22),
0)</f>
        <v>0</v>
      </c>
      <c r="J25" s="675">
        <f ca="true">IFERROR(I25/AVERAGEIFS('Unit-Level Data'!O:O,
               'Unit-Level Data'!L:L, "&gt;=" &amp; ($Q$2 - 14),
               'Unit-Level Data'!L:L, "&lt;=" &amp; ($Q$2 - 7),
               'Unit-Level Data'!G:G, 3,
               'Unit-Level Data'!B:B, B22),0)</f>
        <v>0</v>
      </c>
      <c r="K25" s="674">
        <f ca="true">COUNTIFS('Unit-Level Data'!K:K, "&gt;=" &amp; ($Q$2 - 7),
          'Unit-Level Data'!K:K, "&lt;" &amp; $Q$2,
          'Unit-Level Data'!G:G, 3,
          'Unit-Level Data'!B:B, B22)</f>
        <v>0</v>
      </c>
      <c r="L25" s="645">
        <f ca="true">
COUNTIFS(
    'Unit-Level Data'!K:K, "&gt;=" &amp; ($Q$2 - 7),
    'Unit-Level Data'!K:K, "&lt;" &amp; $Q$2,
    'Unit-Level Data'!G:G, 3,
    'Unit-Level Data'!B:B, B22
)
-
COUNTIFS(
    'Unit-Level Data'!K:K, "&gt;=" &amp; ($Q$2 - 14),
    'Unit-Level Data'!K:K, "&lt;=" &amp; ($Q$2 - 7),
    'Unit-Level Data'!G:G, 3,
    'Unit-Level Data'!B:B, B22
)</f>
        <v>0</v>
      </c>
      <c r="M25" s="682" t="str">
        <f ca="true">IFERROR(AVERAGEIFS('Unit-Level Data'!O:O,'Unit-Level Data'!K:K,"&gt;="&amp;($Q$2-7),
'Unit-Level Data'!K:K,"&lt;="&amp;$Q$2,
'Unit-Level Data'!G:G,3,
'Unit-Level Data'!B:B,B22),"")</f>
      </c>
      <c r="N25" s="695">
        <f ca="true">COUNTIFS('Unit-Level Data'!B:B, B22,
          'Unit-Level Data'!G:G, 3,
          'Unit-Level Data'!L:L, "")</f>
        <v>0</v>
      </c>
      <c r="O25" s="645">
        <f t="shared" ca="true" si="4"/>
        <v>0</v>
      </c>
      <c r="P25" s="682" t="str">
        <f ca="true">IFERROR(AVERAGEIFS('Unit-Level Data'!O:O,'Unit-Level Data'!B:B, B22,
          'Unit-Level Data'!G:G, 3,
          'Unit-Level Data'!L:L, ""),"")</f>
      </c>
      <c r="Q25" s="689" t="str">
        <f ca="true">IFERROR(N25/SUMIFS('Unit Mix'!G:G,'Unit Mix'!D:D,3,'Unit Mix'!B:B,B22),"")</f>
      </c>
    </row>
    <row r="26" spans="2:20">
      <c r="B26" s="636" t="str">
        <f ca="true">IF(ISBLANK(OFFSET('Rent Comparison'!$A$1,1,10)),"",OFFSET('Rent Comparison'!$A$1,1,10))</f>
      </c>
      <c r="C26" s="775" t="str">
        <f ca="true">IF(ISBLANK(B26),"",IFERROR(INDEX(Specials!B:J,MATCH(B26&amp;" - Active",Specials!I:I,0),2),""))</f>
      </c>
      <c r="D26" s="652"/>
      <c r="E26" s="660" t="s">
        <v>13</v>
      </c>
      <c r="F26" s="670">
        <f ca="true">COUNTIFS('Unit-Level Data'!L:L, "&gt;=" &amp; ($Q$2 - 7),
          'Unit-Level Data'!L:L, "&lt;" &amp; $Q$2,
          'Unit-Level Data'!G:G, 0,
          'Unit-Level Data'!B:B, B26)</f>
        <v>0</v>
      </c>
      <c r="G26" s="639">
        <f ca="true">COUNTIFS('Unit-Level Data'!L:L, "&gt;=" &amp; ($Q$2 - 7),
          'Unit-Level Data'!L:L, "&lt;" &amp; $Q$2,
          'Unit-Level Data'!G:G, 0,
          'Unit-Level Data'!B:B, B26)
-
COUNTIFS('Unit-Level Data'!L:L, "&gt;=" &amp; ($Q$2 - 14),
         'Unit-Level Data'!L:L, "&lt;=" &amp; ($Q$2 - 7),
         'Unit-Level Data'!G:G, 0,
         'Unit-Level Data'!B:B, B26)</f>
        <v>0</v>
      </c>
      <c r="H26" s="637" t="str">
        <f ca="true">IFERROR(AVERAGEIFS('Unit-Level Data'!O:O,'Unit-Level Data'!L:L, "&gt;=" &amp; ($Q$2 - 7),
          'Unit-Level Data'!L:L, "&lt;" &amp; $Q$2,
          'Unit-Level Data'!G:G, 0,
          'Unit-Level Data'!B:B, B26),"")</f>
      </c>
      <c r="I26" s="638">
        <f ca="true">IFERROR(
    AVERAGEIFS('Unit-Level Data'!O:O,
               'Unit-Level Data'!L:L, "&gt;=" &amp; ($Q$2 - 7),
               'Unit-Level Data'!L:L, "&lt;" &amp; $Q$2,
               'Unit-Level Data'!G:G, 0,
               'Unit-Level Data'!B:B, B26)
    -
    AVERAGEIFS('Unit-Level Data'!O:O,
               'Unit-Level Data'!L:L, "&gt;=" &amp; ($Q$2 - 14),
               'Unit-Level Data'!L:L, "&lt;=" &amp; ($Q$2 - 7),
               'Unit-Level Data'!G:G, 0,
               'Unit-Level Data'!B:B, B26),
0)</f>
        <v>0</v>
      </c>
      <c r="J26" s="671">
        <f ca="true">IFERROR(I26/AVERAGEIFS('Unit-Level Data'!O:O,
               'Unit-Level Data'!L:L, "&gt;=" &amp; ($Q$2 - 14),
               'Unit-Level Data'!L:L, "&lt;=" &amp; ($Q$2 - 7),
               'Unit-Level Data'!G:G, 0,
               'Unit-Level Data'!B:B, B26),0)</f>
        <v>0</v>
      </c>
      <c r="K26" s="670">
        <f ca="true">COUNTIFS('Unit-Level Data'!K:K, "&gt;=" &amp; ($Q$2 - 7),
          'Unit-Level Data'!K:K, "&lt;" &amp; $Q$2,
          'Unit-Level Data'!G:G, 0,
          'Unit-Level Data'!B:B, B26)</f>
        <v>0</v>
      </c>
      <c r="L26" s="639">
        <f ca="true">
COUNTIFS(
    'Unit-Level Data'!K:K, "&gt;=" &amp; ($Q$2 - 7),
    'Unit-Level Data'!K:K, "&lt;" &amp; $Q$2,
    'Unit-Level Data'!G:G, 0,
    'Unit-Level Data'!B:B, B26
)
-
COUNTIFS(
    'Unit-Level Data'!K:K, "&gt;=" &amp; ($Q$2 - 14),
    'Unit-Level Data'!K:K, "&lt;=" &amp; ($Q$2 - 7),
    'Unit-Level Data'!G:G, 0,
    'Unit-Level Data'!B:B, B26
)</f>
        <v>0</v>
      </c>
      <c r="M26" s="680" t="str">
        <f ca="true">IFERROR(AVERAGEIFS('Unit-Level Data'!O:O,'Unit-Level Data'!K:K,"&gt;="&amp;($Q$2-7),
'Unit-Level Data'!K:K,"&lt;="&amp;$Q$2,
'Unit-Level Data'!G:G,0,
'Unit-Level Data'!B:B,B26),"")</f>
      </c>
      <c r="N26" s="693">
        <f ca="true">COUNTIFS('Unit-Level Data'!B:B, B26,
          'Unit-Level Data'!G:G, 0,
          'Unit-Level Data'!L:L, "")</f>
        <v>0</v>
      </c>
      <c r="O26" s="639">
        <f ca="true">N26-(N26-K26+F26)</f>
        <v>0</v>
      </c>
      <c r="P26" s="680" t="str">
        <f ca="true">IFERROR(AVERAGEIFS('Unit-Level Data'!O:O,'Unit-Level Data'!B:B, B26,
          'Unit-Level Data'!G:G, 0,
          'Unit-Level Data'!L:L, ""),"")</f>
      </c>
      <c r="Q26" s="687" t="str">
        <f ca="true">IFERROR(N26/SUMIFS('Unit Mix'!G:G,'Unit Mix'!D:D,0,'Unit Mix'!B:B,B26),"")</f>
      </c>
    </row>
    <row r="27" spans="2:20">
      <c r="B27" s="612" t="str">
        <f ca="true">IF(ISBLANK(OFFSET('Rent Comps'!$A$1,8,2)),"",OFFSET('Rent Comps'!$A$1,8,2))</f>
      </c>
      <c r="C27" s="776"/>
      <c r="D27" s="653"/>
      <c r="E27" s="661" t="s">
        <v>1038</v>
      </c>
      <c r="F27" s="672">
        <f ca="true">COUNTIFS('Unit-Level Data'!L:L, "&gt;=" &amp; ($Q$2 - 7),
          'Unit-Level Data'!L:L, "&lt;" &amp; $Q$2,
          'Unit-Level Data'!G:G, 1,
          'Unit-Level Data'!B:B, B26)</f>
        <v>0</v>
      </c>
      <c r="G27" s="642">
        <f ca="true">COUNTIFS('Unit-Level Data'!L:L, "&gt;=" &amp; ($Q$2 - 7),
          'Unit-Level Data'!L:L, "&lt;" &amp; $Q$2,
          'Unit-Level Data'!G:G, 1,
          'Unit-Level Data'!B:B, B26)
-
COUNTIFS('Unit-Level Data'!L:L, "&gt;=" &amp; ($Q$2 - 14),
         'Unit-Level Data'!L:L, "&lt;=" &amp; ($Q$2 - 7),
         'Unit-Level Data'!G:G, 1,
         'Unit-Level Data'!B:B, B26)</f>
        <v>0</v>
      </c>
      <c r="H27" s="640" t="str">
        <f ca="true">IFERROR(AVERAGEIFS('Unit-Level Data'!O:O,'Unit-Level Data'!L:L, "&gt;=" &amp; ($Q$2 - 7),
          'Unit-Level Data'!L:L, "&lt;" &amp; $Q$2,
          'Unit-Level Data'!G:G, 1,
          'Unit-Level Data'!B:B, B26),"")</f>
      </c>
      <c r="I27" s="641">
        <f ca="true">IFERROR(
    AVERAGEIFS('Unit-Level Data'!O:O,
               'Unit-Level Data'!L:L, "&gt;=" &amp; ($Q$2 - 7),
               'Unit-Level Data'!L:L, "&lt;" &amp; $Q$2,
               'Unit-Level Data'!G:G, 1,
               'Unit-Level Data'!B:B, B26)
    -
    AVERAGEIFS('Unit-Level Data'!O:O,
               'Unit-Level Data'!L:L, "&gt;=" &amp; ($Q$2 - 14),
               'Unit-Level Data'!L:L, "&lt;=" &amp; ($Q$2 - 7),
               'Unit-Level Data'!G:G, 1,
               'Unit-Level Data'!B:B, B26),
0)</f>
        <v>0</v>
      </c>
      <c r="J27" s="673">
        <f ca="true">IFERROR(I27/AVERAGEIFS('Unit-Level Data'!O:O,
               'Unit-Level Data'!L:L, "&gt;=" &amp; ($Q$2 - 14),
               'Unit-Level Data'!L:L, "&lt;=" &amp; ($Q$2 - 7),
               'Unit-Level Data'!G:G, 1,
               'Unit-Level Data'!B:B, B26),0)</f>
        <v>0</v>
      </c>
      <c r="K27" s="672">
        <f ca="true">COUNTIFS('Unit-Level Data'!K:K, "&gt;=" &amp; ($Q$2 - 7),
          'Unit-Level Data'!K:K, "&lt;" &amp; $Q$2,
          'Unit-Level Data'!G:G, 1,
          'Unit-Level Data'!B:B, B26)</f>
        <v>0</v>
      </c>
      <c r="L27" s="642">
        <f ca="true">
COUNTIFS(
    'Unit-Level Data'!K:K, "&gt;=" &amp; ($Q$2 - 7),
    'Unit-Level Data'!K:K, "&lt;" &amp; $Q$2,
    'Unit-Level Data'!G:G, 1,
    'Unit-Level Data'!B:B, B26
)
-
COUNTIFS(
    'Unit-Level Data'!K:K, "&gt;=" &amp; ($Q$2 - 14),
    'Unit-Level Data'!K:K, "&lt;=" &amp; ($Q$2 - 7),
    'Unit-Level Data'!G:G, 1,
    'Unit-Level Data'!B:B, B26
)</f>
        <v>0</v>
      </c>
      <c r="M27" s="681" t="str">
        <f ca="true">IFERROR(AVERAGEIFS('Unit-Level Data'!O:O,'Unit-Level Data'!K:K,"&gt;="&amp;($Q$2-7),
'Unit-Level Data'!K:K,"&lt;="&amp;$Q$2,
'Unit-Level Data'!G:G,1,
'Unit-Level Data'!B:B,B26),"")</f>
      </c>
      <c r="N27" s="694">
        <f ca="true">COUNTIFS('Unit-Level Data'!B:B, B26,
          'Unit-Level Data'!G:G, 1,
          'Unit-Level Data'!L:L, "")</f>
        <v>0</v>
      </c>
      <c r="O27" s="642">
        <f t="shared" ref="O27:O29" ca="true" si="5">N27-(N27-K27+F27)</f>
        <v>0</v>
      </c>
      <c r="P27" s="681" t="str">
        <f ca="true">IFERROR(AVERAGEIFS('Unit-Level Data'!O:O,'Unit-Level Data'!B:B, B26,
          'Unit-Level Data'!G:G, 1,
          'Unit-Level Data'!L:L, ""),"")</f>
      </c>
      <c r="Q27" s="688" t="str">
        <f ca="true">IFERROR(N27/SUMIFS('Unit Mix'!G:G,'Unit Mix'!D:D,1,'Unit Mix'!B:B,B26),"")</f>
      </c>
    </row>
    <row r="28" spans="2:20">
      <c r="B28" s="612" t="str">
        <f ca="true">IF(ISBLANK(OFFSET('Rent Comparison'!$A$1,2,10)),"",OFFSET('Rent Comparison'!$A$1,2,10))</f>
      </c>
      <c r="C28" s="776"/>
      <c r="D28" s="653"/>
      <c r="E28" s="661" t="s">
        <v>1039</v>
      </c>
      <c r="F28" s="672">
        <f ca="true">COUNTIFS('Unit-Level Data'!L:L, "&gt;=" &amp; ($Q$2 - 7),
          'Unit-Level Data'!L:L, "&lt;" &amp; $Q$2,
          'Unit-Level Data'!G:G, 2,
          'Unit-Level Data'!B:B, B26)</f>
        <v>0</v>
      </c>
      <c r="G28" s="642">
        <f ca="true">COUNTIFS('Unit-Level Data'!L:L, "&gt;=" &amp; ($Q$2 - 7),
          'Unit-Level Data'!L:L, "&lt;" &amp; $Q$2,
          'Unit-Level Data'!G:G, 2,
          'Unit-Level Data'!B:B, B26)
-
COUNTIFS('Unit-Level Data'!L:L, "&gt;=" &amp; ($Q$2 - 14),
         'Unit-Level Data'!L:L, "&lt;=" &amp; ($Q$2 - 7),
         'Unit-Level Data'!G:G, 2,
         'Unit-Level Data'!B:B, B26)</f>
        <v>0</v>
      </c>
      <c r="H28" s="640" t="str">
        <f ca="true">IFERROR(AVERAGEIFS('Unit-Level Data'!O:O,'Unit-Level Data'!L:L, "&gt;=" &amp; ($Q$2 - 7),
          'Unit-Level Data'!L:L, "&lt;" &amp; $Q$2,
          'Unit-Level Data'!G:G, 2,
          'Unit-Level Data'!B:B, B26),"")</f>
      </c>
      <c r="I28" s="641">
        <f ca="true">IFERROR(
    AVERAGEIFS('Unit-Level Data'!O:O,
               'Unit-Level Data'!L:L, "&gt;=" &amp; ($Q$2 - 7),
               'Unit-Level Data'!L:L, "&lt;" &amp; $Q$2,
               'Unit-Level Data'!G:G, 2,
               'Unit-Level Data'!B:B, B26)
    -
    AVERAGEIFS('Unit-Level Data'!O:O,
               'Unit-Level Data'!L:L, "&gt;=" &amp; ($Q$2 - 14),
               'Unit-Level Data'!L:L, "&lt;=" &amp; ($Q$2 - 7),
               'Unit-Level Data'!G:G, 2,
               'Unit-Level Data'!B:B, B26),
0)</f>
        <v>0</v>
      </c>
      <c r="J28" s="673">
        <f ca="true">IFERROR(I28/AVERAGEIFS('Unit-Level Data'!O:O,
               'Unit-Level Data'!L:L, "&gt;=" &amp; ($Q$2 - 14),
               'Unit-Level Data'!L:L, "&lt;=" &amp; ($Q$2 - 7),
               'Unit-Level Data'!G:G, 2,
               'Unit-Level Data'!B:B, B26),0)</f>
        <v>0</v>
      </c>
      <c r="K28" s="672">
        <f ca="true">COUNTIFS('Unit-Level Data'!K:K, "&gt;=" &amp; ($Q$2 - 7),
          'Unit-Level Data'!K:K, "&lt;" &amp; $Q$2,
          'Unit-Level Data'!G:G, 2,
          'Unit-Level Data'!B:B, B26)</f>
        <v>0</v>
      </c>
      <c r="L28" s="642">
        <f ca="true">
COUNTIFS(
    'Unit-Level Data'!K:K, "&gt;=" &amp; ($Q$2 - 7),
    'Unit-Level Data'!K:K, "&lt;" &amp; $Q$2,
    'Unit-Level Data'!G:G, 2,
    'Unit-Level Data'!B:B, B26
)
-
COUNTIFS(
    'Unit-Level Data'!K:K, "&gt;=" &amp; ($Q$2 - 14),
    'Unit-Level Data'!K:K, "&lt;=" &amp; ($Q$2 - 7),
    'Unit-Level Data'!G:G, 2,
    'Unit-Level Data'!B:B, B26
)</f>
        <v>0</v>
      </c>
      <c r="M28" s="681" t="str">
        <f ca="true">IFERROR(AVERAGEIFS('Unit-Level Data'!O:O,'Unit-Level Data'!K:K,"&gt;="&amp;($Q$2-7),
'Unit-Level Data'!K:K,"&lt;="&amp;$Q$2,
'Unit-Level Data'!G:G,2,
'Unit-Level Data'!B:B,B26),"")</f>
      </c>
      <c r="N28" s="694">
        <f ca="true">COUNTIFS('Unit-Level Data'!B:B, B26,
          'Unit-Level Data'!G:G, 2,
          'Unit-Level Data'!L:L, "")</f>
        <v>0</v>
      </c>
      <c r="O28" s="642">
        <f t="shared" ca="true" si="5"/>
        <v>0</v>
      </c>
      <c r="P28" s="681" t="str">
        <f ca="true">IFERROR(AVERAGEIFS('Unit-Level Data'!O:O,'Unit-Level Data'!B:B, B26,
          'Unit-Level Data'!G:G, 2,
          'Unit-Level Data'!L:L, ""),"")</f>
      </c>
      <c r="Q28" s="688" t="str">
        <f ca="true">IFERROR(N28/SUMIFS('Unit Mix'!G:G,'Unit Mix'!D:D,2,'Unit Mix'!B:B,B26),"")</f>
      </c>
    </row>
    <row r="29" spans="2:20" ht="15" thickBot="true">
      <c r="B29" s="656" t="str">
        <f ca="true">IF(ISBLANK(OFFSET('Rent Comparison'!$A$1,3,10)),"",OFFSET('Rent Comparison'!$A$1,3,10))</f>
      </c>
      <c r="C29" s="777"/>
      <c r="D29" s="654"/>
      <c r="E29" s="662" t="s">
        <v>1040</v>
      </c>
      <c r="F29" s="674">
        <f ca="true">COUNTIFS('Unit-Level Data'!L:L, "&gt;=" &amp; ($Q$2 - 7),
          'Unit-Level Data'!L:L, "&lt;" &amp; $Q$2,
          'Unit-Level Data'!G:G, 3,
          'Unit-Level Data'!B:B, B26)</f>
        <v>0</v>
      </c>
      <c r="G29" s="645">
        <f ca="true">COUNTIFS('Unit-Level Data'!L:L, "&gt;=" &amp; ($Q$2 - 7),
          'Unit-Level Data'!L:L, "&lt;" &amp; $Q$2,
          'Unit-Level Data'!G:G, 3,
          'Unit-Level Data'!B:B, B26)
-
COUNTIFS('Unit-Level Data'!L:L, "&gt;=" &amp; ($Q$2 - 14),
         'Unit-Level Data'!L:L, "&lt;=" &amp; ($Q$2 - 7),
         'Unit-Level Data'!G:G, 3,
         'Unit-Level Data'!B:B, B26)</f>
        <v>0</v>
      </c>
      <c r="H29" s="643" t="str">
        <f ca="true">IFERROR(AVERAGEIFS('Unit-Level Data'!O:O,'Unit-Level Data'!L:L, "&gt;=" &amp; ($Q$2 - 7),
          'Unit-Level Data'!L:L, "&lt;" &amp; $Q$2,
          'Unit-Level Data'!G:G, 3,
          'Unit-Level Data'!B:B, B26),"")</f>
      </c>
      <c r="I29" s="644">
        <f ca="true">IFERROR(
    AVERAGEIFS('Unit-Level Data'!O:O,
               'Unit-Level Data'!L:L, "&gt;=" &amp; ($Q$2 - 7),
               'Unit-Level Data'!L:L, "&lt;" &amp; $Q$2,
               'Unit-Level Data'!G:G, 3,
               'Unit-Level Data'!B:B, B26)
    -
    AVERAGEIFS('Unit-Level Data'!O:O,
               'Unit-Level Data'!L:L, "&gt;=" &amp; ($Q$2 - 14),
               'Unit-Level Data'!L:L, "&lt;=" &amp; ($Q$2 - 7),
               'Unit-Level Data'!G:G, 3,
               'Unit-Level Data'!B:B, B26),
0)</f>
        <v>0</v>
      </c>
      <c r="J29" s="675">
        <f ca="true">IFERROR(I29/AVERAGEIFS('Unit-Level Data'!O:O,
               'Unit-Level Data'!L:L, "&gt;=" &amp; ($Q$2 - 14),
               'Unit-Level Data'!L:L, "&lt;=" &amp; ($Q$2 - 7),
               'Unit-Level Data'!G:G, 3,
               'Unit-Level Data'!B:B, B26),0)</f>
        <v>0</v>
      </c>
      <c r="K29" s="674">
        <f ca="true">COUNTIFS('Unit-Level Data'!K:K, "&gt;=" &amp; ($Q$2 - 7),
          'Unit-Level Data'!K:K, "&lt;" &amp; $Q$2,
          'Unit-Level Data'!G:G, 3,
          'Unit-Level Data'!B:B, B26)</f>
        <v>0</v>
      </c>
      <c r="L29" s="645">
        <f ca="true">
COUNTIFS(
    'Unit-Level Data'!K:K, "&gt;=" &amp; ($Q$2 - 7),
    'Unit-Level Data'!K:K, "&lt;" &amp; $Q$2,
    'Unit-Level Data'!G:G, 3,
    'Unit-Level Data'!B:B, B26
)
-
COUNTIFS(
    'Unit-Level Data'!K:K, "&gt;=" &amp; ($Q$2 - 14),
    'Unit-Level Data'!K:K, "&lt;=" &amp; ($Q$2 - 7),
    'Unit-Level Data'!G:G, 3,
    'Unit-Level Data'!B:B, B26
)</f>
        <v>0</v>
      </c>
      <c r="M29" s="682" t="str">
        <f ca="true">IFERROR(AVERAGEIFS('Unit-Level Data'!O:O,'Unit-Level Data'!K:K,"&gt;="&amp;($Q$2-7),
'Unit-Level Data'!K:K,"&lt;="&amp;$Q$2,
'Unit-Level Data'!G:G,3,
'Unit-Level Data'!B:B,B26),"")</f>
      </c>
      <c r="N29" s="695">
        <f ca="true">COUNTIFS('Unit-Level Data'!B:B, B26,
          'Unit-Level Data'!G:G, 3,
          'Unit-Level Data'!L:L, "")</f>
        <v>0</v>
      </c>
      <c r="O29" s="645">
        <f t="shared" ca="true" si="5"/>
        <v>0</v>
      </c>
      <c r="P29" s="682" t="str">
        <f ca="true">IFERROR(AVERAGEIFS('Unit-Level Data'!O:O,'Unit-Level Data'!B:B, B26,
          'Unit-Level Data'!G:G, 3,
          'Unit-Level Data'!L:L, ""),"")</f>
      </c>
      <c r="Q29" s="689" t="str">
        <f ca="true">IFERROR(N29/SUMIFS('Unit Mix'!G:G,'Unit Mix'!D:D,3,'Unit Mix'!B:B,B26),"")</f>
      </c>
    </row>
    <row r="30" spans="2:20">
      <c r="B30" s="636" t="str">
        <f ca="true">IF(ISBLANK(OFFSET('Rent Comparison'!$A$1,1,11)),"",OFFSET('Rent Comparison'!$A$1,1,11))</f>
      </c>
      <c r="C30" s="775" t="str">
        <f ca="true">IF(ISBLANK(B30),"",IFERROR(INDEX(Specials!B:J,MATCH(B30&amp;" - Active",Specials!I:I,0),2),""))</f>
      </c>
      <c r="D30" s="652"/>
      <c r="E30" s="660" t="s">
        <v>13</v>
      </c>
      <c r="F30" s="670">
        <f ca="true">COUNTIFS('Unit-Level Data'!L:L, "&gt;=" &amp; ($Q$2 - 7),
          'Unit-Level Data'!L:L, "&lt;" &amp; $Q$2,
          'Unit-Level Data'!G:G, 0,
          'Unit-Level Data'!B:B, B30)</f>
        <v>0</v>
      </c>
      <c r="G30" s="639">
        <f ca="true">COUNTIFS('Unit-Level Data'!L:L, "&gt;=" &amp; ($Q$2 - 7),
          'Unit-Level Data'!L:L, "&lt;" &amp; $Q$2,
          'Unit-Level Data'!G:G, 0,
          'Unit-Level Data'!B:B, B30)
-
COUNTIFS('Unit-Level Data'!L:L, "&gt;=" &amp; ($Q$2 - 14),
         'Unit-Level Data'!L:L, "&lt;=" &amp; ($Q$2 - 7),
         'Unit-Level Data'!G:G, 0,
         'Unit-Level Data'!B:B, B30)</f>
        <v>0</v>
      </c>
      <c r="H30" s="637" t="str">
        <f ca="true">IFERROR(AVERAGEIFS('Unit-Level Data'!O:O,'Unit-Level Data'!L:L, "&gt;=" &amp; ($Q$2 - 7),
          'Unit-Level Data'!L:L, "&lt;" &amp; $Q$2,
          'Unit-Level Data'!G:G, 0,
          'Unit-Level Data'!B:B, B30),"")</f>
      </c>
      <c r="I30" s="638">
        <f ca="true">IFERROR(
    AVERAGEIFS('Unit-Level Data'!O:O,
               'Unit-Level Data'!L:L, "&gt;=" &amp; ($Q$2 - 7),
               'Unit-Level Data'!L:L, "&lt;" &amp; $Q$2,
               'Unit-Level Data'!G:G, 0,
               'Unit-Level Data'!B:B, B30)
    -
    AVERAGEIFS('Unit-Level Data'!O:O,
               'Unit-Level Data'!L:L, "&gt;=" &amp; ($Q$2 - 14),
               'Unit-Level Data'!L:L, "&lt;=" &amp; ($Q$2 - 7),
               'Unit-Level Data'!G:G, 0,
               'Unit-Level Data'!B:B, B30),
0)</f>
        <v>0</v>
      </c>
      <c r="J30" s="671">
        <f ca="true">IFERROR(I30/AVERAGEIFS('Unit-Level Data'!O:O,
               'Unit-Level Data'!L:L, "&gt;=" &amp; ($Q$2 - 14),
               'Unit-Level Data'!L:L, "&lt;=" &amp; ($Q$2 - 7),
               'Unit-Level Data'!G:G, 0,
               'Unit-Level Data'!B:B, B30),0)</f>
        <v>0</v>
      </c>
      <c r="K30" s="670">
        <f ca="true">COUNTIFS('Unit-Level Data'!K:K, "&gt;=" &amp; ($Q$2 - 7),
          'Unit-Level Data'!K:K, "&lt;" &amp; $Q$2,
          'Unit-Level Data'!G:G, 0,
          'Unit-Level Data'!B:B, B30)</f>
        <v>0</v>
      </c>
      <c r="L30" s="639">
        <f ca="true">
COUNTIFS(
    'Unit-Level Data'!K:K, "&gt;=" &amp; ($Q$2 - 7),
    'Unit-Level Data'!K:K, "&lt;" &amp; $Q$2,
    'Unit-Level Data'!G:G, 0,
    'Unit-Level Data'!B:B, B30
)
-
COUNTIFS(
    'Unit-Level Data'!K:K, "&gt;=" &amp; ($Q$2 - 14),
    'Unit-Level Data'!K:K, "&lt;=" &amp; ($Q$2 - 7),
    'Unit-Level Data'!G:G, 0,
    'Unit-Level Data'!B:B, B30
)</f>
        <v>0</v>
      </c>
      <c r="M30" s="680" t="str">
        <f ca="true">IFERROR(AVERAGEIFS('Unit-Level Data'!O:O,'Unit-Level Data'!K:K,"&gt;="&amp;($Q$2-7),
'Unit-Level Data'!K:K,"&lt;="&amp;$Q$2,
'Unit-Level Data'!G:G,0,
'Unit-Level Data'!B:B,B30),"")</f>
      </c>
      <c r="N30" s="693">
        <f ca="true">COUNTIFS('Unit-Level Data'!B:B, B30,
          'Unit-Level Data'!G:G, 0,
          'Unit-Level Data'!L:L, "")</f>
        <v>0</v>
      </c>
      <c r="O30" s="639">
        <f ca="true">N30-(N30-K30+F30)</f>
        <v>0</v>
      </c>
      <c r="P30" s="680" t="str">
        <f ca="true">IFERROR(AVERAGEIFS('Unit-Level Data'!O:O,'Unit-Level Data'!B:B, B30,
          'Unit-Level Data'!G:G, 0,
          'Unit-Level Data'!L:L, ""),"")</f>
      </c>
      <c r="Q30" s="687" t="str">
        <f ca="true">IFERROR(N30/SUMIFS('Unit Mix'!G:G,'Unit Mix'!D:D,0,'Unit Mix'!B:B,B30),"")</f>
      </c>
    </row>
    <row r="31" spans="2:20">
      <c r="B31" s="612" t="str">
        <f ca="true">IF(ISBLANK(OFFSET('Rent Comps'!$A$1,9,2)),"",OFFSET('Rent Comps'!$A$1,9,2))</f>
      </c>
      <c r="C31" s="776"/>
      <c r="D31" s="653"/>
      <c r="E31" s="661" t="s">
        <v>1038</v>
      </c>
      <c r="F31" s="672">
        <f ca="true">COUNTIFS('Unit-Level Data'!L:L, "&gt;=" &amp; ($Q$2 - 7),
          'Unit-Level Data'!L:L, "&lt;" &amp; $Q$2,
          'Unit-Level Data'!G:G, 1,
          'Unit-Level Data'!B:B, B30)</f>
        <v>0</v>
      </c>
      <c r="G31" s="642">
        <f ca="true">COUNTIFS('Unit-Level Data'!L:L, "&gt;=" &amp; ($Q$2 - 7),
          'Unit-Level Data'!L:L, "&lt;" &amp; $Q$2,
          'Unit-Level Data'!G:G, 1,
          'Unit-Level Data'!B:B, B30)
-
COUNTIFS('Unit-Level Data'!L:L, "&gt;=" &amp; ($Q$2 - 14),
         'Unit-Level Data'!L:L, "&lt;=" &amp; ($Q$2 - 7),
         'Unit-Level Data'!G:G, 1,
         'Unit-Level Data'!B:B, B30)</f>
        <v>0</v>
      </c>
      <c r="H31" s="640" t="str">
        <f ca="true">IFERROR(AVERAGEIFS('Unit-Level Data'!O:O,'Unit-Level Data'!L:L, "&gt;=" &amp; ($Q$2 - 7),
          'Unit-Level Data'!L:L, "&lt;" &amp; $Q$2,
          'Unit-Level Data'!G:G, 1,
          'Unit-Level Data'!B:B, B30),"")</f>
      </c>
      <c r="I31" s="641">
        <f ca="true">IFERROR(
    AVERAGEIFS('Unit-Level Data'!O:O,
               'Unit-Level Data'!L:L, "&gt;=" &amp; ($Q$2 - 7),
               'Unit-Level Data'!L:L, "&lt;" &amp; $Q$2,
               'Unit-Level Data'!G:G, 1,
               'Unit-Level Data'!B:B, B30)
    -
    AVERAGEIFS('Unit-Level Data'!O:O,
               'Unit-Level Data'!L:L, "&gt;=" &amp; ($Q$2 - 14),
               'Unit-Level Data'!L:L, "&lt;=" &amp; ($Q$2 - 7),
               'Unit-Level Data'!G:G, 1,
               'Unit-Level Data'!B:B, B30),
0)</f>
        <v>0</v>
      </c>
      <c r="J31" s="673">
        <f ca="true">IFERROR(I31/AVERAGEIFS('Unit-Level Data'!O:O,
               'Unit-Level Data'!L:L, "&gt;=" &amp; ($Q$2 - 14),
               'Unit-Level Data'!L:L, "&lt;=" &amp; ($Q$2 - 7),
               'Unit-Level Data'!G:G, 1,
               'Unit-Level Data'!B:B, B30),0)</f>
        <v>0</v>
      </c>
      <c r="K31" s="672">
        <f ca="true">COUNTIFS('Unit-Level Data'!K:K, "&gt;=" &amp; ($Q$2 - 7),
          'Unit-Level Data'!K:K, "&lt;" &amp; $Q$2,
          'Unit-Level Data'!G:G, 1,
          'Unit-Level Data'!B:B, B30)</f>
        <v>0</v>
      </c>
      <c r="L31" s="642">
        <f ca="true">
COUNTIFS(
    'Unit-Level Data'!K:K, "&gt;=" &amp; ($Q$2 - 7),
    'Unit-Level Data'!K:K, "&lt;" &amp; $Q$2,
    'Unit-Level Data'!G:G, 1,
    'Unit-Level Data'!B:B, B30
)
-
COUNTIFS(
    'Unit-Level Data'!K:K, "&gt;=" &amp; ($Q$2 - 14),
    'Unit-Level Data'!K:K, "&lt;=" &amp; ($Q$2 - 7),
    'Unit-Level Data'!G:G, 1,
    'Unit-Level Data'!B:B, B30
)</f>
        <v>0</v>
      </c>
      <c r="M31" s="681" t="str">
        <f ca="true">IFERROR(AVERAGEIFS('Unit-Level Data'!O:O,'Unit-Level Data'!K:K,"&gt;="&amp;($Q$2-7),
'Unit-Level Data'!K:K,"&lt;="&amp;$Q$2,
'Unit-Level Data'!G:G,1,
'Unit-Level Data'!B:B,B30),"")</f>
      </c>
      <c r="N31" s="694">
        <f ca="true">COUNTIFS('Unit-Level Data'!B:B, B30,
          'Unit-Level Data'!G:G, 1,
          'Unit-Level Data'!L:L, "")</f>
        <v>0</v>
      </c>
      <c r="O31" s="642">
        <f t="shared" ref="O31:O33" ca="true" si="6">N31-(N31-K31+F31)</f>
        <v>0</v>
      </c>
      <c r="P31" s="681" t="str">
        <f ca="true">IFERROR(AVERAGEIFS('Unit-Level Data'!O:O,'Unit-Level Data'!B:B, B30,
          'Unit-Level Data'!G:G, 1,
          'Unit-Level Data'!L:L, ""),"")</f>
      </c>
      <c r="Q31" s="688" t="str">
        <f ca="true">IFERROR(N31/SUMIFS('Unit Mix'!G:G,'Unit Mix'!D:D,1,'Unit Mix'!B:B,B30),"")</f>
      </c>
    </row>
    <row r="32" spans="2:20">
      <c r="B32" s="612" t="str">
        <f ca="true">IF(ISBLANK(OFFSET('Rent Comparison'!$A$1,2,11)),"",OFFSET('Rent Comparison'!$A$1,2,11))</f>
      </c>
      <c r="C32" s="776"/>
      <c r="D32" s="653"/>
      <c r="E32" s="661" t="s">
        <v>1039</v>
      </c>
      <c r="F32" s="672">
        <f ca="true">COUNTIFS('Unit-Level Data'!L:L, "&gt;=" &amp; ($Q$2 - 7),
          'Unit-Level Data'!L:L, "&lt;" &amp; $Q$2,
          'Unit-Level Data'!G:G, 2,
          'Unit-Level Data'!B:B, B30)</f>
        <v>0</v>
      </c>
      <c r="G32" s="642">
        <f ca="true">COUNTIFS('Unit-Level Data'!L:L, "&gt;=" &amp; ($Q$2 - 7),
          'Unit-Level Data'!L:L, "&lt;" &amp; $Q$2,
          'Unit-Level Data'!G:G, 2,
          'Unit-Level Data'!B:B, B30)
-
COUNTIFS('Unit-Level Data'!L:L, "&gt;=" &amp; ($Q$2 - 14),
         'Unit-Level Data'!L:L, "&lt;=" &amp; ($Q$2 - 7),
         'Unit-Level Data'!G:G, 2,
         'Unit-Level Data'!B:B, B30)</f>
        <v>0</v>
      </c>
      <c r="H32" s="640" t="str">
        <f ca="true">IFERROR(AVERAGEIFS('Unit-Level Data'!O:O,'Unit-Level Data'!L:L, "&gt;=" &amp; ($Q$2 - 7),
          'Unit-Level Data'!L:L, "&lt;" &amp; $Q$2,
          'Unit-Level Data'!G:G, 2,
          'Unit-Level Data'!B:B, B30),"")</f>
      </c>
      <c r="I32" s="641">
        <f ca="true">IFERROR(
    AVERAGEIFS('Unit-Level Data'!O:O,
               'Unit-Level Data'!L:L, "&gt;=" &amp; ($Q$2 - 7),
               'Unit-Level Data'!L:L, "&lt;" &amp; $Q$2,
               'Unit-Level Data'!G:G, 2,
               'Unit-Level Data'!B:B, B30)
    -
    AVERAGEIFS('Unit-Level Data'!O:O,
               'Unit-Level Data'!L:L, "&gt;=" &amp; ($Q$2 - 14),
               'Unit-Level Data'!L:L, "&lt;=" &amp; ($Q$2 - 7),
               'Unit-Level Data'!G:G, 2,
               'Unit-Level Data'!B:B, B30),
0)</f>
        <v>0</v>
      </c>
      <c r="J32" s="673">
        <f ca="true">IFERROR(I32/AVERAGEIFS('Unit-Level Data'!O:O,
               'Unit-Level Data'!L:L, "&gt;=" &amp; ($Q$2 - 14),
               'Unit-Level Data'!L:L, "&lt;=" &amp; ($Q$2 - 7),
               'Unit-Level Data'!G:G, 2,
               'Unit-Level Data'!B:B, B30),0)</f>
        <v>0</v>
      </c>
      <c r="K32" s="672">
        <f ca="true">COUNTIFS('Unit-Level Data'!K:K, "&gt;=" &amp; ($Q$2 - 7),
          'Unit-Level Data'!K:K, "&lt;" &amp; $Q$2,
          'Unit-Level Data'!G:G, 2,
          'Unit-Level Data'!B:B, B30)</f>
        <v>0</v>
      </c>
      <c r="L32" s="642">
        <f ca="true">
COUNTIFS(
    'Unit-Level Data'!K:K, "&gt;=" &amp; ($Q$2 - 7),
    'Unit-Level Data'!K:K, "&lt;" &amp; $Q$2,
    'Unit-Level Data'!G:G, 2,
    'Unit-Level Data'!B:B, B30
)
-
COUNTIFS(
    'Unit-Level Data'!K:K, "&gt;=" &amp; ($Q$2 - 14),
    'Unit-Level Data'!K:K, "&lt;=" &amp; ($Q$2 - 7),
    'Unit-Level Data'!G:G, 2,
    'Unit-Level Data'!B:B, B30
)</f>
        <v>0</v>
      </c>
      <c r="M32" s="681" t="str">
        <f ca="true">IFERROR(AVERAGEIFS('Unit-Level Data'!O:O,'Unit-Level Data'!K:K,"&gt;="&amp;($Q$2-7),
'Unit-Level Data'!K:K,"&lt;="&amp;$Q$2,
'Unit-Level Data'!G:G,2,
'Unit-Level Data'!B:B,B30),"")</f>
      </c>
      <c r="N32" s="694">
        <f ca="true">COUNTIFS('Unit-Level Data'!B:B, B30,
          'Unit-Level Data'!G:G, 2,
          'Unit-Level Data'!L:L, "")</f>
        <v>0</v>
      </c>
      <c r="O32" s="642">
        <f t="shared" ca="true" si="6"/>
        <v>0</v>
      </c>
      <c r="P32" s="681" t="str">
        <f ca="true">IFERROR(AVERAGEIFS('Unit-Level Data'!O:O,'Unit-Level Data'!B:B, B30,
          'Unit-Level Data'!G:G, 2,
          'Unit-Level Data'!L:L, ""),"")</f>
      </c>
      <c r="Q32" s="688" t="str">
        <f ca="true">IFERROR(N32/SUMIFS('Unit Mix'!G:G,'Unit Mix'!D:D,2,'Unit Mix'!B:B,B30),"")</f>
      </c>
    </row>
    <row r="33" spans="2:17" ht="15" thickBot="true">
      <c r="B33" s="656" t="str">
        <f ca="true">IF(ISBLANK(OFFSET('Rent Comparison'!$A$1,3,11)),"",OFFSET('Rent Comparison'!$A$1,3,11))</f>
      </c>
      <c r="C33" s="777"/>
      <c r="D33" s="654"/>
      <c r="E33" s="662" t="s">
        <v>1040</v>
      </c>
      <c r="F33" s="674">
        <f ca="true">COUNTIFS('Unit-Level Data'!L:L, "&gt;=" &amp; ($Q$2 - 7),
          'Unit-Level Data'!L:L, "&lt;" &amp; $Q$2,
          'Unit-Level Data'!G:G, 3,
          'Unit-Level Data'!B:B, B30)</f>
        <v>0</v>
      </c>
      <c r="G33" s="645">
        <f ca="true">COUNTIFS('Unit-Level Data'!L:L, "&gt;=" &amp; ($Q$2 - 7),
          'Unit-Level Data'!L:L, "&lt;" &amp; $Q$2,
          'Unit-Level Data'!G:G, 3,
          'Unit-Level Data'!B:B, B30)
-
COUNTIFS('Unit-Level Data'!L:L, "&gt;=" &amp; ($Q$2 - 14),
         'Unit-Level Data'!L:L, "&lt;=" &amp; ($Q$2 - 7),
         'Unit-Level Data'!G:G, 3,
         'Unit-Level Data'!B:B, B30)</f>
        <v>0</v>
      </c>
      <c r="H33" s="643" t="str">
        <f ca="true">IFERROR(AVERAGEIFS('Unit-Level Data'!O:O,'Unit-Level Data'!L:L, "&gt;=" &amp; ($Q$2 - 7),
          'Unit-Level Data'!L:L, "&lt;" &amp; $Q$2,
          'Unit-Level Data'!G:G, 3,
          'Unit-Level Data'!B:B, B30),"")</f>
      </c>
      <c r="I33" s="644">
        <f ca="true">IFERROR(
    AVERAGEIFS('Unit-Level Data'!O:O,
               'Unit-Level Data'!L:L, "&gt;=" &amp; ($Q$2 - 7),
               'Unit-Level Data'!L:L, "&lt;" &amp; $Q$2,
               'Unit-Level Data'!G:G, 3,
               'Unit-Level Data'!B:B, B30)
    -
    AVERAGEIFS('Unit-Level Data'!O:O,
               'Unit-Level Data'!L:L, "&gt;=" &amp; ($Q$2 - 14),
               'Unit-Level Data'!L:L, "&lt;=" &amp; ($Q$2 - 7),
               'Unit-Level Data'!G:G, 3,
               'Unit-Level Data'!B:B, B30),
0)</f>
        <v>0</v>
      </c>
      <c r="J33" s="675">
        <f ca="true">IFERROR(I33/AVERAGEIFS('Unit-Level Data'!O:O,
               'Unit-Level Data'!L:L, "&gt;=" &amp; ($Q$2 - 14),
               'Unit-Level Data'!L:L, "&lt;=" &amp; ($Q$2 - 7),
               'Unit-Level Data'!G:G, 3,
               'Unit-Level Data'!B:B, B30),0)</f>
        <v>0</v>
      </c>
      <c r="K33" s="674">
        <f ca="true">COUNTIFS('Unit-Level Data'!K:K, "&gt;=" &amp; ($Q$2 - 7),
          'Unit-Level Data'!K:K, "&lt;" &amp; $Q$2,
          'Unit-Level Data'!G:G, 3,
          'Unit-Level Data'!B:B, B30)</f>
        <v>0</v>
      </c>
      <c r="L33" s="645">
        <f ca="true">
COUNTIFS(
    'Unit-Level Data'!K:K, "&gt;=" &amp; ($Q$2 - 7),
    'Unit-Level Data'!K:K, "&lt;" &amp; $Q$2,
    'Unit-Level Data'!G:G, 3,
    'Unit-Level Data'!B:B, B30
)
-
COUNTIFS(
    'Unit-Level Data'!K:K, "&gt;=" &amp; ($Q$2 - 14),
    'Unit-Level Data'!K:K, "&lt;=" &amp; ($Q$2 - 7),
    'Unit-Level Data'!G:G, 3,
    'Unit-Level Data'!B:B, B30
)</f>
        <v>0</v>
      </c>
      <c r="M33" s="682" t="str">
        <f ca="true">IFERROR(AVERAGEIFS('Unit-Level Data'!O:O,'Unit-Level Data'!K:K,"&gt;="&amp;($Q$2-7),
'Unit-Level Data'!K:K,"&lt;="&amp;$Q$2,
'Unit-Level Data'!G:G,3,
'Unit-Level Data'!B:B,B30),"")</f>
      </c>
      <c r="N33" s="695">
        <f ca="true">COUNTIFS('Unit-Level Data'!B:B, B30,
          'Unit-Level Data'!G:G, 3,
          'Unit-Level Data'!L:L, "")</f>
        <v>0</v>
      </c>
      <c r="O33" s="645">
        <f t="shared" ca="true" si="6"/>
        <v>0</v>
      </c>
      <c r="P33" s="682" t="str">
        <f ca="true">IFERROR(AVERAGEIFS('Unit-Level Data'!O:O,'Unit-Level Data'!B:B, B30,
          'Unit-Level Data'!G:G, 3,
          'Unit-Level Data'!L:L, ""),"")</f>
      </c>
      <c r="Q33" s="689" t="str">
        <f ca="true">IFERROR(N33/SUMIFS('Unit Mix'!G:G,'Unit Mix'!D:D,3,'Unit Mix'!B:B,B30),"")</f>
      </c>
    </row>
    <row r="34" spans="2:17">
      <c r="B34" s="636" t="str">
        <f ca="true">IF(ISBLANK(OFFSET('Rent Comparison'!$A$1,1,12)),"",OFFSET('Rent Comparison'!$A$1,1,12))</f>
      </c>
      <c r="C34" s="775" t="str">
        <f ca="true">IF(ISBLANK(B34),"",IFERROR(INDEX(Specials!B:J,MATCH(B34&amp;" - Active",Specials!I:I,0),2),""))</f>
      </c>
      <c r="D34" s="652"/>
      <c r="E34" s="660" t="s">
        <v>13</v>
      </c>
      <c r="F34" s="670">
        <f ca="true">COUNTIFS('Unit-Level Data'!L:L, "&gt;=" &amp; ($Q$2 - 7),
          'Unit-Level Data'!L:L, "&lt;" &amp; $Q$2,
          'Unit-Level Data'!G:G, 0,
          'Unit-Level Data'!B:B, B34)</f>
        <v>0</v>
      </c>
      <c r="G34" s="639">
        <f ca="true">COUNTIFS('Unit-Level Data'!L:L, "&gt;=" &amp; ($Q$2 - 7),
          'Unit-Level Data'!L:L, "&lt;" &amp; $Q$2,
          'Unit-Level Data'!G:G, 0,
          'Unit-Level Data'!B:B, B34)
-
COUNTIFS('Unit-Level Data'!L:L, "&gt;=" &amp; ($Q$2 - 14),
         'Unit-Level Data'!L:L, "&lt;=" &amp; ($Q$2 - 7),
         'Unit-Level Data'!G:G, 0,
         'Unit-Level Data'!B:B, B34)</f>
        <v>0</v>
      </c>
      <c r="H34" s="637" t="str">
        <f ca="true">IFERROR(AVERAGEIFS('Unit-Level Data'!O:O,'Unit-Level Data'!L:L, "&gt;=" &amp; ($Q$2 - 7),
          'Unit-Level Data'!L:L, "&lt;" &amp; $Q$2,
          'Unit-Level Data'!G:G, 0,
          'Unit-Level Data'!B:B, B34),"")</f>
      </c>
      <c r="I34" s="638">
        <f ca="true">IFERROR(
    AVERAGEIFS('Unit-Level Data'!O:O,
               'Unit-Level Data'!L:L, "&gt;=" &amp; ($Q$2 - 7),
               'Unit-Level Data'!L:L, "&lt;" &amp; $Q$2,
               'Unit-Level Data'!G:G, 0,
               'Unit-Level Data'!B:B, B34)
    -
    AVERAGEIFS('Unit-Level Data'!O:O,
               'Unit-Level Data'!L:L, "&gt;=" &amp; ($Q$2 - 14),
               'Unit-Level Data'!L:L, "&lt;=" &amp; ($Q$2 - 7),
               'Unit-Level Data'!G:G, 0,
               'Unit-Level Data'!B:B, B34),
0)</f>
        <v>0</v>
      </c>
      <c r="J34" s="671">
        <f ca="true">IFERROR(I34/AVERAGEIFS('Unit-Level Data'!O:O,
               'Unit-Level Data'!L:L, "&gt;=" &amp; ($Q$2 - 14),
               'Unit-Level Data'!L:L, "&lt;=" &amp; ($Q$2 - 7),
               'Unit-Level Data'!G:G, 0,
               'Unit-Level Data'!B:B, B34),0)</f>
        <v>0</v>
      </c>
      <c r="K34" s="670">
        <f ca="true">COUNTIFS('Unit-Level Data'!K:K, "&gt;=" &amp; ($Q$2 - 7),
          'Unit-Level Data'!K:K, "&lt;" &amp; $Q$2,
          'Unit-Level Data'!G:G, 0,
          'Unit-Level Data'!B:B, B34)</f>
        <v>0</v>
      </c>
      <c r="L34" s="639">
        <f ca="true">
COUNTIFS(
    'Unit-Level Data'!K:K, "&gt;=" &amp; ($Q$2 - 7),
    'Unit-Level Data'!K:K, "&lt;" &amp; $Q$2,
    'Unit-Level Data'!G:G, 0,
    'Unit-Level Data'!B:B, B34
)
-
COUNTIFS(
    'Unit-Level Data'!K:K, "&gt;=" &amp; ($Q$2 - 14),
    'Unit-Level Data'!K:K, "&lt;=" &amp; ($Q$2 - 7),
    'Unit-Level Data'!G:G, 0,
    'Unit-Level Data'!B:B, B34
)</f>
        <v>0</v>
      </c>
      <c r="M34" s="680" t="str">
        <f ca="true">IFERROR(AVERAGEIFS('Unit-Level Data'!O:O,'Unit-Level Data'!K:K,"&gt;="&amp;($Q$2-7),
'Unit-Level Data'!K:K,"&lt;="&amp;$Q$2,
'Unit-Level Data'!G:G,0,
'Unit-Level Data'!B:B,B34),"")</f>
      </c>
      <c r="N34" s="693">
        <f ca="true">COUNTIFS('Unit-Level Data'!B:B, B34,
          'Unit-Level Data'!G:G, 0,
          'Unit-Level Data'!L:L, "")</f>
        <v>0</v>
      </c>
      <c r="O34" s="639">
        <f ca="true">N34-(N34-K34+F34)</f>
        <v>0</v>
      </c>
      <c r="P34" s="680" t="str">
        <f ca="true">IFERROR(AVERAGEIFS('Unit-Level Data'!O:O,'Unit-Level Data'!B:B, B34,
          'Unit-Level Data'!G:G, 0,
          'Unit-Level Data'!L:L, ""),"")</f>
      </c>
      <c r="Q34" s="687" t="str">
        <f ca="true">IFERROR(N34/SUMIFS('Unit Mix'!G:G,'Unit Mix'!D:D,0,'Unit Mix'!B:B,B34),"")</f>
      </c>
    </row>
    <row r="35" spans="2:17">
      <c r="B35" s="612" t="str">
        <f ca="true">IF(ISBLANK(OFFSET('Rent Comps'!$A$1,10,2)),"",OFFSET('Rent Comps'!$A$1,10,2))</f>
      </c>
      <c r="C35" s="776"/>
      <c r="D35" s="653"/>
      <c r="E35" s="661" t="s">
        <v>1038</v>
      </c>
      <c r="F35" s="672">
        <f ca="true">COUNTIFS('Unit-Level Data'!L:L, "&gt;=" &amp; ($Q$2 - 7),
          'Unit-Level Data'!L:L, "&lt;" &amp; $Q$2,
          'Unit-Level Data'!G:G, 1,
          'Unit-Level Data'!B:B, B34)</f>
        <v>0</v>
      </c>
      <c r="G35" s="642">
        <f ca="true">COUNTIFS('Unit-Level Data'!L:L, "&gt;=" &amp; ($Q$2 - 7),
          'Unit-Level Data'!L:L, "&lt;" &amp; $Q$2,
          'Unit-Level Data'!G:G, 1,
          'Unit-Level Data'!B:B, B34)
-
COUNTIFS('Unit-Level Data'!L:L, "&gt;=" &amp; ($Q$2 - 14),
         'Unit-Level Data'!L:L, "&lt;=" &amp; ($Q$2 - 7),
         'Unit-Level Data'!G:G, 1,
         'Unit-Level Data'!B:B, B34)</f>
        <v>0</v>
      </c>
      <c r="H35" s="640" t="str">
        <f ca="true">IFERROR(AVERAGEIFS('Unit-Level Data'!O:O,'Unit-Level Data'!L:L, "&gt;=" &amp; ($Q$2 - 7),
          'Unit-Level Data'!L:L, "&lt;" &amp; $Q$2,
          'Unit-Level Data'!G:G, 1,
          'Unit-Level Data'!B:B, B34),"")</f>
      </c>
      <c r="I35" s="641">
        <f ca="true">IFERROR(
    AVERAGEIFS('Unit-Level Data'!O:O,
               'Unit-Level Data'!L:L, "&gt;=" &amp; ($Q$2 - 7),
               'Unit-Level Data'!L:L, "&lt;" &amp; $Q$2,
               'Unit-Level Data'!G:G, 1,
               'Unit-Level Data'!B:B, B34)
    -
    AVERAGEIFS('Unit-Level Data'!O:O,
               'Unit-Level Data'!L:L, "&gt;=" &amp; ($Q$2 - 14),
               'Unit-Level Data'!L:L, "&lt;=" &amp; ($Q$2 - 7),
               'Unit-Level Data'!G:G, 1,
               'Unit-Level Data'!B:B, B34),
0)</f>
        <v>0</v>
      </c>
      <c r="J35" s="673">
        <f ca="true">IFERROR(I35/AVERAGEIFS('Unit-Level Data'!O:O,
               'Unit-Level Data'!L:L, "&gt;=" &amp; ($Q$2 - 14),
               'Unit-Level Data'!L:L, "&lt;=" &amp; ($Q$2 - 7),
               'Unit-Level Data'!G:G, 1,
               'Unit-Level Data'!B:B, B34),0)</f>
        <v>0</v>
      </c>
      <c r="K35" s="672">
        <f ca="true">COUNTIFS('Unit-Level Data'!K:K, "&gt;=" &amp; ($Q$2 - 7),
          'Unit-Level Data'!K:K, "&lt;" &amp; $Q$2,
          'Unit-Level Data'!G:G, 1,
          'Unit-Level Data'!B:B, B34)</f>
        <v>0</v>
      </c>
      <c r="L35" s="642">
        <f ca="true">
COUNTIFS(
    'Unit-Level Data'!K:K, "&gt;=" &amp; ($Q$2 - 7),
    'Unit-Level Data'!K:K, "&lt;" &amp; $Q$2,
    'Unit-Level Data'!G:G, 1,
    'Unit-Level Data'!B:B, B34
)
-
COUNTIFS(
    'Unit-Level Data'!K:K, "&gt;=" &amp; ($Q$2 - 14),
    'Unit-Level Data'!K:K, "&lt;=" &amp; ($Q$2 - 7),
    'Unit-Level Data'!G:G, 1,
    'Unit-Level Data'!B:B, B34
)</f>
        <v>0</v>
      </c>
      <c r="M35" s="681" t="str">
        <f ca="true">IFERROR(AVERAGEIFS('Unit-Level Data'!O:O,'Unit-Level Data'!K:K,"&gt;="&amp;($Q$2-7),
'Unit-Level Data'!K:K,"&lt;="&amp;$Q$2,
'Unit-Level Data'!G:G,1,
'Unit-Level Data'!B:B,B34),"")</f>
      </c>
      <c r="N35" s="694">
        <f ca="true">COUNTIFS('Unit-Level Data'!B:B, B34,
          'Unit-Level Data'!G:G, 1,
          'Unit-Level Data'!L:L, "")</f>
        <v>0</v>
      </c>
      <c r="O35" s="642">
        <f t="shared" ref="O35:O37" ca="true" si="7">N35-(N35-K35+F35)</f>
        <v>0</v>
      </c>
      <c r="P35" s="681" t="str">
        <f ca="true">IFERROR(AVERAGEIFS('Unit-Level Data'!O:O,'Unit-Level Data'!B:B, B34,
          'Unit-Level Data'!G:G, 1,
          'Unit-Level Data'!L:L, ""),"")</f>
      </c>
      <c r="Q35" s="688" t="str">
        <f ca="true">IFERROR(N35/SUMIFS('Unit Mix'!G:G,'Unit Mix'!D:D,1,'Unit Mix'!B:B,B34),"")</f>
      </c>
    </row>
    <row r="36" spans="2:17">
      <c r="B36" s="612" t="str">
        <f ca="true">IF(ISBLANK(OFFSET('Rent Comparison'!$A$1,2,12)),"",OFFSET('Rent Comparison'!$A$1,2,12))</f>
      </c>
      <c r="C36" s="776"/>
      <c r="D36" s="653"/>
      <c r="E36" s="661" t="s">
        <v>1039</v>
      </c>
      <c r="F36" s="672">
        <f ca="true">COUNTIFS('Unit-Level Data'!L:L, "&gt;=" &amp; ($Q$2 - 7),
          'Unit-Level Data'!L:L, "&lt;" &amp; $Q$2,
          'Unit-Level Data'!G:G, 2,
          'Unit-Level Data'!B:B, B34)</f>
        <v>0</v>
      </c>
      <c r="G36" s="642">
        <f ca="true">COUNTIFS('Unit-Level Data'!L:L, "&gt;=" &amp; ($Q$2 - 7),
          'Unit-Level Data'!L:L, "&lt;" &amp; $Q$2,
          'Unit-Level Data'!G:G, 2,
          'Unit-Level Data'!B:B, B34)
-
COUNTIFS('Unit-Level Data'!L:L, "&gt;=" &amp; ($Q$2 - 14),
         'Unit-Level Data'!L:L, "&lt;=" &amp; ($Q$2 - 7),
         'Unit-Level Data'!G:G, 2,
         'Unit-Level Data'!B:B, B34)</f>
        <v>0</v>
      </c>
      <c r="H36" s="640" t="str">
        <f ca="true">IFERROR(AVERAGEIFS('Unit-Level Data'!O:O,'Unit-Level Data'!L:L, "&gt;=" &amp; ($Q$2 - 7),
          'Unit-Level Data'!L:L, "&lt;" &amp; $Q$2,
          'Unit-Level Data'!G:G, 2,
          'Unit-Level Data'!B:B, B34),"")</f>
      </c>
      <c r="I36" s="641">
        <f ca="true">IFERROR(
    AVERAGEIFS('Unit-Level Data'!O:O,
               'Unit-Level Data'!L:L, "&gt;=" &amp; ($Q$2 - 7),
               'Unit-Level Data'!L:L, "&lt;" &amp; $Q$2,
               'Unit-Level Data'!G:G, 2,
               'Unit-Level Data'!B:B, B34)
    -
    AVERAGEIFS('Unit-Level Data'!O:O,
               'Unit-Level Data'!L:L, "&gt;=" &amp; ($Q$2 - 14),
               'Unit-Level Data'!L:L, "&lt;=" &amp; ($Q$2 - 7),
               'Unit-Level Data'!G:G, 2,
               'Unit-Level Data'!B:B, B34),
0)</f>
        <v>0</v>
      </c>
      <c r="J36" s="673">
        <f ca="true">IFERROR(I36/AVERAGEIFS('Unit-Level Data'!O:O,
               'Unit-Level Data'!L:L, "&gt;=" &amp; ($Q$2 - 14),
               'Unit-Level Data'!L:L, "&lt;=" &amp; ($Q$2 - 7),
               'Unit-Level Data'!G:G, 2,
               'Unit-Level Data'!B:B, B34),0)</f>
        <v>0</v>
      </c>
      <c r="K36" s="672">
        <f ca="true">COUNTIFS('Unit-Level Data'!K:K, "&gt;=" &amp; ($Q$2 - 7),
          'Unit-Level Data'!K:K, "&lt;" &amp; $Q$2,
          'Unit-Level Data'!G:G, 2,
          'Unit-Level Data'!B:B, B34)</f>
        <v>0</v>
      </c>
      <c r="L36" s="642">
        <f ca="true">
COUNTIFS(
    'Unit-Level Data'!K:K, "&gt;=" &amp; ($Q$2 - 7),
    'Unit-Level Data'!K:K, "&lt;" &amp; $Q$2,
    'Unit-Level Data'!G:G, 2,
    'Unit-Level Data'!B:B, B34
)
-
COUNTIFS(
    'Unit-Level Data'!K:K, "&gt;=" &amp; ($Q$2 - 14),
    'Unit-Level Data'!K:K, "&lt;=" &amp; ($Q$2 - 7),
    'Unit-Level Data'!G:G, 2,
    'Unit-Level Data'!B:B, B34
)</f>
        <v>0</v>
      </c>
      <c r="M36" s="681" t="str">
        <f ca="true">IFERROR(AVERAGEIFS('Unit-Level Data'!O:O,'Unit-Level Data'!K:K,"&gt;="&amp;($Q$2-7),
'Unit-Level Data'!K:K,"&lt;="&amp;$Q$2,
'Unit-Level Data'!G:G,2,
'Unit-Level Data'!B:B,B34),"")</f>
      </c>
      <c r="N36" s="694">
        <f ca="true">COUNTIFS('Unit-Level Data'!B:B, B34,
          'Unit-Level Data'!G:G, 2,
          'Unit-Level Data'!L:L, "")</f>
        <v>0</v>
      </c>
      <c r="O36" s="642">
        <f t="shared" ca="true" si="7"/>
        <v>0</v>
      </c>
      <c r="P36" s="681" t="str">
        <f ca="true">IFERROR(AVERAGEIFS('Unit-Level Data'!O:O,'Unit-Level Data'!B:B, B34,
          'Unit-Level Data'!G:G, 2,
          'Unit-Level Data'!L:L, ""),"")</f>
      </c>
      <c r="Q36" s="688" t="str">
        <f ca="true">IFERROR(N36/SUMIFS('Unit Mix'!G:G,'Unit Mix'!D:D,2,'Unit Mix'!B:B,B34),"")</f>
      </c>
    </row>
    <row r="37" spans="2:17" ht="15" thickBot="true">
      <c r="B37" s="656" t="str">
        <f ca="true">IF(ISBLANK(OFFSET('Rent Comparison'!$A$1,3,12)),"",OFFSET('Rent Comparison'!$A$1,3,12))</f>
      </c>
      <c r="C37" s="777"/>
      <c r="D37" s="654"/>
      <c r="E37" s="662" t="s">
        <v>1040</v>
      </c>
      <c r="F37" s="674">
        <f ca="true">COUNTIFS('Unit-Level Data'!L:L, "&gt;=" &amp; ($Q$2 - 7),
          'Unit-Level Data'!L:L, "&lt;" &amp; $Q$2,
          'Unit-Level Data'!G:G, 3,
          'Unit-Level Data'!B:B, B34)</f>
        <v>0</v>
      </c>
      <c r="G37" s="645">
        <f ca="true">COUNTIFS('Unit-Level Data'!L:L, "&gt;=" &amp; ($Q$2 - 7),
          'Unit-Level Data'!L:L, "&lt;" &amp; $Q$2,
          'Unit-Level Data'!G:G, 3,
          'Unit-Level Data'!B:B, B34)
-
COUNTIFS('Unit-Level Data'!L:L, "&gt;=" &amp; ($Q$2 - 14),
         'Unit-Level Data'!L:L, "&lt;=" &amp; ($Q$2 - 7),
         'Unit-Level Data'!G:G, 3,
         'Unit-Level Data'!B:B, B34)</f>
        <v>0</v>
      </c>
      <c r="H37" s="643" t="str">
        <f ca="true">IFERROR(AVERAGEIFS('Unit-Level Data'!O:O,'Unit-Level Data'!L:L, "&gt;=" &amp; ($Q$2 - 7),
          'Unit-Level Data'!L:L, "&lt;" &amp; $Q$2,
          'Unit-Level Data'!G:G, 3,
          'Unit-Level Data'!B:B, B34),"")</f>
      </c>
      <c r="I37" s="644">
        <f ca="true">IFERROR(
    AVERAGEIFS('Unit-Level Data'!O:O,
               'Unit-Level Data'!L:L, "&gt;=" &amp; ($Q$2 - 7),
               'Unit-Level Data'!L:L, "&lt;" &amp; $Q$2,
               'Unit-Level Data'!G:G, 3,
               'Unit-Level Data'!B:B, B34)
    -
    AVERAGEIFS('Unit-Level Data'!O:O,
               'Unit-Level Data'!L:L, "&gt;=" &amp; ($Q$2 - 14),
               'Unit-Level Data'!L:L, "&lt;=" &amp; ($Q$2 - 7),
               'Unit-Level Data'!G:G, 3,
               'Unit-Level Data'!B:B, B34),
0)</f>
        <v>0</v>
      </c>
      <c r="J37" s="675">
        <f ca="true">IFERROR(I37/AVERAGEIFS('Unit-Level Data'!O:O,
               'Unit-Level Data'!L:L, "&gt;=" &amp; ($Q$2 - 14),
               'Unit-Level Data'!L:L, "&lt;=" &amp; ($Q$2 - 7),
               'Unit-Level Data'!G:G, 3,
               'Unit-Level Data'!B:B, B34),0)</f>
        <v>0</v>
      </c>
      <c r="K37" s="674">
        <f ca="true">COUNTIFS('Unit-Level Data'!K:K, "&gt;=" &amp; ($Q$2 - 7),
          'Unit-Level Data'!K:K, "&lt;" &amp; $Q$2,
          'Unit-Level Data'!G:G, 3,
          'Unit-Level Data'!B:B, B34)</f>
        <v>0</v>
      </c>
      <c r="L37" s="645">
        <f ca="true">
COUNTIFS(
    'Unit-Level Data'!K:K, "&gt;=" &amp; ($Q$2 - 7),
    'Unit-Level Data'!K:K, "&lt;" &amp; $Q$2,
    'Unit-Level Data'!G:G, 3,
    'Unit-Level Data'!B:B, B34
)
-
COUNTIFS(
    'Unit-Level Data'!K:K, "&gt;=" &amp; ($Q$2 - 14),
    'Unit-Level Data'!K:K, "&lt;=" &amp; ($Q$2 - 7),
    'Unit-Level Data'!G:G, 3,
    'Unit-Level Data'!B:B, B34
)</f>
        <v>0</v>
      </c>
      <c r="M37" s="682" t="str">
        <f ca="true">IFERROR(AVERAGEIFS('Unit-Level Data'!O:O,'Unit-Level Data'!K:K,"&gt;="&amp;($Q$2-7),
'Unit-Level Data'!K:K,"&lt;="&amp;$Q$2,
'Unit-Level Data'!G:G,3,
'Unit-Level Data'!B:B,B34),"")</f>
      </c>
      <c r="N37" s="695">
        <f ca="true">COUNTIFS('Unit-Level Data'!B:B, B34,
          'Unit-Level Data'!G:G, 3,
          'Unit-Level Data'!L:L, "")</f>
        <v>0</v>
      </c>
      <c r="O37" s="645">
        <f t="shared" ca="true" si="7"/>
        <v>0</v>
      </c>
      <c r="P37" s="682" t="str">
        <f ca="true">IFERROR(AVERAGEIFS('Unit-Level Data'!O:O,'Unit-Level Data'!B:B, B34,
          'Unit-Level Data'!G:G, 3,
          'Unit-Level Data'!L:L, ""),"")</f>
      </c>
      <c r="Q37" s="689" t="str">
        <f ca="true">IFERROR(N37/SUMIFS('Unit Mix'!G:G,'Unit Mix'!D:D,3,'Unit Mix'!B:B,B34),"")</f>
      </c>
    </row>
    <row r="38" spans="2:17">
      <c r="B38" s="636" t="str">
        <f ca="true">IF(ISBLANK(OFFSET('Rent Comparison'!$A$1,1,13)),"",OFFSET('Rent Comparison'!$A$1,1,13))</f>
      </c>
      <c r="C38" s="775" t="str">
        <f ca="true">IF(ISBLANK(B38),"",IFERROR(INDEX(Specials!B:J,MATCH(B38&amp;" - Active",Specials!I:I,0),2),""))</f>
      </c>
      <c r="D38" s="652"/>
      <c r="E38" s="660" t="s">
        <v>13</v>
      </c>
      <c r="F38" s="670">
        <f ca="true">COUNTIFS('Unit-Level Data'!L:L, "&gt;=" &amp; ($Q$2 - 7),
          'Unit-Level Data'!L:L, "&lt;" &amp; $Q$2,
          'Unit-Level Data'!G:G, 0,
          'Unit-Level Data'!B:B, B38)</f>
        <v>0</v>
      </c>
      <c r="G38" s="639">
        <f ca="true">COUNTIFS('Unit-Level Data'!L:L, "&gt;=" &amp; ($Q$2 - 7),
          'Unit-Level Data'!L:L, "&lt;" &amp; $Q$2,
          'Unit-Level Data'!G:G, 0,
          'Unit-Level Data'!B:B, B38)
-
COUNTIFS('Unit-Level Data'!L:L, "&gt;=" &amp; ($Q$2 - 14),
         'Unit-Level Data'!L:L, "&lt;=" &amp; ($Q$2 - 7),
         'Unit-Level Data'!G:G, 0,
         'Unit-Level Data'!B:B, B38)</f>
        <v>0</v>
      </c>
      <c r="H38" s="637" t="str">
        <f ca="true">IFERROR(AVERAGEIFS('Unit-Level Data'!O:O,'Unit-Level Data'!L:L, "&gt;=" &amp; ($Q$2 - 7),
          'Unit-Level Data'!L:L, "&lt;" &amp; $Q$2,
          'Unit-Level Data'!G:G, 0,
          'Unit-Level Data'!B:B, B38),"")</f>
      </c>
      <c r="I38" s="638">
        <f ca="true">IFERROR(
    AVERAGEIFS('Unit-Level Data'!O:O,
               'Unit-Level Data'!L:L, "&gt;=" &amp; ($Q$2 - 7),
               'Unit-Level Data'!L:L, "&lt;" &amp; $Q$2,
               'Unit-Level Data'!G:G, 0,
               'Unit-Level Data'!B:B, B38)
    -
    AVERAGEIFS('Unit-Level Data'!O:O,
               'Unit-Level Data'!L:L, "&gt;=" &amp; ($Q$2 - 14),
               'Unit-Level Data'!L:L, "&lt;=" &amp; ($Q$2 - 7),
               'Unit-Level Data'!G:G, 0,
               'Unit-Level Data'!B:B, B38),
0)</f>
        <v>0</v>
      </c>
      <c r="J38" s="671">
        <f ca="true">IFERROR(I38/AVERAGEIFS('Unit-Level Data'!O:O,
               'Unit-Level Data'!L:L, "&gt;=" &amp; ($Q$2 - 14),
               'Unit-Level Data'!L:L, "&lt;=" &amp; ($Q$2 - 7),
               'Unit-Level Data'!G:G, 0,
               'Unit-Level Data'!B:B, B38),0)</f>
        <v>0</v>
      </c>
      <c r="K38" s="670">
        <f ca="true">COUNTIFS('Unit-Level Data'!K:K, "&gt;=" &amp; ($Q$2 - 7),
          'Unit-Level Data'!K:K, "&lt;" &amp; $Q$2,
          'Unit-Level Data'!G:G, 0,
          'Unit-Level Data'!B:B, B38)</f>
        <v>0</v>
      </c>
      <c r="L38" s="639">
        <f ca="true">
COUNTIFS(
    'Unit-Level Data'!K:K, "&gt;=" &amp; ($Q$2 - 7),
    'Unit-Level Data'!K:K, "&lt;" &amp; $Q$2,
    'Unit-Level Data'!G:G, 0,
    'Unit-Level Data'!B:B, B38
)
-
COUNTIFS(
    'Unit-Level Data'!K:K, "&gt;=" &amp; ($Q$2 - 14),
    'Unit-Level Data'!K:K, "&lt;=" &amp; ($Q$2 - 7),
    'Unit-Level Data'!G:G, 0,
    'Unit-Level Data'!B:B, B38
)</f>
        <v>0</v>
      </c>
      <c r="M38" s="680" t="str">
        <f ca="true">IFERROR(AVERAGEIFS('Unit-Level Data'!O:O,'Unit-Level Data'!K:K,"&gt;="&amp;($Q$2-7),
'Unit-Level Data'!K:K,"&lt;="&amp;$Q$2,
'Unit-Level Data'!G:G,0,
'Unit-Level Data'!B:B,B38),"")</f>
      </c>
      <c r="N38" s="693">
        <f ca="true">COUNTIFS('Unit-Level Data'!B:B, B38,
          'Unit-Level Data'!G:G, 0,
          'Unit-Level Data'!L:L, "")</f>
        <v>0</v>
      </c>
      <c r="O38" s="639">
        <f ca="true">N38-(N38-K38+F38)</f>
        <v>0</v>
      </c>
      <c r="P38" s="680" t="str">
        <f ca="true">IFERROR(AVERAGEIFS('Unit-Level Data'!O:O,'Unit-Level Data'!B:B, B38,
          'Unit-Level Data'!G:G, 0,
          'Unit-Level Data'!L:L, ""),"")</f>
      </c>
      <c r="Q38" s="687" t="str">
        <f ca="true">IFERROR(N38/SUMIFS('Unit Mix'!G:G,'Unit Mix'!D:D,0,'Unit Mix'!B:B,B38),"")</f>
      </c>
    </row>
    <row r="39" spans="2:17">
      <c r="B39" s="612" t="str">
        <f ca="true">IF(ISBLANK(OFFSET('Rent Comps'!$A$1,11,2)),"",OFFSET('Rent Comps'!$A$1,11,2))</f>
      </c>
      <c r="C39" s="776"/>
      <c r="D39" s="653"/>
      <c r="E39" s="661" t="s">
        <v>1038</v>
      </c>
      <c r="F39" s="672">
        <f ca="true">COUNTIFS('Unit-Level Data'!L:L, "&gt;=" &amp; ($Q$2 - 7),
          'Unit-Level Data'!L:L, "&lt;" &amp; $Q$2,
          'Unit-Level Data'!G:G, 1,
          'Unit-Level Data'!B:B, B38)</f>
        <v>0</v>
      </c>
      <c r="G39" s="642">
        <f ca="true">COUNTIFS('Unit-Level Data'!L:L, "&gt;=" &amp; ($Q$2 - 7),
          'Unit-Level Data'!L:L, "&lt;" &amp; $Q$2,
          'Unit-Level Data'!G:G, 1,
          'Unit-Level Data'!B:B, B38)
-
COUNTIFS('Unit-Level Data'!L:L, "&gt;=" &amp; ($Q$2 - 14),
         'Unit-Level Data'!L:L, "&lt;=" &amp; ($Q$2 - 7),
         'Unit-Level Data'!G:G, 1,
         'Unit-Level Data'!B:B, B38)</f>
        <v>0</v>
      </c>
      <c r="H39" s="640" t="str">
        <f ca="true">IFERROR(AVERAGEIFS('Unit-Level Data'!O:O,'Unit-Level Data'!L:L, "&gt;=" &amp; ($Q$2 - 7),
          'Unit-Level Data'!L:L, "&lt;" &amp; $Q$2,
          'Unit-Level Data'!G:G, 1,
          'Unit-Level Data'!B:B, B38),"")</f>
      </c>
      <c r="I39" s="641">
        <f ca="true">IFERROR(
    AVERAGEIFS('Unit-Level Data'!O:O,
               'Unit-Level Data'!L:L, "&gt;=" &amp; ($Q$2 - 7),
               'Unit-Level Data'!L:L, "&lt;" &amp; $Q$2,
               'Unit-Level Data'!G:G, 1,
               'Unit-Level Data'!B:B, B38)
    -
    AVERAGEIFS('Unit-Level Data'!O:O,
               'Unit-Level Data'!L:L, "&gt;=" &amp; ($Q$2 - 14),
               'Unit-Level Data'!L:L, "&lt;=" &amp; ($Q$2 - 7),
               'Unit-Level Data'!G:G, 1,
               'Unit-Level Data'!B:B, B38),
0)</f>
        <v>0</v>
      </c>
      <c r="J39" s="673">
        <f ca="true">IFERROR(I39/AVERAGEIFS('Unit-Level Data'!O:O,
               'Unit-Level Data'!L:L, "&gt;=" &amp; ($Q$2 - 14),
               'Unit-Level Data'!L:L, "&lt;=" &amp; ($Q$2 - 7),
               'Unit-Level Data'!G:G, 1,
               'Unit-Level Data'!B:B, B38),0)</f>
        <v>0</v>
      </c>
      <c r="K39" s="672">
        <f ca="true">COUNTIFS('Unit-Level Data'!K:K, "&gt;=" &amp; ($Q$2 - 7),
          'Unit-Level Data'!K:K, "&lt;" &amp; $Q$2,
          'Unit-Level Data'!G:G, 1,
          'Unit-Level Data'!B:B, B38)</f>
        <v>0</v>
      </c>
      <c r="L39" s="642">
        <f ca="true">
COUNTIFS(
    'Unit-Level Data'!K:K, "&gt;=" &amp; ($Q$2 - 7),
    'Unit-Level Data'!K:K, "&lt;" &amp; $Q$2,
    'Unit-Level Data'!G:G, 1,
    'Unit-Level Data'!B:B, B38
)
-
COUNTIFS(
    'Unit-Level Data'!K:K, "&gt;=" &amp; ($Q$2 - 14),
    'Unit-Level Data'!K:K, "&lt;=" &amp; ($Q$2 - 7),
    'Unit-Level Data'!G:G, 1,
    'Unit-Level Data'!B:B, B38
)</f>
        <v>0</v>
      </c>
      <c r="M39" s="681" t="str">
        <f ca="true">IFERROR(AVERAGEIFS('Unit-Level Data'!O:O,'Unit-Level Data'!K:K,"&gt;="&amp;($Q$2-7),
'Unit-Level Data'!K:K,"&lt;="&amp;$Q$2,
'Unit-Level Data'!G:G,1,
'Unit-Level Data'!B:B,B38),"")</f>
      </c>
      <c r="N39" s="694">
        <f ca="true">COUNTIFS('Unit-Level Data'!B:B, B38,
          'Unit-Level Data'!G:G, 1,
          'Unit-Level Data'!L:L, "")</f>
        <v>0</v>
      </c>
      <c r="O39" s="642">
        <f t="shared" ref="O39:O41" ca="true" si="8">N39-(N39-K39+F39)</f>
        <v>0</v>
      </c>
      <c r="P39" s="681" t="str">
        <f ca="true">IFERROR(AVERAGEIFS('Unit-Level Data'!O:O,'Unit-Level Data'!B:B, B38,
          'Unit-Level Data'!G:G, 1,
          'Unit-Level Data'!L:L, ""),"")</f>
      </c>
      <c r="Q39" s="688" t="str">
        <f ca="true">IFERROR(N39/SUMIFS('Unit Mix'!G:G,'Unit Mix'!D:D,1,'Unit Mix'!B:B,B38),"")</f>
      </c>
    </row>
    <row r="40" spans="2:17">
      <c r="B40" s="612" t="str">
        <f ca="true">IF(ISBLANK(OFFSET('Rent Comparison'!$A$1,2,13)),"",OFFSET('Rent Comparison'!$A$1,2,13))</f>
      </c>
      <c r="C40" s="776"/>
      <c r="D40" s="653"/>
      <c r="E40" s="661" t="s">
        <v>1039</v>
      </c>
      <c r="F40" s="672">
        <f ca="true">COUNTIFS('Unit-Level Data'!L:L, "&gt;=" &amp; ($Q$2 - 7),
          'Unit-Level Data'!L:L, "&lt;" &amp; $Q$2,
          'Unit-Level Data'!G:G, 2,
          'Unit-Level Data'!B:B, B38)</f>
        <v>0</v>
      </c>
      <c r="G40" s="642">
        <f ca="true">COUNTIFS('Unit-Level Data'!L:L, "&gt;=" &amp; ($Q$2 - 7),
          'Unit-Level Data'!L:L, "&lt;" &amp; $Q$2,
          'Unit-Level Data'!G:G, 2,
          'Unit-Level Data'!B:B, B38)
-
COUNTIFS('Unit-Level Data'!L:L, "&gt;=" &amp; ($Q$2 - 14),
         'Unit-Level Data'!L:L, "&lt;=" &amp; ($Q$2 - 7),
         'Unit-Level Data'!G:G, 2,
         'Unit-Level Data'!B:B, B38)</f>
        <v>0</v>
      </c>
      <c r="H40" s="640" t="str">
        <f ca="true">IFERROR(AVERAGEIFS('Unit-Level Data'!O:O,'Unit-Level Data'!L:L, "&gt;=" &amp; ($Q$2 - 7),
          'Unit-Level Data'!L:L, "&lt;" &amp; $Q$2,
          'Unit-Level Data'!G:G, 2,
          'Unit-Level Data'!B:B, B38),"")</f>
      </c>
      <c r="I40" s="641">
        <f ca="true">IFERROR(
    AVERAGEIFS('Unit-Level Data'!O:O,
               'Unit-Level Data'!L:L, "&gt;=" &amp; ($Q$2 - 7),
               'Unit-Level Data'!L:L, "&lt;" &amp; $Q$2,
               'Unit-Level Data'!G:G, 2,
               'Unit-Level Data'!B:B, B38)
    -
    AVERAGEIFS('Unit-Level Data'!O:O,
               'Unit-Level Data'!L:L, "&gt;=" &amp; ($Q$2 - 14),
               'Unit-Level Data'!L:L, "&lt;=" &amp; ($Q$2 - 7),
               'Unit-Level Data'!G:G, 2,
               'Unit-Level Data'!B:B, B38),
0)</f>
        <v>0</v>
      </c>
      <c r="J40" s="673">
        <f ca="true">IFERROR(I40/AVERAGEIFS('Unit-Level Data'!O:O,
               'Unit-Level Data'!L:L, "&gt;=" &amp; ($Q$2 - 14),
               'Unit-Level Data'!L:L, "&lt;=" &amp; ($Q$2 - 7),
               'Unit-Level Data'!G:G, 2,
               'Unit-Level Data'!B:B, B38),0)</f>
        <v>0</v>
      </c>
      <c r="K40" s="672">
        <f ca="true">COUNTIFS('Unit-Level Data'!K:K, "&gt;=" &amp; ($Q$2 - 7),
          'Unit-Level Data'!K:K, "&lt;" &amp; $Q$2,
          'Unit-Level Data'!G:G, 2,
          'Unit-Level Data'!B:B, B38)</f>
        <v>0</v>
      </c>
      <c r="L40" s="642">
        <f ca="true">
COUNTIFS(
    'Unit-Level Data'!K:K, "&gt;=" &amp; ($Q$2 - 7),
    'Unit-Level Data'!K:K, "&lt;" &amp; $Q$2,
    'Unit-Level Data'!G:G, 2,
    'Unit-Level Data'!B:B, B38
)
-
COUNTIFS(
    'Unit-Level Data'!K:K, "&gt;=" &amp; ($Q$2 - 14),
    'Unit-Level Data'!K:K, "&lt;=" &amp; ($Q$2 - 7),
    'Unit-Level Data'!G:G, 2,
    'Unit-Level Data'!B:B, B38
)</f>
        <v>0</v>
      </c>
      <c r="M40" s="681" t="str">
        <f ca="true">IFERROR(AVERAGEIFS('Unit-Level Data'!O:O,'Unit-Level Data'!K:K,"&gt;="&amp;($Q$2-7),
'Unit-Level Data'!K:K,"&lt;="&amp;$Q$2,
'Unit-Level Data'!G:G,2,
'Unit-Level Data'!B:B,B38),"")</f>
      </c>
      <c r="N40" s="694">
        <f ca="true">COUNTIFS('Unit-Level Data'!B:B, B38,
          'Unit-Level Data'!G:G, 2,
          'Unit-Level Data'!L:L, "")</f>
        <v>0</v>
      </c>
      <c r="O40" s="642">
        <f t="shared" ca="true" si="8"/>
        <v>0</v>
      </c>
      <c r="P40" s="681" t="str">
        <f ca="true">IFERROR(AVERAGEIFS('Unit-Level Data'!O:O,'Unit-Level Data'!B:B, B38,
          'Unit-Level Data'!G:G, 2,
          'Unit-Level Data'!L:L, ""),"")</f>
      </c>
      <c r="Q40" s="688" t="str">
        <f ca="true">IFERROR(N40/SUMIFS('Unit Mix'!G:G,'Unit Mix'!D:D,2,'Unit Mix'!B:B,B38),"")</f>
      </c>
    </row>
    <row r="41" spans="2:17" ht="15" thickBot="true">
      <c r="B41" s="656" t="str">
        <f ca="true">IF(ISBLANK(OFFSET('Rent Comparison'!$A$1,3,13)),"",OFFSET('Rent Comparison'!$A$1,3,13))</f>
      </c>
      <c r="C41" s="777"/>
      <c r="D41" s="654"/>
      <c r="E41" s="662" t="s">
        <v>1040</v>
      </c>
      <c r="F41" s="674">
        <f ca="true">COUNTIFS('Unit-Level Data'!L:L, "&gt;=" &amp; ($Q$2 - 7),
          'Unit-Level Data'!L:L, "&lt;" &amp; $Q$2,
          'Unit-Level Data'!G:G, 3,
          'Unit-Level Data'!B:B, B38)</f>
        <v>0</v>
      </c>
      <c r="G41" s="645">
        <f ca="true">COUNTIFS('Unit-Level Data'!L:L, "&gt;=" &amp; ($Q$2 - 7),
          'Unit-Level Data'!L:L, "&lt;" &amp; $Q$2,
          'Unit-Level Data'!G:G, 3,
          'Unit-Level Data'!B:B, B38)
-
COUNTIFS('Unit-Level Data'!L:L, "&gt;=" &amp; ($Q$2 - 14),
         'Unit-Level Data'!L:L, "&lt;=" &amp; ($Q$2 - 7),
         'Unit-Level Data'!G:G, 3,
         'Unit-Level Data'!B:B, B38)</f>
        <v>0</v>
      </c>
      <c r="H41" s="643" t="str">
        <f ca="true">IFERROR(AVERAGEIFS('Unit-Level Data'!O:O,'Unit-Level Data'!L:L, "&gt;=" &amp; ($Q$2 - 7),
          'Unit-Level Data'!L:L, "&lt;" &amp; $Q$2,
          'Unit-Level Data'!G:G, 3,
          'Unit-Level Data'!B:B, B38),"")</f>
      </c>
      <c r="I41" s="644">
        <f ca="true">IFERROR(
    AVERAGEIFS('Unit-Level Data'!O:O,
               'Unit-Level Data'!L:L, "&gt;=" &amp; ($Q$2 - 7),
               'Unit-Level Data'!L:L, "&lt;" &amp; $Q$2,
               'Unit-Level Data'!G:G, 3,
               'Unit-Level Data'!B:B, B38)
    -
    AVERAGEIFS('Unit-Level Data'!O:O,
               'Unit-Level Data'!L:L, "&gt;=" &amp; ($Q$2 - 14),
               'Unit-Level Data'!L:L, "&lt;=" &amp; ($Q$2 - 7),
               'Unit-Level Data'!G:G, 3,
               'Unit-Level Data'!B:B, B38),
0)</f>
        <v>0</v>
      </c>
      <c r="J41" s="675">
        <f ca="true">IFERROR(I41/AVERAGEIFS('Unit-Level Data'!O:O,
               'Unit-Level Data'!L:L, "&gt;=" &amp; ($Q$2 - 14),
               'Unit-Level Data'!L:L, "&lt;=" &amp; ($Q$2 - 7),
               'Unit-Level Data'!G:G, 3,
               'Unit-Level Data'!B:B, B38),0)</f>
        <v>0</v>
      </c>
      <c r="K41" s="674">
        <f ca="true">COUNTIFS('Unit-Level Data'!K:K, "&gt;=" &amp; ($Q$2 - 7),
          'Unit-Level Data'!K:K, "&lt;" &amp; $Q$2,
          'Unit-Level Data'!G:G, 3,
          'Unit-Level Data'!B:B, B38)</f>
        <v>0</v>
      </c>
      <c r="L41" s="645">
        <f ca="true">
COUNTIFS(
    'Unit-Level Data'!K:K, "&gt;=" &amp; ($Q$2 - 7),
    'Unit-Level Data'!K:K, "&lt;" &amp; $Q$2,
    'Unit-Level Data'!G:G, 3,
    'Unit-Level Data'!B:B, B38
)
-
COUNTIFS(
    'Unit-Level Data'!K:K, "&gt;=" &amp; ($Q$2 - 14),
    'Unit-Level Data'!K:K, "&lt;=" &amp; ($Q$2 - 7),
    'Unit-Level Data'!G:G, 3,
    'Unit-Level Data'!B:B, B38
)</f>
        <v>0</v>
      </c>
      <c r="M41" s="682" t="str">
        <f ca="true">IFERROR(AVERAGEIFS('Unit-Level Data'!O:O,'Unit-Level Data'!K:K,"&gt;="&amp;($Q$2-7),
'Unit-Level Data'!K:K,"&lt;="&amp;$Q$2,
'Unit-Level Data'!G:G,3,
'Unit-Level Data'!B:B,B38),"")</f>
      </c>
      <c r="N41" s="695">
        <f ca="true">COUNTIFS('Unit-Level Data'!B:B, B38,
          'Unit-Level Data'!G:G, 3,
          'Unit-Level Data'!L:L, "")</f>
        <v>0</v>
      </c>
      <c r="O41" s="645">
        <f t="shared" ca="true" si="8"/>
        <v>0</v>
      </c>
      <c r="P41" s="682" t="str">
        <f ca="true">IFERROR(AVERAGEIFS('Unit-Level Data'!O:O,'Unit-Level Data'!B:B, B38,
          'Unit-Level Data'!G:G, 3,
          'Unit-Level Data'!L:L, ""),"")</f>
      </c>
      <c r="Q41" s="689" t="str">
        <f ca="true">IFERROR(N41/SUMIFS('Unit Mix'!G:G,'Unit Mix'!D:D,3,'Unit Mix'!B:B,B38),"")</f>
      </c>
    </row>
    <row r="42" spans="2:17">
      <c r="B42" s="636" t="str">
        <f ca="true">IF(ISBLANK(OFFSET('Rent Comparison'!$A$1,1,14)),"",OFFSET('Rent Comparison'!$A$1,1,14))</f>
      </c>
      <c r="C42" s="775" t="str">
        <f ca="true">IF(ISBLANK(B42),"",IFERROR(INDEX(Specials!B:J,MATCH(B42&amp;" - Active",Specials!I:I,0),2),""))</f>
      </c>
      <c r="D42" s="652"/>
      <c r="E42" s="660" t="s">
        <v>13</v>
      </c>
      <c r="F42" s="670">
        <f ca="true">COUNTIFS('Unit-Level Data'!L:L, "&gt;=" &amp; ($Q$2 - 7),
          'Unit-Level Data'!L:L, "&lt;" &amp; $Q$2,
          'Unit-Level Data'!G:G, 0,
          'Unit-Level Data'!B:B, B42)</f>
        <v>0</v>
      </c>
      <c r="G42" s="639">
        <f ca="true">COUNTIFS('Unit-Level Data'!L:L, "&gt;=" &amp; ($Q$2 - 7),
          'Unit-Level Data'!L:L, "&lt;" &amp; $Q$2,
          'Unit-Level Data'!G:G, 0,
          'Unit-Level Data'!B:B, B42)
-
COUNTIFS('Unit-Level Data'!L:L, "&gt;=" &amp; ($Q$2 - 14),
         'Unit-Level Data'!L:L, "&lt;=" &amp; ($Q$2 - 7),
         'Unit-Level Data'!G:G, 0,
         'Unit-Level Data'!B:B, B42)</f>
        <v>0</v>
      </c>
      <c r="H42" s="637" t="str">
        <f ca="true">IFERROR(AVERAGEIFS('Unit-Level Data'!O:O,'Unit-Level Data'!L:L, "&gt;=" &amp; ($Q$2 - 7),
          'Unit-Level Data'!L:L, "&lt;" &amp; $Q$2,
          'Unit-Level Data'!G:G, 0,
          'Unit-Level Data'!B:B, B42),"")</f>
      </c>
      <c r="I42" s="638">
        <f ca="true">IFERROR(
    AVERAGEIFS('Unit-Level Data'!O:O,
               'Unit-Level Data'!L:L, "&gt;=" &amp; ($Q$2 - 7),
               'Unit-Level Data'!L:L, "&lt;" &amp; $Q$2,
               'Unit-Level Data'!G:G, 0,
               'Unit-Level Data'!B:B, B42)
    -
    AVERAGEIFS('Unit-Level Data'!O:O,
               'Unit-Level Data'!L:L, "&gt;=" &amp; ($Q$2 - 14),
               'Unit-Level Data'!L:L, "&lt;=" &amp; ($Q$2 - 7),
               'Unit-Level Data'!G:G, 0,
               'Unit-Level Data'!B:B, B42),
0)</f>
        <v>0</v>
      </c>
      <c r="J42" s="671">
        <f ca="true">IFERROR(I42/AVERAGEIFS('Unit-Level Data'!O:O,
               'Unit-Level Data'!L:L, "&gt;=" &amp; ($Q$2 - 14),
               'Unit-Level Data'!L:L, "&lt;=" &amp; ($Q$2 - 7),
               'Unit-Level Data'!G:G, 0,
               'Unit-Level Data'!B:B, B42),0)</f>
        <v>0</v>
      </c>
      <c r="K42" s="670">
        <f ca="true">COUNTIFS('Unit-Level Data'!K:K, "&gt;=" &amp; ($Q$2 - 7),
          'Unit-Level Data'!K:K, "&lt;" &amp; $Q$2,
          'Unit-Level Data'!G:G, 0,
          'Unit-Level Data'!B:B, B42)</f>
        <v>0</v>
      </c>
      <c r="L42" s="639">
        <f ca="true">
COUNTIFS(
    'Unit-Level Data'!K:K, "&gt;=" &amp; ($Q$2 - 7),
    'Unit-Level Data'!K:K, "&lt;" &amp; $Q$2,
    'Unit-Level Data'!G:G, 0,
    'Unit-Level Data'!B:B, B42
)
-
COUNTIFS(
    'Unit-Level Data'!K:K, "&gt;=" &amp; ($Q$2 - 14),
    'Unit-Level Data'!K:K, "&lt;=" &amp; ($Q$2 - 7),
    'Unit-Level Data'!G:G, 0,
    'Unit-Level Data'!B:B, B42
)</f>
        <v>0</v>
      </c>
      <c r="M42" s="680" t="str">
        <f ca="true">IFERROR(AVERAGEIFS('Unit-Level Data'!O:O,'Unit-Level Data'!K:K,"&gt;="&amp;($Q$2-7),
'Unit-Level Data'!K:K,"&lt;="&amp;$Q$2,
'Unit-Level Data'!G:G,0,
'Unit-Level Data'!B:B,B42),"")</f>
      </c>
      <c r="N42" s="693">
        <f ca="true">COUNTIFS('Unit-Level Data'!B:B, B42,
          'Unit-Level Data'!G:G, 0,
          'Unit-Level Data'!L:L, "")</f>
        <v>0</v>
      </c>
      <c r="O42" s="639">
        <f ca="true">N42-(N42-K42+F42)</f>
        <v>0</v>
      </c>
      <c r="P42" s="680" t="str">
        <f ca="true">IFERROR(AVERAGEIFS('Unit-Level Data'!O:O,'Unit-Level Data'!B:B, B42,
          'Unit-Level Data'!G:G, 0,
          'Unit-Level Data'!L:L, ""),"")</f>
      </c>
      <c r="Q42" s="687" t="str">
        <f ca="true">IFERROR(N42/SUMIFS('Unit Mix'!G:G,'Unit Mix'!D:D,0,'Unit Mix'!B:B,B42),"")</f>
      </c>
    </row>
    <row r="43" spans="2:17">
      <c r="B43" s="612" t="str">
        <f ca="true">IF(ISBLANK(OFFSET('Rent Comps'!$A$1,12,2)),"",OFFSET('Rent Comps'!$A$1,12,2))</f>
      </c>
      <c r="C43" s="776"/>
      <c r="D43" s="653"/>
      <c r="E43" s="661" t="s">
        <v>1038</v>
      </c>
      <c r="F43" s="672">
        <f ca="true">COUNTIFS('Unit-Level Data'!L:L, "&gt;=" &amp; ($Q$2 - 7),
          'Unit-Level Data'!L:L, "&lt;" &amp; $Q$2,
          'Unit-Level Data'!G:G, 1,
          'Unit-Level Data'!B:B, B42)</f>
        <v>0</v>
      </c>
      <c r="G43" s="642">
        <f ca="true">COUNTIFS('Unit-Level Data'!L:L, "&gt;=" &amp; ($Q$2 - 7),
          'Unit-Level Data'!L:L, "&lt;" &amp; $Q$2,
          'Unit-Level Data'!G:G, 1,
          'Unit-Level Data'!B:B, B42)
-
COUNTIFS('Unit-Level Data'!L:L, "&gt;=" &amp; ($Q$2 - 14),
         'Unit-Level Data'!L:L, "&lt;=" &amp; ($Q$2 - 7),
         'Unit-Level Data'!G:G, 1,
         'Unit-Level Data'!B:B, B42)</f>
        <v>0</v>
      </c>
      <c r="H43" s="640" t="str">
        <f ca="true">IFERROR(AVERAGEIFS('Unit-Level Data'!O:O,'Unit-Level Data'!L:L, "&gt;=" &amp; ($Q$2 - 7),
          'Unit-Level Data'!L:L, "&lt;" &amp; $Q$2,
          'Unit-Level Data'!G:G, 1,
          'Unit-Level Data'!B:B, B42),"")</f>
      </c>
      <c r="I43" s="641">
        <f ca="true">IFERROR(
    AVERAGEIFS('Unit-Level Data'!O:O,
               'Unit-Level Data'!L:L, "&gt;=" &amp; ($Q$2 - 7),
               'Unit-Level Data'!L:L, "&lt;" &amp; $Q$2,
               'Unit-Level Data'!G:G, 1,
               'Unit-Level Data'!B:B, B42)
    -
    AVERAGEIFS('Unit-Level Data'!O:O,
               'Unit-Level Data'!L:L, "&gt;=" &amp; ($Q$2 - 14),
               'Unit-Level Data'!L:L, "&lt;=" &amp; ($Q$2 - 7),
               'Unit-Level Data'!G:G, 1,
               'Unit-Level Data'!B:B, B42),
0)</f>
        <v>0</v>
      </c>
      <c r="J43" s="673">
        <f ca="true">IFERROR(I43/AVERAGEIFS('Unit-Level Data'!O:O,
               'Unit-Level Data'!L:L, "&gt;=" &amp; ($Q$2 - 14),
               'Unit-Level Data'!L:L, "&lt;=" &amp; ($Q$2 - 7),
               'Unit-Level Data'!G:G, 1,
               'Unit-Level Data'!B:B, B42),0)</f>
        <v>0</v>
      </c>
      <c r="K43" s="672">
        <f ca="true">COUNTIFS('Unit-Level Data'!K:K, "&gt;=" &amp; ($Q$2 - 7),
          'Unit-Level Data'!K:K, "&lt;" &amp; $Q$2,
          'Unit-Level Data'!G:G, 1,
          'Unit-Level Data'!B:B, B42)</f>
        <v>0</v>
      </c>
      <c r="L43" s="642">
        <f ca="true">
COUNTIFS(
    'Unit-Level Data'!K:K, "&gt;=" &amp; ($Q$2 - 7),
    'Unit-Level Data'!K:K, "&lt;" &amp; $Q$2,
    'Unit-Level Data'!G:G, 1,
    'Unit-Level Data'!B:B, B42
)
-
COUNTIFS(
    'Unit-Level Data'!K:K, "&gt;=" &amp; ($Q$2 - 14),
    'Unit-Level Data'!K:K, "&lt;=" &amp; ($Q$2 - 7),
    'Unit-Level Data'!G:G, 1,
    'Unit-Level Data'!B:B, B42
)</f>
        <v>0</v>
      </c>
      <c r="M43" s="681" t="str">
        <f ca="true">IFERROR(AVERAGEIFS('Unit-Level Data'!O:O,'Unit-Level Data'!K:K,"&gt;="&amp;($Q$2-7),
'Unit-Level Data'!K:K,"&lt;="&amp;$Q$2,
'Unit-Level Data'!G:G,1,
'Unit-Level Data'!B:B,B42),"")</f>
      </c>
      <c r="N43" s="694">
        <f ca="true">COUNTIFS('Unit-Level Data'!B:B, B42,
          'Unit-Level Data'!G:G, 1,
          'Unit-Level Data'!L:L, "")</f>
        <v>0</v>
      </c>
      <c r="O43" s="642">
        <f t="shared" ref="O43:O45" ca="true" si="9">N43-(N43-K43+F43)</f>
        <v>0</v>
      </c>
      <c r="P43" s="681" t="str">
        <f ca="true">IFERROR(AVERAGEIFS('Unit-Level Data'!O:O,'Unit-Level Data'!B:B, B42,
          'Unit-Level Data'!G:G, 1,
          'Unit-Level Data'!L:L, ""),"")</f>
      </c>
      <c r="Q43" s="688" t="str">
        <f ca="true">IFERROR(N43/SUMIFS('Unit Mix'!G:G,'Unit Mix'!D:D,1,'Unit Mix'!B:B,B42),"")</f>
      </c>
    </row>
    <row r="44" spans="2:17">
      <c r="B44" s="612" t="str">
        <f ca="true">IF(ISBLANK(OFFSET('Rent Comparison'!$A$1,2,14)),"",OFFSET('Rent Comparison'!$A$1,2,14))</f>
      </c>
      <c r="C44" s="776"/>
      <c r="D44" s="653"/>
      <c r="E44" s="661" t="s">
        <v>1039</v>
      </c>
      <c r="F44" s="672">
        <f ca="true">COUNTIFS('Unit-Level Data'!L:L, "&gt;=" &amp; ($Q$2 - 7),
          'Unit-Level Data'!L:L, "&lt;" &amp; $Q$2,
          'Unit-Level Data'!G:G, 2,
          'Unit-Level Data'!B:B, B42)</f>
        <v>0</v>
      </c>
      <c r="G44" s="642">
        <f ca="true">COUNTIFS('Unit-Level Data'!L:L, "&gt;=" &amp; ($Q$2 - 7),
          'Unit-Level Data'!L:L, "&lt;" &amp; $Q$2,
          'Unit-Level Data'!G:G, 2,
          'Unit-Level Data'!B:B, B42)
-
COUNTIFS('Unit-Level Data'!L:L, "&gt;=" &amp; ($Q$2 - 14),
         'Unit-Level Data'!L:L, "&lt;=" &amp; ($Q$2 - 7),
         'Unit-Level Data'!G:G, 2,
         'Unit-Level Data'!B:B, B42)</f>
        <v>0</v>
      </c>
      <c r="H44" s="640" t="str">
        <f ca="true">IFERROR(AVERAGEIFS('Unit-Level Data'!O:O,'Unit-Level Data'!L:L, "&gt;=" &amp; ($Q$2 - 7),
          'Unit-Level Data'!L:L, "&lt;" &amp; $Q$2,
          'Unit-Level Data'!G:G, 2,
          'Unit-Level Data'!B:B, B42),"")</f>
      </c>
      <c r="I44" s="641">
        <f ca="true">IFERROR(
    AVERAGEIFS('Unit-Level Data'!O:O,
               'Unit-Level Data'!L:L, "&gt;=" &amp; ($Q$2 - 7),
               'Unit-Level Data'!L:L, "&lt;" &amp; $Q$2,
               'Unit-Level Data'!G:G, 2,
               'Unit-Level Data'!B:B, B42)
    -
    AVERAGEIFS('Unit-Level Data'!O:O,
               'Unit-Level Data'!L:L, "&gt;=" &amp; ($Q$2 - 14),
               'Unit-Level Data'!L:L, "&lt;=" &amp; ($Q$2 - 7),
               'Unit-Level Data'!G:G, 2,
               'Unit-Level Data'!B:B, B42),
0)</f>
        <v>0</v>
      </c>
      <c r="J44" s="673">
        <f ca="true">IFERROR(I44/AVERAGEIFS('Unit-Level Data'!O:O,
               'Unit-Level Data'!L:L, "&gt;=" &amp; ($Q$2 - 14),
               'Unit-Level Data'!L:L, "&lt;=" &amp; ($Q$2 - 7),
               'Unit-Level Data'!G:G, 2,
               'Unit-Level Data'!B:B, B42),0)</f>
        <v>0</v>
      </c>
      <c r="K44" s="672">
        <f ca="true">COUNTIFS('Unit-Level Data'!K:K, "&gt;=" &amp; ($Q$2 - 7),
          'Unit-Level Data'!K:K, "&lt;" &amp; $Q$2,
          'Unit-Level Data'!G:G, 2,
          'Unit-Level Data'!B:B, B42)</f>
        <v>0</v>
      </c>
      <c r="L44" s="642">
        <f ca="true">
COUNTIFS(
    'Unit-Level Data'!K:K, "&gt;=" &amp; ($Q$2 - 7),
    'Unit-Level Data'!K:K, "&lt;" &amp; $Q$2,
    'Unit-Level Data'!G:G, 2,
    'Unit-Level Data'!B:B, B42
)
-
COUNTIFS(
    'Unit-Level Data'!K:K, "&gt;=" &amp; ($Q$2 - 14),
    'Unit-Level Data'!K:K, "&lt;=" &amp; ($Q$2 - 7),
    'Unit-Level Data'!G:G, 2,
    'Unit-Level Data'!B:B, B42
)</f>
        <v>0</v>
      </c>
      <c r="M44" s="681" t="str">
        <f ca="true">IFERROR(AVERAGEIFS('Unit-Level Data'!O:O,'Unit-Level Data'!K:K,"&gt;="&amp;($Q$2-7),
'Unit-Level Data'!K:K,"&lt;="&amp;$Q$2,
'Unit-Level Data'!G:G,2,
'Unit-Level Data'!B:B,B42),"")</f>
      </c>
      <c r="N44" s="694">
        <f ca="true">COUNTIFS('Unit-Level Data'!B:B, B42,
          'Unit-Level Data'!G:G, 2,
          'Unit-Level Data'!L:L, "")</f>
        <v>0</v>
      </c>
      <c r="O44" s="642">
        <f t="shared" ca="true" si="9"/>
        <v>0</v>
      </c>
      <c r="P44" s="681" t="str">
        <f ca="true">IFERROR(AVERAGEIFS('Unit-Level Data'!O:O,'Unit-Level Data'!B:B, B42,
          'Unit-Level Data'!G:G, 2,
          'Unit-Level Data'!L:L, ""),"")</f>
      </c>
      <c r="Q44" s="688" t="str">
        <f ca="true">IFERROR(N44/SUMIFS('Unit Mix'!G:G,'Unit Mix'!D:D,2,'Unit Mix'!B:B,B42),"")</f>
      </c>
    </row>
    <row r="45" spans="2:17" ht="15" thickBot="true">
      <c r="B45" s="656" t="str">
        <f ca="true">IF(ISBLANK(OFFSET('Rent Comparison'!$A$1,3,14)),"",OFFSET('Rent Comparison'!$A$1,3,14))</f>
      </c>
      <c r="C45" s="777"/>
      <c r="D45" s="654"/>
      <c r="E45" s="662" t="s">
        <v>1040</v>
      </c>
      <c r="F45" s="674">
        <f ca="true">COUNTIFS('Unit-Level Data'!L:L, "&gt;=" &amp; ($Q$2 - 7),
          'Unit-Level Data'!L:L, "&lt;" &amp; $Q$2,
          'Unit-Level Data'!G:G, 3,
          'Unit-Level Data'!B:B, B42)</f>
        <v>0</v>
      </c>
      <c r="G45" s="645">
        <f ca="true">COUNTIFS('Unit-Level Data'!L:L, "&gt;=" &amp; ($Q$2 - 7),
          'Unit-Level Data'!L:L, "&lt;" &amp; $Q$2,
          'Unit-Level Data'!G:G, 3,
          'Unit-Level Data'!B:B, B42)
-
COUNTIFS('Unit-Level Data'!L:L, "&gt;=" &amp; ($Q$2 - 14),
         'Unit-Level Data'!L:L, "&lt;=" &amp; ($Q$2 - 7),
         'Unit-Level Data'!G:G, 3,
         'Unit-Level Data'!B:B, B42)</f>
        <v>0</v>
      </c>
      <c r="H45" s="643" t="str">
        <f ca="true">IFERROR(AVERAGEIFS('Unit-Level Data'!O:O,'Unit-Level Data'!L:L, "&gt;=" &amp; ($Q$2 - 7),
          'Unit-Level Data'!L:L, "&lt;" &amp; $Q$2,
          'Unit-Level Data'!G:G, 3,
          'Unit-Level Data'!B:B, B42),"")</f>
      </c>
      <c r="I45" s="644">
        <f ca="true">IFERROR(
    AVERAGEIFS('Unit-Level Data'!O:O,
               'Unit-Level Data'!L:L, "&gt;=" &amp; ($Q$2 - 7),
               'Unit-Level Data'!L:L, "&lt;" &amp; $Q$2,
               'Unit-Level Data'!G:G, 3,
               'Unit-Level Data'!B:B, B42)
    -
    AVERAGEIFS('Unit-Level Data'!O:O,
               'Unit-Level Data'!L:L, "&gt;=" &amp; ($Q$2 - 14),
               'Unit-Level Data'!L:L, "&lt;=" &amp; ($Q$2 - 7),
               'Unit-Level Data'!G:G, 3,
               'Unit-Level Data'!B:B, B42),
0)</f>
        <v>0</v>
      </c>
      <c r="J45" s="675">
        <f ca="true">IFERROR(I45/AVERAGEIFS('Unit-Level Data'!O:O,
               'Unit-Level Data'!L:L, "&gt;=" &amp; ($Q$2 - 14),
               'Unit-Level Data'!L:L, "&lt;=" &amp; ($Q$2 - 7),
               'Unit-Level Data'!G:G, 3,
               'Unit-Level Data'!B:B, B42),0)</f>
        <v>0</v>
      </c>
      <c r="K45" s="674">
        <f ca="true">COUNTIFS('Unit-Level Data'!K:K, "&gt;=" &amp; ($Q$2 - 7),
          'Unit-Level Data'!K:K, "&lt;" &amp; $Q$2,
          'Unit-Level Data'!G:G, 3,
          'Unit-Level Data'!B:B, B42)</f>
        <v>0</v>
      </c>
      <c r="L45" s="645">
        <f ca="true">
COUNTIFS(
    'Unit-Level Data'!K:K, "&gt;=" &amp; ($Q$2 - 7),
    'Unit-Level Data'!K:K, "&lt;" &amp; $Q$2,
    'Unit-Level Data'!G:G, 3,
    'Unit-Level Data'!B:B, B42
)
-
COUNTIFS(
    'Unit-Level Data'!K:K, "&gt;=" &amp; ($Q$2 - 14),
    'Unit-Level Data'!K:K, "&lt;=" &amp; ($Q$2 - 7),
    'Unit-Level Data'!G:G, 3,
    'Unit-Level Data'!B:B, B42
)</f>
        <v>0</v>
      </c>
      <c r="M45" s="682" t="str">
        <f ca="true">IFERROR(AVERAGEIFS('Unit-Level Data'!O:O,'Unit-Level Data'!K:K,"&gt;="&amp;($Q$2-7),
'Unit-Level Data'!K:K,"&lt;="&amp;$Q$2,
'Unit-Level Data'!G:G,3,
'Unit-Level Data'!B:B,B42),"")</f>
      </c>
      <c r="N45" s="695">
        <f ca="true">COUNTIFS('Unit-Level Data'!B:B, B42,
          'Unit-Level Data'!G:G, 3,
          'Unit-Level Data'!L:L, "")</f>
        <v>0</v>
      </c>
      <c r="O45" s="645">
        <f t="shared" ca="true" si="9"/>
        <v>0</v>
      </c>
      <c r="P45" s="682" t="str">
        <f ca="true">IFERROR(AVERAGEIFS('Unit-Level Data'!O:O,'Unit-Level Data'!B:B, B42,
          'Unit-Level Data'!G:G, 3,
          'Unit-Level Data'!L:L, ""),"")</f>
      </c>
      <c r="Q45" s="689" t="str">
        <f ca="true">IFERROR(N45/SUMIFS('Unit Mix'!G:G,'Unit Mix'!D:D,3,'Unit Mix'!B:B,B42),"")</f>
      </c>
    </row>
    <row r="46" spans="2:17">
      <c r="B46" s="636" t="str">
        <f ca="true">IF(ISBLANK(OFFSET('Rent Comparison'!$A$1,1,15)),"",OFFSET('Rent Comparison'!$A$1,1,15))</f>
      </c>
      <c r="C46" s="775" t="str">
        <f ca="true">IF(ISBLANK(B46),"",IFERROR(INDEX(Specials!B:J,MATCH(B46&amp;" - Active",Specials!I:I,0),2),""))</f>
      </c>
      <c r="D46" s="652"/>
      <c r="E46" s="660" t="s">
        <v>13</v>
      </c>
      <c r="F46" s="670">
        <f ca="true">COUNTIFS('Unit-Level Data'!L:L, "&gt;=" &amp; ($Q$2 - 7),
          'Unit-Level Data'!L:L, "&lt;" &amp; $Q$2,
          'Unit-Level Data'!G:G, 0,
          'Unit-Level Data'!B:B, B46)</f>
        <v>0</v>
      </c>
      <c r="G46" s="639">
        <f ca="true">COUNTIFS('Unit-Level Data'!L:L, "&gt;=" &amp; ($Q$2 - 7),
          'Unit-Level Data'!L:L, "&lt;" &amp; $Q$2,
          'Unit-Level Data'!G:G, 0,
          'Unit-Level Data'!B:B, B46)
-
COUNTIFS('Unit-Level Data'!L:L, "&gt;=" &amp; ($Q$2 - 14),
         'Unit-Level Data'!L:L, "&lt;=" &amp; ($Q$2 - 7),
         'Unit-Level Data'!G:G, 0,
         'Unit-Level Data'!B:B, B46)</f>
        <v>0</v>
      </c>
      <c r="H46" s="637" t="str">
        <f ca="true">IFERROR(AVERAGEIFS('Unit-Level Data'!O:O,'Unit-Level Data'!L:L, "&gt;=" &amp; ($Q$2 - 7),
          'Unit-Level Data'!L:L, "&lt;" &amp; $Q$2,
          'Unit-Level Data'!G:G, 0,
          'Unit-Level Data'!B:B, B46),"")</f>
      </c>
      <c r="I46" s="638">
        <f ca="true">IFERROR(
    AVERAGEIFS('Unit-Level Data'!O:O,
               'Unit-Level Data'!L:L, "&gt;=" &amp; ($Q$2 - 7),
               'Unit-Level Data'!L:L, "&lt;" &amp; $Q$2,
               'Unit-Level Data'!G:G, 0,
               'Unit-Level Data'!B:B, B46)
    -
    AVERAGEIFS('Unit-Level Data'!O:O,
               'Unit-Level Data'!L:L, "&gt;=" &amp; ($Q$2 - 14),
               'Unit-Level Data'!L:L, "&lt;=" &amp; ($Q$2 - 7),
               'Unit-Level Data'!G:G, 0,
               'Unit-Level Data'!B:B, B46),
0)</f>
        <v>0</v>
      </c>
      <c r="J46" s="671">
        <f ca="true">IFERROR(I46/AVERAGEIFS('Unit-Level Data'!O:O,
               'Unit-Level Data'!L:L, "&gt;=" &amp; ($Q$2 - 14),
               'Unit-Level Data'!L:L, "&lt;=" &amp; ($Q$2 - 7),
               'Unit-Level Data'!G:G, 0,
               'Unit-Level Data'!B:B, B46),0)</f>
        <v>0</v>
      </c>
      <c r="K46" s="670">
        <f ca="true">COUNTIFS('Unit-Level Data'!K:K, "&gt;=" &amp; ($Q$2 - 7),
          'Unit-Level Data'!K:K, "&lt;" &amp; $Q$2,
          'Unit-Level Data'!G:G, 0,
          'Unit-Level Data'!B:B, B46)</f>
        <v>0</v>
      </c>
      <c r="L46" s="639">
        <f ca="true">
COUNTIFS(
    'Unit-Level Data'!K:K, "&gt;=" &amp; ($Q$2 - 7),
    'Unit-Level Data'!K:K, "&lt;" &amp; $Q$2,
    'Unit-Level Data'!G:G, 0,
    'Unit-Level Data'!B:B, B46
)
-
COUNTIFS(
    'Unit-Level Data'!K:K, "&gt;=" &amp; ($Q$2 - 14),
    'Unit-Level Data'!K:K, "&lt;=" &amp; ($Q$2 - 7),
    'Unit-Level Data'!G:G, 0,
    'Unit-Level Data'!B:B, B46
)</f>
        <v>0</v>
      </c>
      <c r="M46" s="680" t="str">
        <f ca="true">IFERROR(AVERAGEIFS('Unit-Level Data'!O:O,'Unit-Level Data'!K:K,"&gt;="&amp;($Q$2-7),
'Unit-Level Data'!K:K,"&lt;="&amp;$Q$2,
'Unit-Level Data'!G:G,0,
'Unit-Level Data'!B:B,B46),"")</f>
      </c>
      <c r="N46" s="693">
        <f ca="true">COUNTIFS('Unit-Level Data'!B:B, B46,
          'Unit-Level Data'!G:G, 0,
          'Unit-Level Data'!L:L, "")</f>
        <v>0</v>
      </c>
      <c r="O46" s="639">
        <f ca="true">N46-(N46-K46+F46)</f>
        <v>0</v>
      </c>
      <c r="P46" s="680" t="str">
        <f ca="true">IFERROR(AVERAGEIFS('Unit-Level Data'!O:O,'Unit-Level Data'!B:B, B46,
          'Unit-Level Data'!G:G, 0,
          'Unit-Level Data'!L:L, ""),"")</f>
      </c>
      <c r="Q46" s="687" t="str">
        <f ca="true">IFERROR(N46/SUMIFS('Unit Mix'!G:G,'Unit Mix'!D:D,0,'Unit Mix'!B:B,B46),"")</f>
      </c>
    </row>
    <row r="47" spans="2:17">
      <c r="B47" s="612" t="str">
        <f ca="true">IF(ISBLANK(OFFSET('Rent Comps'!$A$1,13,2)),"",OFFSET('Rent Comps'!$A$1,13,2))</f>
      </c>
      <c r="C47" s="776"/>
      <c r="D47" s="653"/>
      <c r="E47" s="661" t="s">
        <v>1038</v>
      </c>
      <c r="F47" s="672">
        <f ca="true">COUNTIFS('Unit-Level Data'!L:L, "&gt;=" &amp; ($Q$2 - 7),
          'Unit-Level Data'!L:L, "&lt;" &amp; $Q$2,
          'Unit-Level Data'!G:G, 1,
          'Unit-Level Data'!B:B, B46)</f>
        <v>0</v>
      </c>
      <c r="G47" s="642">
        <f ca="true">COUNTIFS('Unit-Level Data'!L:L, "&gt;=" &amp; ($Q$2 - 7),
          'Unit-Level Data'!L:L, "&lt;" &amp; $Q$2,
          'Unit-Level Data'!G:G, 1,
          'Unit-Level Data'!B:B, B46)
-
COUNTIFS('Unit-Level Data'!L:L, "&gt;=" &amp; ($Q$2 - 14),
         'Unit-Level Data'!L:L, "&lt;=" &amp; ($Q$2 - 7),
         'Unit-Level Data'!G:G, 1,
         'Unit-Level Data'!B:B, B46)</f>
        <v>0</v>
      </c>
      <c r="H47" s="640" t="str">
        <f ca="true">IFERROR(AVERAGEIFS('Unit-Level Data'!O:O,'Unit-Level Data'!L:L, "&gt;=" &amp; ($Q$2 - 7),
          'Unit-Level Data'!L:L, "&lt;" &amp; $Q$2,
          'Unit-Level Data'!G:G, 1,
          'Unit-Level Data'!B:B, B46),"")</f>
      </c>
      <c r="I47" s="641">
        <f ca="true">IFERROR(
    AVERAGEIFS('Unit-Level Data'!O:O,
               'Unit-Level Data'!L:L, "&gt;=" &amp; ($Q$2 - 7),
               'Unit-Level Data'!L:L, "&lt;" &amp; $Q$2,
               'Unit-Level Data'!G:G, 1,
               'Unit-Level Data'!B:B, B46)
    -
    AVERAGEIFS('Unit-Level Data'!O:O,
               'Unit-Level Data'!L:L, "&gt;=" &amp; ($Q$2 - 14),
               'Unit-Level Data'!L:L, "&lt;=" &amp; ($Q$2 - 7),
               'Unit-Level Data'!G:G, 1,
               'Unit-Level Data'!B:B, B46),
0)</f>
        <v>0</v>
      </c>
      <c r="J47" s="673">
        <f ca="true">IFERROR(I47/AVERAGEIFS('Unit-Level Data'!O:O,
               'Unit-Level Data'!L:L, "&gt;=" &amp; ($Q$2 - 14),
               'Unit-Level Data'!L:L, "&lt;=" &amp; ($Q$2 - 7),
               'Unit-Level Data'!G:G, 1,
               'Unit-Level Data'!B:B, B46),0)</f>
        <v>0</v>
      </c>
      <c r="K47" s="672">
        <f ca="true">COUNTIFS('Unit-Level Data'!K:K, "&gt;=" &amp; ($Q$2 - 7),
          'Unit-Level Data'!K:K, "&lt;" &amp; $Q$2,
          'Unit-Level Data'!G:G, 1,
          'Unit-Level Data'!B:B, B46)</f>
        <v>0</v>
      </c>
      <c r="L47" s="642">
        <f ca="true">
COUNTIFS(
    'Unit-Level Data'!K:K, "&gt;=" &amp; ($Q$2 - 7),
    'Unit-Level Data'!K:K, "&lt;" &amp; $Q$2,
    'Unit-Level Data'!G:G, 1,
    'Unit-Level Data'!B:B, B46
)
-
COUNTIFS(
    'Unit-Level Data'!K:K, "&gt;=" &amp; ($Q$2 - 14),
    'Unit-Level Data'!K:K, "&lt;=" &amp; ($Q$2 - 7),
    'Unit-Level Data'!G:G, 1,
    'Unit-Level Data'!B:B, B46
)</f>
        <v>0</v>
      </c>
      <c r="M47" s="681" t="str">
        <f ca="true">IFERROR(AVERAGEIFS('Unit-Level Data'!O:O,'Unit-Level Data'!K:K,"&gt;="&amp;($Q$2-7),
'Unit-Level Data'!K:K,"&lt;="&amp;$Q$2,
'Unit-Level Data'!G:G,1,
'Unit-Level Data'!B:B,B46),"")</f>
      </c>
      <c r="N47" s="694">
        <f ca="true">COUNTIFS('Unit-Level Data'!B:B, B46,
          'Unit-Level Data'!G:G, 1,
          'Unit-Level Data'!L:L, "")</f>
        <v>0</v>
      </c>
      <c r="O47" s="642">
        <f t="shared" ref="O47:O49" ca="true" si="10">N47-(N47-K47+F47)</f>
        <v>0</v>
      </c>
      <c r="P47" s="681" t="str">
        <f ca="true">IFERROR(AVERAGEIFS('Unit-Level Data'!O:O,'Unit-Level Data'!B:B, B46,
          'Unit-Level Data'!G:G, 1,
          'Unit-Level Data'!L:L, ""),"")</f>
      </c>
      <c r="Q47" s="688" t="str">
        <f ca="true">IFERROR(N47/SUMIFS('Unit Mix'!G:G,'Unit Mix'!D:D,1,'Unit Mix'!B:B,B46),"")</f>
      </c>
    </row>
    <row r="48" spans="2:17">
      <c r="B48" s="612" t="str">
        <f ca="true">IF(ISBLANK(OFFSET('Rent Comparison'!$A$1,2,15)),"",OFFSET('Rent Comparison'!$A$1,2,15))</f>
      </c>
      <c r="C48" s="776"/>
      <c r="D48" s="653"/>
      <c r="E48" s="661" t="s">
        <v>1039</v>
      </c>
      <c r="F48" s="672">
        <f ca="true">COUNTIFS('Unit-Level Data'!L:L, "&gt;=" &amp; ($Q$2 - 7),
          'Unit-Level Data'!L:L, "&lt;" &amp; $Q$2,
          'Unit-Level Data'!G:G, 2,
          'Unit-Level Data'!B:B, B46)</f>
        <v>0</v>
      </c>
      <c r="G48" s="642">
        <f ca="true">COUNTIFS('Unit-Level Data'!L:L, "&gt;=" &amp; ($Q$2 - 7),
          'Unit-Level Data'!L:L, "&lt;" &amp; $Q$2,
          'Unit-Level Data'!G:G, 2,
          'Unit-Level Data'!B:B, B46)
-
COUNTIFS('Unit-Level Data'!L:L, "&gt;=" &amp; ($Q$2 - 14),
         'Unit-Level Data'!L:L, "&lt;=" &amp; ($Q$2 - 7),
         'Unit-Level Data'!G:G, 2,
         'Unit-Level Data'!B:B, B46)</f>
        <v>0</v>
      </c>
      <c r="H48" s="640" t="str">
        <f ca="true">IFERROR(AVERAGEIFS('Unit-Level Data'!O:O,'Unit-Level Data'!L:L, "&gt;=" &amp; ($Q$2 - 7),
          'Unit-Level Data'!L:L, "&lt;" &amp; $Q$2,
          'Unit-Level Data'!G:G, 2,
          'Unit-Level Data'!B:B, B46),"")</f>
      </c>
      <c r="I48" s="641">
        <f ca="true">IFERROR(
    AVERAGEIFS('Unit-Level Data'!O:O,
               'Unit-Level Data'!L:L, "&gt;=" &amp; ($Q$2 - 7),
               'Unit-Level Data'!L:L, "&lt;" &amp; $Q$2,
               'Unit-Level Data'!G:G, 2,
               'Unit-Level Data'!B:B, B46)
    -
    AVERAGEIFS('Unit-Level Data'!O:O,
               'Unit-Level Data'!L:L, "&gt;=" &amp; ($Q$2 - 14),
               'Unit-Level Data'!L:L, "&lt;=" &amp; ($Q$2 - 7),
               'Unit-Level Data'!G:G, 2,
               'Unit-Level Data'!B:B, B46),
0)</f>
        <v>0</v>
      </c>
      <c r="J48" s="673">
        <f ca="true">IFERROR(I48/AVERAGEIFS('Unit-Level Data'!O:O,
               'Unit-Level Data'!L:L, "&gt;=" &amp; ($Q$2 - 14),
               'Unit-Level Data'!L:L, "&lt;=" &amp; ($Q$2 - 7),
               'Unit-Level Data'!G:G, 2,
               'Unit-Level Data'!B:B, B46),0)</f>
        <v>0</v>
      </c>
      <c r="K48" s="672">
        <f ca="true">COUNTIFS('Unit-Level Data'!K:K, "&gt;=" &amp; ($Q$2 - 7),
          'Unit-Level Data'!K:K, "&lt;" &amp; $Q$2,
          'Unit-Level Data'!G:G, 2,
          'Unit-Level Data'!B:B, B46)</f>
        <v>0</v>
      </c>
      <c r="L48" s="642">
        <f ca="true">
COUNTIFS(
    'Unit-Level Data'!K:K, "&gt;=" &amp; ($Q$2 - 7),
    'Unit-Level Data'!K:K, "&lt;" &amp; $Q$2,
    'Unit-Level Data'!G:G, 2,
    'Unit-Level Data'!B:B, B46
)
-
COUNTIFS(
    'Unit-Level Data'!K:K, "&gt;=" &amp; ($Q$2 - 14),
    'Unit-Level Data'!K:K, "&lt;=" &amp; ($Q$2 - 7),
    'Unit-Level Data'!G:G, 2,
    'Unit-Level Data'!B:B, B46
)</f>
        <v>0</v>
      </c>
      <c r="M48" s="681" t="str">
        <f ca="true">IFERROR(AVERAGEIFS('Unit-Level Data'!O:O,'Unit-Level Data'!K:K,"&gt;="&amp;($Q$2-7),
'Unit-Level Data'!K:K,"&lt;="&amp;$Q$2,
'Unit-Level Data'!G:G,2,
'Unit-Level Data'!B:B,B46),"")</f>
      </c>
      <c r="N48" s="694">
        <f ca="true">COUNTIFS('Unit-Level Data'!B:B, B46,
          'Unit-Level Data'!G:G, 2,
          'Unit-Level Data'!L:L, "")</f>
        <v>0</v>
      </c>
      <c r="O48" s="642">
        <f t="shared" ca="true" si="10"/>
        <v>0</v>
      </c>
      <c r="P48" s="681" t="str">
        <f ca="true">IFERROR(AVERAGEIFS('Unit-Level Data'!O:O,'Unit-Level Data'!B:B, B46,
          'Unit-Level Data'!G:G, 2,
          'Unit-Level Data'!L:L, ""),"")</f>
      </c>
      <c r="Q48" s="688" t="str">
        <f ca="true">IFERROR(N48/SUMIFS('Unit Mix'!G:G,'Unit Mix'!D:D,2,'Unit Mix'!B:B,B46),"")</f>
      </c>
    </row>
    <row r="49" spans="2:17" ht="15" thickBot="true">
      <c r="B49" s="656" t="str">
        <f ca="true">IF(ISBLANK(OFFSET('Rent Comparison'!$A$1,3,15)),"",OFFSET('Rent Comparison'!$A$1,3,15))</f>
      </c>
      <c r="C49" s="777"/>
      <c r="D49" s="654"/>
      <c r="E49" s="662" t="s">
        <v>1040</v>
      </c>
      <c r="F49" s="674">
        <f ca="true">COUNTIFS('Unit-Level Data'!L:L, "&gt;=" &amp; ($Q$2 - 7),
          'Unit-Level Data'!L:L, "&lt;" &amp; $Q$2,
          'Unit-Level Data'!G:G, 3,
          'Unit-Level Data'!B:B, B46)</f>
        <v>0</v>
      </c>
      <c r="G49" s="645">
        <f ca="true">COUNTIFS('Unit-Level Data'!L:L, "&gt;=" &amp; ($Q$2 - 7),
          'Unit-Level Data'!L:L, "&lt;" &amp; $Q$2,
          'Unit-Level Data'!G:G, 3,
          'Unit-Level Data'!B:B, B46)
-
COUNTIFS('Unit-Level Data'!L:L, "&gt;=" &amp; ($Q$2 - 14),
         'Unit-Level Data'!L:L, "&lt;=" &amp; ($Q$2 - 7),
         'Unit-Level Data'!G:G, 3,
         'Unit-Level Data'!B:B, B46)</f>
        <v>0</v>
      </c>
      <c r="H49" s="643" t="str">
        <f ca="true">IFERROR(AVERAGEIFS('Unit-Level Data'!O:O,'Unit-Level Data'!L:L, "&gt;=" &amp; ($Q$2 - 7),
          'Unit-Level Data'!L:L, "&lt;" &amp; $Q$2,
          'Unit-Level Data'!G:G, 3,
          'Unit-Level Data'!B:B, B46),"")</f>
      </c>
      <c r="I49" s="644">
        <f ca="true">IFERROR(
    AVERAGEIFS('Unit-Level Data'!O:O,
               'Unit-Level Data'!L:L, "&gt;=" &amp; ($Q$2 - 7),
               'Unit-Level Data'!L:L, "&lt;" &amp; $Q$2,
               'Unit-Level Data'!G:G, 3,
               'Unit-Level Data'!B:B, B46)
    -
    AVERAGEIFS('Unit-Level Data'!O:O,
               'Unit-Level Data'!L:L, "&gt;=" &amp; ($Q$2 - 14),
               'Unit-Level Data'!L:L, "&lt;=" &amp; ($Q$2 - 7),
               'Unit-Level Data'!G:G, 3,
               'Unit-Level Data'!B:B, B46),
0)</f>
        <v>0</v>
      </c>
      <c r="J49" s="675">
        <f ca="true">IFERROR(I49/AVERAGEIFS('Unit-Level Data'!O:O,
               'Unit-Level Data'!L:L, "&gt;=" &amp; ($Q$2 - 14),
               'Unit-Level Data'!L:L, "&lt;=" &amp; ($Q$2 - 7),
               'Unit-Level Data'!G:G, 3,
               'Unit-Level Data'!B:B, B46),0)</f>
        <v>0</v>
      </c>
      <c r="K49" s="674">
        <f ca="true">COUNTIFS('Unit-Level Data'!K:K, "&gt;=" &amp; ($Q$2 - 7),
          'Unit-Level Data'!K:K, "&lt;" &amp; $Q$2,
          'Unit-Level Data'!G:G, 3,
          'Unit-Level Data'!B:B, B46)</f>
        <v>0</v>
      </c>
      <c r="L49" s="645">
        <f ca="true">
COUNTIFS(
    'Unit-Level Data'!K:K, "&gt;=" &amp; ($Q$2 - 7),
    'Unit-Level Data'!K:K, "&lt;" &amp; $Q$2,
    'Unit-Level Data'!G:G, 3,
    'Unit-Level Data'!B:B, B46
)
-
COUNTIFS(
    'Unit-Level Data'!K:K, "&gt;=" &amp; ($Q$2 - 14),
    'Unit-Level Data'!K:K, "&lt;=" &amp; ($Q$2 - 7),
    'Unit-Level Data'!G:G, 3,
    'Unit-Level Data'!B:B, B46
)</f>
        <v>0</v>
      </c>
      <c r="M49" s="682" t="str">
        <f ca="true">IFERROR(AVERAGEIFS('Unit-Level Data'!O:O,'Unit-Level Data'!K:K,"&gt;="&amp;($Q$2-7),
'Unit-Level Data'!K:K,"&lt;="&amp;$Q$2,
'Unit-Level Data'!G:G,3,
'Unit-Level Data'!B:B,B46),"")</f>
      </c>
      <c r="N49" s="695">
        <f ca="true">COUNTIFS('Unit-Level Data'!B:B, B46,
          'Unit-Level Data'!G:G, 3,
          'Unit-Level Data'!L:L, "")</f>
        <v>0</v>
      </c>
      <c r="O49" s="645">
        <f t="shared" ca="true" si="10"/>
        <v>0</v>
      </c>
      <c r="P49" s="682" t="str">
        <f ca="true">IFERROR(AVERAGEIFS('Unit-Level Data'!O:O,'Unit-Level Data'!B:B, B46,
          'Unit-Level Data'!G:G, 3,
          'Unit-Level Data'!L:L, ""),"")</f>
      </c>
      <c r="Q49" s="689" t="str">
        <f ca="true">IFERROR(N49/SUMIFS('Unit Mix'!G:G,'Unit Mix'!D:D,3,'Unit Mix'!B:B,B46),"")</f>
      </c>
    </row>
  </sheetData>
  <mergeCells count="12">
    <mergeCell ref="I3:J3"/>
    <mergeCell ref="C6:C9"/>
    <mergeCell ref="C10:C13"/>
    <mergeCell ref="C14:C17"/>
    <mergeCell ref="C18:C21"/>
    <mergeCell ref="C42:C45"/>
    <mergeCell ref="C46:C49"/>
    <mergeCell ref="C22:C25"/>
    <mergeCell ref="C26:C29"/>
    <mergeCell ref="C30:C33"/>
    <mergeCell ref="C34:C37"/>
    <mergeCell ref="C38:C41"/>
  </mergeCells>
  <conditionalFormatting sqref="G6:G49">
    <cfRule type="cellIs" dxfId="34" priority="11" operator="lessThan">
      <formula>0</formula>
    </cfRule>
    <cfRule type="cellIs" dxfId="33" priority="12" operator="greaterThan">
      <formula>0</formula>
    </cfRule>
  </conditionalFormatting>
  <conditionalFormatting sqref="I6:J49">
    <cfRule type="cellIs" dxfId="32" priority="7" operator="lessThan">
      <formula>0</formula>
    </cfRule>
    <cfRule type="cellIs" dxfId="31" priority="8" operator="greaterThan">
      <formula>0</formula>
    </cfRule>
  </conditionalFormatting>
  <conditionalFormatting sqref="L6:L49">
    <cfRule type="cellIs" dxfId="30" priority="5" operator="lessThan">
      <formula>0</formula>
    </cfRule>
    <cfRule type="cellIs" dxfId="29" priority="6" operator="greaterThan">
      <formula>0</formula>
    </cfRule>
  </conditionalFormatting>
  <conditionalFormatting sqref="O6:O49">
    <cfRule type="cellIs" dxfId="28" priority="3" operator="lessThan">
      <formula>0</formula>
    </cfRule>
    <cfRule type="cellIs" dxfId="27" priority="4"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B1E1E-56BC-41D8-BCDC-BF8FC206D9C1}">
  <sheetPr codeName="Sheet3">
    <pageSetUpPr fitToPage="true"/>
  </sheetPr>
  <dimension ref="B1:Q11"/>
  <sheetViews>
    <sheetView showGridLines="false" zoomScaleNormal="100" workbookViewId="0"/>
  </sheetViews>
  <sheetFormatPr defaultColWidth="8.7265625" defaultRowHeight="13"/>
  <cols>
    <col customWidth="true" max="1" min="1" style="1" width="2.54296875"/>
    <col customWidth="true" max="2" min="2" style="1" width="25.1796875"/>
    <col customWidth="true" max="4" min="3" style="1" width="18.7265625"/>
    <col customWidth="true" max="6" min="5" style="2" width="18.7265625"/>
    <col customWidth="true" max="7" min="7" style="3" width="20.26953125"/>
    <col customWidth="true" max="8" min="8" style="4" width="18.6328125"/>
    <col customWidth="true" max="9" min="9" style="4" width="2.54296875"/>
    <col customWidth="true" max="10" min="10" style="4" width="21.6328125"/>
    <col customWidth="true" max="11" min="11" style="5" width="18.08984375"/>
    <col customWidth="true" max="12" min="12" style="6" width="18.7265625"/>
    <col customWidth="true" max="13" min="13" style="5" width="18.7265625"/>
    <col customWidth="true" max="14" min="14" style="6" width="18.7265625"/>
    <col customWidth="true" max="15" min="15" style="5" width="18.7265625"/>
    <col customWidth="true" max="16" min="16" style="5" width="24.1796875"/>
    <col customWidth="true" max="17" min="17" style="5" width="2.54296875"/>
    <col max="16384" min="18" style="1" width="8.7265625"/>
  </cols>
  <sheetData>
    <row r="1" spans="2:17" ht="8" customHeight="true"/>
    <row r="2" spans="2:17" s="7" customFormat="true" ht="23.5">
      <c r="B2" s="708" t="s">
        <v>1214</v>
      </c>
      <c r="C2" s="56"/>
      <c r="D2" s="56"/>
      <c r="E2" s="56"/>
      <c r="F2" s="57"/>
      <c r="G2" s="57"/>
      <c r="H2" s="57"/>
      <c r="I2" s="57"/>
      <c r="J2" s="57"/>
      <c r="K2" s="56"/>
      <c r="L2" s="56"/>
      <c r="M2" s="56"/>
      <c r="N2" s="56"/>
      <c r="O2" s="602" t="s">
        <v>1044</v>
      </c>
      <c r="P2" s="602">
        <v>45785</v>
      </c>
      <c r="Q2" s="58"/>
    </row>
    <row r="3" spans="2:17" ht="14.5">
      <c r="B3" s="770" t="s">
        <v>1212</v>
      </c>
      <c r="F3" s="59"/>
      <c r="G3" s="59"/>
      <c r="H3" s="59"/>
      <c r="I3" s="59"/>
      <c r="K3" s="59"/>
      <c r="P3" s="538"/>
    </row>
    <row r="4" spans="2:17">
      <c r="F4" s="59"/>
      <c r="G4" s="59"/>
      <c r="H4" s="59"/>
      <c r="I4" s="59"/>
      <c r="J4" s="59"/>
      <c r="K4" s="59"/>
    </row>
    <row r="5" spans="2:17" ht="14.5">
      <c r="B5" s="52"/>
      <c r="C5" s="53" t="s">
        <v>840</v>
      </c>
      <c r="D5" s="53" t="s">
        <v>841</v>
      </c>
      <c r="E5" s="53" t="s">
        <v>572</v>
      </c>
      <c r="F5" s="53" t="s">
        <v>573</v>
      </c>
      <c r="G5" s="78" t="s">
        <v>593</v>
      </c>
      <c r="H5" s="78" t="s">
        <v>745</v>
      </c>
      <c r="I5" s="78"/>
      <c r="J5" s="78" t="s">
        <v>374</v>
      </c>
    </row>
    <row r="6" spans="2:17" ht="31">
      <c r="B6" s="60" t="s">
        <v>1214</v>
      </c>
      <c r="C6" s="61" t="str">
        <f ca="true">IF(ISNUMBER(OFFSET('Rent Comps'!A1,3,24))=TRUE,OFFSET('Rent Comps'!A1,3,24),"")</f>
      </c>
      <c r="D6" s="62" t="str">
        <f ca="true">IF(ISNUMBER(OFFSET('Rent Comps'!A1,3,25))=TRUE,OFFSET('Rent Comps'!A1,3,25),"")</f>
      </c>
      <c r="E6" s="61" t="str">
        <f ca="true">IF(ISNUMBER(OFFSET('Rent Comps'!A1,3,38))=TRUE,OFFSET('Rent Comps'!A1,3,38),"")</f>
      </c>
      <c r="F6" s="62" t="str">
        <f ca="true">IF(ISNUMBER(OFFSET('Rent Comps'!A1,3,39))=TRUE,OFFSET('Rent Comps'!A1,3,39),"")</f>
      </c>
      <c r="G6" s="544" t="str">
        <f ca="true">IFERROR((C6-E6)/C6,"")</f>
      </c>
      <c r="H6" s="102" t="str">
        <f ca="true">IF(ISNUMBER(OFFSET('Rent Comps'!A1,3,10))=TRUE,OFFSET('Rent Comps'!A1,3,10),"")</f>
      </c>
      <c r="I6" s="103"/>
      <c r="J6" s="102" t="str">
        <f ca="true">IF(ISNUMBER(OFFSET('Rent Comps'!A1,3,11))=TRUE,OFFSET('Rent Comps'!A1,3,11),"")</f>
      </c>
    </row>
    <row r="7" spans="2:17" ht="31">
      <c r="B7" s="63" t="s">
        <v>574</v>
      </c>
      <c r="C7" s="64">
        <f>GETPIVOTDATA("Asking Rent",Data!$A$3)</f>
        <v>3192.1308337710711</v>
      </c>
      <c r="D7" s="65">
        <f>GETPIVOTDATA("Asking PSF",Data!$A$3)</f>
        <v>3.9860699534634989</v>
      </c>
      <c r="E7" s="64">
        <f>GETPIVOTDATA("Effective Rent",Data!$E$3)</f>
        <v>3184.9308337710709</v>
      </c>
      <c r="F7" s="65">
        <f>GETPIVOTDATA("Effective PSF",Data!$E$3)</f>
        <v>3.9778372807767397</v>
      </c>
      <c r="G7" s="507">
        <f>(C7-E7)/C7</f>
        <v>2.2555466473454179E-3</v>
      </c>
      <c r="H7" s="508">
        <f>GETPIVOTDATA("Average of Leased %",Data!$AG$3)</f>
        <v>0.96888803925345568</v>
      </c>
      <c r="I7" s="506"/>
      <c r="J7" s="508">
        <f>GETPIVOTDATA("Average of Exposure %",Data!$AG$3)</f>
        <v>5.8139406641810665E-2</v>
      </c>
    </row>
    <row r="8" spans="2:17" ht="21">
      <c r="B8" s="66" t="s">
        <v>575</v>
      </c>
      <c r="C8" s="67">
        <f t="shared" ref="C8:F8" ca="true" si="0">IFERROR(C6-C7,0)</f>
        <v>0</v>
      </c>
      <c r="D8" s="67">
        <f t="shared" ca="true" si="0"/>
        <v>0</v>
      </c>
      <c r="E8" s="67">
        <f t="shared" ca="true" si="0"/>
        <v>0</v>
      </c>
      <c r="F8" s="67">
        <f t="shared" ca="true" si="0"/>
        <v>0</v>
      </c>
      <c r="G8" s="87">
        <f ca="true">IFERROR(G6-G7,0)</f>
        <v>0</v>
      </c>
      <c r="H8" s="87">
        <f ca="true">IFERROR(H6-H7,0)</f>
        <v>0</v>
      </c>
      <c r="J8" s="87">
        <f ca="true">IFERROR(J6-J7,0)</f>
        <v>0</v>
      </c>
    </row>
    <row r="9" spans="2:17">
      <c r="C9" s="3" t="str">
        <f t="shared" ref="C9:F9" ca="true" si="1">IFERROR(IF(C6-C7&gt;0,"above market","below market"),"")</f>
      </c>
      <c r="D9" s="3" t="str">
        <f t="shared" ca="true" si="1"/>
      </c>
      <c r="E9" s="3" t="str">
        <f t="shared" ca="true" si="1"/>
      </c>
      <c r="F9" s="3" t="str">
        <f t="shared" ca="true" si="1"/>
      </c>
      <c r="G9" s="3" t="str">
        <f ca="true">IFERROR(IF(G6-G7&gt;0,"above market","below market"),"")</f>
      </c>
      <c r="H9" s="3" t="str">
        <f ca="true">IFERROR(IF(H6-H7&gt;0,"above market","below market"),"")</f>
      </c>
      <c r="J9" s="3" t="str">
        <f ca="true">IFERROR(IF(J6-J7&gt;0,"above market","below market"),"")</f>
      </c>
    </row>
    <row r="10" spans="2:17">
      <c r="F10" s="59"/>
      <c r="G10" s="59"/>
      <c r="H10" s="59"/>
      <c r="I10" s="59"/>
      <c r="J10" s="59"/>
      <c r="K10" s="59"/>
    </row>
    <row r="11" spans="2:17" ht="30" customHeight="true">
      <c r="B11" s="113" t="s">
        <v>587</v>
      </c>
      <c r="C11" s="114"/>
      <c r="D11" s="114"/>
      <c r="E11" s="115"/>
      <c r="F11" s="75"/>
      <c r="G11" s="75"/>
      <c r="H11" s="75"/>
      <c r="I11" s="68"/>
      <c r="J11" s="113" t="s">
        <v>586</v>
      </c>
      <c r="K11" s="75"/>
      <c r="L11" s="116"/>
      <c r="M11" s="117"/>
      <c r="N11" s="118"/>
      <c r="O11" s="117"/>
      <c r="P11" s="117"/>
    </row>
  </sheetData>
  <conditionalFormatting sqref="C8:F8">
    <cfRule type="cellIs" dxfId="26" priority="15" operator="lessThan">
      <formula>0</formula>
    </cfRule>
    <cfRule type="cellIs" dxfId="25" priority="16" operator="greaterThan">
      <formula>0</formula>
    </cfRule>
  </conditionalFormatting>
  <conditionalFormatting sqref="C9:F9">
    <cfRule type="cellIs" dxfId="24" priority="13" operator="equal">
      <formula>"below market"</formula>
    </cfRule>
    <cfRule type="cellIs" dxfId="23" priority="14" operator="equal">
      <formula>"above market"</formula>
    </cfRule>
  </conditionalFormatting>
  <conditionalFormatting sqref="G8:H8 J8">
    <cfRule type="cellIs" dxfId="22" priority="11" operator="lessThan">
      <formula>0</formula>
    </cfRule>
    <cfRule type="cellIs" dxfId="21" priority="12" operator="greaterThan">
      <formula>0</formula>
    </cfRule>
  </conditionalFormatting>
  <conditionalFormatting sqref="G9:H9 J9">
    <cfRule type="cellIs" dxfId="20" priority="9" operator="equal">
      <formula>"below market"</formula>
    </cfRule>
    <cfRule type="cellIs" dxfId="19" priority="10" operator="equal">
      <formula>"above market"</formula>
    </cfRule>
  </conditionalFormatting>
  <conditionalFormatting sqref="H8">
    <cfRule type="cellIs" dxfId="18" priority="7" operator="lessThan">
      <formula>0</formula>
    </cfRule>
    <cfRule type="cellIs" dxfId="17" priority="8" operator="greaterThan">
      <formula>0</formula>
    </cfRule>
  </conditionalFormatting>
  <conditionalFormatting sqref="H9">
    <cfRule type="cellIs" dxfId="16" priority="5" operator="equal">
      <formula>"below market"</formula>
    </cfRule>
    <cfRule type="cellIs" dxfId="15" priority="6" operator="equal">
      <formula>"above market"</formula>
    </cfRule>
  </conditionalFormatting>
  <pageMargins left="0.25" right="0.25" top="0.75" bottom="0.75" header="0.3" footer="0.3"/>
  <pageSetup fitToHeight="0" r:id="rId1" orientation="landscape" scale="46"/>
  <headerFooter>
    <oddHeader>&amp;L&amp;"-,Bold"&amp;K4438CAMarket Analysis Report&amp;R&amp;"-,Bold"&amp;K4438CAAs of: &amp;D</oddHeader>
    <oddFooter>&amp;L&amp;"-,Bold"&amp;K4438CAHelloData.ai</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07CB0-C928-454E-A04F-F8095453DF03}">
  <sheetPr codeName="Sheet6">
    <tabColor rgb="FF4438CA"/>
  </sheetPr>
  <dimension ref="A1:DN41"/>
  <sheetViews>
    <sheetView zoomScaleNormal="100" workbookViewId="0"/>
  </sheetViews>
  <sheetFormatPr defaultRowHeight="14.5"/>
  <cols>
    <col bestFit="true" customWidth="true" max="1" min="1" width="54"/>
    <col bestFit="true" customWidth="true" max="2" min="2" width="10.6328125"/>
    <col bestFit="true" customWidth="true" max="3" min="3" width="9.6328125"/>
    <col customWidth="true" max="4" min="4" width="2.54296875"/>
    <col bestFit="true" customWidth="true" max="5" min="5" width="54"/>
    <col bestFit="true" customWidth="true" max="6" min="6" width="12.36328125"/>
    <col bestFit="true" customWidth="true" max="7" min="7" width="11.36328125"/>
    <col customWidth="true" max="8" min="8" style="122" width="2.54296875"/>
    <col bestFit="true" customWidth="true" max="9" min="9" width="20.54296875"/>
    <col bestFit="true" customWidth="true" max="10" min="10" width="6.36328125"/>
    <col bestFit="true" customWidth="true" max="11" min="11" width="8"/>
    <col customWidth="true" max="12" min="12" width="2.54296875"/>
    <col bestFit="true" customWidth="true" max="13" min="13" width="20.54296875"/>
    <col bestFit="true" customWidth="true" max="14" min="14" width="6.36328125"/>
    <col bestFit="true" customWidth="true" max="15" min="15" width="8"/>
    <col customWidth="true" max="16" min="16" width="2.54296875"/>
    <col bestFit="true" customWidth="true" max="17" min="17" width="20.54296875"/>
    <col bestFit="true" customWidth="true" max="18" min="18" width="6.36328125"/>
    <col bestFit="true" customWidth="true" max="19" min="19" width="8"/>
    <col customWidth="true" max="20" min="20" width="2.54296875"/>
    <col bestFit="true" customWidth="true" max="21" min="21" width="20.54296875"/>
    <col bestFit="true" customWidth="true" max="22" min="22" width="6.36328125"/>
    <col bestFit="true" customWidth="true" max="23" min="23" width="8"/>
    <col customWidth="true" max="24" min="24" width="2.6328125"/>
    <col bestFit="true" customWidth="true" max="25" min="25" width="18"/>
    <col bestFit="true" customWidth="true" max="26" min="26" style="123" width="6.36328125"/>
    <col bestFit="true" customWidth="true" max="27" min="27" style="123" width="8"/>
    <col customWidth="true" max="28" min="28" width="2.6328125"/>
    <col bestFit="true" customWidth="true" max="29" min="29" width="20.54296875"/>
    <col bestFit="true" customWidth="true" max="30" min="30" style="123" width="6.36328125"/>
    <col bestFit="true" customWidth="true" max="31" min="31" style="123" width="8"/>
    <col customWidth="true" max="32" min="32" width="2.6328125"/>
    <col bestFit="true" customWidth="true" max="33" min="33" width="20.54296875"/>
    <col bestFit="true" customWidth="true" max="34" min="34" style="503" width="18"/>
    <col bestFit="true" customWidth="true" max="35" min="35" style="503" width="20"/>
    <col customWidth="true" max="36" min="36" width="2.6328125"/>
    <col customWidth="true" max="37" min="37" width="2"/>
    <col customWidth="true" max="38" min="38" width="2.54296875"/>
    <col bestFit="true" customWidth="true" max="39" min="39" width="54"/>
    <col bestFit="true" customWidth="true" max="40" min="40" width="20.90625"/>
    <col customWidth="true" max="41" min="41" width="2.54296875"/>
    <col bestFit="true" customWidth="true" max="42" min="42" width="54"/>
    <col customWidth="true" max="43" min="43" width="21.36328125"/>
    <col customWidth="true" max="44" min="44" width="2.54296875"/>
    <col bestFit="true" customWidth="true" max="45" min="45" width="10.7265625"/>
    <col bestFit="true" customWidth="true" max="46" min="46" width="20.90625"/>
    <col customWidth="true" max="47" min="47" width="2.54296875"/>
    <col bestFit="true" customWidth="true" max="48" min="48" width="54"/>
    <col bestFit="true" customWidth="true" max="49" min="49" style="123" width="20.1796875"/>
    <col bestFit="true" customWidth="true" max="50" min="50" style="123" width="22"/>
    <col customWidth="true" max="51" min="51" width="2.54296875"/>
    <col bestFit="true" customWidth="true" max="52" min="52" width="54"/>
    <col bestFit="true" customWidth="true" max="53" min="53" width="20.1796875"/>
    <col bestFit="true" customWidth="true" max="54" min="54" width="22"/>
    <col customWidth="true" max="55" min="55" width="2"/>
    <col bestFit="true" customWidth="true" max="56" min="56" width="54"/>
    <col bestFit="true" customWidth="true" max="57" min="57" style="123" width="19.1796875"/>
    <col customWidth="true" max="58" min="58" style="123" width="21.90625"/>
    <col customWidth="true" max="59" min="59" width="2.54296875"/>
    <col bestFit="true" customWidth="true" max="60" min="60" width="54"/>
    <col bestFit="true" customWidth="true" max="62" min="61" width="20.90625"/>
    <col customWidth="true" max="63" min="63" width="2.54296875"/>
    <col bestFit="true" customWidth="true" max="64" min="64" width="36"/>
    <col bestFit="true" customWidth="true" max="65" min="65" width="37.6328125"/>
    <col customWidth="true" max="66" min="66" width="2.54296875"/>
    <col bestFit="true" customWidth="true" max="67" min="67" width="10.7265625"/>
    <col bestFit="true" customWidth="true" max="68" min="68" width="37.6328125"/>
    <col customWidth="true" max="69" min="69" width="2.6328125"/>
    <col bestFit="true" customWidth="true" max="70" min="70" width="10.7265625"/>
    <col bestFit="true" customWidth="true" max="71" min="71" width="7.6328125"/>
    <col customWidth="true" max="72" min="72" width="2.6328125"/>
    <col bestFit="true" customWidth="true" max="73" min="73" width="54"/>
    <col bestFit="true" customWidth="true" max="74" min="74" width="20.90625"/>
    <col customWidth="true" max="75" min="75" width="2.6328125"/>
    <col bestFit="true" customWidth="true" max="76" min="76" width="54"/>
    <col bestFit="true" customWidth="true" max="77" min="77" style="124" width="19.90625"/>
    <col bestFit="true" customWidth="true" max="78" min="78" style="124" width="10.90625"/>
    <col customWidth="true" max="79" min="79" width="2.6328125"/>
    <col customWidth="true" max="80" min="80" style="119" width="19.90625"/>
    <col bestFit="true" customWidth="true" max="86" min="81" style="123" width="6.36328125"/>
    <col customWidth="true" max="87" min="87" style="123" width="2.6328125"/>
    <col bestFit="true" customWidth="true" max="88" min="88" style="123" width="14.26953125"/>
    <col customWidth="true" max="89" min="89" style="391" width="20.6328125"/>
    <col customWidth="true" max="90" min="90" style="391" width="17.453125"/>
    <col customWidth="true" max="91" min="91" style="123" width="2.6328125"/>
    <col bestFit="true" customWidth="true" max="92" min="92" style="123" width="10.7265625"/>
    <col bestFit="true" customWidth="true" max="93" min="93" style="391" width="20.1796875"/>
    <col bestFit="true" customWidth="true" max="94" min="94" style="390" width="22"/>
    <col customWidth="true" max="95" min="95" style="123" width="2.6328125"/>
    <col bestFit="true" customWidth="true" max="96" min="96" style="123" width="10.7265625"/>
    <col bestFit="true" customWidth="true" max="97" min="97" style="123" width="14.90625"/>
    <col customWidth="true" max="98" min="98" style="123" width="2.6328125"/>
    <col bestFit="true" customWidth="true" max="99" min="99" style="123" width="10.7265625"/>
    <col customWidth="true" max="100" min="100" style="123" width="10.90625"/>
    <col customWidth="true" max="101" min="101" style="123" width="5.26953125"/>
    <col bestFit="true" customWidth="true" max="103" min="103" width="56.7265625"/>
    <col bestFit="true" customWidth="true" max="104" min="104" style="123" width="13"/>
    <col bestFit="true" customWidth="true" max="105" min="105" style="123" width="6.6328125"/>
    <col bestFit="true" customWidth="true" max="106" min="106" style="123" width="6.453125"/>
    <col bestFit="true" customWidth="true" max="107" min="107" style="123" width="5.81640625"/>
    <col bestFit="true" customWidth="true" max="108" min="108" style="123" width="6.26953125"/>
    <col bestFit="true" customWidth="true" max="109" min="109" style="123" width="6.453125"/>
    <col bestFit="true" customWidth="true" max="110" min="110" style="123" width="5.90625"/>
    <col bestFit="true" customWidth="true" max="111" min="111" style="123" width="5.7265625"/>
    <col bestFit="true" customWidth="true" max="112" min="112" style="123" width="6.6328125"/>
    <col bestFit="true" customWidth="true" max="113" min="113" style="123" width="5.6328125"/>
    <col bestFit="true" customWidth="true" max="114" min="114" style="123" width="6.08984375"/>
    <col bestFit="true" customWidth="true" max="115" min="115" style="123" width="6.453125"/>
    <col bestFit="true" customWidth="true" max="116" min="116" style="123" width="6.26953125"/>
    <col bestFit="true" customWidth="true" max="117" min="117" style="123" width="5.453125"/>
    <col bestFit="true" customWidth="true" max="118" min="118" style="123" width="6.6328125"/>
    <col bestFit="true" customWidth="true" max="119" min="119" width="10.7265625"/>
    <col bestFit="true" customWidth="true" max="124" min="120" width="8.453125"/>
    <col bestFit="true" customWidth="true" max="146" min="125" width="9.453125"/>
    <col bestFit="true" customWidth="true" max="155" min="147" width="8.453125"/>
    <col bestFit="true" customWidth="true" max="177" min="156" width="9.453125"/>
    <col bestFit="true" customWidth="true" max="186" min="178" width="8.453125"/>
    <col bestFit="true" customWidth="true" max="213" min="187" width="9.453125"/>
    <col bestFit="true" customWidth="true" max="232" min="214" width="10.453125"/>
    <col bestFit="true" customWidth="true" max="240" min="233" width="9.453125"/>
    <col bestFit="true" customWidth="true" max="259" min="241" width="10.453125"/>
    <col bestFit="true" customWidth="true" max="267" min="260" width="9.453125"/>
    <col bestFit="true" customWidth="true" max="288" min="268" width="10.453125"/>
    <col bestFit="true" customWidth="true" max="296" min="289" width="8.453125"/>
    <col bestFit="true" customWidth="true" max="317" min="297" width="9.453125"/>
    <col bestFit="true" customWidth="true" max="326" min="318" width="8.453125"/>
    <col bestFit="true" customWidth="true" max="345" min="327" width="9.453125"/>
    <col bestFit="true" customWidth="true" max="354" min="346" width="8.453125"/>
    <col bestFit="true" customWidth="true" max="376" min="355" width="9.453125"/>
    <col bestFit="true" customWidth="true" max="385" min="377" width="8.453125"/>
    <col bestFit="true" customWidth="true" max="406" min="386" width="9.453125"/>
    <col bestFit="true" customWidth="true" max="415" min="407" width="8.453125"/>
    <col bestFit="true" customWidth="true" max="436" min="416" width="9.453125"/>
    <col bestFit="true" customWidth="true" max="445" min="437" width="8.453125"/>
    <col bestFit="true" customWidth="true" max="449" min="446" width="9.453125"/>
    <col bestFit="true" customWidth="true" max="450" min="450" width="6.7265625"/>
    <col bestFit="true" customWidth="true" max="451" min="451" width="10.7265625"/>
  </cols>
  <sheetData>
    <row r="1" spans="1:118" ht="23.5">
      <c r="A1" s="121" t="s">
        <v>571</v>
      </c>
      <c r="AK1" s="77"/>
      <c r="AM1" s="121" t="s">
        <v>583</v>
      </c>
    </row>
    <row r="2" spans="1:118" s="125" customFormat="true">
      <c r="A2" s="125" t="s">
        <v>584</v>
      </c>
      <c r="E2" s="125" t="s">
        <v>585</v>
      </c>
      <c r="H2" s="126"/>
      <c r="I2" s="125" t="s">
        <v>576</v>
      </c>
      <c r="M2" s="125" t="s">
        <v>577</v>
      </c>
      <c r="Q2" s="125" t="s">
        <v>578</v>
      </c>
      <c r="U2" s="125" t="s">
        <v>579</v>
      </c>
      <c r="Y2" s="125" t="s">
        <v>611</v>
      </c>
      <c r="Z2" s="127"/>
      <c r="AA2" s="127"/>
      <c r="AC2" s="125" t="s">
        <v>612</v>
      </c>
      <c r="AD2" s="127"/>
      <c r="AE2" s="127"/>
      <c r="AG2" s="125" t="s">
        <v>746</v>
      </c>
      <c r="AH2" s="505"/>
      <c r="AI2" s="505"/>
      <c r="AK2" s="54"/>
      <c r="AW2" s="127"/>
      <c r="AX2" s="127"/>
      <c r="BE2" s="127"/>
      <c r="BF2" s="127"/>
      <c r="BY2" s="128"/>
      <c r="BZ2" s="128"/>
      <c r="CB2" s="119"/>
      <c r="CC2" s="123"/>
      <c r="CD2" s="123"/>
      <c r="CE2" s="123"/>
      <c r="CF2" s="123"/>
      <c r="CG2" s="123"/>
      <c r="CH2" s="123"/>
      <c r="CI2" s="123"/>
      <c r="CJ2" s="123"/>
      <c r="CK2" s="391"/>
      <c r="CL2" s="391"/>
      <c r="CM2" s="123"/>
      <c r="CN2" s="123"/>
      <c r="CO2" s="391"/>
      <c r="CP2" s="390"/>
      <c r="CQ2" s="123"/>
      <c r="CR2" s="123"/>
      <c r="CS2" s="123"/>
      <c r="CT2" s="123"/>
      <c r="CU2" s="123"/>
      <c r="CV2" s="123"/>
      <c r="CZ2" s="127"/>
      <c r="DA2" s="127"/>
      <c r="DB2" s="127"/>
      <c r="DC2" s="127"/>
      <c r="DD2" s="127"/>
      <c r="DE2" s="127"/>
      <c r="DF2" s="127"/>
      <c r="DG2" s="127"/>
      <c r="DH2" s="127"/>
      <c r="DI2" s="127"/>
      <c r="DJ2" s="127"/>
      <c r="DK2" s="127"/>
      <c r="DL2" s="127"/>
      <c r="DM2" s="127"/>
      <c r="DN2" s="127"/>
    </row>
    <row r="3" spans="1:118">
      <c r="A3" s="814" t="s">
        <v>561</v>
      </c>
      <c r="B3" s="818" t="s">
        <v>290</v>
      </c>
      <c r="C3" s="818" t="s">
        <v>588</v>
      </c>
      <c r="E3" s="814" t="s">
        <v>561</v>
      </c>
      <c r="F3" s="818" t="s">
        <v>572</v>
      </c>
      <c r="G3" s="819" t="s">
        <v>582</v>
      </c>
      <c r="I3" s="814" t="s">
        <v>561</v>
      </c>
      <c r="J3" s="814" t="s">
        <v>580</v>
      </c>
      <c r="K3" s="818" t="s">
        <v>581</v>
      </c>
      <c r="M3" s="814" t="s">
        <v>561</v>
      </c>
      <c r="N3" s="814" t="s">
        <v>580</v>
      </c>
      <c r="O3" s="814" t="s">
        <v>581</v>
      </c>
      <c r="Q3" s="814" t="s">
        <v>561</v>
      </c>
      <c r="R3" s="814" t="s">
        <v>580</v>
      </c>
      <c r="S3" s="814" t="s">
        <v>581</v>
      </c>
      <c r="U3" s="814" t="s">
        <v>561</v>
      </c>
      <c r="V3" s="814" t="s">
        <v>580</v>
      </c>
      <c r="W3" s="814" t="s">
        <v>581</v>
      </c>
      <c r="Y3" s="814" t="s">
        <v>561</v>
      </c>
      <c r="Z3" s="818" t="s">
        <v>580</v>
      </c>
      <c r="AA3" s="818" t="s">
        <v>581</v>
      </c>
      <c r="AC3" s="814" t="s">
        <v>561</v>
      </c>
      <c r="AD3" s="818" t="s">
        <v>580</v>
      </c>
      <c r="AE3" s="818" t="s">
        <v>581</v>
      </c>
      <c r="AF3" s="773"/>
      <c r="AG3" s="814" t="s">
        <v>561</v>
      </c>
      <c r="AH3" s="831" t="s">
        <v>856</v>
      </c>
      <c r="AI3" s="831" t="s">
        <v>857</v>
      </c>
      <c r="AK3" s="77"/>
      <c r="AM3" s="814" t="s">
        <v>561</v>
      </c>
      <c r="AN3" s="815" t="s">
        <v>560</v>
      </c>
      <c r="AP3" s="814" t="s">
        <v>295</v>
      </c>
      <c r="AQ3" s="814" t="s">
        <v>562</v>
      </c>
      <c r="AS3" s="814" t="s">
        <v>561</v>
      </c>
      <c r="AT3" s="815" t="s">
        <v>560</v>
      </c>
      <c r="AZ3" s="814" t="s">
        <v>295</v>
      </c>
      <c r="BA3" s="814" t="s">
        <v>562</v>
      </c>
      <c r="BH3" s="814" t="s">
        <v>295</v>
      </c>
      <c r="BI3" s="814" t="s">
        <v>562</v>
      </c>
      <c r="BN3" s="120"/>
      <c r="BU3" s="814" t="s">
        <v>561</v>
      </c>
      <c r="BV3" s="815" t="s">
        <v>560</v>
      </c>
      <c r="BX3" s="814" t="s">
        <v>561</v>
      </c>
      <c r="BY3" s="818" t="s">
        <v>772</v>
      </c>
      <c r="BZ3" s="846" t="s">
        <v>628</v>
      </c>
      <c r="CB3" s="824" t="s">
        <v>564</v>
      </c>
      <c r="CC3" s="826" t="s">
        <v>646</v>
      </c>
      <c r="CD3" s="821"/>
      <c r="CE3" s="821"/>
      <c r="CF3" s="821"/>
      <c r="CG3" s="821"/>
      <c r="CJ3" s="821" t="s">
        <v>561</v>
      </c>
      <c r="CK3" s="826" t="s">
        <v>650</v>
      </c>
      <c r="CL3" s="829" t="s">
        <v>589</v>
      </c>
      <c r="CN3" s="821" t="s">
        <v>561</v>
      </c>
      <c r="CO3" s="826" t="s">
        <v>564</v>
      </c>
      <c r="CP3" s="827" t="s">
        <v>648</v>
      </c>
      <c r="CR3" s="821" t="s">
        <v>561</v>
      </c>
      <c r="CS3" s="821" t="s">
        <v>597</v>
      </c>
      <c r="CU3" s="821" t="s">
        <v>561</v>
      </c>
      <c r="CV3" s="821" t="s">
        <v>647</v>
      </c>
    </row>
    <row r="4" spans="1:118">
      <c r="A4" s="816" t="s">
        <v>1089</v>
      </c>
      <c r="B4" s="825">
        <v>2647.744680851064</v>
      </c>
      <c r="C4" s="819">
        <v>3.4232112893021207</v>
      </c>
      <c r="E4" s="816" t="s">
        <v>1089</v>
      </c>
      <c r="F4" s="847">
        <v>2647.744680851064</v>
      </c>
      <c r="G4" s="848">
        <v>3.4232112893021207</v>
      </c>
      <c r="I4" s="816" t="s">
        <v>1110</v>
      </c>
      <c r="J4" s="847">
        <v>2194</v>
      </c>
      <c r="K4" s="847">
        <v>2194</v>
      </c>
      <c r="M4" s="816" t="s">
        <v>1065</v>
      </c>
      <c r="N4" s="847">
        <v>2728.2857142857142</v>
      </c>
      <c r="O4" s="847">
        <v>2728.2857142857142</v>
      </c>
      <c r="Q4" s="816" t="s">
        <v>1089</v>
      </c>
      <c r="R4" s="847">
        <v>3897.4</v>
      </c>
      <c r="S4" s="847">
        <v>3897.4</v>
      </c>
      <c r="U4" s="816" t="s">
        <v>1151</v>
      </c>
      <c r="V4" s="847">
        <v>6418.5</v>
      </c>
      <c r="W4" s="847">
        <v>6418.5</v>
      </c>
      <c r="X4" s="130"/>
      <c r="Y4" s="816" t="s">
        <v>1147</v>
      </c>
      <c r="Z4" s="825">
        <v>4500</v>
      </c>
      <c r="AA4" s="825">
        <v>4500</v>
      </c>
      <c r="AC4" s="816" t="s">
        <v>1182</v>
      </c>
      <c r="AD4" s="825"/>
      <c r="AE4" s="825"/>
      <c r="AF4" s="772"/>
      <c r="AG4" s="816" t="s">
        <v>1182</v>
      </c>
      <c r="AH4" s="831">
        <v>0.97425742574257423</v>
      </c>
      <c r="AI4" s="831">
        <v>4.3564356435643561E-2</v>
      </c>
      <c r="AK4" s="77"/>
      <c r="AM4" s="816" t="s">
        <v>1151</v>
      </c>
      <c r="AN4" s="817">
        <v>44.978102189781019</v>
      </c>
      <c r="AP4" s="129"/>
      <c r="AQ4" s="129"/>
      <c r="AS4" s="816" t="s">
        <v>598</v>
      </c>
      <c r="AT4" s="817">
        <v>24</v>
      </c>
      <c r="AV4" s="129"/>
      <c r="BD4" s="129"/>
      <c r="BL4" s="129"/>
      <c r="BM4" s="129"/>
      <c r="BN4" s="120"/>
      <c r="BO4" s="129"/>
      <c r="BP4" s="129"/>
      <c r="BR4" s="129"/>
      <c r="BS4" s="129"/>
      <c r="BU4" s="816" t="s">
        <v>1151</v>
      </c>
      <c r="BV4" s="817">
        <v>44.978102189781019</v>
      </c>
      <c r="BX4" s="816" t="s">
        <v>1182</v>
      </c>
      <c r="BY4" s="846">
        <v>0.97425742574257423</v>
      </c>
      <c r="BZ4" s="846">
        <v>4.3564356435643561E-2</v>
      </c>
      <c r="CB4" s="824" t="s">
        <v>561</v>
      </c>
      <c r="CC4" s="826">
        <v>0</v>
      </c>
      <c r="CD4" s="826">
        <v>1</v>
      </c>
      <c r="CE4" s="826">
        <v>2</v>
      </c>
      <c r="CF4" s="826">
        <v>3</v>
      </c>
      <c r="CG4" s="826">
        <v>4</v>
      </c>
      <c r="CJ4" s="821" t="s">
        <v>464</v>
      </c>
      <c r="CK4" s="829"/>
      <c r="CL4" s="829"/>
      <c r="CN4" s="821" t="s">
        <v>464</v>
      </c>
      <c r="CO4" s="827">
        <v>3102.1344743276281</v>
      </c>
      <c r="CP4" s="827">
        <v>3083.7212713936428</v>
      </c>
      <c r="CR4" s="821" t="s">
        <v>464</v>
      </c>
      <c r="CS4" s="822"/>
      <c r="CU4" s="821" t="s">
        <v>464</v>
      </c>
      <c r="CV4" s="822"/>
    </row>
    <row r="5" spans="1:118">
      <c r="A5" s="816" t="s">
        <v>1065</v>
      </c>
      <c r="B5" s="825">
        <v>2758.75</v>
      </c>
      <c r="C5" s="819">
        <v>3.7859164593875976</v>
      </c>
      <c r="E5" s="816" t="s">
        <v>1065</v>
      </c>
      <c r="F5" s="847">
        <v>2758.75</v>
      </c>
      <c r="G5" s="848">
        <v>3.7859164593875976</v>
      </c>
      <c r="I5" s="816" t="s">
        <v>1151</v>
      </c>
      <c r="J5" s="847">
        <v>2210.9411764705883</v>
      </c>
      <c r="K5" s="847">
        <v>2210.9411764705883</v>
      </c>
      <c r="M5" s="816" t="s">
        <v>1089</v>
      </c>
      <c r="N5" s="847">
        <v>2772.8</v>
      </c>
      <c r="O5" s="847">
        <v>2772.8</v>
      </c>
      <c r="Q5" s="816" t="s">
        <v>1065</v>
      </c>
      <c r="R5" s="847">
        <v>3900.6666666666665</v>
      </c>
      <c r="S5" s="847">
        <v>3900.6666666666665</v>
      </c>
      <c r="U5" s="816" t="s">
        <v>1109</v>
      </c>
      <c r="V5" s="847">
        <v>6740.8888888888887</v>
      </c>
      <c r="W5" s="847">
        <v>6740.8888888888887</v>
      </c>
      <c r="X5" s="130"/>
      <c r="Y5" s="816" t="s">
        <v>1182</v>
      </c>
      <c r="Z5" s="825">
        <v>5000</v>
      </c>
      <c r="AA5" s="825">
        <v>5000</v>
      </c>
      <c r="AC5" s="816" t="s">
        <v>1065</v>
      </c>
      <c r="AD5" s="825">
        <v>8000</v>
      </c>
      <c r="AE5" s="825">
        <v>8000</v>
      </c>
      <c r="AF5" s="772"/>
      <c r="AG5" s="816" t="s">
        <v>1065</v>
      </c>
      <c r="AH5" s="831">
        <v>0.96268656716417911</v>
      </c>
      <c r="AI5" s="831">
        <v>6.2189054726368161E-2</v>
      </c>
      <c r="AK5" s="77"/>
      <c r="AM5" s="816" t="s">
        <v>1080</v>
      </c>
      <c r="AN5" s="817">
        <v>49.86</v>
      </c>
      <c r="AP5" s="814" t="s">
        <v>561</v>
      </c>
      <c r="AQ5" s="815" t="s">
        <v>839</v>
      </c>
      <c r="AS5" s="816" t="s">
        <v>269</v>
      </c>
      <c r="AT5" s="817">
        <v>57.252964426877469</v>
      </c>
      <c r="AV5" s="814" t="s">
        <v>561</v>
      </c>
      <c r="AW5" s="814" t="s">
        <v>564</v>
      </c>
      <c r="AX5" s="818" t="s">
        <v>648</v>
      </c>
      <c r="AZ5" s="814" t="s">
        <v>561</v>
      </c>
      <c r="BA5" s="814" t="s">
        <v>564</v>
      </c>
      <c r="BB5" s="818" t="s">
        <v>648</v>
      </c>
      <c r="BD5" s="814" t="s">
        <v>561</v>
      </c>
      <c r="BE5" s="814" t="s">
        <v>650</v>
      </c>
      <c r="BF5" s="818" t="s">
        <v>649</v>
      </c>
      <c r="BH5" s="814" t="s">
        <v>561</v>
      </c>
      <c r="BI5" s="814" t="s">
        <v>650</v>
      </c>
      <c r="BJ5" s="818" t="s">
        <v>649</v>
      </c>
      <c r="BL5" s="814" t="s">
        <v>561</v>
      </c>
      <c r="BM5" s="815" t="s">
        <v>563</v>
      </c>
      <c r="BN5" s="120"/>
      <c r="BO5" s="814" t="s">
        <v>561</v>
      </c>
      <c r="BP5" s="815" t="s">
        <v>563</v>
      </c>
      <c r="BR5" s="814" t="s">
        <v>561</v>
      </c>
      <c r="BS5" s="815" t="s">
        <v>592</v>
      </c>
      <c r="BU5" s="816" t="s">
        <v>1080</v>
      </c>
      <c r="BV5" s="817">
        <v>49.86</v>
      </c>
      <c r="BX5" s="816" t="s">
        <v>1065</v>
      </c>
      <c r="BY5" s="846">
        <v>0.96268656716417911</v>
      </c>
      <c r="BZ5" s="846">
        <v>6.2189054726368161E-2</v>
      </c>
      <c r="CB5" s="824" t="s">
        <v>464</v>
      </c>
      <c r="CC5" s="827"/>
      <c r="CD5" s="827"/>
      <c r="CE5" s="827"/>
      <c r="CF5" s="827"/>
      <c r="CG5" s="827"/>
      <c r="CJ5" s="823" t="s">
        <v>633</v>
      </c>
      <c r="CK5" s="829">
        <v>3.89816314098882</v>
      </c>
      <c r="CL5" s="829">
        <v>3.8695673400357413</v>
      </c>
      <c r="CN5" s="823" t="s">
        <v>633</v>
      </c>
      <c r="CO5" s="827">
        <v>3012.1188118811883</v>
      </c>
      <c r="CP5" s="827">
        <v>2993.5247524752476</v>
      </c>
      <c r="CR5" s="823" t="s">
        <v>633</v>
      </c>
      <c r="CS5" s="822">
        <v>11.75</v>
      </c>
      <c r="CU5" s="823" t="s">
        <v>633</v>
      </c>
      <c r="CV5" s="822">
        <v>101</v>
      </c>
    </row>
    <row r="6" spans="1:118">
      <c r="A6" s="816" t="s">
        <v>1151</v>
      </c>
      <c r="B6" s="825">
        <v>2935.2195121951218</v>
      </c>
      <c r="C6" s="819">
        <v>3.9756854971919391</v>
      </c>
      <c r="E6" s="816" t="s">
        <v>1151</v>
      </c>
      <c r="F6" s="847">
        <v>2935.2195121951218</v>
      </c>
      <c r="G6" s="848">
        <v>3.9756854971919391</v>
      </c>
      <c r="I6" s="816" t="s">
        <v>1080</v>
      </c>
      <c r="J6" s="847">
        <v>2277.6428571428573</v>
      </c>
      <c r="K6" s="847">
        <v>2277.6428571428573</v>
      </c>
      <c r="M6" s="816" t="s">
        <v>1151</v>
      </c>
      <c r="N6" s="847">
        <v>2988.2631578947367</v>
      </c>
      <c r="O6" s="847">
        <v>2988.2631578947367</v>
      </c>
      <c r="Q6" s="816" t="s">
        <v>1088</v>
      </c>
      <c r="R6" s="847">
        <v>4299.375</v>
      </c>
      <c r="S6" s="847">
        <v>4299.375</v>
      </c>
      <c r="U6" s="816" t="s">
        <v>1080</v>
      </c>
      <c r="V6" s="847">
        <v>7142</v>
      </c>
      <c r="W6" s="847">
        <v>7142</v>
      </c>
      <c r="X6" s="130"/>
      <c r="Y6" s="816" t="s">
        <v>1088</v>
      </c>
      <c r="Z6" s="825">
        <v>6000</v>
      </c>
      <c r="AA6" s="825">
        <v>6000</v>
      </c>
      <c r="AC6" s="816" t="s">
        <v>1088</v>
      </c>
      <c r="AD6" s="825"/>
      <c r="AE6" s="825"/>
      <c r="AF6" s="772"/>
      <c r="AG6" s="816" t="s">
        <v>1088</v>
      </c>
      <c r="AH6" s="831">
        <v>0.97310513447432767</v>
      </c>
      <c r="AI6" s="831">
        <v>4.6454767726161368E-2</v>
      </c>
      <c r="AK6" s="77"/>
      <c r="AM6" s="816" t="s">
        <v>1147</v>
      </c>
      <c r="AN6" s="817">
        <v>60.217213114754095</v>
      </c>
      <c r="AP6" s="816" t="s">
        <v>1110</v>
      </c>
      <c r="AQ6" s="817">
        <v>19</v>
      </c>
      <c r="AS6" s="816" t="s">
        <v>13</v>
      </c>
      <c r="AT6" s="817">
        <v>59.969855832241151</v>
      </c>
      <c r="AV6" s="816" t="s">
        <v>1147</v>
      </c>
      <c r="AW6" s="825">
        <v>2710.9926739926741</v>
      </c>
      <c r="AX6" s="825">
        <v>2696.8278388278386</v>
      </c>
      <c r="AZ6" s="816" t="s">
        <v>1089</v>
      </c>
      <c r="BA6" s="825">
        <v>2470.875</v>
      </c>
      <c r="BB6" s="825">
        <v>2470.875</v>
      </c>
      <c r="BD6" s="816" t="s">
        <v>1089</v>
      </c>
      <c r="BE6" s="819">
        <v>3.3222573831034938</v>
      </c>
      <c r="BF6" s="819">
        <v>3.3129139135082162</v>
      </c>
      <c r="BH6" s="816" t="s">
        <v>1089</v>
      </c>
      <c r="BI6" s="819">
        <v>3.6073644973468251</v>
      </c>
      <c r="BJ6" s="819">
        <v>3.6073644973468251</v>
      </c>
      <c r="BL6" s="816" t="s">
        <v>1089</v>
      </c>
      <c r="BM6" s="828">
        <v>2.7122558545182836E-3</v>
      </c>
      <c r="BN6" s="120"/>
      <c r="BO6" s="816" t="s">
        <v>598</v>
      </c>
      <c r="BP6" s="828">
        <v>5.1686615886833518E-3</v>
      </c>
      <c r="BR6" s="816" t="s">
        <v>13</v>
      </c>
      <c r="BS6" s="817">
        <v>594.93348365276211</v>
      </c>
      <c r="BU6" s="816" t="s">
        <v>1147</v>
      </c>
      <c r="BV6" s="817">
        <v>60.217213114754095</v>
      </c>
      <c r="BX6" s="816" t="s">
        <v>1088</v>
      </c>
      <c r="BY6" s="846">
        <v>0.97310513447432767</v>
      </c>
      <c r="BZ6" s="846">
        <v>4.6454767726161368E-2</v>
      </c>
      <c r="CB6" s="823" t="s">
        <v>633</v>
      </c>
      <c r="CC6" s="827">
        <v>2274.4482758620688</v>
      </c>
      <c r="CD6" s="827">
        <v>2985.0344827586205</v>
      </c>
      <c r="CE6" s="827">
        <v>4386.666666666667</v>
      </c>
      <c r="CF6" s="827">
        <v>6246.5</v>
      </c>
      <c r="CG6" s="827"/>
      <c r="CJ6" s="823" t="s">
        <v>634</v>
      </c>
      <c r="CK6" s="829">
        <v>3.8170595284156037</v>
      </c>
      <c r="CL6" s="829">
        <v>3.8045948829068141</v>
      </c>
      <c r="CN6" s="823" t="s">
        <v>634</v>
      </c>
      <c r="CO6" s="827">
        <v>3210.181818181818</v>
      </c>
      <c r="CP6" s="827">
        <v>3195</v>
      </c>
      <c r="CR6" s="823" t="s">
        <v>634</v>
      </c>
      <c r="CS6" s="822">
        <v>24.589285714285715</v>
      </c>
      <c r="CU6" s="823" t="s">
        <v>634</v>
      </c>
      <c r="CV6" s="822">
        <v>79</v>
      </c>
    </row>
    <row r="7" spans="1:118">
      <c r="A7" s="816" t="s">
        <v>1147</v>
      </c>
      <c r="B7" s="825">
        <v>3044.9803921568628</v>
      </c>
      <c r="C7" s="819">
        <v>3.8381157163688489</v>
      </c>
      <c r="E7" s="816" t="s">
        <v>1147</v>
      </c>
      <c r="F7" s="847">
        <v>3044.9803921568628</v>
      </c>
      <c r="G7" s="848">
        <v>3.8381157163688489</v>
      </c>
      <c r="I7" s="816" t="s">
        <v>1089</v>
      </c>
      <c r="J7" s="847">
        <v>2346.8518518518517</v>
      </c>
      <c r="K7" s="847">
        <v>2346.8518518518517</v>
      </c>
      <c r="M7" s="816" t="s">
        <v>1080</v>
      </c>
      <c r="N7" s="847">
        <v>3026.8823529411766</v>
      </c>
      <c r="O7" s="847">
        <v>3026.8823529411766</v>
      </c>
      <c r="Q7" s="816" t="s">
        <v>1147</v>
      </c>
      <c r="R7" s="847">
        <v>4321.333333333333</v>
      </c>
      <c r="S7" s="847">
        <v>4321.333333333333</v>
      </c>
      <c r="U7" s="816" t="s">
        <v>1182</v>
      </c>
      <c r="V7" s="847">
        <v>8282.75</v>
      </c>
      <c r="W7" s="847">
        <v>8047</v>
      </c>
      <c r="X7" s="130"/>
      <c r="Y7" s="816" t="s">
        <v>1110</v>
      </c>
      <c r="Z7" s="825">
        <v>6500</v>
      </c>
      <c r="AA7" s="825">
        <v>6500</v>
      </c>
      <c r="AC7" s="816" t="s">
        <v>1080</v>
      </c>
      <c r="AD7" s="825"/>
      <c r="AE7" s="825"/>
      <c r="AF7" s="772"/>
      <c r="AG7" s="816" t="s">
        <v>1080</v>
      </c>
      <c r="AH7" s="831">
        <v>0.98109640831758038</v>
      </c>
      <c r="AI7" s="831">
        <v>6.0491493383742913E-2</v>
      </c>
      <c r="AK7" s="77"/>
      <c r="AM7" s="816" t="s">
        <v>1111</v>
      </c>
      <c r="AN7" s="817">
        <v>62.592391304347828</v>
      </c>
      <c r="AP7" s="816" t="s">
        <v>1088</v>
      </c>
      <c r="AQ7" s="817">
        <v>19</v>
      </c>
      <c r="AS7" s="816" t="s">
        <v>270</v>
      </c>
      <c r="AT7" s="817">
        <v>75.271461716937353</v>
      </c>
      <c r="AV7" s="816" t="s">
        <v>1089</v>
      </c>
      <c r="AW7" s="825">
        <v>2816.8769931662869</v>
      </c>
      <c r="AX7" s="825">
        <v>2809.2369020501137</v>
      </c>
      <c r="AZ7" s="816" t="s">
        <v>1065</v>
      </c>
      <c r="BA7" s="825">
        <v>2744.6</v>
      </c>
      <c r="BB7" s="825">
        <v>2744.6</v>
      </c>
      <c r="BD7" s="816" t="s">
        <v>1088</v>
      </c>
      <c r="BE7" s="819">
        <v>3.7099560922911055</v>
      </c>
      <c r="BF7" s="819">
        <v>3.7099560922911055</v>
      </c>
      <c r="BH7" s="816" t="s">
        <v>1065</v>
      </c>
      <c r="BI7" s="819">
        <v>3.9571471585024778</v>
      </c>
      <c r="BJ7" s="819">
        <v>3.9571471585024778</v>
      </c>
      <c r="BL7" s="816" t="s">
        <v>1151</v>
      </c>
      <c r="BM7" s="828">
        <v>4.2845559382921573E-3</v>
      </c>
      <c r="BN7" s="120"/>
      <c r="BO7" s="816" t="s">
        <v>13</v>
      </c>
      <c r="BP7" s="828">
        <v>6.8639351056900945E-3</v>
      </c>
      <c r="BR7" s="816" t="s">
        <v>598</v>
      </c>
      <c r="BS7" s="817">
        <v>654</v>
      </c>
      <c r="BU7" s="816" t="s">
        <v>1111</v>
      </c>
      <c r="BV7" s="817">
        <v>62.592391304347828</v>
      </c>
      <c r="BX7" s="816" t="s">
        <v>1080</v>
      </c>
      <c r="BY7" s="846">
        <v>0.98109640831758038</v>
      </c>
      <c r="BZ7" s="846">
        <v>6.0491493383742913E-2</v>
      </c>
      <c r="CB7" s="823" t="s">
        <v>634</v>
      </c>
      <c r="CC7" s="827">
        <v>2390.5454545454545</v>
      </c>
      <c r="CD7" s="827">
        <v>3035.9268292682927</v>
      </c>
      <c r="CE7" s="827">
        <v>4585</v>
      </c>
      <c r="CF7" s="827">
        <v>6561.333333333333</v>
      </c>
      <c r="CG7" s="827"/>
      <c r="CJ7" s="823" t="s">
        <v>635</v>
      </c>
      <c r="CK7" s="829">
        <v>3.8218641963430917</v>
      </c>
      <c r="CL7" s="829">
        <v>3.8165083726543454</v>
      </c>
      <c r="CN7" s="823" t="s">
        <v>635</v>
      </c>
      <c r="CO7" s="827">
        <v>3077.2419354838707</v>
      </c>
      <c r="CP7" s="827">
        <v>3073.0322580645161</v>
      </c>
      <c r="CR7" s="823" t="s">
        <v>635</v>
      </c>
      <c r="CS7" s="822">
        <v>31.566037735849058</v>
      </c>
      <c r="CU7" s="823" t="s">
        <v>635</v>
      </c>
      <c r="CV7" s="822">
        <v>62</v>
      </c>
    </row>
    <row r="8" spans="1:118">
      <c r="A8" s="816" t="s">
        <v>1088</v>
      </c>
      <c r="B8" s="825">
        <v>3072.8</v>
      </c>
      <c r="C8" s="819">
        <v>3.741932341265009</v>
      </c>
      <c r="E8" s="816" t="s">
        <v>1088</v>
      </c>
      <c r="F8" s="847">
        <v>3072.8</v>
      </c>
      <c r="G8" s="848">
        <v>3.741932341265009</v>
      </c>
      <c r="I8" s="816" t="s">
        <v>1065</v>
      </c>
      <c r="J8" s="847">
        <v>2410.5</v>
      </c>
      <c r="K8" s="847">
        <v>2410.5</v>
      </c>
      <c r="M8" s="816" t="s">
        <v>1111</v>
      </c>
      <c r="N8" s="847">
        <v>3070.6666666666665</v>
      </c>
      <c r="O8" s="847">
        <v>3070.6666666666665</v>
      </c>
      <c r="Q8" s="816" t="s">
        <v>1151</v>
      </c>
      <c r="R8" s="847">
        <v>4381.333333333333</v>
      </c>
      <c r="S8" s="847">
        <v>4381.333333333333</v>
      </c>
      <c r="U8" s="816" t="s">
        <v>375</v>
      </c>
      <c r="V8" s="847">
        <v>7146.0347222222226</v>
      </c>
      <c r="W8" s="847">
        <v>7087.0972222222226</v>
      </c>
      <c r="X8" s="130"/>
      <c r="Y8" s="816" t="s">
        <v>375</v>
      </c>
      <c r="Z8" s="825">
        <v>5500</v>
      </c>
      <c r="AA8" s="825">
        <v>5500</v>
      </c>
      <c r="AC8" s="816" t="s">
        <v>1089</v>
      </c>
      <c r="AD8" s="825">
        <v>6500</v>
      </c>
      <c r="AE8" s="825">
        <v>6500</v>
      </c>
      <c r="AF8" s="772"/>
      <c r="AG8" s="816" t="s">
        <v>1089</v>
      </c>
      <c r="AH8" s="831">
        <v>0.97681159420289854</v>
      </c>
      <c r="AI8" s="831">
        <v>3.4782608695652174E-2</v>
      </c>
      <c r="AK8" s="77"/>
      <c r="AM8" s="816" t="s">
        <v>1109</v>
      </c>
      <c r="AN8" s="817">
        <v>63.372950819672134</v>
      </c>
      <c r="AP8" s="816" t="s">
        <v>1151</v>
      </c>
      <c r="AQ8" s="817">
        <v>20</v>
      </c>
      <c r="AS8" s="816" t="s">
        <v>271</v>
      </c>
      <c r="AT8" s="817">
        <v>100.93617021276596</v>
      </c>
      <c r="AV8" s="816" t="s">
        <v>1065</v>
      </c>
      <c r="AW8" s="825">
        <v>2838.9959183673468</v>
      </c>
      <c r="AX8" s="825">
        <v>2785.5265306122451</v>
      </c>
      <c r="AZ8" s="816" t="s">
        <v>1088</v>
      </c>
      <c r="BA8" s="825">
        <v>2796.7368421052633</v>
      </c>
      <c r="BB8" s="825">
        <v>2796.7368421052633</v>
      </c>
      <c r="BD8" s="816" t="s">
        <v>1147</v>
      </c>
      <c r="BE8" s="819">
        <v>3.7252741296502574</v>
      </c>
      <c r="BF8" s="819">
        <v>3.7052743634146754</v>
      </c>
      <c r="BH8" s="816" t="s">
        <v>1147</v>
      </c>
      <c r="BI8" s="819">
        <v>4.0416957474469974</v>
      </c>
      <c r="BJ8" s="819">
        <v>4.0416957474469974</v>
      </c>
      <c r="BL8" s="816" t="s">
        <v>1147</v>
      </c>
      <c r="BM8" s="828">
        <v>5.2249625388967186E-3</v>
      </c>
      <c r="BN8" s="120"/>
      <c r="BO8" s="816" t="s">
        <v>270</v>
      </c>
      <c r="BP8" s="828">
        <v>7.6605002339428518E-3</v>
      </c>
      <c r="BR8" s="816" t="s">
        <v>269</v>
      </c>
      <c r="BS8" s="817">
        <v>781.90062981105666</v>
      </c>
      <c r="BU8" s="816" t="s">
        <v>1109</v>
      </c>
      <c r="BV8" s="817">
        <v>63.372950819672134</v>
      </c>
      <c r="BX8" s="816" t="s">
        <v>1089</v>
      </c>
      <c r="BY8" s="846">
        <v>0.97681159420289854</v>
      </c>
      <c r="BZ8" s="846">
        <v>3.4782608695652174E-2</v>
      </c>
      <c r="CB8" s="823" t="s">
        <v>635</v>
      </c>
      <c r="CC8" s="827">
        <v>2259.25</v>
      </c>
      <c r="CD8" s="827">
        <v>2920.1</v>
      </c>
      <c r="CE8" s="827">
        <v>3993.6428571428573</v>
      </c>
      <c r="CF8" s="827"/>
      <c r="CG8" s="827"/>
      <c r="CJ8" s="823" t="s">
        <v>636</v>
      </c>
      <c r="CK8" s="829">
        <v>3.7396402595058253</v>
      </c>
      <c r="CL8" s="829">
        <v>3.6982020248962106</v>
      </c>
      <c r="CN8" s="823" t="s">
        <v>636</v>
      </c>
      <c r="CO8" s="827">
        <v>3078.0943396226417</v>
      </c>
      <c r="CP8" s="827">
        <v>3053.3396226415093</v>
      </c>
      <c r="CR8" s="823" t="s">
        <v>636</v>
      </c>
      <c r="CS8" s="822">
        <v>38.265306122448976</v>
      </c>
      <c r="CU8" s="823" t="s">
        <v>636</v>
      </c>
      <c r="CV8" s="822">
        <v>55</v>
      </c>
    </row>
    <row r="9" spans="1:118">
      <c r="A9" s="816" t="s">
        <v>1110</v>
      </c>
      <c r="B9" s="825">
        <v>3087.8048780487807</v>
      </c>
      <c r="C9" s="819">
        <v>3.9982314300151591</v>
      </c>
      <c r="E9" s="816" t="s">
        <v>1110</v>
      </c>
      <c r="F9" s="847">
        <v>3087.8048780487807</v>
      </c>
      <c r="G9" s="848">
        <v>3.9982314300151591</v>
      </c>
      <c r="I9" s="816" t="s">
        <v>1088</v>
      </c>
      <c r="J9" s="847">
        <v>2435.36</v>
      </c>
      <c r="K9" s="847">
        <v>2435.36</v>
      </c>
      <c r="M9" s="816" t="s">
        <v>1147</v>
      </c>
      <c r="N9" s="847">
        <v>3071.8333333333335</v>
      </c>
      <c r="O9" s="847">
        <v>3071.8333333333335</v>
      </c>
      <c r="Q9" s="816" t="s">
        <v>1110</v>
      </c>
      <c r="R9" s="847">
        <v>4707</v>
      </c>
      <c r="S9" s="847">
        <v>4707</v>
      </c>
      <c r="X9" s="130"/>
      <c r="AC9" s="816" t="s">
        <v>1109</v>
      </c>
      <c r="AD9" s="825"/>
      <c r="AE9" s="825"/>
      <c r="AF9" s="772"/>
      <c r="AG9" s="816" t="s">
        <v>1109</v>
      </c>
      <c r="AH9" s="831">
        <v>0.93061224489795924</v>
      </c>
      <c r="AI9" s="831">
        <v>8.1632653061224483E-2</v>
      </c>
      <c r="AK9" s="77"/>
      <c r="AM9" s="816" t="s">
        <v>1088</v>
      </c>
      <c r="AN9" s="817">
        <v>64.858407079646014</v>
      </c>
      <c r="AP9" s="816" t="s">
        <v>1182</v>
      </c>
      <c r="AQ9" s="817">
        <v>22</v>
      </c>
      <c r="AS9" s="816" t="s">
        <v>375</v>
      </c>
      <c r="AT9" s="817">
        <v>61.96810207336523</v>
      </c>
      <c r="AV9" s="816" t="s">
        <v>1151</v>
      </c>
      <c r="AW9" s="825">
        <v>2865.33</v>
      </c>
      <c r="AX9" s="825">
        <v>2853.0533333333333</v>
      </c>
      <c r="AZ9" s="816" t="s">
        <v>1110</v>
      </c>
      <c r="BA9" s="825">
        <v>2842.5789473684213</v>
      </c>
      <c r="BB9" s="825">
        <v>2842.5789473684213</v>
      </c>
      <c r="BD9" s="816" t="s">
        <v>1065</v>
      </c>
      <c r="BE9" s="819">
        <v>3.7255386746790244</v>
      </c>
      <c r="BF9" s="819">
        <v>3.6616086592732056</v>
      </c>
      <c r="BH9" s="816" t="s">
        <v>1088</v>
      </c>
      <c r="BI9" s="819">
        <v>4.0453065957596044</v>
      </c>
      <c r="BJ9" s="819">
        <v>4.0453065957596044</v>
      </c>
      <c r="BL9" s="816" t="s">
        <v>1080</v>
      </c>
      <c r="BM9" s="828">
        <v>6.0296834353361067E-3</v>
      </c>
      <c r="BN9" s="120"/>
      <c r="BO9" s="816" t="s">
        <v>269</v>
      </c>
      <c r="BP9" s="828">
        <v>8.9485721465590948E-3</v>
      </c>
      <c r="BR9" s="816" t="s">
        <v>270</v>
      </c>
      <c r="BS9" s="817">
        <v>1198.2665330661323</v>
      </c>
      <c r="BU9" s="816" t="s">
        <v>1088</v>
      </c>
      <c r="BV9" s="817">
        <v>64.858407079646014</v>
      </c>
      <c r="BX9" s="816" t="s">
        <v>1109</v>
      </c>
      <c r="BY9" s="846">
        <v>0.93061224489795924</v>
      </c>
      <c r="BZ9" s="846">
        <v>8.1632653061224483E-2</v>
      </c>
      <c r="CB9" s="823" t="s">
        <v>636</v>
      </c>
      <c r="CC9" s="827">
        <v>2331.2857142857142</v>
      </c>
      <c r="CD9" s="827">
        <v>2791.9615384615386</v>
      </c>
      <c r="CE9" s="827">
        <v>4360.5</v>
      </c>
      <c r="CF9" s="827">
        <v>5584</v>
      </c>
      <c r="CG9" s="827"/>
      <c r="CJ9" s="823" t="s">
        <v>637</v>
      </c>
      <c r="CK9" s="829">
        <v>3.7238384463116745</v>
      </c>
      <c r="CL9" s="829">
        <v>3.663417434466957</v>
      </c>
      <c r="CN9" s="823" t="s">
        <v>637</v>
      </c>
      <c r="CO9" s="827">
        <v>2928.586956521739</v>
      </c>
      <c r="CP9" s="827">
        <v>2887.717391304348</v>
      </c>
      <c r="CR9" s="823" t="s">
        <v>637</v>
      </c>
      <c r="CS9" s="822">
        <v>61.511627906976742</v>
      </c>
      <c r="CU9" s="823" t="s">
        <v>637</v>
      </c>
      <c r="CV9" s="822">
        <v>46</v>
      </c>
    </row>
    <row r="10" spans="1:118">
      <c r="A10" s="816" t="s">
        <v>1080</v>
      </c>
      <c r="B10" s="825">
        <v>3148.25</v>
      </c>
      <c r="C10" s="819">
        <v>4.1948592346790976</v>
      </c>
      <c r="E10" s="816" t="s">
        <v>1080</v>
      </c>
      <c r="F10" s="847">
        <v>3148.25</v>
      </c>
      <c r="G10" s="848">
        <v>4.1948592346790976</v>
      </c>
      <c r="I10" s="816" t="s">
        <v>1182</v>
      </c>
      <c r="J10" s="847">
        <v>2437.8333333333335</v>
      </c>
      <c r="K10" s="847">
        <v>2393.5833333333335</v>
      </c>
      <c r="M10" s="816" t="s">
        <v>1182</v>
      </c>
      <c r="N10" s="847">
        <v>3233.9473684210525</v>
      </c>
      <c r="O10" s="847">
        <v>3163.7368421052633</v>
      </c>
      <c r="Q10" s="816" t="s">
        <v>1182</v>
      </c>
      <c r="R10" s="847">
        <v>4711.25</v>
      </c>
      <c r="S10" s="847">
        <v>4711.25</v>
      </c>
      <c r="X10" s="130"/>
      <c r="AC10" s="816" t="s">
        <v>1110</v>
      </c>
      <c r="AD10" s="825"/>
      <c r="AE10" s="825"/>
      <c r="AF10" s="772"/>
      <c r="AG10" s="816" t="s">
        <v>1110</v>
      </c>
      <c r="AH10" s="831">
        <v>0.97555555555555551</v>
      </c>
      <c r="AI10" s="831">
        <v>4.2222222222222223E-2</v>
      </c>
      <c r="AK10" s="77"/>
      <c r="AM10" s="816" t="s">
        <v>1110</v>
      </c>
      <c r="AN10" s="817">
        <v>65.224770642201833</v>
      </c>
      <c r="AP10" s="816" t="s">
        <v>1089</v>
      </c>
      <c r="AQ10" s="817">
        <v>24</v>
      </c>
      <c r="AV10" s="816" t="s">
        <v>1080</v>
      </c>
      <c r="AW10" s="825">
        <v>2925.4779411764707</v>
      </c>
      <c r="AX10" s="825">
        <v>2907.8382352941176</v>
      </c>
      <c r="AZ10" s="816" t="s">
        <v>1147</v>
      </c>
      <c r="BA10" s="825">
        <v>2982.7</v>
      </c>
      <c r="BB10" s="825">
        <v>2982.7</v>
      </c>
      <c r="BD10" s="816" t="s">
        <v>1151</v>
      </c>
      <c r="BE10" s="819">
        <v>3.7261171899673036</v>
      </c>
      <c r="BF10" s="819">
        <v>3.7109454135077535</v>
      </c>
      <c r="BH10" s="816" t="s">
        <v>1151</v>
      </c>
      <c r="BI10" s="819">
        <v>4.0796470631771573</v>
      </c>
      <c r="BJ10" s="819">
        <v>4.0796470631771573</v>
      </c>
      <c r="BL10" s="816" t="s">
        <v>1065</v>
      </c>
      <c r="BM10" s="828">
        <v>1.8833907935257362E-2</v>
      </c>
      <c r="BN10" s="120"/>
      <c r="BO10" s="816" t="s">
        <v>271</v>
      </c>
      <c r="BP10" s="828">
        <v>1.4956701041098863E-2</v>
      </c>
      <c r="BR10" s="816" t="s">
        <v>271</v>
      </c>
      <c r="BS10" s="817">
        <v>1680.2769230769231</v>
      </c>
      <c r="BU10" s="816" t="s">
        <v>1110</v>
      </c>
      <c r="BV10" s="817">
        <v>65.224770642201833</v>
      </c>
      <c r="BX10" s="816" t="s">
        <v>1110</v>
      </c>
      <c r="BY10" s="846">
        <v>0.97555555555555551</v>
      </c>
      <c r="BZ10" s="846">
        <v>4.2222222222222223E-2</v>
      </c>
      <c r="CB10" s="823" t="s">
        <v>637</v>
      </c>
      <c r="CC10" s="827">
        <v>2424.1</v>
      </c>
      <c r="CD10" s="827">
        <v>2849.0333333333333</v>
      </c>
      <c r="CE10" s="827">
        <v>4167.166666666667</v>
      </c>
      <c r="CF10" s="827"/>
      <c r="CG10" s="827"/>
      <c r="CJ10" s="823" t="s">
        <v>638</v>
      </c>
      <c r="CK10" s="829">
        <v>3.6651136003055829</v>
      </c>
      <c r="CL10" s="829">
        <v>3.647572309505795</v>
      </c>
      <c r="CN10" s="823" t="s">
        <v>638</v>
      </c>
      <c r="CO10" s="827">
        <v>3267.457142857143</v>
      </c>
      <c r="CP10" s="827">
        <v>3252.7285714285713</v>
      </c>
      <c r="CR10" s="823" t="s">
        <v>638</v>
      </c>
      <c r="CS10" s="822">
        <v>70.31343283582089</v>
      </c>
      <c r="CU10" s="823" t="s">
        <v>638</v>
      </c>
      <c r="CV10" s="822">
        <v>70</v>
      </c>
    </row>
    <row r="11" spans="1:118">
      <c r="A11" s="816" t="s">
        <v>1111</v>
      </c>
      <c r="B11" s="825">
        <v>3334.2285714285713</v>
      </c>
      <c r="C11" s="819">
        <v>4.5189745972738535</v>
      </c>
      <c r="E11" s="816" t="s">
        <v>1111</v>
      </c>
      <c r="F11" s="847">
        <v>3334.2285714285713</v>
      </c>
      <c r="G11" s="848">
        <v>4.5189745972738535</v>
      </c>
      <c r="I11" s="816" t="s">
        <v>1147</v>
      </c>
      <c r="J11" s="847">
        <v>2546.2083333333335</v>
      </c>
      <c r="K11" s="847">
        <v>2546.2083333333335</v>
      </c>
      <c r="M11" s="816" t="s">
        <v>1110</v>
      </c>
      <c r="N11" s="847">
        <v>3302.0833333333335</v>
      </c>
      <c r="O11" s="847">
        <v>3302.0833333333335</v>
      </c>
      <c r="Q11" s="816" t="s">
        <v>1080</v>
      </c>
      <c r="R11" s="847">
        <v>4908.4285714285716</v>
      </c>
      <c r="S11" s="847">
        <v>4908.4285714285716</v>
      </c>
      <c r="X11" s="130"/>
      <c r="AC11" s="816" t="s">
        <v>1147</v>
      </c>
      <c r="AD11" s="825">
        <v>9000</v>
      </c>
      <c r="AE11" s="825">
        <v>9000</v>
      </c>
      <c r="AF11" s="772"/>
      <c r="AG11" s="816" t="s">
        <v>1147</v>
      </c>
      <c r="AH11" s="831">
        <v>0.96404494382022476</v>
      </c>
      <c r="AI11" s="831">
        <v>6.741573033707865E-2</v>
      </c>
      <c r="AK11" s="77"/>
      <c r="AM11" s="816" t="s">
        <v>1182</v>
      </c>
      <c r="AN11" s="817">
        <v>66.937743190661479</v>
      </c>
      <c r="AP11" s="816" t="s">
        <v>1065</v>
      </c>
      <c r="AQ11" s="817">
        <v>25</v>
      </c>
      <c r="AV11" s="816" t="s">
        <v>1111</v>
      </c>
      <c r="AW11" s="825">
        <v>3055.6696832579187</v>
      </c>
      <c r="AX11" s="825">
        <v>3055.6696832579187</v>
      </c>
      <c r="AZ11" s="816" t="s">
        <v>1151</v>
      </c>
      <c r="BA11" s="825">
        <v>3114.1</v>
      </c>
      <c r="BB11" s="825">
        <v>3114.1</v>
      </c>
      <c r="BD11" s="816" t="s">
        <v>1110</v>
      </c>
      <c r="BE11" s="819">
        <v>3.8979072356895768</v>
      </c>
      <c r="BF11" s="819">
        <v>3.8979072356895768</v>
      </c>
      <c r="BH11" s="816" t="s">
        <v>1182</v>
      </c>
      <c r="BI11" s="819">
        <v>4.1876992150311274</v>
      </c>
      <c r="BJ11" s="819">
        <v>4.1876992150311274</v>
      </c>
      <c r="BL11" s="816" t="s">
        <v>1182</v>
      </c>
      <c r="BM11" s="828">
        <v>4.7728878338760994E-2</v>
      </c>
      <c r="BN11" s="120"/>
      <c r="BO11" s="816" t="s">
        <v>375</v>
      </c>
      <c r="BP11" s="828">
        <v>8.4289627048319757E-3</v>
      </c>
      <c r="BR11" s="816" t="s">
        <v>375</v>
      </c>
      <c r="BS11" s="817">
        <v>816.56503642039547</v>
      </c>
      <c r="BU11" s="816" t="s">
        <v>1182</v>
      </c>
      <c r="BV11" s="817">
        <v>66.937743190661479</v>
      </c>
      <c r="BX11" s="816" t="s">
        <v>1147</v>
      </c>
      <c r="BY11" s="846">
        <v>0.96404494382022476</v>
      </c>
      <c r="BZ11" s="846">
        <v>6.741573033707865E-2</v>
      </c>
      <c r="CB11" s="823" t="s">
        <v>638</v>
      </c>
      <c r="CC11" s="827">
        <v>2214.1538461538462</v>
      </c>
      <c r="CD11" s="827">
        <v>2919</v>
      </c>
      <c r="CE11" s="827">
        <v>4348.4705882352937</v>
      </c>
      <c r="CF11" s="827">
        <v>6003.666666666667</v>
      </c>
      <c r="CG11" s="827"/>
      <c r="CJ11" s="821" t="s">
        <v>631</v>
      </c>
      <c r="CK11" s="829"/>
      <c r="CL11" s="829"/>
      <c r="CN11" s="821" t="s">
        <v>631</v>
      </c>
      <c r="CO11" s="827">
        <v>3029.8358516483518</v>
      </c>
      <c r="CP11" s="827">
        <v>2995.875</v>
      </c>
      <c r="CR11" s="821" t="s">
        <v>631</v>
      </c>
      <c r="CS11" s="822"/>
      <c r="CU11" s="821" t="s">
        <v>631</v>
      </c>
      <c r="CV11" s="822"/>
    </row>
    <row r="12" spans="1:118">
      <c r="A12" s="816" t="s">
        <v>1182</v>
      </c>
      <c r="B12" s="825">
        <v>3658.3333333333335</v>
      </c>
      <c r="C12" s="819">
        <v>4.1830362378327663</v>
      </c>
      <c r="E12" s="816" t="s">
        <v>1182</v>
      </c>
      <c r="F12" s="847">
        <v>3586.3333333333335</v>
      </c>
      <c r="G12" s="848">
        <v>4.1007095109651699</v>
      </c>
      <c r="I12" s="816" t="s">
        <v>1109</v>
      </c>
      <c r="J12" s="847">
        <v>2767.7777777777778</v>
      </c>
      <c r="K12" s="847">
        <v>2767.7777777777778</v>
      </c>
      <c r="M12" s="816" t="s">
        <v>1088</v>
      </c>
      <c r="N12" s="847">
        <v>3433</v>
      </c>
      <c r="O12" s="847">
        <v>3433</v>
      </c>
      <c r="Q12" s="816" t="s">
        <v>1111</v>
      </c>
      <c r="R12" s="847">
        <v>5131</v>
      </c>
      <c r="S12" s="847">
        <v>5131</v>
      </c>
      <c r="X12" s="130"/>
      <c r="AC12" s="816" t="s">
        <v>1111</v>
      </c>
      <c r="AD12" s="825"/>
      <c r="AE12" s="825"/>
      <c r="AF12" s="772"/>
      <c r="AG12" s="816" t="s">
        <v>1111</v>
      </c>
      <c r="AH12" s="831">
        <v>0.95847750865051906</v>
      </c>
      <c r="AI12" s="831">
        <v>0.10380622837370242</v>
      </c>
      <c r="AK12" s="77"/>
      <c r="AM12" s="816" t="s">
        <v>1089</v>
      </c>
      <c r="AN12" s="817">
        <v>67.412820512820517</v>
      </c>
      <c r="AP12" s="816" t="s">
        <v>1147</v>
      </c>
      <c r="AQ12" s="817">
        <v>30</v>
      </c>
      <c r="AV12" s="816" t="s">
        <v>1088</v>
      </c>
      <c r="AW12" s="825">
        <v>3090.8149606299212</v>
      </c>
      <c r="AX12" s="825">
        <v>3090.8149606299212</v>
      </c>
      <c r="AZ12" s="816" t="s">
        <v>1080</v>
      </c>
      <c r="BA12" s="825">
        <v>3300.78125</v>
      </c>
      <c r="BB12" s="825">
        <v>3300.78125</v>
      </c>
      <c r="BD12" s="816" t="s">
        <v>1080</v>
      </c>
      <c r="BE12" s="819">
        <v>3.9555599861764064</v>
      </c>
      <c r="BF12" s="819">
        <v>3.9317137618763129</v>
      </c>
      <c r="BH12" s="816" t="s">
        <v>1110</v>
      </c>
      <c r="BI12" s="819">
        <v>4.244857789932718</v>
      </c>
      <c r="BJ12" s="819">
        <v>4.244857789932718</v>
      </c>
      <c r="BL12" s="816" t="s">
        <v>375</v>
      </c>
      <c r="BM12" s="828">
        <v>1.3957013485250127E-2</v>
      </c>
      <c r="BN12" s="120"/>
      <c r="BU12" s="816" t="s">
        <v>1089</v>
      </c>
      <c r="BV12" s="817">
        <v>67.412820512820517</v>
      </c>
      <c r="BX12" s="816" t="s">
        <v>1111</v>
      </c>
      <c r="BY12" s="846">
        <v>0.95847750865051906</v>
      </c>
      <c r="BZ12" s="846">
        <v>0.10380622837370242</v>
      </c>
      <c r="CB12" s="824" t="s">
        <v>631</v>
      </c>
      <c r="CC12" s="827"/>
      <c r="CD12" s="827"/>
      <c r="CE12" s="827"/>
      <c r="CF12" s="827"/>
      <c r="CG12" s="827"/>
      <c r="CJ12" s="823" t="s">
        <v>641</v>
      </c>
      <c r="CK12" s="829">
        <v>3.6236784015519947</v>
      </c>
      <c r="CL12" s="829">
        <v>3.5702247169021808</v>
      </c>
      <c r="CN12" s="823" t="s">
        <v>641</v>
      </c>
      <c r="CO12" s="827">
        <v>2958.1454545454544</v>
      </c>
      <c r="CP12" s="827">
        <v>2913.2363636363634</v>
      </c>
      <c r="CR12" s="823" t="s">
        <v>641</v>
      </c>
      <c r="CS12" s="822">
        <v>55.375</v>
      </c>
      <c r="CU12" s="823" t="s">
        <v>641</v>
      </c>
      <c r="CV12" s="822">
        <v>58</v>
      </c>
    </row>
    <row r="13" spans="1:118">
      <c r="A13" s="816" t="s">
        <v>1109</v>
      </c>
      <c r="B13" s="825">
        <v>4233.19696969697</v>
      </c>
      <c r="C13" s="819">
        <v>4.2007367313185986</v>
      </c>
      <c r="E13" s="816" t="s">
        <v>1109</v>
      </c>
      <c r="F13" s="847">
        <v>4233.19696969697</v>
      </c>
      <c r="G13" s="848">
        <v>4.2007367313185986</v>
      </c>
      <c r="I13" s="816" t="s">
        <v>1111</v>
      </c>
      <c r="J13" s="847">
        <v>2785.4545454545455</v>
      </c>
      <c r="K13" s="847">
        <v>2785.4545454545455</v>
      </c>
      <c r="M13" s="816" t="s">
        <v>1109</v>
      </c>
      <c r="N13" s="847">
        <v>3433.7096774193546</v>
      </c>
      <c r="O13" s="847">
        <v>3433.7096774193546</v>
      </c>
      <c r="Q13" s="816" t="s">
        <v>1109</v>
      </c>
      <c r="R13" s="847">
        <v>5139.2941176470586</v>
      </c>
      <c r="S13" s="847">
        <v>5139.2941176470586</v>
      </c>
      <c r="X13" s="130"/>
      <c r="AC13" s="816" t="s">
        <v>1151</v>
      </c>
      <c r="AD13" s="825"/>
      <c r="AE13" s="825"/>
      <c r="AF13" s="772"/>
      <c r="AG13" s="816" t="s">
        <v>1151</v>
      </c>
      <c r="AH13" s="831">
        <v>0.99223300970873785</v>
      </c>
      <c r="AI13" s="831">
        <v>3.8834951456310676E-2</v>
      </c>
      <c r="AK13" s="77"/>
      <c r="AM13" s="816" t="s">
        <v>1065</v>
      </c>
      <c r="AN13" s="817">
        <v>75.036199095022624</v>
      </c>
      <c r="AP13" s="816" t="s">
        <v>1111</v>
      </c>
      <c r="AQ13" s="817">
        <v>30</v>
      </c>
      <c r="AV13" s="816" t="s">
        <v>1110</v>
      </c>
      <c r="AW13" s="825">
        <v>3123.9761904761904</v>
      </c>
      <c r="AX13" s="825">
        <v>3123.9761904761904</v>
      </c>
      <c r="AZ13" s="816" t="s">
        <v>1182</v>
      </c>
      <c r="BA13" s="825">
        <v>3360.909090909091</v>
      </c>
      <c r="BB13" s="825">
        <v>3360.909090909091</v>
      </c>
      <c r="BD13" s="816" t="s">
        <v>1182</v>
      </c>
      <c r="BE13" s="819">
        <v>4.0417362214263619</v>
      </c>
      <c r="BF13" s="819">
        <v>3.8515980450894753</v>
      </c>
      <c r="BH13" s="816" t="s">
        <v>1080</v>
      </c>
      <c r="BI13" s="819">
        <v>4.2838475947362502</v>
      </c>
      <c r="BJ13" s="819">
        <v>4.2838475947362502</v>
      </c>
      <c r="BN13" s="120"/>
      <c r="BU13" s="816" t="s">
        <v>1065</v>
      </c>
      <c r="BV13" s="817">
        <v>75.036199095022624</v>
      </c>
      <c r="BX13" s="816" t="s">
        <v>1151</v>
      </c>
      <c r="BY13" s="846">
        <v>0.99223300970873785</v>
      </c>
      <c r="BZ13" s="846">
        <v>3.8834951456310676E-2</v>
      </c>
      <c r="CB13" s="823" t="s">
        <v>641</v>
      </c>
      <c r="CC13" s="827">
        <v>2178.909090909091</v>
      </c>
      <c r="CD13" s="827">
        <v>2930.7619047619046</v>
      </c>
      <c r="CE13" s="827">
        <v>4116.8</v>
      </c>
      <c r="CF13" s="827">
        <v>6024</v>
      </c>
      <c r="CG13" s="827"/>
      <c r="CJ13" s="823" t="s">
        <v>642</v>
      </c>
      <c r="CK13" s="829">
        <v>3.5670817431380928</v>
      </c>
      <c r="CL13" s="829">
        <v>3.5514714781122398</v>
      </c>
      <c r="CN13" s="823" t="s">
        <v>642</v>
      </c>
      <c r="CO13" s="827">
        <v>3011.9444444444443</v>
      </c>
      <c r="CP13" s="827">
        <v>3000.4722222222222</v>
      </c>
      <c r="CR13" s="823" t="s">
        <v>642</v>
      </c>
      <c r="CS13" s="822">
        <v>63.888888888888886</v>
      </c>
      <c r="CU13" s="823" t="s">
        <v>642</v>
      </c>
      <c r="CV13" s="822">
        <v>76</v>
      </c>
    </row>
    <row r="14" spans="1:118">
      <c r="A14" s="816" t="s">
        <v>375</v>
      </c>
      <c r="B14" s="825">
        <v>3192.1308337710711</v>
      </c>
      <c r="C14" s="819">
        <v>3.9860699534634989</v>
      </c>
      <c r="E14" s="816" t="s">
        <v>375</v>
      </c>
      <c r="F14" s="847">
        <v>3184.9308337710709</v>
      </c>
      <c r="G14" s="848">
        <v>3.9778372807767397</v>
      </c>
      <c r="I14" s="816" t="s">
        <v>375</v>
      </c>
      <c r="J14" s="847">
        <v>2441.2569875364284</v>
      </c>
      <c r="K14" s="847">
        <v>2436.8319875364282</v>
      </c>
      <c r="M14" s="816" t="s">
        <v>375</v>
      </c>
      <c r="N14" s="847">
        <v>3106.1471604295371</v>
      </c>
      <c r="O14" s="847">
        <v>3099.126107797958</v>
      </c>
      <c r="Q14" s="816" t="s">
        <v>375</v>
      </c>
      <c r="R14" s="847">
        <v>4539.7081022408966</v>
      </c>
      <c r="S14" s="847">
        <v>4539.7081022408966</v>
      </c>
      <c r="X14" s="130"/>
      <c r="AC14" s="816" t="s">
        <v>375</v>
      </c>
      <c r="AD14" s="825">
        <v>7833.333333333333</v>
      </c>
      <c r="AE14" s="825">
        <v>7833.333333333333</v>
      </c>
      <c r="AF14" s="772"/>
      <c r="AG14" s="816" t="s">
        <v>375</v>
      </c>
      <c r="AH14" s="831">
        <v>0.96888803925345568</v>
      </c>
      <c r="AI14" s="831">
        <v>5.8139406641810665E-2</v>
      </c>
      <c r="AK14" s="77"/>
      <c r="AM14" s="816" t="s">
        <v>375</v>
      </c>
      <c r="AN14" s="817">
        <v>61.96810207336523</v>
      </c>
      <c r="AP14" s="816" t="s">
        <v>1080</v>
      </c>
      <c r="AQ14" s="817">
        <v>32</v>
      </c>
      <c r="AV14" s="816" t="s">
        <v>1182</v>
      </c>
      <c r="AW14" s="825">
        <v>3294.5035211267605</v>
      </c>
      <c r="AX14" s="825">
        <v>3137.2605633802818</v>
      </c>
      <c r="AZ14" s="816" t="s">
        <v>1111</v>
      </c>
      <c r="BA14" s="825">
        <v>3452.7333333333331</v>
      </c>
      <c r="BB14" s="825">
        <v>3452.7333333333331</v>
      </c>
      <c r="BD14" s="816" t="s">
        <v>1109</v>
      </c>
      <c r="BE14" s="819">
        <v>4.0600766257074774</v>
      </c>
      <c r="BF14" s="819">
        <v>4.0600766257074774</v>
      </c>
      <c r="BH14" s="816" t="s">
        <v>1109</v>
      </c>
      <c r="BI14" s="819">
        <v>4.4545958743063609</v>
      </c>
      <c r="BJ14" s="819">
        <v>4.4545958743063609</v>
      </c>
      <c r="BN14" s="120"/>
      <c r="BU14" s="816" t="s">
        <v>375</v>
      </c>
      <c r="BV14" s="817">
        <v>61.96810207336523</v>
      </c>
      <c r="BX14" s="816" t="s">
        <v>375</v>
      </c>
      <c r="BY14" s="846">
        <v>0.96888803925345568</v>
      </c>
      <c r="BZ14" s="846">
        <v>5.8139406641810665E-2</v>
      </c>
      <c r="CB14" s="823" t="s">
        <v>642</v>
      </c>
      <c r="CC14" s="827">
        <v>2224</v>
      </c>
      <c r="CD14" s="827">
        <v>2910.0749999999998</v>
      </c>
      <c r="CE14" s="827">
        <v>4225.181818181818</v>
      </c>
      <c r="CF14" s="827">
        <v>5862</v>
      </c>
      <c r="CG14" s="827"/>
      <c r="CJ14" s="823" t="s">
        <v>643</v>
      </c>
      <c r="CK14" s="829">
        <v>3.7160011242536251</v>
      </c>
      <c r="CL14" s="829">
        <v>3.6510350927818851</v>
      </c>
      <c r="CN14" s="823" t="s">
        <v>643</v>
      </c>
      <c r="CO14" s="827">
        <v>2992.2389380530972</v>
      </c>
      <c r="CP14" s="827">
        <v>2939.4778761061948</v>
      </c>
      <c r="CR14" s="823" t="s">
        <v>643</v>
      </c>
      <c r="CS14" s="822">
        <v>67.775862068965523</v>
      </c>
      <c r="CU14" s="823" t="s">
        <v>643</v>
      </c>
      <c r="CV14" s="822">
        <v>119</v>
      </c>
    </row>
    <row r="15" spans="1:118">
      <c r="AK15" s="77"/>
      <c r="AP15" s="816" t="s">
        <v>1109</v>
      </c>
      <c r="AQ15" s="817">
        <v>40</v>
      </c>
      <c r="AV15" s="816" t="s">
        <v>1109</v>
      </c>
      <c r="AW15" s="825">
        <v>3935.3790849673201</v>
      </c>
      <c r="AX15" s="825">
        <v>3935.3790849673201</v>
      </c>
      <c r="AZ15" s="816" t="s">
        <v>1109</v>
      </c>
      <c r="BA15" s="825">
        <v>4415.55</v>
      </c>
      <c r="BB15" s="825">
        <v>4415.55</v>
      </c>
      <c r="BD15" s="816" t="s">
        <v>1111</v>
      </c>
      <c r="BE15" s="819">
        <v>4.1848210575312406</v>
      </c>
      <c r="BF15" s="819">
        <v>4.1848210575312406</v>
      </c>
      <c r="BH15" s="816" t="s">
        <v>1111</v>
      </c>
      <c r="BI15" s="819">
        <v>4.5363729128234862</v>
      </c>
      <c r="BJ15" s="819">
        <v>4.5363729128234862</v>
      </c>
      <c r="BN15" s="120"/>
      <c r="CB15" s="823" t="s">
        <v>643</v>
      </c>
      <c r="CC15" s="827">
        <v>2284.6923076923076</v>
      </c>
      <c r="CD15" s="827">
        <v>2852.8955223880598</v>
      </c>
      <c r="CE15" s="827">
        <v>4197.7647058823532</v>
      </c>
      <c r="CF15" s="827">
        <v>5405</v>
      </c>
      <c r="CG15" s="827"/>
      <c r="CJ15" s="823" t="s">
        <v>639</v>
      </c>
      <c r="CK15" s="829">
        <v>3.8247427978348685</v>
      </c>
      <c r="CL15" s="829">
        <v>3.7904891916961563</v>
      </c>
      <c r="CN15" s="823" t="s">
        <v>639</v>
      </c>
      <c r="CO15" s="827">
        <v>3194.7906976744184</v>
      </c>
      <c r="CP15" s="827">
        <v>3162.3798449612405</v>
      </c>
      <c r="CR15" s="823" t="s">
        <v>639</v>
      </c>
      <c r="CS15" s="822">
        <v>53.977443609022558</v>
      </c>
      <c r="CU15" s="823" t="s">
        <v>639</v>
      </c>
      <c r="CV15" s="822">
        <v>135</v>
      </c>
    </row>
    <row r="16" spans="1:118">
      <c r="AK16" s="77"/>
      <c r="AP16" s="816" t="s">
        <v>375</v>
      </c>
      <c r="AQ16" s="817">
        <v>261</v>
      </c>
      <c r="AV16" s="816" t="s">
        <v>375</v>
      </c>
      <c r="AW16" s="825">
        <v>3062.2171468728038</v>
      </c>
      <c r="AX16" s="825">
        <v>3036.405832747716</v>
      </c>
      <c r="AZ16" s="816" t="s">
        <v>375</v>
      </c>
      <c r="BA16" s="825">
        <v>3243.6590038314175</v>
      </c>
      <c r="BB16" s="825">
        <v>3243.6590038314175</v>
      </c>
      <c r="BD16" s="816" t="s">
        <v>375</v>
      </c>
      <c r="BE16" s="819">
        <v>3.8019782438744736</v>
      </c>
      <c r="BF16" s="819">
        <v>3.7702408403008874</v>
      </c>
      <c r="BH16" s="816" t="s">
        <v>375</v>
      </c>
      <c r="BI16" s="819">
        <v>4.1720408624679086</v>
      </c>
      <c r="BJ16" s="819">
        <v>4.1720408624679086</v>
      </c>
      <c r="BN16" s="120"/>
      <c r="CB16" s="823" t="s">
        <v>639</v>
      </c>
      <c r="CC16" s="827">
        <v>2277.6097560975609</v>
      </c>
      <c r="CD16" s="827">
        <v>3054.4406779661017</v>
      </c>
      <c r="CE16" s="827">
        <v>4442.84</v>
      </c>
      <c r="CF16" s="827">
        <v>6865.75</v>
      </c>
      <c r="CG16" s="827"/>
      <c r="CJ16" s="823" t="s">
        <v>640</v>
      </c>
      <c r="CK16" s="829">
        <v>3.8505963581322598</v>
      </c>
      <c r="CL16" s="829">
        <v>3.806976627006454</v>
      </c>
      <c r="CN16" s="823" t="s">
        <v>640</v>
      </c>
      <c r="CO16" s="827">
        <v>3087.5833333333335</v>
      </c>
      <c r="CP16" s="827">
        <v>3052.912037037037</v>
      </c>
      <c r="CR16" s="823" t="s">
        <v>640</v>
      </c>
      <c r="CS16" s="822">
        <v>49.180257510729611</v>
      </c>
      <c r="CU16" s="823" t="s">
        <v>640</v>
      </c>
      <c r="CV16" s="822">
        <v>236</v>
      </c>
    </row>
    <row r="17" spans="80:100">
      <c r="CB17" s="823" t="s">
        <v>640</v>
      </c>
      <c r="CC17" s="827">
        <v>2293.1020408163267</v>
      </c>
      <c r="CD17" s="827">
        <v>2937.1127819548874</v>
      </c>
      <c r="CE17" s="827">
        <v>4608.2068965517237</v>
      </c>
      <c r="CF17" s="827">
        <v>6056.4</v>
      </c>
      <c r="CG17" s="827"/>
      <c r="CJ17" s="823" t="s">
        <v>633</v>
      </c>
      <c r="CK17" s="829">
        <v>3.9237274604120067</v>
      </c>
      <c r="CL17" s="829">
        <v>3.9007856598728319</v>
      </c>
      <c r="CN17" s="823" t="s">
        <v>633</v>
      </c>
      <c r="CO17" s="827">
        <v>3080.6807228915663</v>
      </c>
      <c r="CP17" s="827">
        <v>3062.1265060240962</v>
      </c>
      <c r="CR17" s="823" t="s">
        <v>633</v>
      </c>
      <c r="CS17" s="822">
        <v>64.630303030303025</v>
      </c>
      <c r="CU17" s="823" t="s">
        <v>633</v>
      </c>
      <c r="CV17" s="822">
        <v>166</v>
      </c>
    </row>
    <row r="18" spans="80:100">
      <c r="CB18" s="823" t="s">
        <v>633</v>
      </c>
      <c r="CC18" s="827">
        <v>2394.7377049180327</v>
      </c>
      <c r="CD18" s="827">
        <v>3118.7105263157896</v>
      </c>
      <c r="CE18" s="827">
        <v>4423.8620689655172</v>
      </c>
      <c r="CF18" s="827"/>
      <c r="CG18" s="827"/>
      <c r="CJ18" s="823" t="s">
        <v>634</v>
      </c>
      <c r="CK18" s="829">
        <v>3.897487628619722</v>
      </c>
      <c r="CL18" s="829">
        <v>3.8918952920189493</v>
      </c>
      <c r="CN18" s="823" t="s">
        <v>634</v>
      </c>
      <c r="CO18" s="827">
        <v>3014.2413793103447</v>
      </c>
      <c r="CP18" s="827">
        <v>3009.2873563218391</v>
      </c>
      <c r="CR18" s="823" t="s">
        <v>634</v>
      </c>
      <c r="CS18" s="822">
        <v>64.264367816091948</v>
      </c>
      <c r="CU18" s="823" t="s">
        <v>634</v>
      </c>
      <c r="CV18" s="822">
        <v>174</v>
      </c>
    </row>
    <row r="19" spans="80:100">
      <c r="CB19" s="823" t="s">
        <v>634</v>
      </c>
      <c r="CC19" s="827">
        <v>2375.5151515151515</v>
      </c>
      <c r="CD19" s="827">
        <v>2937.1842105263158</v>
      </c>
      <c r="CE19" s="827">
        <v>4400.2068965517237</v>
      </c>
      <c r="CF19" s="827">
        <v>7330</v>
      </c>
      <c r="CG19" s="827">
        <v>2202</v>
      </c>
      <c r="CJ19" s="823" t="s">
        <v>635</v>
      </c>
      <c r="CK19" s="829">
        <v>3.7175310403908033</v>
      </c>
      <c r="CL19" s="829">
        <v>3.7021010425027683</v>
      </c>
      <c r="CN19" s="823" t="s">
        <v>635</v>
      </c>
      <c r="CO19" s="827">
        <v>3091.188524590164</v>
      </c>
      <c r="CP19" s="827">
        <v>3075.9180327868853</v>
      </c>
      <c r="CR19" s="823" t="s">
        <v>635</v>
      </c>
      <c r="CS19" s="822">
        <v>53.47933884297521</v>
      </c>
      <c r="CU19" s="823" t="s">
        <v>635</v>
      </c>
      <c r="CV19" s="822">
        <v>122</v>
      </c>
    </row>
    <row r="20" spans="80:100">
      <c r="CB20" s="823" t="s">
        <v>635</v>
      </c>
      <c r="CC20" s="827">
        <v>2376.12</v>
      </c>
      <c r="CD20" s="827">
        <v>2901.4603174603176</v>
      </c>
      <c r="CE20" s="827">
        <v>3907.878787878788</v>
      </c>
      <c r="CF20" s="827">
        <v>5970</v>
      </c>
      <c r="CG20" s="827"/>
      <c r="CJ20" s="823" t="s">
        <v>636</v>
      </c>
      <c r="CK20" s="829">
        <v>3.646284040653494</v>
      </c>
      <c r="CL20" s="829">
        <v>3.6112828513925832</v>
      </c>
      <c r="CN20" s="823" t="s">
        <v>636</v>
      </c>
      <c r="CO20" s="827">
        <v>3037.1908396946565</v>
      </c>
      <c r="CP20" s="827">
        <v>3008.5190839694656</v>
      </c>
      <c r="CR20" s="823" t="s">
        <v>636</v>
      </c>
      <c r="CS20" s="822">
        <v>70.473282442748086</v>
      </c>
      <c r="CU20" s="823" t="s">
        <v>636</v>
      </c>
      <c r="CV20" s="822">
        <v>131</v>
      </c>
    </row>
    <row r="21" spans="80:100">
      <c r="CB21" s="823" t="s">
        <v>636</v>
      </c>
      <c r="CC21" s="827">
        <v>2264.5135135135133</v>
      </c>
      <c r="CD21" s="827">
        <v>2775.5238095238096</v>
      </c>
      <c r="CE21" s="827">
        <v>4237.8888888888887</v>
      </c>
      <c r="CF21" s="827">
        <v>6201</v>
      </c>
      <c r="CG21" s="827"/>
      <c r="CJ21" s="823" t="s">
        <v>637</v>
      </c>
      <c r="CK21" s="829">
        <v>3.6860443707873114</v>
      </c>
      <c r="CL21" s="829">
        <v>3.6115113132193231</v>
      </c>
      <c r="CN21" s="823" t="s">
        <v>637</v>
      </c>
      <c r="CO21" s="827">
        <v>2961.6080000000002</v>
      </c>
      <c r="CP21" s="827">
        <v>2901.4560000000001</v>
      </c>
      <c r="CR21" s="823" t="s">
        <v>637</v>
      </c>
      <c r="CS21" s="822">
        <v>86.427419354838705</v>
      </c>
      <c r="CU21" s="823" t="s">
        <v>637</v>
      </c>
      <c r="CV21" s="822">
        <v>125</v>
      </c>
    </row>
    <row r="22" spans="80:100">
      <c r="CB22" s="823" t="s">
        <v>637</v>
      </c>
      <c r="CC22" s="827">
        <v>2242.0277777777778</v>
      </c>
      <c r="CD22" s="827">
        <v>2826.6393442622953</v>
      </c>
      <c r="CE22" s="827">
        <v>4096.2222222222226</v>
      </c>
      <c r="CF22" s="827">
        <v>6465</v>
      </c>
      <c r="CG22" s="827"/>
      <c r="CJ22" s="823" t="s">
        <v>638</v>
      </c>
      <c r="CK22" s="829">
        <v>3.5699850309736001</v>
      </c>
      <c r="CL22" s="829">
        <v>3.4728789206511523</v>
      </c>
      <c r="CN22" s="823" t="s">
        <v>638</v>
      </c>
      <c r="CO22" s="827">
        <v>2834.2810457516339</v>
      </c>
      <c r="CP22" s="827">
        <v>2759.5163398692812</v>
      </c>
      <c r="CR22" s="823" t="s">
        <v>638</v>
      </c>
      <c r="CS22" s="822">
        <v>89.512987012987011</v>
      </c>
      <c r="CU22" s="823" t="s">
        <v>638</v>
      </c>
      <c r="CV22" s="822">
        <v>154</v>
      </c>
    </row>
    <row r="23" spans="80:100">
      <c r="CB23" s="823" t="s">
        <v>638</v>
      </c>
      <c r="CC23" s="827">
        <v>2148.5490196078431</v>
      </c>
      <c r="CD23" s="827">
        <v>2753.1971830985917</v>
      </c>
      <c r="CE23" s="827">
        <v>4127.75</v>
      </c>
      <c r="CF23" s="827">
        <v>5258.5</v>
      </c>
      <c r="CG23" s="827">
        <v>2498</v>
      </c>
      <c r="CJ23" s="824" t="s">
        <v>473</v>
      </c>
      <c r="CK23" s="829"/>
      <c r="CL23" s="829"/>
      <c r="CN23" s="824" t="s">
        <v>473</v>
      </c>
      <c r="CO23" s="827">
        <v>3080.717525773196</v>
      </c>
      <c r="CP23" s="827">
        <v>3051.7731958762888</v>
      </c>
      <c r="CR23" s="824" t="s">
        <v>473</v>
      </c>
      <c r="CS23" s="822"/>
      <c r="CU23" s="824" t="s">
        <v>473</v>
      </c>
      <c r="CV23" s="822"/>
    </row>
    <row r="24" spans="80:100">
      <c r="CB24" s="824" t="s">
        <v>473</v>
      </c>
      <c r="CC24" s="827"/>
      <c r="CD24" s="827"/>
      <c r="CE24" s="827"/>
      <c r="CF24" s="827"/>
      <c r="CG24" s="827"/>
      <c r="CJ24" s="823" t="s">
        <v>641</v>
      </c>
      <c r="CK24" s="829">
        <v>3.6337634306757409</v>
      </c>
      <c r="CL24" s="829">
        <v>3.5759535609238715</v>
      </c>
      <c r="CN24" s="823" t="s">
        <v>641</v>
      </c>
      <c r="CO24" s="827">
        <v>2958.5542857142859</v>
      </c>
      <c r="CP24" s="827">
        <v>2910.4114285714286</v>
      </c>
      <c r="CR24" s="823" t="s">
        <v>641</v>
      </c>
      <c r="CS24" s="822">
        <v>87.954285714285717</v>
      </c>
      <c r="CU24" s="823" t="s">
        <v>641</v>
      </c>
      <c r="CV24" s="822">
        <v>175</v>
      </c>
    </row>
    <row r="25" spans="80:100">
      <c r="CB25" s="823" t="s">
        <v>641</v>
      </c>
      <c r="CC25" s="827">
        <v>2247.8070175438597</v>
      </c>
      <c r="CD25" s="827">
        <v>2843.8571428571427</v>
      </c>
      <c r="CE25" s="827">
        <v>4157.0666666666666</v>
      </c>
      <c r="CF25" s="827">
        <v>6506.5</v>
      </c>
      <c r="CG25" s="827"/>
      <c r="CJ25" s="823" t="s">
        <v>642</v>
      </c>
      <c r="CK25" s="829">
        <v>3.7301931965912569</v>
      </c>
      <c r="CL25" s="829">
        <v>3.7094658615279954</v>
      </c>
      <c r="CN25" s="823" t="s">
        <v>642</v>
      </c>
      <c r="CO25" s="827">
        <v>3153.4563758389263</v>
      </c>
      <c r="CP25" s="827">
        <v>3135.7315436241611</v>
      </c>
      <c r="CR25" s="823" t="s">
        <v>642</v>
      </c>
      <c r="CS25" s="822">
        <v>73.912162162162161</v>
      </c>
      <c r="CU25" s="823" t="s">
        <v>642</v>
      </c>
      <c r="CV25" s="822">
        <v>149</v>
      </c>
    </row>
    <row r="26" spans="80:100">
      <c r="CB26" s="823" t="s">
        <v>642</v>
      </c>
      <c r="CC26" s="827">
        <v>2286.2391304347825</v>
      </c>
      <c r="CD26" s="827">
        <v>3010.9253731343283</v>
      </c>
      <c r="CE26" s="827">
        <v>4402.363636363636</v>
      </c>
      <c r="CF26" s="827">
        <v>5896</v>
      </c>
      <c r="CG26" s="827"/>
      <c r="CJ26" s="823" t="s">
        <v>643</v>
      </c>
      <c r="CK26" s="829">
        <v>3.8862998000371798</v>
      </c>
      <c r="CL26" s="829">
        <v>3.8758448805686232</v>
      </c>
      <c r="CN26" s="823" t="s">
        <v>643</v>
      </c>
      <c r="CO26" s="827">
        <v>3236.3100775193798</v>
      </c>
      <c r="CP26" s="827">
        <v>3224.0077519379847</v>
      </c>
      <c r="CR26" s="823" t="s">
        <v>643</v>
      </c>
      <c r="CS26" s="822">
        <v>58.968992248062015</v>
      </c>
      <c r="CU26" s="823" t="s">
        <v>643</v>
      </c>
      <c r="CV26" s="822">
        <v>129</v>
      </c>
    </row>
    <row r="27" spans="80:100">
      <c r="CB27" s="823" t="s">
        <v>643</v>
      </c>
      <c r="CC27" s="827">
        <v>2326.7435897435898</v>
      </c>
      <c r="CD27" s="827">
        <v>3132.2571428571428</v>
      </c>
      <c r="CE27" s="827">
        <v>4404.2142857142853</v>
      </c>
      <c r="CF27" s="827">
        <v>7637.333333333333</v>
      </c>
      <c r="CG27" s="827"/>
      <c r="CJ27" s="823" t="s">
        <v>639</v>
      </c>
      <c r="CK27" s="829">
        <v>3.7036648935343965</v>
      </c>
      <c r="CL27" s="829">
        <v>3.7036648935343965</v>
      </c>
      <c r="CN27" s="823" t="s">
        <v>639</v>
      </c>
      <c r="CO27" s="827">
        <v>2307.5</v>
      </c>
      <c r="CP27" s="827">
        <v>2307.5</v>
      </c>
      <c r="CR27" s="823" t="s">
        <v>639</v>
      </c>
      <c r="CS27" s="822">
        <v>111.75</v>
      </c>
      <c r="CU27" s="823" t="s">
        <v>639</v>
      </c>
      <c r="CV27" s="822">
        <v>4</v>
      </c>
    </row>
    <row r="28" spans="80:100">
      <c r="CB28" s="823" t="s">
        <v>639</v>
      </c>
      <c r="CC28" s="827">
        <v>2307.5</v>
      </c>
      <c r="CD28" s="827"/>
      <c r="CE28" s="827"/>
      <c r="CF28" s="827"/>
      <c r="CG28" s="827"/>
      <c r="CJ28" s="823" t="s">
        <v>640</v>
      </c>
      <c r="CK28" s="829">
        <v>4.028397565922921</v>
      </c>
      <c r="CL28" s="829">
        <v>4.028397565922921</v>
      </c>
      <c r="CN28" s="823" t="s">
        <v>640</v>
      </c>
      <c r="CO28" s="827">
        <v>1986</v>
      </c>
      <c r="CP28" s="827">
        <v>1986</v>
      </c>
      <c r="CR28" s="823" t="s">
        <v>640</v>
      </c>
      <c r="CS28" s="822">
        <v>3</v>
      </c>
      <c r="CU28" s="823" t="s">
        <v>640</v>
      </c>
      <c r="CV28" s="822">
        <v>1</v>
      </c>
    </row>
    <row r="29" spans="80:100">
      <c r="CB29" s="823" t="s">
        <v>640</v>
      </c>
      <c r="CC29" s="827">
        <v>1986</v>
      </c>
      <c r="CD29" s="827"/>
      <c r="CE29" s="827"/>
      <c r="CF29" s="827"/>
      <c r="CG29" s="827"/>
      <c r="CJ29" s="823" t="s">
        <v>633</v>
      </c>
      <c r="CK29" s="829">
        <v>3.9859737158037523</v>
      </c>
      <c r="CL29" s="829">
        <v>3.9859737158037523</v>
      </c>
      <c r="CN29" s="823" t="s">
        <v>633</v>
      </c>
      <c r="CO29" s="827">
        <v>2553.5</v>
      </c>
      <c r="CP29" s="827">
        <v>2553.5</v>
      </c>
      <c r="CR29" s="823" t="s">
        <v>633</v>
      </c>
      <c r="CS29" s="822">
        <v>55</v>
      </c>
      <c r="CU29" s="823" t="s">
        <v>633</v>
      </c>
      <c r="CV29" s="822">
        <v>4</v>
      </c>
    </row>
    <row r="30" spans="80:100">
      <c r="CB30" s="823" t="s">
        <v>633</v>
      </c>
      <c r="CC30" s="827">
        <v>2296.3333333333335</v>
      </c>
      <c r="CD30" s="827">
        <v>3325</v>
      </c>
      <c r="CE30" s="827"/>
      <c r="CF30" s="827"/>
      <c r="CG30" s="827"/>
      <c r="CJ30" s="823" t="s">
        <v>634</v>
      </c>
      <c r="CK30" s="829">
        <v>3.7290531835544609</v>
      </c>
      <c r="CL30" s="829">
        <v>3.5677903849196486</v>
      </c>
      <c r="CN30" s="823" t="s">
        <v>634</v>
      </c>
      <c r="CO30" s="827">
        <v>2217.5</v>
      </c>
      <c r="CP30" s="827">
        <v>2123</v>
      </c>
      <c r="CR30" s="823" t="s">
        <v>634</v>
      </c>
      <c r="CS30" s="822">
        <v>41</v>
      </c>
      <c r="CU30" s="823" t="s">
        <v>634</v>
      </c>
      <c r="CV30" s="822">
        <v>2</v>
      </c>
    </row>
    <row r="31" spans="80:100">
      <c r="CB31" s="823" t="s">
        <v>634</v>
      </c>
      <c r="CC31" s="827">
        <v>2166</v>
      </c>
      <c r="CD31" s="827">
        <v>2269</v>
      </c>
      <c r="CE31" s="827"/>
      <c r="CF31" s="827"/>
      <c r="CG31" s="827"/>
      <c r="CJ31" s="823" t="s">
        <v>635</v>
      </c>
      <c r="CK31" s="829">
        <v>3.5987521977492078</v>
      </c>
      <c r="CL31" s="829">
        <v>3.5553569538679377</v>
      </c>
      <c r="CN31" s="823" t="s">
        <v>635</v>
      </c>
      <c r="CO31" s="827">
        <v>2551</v>
      </c>
      <c r="CP31" s="827">
        <v>2515.2857142857142</v>
      </c>
      <c r="CR31" s="823" t="s">
        <v>635</v>
      </c>
      <c r="CS31" s="822">
        <v>48.142857142857146</v>
      </c>
      <c r="CU31" s="823" t="s">
        <v>635</v>
      </c>
      <c r="CV31" s="822">
        <v>7</v>
      </c>
    </row>
    <row r="32" spans="80:100">
      <c r="CB32" s="823" t="s">
        <v>635</v>
      </c>
      <c r="CC32" s="827">
        <v>2303.6</v>
      </c>
      <c r="CD32" s="827">
        <v>3169.5</v>
      </c>
      <c r="CE32" s="827"/>
      <c r="CF32" s="827"/>
      <c r="CG32" s="827"/>
      <c r="CJ32" s="823" t="s">
        <v>636</v>
      </c>
      <c r="CK32" s="829">
        <v>3.4589505414591293</v>
      </c>
      <c r="CL32" s="829">
        <v>3.3766122330014174</v>
      </c>
      <c r="CN32" s="823" t="s">
        <v>636</v>
      </c>
      <c r="CO32" s="827">
        <v>4337.666666666667</v>
      </c>
      <c r="CP32" s="827">
        <v>4227.333333333333</v>
      </c>
      <c r="CR32" s="823" t="s">
        <v>636</v>
      </c>
      <c r="CS32" s="822">
        <v>39</v>
      </c>
      <c r="CU32" s="823" t="s">
        <v>636</v>
      </c>
      <c r="CV32" s="822">
        <v>3</v>
      </c>
    </row>
    <row r="33" spans="80:100">
      <c r="CB33" s="823" t="s">
        <v>636</v>
      </c>
      <c r="CC33" s="827">
        <v>2346</v>
      </c>
      <c r="CD33" s="827"/>
      <c r="CE33" s="827">
        <v>3974</v>
      </c>
      <c r="CF33" s="827">
        <v>6693</v>
      </c>
      <c r="CG33" s="827"/>
      <c r="CJ33" s="823" t="s">
        <v>637</v>
      </c>
      <c r="CK33" s="829">
        <v>3.5812582717108521</v>
      </c>
      <c r="CL33" s="829">
        <v>3.5812582717108521</v>
      </c>
      <c r="CN33" s="823" t="s">
        <v>637</v>
      </c>
      <c r="CO33" s="827">
        <v>2315.25</v>
      </c>
      <c r="CP33" s="827">
        <v>2315.25</v>
      </c>
      <c r="CR33" s="823" t="s">
        <v>637</v>
      </c>
      <c r="CS33" s="822">
        <v>46.5</v>
      </c>
      <c r="CU33" s="823" t="s">
        <v>637</v>
      </c>
      <c r="CV33" s="822">
        <v>4</v>
      </c>
    </row>
    <row r="34" spans="80:100">
      <c r="CB34" s="823" t="s">
        <v>637</v>
      </c>
      <c r="CC34" s="827">
        <v>2132</v>
      </c>
      <c r="CD34" s="827">
        <v>2865</v>
      </c>
      <c r="CE34" s="827"/>
      <c r="CF34" s="827"/>
      <c r="CG34" s="827"/>
      <c r="CJ34" s="823" t="s">
        <v>638</v>
      </c>
      <c r="CK34" s="829">
        <v>3.8704905452288818</v>
      </c>
      <c r="CL34" s="829">
        <v>3.8112310320633753</v>
      </c>
      <c r="CN34" s="823" t="s">
        <v>638</v>
      </c>
      <c r="CO34" s="827">
        <v>3293.7142857142858</v>
      </c>
      <c r="CP34" s="827">
        <v>3205.8571428571427</v>
      </c>
      <c r="CR34" s="823" t="s">
        <v>638</v>
      </c>
      <c r="CS34" s="822">
        <v>42.142857142857146</v>
      </c>
      <c r="CU34" s="823" t="s">
        <v>638</v>
      </c>
      <c r="CV34" s="822">
        <v>7</v>
      </c>
    </row>
    <row r="35" spans="80:100">
      <c r="CB35" s="823" t="s">
        <v>638</v>
      </c>
      <c r="CC35" s="827">
        <v>2347.5</v>
      </c>
      <c r="CD35" s="827">
        <v>2815.6666666666665</v>
      </c>
      <c r="CE35" s="827">
        <v>3665</v>
      </c>
      <c r="CF35" s="827">
        <v>6249</v>
      </c>
      <c r="CG35" s="827"/>
      <c r="CJ35" s="824" t="s">
        <v>375</v>
      </c>
      <c r="CK35" s="829">
        <v>3.7582277556753176</v>
      </c>
      <c r="CL35" s="829">
        <v>3.7212582757670805</v>
      </c>
      <c r="CN35" s="824" t="s">
        <v>375</v>
      </c>
      <c r="CO35" s="827">
        <v>3052.92</v>
      </c>
      <c r="CP35" s="827">
        <v>3022.7004255319148</v>
      </c>
      <c r="CR35" s="824" t="s">
        <v>375</v>
      </c>
      <c r="CS35" s="822">
        <v>63.05219660722053</v>
      </c>
      <c r="CU35" s="824" t="s">
        <v>375</v>
      </c>
      <c r="CV35" s="822">
        <v>2394</v>
      </c>
    </row>
    <row r="36" spans="80:100">
      <c r="CB36" s="824" t="s">
        <v>375</v>
      </c>
      <c r="CC36" s="827">
        <v>2291.2141823444285</v>
      </c>
      <c r="CD36" s="827">
        <v>2929.7514693534845</v>
      </c>
      <c r="CE36" s="827">
        <v>4275.71875</v>
      </c>
      <c r="CF36" s="827">
        <v>6368</v>
      </c>
      <c r="CG36" s="827">
        <v>2350</v>
      </c>
    </row>
    <row r="37" spans="80:100"/>
    <row r="38" spans="80:100"/>
    <row r="39" spans="80:100"/>
    <row r="40" spans="80:100"/>
    <row r="41" spans="80:100"/>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2E79-EC3E-431D-8F34-55206E576FB8}">
  <sheetPr codeName="Sheet4">
    <pageSetUpPr fitToPage="true"/>
  </sheetPr>
  <dimension ref="A1:V549"/>
  <sheetViews>
    <sheetView showGridLines="false" zoomScaleNormal="100" workbookViewId="0">
      <pane activePane="bottomLeft" state="frozen" topLeftCell="A6" ySplit="5"/>
      <selection pane="bottomLeft"/>
    </sheetView>
  </sheetViews>
  <sheetFormatPr defaultColWidth="8.7265625" defaultRowHeight="14.5" customHeight="true"/>
  <cols>
    <col customWidth="true" max="1" min="1" style="55" width="3.08984375"/>
    <col customWidth="true" max="2" min="2" style="71" width="30"/>
    <col customWidth="true" max="3" min="3" style="427" width="9.81640625"/>
    <col customWidth="true" max="5" min="4" style="71" width="22"/>
    <col customWidth="true" max="6" min="6" style="425" width="28.08984375"/>
    <col customWidth="true" max="7" min="7" style="424" width="20.1796875"/>
    <col customWidth="true" max="8" min="8" style="426" width="19.453125"/>
    <col customWidth="true" max="9" min="9" style="424" width="23.81640625"/>
    <col customWidth="true" max="10" min="10" style="72" width="22.54296875"/>
    <col customWidth="true" max="11" min="11" style="72" width="19"/>
    <col customWidth="true" max="12" min="12" style="55" width="2.6328125"/>
    <col customWidth="true" max="13" min="13" style="55" width="15.6328125"/>
    <col customWidth="true" max="15" min="14" style="55" width="14.6328125"/>
    <col customWidth="true" max="16" min="16" style="55" width="9.6328125"/>
    <col customWidth="true" max="18" min="17" style="55" width="14.6328125"/>
    <col customWidth="true" max="19" min="19" style="55" width="9.6328125"/>
    <col customWidth="true" max="20" min="20" style="55" width="2.6328125"/>
    <col customWidth="true" max="22" min="21" style="55" width="8.6328125"/>
    <col max="16384" min="23" style="55" width="8.7265625"/>
  </cols>
  <sheetData>
    <row r="1" spans="1:22" ht="31">
      <c r="A1" s="76"/>
      <c r="B1" s="707" t="s">
        <v>1214</v>
      </c>
      <c r="C1" s="73"/>
      <c r="D1" s="74"/>
      <c r="E1" s="607"/>
      <c r="F1" s="607"/>
      <c r="G1" s="607"/>
      <c r="H1" s="607"/>
      <c r="I1" s="607"/>
      <c r="J1" s="602" t="s">
        <v>1044</v>
      </c>
      <c r="K1" s="602">
        <v>45785</v>
      </c>
    </row>
    <row r="2" spans="1:22" ht="41.5" customHeight="true">
      <c r="A2" s="788" t="s">
        <v>376</v>
      </c>
      <c r="B2" s="109"/>
      <c r="C2" s="109"/>
      <c r="D2" s="110"/>
      <c r="E2" s="110"/>
      <c r="F2" s="111"/>
      <c r="G2" s="111"/>
      <c r="H2" s="111"/>
      <c r="I2" s="112"/>
      <c r="J2" s="608"/>
      <c r="K2" s="609" t="s">
        <v>922</v>
      </c>
    </row>
    <row r="3" spans="1:22" ht="80" customHeight="true">
      <c r="A3" s="788"/>
      <c r="B3" s="109"/>
      <c r="C3" s="109"/>
      <c r="D3" s="110"/>
      <c r="E3" s="110"/>
      <c r="F3" s="111"/>
      <c r="G3" s="111"/>
      <c r="H3" s="111"/>
      <c r="I3" s="112"/>
      <c r="J3" s="608"/>
      <c r="K3" s="608"/>
    </row>
    <row r="4" spans="1:22" ht="18.5">
      <c r="A4" s="788"/>
      <c r="B4" s="109"/>
      <c r="C4" s="109"/>
      <c r="D4" s="78" t="s">
        <v>592</v>
      </c>
      <c r="E4" s="78" t="s">
        <v>840</v>
      </c>
      <c r="F4" s="78" t="s">
        <v>590</v>
      </c>
      <c r="G4" s="78" t="s">
        <v>841</v>
      </c>
      <c r="H4" s="78" t="s">
        <v>591</v>
      </c>
      <c r="I4" s="78" t="s">
        <v>593</v>
      </c>
      <c r="J4" s="78" t="s">
        <v>597</v>
      </c>
      <c r="K4" s="78" t="s">
        <v>647</v>
      </c>
    </row>
    <row r="5" spans="1:22" s="429" customFormat="true" ht="33.5">
      <c r="A5" s="788"/>
      <c r="B5" s="428"/>
      <c r="C5" s="428"/>
      <c r="D5" s="481">
        <f>GETPIVOTDATA("Avg Sqft",$B$89)</f>
        <v>816.56503642039547</v>
      </c>
      <c r="E5" s="478">
        <f>GETPIVOTDATA("Avg Rent",$B$89)</f>
        <v>3062.2171468728038</v>
      </c>
      <c r="F5" s="478">
        <f>GETPIVOTDATA(" Avg Effective Rent",$B$89)</f>
        <v>3036.405832747716</v>
      </c>
      <c r="G5" s="479">
        <f>GETPIVOTDATA("Avg Rent PSF",$B$89)</f>
        <v>3.8019782438744745</v>
      </c>
      <c r="H5" s="479">
        <f>GETPIVOTDATA("Avg Effective Rent PSF",$B$89)</f>
        <v>3.7702408403008856</v>
      </c>
      <c r="I5" s="480">
        <f>GETPIVOTDATA("Concession %",$B$89)</f>
        <v>8.4289627048319757E-3</v>
      </c>
      <c r="J5" s="481">
        <f>GETPIVOTDATA("Avg Days on Mkt",$B$89)</f>
        <v>61.96810207336523</v>
      </c>
      <c r="K5" s="481">
        <f>GETPIVOTDATA("# Leases",$B$89)</f>
        <v>2846</v>
      </c>
    </row>
    <row r="6" spans="1:22" ht="8" customHeight="true">
      <c r="P6" s="3"/>
      <c r="Q6" s="3"/>
      <c r="R6" s="3"/>
      <c r="S6" s="3"/>
    </row>
    <row r="7" spans="1:22" ht="14.5" customHeight="true">
      <c r="M7" s="722" t="s">
        <v>1186</v>
      </c>
      <c r="N7" s="3"/>
      <c r="O7" s="722" t="s">
        <v>1185</v>
      </c>
      <c r="Q7" s="722" t="s">
        <v>1189</v>
      </c>
      <c r="R7" s="3"/>
    </row>
    <row r="8" spans="1:22" ht="16" customHeight="true">
      <c r="M8" s="717" t="s">
        <v>1187</v>
      </c>
      <c r="N8" s="700" t="s">
        <v>1058</v>
      </c>
      <c r="O8" s="717">
        <v>180</v>
      </c>
      <c r="P8" s="55" t="s">
        <v>1059</v>
      </c>
      <c r="Q8" s="717" t="s">
        <v>1057</v>
      </c>
      <c r="R8" s="3"/>
    </row>
    <row r="9"/>
    <row r="10" spans="1:22" ht="15" customHeight="true" thickBot="true">
      <c r="N10" s="785" t="str">
        <f>"Leased Units Tagged With "&amp;M8</f>
        <v>Leased Units Tagged With [Select Amenity]</v>
      </c>
      <c r="O10" s="786"/>
      <c r="P10" s="787"/>
      <c r="Q10" s="782" t="str">
        <f>"Leased Units NOT Tagged with "&amp;M8</f>
        <v>Leased Units NOT Tagged with [Select Amenity]</v>
      </c>
      <c r="R10" s="783"/>
      <c r="S10" s="784"/>
      <c r="V10" s="721"/>
    </row>
    <row r="11" spans="1:22" ht="15" customHeight="true" thickBot="true">
      <c r="M11" s="711" t="s">
        <v>1045</v>
      </c>
      <c r="N11" s="711" t="s">
        <v>592</v>
      </c>
      <c r="O11" s="712" t="str">
        <f>Q8</f>
        <v>Leased Rent</v>
      </c>
      <c r="P11" s="713" t="s">
        <v>647</v>
      </c>
      <c r="Q11" s="718" t="s">
        <v>592</v>
      </c>
      <c r="R11" s="719" t="str">
        <f>Q8</f>
        <v>Leased Rent</v>
      </c>
      <c r="S11" s="720" t="s">
        <v>647</v>
      </c>
      <c r="U11" s="613" t="s">
        <v>836</v>
      </c>
      <c r="V11" s="617" t="s">
        <v>837</v>
      </c>
    </row>
    <row r="12" spans="1:22" ht="15" customHeight="true">
      <c r="M12" s="710">
        <v>0</v>
      </c>
      <c r="N12" s="727">
        <f>IFERROR(AVERAGEIFS(
  unit_details[Sqft],
  unit_details[Beds], $M12,
  unit_details[Detected Unit Amenities], "*"&amp;$M$8&amp;"*",
  unit_details[Leased Date], "&gt;=" &amp; ('Weekly Market Updates'!$Q$2 - $O$8)
),0)</f>
        <v>0</v>
      </c>
      <c r="O12" s="730">
        <f>IFERROR(AVERAGEIFS(
  IF($Q$8="Leased Rent",unit_details[Asking Rent],IF($Q$8="Effective Rent",unit_details[Effective Rent],IF($Q$8="Leased Rent PSF",unit_details[Asking PSF],unit_details[Effective PSF]))),
  unit_details[Beds], $M12,
  unit_details[Detected Unit Amenities], "*"&amp;$M$8&amp;"*",
  unit_details[Leased Date], "&gt;=" &amp; ('Weekly Market Updates'!$Q$2 - $O$8)
),0)</f>
        <v>0</v>
      </c>
      <c r="P12" s="731">
        <f>IFERROR(COUNTIFS(
  unit_details[Beds], $M12,
  unit_details[Detected Unit Amenities], "*"&amp;$M$8&amp;"*",
  unit_details[Leased Date], "&gt;=" &amp; ('Weekly Market Updates'!$Q$2 - $O$8)
),0)</f>
        <v>0</v>
      </c>
      <c r="Q12" s="727">
        <f>IFERROR(IF(N12=0,0,AVERAGEIFS(
  unit_details[Sqft],
  unit_details[Beds], $M12,
  unit_details[Detected Unit Amenities], "&lt;&gt;*"&amp;$M$8&amp;"*",
  unit_details[Leased Date], "&gt;=" &amp; ('Weekly Market Updates'!$Q$2 - $O$8)
)),0)</f>
        <v>0</v>
      </c>
      <c r="R12" s="730">
        <f>IFERROR(IF(O12=0,0,AVERAGEIFS(
  IF($Q$8="Leased Rent",unit_details[Asking Rent],IF($Q$8="Effective Rent",unit_details[Effective Rent],IF($Q$8="Leased Rent PSF",unit_details[Asking PSF],unit_details[Effective PSF]))),
  unit_details[Beds], $M12,
  unit_details[Detected Unit Amenities], "&lt;&gt;*"&amp;$M$8&amp;"*",
  unit_details[Leased Date], "&gt;=" &amp; ('Weekly Market Updates'!$Q$2 - $O$8)
)),0)</f>
        <v>0</v>
      </c>
      <c r="S12" s="731">
        <f>IFERROR(IF(P12=0,0,COUNTIFS(
  unit_details[Beds], $M12,
  unit_details[Detected Unit Amenities], "&lt;&gt;*"&amp;$M$8&amp;"*",
  unit_details[Leased Date], "&gt;=" &amp; ('Weekly Market Updates'!$Q$2 - $O$8)
)),0)</f>
        <v>0</v>
      </c>
      <c r="U12" s="723">
        <f>IFERROR(O12-R12,0)</f>
        <v>0</v>
      </c>
      <c r="V12" s="725">
        <f>IFERROR(U12/R12,0)</f>
        <v>0</v>
      </c>
    </row>
    <row r="13" spans="1:22" ht="15" customHeight="true">
      <c r="M13" s="710">
        <v>1</v>
      </c>
      <c r="N13" s="727">
        <f>IFERROR(AVERAGEIFS(
  unit_details[Sqft],
  unit_details[Beds], $M13,
  unit_details[Detected Unit Amenities], "*"&amp;$M$8&amp;"*",
  unit_details[Leased Date], "&gt;=" &amp; ('Weekly Market Updates'!$Q$2 - $O$8)
),0)</f>
        <v>0</v>
      </c>
      <c r="O13" s="730">
        <f>IFERROR(AVERAGEIFS(
  IF($Q$8="Leased Rent",unit_details[Asking Rent],IF($Q$8="Effective Rent",unit_details[Effective Rent],IF($Q$8="Leased Rent PSF",unit_details[Asking PSF],unit_details[Effective PSF]))),
  unit_details[Beds], $M13,
  unit_details[Detected Unit Amenities], "*"&amp;$M$8&amp;"*",
  unit_details[Leased Date], "&gt;=" &amp; ('Weekly Market Updates'!$Q$2 - $O$8)
),0)</f>
        <v>0</v>
      </c>
      <c r="P13" s="731">
        <f>IFERROR(COUNTIFS(
  unit_details[Beds], $M13,
  unit_details[Detected Unit Amenities], "*"&amp;$M$8&amp;"*",
  unit_details[Leased Date], "&gt;=" &amp; ('Weekly Market Updates'!$Q$2 - $O$8)
),0)</f>
        <v>0</v>
      </c>
      <c r="Q13" s="727">
        <f>IFERROR(IF(N13=0,0,AVERAGEIFS(
  unit_details[Sqft],
  unit_details[Beds], $M13,
  unit_details[Detected Unit Amenities], "&lt;&gt;*"&amp;$M$8&amp;"*",
  unit_details[Leased Date], "&gt;=" &amp; ('Weekly Market Updates'!$Q$2 - $O$8)
)),0)</f>
        <v>0</v>
      </c>
      <c r="R13" s="730">
        <f>IFERROR(IF(O13=0,0,AVERAGEIFS(
  IF($Q$8="Leased Rent",unit_details[Asking Rent],IF($Q$8="Effective Rent",unit_details[Effective Rent],IF($Q$8="Leased Rent PSF",unit_details[Asking PSF],unit_details[Effective PSF]))),
  unit_details[Beds], $M13,
  unit_details[Detected Unit Amenities], "&lt;&gt;*"&amp;$M$8&amp;"*",
  unit_details[Leased Date], "&gt;=" &amp; ('Weekly Market Updates'!$Q$2 - $O$8)
)),0)</f>
        <v>0</v>
      </c>
      <c r="S13" s="731">
        <f>IFERROR(IF(P13=0,0,COUNTIFS(
  unit_details[Beds], $M13,
  unit_details[Detected Unit Amenities], "&lt;&gt;*"&amp;$M$8&amp;"*",
  unit_details[Leased Date], "&gt;=" &amp; ('Weekly Market Updates'!$Q$2 - $O$8)
)),0)</f>
        <v>0</v>
      </c>
      <c r="U13" s="723">
        <f t="shared" ref="U13:U17" si="0">IFERROR(O13-R13,0)</f>
        <v>0</v>
      </c>
      <c r="V13" s="725">
        <f t="shared" ref="V13:V17" si="1">IFERROR(U13/R13,0)</f>
        <v>0</v>
      </c>
    </row>
    <row r="14" spans="1:22" ht="15" customHeight="true">
      <c r="M14" s="710">
        <v>2</v>
      </c>
      <c r="N14" s="727">
        <f>IFERROR(AVERAGEIFS(
  unit_details[Sqft],
  unit_details[Beds], $M14,
  unit_details[Detected Unit Amenities], "*"&amp;$M$8&amp;"*",
  unit_details[Leased Date], "&gt;=" &amp; ('Weekly Market Updates'!$Q$2 - $O$8)
),0)</f>
        <v>0</v>
      </c>
      <c r="O14" s="730">
        <f>IFERROR(AVERAGEIFS(
  IF($Q$8="Leased Rent",unit_details[Asking Rent],IF($Q$8="Effective Rent",unit_details[Effective Rent],IF($Q$8="Leased Rent PSF",unit_details[Asking PSF],unit_details[Effective PSF]))),
  unit_details[Beds], $M14,
  unit_details[Detected Unit Amenities], "*"&amp;$M$8&amp;"*",
  unit_details[Leased Date], "&gt;=" &amp; ('Weekly Market Updates'!$Q$2 - $O$8)
),0)</f>
        <v>0</v>
      </c>
      <c r="P14" s="731">
        <f>IFERROR(COUNTIFS(
  unit_details[Beds], $M14,
  unit_details[Detected Unit Amenities], "*"&amp;$M$8&amp;"*",
  unit_details[Leased Date], "&gt;=" &amp; ('Weekly Market Updates'!$Q$2 - $O$8)
),0)</f>
        <v>0</v>
      </c>
      <c r="Q14" s="727">
        <f>IFERROR(IF(N14=0,0,AVERAGEIFS(
  unit_details[Sqft],
  unit_details[Beds], $M14,
  unit_details[Detected Unit Amenities], "&lt;&gt;*"&amp;$M$8&amp;"*",
  unit_details[Leased Date], "&gt;=" &amp; ('Weekly Market Updates'!$Q$2 - $O$8)
)),0)</f>
        <v>0</v>
      </c>
      <c r="R14" s="730">
        <f>IFERROR(IF(O14=0,0,AVERAGEIFS(
  IF($Q$8="Leased Rent",unit_details[Asking Rent],IF($Q$8="Effective Rent",unit_details[Effective Rent],IF($Q$8="Leased Rent PSF",unit_details[Asking PSF],unit_details[Effective PSF]))),
  unit_details[Beds], $M14,
  unit_details[Detected Unit Amenities], "&lt;&gt;*"&amp;$M$8&amp;"*",
  unit_details[Leased Date], "&gt;=" &amp; ('Weekly Market Updates'!$Q$2 - $O$8)
)),0)</f>
        <v>0</v>
      </c>
      <c r="S14" s="731">
        <f>IFERROR(IF(P14=0,0,COUNTIFS(
  unit_details[Beds], $M14,
  unit_details[Detected Unit Amenities], "&lt;&gt;*"&amp;$M$8&amp;"*",
  unit_details[Leased Date], "&gt;=" &amp; ('Weekly Market Updates'!$Q$2 - $O$8)
)),0)</f>
        <v>0</v>
      </c>
      <c r="U14" s="723">
        <f t="shared" si="0"/>
        <v>0</v>
      </c>
      <c r="V14" s="725">
        <f t="shared" si="1"/>
        <v>0</v>
      </c>
    </row>
    <row r="15" spans="1:22" ht="15" customHeight="true">
      <c r="M15" s="710">
        <v>3</v>
      </c>
      <c r="N15" s="727">
        <f>IFERROR(AVERAGEIFS(
  unit_details[Sqft],
  unit_details[Beds], $M15,
  unit_details[Detected Unit Amenities], "*"&amp;$M$8&amp;"*",
  unit_details[Leased Date], "&gt;=" &amp; ('Weekly Market Updates'!$Q$2 - $O$8)
),0)</f>
        <v>0</v>
      </c>
      <c r="O15" s="730">
        <f>IFERROR(AVERAGEIFS(
  IF($Q$8="Leased Rent",unit_details[Asking Rent],IF($Q$8="Effective Rent",unit_details[Effective Rent],IF($Q$8="Leased Rent PSF",unit_details[Asking PSF],unit_details[Effective PSF]))),
  unit_details[Beds], $M15,
  unit_details[Detected Unit Amenities], "*"&amp;$M$8&amp;"*",
  unit_details[Leased Date], "&gt;=" &amp; ('Weekly Market Updates'!$Q$2 - $O$8)
),0)</f>
        <v>0</v>
      </c>
      <c r="P15" s="731">
        <f>IFERROR(COUNTIFS(
  unit_details[Beds], $M15,
  unit_details[Detected Unit Amenities], "*"&amp;$M$8&amp;"*",
  unit_details[Leased Date], "&gt;=" &amp; ('Weekly Market Updates'!$Q$2 - $O$8)
),0)</f>
        <v>0</v>
      </c>
      <c r="Q15" s="727">
        <f>IFERROR(IF(N15=0,0,AVERAGEIFS(
  unit_details[Sqft],
  unit_details[Beds], $M15,
  unit_details[Detected Unit Amenities], "&lt;&gt;*"&amp;$M$8&amp;"*",
  unit_details[Leased Date], "&gt;=" &amp; ('Weekly Market Updates'!$Q$2 - $O$8)
)),0)</f>
        <v>0</v>
      </c>
      <c r="R15" s="730">
        <f>IFERROR(IF(O15=0,0,AVERAGEIFS(
  IF($Q$8="Leased Rent",unit_details[Asking Rent],IF($Q$8="Effective Rent",unit_details[Effective Rent],IF($Q$8="Leased Rent PSF",unit_details[Asking PSF],unit_details[Effective PSF]))),
  unit_details[Beds], $M15,
  unit_details[Detected Unit Amenities], "&lt;&gt;*"&amp;$M$8&amp;"*",
  unit_details[Leased Date], "&gt;=" &amp; ('Weekly Market Updates'!$Q$2 - $O$8)
)),0)</f>
        <v>0</v>
      </c>
      <c r="S15" s="731">
        <f>IFERROR(IF(P15=0,0,COUNTIFS(
  unit_details[Beds], $M15,
  unit_details[Detected Unit Amenities], "&lt;&gt;*"&amp;$M$8&amp;"*",
  unit_details[Leased Date], "&gt;=" &amp; ('Weekly Market Updates'!$Q$2 - $O$8)
)),0)</f>
        <v>0</v>
      </c>
      <c r="U15" s="723">
        <f t="shared" si="0"/>
        <v>0</v>
      </c>
      <c r="V15" s="725">
        <f t="shared" si="1"/>
        <v>0</v>
      </c>
    </row>
    <row r="16" spans="1:22" ht="15" customHeight="true" thickBot="true">
      <c r="M16" s="710">
        <v>4</v>
      </c>
      <c r="N16" s="727">
        <f>IFERROR(AVERAGEIFS(
  unit_details[Sqft],
  unit_details[Beds], $M16,
  unit_details[Detected Unit Amenities], "*"&amp;$M$8&amp;"*",
  unit_details[Leased Date], "&gt;=" &amp; ('Weekly Market Updates'!$Q$2 - $O$8)
),0)</f>
        <v>0</v>
      </c>
      <c r="O16" s="730">
        <f>IFERROR(AVERAGEIFS(
  IF($Q$8="Leased Rent",unit_details[Asking Rent],IF($Q$8="Effective Rent",unit_details[Effective Rent],IF($Q$8="Leased Rent PSF",unit_details[Asking PSF],unit_details[Effective PSF]))),
  unit_details[Beds], $M16,
  unit_details[Detected Unit Amenities], "*"&amp;$M$8&amp;"*",
  unit_details[Leased Date], "&gt;=" &amp; ('Weekly Market Updates'!$Q$2 - $O$8)
),0)</f>
        <v>0</v>
      </c>
      <c r="P16" s="731">
        <f>IFERROR(COUNTIFS(
  unit_details[Beds], $M16,
  unit_details[Detected Unit Amenities], "*"&amp;$M$8&amp;"*",
  unit_details[Leased Date], "&gt;=" &amp; ('Weekly Market Updates'!$Q$2 - $O$8)
),0)</f>
        <v>0</v>
      </c>
      <c r="Q16" s="727">
        <f>IFERROR(IF(N16=0,0,AVERAGEIFS(
  unit_details[Sqft],
  unit_details[Beds], $M16,
  unit_details[Detected Unit Amenities], "&lt;&gt;*"&amp;$M$8&amp;"*",
  unit_details[Leased Date], "&gt;=" &amp; ('Weekly Market Updates'!$Q$2 - $O$8)
)),0)</f>
        <v>0</v>
      </c>
      <c r="R16" s="730">
        <f>IFERROR(IF(O16=0,0,AVERAGEIFS(
  IF($Q$8="Leased Rent",unit_details[Asking Rent],IF($Q$8="Effective Rent",unit_details[Effective Rent],IF($Q$8="Leased Rent PSF",unit_details[Asking PSF],unit_details[Effective PSF]))),
  unit_details[Beds], $M16,
  unit_details[Detected Unit Amenities], "&lt;&gt;*"&amp;$M$8&amp;"*",
  unit_details[Leased Date], "&gt;=" &amp; ('Weekly Market Updates'!$Q$2 - $O$8)
)),0)</f>
        <v>0</v>
      </c>
      <c r="S16" s="731">
        <f>IFERROR(IF(P16=0,0,COUNTIFS(
  unit_details[Beds], $M16,
  unit_details[Detected Unit Amenities], "&lt;&gt;*"&amp;$M$8&amp;"*",
  unit_details[Leased Date], "&gt;=" &amp; ('Weekly Market Updates'!$Q$2 - $O$8)
)),0)</f>
        <v>0</v>
      </c>
      <c r="U16" s="723">
        <f t="shared" si="0"/>
        <v>0</v>
      </c>
      <c r="V16" s="725">
        <f t="shared" si="1"/>
        <v>0</v>
      </c>
    </row>
    <row r="17" spans="13:22" ht="15" customHeight="true" thickBot="true">
      <c r="M17" s="715" t="s">
        <v>1184</v>
      </c>
      <c r="N17" s="728">
        <f>IFERROR(AVERAGEIFS(
  unit_details[Sqft],
  unit_details[Detected Unit Amenities], "*" &amp; $M$8 &amp; "*",
  unit_details[Leased Date], "&gt;=" &amp; ('Weekly Market Updates'!$Q$2 - $O$8)
),0)</f>
        <v>0</v>
      </c>
      <c r="O17" s="729">
        <f>IFERROR(SUMPRODUCT(O12:O16,P12:P16)/P17,0)</f>
        <v>0</v>
      </c>
      <c r="P17" s="732">
        <f>SUM(P12:P16)</f>
        <v>0</v>
      </c>
      <c r="Q17" s="728">
        <f>IFERROR(IF(N17=0,0,AVERAGEIFS(
  unit_details[Sqft],
  unit_details[Detected Unit Amenities], "&lt;&gt;*" &amp; $M$8 &amp; "*",
  unit_details[Leased Date], "&gt;=" &amp; ('Weekly Market Updates'!$Q$2 - $O$8)
)),0)</f>
        <v>0</v>
      </c>
      <c r="R17" s="729">
        <f>IFERROR(SUMPRODUCT(R12:R16,S12:S16)/S17,0)</f>
        <v>0</v>
      </c>
      <c r="S17" s="732">
        <f>SUM(S12:S16)</f>
        <v>0</v>
      </c>
      <c r="U17" s="724">
        <f t="shared" si="0"/>
        <v>0</v>
      </c>
      <c r="V17" s="726">
        <f t="shared" si="1"/>
        <v>0</v>
      </c>
    </row>
    <row r="18" spans="13:22" ht="14.5" customHeight="true">
      <c r="M18" s="716" t="s">
        <v>1188</v>
      </c>
    </row>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spans="2:11" ht="14.5" customHeight="true">
      <c r="B89" s="69" t="s">
        <v>652</v>
      </c>
      <c r="C89" s="431" t="s">
        <v>747</v>
      </c>
      <c r="D89" s="70" t="s">
        <v>592</v>
      </c>
      <c r="E89" s="70" t="s">
        <v>840</v>
      </c>
      <c r="F89" s="431" t="s">
        <v>1006</v>
      </c>
      <c r="G89" s="70" t="s">
        <v>841</v>
      </c>
      <c r="H89" s="430" t="s">
        <v>591</v>
      </c>
      <c r="I89" s="430" t="s">
        <v>746</v>
      </c>
      <c r="J89" s="430" t="s">
        <v>597</v>
      </c>
      <c r="K89" s="70" t="s">
        <v>647</v>
      </c>
    </row>
    <row r="90" spans="2:11" ht="14.5" customHeight="true">
      <c r="B90" s="816" t="s">
        <v>1088</v>
      </c>
      <c r="C90" s="817">
        <v>30.122047244094489</v>
      </c>
      <c r="D90" s="817">
        <v>844.03543307086613</v>
      </c>
      <c r="E90" s="833">
        <v>3090.8149606299212</v>
      </c>
      <c r="F90" s="833">
        <v>3090.8149606299212</v>
      </c>
      <c r="G90" s="832">
        <v>3.7099560922911063</v>
      </c>
      <c r="H90" s="832">
        <v>3.7099560922911063</v>
      </c>
      <c r="I90" s="831">
        <v>0</v>
      </c>
      <c r="J90" s="817">
        <v>64.858407079646014</v>
      </c>
      <c r="K90" s="817">
        <v>254</v>
      </c>
    </row>
    <row r="91" spans="2:11" ht="14.5" customHeight="true">
      <c r="B91" s="820" t="s">
        <v>13</v>
      </c>
      <c r="C91" s="817">
        <v>27.891891891891891</v>
      </c>
      <c r="D91" s="817">
        <v>599.11711711711712</v>
      </c>
      <c r="E91" s="833">
        <v>2323.1441441441443</v>
      </c>
      <c r="F91" s="833">
        <v>2323.1441441441443</v>
      </c>
      <c r="G91" s="832">
        <v>3.8829583341966987</v>
      </c>
      <c r="H91" s="832">
        <v>3.8829583341966987</v>
      </c>
      <c r="I91" s="831">
        <v>0</v>
      </c>
      <c r="J91" s="817">
        <v>63.947916666666664</v>
      </c>
      <c r="K91" s="817">
        <v>111</v>
      </c>
    </row>
    <row r="92" spans="2:11" ht="14.5" customHeight="true">
      <c r="B92" s="830" t="s">
        <v>385</v>
      </c>
      <c r="C92" s="817">
        <v>39</v>
      </c>
      <c r="D92" s="817">
        <v>560</v>
      </c>
      <c r="E92" s="833">
        <v>2311.6666666666665</v>
      </c>
      <c r="F92" s="833">
        <v>2311.6666666666665</v>
      </c>
      <c r="G92" s="832">
        <v>4.1279761904761907</v>
      </c>
      <c r="H92" s="832">
        <v>4.1279761904761907</v>
      </c>
      <c r="I92" s="831">
        <v>0</v>
      </c>
      <c r="J92" s="817">
        <v>163.33333333333334</v>
      </c>
      <c r="K92" s="817">
        <v>9</v>
      </c>
    </row>
    <row r="93" spans="2:11" ht="14.5" customHeight="true">
      <c r="B93" s="830" t="s">
        <v>386</v>
      </c>
      <c r="C93" s="817">
        <v>30.125</v>
      </c>
      <c r="D93" s="817">
        <v>572</v>
      </c>
      <c r="E93" s="833">
        <v>2413.0833333333335</v>
      </c>
      <c r="F93" s="833">
        <v>2413.0833333333335</v>
      </c>
      <c r="G93" s="832">
        <v>4.2186771561771561</v>
      </c>
      <c r="H93" s="832">
        <v>4.2186771561771561</v>
      </c>
      <c r="I93" s="831">
        <v>0</v>
      </c>
      <c r="J93" s="817">
        <v>59.6</v>
      </c>
      <c r="K93" s="817">
        <v>24</v>
      </c>
    </row>
    <row r="94" spans="2:11" ht="14.5" customHeight="true">
      <c r="B94" s="830" t="s">
        <v>387</v>
      </c>
      <c r="C94" s="817">
        <v>22.75</v>
      </c>
      <c r="D94" s="817">
        <v>575</v>
      </c>
      <c r="E94" s="833">
        <v>2132.0833333333335</v>
      </c>
      <c r="F94" s="833">
        <v>2132.0833333333335</v>
      </c>
      <c r="G94" s="832">
        <v>3.7079710144927529</v>
      </c>
      <c r="H94" s="832">
        <v>3.7079710144927529</v>
      </c>
      <c r="I94" s="831">
        <v>0</v>
      </c>
      <c r="J94" s="817">
        <v>75.75</v>
      </c>
      <c r="K94" s="817">
        <v>12</v>
      </c>
    </row>
    <row r="95" spans="2:11" ht="14.5" customHeight="true">
      <c r="B95" s="830" t="s">
        <v>388</v>
      </c>
      <c r="C95" s="817">
        <v>23.941176470588236</v>
      </c>
      <c r="D95" s="817">
        <v>585</v>
      </c>
      <c r="E95" s="833">
        <v>2149.9411764705883</v>
      </c>
      <c r="F95" s="833">
        <v>2149.9411764705883</v>
      </c>
      <c r="G95" s="832">
        <v>3.6751131221719455</v>
      </c>
      <c r="H95" s="832">
        <v>3.6751131221719455</v>
      </c>
      <c r="I95" s="831">
        <v>0</v>
      </c>
      <c r="J95" s="817">
        <v>47.266666666666666</v>
      </c>
      <c r="K95" s="817">
        <v>17</v>
      </c>
    </row>
    <row r="96" spans="2:11" ht="14.5" customHeight="true">
      <c r="B96" s="830" t="s">
        <v>389</v>
      </c>
      <c r="C96" s="817">
        <v>23.272727272727273</v>
      </c>
      <c r="D96" s="817">
        <v>593</v>
      </c>
      <c r="E96" s="833">
        <v>2416.090909090909</v>
      </c>
      <c r="F96" s="833">
        <v>2416.090909090909</v>
      </c>
      <c r="G96" s="832">
        <v>4.0743522918902357</v>
      </c>
      <c r="H96" s="832">
        <v>4.0743522918902357</v>
      </c>
      <c r="I96" s="831">
        <v>0</v>
      </c>
      <c r="J96" s="817">
        <v>31.285714285714285</v>
      </c>
      <c r="K96" s="817">
        <v>11</v>
      </c>
    </row>
    <row r="97" spans="2:11" ht="14.5" customHeight="true">
      <c r="B97" s="830" t="s">
        <v>390</v>
      </c>
      <c r="C97" s="817">
        <v>23.75</v>
      </c>
      <c r="D97" s="817">
        <v>604</v>
      </c>
      <c r="E97" s="833">
        <v>2107.25</v>
      </c>
      <c r="F97" s="833">
        <v>2107.25</v>
      </c>
      <c r="G97" s="832">
        <v>3.4888245033112586</v>
      </c>
      <c r="H97" s="832">
        <v>3.4888245033112586</v>
      </c>
      <c r="I97" s="831">
        <v>0</v>
      </c>
      <c r="J97" s="817">
        <v>53</v>
      </c>
      <c r="K97" s="817">
        <v>12</v>
      </c>
    </row>
    <row r="98" spans="2:11" ht="14.5" customHeight="true">
      <c r="B98" s="830" t="s">
        <v>391</v>
      </c>
      <c r="C98" s="817">
        <v>37.333333333333336</v>
      </c>
      <c r="D98" s="817">
        <v>653</v>
      </c>
      <c r="E98" s="833">
        <v>2430.3333333333335</v>
      </c>
      <c r="F98" s="833">
        <v>2430.3333333333335</v>
      </c>
      <c r="G98" s="832">
        <v>3.7217968351199588</v>
      </c>
      <c r="H98" s="832">
        <v>3.7217968351199588</v>
      </c>
      <c r="I98" s="831">
        <v>0</v>
      </c>
      <c r="J98" s="817">
        <v>87</v>
      </c>
      <c r="K98" s="817">
        <v>6</v>
      </c>
    </row>
    <row r="99" spans="2:11" ht="14.5" customHeight="true">
      <c r="B99" s="830" t="s">
        <v>392</v>
      </c>
      <c r="C99" s="817">
        <v>28.85</v>
      </c>
      <c r="D99" s="817">
        <v>660</v>
      </c>
      <c r="E99" s="833">
        <v>2528.5</v>
      </c>
      <c r="F99" s="833">
        <v>2528.5</v>
      </c>
      <c r="G99" s="832">
        <v>3.8310606060606069</v>
      </c>
      <c r="H99" s="832">
        <v>3.8310606060606069</v>
      </c>
      <c r="I99" s="831">
        <v>0</v>
      </c>
      <c r="J99" s="817">
        <v>55.736842105263158</v>
      </c>
      <c r="K99" s="817">
        <v>20</v>
      </c>
    </row>
    <row r="100" spans="2:11" ht="14.5" customHeight="true">
      <c r="B100" s="820" t="s">
        <v>269</v>
      </c>
      <c r="C100" s="817">
        <v>31.333333333333332</v>
      </c>
      <c r="D100" s="817">
        <v>914.01111111111106</v>
      </c>
      <c r="E100" s="833">
        <v>3250.6666666666665</v>
      </c>
      <c r="F100" s="833">
        <v>3250.6666666666665</v>
      </c>
      <c r="G100" s="832">
        <v>3.5724981076892588</v>
      </c>
      <c r="H100" s="832">
        <v>3.5724981076892588</v>
      </c>
      <c r="I100" s="831">
        <v>0</v>
      </c>
      <c r="J100" s="817">
        <v>65.430232558139537</v>
      </c>
      <c r="K100" s="817">
        <v>90</v>
      </c>
    </row>
    <row r="101" spans="2:11" ht="14.5" customHeight="true">
      <c r="B101" s="830" t="s">
        <v>394</v>
      </c>
      <c r="C101" s="817">
        <v>23</v>
      </c>
      <c r="D101" s="817">
        <v>801</v>
      </c>
      <c r="E101" s="833">
        <v>3004.2727272727275</v>
      </c>
      <c r="F101" s="833">
        <v>3004.2727272727275</v>
      </c>
      <c r="G101" s="832">
        <v>3.7506525933492223</v>
      </c>
      <c r="H101" s="832">
        <v>3.7506525933492223</v>
      </c>
      <c r="I101" s="831">
        <v>0</v>
      </c>
      <c r="J101" s="817">
        <v>58.1</v>
      </c>
      <c r="K101" s="817">
        <v>11</v>
      </c>
    </row>
    <row r="102" spans="2:11" ht="14.5" customHeight="true">
      <c r="B102" s="830" t="s">
        <v>395</v>
      </c>
      <c r="C102" s="817">
        <v>24.1875</v>
      </c>
      <c r="D102" s="817">
        <v>827</v>
      </c>
      <c r="E102" s="833">
        <v>3073</v>
      </c>
      <c r="F102" s="833">
        <v>3073</v>
      </c>
      <c r="G102" s="832">
        <v>3.7158403869407493</v>
      </c>
      <c r="H102" s="832">
        <v>3.7158403869407493</v>
      </c>
      <c r="I102" s="831">
        <v>0</v>
      </c>
      <c r="J102" s="817">
        <v>101.73333333333333</v>
      </c>
      <c r="K102" s="817">
        <v>16</v>
      </c>
    </row>
    <row r="103" spans="2:11" ht="14.5" customHeight="true">
      <c r="B103" s="830" t="s">
        <v>396</v>
      </c>
      <c r="C103" s="817">
        <v>37.200000000000003</v>
      </c>
      <c r="D103" s="817">
        <v>850</v>
      </c>
      <c r="E103" s="833">
        <v>3053</v>
      </c>
      <c r="F103" s="833">
        <v>3053</v>
      </c>
      <c r="G103" s="832">
        <v>3.5917647058823534</v>
      </c>
      <c r="H103" s="832">
        <v>3.5917647058823534</v>
      </c>
      <c r="I103" s="831">
        <v>0</v>
      </c>
      <c r="J103" s="817">
        <v>70.599999999999994</v>
      </c>
      <c r="K103" s="817">
        <v>5</v>
      </c>
    </row>
    <row r="104" spans="2:11" ht="14.5" customHeight="true">
      <c r="B104" s="830" t="s">
        <v>398</v>
      </c>
      <c r="C104" s="817">
        <v>30.157894736842106</v>
      </c>
      <c r="D104" s="817">
        <v>865</v>
      </c>
      <c r="E104" s="833">
        <v>3166.8947368421054</v>
      </c>
      <c r="F104" s="833">
        <v>3166.8947368421054</v>
      </c>
      <c r="G104" s="832">
        <v>3.6611499847885609</v>
      </c>
      <c r="H104" s="832">
        <v>3.6611499847885609</v>
      </c>
      <c r="I104" s="831">
        <v>0</v>
      </c>
      <c r="J104" s="817">
        <v>56</v>
      </c>
      <c r="K104" s="817">
        <v>19</v>
      </c>
    </row>
    <row r="105" spans="2:11" ht="14.5" customHeight="true">
      <c r="B105" s="830" t="s">
        <v>400</v>
      </c>
      <c r="C105" s="817">
        <v>38.6</v>
      </c>
      <c r="D105" s="817">
        <v>961</v>
      </c>
      <c r="E105" s="833">
        <v>3132.8</v>
      </c>
      <c r="F105" s="833">
        <v>3132.8</v>
      </c>
      <c r="G105" s="832">
        <v>3.2599375650364211</v>
      </c>
      <c r="H105" s="832">
        <v>3.2599375650364211</v>
      </c>
      <c r="I105" s="831">
        <v>0</v>
      </c>
      <c r="J105" s="817">
        <v>48.8</v>
      </c>
      <c r="K105" s="817">
        <v>5</v>
      </c>
    </row>
    <row r="106" spans="2:11" ht="14.5" customHeight="true">
      <c r="B106" s="830" t="s">
        <v>393</v>
      </c>
      <c r="C106" s="817">
        <v>38.142857142857146</v>
      </c>
      <c r="D106" s="817">
        <v>993</v>
      </c>
      <c r="E106" s="833">
        <v>3180.1428571428573</v>
      </c>
      <c r="F106" s="833">
        <v>3180.1428571428573</v>
      </c>
      <c r="G106" s="832">
        <v>3.2025607826212057</v>
      </c>
      <c r="H106" s="832">
        <v>3.2025607826212057</v>
      </c>
      <c r="I106" s="831">
        <v>0</v>
      </c>
      <c r="J106" s="817">
        <v>51.571428571428569</v>
      </c>
      <c r="K106" s="817">
        <v>7</v>
      </c>
    </row>
    <row r="107" spans="2:11" ht="14.5" customHeight="true">
      <c r="B107" s="830" t="s">
        <v>403</v>
      </c>
      <c r="C107" s="817">
        <v>28</v>
      </c>
      <c r="D107" s="817">
        <v>1081</v>
      </c>
      <c r="E107" s="833">
        <v>3658.6875</v>
      </c>
      <c r="F107" s="833">
        <v>3658.6875</v>
      </c>
      <c r="G107" s="832">
        <v>3.3845397779833486</v>
      </c>
      <c r="H107" s="832">
        <v>3.3845397779833486</v>
      </c>
      <c r="I107" s="831">
        <v>0</v>
      </c>
      <c r="J107" s="817">
        <v>52.625</v>
      </c>
      <c r="K107" s="817">
        <v>16</v>
      </c>
    </row>
    <row r="108" spans="2:11" ht="14.5" customHeight="true">
      <c r="B108" s="830" t="s">
        <v>397</v>
      </c>
      <c r="C108" s="817">
        <v>46</v>
      </c>
      <c r="D108" s="817">
        <v>857</v>
      </c>
      <c r="E108" s="833">
        <v>3515</v>
      </c>
      <c r="F108" s="833">
        <v>3515</v>
      </c>
      <c r="G108" s="832">
        <v>4.1015169194865813</v>
      </c>
      <c r="H108" s="832">
        <v>4.1015169194865813</v>
      </c>
      <c r="I108" s="831">
        <v>0</v>
      </c>
      <c r="J108" s="817">
        <v>23</v>
      </c>
      <c r="K108" s="817">
        <v>1</v>
      </c>
    </row>
    <row r="109" spans="2:11" ht="14.5" customHeight="true">
      <c r="B109" s="830" t="s">
        <v>399</v>
      </c>
      <c r="C109" s="817">
        <v>45.5</v>
      </c>
      <c r="D109" s="817">
        <v>913</v>
      </c>
      <c r="E109" s="833">
        <v>3532</v>
      </c>
      <c r="F109" s="833">
        <v>3532</v>
      </c>
      <c r="G109" s="832">
        <v>3.868565169769989</v>
      </c>
      <c r="H109" s="832">
        <v>3.868565169769989</v>
      </c>
      <c r="I109" s="831">
        <v>0</v>
      </c>
      <c r="J109" s="817">
        <v>165.5</v>
      </c>
      <c r="K109" s="817">
        <v>2</v>
      </c>
    </row>
    <row r="110" spans="2:11" ht="14.5" customHeight="true">
      <c r="B110" s="830" t="s">
        <v>401</v>
      </c>
      <c r="C110" s="817">
        <v>47</v>
      </c>
      <c r="D110" s="817">
        <v>966</v>
      </c>
      <c r="E110" s="833">
        <v>3379.6666666666665</v>
      </c>
      <c r="F110" s="833">
        <v>3379.6666666666665</v>
      </c>
      <c r="G110" s="832">
        <v>3.4986197377501731</v>
      </c>
      <c r="H110" s="832">
        <v>3.4986197377501731</v>
      </c>
      <c r="I110" s="831">
        <v>0</v>
      </c>
      <c r="J110" s="817">
        <v>51.666666666666664</v>
      </c>
      <c r="K110" s="817">
        <v>3</v>
      </c>
    </row>
    <row r="111" spans="2:11" ht="14.5" customHeight="true">
      <c r="B111" s="830" t="s">
        <v>402</v>
      </c>
      <c r="C111" s="817">
        <v>47</v>
      </c>
      <c r="D111" s="817">
        <v>980</v>
      </c>
      <c r="E111" s="833">
        <v>3545.4</v>
      </c>
      <c r="F111" s="833">
        <v>3545.4</v>
      </c>
      <c r="G111" s="832">
        <v>3.6177551020408161</v>
      </c>
      <c r="H111" s="832">
        <v>3.6177551020408161</v>
      </c>
      <c r="I111" s="831">
        <v>0</v>
      </c>
      <c r="J111" s="817">
        <v>50.75</v>
      </c>
      <c r="K111" s="817">
        <v>5</v>
      </c>
    </row>
    <row r="112" spans="2:11" ht="14.5" customHeight="true">
      <c r="B112" s="820" t="s">
        <v>270</v>
      </c>
      <c r="C112" s="817">
        <v>32.122448979591837</v>
      </c>
      <c r="D112" s="817">
        <v>1240.7755102040817</v>
      </c>
      <c r="E112" s="833">
        <v>4414.6326530612241</v>
      </c>
      <c r="F112" s="833">
        <v>4414.6326530612241</v>
      </c>
      <c r="G112" s="832">
        <v>3.5607126181044313</v>
      </c>
      <c r="H112" s="832">
        <v>3.5607126181044313</v>
      </c>
      <c r="I112" s="831">
        <v>0</v>
      </c>
      <c r="J112" s="817">
        <v>62.439024390243901</v>
      </c>
      <c r="K112" s="817">
        <v>49</v>
      </c>
    </row>
    <row r="113" spans="2:11" ht="14.5" customHeight="true">
      <c r="B113" s="830" t="s">
        <v>404</v>
      </c>
      <c r="C113" s="817">
        <v>28.526315789473685</v>
      </c>
      <c r="D113" s="817">
        <v>1197</v>
      </c>
      <c r="E113" s="833">
        <v>4204.0526315789475</v>
      </c>
      <c r="F113" s="833">
        <v>4204.0526315789475</v>
      </c>
      <c r="G113" s="832">
        <v>3.5121575869498303</v>
      </c>
      <c r="H113" s="832">
        <v>3.5121575869498303</v>
      </c>
      <c r="I113" s="831">
        <v>0</v>
      </c>
      <c r="J113" s="817">
        <v>50.071428571428569</v>
      </c>
      <c r="K113" s="817">
        <v>19</v>
      </c>
    </row>
    <row r="114" spans="2:11" ht="14.5" customHeight="true">
      <c r="B114" s="830" t="s">
        <v>405</v>
      </c>
      <c r="C114" s="817">
        <v>28.571428571428573</v>
      </c>
      <c r="D114" s="817">
        <v>1199</v>
      </c>
      <c r="E114" s="833">
        <v>4327.2857142857147</v>
      </c>
      <c r="F114" s="833">
        <v>4327.2857142857147</v>
      </c>
      <c r="G114" s="832">
        <v>3.6090789944000954</v>
      </c>
      <c r="H114" s="832">
        <v>3.6090789944000954</v>
      </c>
      <c r="I114" s="831">
        <v>0</v>
      </c>
      <c r="J114" s="817">
        <v>75.89473684210526</v>
      </c>
      <c r="K114" s="817">
        <v>21</v>
      </c>
    </row>
    <row r="115" spans="2:11" ht="14.5" customHeight="true">
      <c r="B115" s="830" t="s">
        <v>408</v>
      </c>
      <c r="C115" s="817">
        <v>48</v>
      </c>
      <c r="D115" s="817">
        <v>1742</v>
      </c>
      <c r="E115" s="833">
        <v>5999</v>
      </c>
      <c r="F115" s="833">
        <v>5999</v>
      </c>
      <c r="G115" s="832">
        <v>3.4437428243398394</v>
      </c>
      <c r="H115" s="832">
        <v>3.4437428243398394</v>
      </c>
      <c r="I115" s="831">
        <v>0</v>
      </c>
      <c r="J115" s="817">
        <v>53</v>
      </c>
      <c r="K115" s="817">
        <v>3</v>
      </c>
    </row>
    <row r="116" spans="2:11" ht="14.5" customHeight="true">
      <c r="B116" s="830" t="s">
        <v>406</v>
      </c>
      <c r="C116" s="817">
        <v>48</v>
      </c>
      <c r="D116" s="817">
        <v>1257</v>
      </c>
      <c r="E116" s="833">
        <v>4507.666666666667</v>
      </c>
      <c r="F116" s="833">
        <v>4507.666666666667</v>
      </c>
      <c r="G116" s="832">
        <v>3.5860514452399896</v>
      </c>
      <c r="H116" s="832">
        <v>3.5860514452399896</v>
      </c>
      <c r="I116" s="831">
        <v>0</v>
      </c>
      <c r="J116" s="817">
        <v>29</v>
      </c>
      <c r="K116" s="817">
        <v>3</v>
      </c>
    </row>
    <row r="117" spans="2:11" ht="14.5" customHeight="true">
      <c r="B117" s="830" t="s">
        <v>407</v>
      </c>
      <c r="C117" s="817">
        <v>48</v>
      </c>
      <c r="D117" s="817">
        <v>1293</v>
      </c>
      <c r="E117" s="833">
        <v>4682.333333333333</v>
      </c>
      <c r="F117" s="833">
        <v>4682.333333333333</v>
      </c>
      <c r="G117" s="832">
        <v>3.6212941479762826</v>
      </c>
      <c r="H117" s="832">
        <v>3.6212941479762826</v>
      </c>
      <c r="I117" s="831">
        <v>0</v>
      </c>
      <c r="J117" s="817">
        <v>74.666666666666671</v>
      </c>
      <c r="K117" s="817">
        <v>3</v>
      </c>
    </row>
    <row r="118" spans="2:11" ht="14.5" customHeight="true">
      <c r="B118" s="820" t="s">
        <v>271</v>
      </c>
      <c r="C118" s="817">
        <v>45.5</v>
      </c>
      <c r="D118" s="817">
        <v>1752</v>
      </c>
      <c r="E118" s="833">
        <v>6585.5</v>
      </c>
      <c r="F118" s="833">
        <v>6585.5</v>
      </c>
      <c r="G118" s="832">
        <v>3.7588470319634704</v>
      </c>
      <c r="H118" s="832">
        <v>3.7588470319634704</v>
      </c>
      <c r="I118" s="831">
        <v>0</v>
      </c>
      <c r="J118" s="817">
        <v>146</v>
      </c>
      <c r="K118" s="817">
        <v>2</v>
      </c>
    </row>
    <row r="119" spans="2:11" ht="14.5" customHeight="true">
      <c r="B119" s="830" t="s">
        <v>409</v>
      </c>
      <c r="C119" s="817">
        <v>45.5</v>
      </c>
      <c r="D119" s="817">
        <v>1752</v>
      </c>
      <c r="E119" s="833">
        <v>6585.5</v>
      </c>
      <c r="F119" s="833">
        <v>6585.5</v>
      </c>
      <c r="G119" s="832">
        <v>3.7588470319634704</v>
      </c>
      <c r="H119" s="832">
        <v>3.7588470319634704</v>
      </c>
      <c r="I119" s="831">
        <v>0</v>
      </c>
      <c r="J119" s="817">
        <v>146</v>
      </c>
      <c r="K119" s="817">
        <v>2</v>
      </c>
    </row>
    <row r="120" spans="2:11" ht="14.5" customHeight="true">
      <c r="B120" s="820">
        <v>4</v>
      </c>
      <c r="C120" s="817">
        <v>35</v>
      </c>
      <c r="D120" s="817">
        <v>660</v>
      </c>
      <c r="E120" s="833">
        <v>2575</v>
      </c>
      <c r="F120" s="833">
        <v>2575</v>
      </c>
      <c r="G120" s="832">
        <v>3.9015151515151514</v>
      </c>
      <c r="H120" s="832">
        <v>3.9015151515151514</v>
      </c>
      <c r="I120" s="831">
        <v>0</v>
      </c>
      <c r="J120" s="817">
        <v>40</v>
      </c>
      <c r="K120" s="817">
        <v>2</v>
      </c>
    </row>
    <row r="121" spans="2:11" ht="14.5" customHeight="true">
      <c r="B121" s="830" t="s">
        <v>392</v>
      </c>
      <c r="C121" s="817">
        <v>35</v>
      </c>
      <c r="D121" s="817">
        <v>660</v>
      </c>
      <c r="E121" s="833">
        <v>2575</v>
      </c>
      <c r="F121" s="833">
        <v>2575</v>
      </c>
      <c r="G121" s="832">
        <v>3.9015151515151514</v>
      </c>
      <c r="H121" s="832">
        <v>3.9015151515151514</v>
      </c>
      <c r="I121" s="831">
        <v>0</v>
      </c>
      <c r="J121" s="817">
        <v>40</v>
      </c>
      <c r="K121" s="817">
        <v>2</v>
      </c>
    </row>
    <row r="122" spans="2:11" ht="14.5" customHeight="true">
      <c r="B122" s="816" t="s">
        <v>1110</v>
      </c>
      <c r="C122" s="817">
        <v>24.420634920634921</v>
      </c>
      <c r="D122" s="817">
        <v>815.31349206349205</v>
      </c>
      <c r="E122" s="833">
        <v>3123.9761904761904</v>
      </c>
      <c r="F122" s="833">
        <v>3123.9761904761904</v>
      </c>
      <c r="G122" s="832">
        <v>3.8979072356895763</v>
      </c>
      <c r="H122" s="832">
        <v>3.8979072356895763</v>
      </c>
      <c r="I122" s="831">
        <v>0</v>
      </c>
      <c r="J122" s="817">
        <v>65.224770642201833</v>
      </c>
      <c r="K122" s="817">
        <v>252</v>
      </c>
    </row>
    <row r="123" spans="2:11" ht="14.5" customHeight="true">
      <c r="B123" s="820" t="s">
        <v>13</v>
      </c>
      <c r="C123" s="817">
        <v>25.075471698113208</v>
      </c>
      <c r="D123" s="817">
        <v>512.37735849056605</v>
      </c>
      <c r="E123" s="833">
        <v>2103.0377358490564</v>
      </c>
      <c r="F123" s="833">
        <v>2103.0377358490564</v>
      </c>
      <c r="G123" s="832">
        <v>4.1113272340866684</v>
      </c>
      <c r="H123" s="832">
        <v>4.1113272340866684</v>
      </c>
      <c r="I123" s="831">
        <v>0</v>
      </c>
      <c r="J123" s="817">
        <v>69.977777777777774</v>
      </c>
      <c r="K123" s="817">
        <v>53</v>
      </c>
    </row>
    <row r="124" spans="2:11" ht="14.5" customHeight="true">
      <c r="B124" s="830" t="s">
        <v>506</v>
      </c>
      <c r="C124" s="817">
        <v>25.608695652173914</v>
      </c>
      <c r="D124" s="817">
        <v>546</v>
      </c>
      <c r="E124" s="833">
        <v>2235.521739130435</v>
      </c>
      <c r="F124" s="833">
        <v>2235.521739130435</v>
      </c>
      <c r="G124" s="832">
        <v>4.0943621595795507</v>
      </c>
      <c r="H124" s="832">
        <v>4.0943621595795507</v>
      </c>
      <c r="I124" s="831">
        <v>0</v>
      </c>
      <c r="J124" s="817">
        <v>87.944444444444443</v>
      </c>
      <c r="K124" s="817">
        <v>23</v>
      </c>
    </row>
    <row r="125" spans="2:11" ht="14.5" customHeight="true">
      <c r="B125" s="830" t="s">
        <v>505</v>
      </c>
      <c r="C125" s="817">
        <v>6</v>
      </c>
      <c r="D125" s="817">
        <v>546</v>
      </c>
      <c r="E125" s="833">
        <v>1802.3333333333333</v>
      </c>
      <c r="F125" s="833">
        <v>1802.3333333333333</v>
      </c>
      <c r="G125" s="832">
        <v>3.3009768009768012</v>
      </c>
      <c r="H125" s="832">
        <v>3.3009768009768012</v>
      </c>
      <c r="I125" s="831">
        <v>0</v>
      </c>
      <c r="J125" s="817">
        <v>3.6666666666666665</v>
      </c>
      <c r="K125" s="817">
        <v>3</v>
      </c>
    </row>
    <row r="126" spans="2:11" ht="14.5" customHeight="true">
      <c r="B126" s="830" t="s">
        <v>504</v>
      </c>
      <c r="C126" s="817">
        <v>26.74074074074074</v>
      </c>
      <c r="D126" s="817">
        <v>480</v>
      </c>
      <c r="E126" s="833">
        <v>2023.5925925925926</v>
      </c>
      <c r="F126" s="833">
        <v>2023.5925925925926</v>
      </c>
      <c r="G126" s="832">
        <v>4.2158179012345656</v>
      </c>
      <c r="H126" s="832">
        <v>4.2158179012345656</v>
      </c>
      <c r="I126" s="831">
        <v>0</v>
      </c>
      <c r="J126" s="817">
        <v>64.791666666666671</v>
      </c>
      <c r="K126" s="817">
        <v>27</v>
      </c>
    </row>
    <row r="127" spans="2:11" ht="14.5" customHeight="true">
      <c r="B127" s="820" t="s">
        <v>269</v>
      </c>
      <c r="C127" s="817">
        <v>24.823899371069182</v>
      </c>
      <c r="D127" s="817">
        <v>803.8176100628931</v>
      </c>
      <c r="E127" s="833">
        <v>3140.2767295597482</v>
      </c>
      <c r="F127" s="833">
        <v>3140.2767295597482</v>
      </c>
      <c r="G127" s="832">
        <v>3.9285385143758438</v>
      </c>
      <c r="H127" s="832">
        <v>3.9285385143758438</v>
      </c>
      <c r="I127" s="831">
        <v>0</v>
      </c>
      <c r="J127" s="817">
        <v>62.680851063829785</v>
      </c>
      <c r="K127" s="817">
        <v>159</v>
      </c>
    </row>
    <row r="128" spans="2:11" ht="14.5" customHeight="true">
      <c r="B128" s="830" t="s">
        <v>508</v>
      </c>
      <c r="C128" s="817">
        <v>22.59090909090909</v>
      </c>
      <c r="D128" s="817">
        <v>654.59090909090912</v>
      </c>
      <c r="E128" s="833">
        <v>2689.9545454545455</v>
      </c>
      <c r="F128" s="833">
        <v>2689.9545454545455</v>
      </c>
      <c r="G128" s="832">
        <v>4.1097991094079953</v>
      </c>
      <c r="H128" s="832">
        <v>4.1097991094079953</v>
      </c>
      <c r="I128" s="831">
        <v>0</v>
      </c>
      <c r="J128" s="817">
        <v>76</v>
      </c>
      <c r="K128" s="817">
        <v>22</v>
      </c>
    </row>
    <row r="129" spans="2:11" ht="14.5" customHeight="true">
      <c r="B129" s="830" t="s">
        <v>514</v>
      </c>
      <c r="C129" s="817">
        <v>4.5</v>
      </c>
      <c r="D129" s="817">
        <v>878</v>
      </c>
      <c r="E129" s="833">
        <v>2531.5</v>
      </c>
      <c r="F129" s="833">
        <v>2531.5</v>
      </c>
      <c r="G129" s="832">
        <v>2.8832574031890661</v>
      </c>
      <c r="H129" s="832">
        <v>2.8832574031890661</v>
      </c>
      <c r="I129" s="831">
        <v>0</v>
      </c>
      <c r="J129" s="817">
        <v>59</v>
      </c>
      <c r="K129" s="817">
        <v>2</v>
      </c>
    </row>
    <row r="130" spans="2:11" ht="14.5" customHeight="true">
      <c r="B130" s="830" t="s">
        <v>511</v>
      </c>
      <c r="C130" s="817">
        <v>25.818181818181817</v>
      </c>
      <c r="D130" s="817">
        <v>734.90909090909088</v>
      </c>
      <c r="E130" s="833">
        <v>3023.3636363636365</v>
      </c>
      <c r="F130" s="833">
        <v>3023.3636363636365</v>
      </c>
      <c r="G130" s="832">
        <v>4.1144564443921867</v>
      </c>
      <c r="H130" s="832">
        <v>4.1144564443921867</v>
      </c>
      <c r="I130" s="831">
        <v>0</v>
      </c>
      <c r="J130" s="817">
        <v>97.5625</v>
      </c>
      <c r="K130" s="817">
        <v>22</v>
      </c>
    </row>
    <row r="131" spans="2:11" ht="14.5" customHeight="true">
      <c r="B131" s="830" t="s">
        <v>507</v>
      </c>
      <c r="C131" s="817">
        <v>24.5</v>
      </c>
      <c r="D131" s="817">
        <v>1103.7272727272727</v>
      </c>
      <c r="E131" s="833">
        <v>4097</v>
      </c>
      <c r="F131" s="833">
        <v>4097</v>
      </c>
      <c r="G131" s="832">
        <v>3.7112871422899021</v>
      </c>
      <c r="H131" s="832">
        <v>3.7112871422899021</v>
      </c>
      <c r="I131" s="831">
        <v>0</v>
      </c>
      <c r="J131" s="817">
        <v>57.714285714285715</v>
      </c>
      <c r="K131" s="817">
        <v>22</v>
      </c>
    </row>
    <row r="132" spans="2:11" ht="14.5" customHeight="true">
      <c r="B132" s="830" t="s">
        <v>513</v>
      </c>
      <c r="C132" s="817">
        <v>26.588235294117649</v>
      </c>
      <c r="D132" s="817">
        <v>828.64705882352939</v>
      </c>
      <c r="E132" s="833">
        <v>3261.2352941176468</v>
      </c>
      <c r="F132" s="833">
        <v>3261.2352941176468</v>
      </c>
      <c r="G132" s="832">
        <v>3.9357498919312821</v>
      </c>
      <c r="H132" s="832">
        <v>3.9357498919312821</v>
      </c>
      <c r="I132" s="831">
        <v>0</v>
      </c>
      <c r="J132" s="817">
        <v>74.599999999999994</v>
      </c>
      <c r="K132" s="817">
        <v>17</v>
      </c>
    </row>
    <row r="133" spans="2:11" ht="14.5" customHeight="true">
      <c r="B133" s="830" t="s">
        <v>512</v>
      </c>
      <c r="C133" s="817">
        <v>27.571428571428573</v>
      </c>
      <c r="D133" s="817">
        <v>812</v>
      </c>
      <c r="E133" s="833">
        <v>3129.2857142857142</v>
      </c>
      <c r="F133" s="833">
        <v>3129.2857142857142</v>
      </c>
      <c r="G133" s="832">
        <v>3.8538199648329523</v>
      </c>
      <c r="H133" s="832">
        <v>3.8538199648329523</v>
      </c>
      <c r="I133" s="831">
        <v>0</v>
      </c>
      <c r="J133" s="817">
        <v>39.049999999999997</v>
      </c>
      <c r="K133" s="817">
        <v>21</v>
      </c>
    </row>
    <row r="134" spans="2:11" ht="14.5" customHeight="true">
      <c r="B134" s="830" t="s">
        <v>509</v>
      </c>
      <c r="C134" s="817">
        <v>22.8125</v>
      </c>
      <c r="D134" s="817">
        <v>707.875</v>
      </c>
      <c r="E134" s="833">
        <v>2897.5</v>
      </c>
      <c r="F134" s="833">
        <v>2897.5</v>
      </c>
      <c r="G134" s="832">
        <v>4.0934651045340082</v>
      </c>
      <c r="H134" s="832">
        <v>4.0934651045340082</v>
      </c>
      <c r="I134" s="831">
        <v>0</v>
      </c>
      <c r="J134" s="817">
        <v>59.533333333333331</v>
      </c>
      <c r="K134" s="817">
        <v>16</v>
      </c>
    </row>
    <row r="135" spans="2:11" ht="14.5" customHeight="true">
      <c r="B135" s="830" t="s">
        <v>515</v>
      </c>
      <c r="C135" s="817">
        <v>26.285714285714285</v>
      </c>
      <c r="D135" s="817">
        <v>903.42857142857144</v>
      </c>
      <c r="E135" s="833">
        <v>3449.2857142857142</v>
      </c>
      <c r="F135" s="833">
        <v>3449.2857142857142</v>
      </c>
      <c r="G135" s="832">
        <v>3.8180484607269984</v>
      </c>
      <c r="H135" s="832">
        <v>3.8180484607269984</v>
      </c>
      <c r="I135" s="831">
        <v>0</v>
      </c>
      <c r="J135" s="817">
        <v>78.083333333333329</v>
      </c>
      <c r="K135" s="817">
        <v>14</v>
      </c>
    </row>
    <row r="136" spans="2:11" ht="14.5" customHeight="true">
      <c r="B136" s="830" t="s">
        <v>510</v>
      </c>
      <c r="C136" s="817">
        <v>24.782608695652176</v>
      </c>
      <c r="D136" s="817">
        <v>699.43478260869563</v>
      </c>
      <c r="E136" s="833">
        <v>2722.086956521739</v>
      </c>
      <c r="F136" s="833">
        <v>2722.086956521739</v>
      </c>
      <c r="G136" s="832">
        <v>3.8914383529718846</v>
      </c>
      <c r="H136" s="832">
        <v>3.8914383529718846</v>
      </c>
      <c r="I136" s="831">
        <v>0</v>
      </c>
      <c r="J136" s="817">
        <v>38.590909090909093</v>
      </c>
      <c r="K136" s="817">
        <v>23</v>
      </c>
    </row>
    <row r="137" spans="2:11" ht="14.5" customHeight="true">
      <c r="B137" s="820" t="s">
        <v>270</v>
      </c>
      <c r="C137" s="817">
        <v>21.95</v>
      </c>
      <c r="D137" s="817">
        <v>1262.4000000000001</v>
      </c>
      <c r="E137" s="833">
        <v>4411.9250000000002</v>
      </c>
      <c r="F137" s="833">
        <v>4411.9250000000002</v>
      </c>
      <c r="G137" s="832">
        <v>3.4933664050355113</v>
      </c>
      <c r="H137" s="832">
        <v>3.4933664050355113</v>
      </c>
      <c r="I137" s="831">
        <v>0</v>
      </c>
      <c r="J137" s="817">
        <v>69.75</v>
      </c>
      <c r="K137" s="817">
        <v>40</v>
      </c>
    </row>
    <row r="138" spans="2:11" ht="14.5" customHeight="true">
      <c r="B138" s="830" t="s">
        <v>519</v>
      </c>
      <c r="C138" s="817">
        <v>22.285714285714285</v>
      </c>
      <c r="D138" s="817">
        <v>1325</v>
      </c>
      <c r="E138" s="833">
        <v>4727.5714285714284</v>
      </c>
      <c r="F138" s="833">
        <v>4727.5714285714284</v>
      </c>
      <c r="G138" s="832">
        <v>3.5679784366576817</v>
      </c>
      <c r="H138" s="832">
        <v>3.5679784366576817</v>
      </c>
      <c r="I138" s="831">
        <v>0</v>
      </c>
      <c r="J138" s="817">
        <v>103.7</v>
      </c>
      <c r="K138" s="817">
        <v>14</v>
      </c>
    </row>
    <row r="139" spans="2:11" ht="14.5" customHeight="true">
      <c r="B139" s="830" t="s">
        <v>516</v>
      </c>
      <c r="C139" s="817">
        <v>6</v>
      </c>
      <c r="D139" s="817">
        <v>1177</v>
      </c>
      <c r="E139" s="833">
        <v>3484</v>
      </c>
      <c r="F139" s="833">
        <v>3484</v>
      </c>
      <c r="G139" s="832">
        <v>2.9600679694137639</v>
      </c>
      <c r="H139" s="832">
        <v>2.9600679694137639</v>
      </c>
      <c r="I139" s="831">
        <v>0</v>
      </c>
      <c r="J139" s="817"/>
      <c r="K139" s="817">
        <v>2</v>
      </c>
    </row>
    <row r="140" spans="2:11" ht="14.5" customHeight="true">
      <c r="B140" s="830" t="s">
        <v>517</v>
      </c>
      <c r="C140" s="817">
        <v>26.6</v>
      </c>
      <c r="D140" s="817">
        <v>1223</v>
      </c>
      <c r="E140" s="833">
        <v>4354.8999999999996</v>
      </c>
      <c r="F140" s="833">
        <v>4354.8999999999996</v>
      </c>
      <c r="G140" s="832">
        <v>3.5608340147179076</v>
      </c>
      <c r="H140" s="832">
        <v>3.5608340147179076</v>
      </c>
      <c r="I140" s="831">
        <v>0</v>
      </c>
      <c r="J140" s="817">
        <v>61.944444444444443</v>
      </c>
      <c r="K140" s="817">
        <v>20</v>
      </c>
    </row>
    <row r="141" spans="2:11" ht="14.5" customHeight="true">
      <c r="B141" s="830" t="s">
        <v>518</v>
      </c>
      <c r="C141" s="817">
        <v>5.5</v>
      </c>
      <c r="D141" s="817">
        <v>1283</v>
      </c>
      <c r="E141" s="833">
        <v>4056.25</v>
      </c>
      <c r="F141" s="833">
        <v>4056.25</v>
      </c>
      <c r="G141" s="832">
        <v>3.1615354637568203</v>
      </c>
      <c r="H141" s="832">
        <v>3.1615354637568203</v>
      </c>
      <c r="I141" s="831">
        <v>0</v>
      </c>
      <c r="J141" s="817">
        <v>20</v>
      </c>
      <c r="K141" s="817">
        <v>4</v>
      </c>
    </row>
    <row r="142" spans="2:11" ht="14.5" customHeight="true">
      <c r="B142" s="816" t="s">
        <v>1089</v>
      </c>
      <c r="C142" s="817">
        <v>20.474327628361859</v>
      </c>
      <c r="D142" s="817">
        <v>861.99318181818182</v>
      </c>
      <c r="E142" s="833">
        <v>2816.8769931662869</v>
      </c>
      <c r="F142" s="833">
        <v>2809.2369020501137</v>
      </c>
      <c r="G142" s="832">
        <v>3.3222573831034952</v>
      </c>
      <c r="H142" s="832">
        <v>3.3129139135082166</v>
      </c>
      <c r="I142" s="831">
        <v>2.7122558545182836E-3</v>
      </c>
      <c r="J142" s="817">
        <v>67.412820512820517</v>
      </c>
      <c r="K142" s="817">
        <v>439</v>
      </c>
    </row>
    <row r="143" spans="2:11" ht="14.5" customHeight="true">
      <c r="B143" s="820" t="s">
        <v>13</v>
      </c>
      <c r="C143" s="817">
        <v>20.360759493670887</v>
      </c>
      <c r="D143" s="817">
        <v>669.04142011834324</v>
      </c>
      <c r="E143" s="833">
        <v>2281.3988095238096</v>
      </c>
      <c r="F143" s="833">
        <v>2274.75</v>
      </c>
      <c r="G143" s="832">
        <v>3.4248082126643364</v>
      </c>
      <c r="H143" s="832">
        <v>3.4152550409466551</v>
      </c>
      <c r="I143" s="831">
        <v>2.9143565325158178E-3</v>
      </c>
      <c r="J143" s="817">
        <v>61.10791366906475</v>
      </c>
      <c r="K143" s="817">
        <v>168</v>
      </c>
    </row>
    <row r="144" spans="2:11" ht="14.5" customHeight="true">
      <c r="B144" s="830" t="s">
        <v>440</v>
      </c>
      <c r="C144" s="817">
        <v>19.75</v>
      </c>
      <c r="D144" s="817">
        <v>671</v>
      </c>
      <c r="E144" s="833">
        <v>2346.6153846153848</v>
      </c>
      <c r="F144" s="833">
        <v>2346.6153846153848</v>
      </c>
      <c r="G144" s="832">
        <v>3.4971913332569069</v>
      </c>
      <c r="H144" s="832">
        <v>3.4971913332569069</v>
      </c>
      <c r="I144" s="831">
        <v>0</v>
      </c>
      <c r="J144" s="817">
        <v>48.230769230769234</v>
      </c>
      <c r="K144" s="817">
        <v>13</v>
      </c>
    </row>
    <row r="145" spans="2:11" ht="14.5" customHeight="true">
      <c r="B145" s="830" t="s">
        <v>441</v>
      </c>
      <c r="C145" s="817">
        <v>18.600000000000001</v>
      </c>
      <c r="D145" s="817">
        <v>675</v>
      </c>
      <c r="E145" s="833">
        <v>2306.5</v>
      </c>
      <c r="F145" s="833">
        <v>2283.2272727272725</v>
      </c>
      <c r="G145" s="832">
        <v>3.4170370370370362</v>
      </c>
      <c r="H145" s="832">
        <v>3.3825589225589217</v>
      </c>
      <c r="I145" s="831">
        <v>1.00900616833849E-2</v>
      </c>
      <c r="J145" s="817">
        <v>82.6</v>
      </c>
      <c r="K145" s="817">
        <v>22</v>
      </c>
    </row>
    <row r="146" spans="2:11" ht="14.5" customHeight="true">
      <c r="B146" s="830" t="s">
        <v>444</v>
      </c>
      <c r="C146" s="817">
        <v>7</v>
      </c>
      <c r="D146" s="817">
        <v>707</v>
      </c>
      <c r="E146" s="833">
        <v>2493</v>
      </c>
      <c r="F146" s="833">
        <v>2493</v>
      </c>
      <c r="G146" s="832">
        <v>3.5261669024045261</v>
      </c>
      <c r="H146" s="832">
        <v>3.5261669024045261</v>
      </c>
      <c r="I146" s="831">
        <v>0</v>
      </c>
      <c r="J146" s="817">
        <v>29</v>
      </c>
      <c r="K146" s="817">
        <v>1</v>
      </c>
    </row>
    <row r="147" spans="2:11" ht="14.5" customHeight="true">
      <c r="B147" s="830" t="s">
        <v>445</v>
      </c>
      <c r="C147" s="817">
        <v>22.125</v>
      </c>
      <c r="D147" s="817">
        <v>712</v>
      </c>
      <c r="E147" s="833">
        <v>2403.8823529411766</v>
      </c>
      <c r="F147" s="833">
        <v>2398.3529411764707</v>
      </c>
      <c r="G147" s="832">
        <v>3.3762392597488438</v>
      </c>
      <c r="H147" s="832">
        <v>3.3684732319894253</v>
      </c>
      <c r="I147" s="831">
        <v>2.300200655801889E-3</v>
      </c>
      <c r="J147" s="817">
        <v>64.764705882352942</v>
      </c>
      <c r="K147" s="817">
        <v>17</v>
      </c>
    </row>
    <row r="148" spans="2:11" ht="14.5" customHeight="true">
      <c r="B148" s="830" t="s">
        <v>446</v>
      </c>
      <c r="C148" s="817">
        <v>19.047619047619047</v>
      </c>
      <c r="D148" s="817">
        <v>715</v>
      </c>
      <c r="E148" s="833">
        <v>2310.7272727272725</v>
      </c>
      <c r="F148" s="833">
        <v>2296.0454545454545</v>
      </c>
      <c r="G148" s="832">
        <v>3.231786395422759</v>
      </c>
      <c r="H148" s="832">
        <v>3.211252383979657</v>
      </c>
      <c r="I148" s="831">
        <v>6.3537650483909041E-3</v>
      </c>
      <c r="J148" s="817">
        <v>94.421052631578945</v>
      </c>
      <c r="K148" s="817">
        <v>22</v>
      </c>
    </row>
    <row r="149" spans="2:11" ht="14.5" customHeight="true">
      <c r="B149" s="830" t="s">
        <v>431</v>
      </c>
      <c r="C149" s="817">
        <v>21.642857142857142</v>
      </c>
      <c r="D149" s="817">
        <v>581.4</v>
      </c>
      <c r="E149" s="833">
        <v>2226.7333333333331</v>
      </c>
      <c r="F149" s="833">
        <v>2226.7333333333331</v>
      </c>
      <c r="G149" s="832">
        <v>3.8307101284102982</v>
      </c>
      <c r="H149" s="832">
        <v>3.8307101284102982</v>
      </c>
      <c r="I149" s="831">
        <v>0</v>
      </c>
      <c r="J149" s="817">
        <v>64.090909090909093</v>
      </c>
      <c r="K149" s="817">
        <v>15</v>
      </c>
    </row>
    <row r="150" spans="2:11" ht="14.5" customHeight="true">
      <c r="B150" s="830" t="s">
        <v>432</v>
      </c>
      <c r="C150" s="817">
        <v>19</v>
      </c>
      <c r="D150" s="817">
        <v>572</v>
      </c>
      <c r="E150" s="833">
        <v>2060.6666666666665</v>
      </c>
      <c r="F150" s="833">
        <v>2060.6666666666665</v>
      </c>
      <c r="G150" s="832">
        <v>3.6025641025641026</v>
      </c>
      <c r="H150" s="832">
        <v>3.6025641025641026</v>
      </c>
      <c r="I150" s="831">
        <v>0</v>
      </c>
      <c r="J150" s="817">
        <v>84.333333333333329</v>
      </c>
      <c r="K150" s="817">
        <v>3</v>
      </c>
    </row>
    <row r="151" spans="2:11" ht="14.5" customHeight="true">
      <c r="B151" s="830" t="s">
        <v>433</v>
      </c>
      <c r="C151" s="817">
        <v>18</v>
      </c>
      <c r="D151" s="817">
        <v>574</v>
      </c>
      <c r="E151" s="833">
        <v>2160.4285714285716</v>
      </c>
      <c r="F151" s="833">
        <v>2160.4285714285716</v>
      </c>
      <c r="G151" s="832">
        <v>3.7638128422100547</v>
      </c>
      <c r="H151" s="832">
        <v>3.7638128422100547</v>
      </c>
      <c r="I151" s="831">
        <v>0</v>
      </c>
      <c r="J151" s="817">
        <v>31.666666666666668</v>
      </c>
      <c r="K151" s="817">
        <v>7</v>
      </c>
    </row>
    <row r="152" spans="2:11" ht="14.5" customHeight="true">
      <c r="B152" s="830" t="s">
        <v>434</v>
      </c>
      <c r="C152" s="817">
        <v>21</v>
      </c>
      <c r="D152" s="817">
        <v>587</v>
      </c>
      <c r="E152" s="833">
        <v>2166</v>
      </c>
      <c r="F152" s="833">
        <v>2166</v>
      </c>
      <c r="G152" s="832">
        <v>3.6899488926746167</v>
      </c>
      <c r="H152" s="832">
        <v>3.6899488926746167</v>
      </c>
      <c r="I152" s="831">
        <v>0</v>
      </c>
      <c r="J152" s="817">
        <v>6</v>
      </c>
      <c r="K152" s="817">
        <v>1</v>
      </c>
    </row>
    <row r="153" spans="2:11" ht="14.5" customHeight="true">
      <c r="B153" s="830" t="s">
        <v>435</v>
      </c>
      <c r="C153" s="817">
        <v>29.5</v>
      </c>
      <c r="D153" s="817">
        <v>594</v>
      </c>
      <c r="E153" s="833">
        <v>2199</v>
      </c>
      <c r="F153" s="833">
        <v>2199</v>
      </c>
      <c r="G153" s="832">
        <v>3.702020202020202</v>
      </c>
      <c r="H153" s="832">
        <v>3.702020202020202</v>
      </c>
      <c r="I153" s="831">
        <v>0</v>
      </c>
      <c r="J153" s="817">
        <v>33</v>
      </c>
      <c r="K153" s="817">
        <v>2</v>
      </c>
    </row>
    <row r="154" spans="2:11" ht="14.5" customHeight="true">
      <c r="B154" s="830" t="s">
        <v>436</v>
      </c>
      <c r="C154" s="817">
        <v>22</v>
      </c>
      <c r="D154" s="817">
        <v>595</v>
      </c>
      <c r="E154" s="833">
        <v>2117.5</v>
      </c>
      <c r="F154" s="833">
        <v>2117.5</v>
      </c>
      <c r="G154" s="832">
        <v>3.5588235294117649</v>
      </c>
      <c r="H154" s="832">
        <v>3.5588235294117649</v>
      </c>
      <c r="I154" s="831">
        <v>0</v>
      </c>
      <c r="J154" s="817">
        <v>27.666666666666668</v>
      </c>
      <c r="K154" s="817">
        <v>4</v>
      </c>
    </row>
    <row r="155" spans="2:11" ht="14.5" customHeight="true">
      <c r="B155" s="830" t="s">
        <v>437</v>
      </c>
      <c r="C155" s="817">
        <v>17.75</v>
      </c>
      <c r="D155" s="817">
        <v>606</v>
      </c>
      <c r="E155" s="833">
        <v>2145</v>
      </c>
      <c r="F155" s="833">
        <v>2145</v>
      </c>
      <c r="G155" s="832">
        <v>3.5396039603960396</v>
      </c>
      <c r="H155" s="832">
        <v>3.5396039603960396</v>
      </c>
      <c r="I155" s="831">
        <v>0</v>
      </c>
      <c r="J155" s="817">
        <v>8.75</v>
      </c>
      <c r="K155" s="817">
        <v>4</v>
      </c>
    </row>
    <row r="156" spans="2:11" ht="14.5" customHeight="true">
      <c r="B156" s="830" t="s">
        <v>438</v>
      </c>
      <c r="C156" s="817">
        <v>19.5</v>
      </c>
      <c r="D156" s="817">
        <v>656</v>
      </c>
      <c r="E156" s="833">
        <v>2127</v>
      </c>
      <c r="F156" s="833">
        <v>2127</v>
      </c>
      <c r="G156" s="832">
        <v>3.2423780487804876</v>
      </c>
      <c r="H156" s="832">
        <v>3.2423780487804876</v>
      </c>
      <c r="I156" s="831">
        <v>0</v>
      </c>
      <c r="J156" s="817">
        <v>54.5</v>
      </c>
      <c r="K156" s="817">
        <v>2</v>
      </c>
    </row>
    <row r="157" spans="2:11" ht="14.5" customHeight="true">
      <c r="B157" s="830" t="s">
        <v>439</v>
      </c>
      <c r="C157" s="817">
        <v>21</v>
      </c>
      <c r="D157" s="817">
        <v>669</v>
      </c>
      <c r="E157" s="833">
        <v>2202.6666666666665</v>
      </c>
      <c r="F157" s="833">
        <v>2202.6666666666665</v>
      </c>
      <c r="G157" s="832">
        <v>3.2924763328350775</v>
      </c>
      <c r="H157" s="832">
        <v>3.2924763328350775</v>
      </c>
      <c r="I157" s="831">
        <v>0</v>
      </c>
      <c r="J157" s="817">
        <v>84</v>
      </c>
      <c r="K157" s="817">
        <v>3</v>
      </c>
    </row>
    <row r="158" spans="2:11" ht="14.5" customHeight="true">
      <c r="B158" s="830" t="s">
        <v>442</v>
      </c>
      <c r="C158" s="817">
        <v>22</v>
      </c>
      <c r="D158" s="817">
        <v>686</v>
      </c>
      <c r="E158" s="833">
        <v>2178.625</v>
      </c>
      <c r="F158" s="833">
        <v>2178.625</v>
      </c>
      <c r="G158" s="832">
        <v>3.1758381924198251</v>
      </c>
      <c r="H158" s="832">
        <v>3.1758381924198251</v>
      </c>
      <c r="I158" s="831">
        <v>0</v>
      </c>
      <c r="J158" s="817">
        <v>14.875</v>
      </c>
      <c r="K158" s="817">
        <v>8</v>
      </c>
    </row>
    <row r="159" spans="2:11" ht="14.5" customHeight="true">
      <c r="B159" s="830" t="s">
        <v>443</v>
      </c>
      <c r="C159" s="817">
        <v>18.600000000000001</v>
      </c>
      <c r="D159" s="817">
        <v>704</v>
      </c>
      <c r="E159" s="833">
        <v>2208</v>
      </c>
      <c r="F159" s="833">
        <v>2198.6</v>
      </c>
      <c r="G159" s="832">
        <v>3.1363636363636367</v>
      </c>
      <c r="H159" s="832">
        <v>3.1230113636363632</v>
      </c>
      <c r="I159" s="831">
        <v>4.2572463768115942E-3</v>
      </c>
      <c r="J159" s="817">
        <v>73.142857142857139</v>
      </c>
      <c r="K159" s="817">
        <v>10</v>
      </c>
    </row>
    <row r="160" spans="2:11" ht="14.5" customHeight="true">
      <c r="B160" s="830" t="s">
        <v>447</v>
      </c>
      <c r="C160" s="817">
        <v>19.75</v>
      </c>
      <c r="D160" s="817">
        <v>728</v>
      </c>
      <c r="E160" s="833">
        <v>2289.8000000000002</v>
      </c>
      <c r="F160" s="833">
        <v>2271</v>
      </c>
      <c r="G160" s="832">
        <v>3.1453296703296703</v>
      </c>
      <c r="H160" s="832">
        <v>3.1195054945054945</v>
      </c>
      <c r="I160" s="831">
        <v>8.2103240457681893E-3</v>
      </c>
      <c r="J160" s="817">
        <v>71.75</v>
      </c>
      <c r="K160" s="817">
        <v>5</v>
      </c>
    </row>
    <row r="161" spans="2:11" ht="14.5" customHeight="true">
      <c r="B161" s="830" t="s">
        <v>1090</v>
      </c>
      <c r="C161" s="817">
        <v>28</v>
      </c>
      <c r="D161" s="817">
        <v>595.33333333333337</v>
      </c>
      <c r="E161" s="833">
        <v>2333.3333333333335</v>
      </c>
      <c r="F161" s="833">
        <v>2333.3333333333335</v>
      </c>
      <c r="G161" s="832">
        <v>3.9260358091558287</v>
      </c>
      <c r="H161" s="832">
        <v>3.9260358091558287</v>
      </c>
      <c r="I161" s="831">
        <v>0</v>
      </c>
      <c r="J161" s="817">
        <v>79</v>
      </c>
      <c r="K161" s="817">
        <v>3</v>
      </c>
    </row>
    <row r="162" spans="2:11" ht="14.5" customHeight="true">
      <c r="B162" s="830" t="s">
        <v>1091</v>
      </c>
      <c r="C162" s="817">
        <v>20.666666666666668</v>
      </c>
      <c r="D162" s="817">
        <v>668.44444444444446</v>
      </c>
      <c r="E162" s="833">
        <v>2327.3333333333335</v>
      </c>
      <c r="F162" s="833">
        <v>2327.3333333333335</v>
      </c>
      <c r="G162" s="832">
        <v>3.4823776772644202</v>
      </c>
      <c r="H162" s="832">
        <v>3.4823776772644202</v>
      </c>
      <c r="I162" s="831">
        <v>0</v>
      </c>
      <c r="J162" s="817">
        <v>98</v>
      </c>
      <c r="K162" s="817">
        <v>9</v>
      </c>
    </row>
    <row r="163" spans="2:11" ht="14.5" customHeight="true">
      <c r="B163" s="830" t="s">
        <v>1092</v>
      </c>
      <c r="C163" s="817">
        <v>17.333333333333332</v>
      </c>
      <c r="D163" s="817">
        <v>671</v>
      </c>
      <c r="E163" s="833">
        <v>2431</v>
      </c>
      <c r="F163" s="833">
        <v>2431</v>
      </c>
      <c r="G163" s="832">
        <v>3.622950819672131</v>
      </c>
      <c r="H163" s="832">
        <v>3.622950819672131</v>
      </c>
      <c r="I163" s="831">
        <v>0</v>
      </c>
      <c r="J163" s="817">
        <v>8</v>
      </c>
      <c r="K163" s="817">
        <v>3</v>
      </c>
    </row>
    <row r="164" spans="2:11" ht="14.5" customHeight="true">
      <c r="B164" s="830" t="s">
        <v>1093</v>
      </c>
      <c r="C164" s="817">
        <v>27.666666666666668</v>
      </c>
      <c r="D164" s="817">
        <v>675</v>
      </c>
      <c r="E164" s="833">
        <v>2187.6666666666665</v>
      </c>
      <c r="F164" s="833">
        <v>2187.6666666666665</v>
      </c>
      <c r="G164" s="832">
        <v>3.2409876543209877</v>
      </c>
      <c r="H164" s="832">
        <v>3.2409876543209877</v>
      </c>
      <c r="I164" s="831">
        <v>0</v>
      </c>
      <c r="J164" s="817">
        <v>14.333333333333334</v>
      </c>
      <c r="K164" s="817">
        <v>3</v>
      </c>
    </row>
    <row r="165" spans="2:11" ht="14.5" customHeight="true">
      <c r="B165" s="830" t="s">
        <v>1094</v>
      </c>
      <c r="C165" s="817">
        <v>22.2</v>
      </c>
      <c r="D165" s="817">
        <v>724</v>
      </c>
      <c r="E165" s="833">
        <v>2291.1666666666665</v>
      </c>
      <c r="F165" s="833">
        <v>2291.1666666666665</v>
      </c>
      <c r="G165" s="832">
        <v>3.1658835955710956</v>
      </c>
      <c r="H165" s="832">
        <v>3.1658835955710956</v>
      </c>
      <c r="I165" s="831">
        <v>0</v>
      </c>
      <c r="J165" s="817">
        <v>30.8</v>
      </c>
      <c r="K165" s="817">
        <v>6</v>
      </c>
    </row>
    <row r="166" spans="2:11" ht="14.5" customHeight="true">
      <c r="B166" s="830" t="s">
        <v>1095</v>
      </c>
      <c r="C166" s="817">
        <v>18.333333333333332</v>
      </c>
      <c r="D166" s="817">
        <v>712</v>
      </c>
      <c r="E166" s="833">
        <v>2443.25</v>
      </c>
      <c r="F166" s="833">
        <v>2443.25</v>
      </c>
      <c r="G166" s="832">
        <v>3.4315308988764044</v>
      </c>
      <c r="H166" s="832">
        <v>3.4315308988764044</v>
      </c>
      <c r="I166" s="831">
        <v>0</v>
      </c>
      <c r="J166" s="817">
        <v>64.666666666666671</v>
      </c>
      <c r="K166" s="817">
        <v>4</v>
      </c>
    </row>
    <row r="167" spans="2:11" ht="14.5" customHeight="true">
      <c r="B167" s="830" t="s">
        <v>1190</v>
      </c>
      <c r="C167" s="817">
        <v>30</v>
      </c>
      <c r="D167" s="817">
        <v>715</v>
      </c>
      <c r="E167" s="833">
        <v>2369</v>
      </c>
      <c r="F167" s="833">
        <v>2369</v>
      </c>
      <c r="G167" s="832">
        <v>3.3132867132867134</v>
      </c>
      <c r="H167" s="832">
        <v>3.3132867132867134</v>
      </c>
      <c r="I167" s="831">
        <v>0</v>
      </c>
      <c r="J167" s="817"/>
      <c r="K167" s="817">
        <v>1</v>
      </c>
    </row>
    <row r="168" spans="2:11" ht="14.5" customHeight="true">
      <c r="B168" s="820" t="s">
        <v>269</v>
      </c>
      <c r="C168" s="817">
        <v>20.727810650887573</v>
      </c>
      <c r="D168" s="817">
        <v>803.96685082872932</v>
      </c>
      <c r="E168" s="833">
        <v>2705.5138121546961</v>
      </c>
      <c r="F168" s="833">
        <v>2696.9226519337017</v>
      </c>
      <c r="G168" s="832">
        <v>3.3773448537944293</v>
      </c>
      <c r="H168" s="832">
        <v>3.3664591913487247</v>
      </c>
      <c r="I168" s="831">
        <v>3.1754264873452617E-3</v>
      </c>
      <c r="J168" s="817">
        <v>59.644578313253014</v>
      </c>
      <c r="K168" s="817">
        <v>181</v>
      </c>
    </row>
    <row r="169" spans="2:11" ht="14.5" customHeight="true">
      <c r="B169" s="830" t="s">
        <v>448</v>
      </c>
      <c r="C169" s="817">
        <v>20.75</v>
      </c>
      <c r="D169" s="817">
        <v>715</v>
      </c>
      <c r="E169" s="833">
        <v>2568.4705882352941</v>
      </c>
      <c r="F169" s="833">
        <v>2568.4705882352941</v>
      </c>
      <c r="G169" s="832">
        <v>3.5922665569724392</v>
      </c>
      <c r="H169" s="832">
        <v>3.5922665569724392</v>
      </c>
      <c r="I169" s="831">
        <v>0</v>
      </c>
      <c r="J169" s="817">
        <v>61.1875</v>
      </c>
      <c r="K169" s="817">
        <v>17</v>
      </c>
    </row>
    <row r="170" spans="2:11" ht="14.5" customHeight="true">
      <c r="B170" s="830" t="s">
        <v>450</v>
      </c>
      <c r="C170" s="817">
        <v>24.555555555555557</v>
      </c>
      <c r="D170" s="817">
        <v>728</v>
      </c>
      <c r="E170" s="833">
        <v>2747.5555555555557</v>
      </c>
      <c r="F170" s="833">
        <v>2747.5555555555557</v>
      </c>
      <c r="G170" s="832">
        <v>3.7741147741147745</v>
      </c>
      <c r="H170" s="832">
        <v>3.7741147741147745</v>
      </c>
      <c r="I170" s="831">
        <v>0</v>
      </c>
      <c r="J170" s="817">
        <v>67.5</v>
      </c>
      <c r="K170" s="817">
        <v>9</v>
      </c>
    </row>
    <row r="171" spans="2:11" ht="14.5" customHeight="true">
      <c r="B171" s="830" t="s">
        <v>449</v>
      </c>
      <c r="C171" s="817">
        <v>18.666666666666668</v>
      </c>
      <c r="D171" s="817">
        <v>728</v>
      </c>
      <c r="E171" s="833">
        <v>2561.5789473684213</v>
      </c>
      <c r="F171" s="833">
        <v>2533.1052631578946</v>
      </c>
      <c r="G171" s="832">
        <v>3.5186524002313475</v>
      </c>
      <c r="H171" s="832">
        <v>3.47954019664546</v>
      </c>
      <c r="I171" s="831">
        <v>1.111567700842408E-2</v>
      </c>
      <c r="J171" s="817">
        <v>103.52941176470588</v>
      </c>
      <c r="K171" s="817">
        <v>19</v>
      </c>
    </row>
    <row r="172" spans="2:11" ht="14.5" customHeight="true">
      <c r="B172" s="830" t="s">
        <v>451</v>
      </c>
      <c r="C172" s="817">
        <v>23.368421052631579</v>
      </c>
      <c r="D172" s="817">
        <v>795</v>
      </c>
      <c r="E172" s="833">
        <v>2727.2857142857142</v>
      </c>
      <c r="F172" s="833">
        <v>2714.7142857142858</v>
      </c>
      <c r="G172" s="832">
        <v>3.4305480682839171</v>
      </c>
      <c r="H172" s="832">
        <v>3.4147349505840068</v>
      </c>
      <c r="I172" s="831">
        <v>4.6095018595149551E-3</v>
      </c>
      <c r="J172" s="817">
        <v>54.571428571428569</v>
      </c>
      <c r="K172" s="817">
        <v>21</v>
      </c>
    </row>
    <row r="173" spans="2:11" ht="14.5" customHeight="true">
      <c r="B173" s="830" t="s">
        <v>452</v>
      </c>
      <c r="C173" s="817">
        <v>6</v>
      </c>
      <c r="D173" s="817">
        <v>808</v>
      </c>
      <c r="E173" s="833">
        <v>2307</v>
      </c>
      <c r="F173" s="833">
        <v>2307</v>
      </c>
      <c r="G173" s="832">
        <v>2.8551980198019802</v>
      </c>
      <c r="H173" s="832">
        <v>2.8551980198019802</v>
      </c>
      <c r="I173" s="831">
        <v>0</v>
      </c>
      <c r="J173" s="817">
        <v>137</v>
      </c>
      <c r="K173" s="817">
        <v>1</v>
      </c>
    </row>
    <row r="174" spans="2:11" ht="14.5" customHeight="true">
      <c r="B174" s="830" t="s">
        <v>453</v>
      </c>
      <c r="C174" s="817">
        <v>26</v>
      </c>
      <c r="D174" s="817">
        <v>812</v>
      </c>
      <c r="E174" s="833">
        <v>2602.6666666666665</v>
      </c>
      <c r="F174" s="833">
        <v>2576.3333333333335</v>
      </c>
      <c r="G174" s="832">
        <v>3.2052545155993428</v>
      </c>
      <c r="H174" s="832">
        <v>3.1728243021346465</v>
      </c>
      <c r="I174" s="831">
        <v>1.011782786885246E-2</v>
      </c>
      <c r="J174" s="817">
        <v>108.83333333333333</v>
      </c>
      <c r="K174" s="817">
        <v>6</v>
      </c>
    </row>
    <row r="175" spans="2:11" ht="14.5" customHeight="true">
      <c r="B175" s="830" t="s">
        <v>454</v>
      </c>
      <c r="C175" s="817">
        <v>21.727272727272727</v>
      </c>
      <c r="D175" s="817">
        <v>813</v>
      </c>
      <c r="E175" s="833">
        <v>2873.3333333333335</v>
      </c>
      <c r="F175" s="833">
        <v>2873.3333333333335</v>
      </c>
      <c r="G175" s="832">
        <v>3.5342353423534241</v>
      </c>
      <c r="H175" s="832">
        <v>3.5342353423534241</v>
      </c>
      <c r="I175" s="831">
        <v>0</v>
      </c>
      <c r="J175" s="817">
        <v>64.083333333333329</v>
      </c>
      <c r="K175" s="817">
        <v>12</v>
      </c>
    </row>
    <row r="176" spans="2:11" ht="14.5" customHeight="true">
      <c r="B176" s="830" t="s">
        <v>455</v>
      </c>
      <c r="C176" s="817">
        <v>15.571428571428571</v>
      </c>
      <c r="D176" s="817">
        <v>816</v>
      </c>
      <c r="E176" s="833">
        <v>2586.5714285714284</v>
      </c>
      <c r="F176" s="833">
        <v>2586.5714285714284</v>
      </c>
      <c r="G176" s="832">
        <v>3.1698179271708682</v>
      </c>
      <c r="H176" s="832">
        <v>3.1698179271708682</v>
      </c>
      <c r="I176" s="831">
        <v>0</v>
      </c>
      <c r="J176" s="817">
        <v>103.71428571428571</v>
      </c>
      <c r="K176" s="817">
        <v>7</v>
      </c>
    </row>
    <row r="177" spans="2:11" ht="14.5" customHeight="true">
      <c r="B177" s="830" t="s">
        <v>456</v>
      </c>
      <c r="C177" s="817">
        <v>6</v>
      </c>
      <c r="D177" s="817">
        <v>819</v>
      </c>
      <c r="E177" s="833">
        <v>3036</v>
      </c>
      <c r="F177" s="833">
        <v>3036</v>
      </c>
      <c r="G177" s="832">
        <v>3.7069597069597071</v>
      </c>
      <c r="H177" s="832">
        <v>3.7069597069597071</v>
      </c>
      <c r="I177" s="831">
        <v>0</v>
      </c>
      <c r="J177" s="817">
        <v>39</v>
      </c>
      <c r="K177" s="817">
        <v>1</v>
      </c>
    </row>
    <row r="178" spans="2:11" ht="14.5" customHeight="true">
      <c r="B178" s="830" t="s">
        <v>457</v>
      </c>
      <c r="C178" s="817">
        <v>22.6</v>
      </c>
      <c r="D178" s="817">
        <v>822</v>
      </c>
      <c r="E178" s="833">
        <v>2667.6</v>
      </c>
      <c r="F178" s="833">
        <v>2648.8</v>
      </c>
      <c r="G178" s="832">
        <v>3.2452554744525548</v>
      </c>
      <c r="H178" s="832">
        <v>3.2223844282238447</v>
      </c>
      <c r="I178" s="831">
        <v>7.047533363322837E-3</v>
      </c>
      <c r="J178" s="817">
        <v>55</v>
      </c>
      <c r="K178" s="817">
        <v>5</v>
      </c>
    </row>
    <row r="179" spans="2:11" ht="14.5" customHeight="true">
      <c r="B179" s="830" t="s">
        <v>458</v>
      </c>
      <c r="C179" s="817">
        <v>22.4</v>
      </c>
      <c r="D179" s="817">
        <v>822</v>
      </c>
      <c r="E179" s="833">
        <v>2715.5</v>
      </c>
      <c r="F179" s="833">
        <v>2689</v>
      </c>
      <c r="G179" s="832">
        <v>3.30352798053528</v>
      </c>
      <c r="H179" s="832">
        <v>3.2712895377128954</v>
      </c>
      <c r="I179" s="831">
        <v>9.7587921193150427E-3</v>
      </c>
      <c r="J179" s="817">
        <v>28.666666666666668</v>
      </c>
      <c r="K179" s="817">
        <v>6</v>
      </c>
    </row>
    <row r="180" spans="2:11" ht="14.5" customHeight="true">
      <c r="B180" s="830" t="s">
        <v>459</v>
      </c>
      <c r="C180" s="817">
        <v>24.166666666666668</v>
      </c>
      <c r="D180" s="817">
        <v>835</v>
      </c>
      <c r="E180" s="833">
        <v>2766.8333333333335</v>
      </c>
      <c r="F180" s="833">
        <v>2766.8333333333335</v>
      </c>
      <c r="G180" s="832">
        <v>3.3135728542914173</v>
      </c>
      <c r="H180" s="832">
        <v>3.3135728542914173</v>
      </c>
      <c r="I180" s="831">
        <v>0</v>
      </c>
      <c r="J180" s="817">
        <v>32.166666666666664</v>
      </c>
      <c r="K180" s="817">
        <v>6</v>
      </c>
    </row>
    <row r="181" spans="2:11" ht="14.5" customHeight="true">
      <c r="B181" s="830" t="s">
        <v>460</v>
      </c>
      <c r="C181" s="817">
        <v>16.75</v>
      </c>
      <c r="D181" s="817">
        <v>850</v>
      </c>
      <c r="E181" s="833">
        <v>2784.8333333333335</v>
      </c>
      <c r="F181" s="833">
        <v>2777</v>
      </c>
      <c r="G181" s="832">
        <v>3.2762745098039212</v>
      </c>
      <c r="H181" s="832">
        <v>3.2670588235294118</v>
      </c>
      <c r="I181" s="831">
        <v>2.8128553474175595E-3</v>
      </c>
      <c r="J181" s="817">
        <v>51.222222222222221</v>
      </c>
      <c r="K181" s="817">
        <v>12</v>
      </c>
    </row>
    <row r="182" spans="2:11" ht="14.5" customHeight="true">
      <c r="B182" s="830" t="s">
        <v>461</v>
      </c>
      <c r="C182" s="817">
        <v>19.416666666666668</v>
      </c>
      <c r="D182" s="817">
        <v>855</v>
      </c>
      <c r="E182" s="833">
        <v>2812.3333333333335</v>
      </c>
      <c r="F182" s="833">
        <v>2812.3333333333335</v>
      </c>
      <c r="G182" s="832">
        <v>3.2892787524366471</v>
      </c>
      <c r="H182" s="832">
        <v>3.2892787524366471</v>
      </c>
      <c r="I182" s="831">
        <v>0</v>
      </c>
      <c r="J182" s="817">
        <v>24.583333333333332</v>
      </c>
      <c r="K182" s="817">
        <v>12</v>
      </c>
    </row>
    <row r="183" spans="2:11" ht="14.5" customHeight="true">
      <c r="B183" s="830" t="s">
        <v>462</v>
      </c>
      <c r="C183" s="817">
        <v>20.333333333333332</v>
      </c>
      <c r="D183" s="817">
        <v>861</v>
      </c>
      <c r="E183" s="833">
        <v>2662</v>
      </c>
      <c r="F183" s="833">
        <v>2646.3333333333335</v>
      </c>
      <c r="G183" s="832">
        <v>3.0917537746806043</v>
      </c>
      <c r="H183" s="832">
        <v>3.0735578784359276</v>
      </c>
      <c r="I183" s="831">
        <v>5.8852992737290256E-3</v>
      </c>
      <c r="J183" s="817">
        <v>38.5</v>
      </c>
      <c r="K183" s="817">
        <v>6</v>
      </c>
    </row>
    <row r="184" spans="2:11" ht="14.5" customHeight="true">
      <c r="B184" s="830" t="s">
        <v>463</v>
      </c>
      <c r="C184" s="817">
        <v>21.833333333333332</v>
      </c>
      <c r="D184" s="817">
        <v>873</v>
      </c>
      <c r="E184" s="833">
        <v>2715.5714285714284</v>
      </c>
      <c r="F184" s="833">
        <v>2694</v>
      </c>
      <c r="G184" s="832">
        <v>3.1106201930944195</v>
      </c>
      <c r="H184" s="832">
        <v>3.0859106529209623</v>
      </c>
      <c r="I184" s="831">
        <v>7.9436056604766155E-3</v>
      </c>
      <c r="J184" s="817">
        <v>78.833333333333329</v>
      </c>
      <c r="K184" s="817">
        <v>7</v>
      </c>
    </row>
    <row r="185" spans="2:11" ht="14.5" customHeight="true">
      <c r="B185" s="830" t="s">
        <v>465</v>
      </c>
      <c r="C185" s="817">
        <v>19.75</v>
      </c>
      <c r="D185" s="817">
        <v>885</v>
      </c>
      <c r="E185" s="833">
        <v>2607</v>
      </c>
      <c r="F185" s="833">
        <v>2607</v>
      </c>
      <c r="G185" s="832">
        <v>2.9457627118644067</v>
      </c>
      <c r="H185" s="832">
        <v>2.9457627118644067</v>
      </c>
      <c r="I185" s="831">
        <v>0</v>
      </c>
      <c r="J185" s="817">
        <v>16</v>
      </c>
      <c r="K185" s="817">
        <v>4</v>
      </c>
    </row>
    <row r="186" spans="2:11" ht="14.5" customHeight="true">
      <c r="B186" s="830" t="s">
        <v>466</v>
      </c>
      <c r="C186" s="817">
        <v>25.5</v>
      </c>
      <c r="D186" s="817">
        <v>904</v>
      </c>
      <c r="E186" s="833">
        <v>2923.25</v>
      </c>
      <c r="F186" s="833">
        <v>2923.25</v>
      </c>
      <c r="G186" s="832">
        <v>3.2336836283185839</v>
      </c>
      <c r="H186" s="832">
        <v>3.2336836283185839</v>
      </c>
      <c r="I186" s="831">
        <v>0</v>
      </c>
      <c r="J186" s="817">
        <v>39.75</v>
      </c>
      <c r="K186" s="817">
        <v>4</v>
      </c>
    </row>
    <row r="187" spans="2:11" ht="14.5" customHeight="true">
      <c r="B187" s="830" t="s">
        <v>467</v>
      </c>
      <c r="C187" s="817">
        <v>21.333333333333332</v>
      </c>
      <c r="D187" s="817">
        <v>906</v>
      </c>
      <c r="E187" s="833">
        <v>2870</v>
      </c>
      <c r="F187" s="833">
        <v>2870</v>
      </c>
      <c r="G187" s="832">
        <v>3.1677704194260485</v>
      </c>
      <c r="H187" s="832">
        <v>3.1677704194260485</v>
      </c>
      <c r="I187" s="831">
        <v>0</v>
      </c>
      <c r="J187" s="817">
        <v>50.666666666666664</v>
      </c>
      <c r="K187" s="817">
        <v>4</v>
      </c>
    </row>
    <row r="188" spans="2:11" ht="14.5" customHeight="true">
      <c r="B188" s="830" t="s">
        <v>1096</v>
      </c>
      <c r="C188" s="817">
        <v>23</v>
      </c>
      <c r="D188" s="817">
        <v>715</v>
      </c>
      <c r="E188" s="833">
        <v>2545</v>
      </c>
      <c r="F188" s="833">
        <v>2545</v>
      </c>
      <c r="G188" s="832">
        <v>3.5594405594405591</v>
      </c>
      <c r="H188" s="832">
        <v>3.5594405594405591</v>
      </c>
      <c r="I188" s="831">
        <v>0</v>
      </c>
      <c r="J188" s="817">
        <v>5.5</v>
      </c>
      <c r="K188" s="817">
        <v>2</v>
      </c>
    </row>
    <row r="189" spans="2:11" ht="14.5" customHeight="true">
      <c r="B189" s="830" t="s">
        <v>1097</v>
      </c>
      <c r="C189" s="817">
        <v>21</v>
      </c>
      <c r="D189" s="817">
        <v>728</v>
      </c>
      <c r="E189" s="833">
        <v>2495.4</v>
      </c>
      <c r="F189" s="833">
        <v>2495.4</v>
      </c>
      <c r="G189" s="832">
        <v>3.4277472527472526</v>
      </c>
      <c r="H189" s="832">
        <v>3.4277472527472526</v>
      </c>
      <c r="I189" s="831">
        <v>0</v>
      </c>
      <c r="J189" s="817">
        <v>18.75</v>
      </c>
      <c r="K189" s="817">
        <v>5</v>
      </c>
    </row>
    <row r="190" spans="2:11" ht="14.5" customHeight="true">
      <c r="B190" s="830" t="s">
        <v>1098</v>
      </c>
      <c r="C190" s="817">
        <v>29</v>
      </c>
      <c r="D190" s="817">
        <v>728</v>
      </c>
      <c r="E190" s="833">
        <v>2764</v>
      </c>
      <c r="F190" s="833">
        <v>2764</v>
      </c>
      <c r="G190" s="832">
        <v>3.7967032967032965</v>
      </c>
      <c r="H190" s="832">
        <v>3.7967032967032965</v>
      </c>
      <c r="I190" s="831">
        <v>0</v>
      </c>
      <c r="J190" s="817"/>
      <c r="K190" s="817">
        <v>2</v>
      </c>
    </row>
    <row r="191" spans="2:11" ht="14.5" customHeight="true">
      <c r="B191" s="830" t="s">
        <v>1099</v>
      </c>
      <c r="C191" s="817"/>
      <c r="D191" s="817">
        <v>812</v>
      </c>
      <c r="E191" s="833">
        <v>2862</v>
      </c>
      <c r="F191" s="833">
        <v>2862</v>
      </c>
      <c r="G191" s="832">
        <v>3.5246305418719213</v>
      </c>
      <c r="H191" s="832">
        <v>3.5246305418719213</v>
      </c>
      <c r="I191" s="831">
        <v>0</v>
      </c>
      <c r="J191" s="817">
        <v>75</v>
      </c>
      <c r="K191" s="817">
        <v>1</v>
      </c>
    </row>
    <row r="192" spans="2:11" ht="14.5" customHeight="true">
      <c r="B192" s="830" t="s">
        <v>1100</v>
      </c>
      <c r="C192" s="817">
        <v>19.666666666666668</v>
      </c>
      <c r="D192" s="817">
        <v>813</v>
      </c>
      <c r="E192" s="833">
        <v>2852</v>
      </c>
      <c r="F192" s="833">
        <v>2852</v>
      </c>
      <c r="G192" s="832">
        <v>3.5079950799507995</v>
      </c>
      <c r="H192" s="832">
        <v>3.5079950799507995</v>
      </c>
      <c r="I192" s="831">
        <v>0</v>
      </c>
      <c r="J192" s="817">
        <v>188</v>
      </c>
      <c r="K192" s="817">
        <v>3</v>
      </c>
    </row>
    <row r="193" spans="2:11" ht="14.5" customHeight="true">
      <c r="B193" s="830" t="s">
        <v>1101</v>
      </c>
      <c r="C193" s="817">
        <v>27.5</v>
      </c>
      <c r="D193" s="817">
        <v>838.5</v>
      </c>
      <c r="E193" s="833">
        <v>2672.5</v>
      </c>
      <c r="F193" s="833">
        <v>2672.5</v>
      </c>
      <c r="G193" s="832">
        <v>3.1887190851950535</v>
      </c>
      <c r="H193" s="832">
        <v>3.1887190851950535</v>
      </c>
      <c r="I193" s="831">
        <v>0</v>
      </c>
      <c r="J193" s="817">
        <v>6.5</v>
      </c>
      <c r="K193" s="817">
        <v>2</v>
      </c>
    </row>
    <row r="194" spans="2:11" ht="14.5" customHeight="true">
      <c r="B194" s="830" t="s">
        <v>1102</v>
      </c>
      <c r="C194" s="817">
        <v>17.5</v>
      </c>
      <c r="D194" s="817">
        <v>855</v>
      </c>
      <c r="E194" s="833">
        <v>2913.5</v>
      </c>
      <c r="F194" s="833">
        <v>2913.5</v>
      </c>
      <c r="G194" s="832">
        <v>3.4076023391812864</v>
      </c>
      <c r="H194" s="832">
        <v>3.4076023391812864</v>
      </c>
      <c r="I194" s="831">
        <v>0</v>
      </c>
      <c r="J194" s="817">
        <v>6.5</v>
      </c>
      <c r="K194" s="817">
        <v>2</v>
      </c>
    </row>
    <row r="195" spans="2:11" ht="14.5" customHeight="true">
      <c r="B195" s="830" t="s">
        <v>1103</v>
      </c>
      <c r="C195" s="817">
        <v>26</v>
      </c>
      <c r="D195" s="817">
        <v>895.5</v>
      </c>
      <c r="E195" s="833">
        <v>2847</v>
      </c>
      <c r="F195" s="833">
        <v>2847</v>
      </c>
      <c r="G195" s="832">
        <v>3.1802952070939501</v>
      </c>
      <c r="H195" s="832">
        <v>3.1802952070939501</v>
      </c>
      <c r="I195" s="831">
        <v>0</v>
      </c>
      <c r="J195" s="817">
        <v>3</v>
      </c>
      <c r="K195" s="817">
        <v>2</v>
      </c>
    </row>
    <row r="196" spans="2:11" ht="14.5" customHeight="true">
      <c r="B196" s="830" t="s">
        <v>1104</v>
      </c>
      <c r="C196" s="817">
        <v>6</v>
      </c>
      <c r="D196" s="817">
        <v>904</v>
      </c>
      <c r="E196" s="833">
        <v>2774.5</v>
      </c>
      <c r="F196" s="833">
        <v>2774.5</v>
      </c>
      <c r="G196" s="832">
        <v>3.0691371681415927</v>
      </c>
      <c r="H196" s="832">
        <v>3.0691371681415927</v>
      </c>
      <c r="I196" s="831">
        <v>0</v>
      </c>
      <c r="J196" s="817">
        <v>55.5</v>
      </c>
      <c r="K196" s="817">
        <v>2</v>
      </c>
    </row>
    <row r="197" spans="2:11" ht="14.5" customHeight="true">
      <c r="B197" s="830" t="s">
        <v>1105</v>
      </c>
      <c r="C197" s="817">
        <v>6</v>
      </c>
      <c r="D197" s="817">
        <v>985</v>
      </c>
      <c r="E197" s="833">
        <v>2910</v>
      </c>
      <c r="F197" s="833">
        <v>2910</v>
      </c>
      <c r="G197" s="832">
        <v>2.9543147208121829</v>
      </c>
      <c r="H197" s="832">
        <v>2.9543147208121829</v>
      </c>
      <c r="I197" s="831">
        <v>0</v>
      </c>
      <c r="J197" s="817"/>
      <c r="K197" s="817">
        <v>1</v>
      </c>
    </row>
    <row r="198" spans="2:11" ht="14.5" customHeight="true">
      <c r="B198" s="820" t="s">
        <v>270</v>
      </c>
      <c r="C198" s="817">
        <v>19.311688311688311</v>
      </c>
      <c r="D198" s="817">
        <v>1279.1341463414635</v>
      </c>
      <c r="E198" s="833">
        <v>3871.6341463414633</v>
      </c>
      <c r="F198" s="833">
        <v>3863.3170731707319</v>
      </c>
      <c r="G198" s="832">
        <v>3.0292546575295858</v>
      </c>
      <c r="H198" s="832">
        <v>3.0228333721505098</v>
      </c>
      <c r="I198" s="831">
        <v>2.1482074122605318E-3</v>
      </c>
      <c r="J198" s="817">
        <v>94.683544303797461</v>
      </c>
      <c r="K198" s="817">
        <v>82</v>
      </c>
    </row>
    <row r="199" spans="2:11" ht="14.5" customHeight="true">
      <c r="B199" s="830" t="s">
        <v>468</v>
      </c>
      <c r="C199" s="817">
        <v>22.25</v>
      </c>
      <c r="D199" s="817">
        <v>1228</v>
      </c>
      <c r="E199" s="833">
        <v>3874.9444444444443</v>
      </c>
      <c r="F199" s="833">
        <v>3874.9444444444443</v>
      </c>
      <c r="G199" s="832">
        <v>3.1554922186029675</v>
      </c>
      <c r="H199" s="832">
        <v>3.1554922186029675</v>
      </c>
      <c r="I199" s="831">
        <v>0</v>
      </c>
      <c r="J199" s="817">
        <v>92.111111111111114</v>
      </c>
      <c r="K199" s="817">
        <v>18</v>
      </c>
    </row>
    <row r="200" spans="2:11" ht="14.5" customHeight="true">
      <c r="B200" s="830" t="s">
        <v>469</v>
      </c>
      <c r="C200" s="817">
        <v>17</v>
      </c>
      <c r="D200" s="817">
        <v>1248</v>
      </c>
      <c r="E200" s="833">
        <v>3817.5555555555557</v>
      </c>
      <c r="F200" s="833">
        <v>3812.3333333333335</v>
      </c>
      <c r="G200" s="832">
        <v>3.0589387464387463</v>
      </c>
      <c r="H200" s="832">
        <v>3.0547542735042734</v>
      </c>
      <c r="I200" s="831">
        <v>1.367949240351592E-3</v>
      </c>
      <c r="J200" s="817">
        <v>86.833333333333329</v>
      </c>
      <c r="K200" s="817">
        <v>18</v>
      </c>
    </row>
    <row r="201" spans="2:11" ht="14.5" customHeight="true">
      <c r="B201" s="830" t="s">
        <v>470</v>
      </c>
      <c r="C201" s="817">
        <v>16.571428571428573</v>
      </c>
      <c r="D201" s="817">
        <v>1289</v>
      </c>
      <c r="E201" s="833">
        <v>3826.5714285714284</v>
      </c>
      <c r="F201" s="833">
        <v>3805.1428571428573</v>
      </c>
      <c r="G201" s="832">
        <v>2.9686357087443196</v>
      </c>
      <c r="H201" s="832">
        <v>2.9520115260999664</v>
      </c>
      <c r="I201" s="831">
        <v>5.5999402673038157E-3</v>
      </c>
      <c r="J201" s="817">
        <v>101.28571428571429</v>
      </c>
      <c r="K201" s="817">
        <v>7</v>
      </c>
    </row>
    <row r="202" spans="2:11" ht="14.5" customHeight="true">
      <c r="B202" s="830" t="s">
        <v>471</v>
      </c>
      <c r="C202" s="817">
        <v>17.833333333333332</v>
      </c>
      <c r="D202" s="817">
        <v>1301</v>
      </c>
      <c r="E202" s="833">
        <v>3770.8333333333335</v>
      </c>
      <c r="F202" s="833">
        <v>3734.6666666666665</v>
      </c>
      <c r="G202" s="832">
        <v>2.898411478349987</v>
      </c>
      <c r="H202" s="832">
        <v>2.8706123494747628</v>
      </c>
      <c r="I202" s="831">
        <v>9.5911602209944758E-3</v>
      </c>
      <c r="J202" s="817">
        <v>97.4</v>
      </c>
      <c r="K202" s="817">
        <v>6</v>
      </c>
    </row>
    <row r="203" spans="2:11" ht="14.5" customHeight="true">
      <c r="B203" s="830" t="s">
        <v>472</v>
      </c>
      <c r="C203" s="817">
        <v>22.75</v>
      </c>
      <c r="D203" s="817">
        <v>1305</v>
      </c>
      <c r="E203" s="833">
        <v>3922.8333333333335</v>
      </c>
      <c r="F203" s="833">
        <v>3922.8333333333335</v>
      </c>
      <c r="G203" s="832">
        <v>3.0060025542784161</v>
      </c>
      <c r="H203" s="832">
        <v>3.0060025542784161</v>
      </c>
      <c r="I203" s="831">
        <v>0</v>
      </c>
      <c r="J203" s="817">
        <v>111.66666666666667</v>
      </c>
      <c r="K203" s="817">
        <v>6</v>
      </c>
    </row>
    <row r="204" spans="2:11" ht="14.5" customHeight="true">
      <c r="B204" s="830" t="s">
        <v>474</v>
      </c>
      <c r="C204" s="817">
        <v>22</v>
      </c>
      <c r="D204" s="817">
        <v>1315</v>
      </c>
      <c r="E204" s="833">
        <v>3883.4444444444443</v>
      </c>
      <c r="F204" s="833">
        <v>3858.8888888888887</v>
      </c>
      <c r="G204" s="832">
        <v>2.9531896915927334</v>
      </c>
      <c r="H204" s="832">
        <v>2.9345162653147443</v>
      </c>
      <c r="I204" s="831">
        <v>6.3231381076364048E-3</v>
      </c>
      <c r="J204" s="817">
        <v>113.28571428571429</v>
      </c>
      <c r="K204" s="817">
        <v>9</v>
      </c>
    </row>
    <row r="205" spans="2:11" ht="14.5" customHeight="true">
      <c r="B205" s="830" t="s">
        <v>475</v>
      </c>
      <c r="C205" s="817">
        <v>18.666666666666668</v>
      </c>
      <c r="D205" s="817">
        <v>1337</v>
      </c>
      <c r="E205" s="833">
        <v>3877</v>
      </c>
      <c r="F205" s="833">
        <v>3877</v>
      </c>
      <c r="G205" s="832">
        <v>2.8997756170531042</v>
      </c>
      <c r="H205" s="832">
        <v>2.8997756170531042</v>
      </c>
      <c r="I205" s="831">
        <v>0</v>
      </c>
      <c r="J205" s="817">
        <v>87.833333333333329</v>
      </c>
      <c r="K205" s="817">
        <v>6</v>
      </c>
    </row>
    <row r="206" spans="2:11" ht="14.5" customHeight="true">
      <c r="B206" s="830" t="s">
        <v>476</v>
      </c>
      <c r="C206" s="817">
        <v>21.4</v>
      </c>
      <c r="D206" s="817">
        <v>1358</v>
      </c>
      <c r="E206" s="833">
        <v>4146.2</v>
      </c>
      <c r="F206" s="833">
        <v>4146.2</v>
      </c>
      <c r="G206" s="832">
        <v>3.0531664212076581</v>
      </c>
      <c r="H206" s="832">
        <v>3.0531664212076581</v>
      </c>
      <c r="I206" s="831">
        <v>0</v>
      </c>
      <c r="J206" s="817">
        <v>76.2</v>
      </c>
      <c r="K206" s="817">
        <v>5</v>
      </c>
    </row>
    <row r="207" spans="2:11" ht="14.5" customHeight="true">
      <c r="B207" s="830" t="s">
        <v>477</v>
      </c>
      <c r="C207" s="817">
        <v>6</v>
      </c>
      <c r="D207" s="817">
        <v>1363</v>
      </c>
      <c r="E207" s="833">
        <v>3625</v>
      </c>
      <c r="F207" s="833">
        <v>3625</v>
      </c>
      <c r="G207" s="832">
        <v>2.6595744680851063</v>
      </c>
      <c r="H207" s="832">
        <v>2.6595744680851063</v>
      </c>
      <c r="I207" s="831">
        <v>0</v>
      </c>
      <c r="J207" s="817">
        <v>152</v>
      </c>
      <c r="K207" s="817">
        <v>1</v>
      </c>
    </row>
    <row r="208" spans="2:11" ht="14.5" customHeight="true">
      <c r="B208" s="830" t="s">
        <v>1106</v>
      </c>
      <c r="C208" s="817">
        <v>23.666666666666668</v>
      </c>
      <c r="D208" s="817">
        <v>1228</v>
      </c>
      <c r="E208" s="833">
        <v>3820.3333333333335</v>
      </c>
      <c r="F208" s="833">
        <v>3820.3333333333335</v>
      </c>
      <c r="G208" s="832">
        <v>3.1110206297502714</v>
      </c>
      <c r="H208" s="832">
        <v>3.1110206297502714</v>
      </c>
      <c r="I208" s="831">
        <v>0</v>
      </c>
      <c r="J208" s="817">
        <v>97.666666666666671</v>
      </c>
      <c r="K208" s="817">
        <v>3</v>
      </c>
    </row>
    <row r="209" spans="2:11" ht="14.5" customHeight="true">
      <c r="B209" s="830" t="s">
        <v>1107</v>
      </c>
      <c r="C209" s="817">
        <v>13</v>
      </c>
      <c r="D209" s="817">
        <v>1322.6666666666667</v>
      </c>
      <c r="E209" s="833">
        <v>4010.3333333333335</v>
      </c>
      <c r="F209" s="833">
        <v>4010.3333333333335</v>
      </c>
      <c r="G209" s="832">
        <v>3.0321203332223594</v>
      </c>
      <c r="H209" s="832">
        <v>3.0321203332223594</v>
      </c>
      <c r="I209" s="831">
        <v>0</v>
      </c>
      <c r="J209" s="817">
        <v>82.333333333333329</v>
      </c>
      <c r="K209" s="817">
        <v>3</v>
      </c>
    </row>
    <row r="210" spans="2:11" ht="14.5" customHeight="true">
      <c r="B210" s="820" t="s">
        <v>271</v>
      </c>
      <c r="C210" s="817">
        <v>33.4</v>
      </c>
      <c r="D210" s="817">
        <v>1975.25</v>
      </c>
      <c r="E210" s="833">
        <v>5770.25</v>
      </c>
      <c r="F210" s="833">
        <v>5770.25</v>
      </c>
      <c r="G210" s="832">
        <v>2.9256138750760652</v>
      </c>
      <c r="H210" s="832">
        <v>2.9256138750760652</v>
      </c>
      <c r="I210" s="831">
        <v>0</v>
      </c>
      <c r="J210" s="817">
        <v>69.333333333333329</v>
      </c>
      <c r="K210" s="817">
        <v>8</v>
      </c>
    </row>
    <row r="211" spans="2:11" ht="14.5" customHeight="true">
      <c r="B211" s="830" t="s">
        <v>478</v>
      </c>
      <c r="C211" s="817">
        <v>33.5</v>
      </c>
      <c r="D211" s="817">
        <v>1869</v>
      </c>
      <c r="E211" s="833">
        <v>5738.5</v>
      </c>
      <c r="F211" s="833">
        <v>5738.5</v>
      </c>
      <c r="G211" s="832">
        <v>3.0703584804708397</v>
      </c>
      <c r="H211" s="832">
        <v>3.0703584804708397</v>
      </c>
      <c r="I211" s="831">
        <v>0</v>
      </c>
      <c r="J211" s="817">
        <v>103.5</v>
      </c>
      <c r="K211" s="817">
        <v>2</v>
      </c>
    </row>
    <row r="212" spans="2:11" ht="14.5" customHeight="true">
      <c r="B212" s="830" t="s">
        <v>479</v>
      </c>
      <c r="C212" s="817">
        <v>32</v>
      </c>
      <c r="D212" s="817">
        <v>1936</v>
      </c>
      <c r="E212" s="833">
        <v>6011</v>
      </c>
      <c r="F212" s="833">
        <v>6011</v>
      </c>
      <c r="G212" s="832">
        <v>3.1048553719008263</v>
      </c>
      <c r="H212" s="832">
        <v>3.1048553719008263</v>
      </c>
      <c r="I212" s="831">
        <v>0</v>
      </c>
      <c r="J212" s="817">
        <v>59</v>
      </c>
      <c r="K212" s="817">
        <v>1</v>
      </c>
    </row>
    <row r="213" spans="2:11" ht="14.5" customHeight="true">
      <c r="B213" s="830" t="s">
        <v>480</v>
      </c>
      <c r="C213" s="817">
        <v>34</v>
      </c>
      <c r="D213" s="817">
        <v>2102</v>
      </c>
      <c r="E213" s="833">
        <v>5926.333333333333</v>
      </c>
      <c r="F213" s="833">
        <v>5926.333333333333</v>
      </c>
      <c r="G213" s="832">
        <v>2.8193783698065338</v>
      </c>
      <c r="H213" s="832">
        <v>2.8193783698065338</v>
      </c>
      <c r="I213" s="831">
        <v>0</v>
      </c>
      <c r="J213" s="817">
        <v>25</v>
      </c>
      <c r="K213" s="817">
        <v>3</v>
      </c>
    </row>
    <row r="214" spans="2:11" ht="14.5" customHeight="true">
      <c r="B214" s="830" t="s">
        <v>1108</v>
      </c>
      <c r="C214" s="817"/>
      <c r="D214" s="817">
        <v>1911</v>
      </c>
      <c r="E214" s="833">
        <v>5447.5</v>
      </c>
      <c r="F214" s="833">
        <v>5447.5</v>
      </c>
      <c r="G214" s="832">
        <v>2.8506017791732079</v>
      </c>
      <c r="H214" s="832">
        <v>2.8506017791732079</v>
      </c>
      <c r="I214" s="831">
        <v>0</v>
      </c>
      <c r="J214" s="817">
        <v>62.5</v>
      </c>
      <c r="K214" s="817">
        <v>2</v>
      </c>
    </row>
    <row r="215" spans="2:11" ht="14.5" customHeight="true">
      <c r="B215" s="816" t="s">
        <v>1065</v>
      </c>
      <c r="C215" s="817">
        <v>23.466942148760332</v>
      </c>
      <c r="D215" s="817">
        <v>771.7439024390244</v>
      </c>
      <c r="E215" s="833">
        <v>2838.9959183673468</v>
      </c>
      <c r="F215" s="833">
        <v>2785.5265306122451</v>
      </c>
      <c r="G215" s="832">
        <v>3.725538674679028</v>
      </c>
      <c r="H215" s="832">
        <v>3.6616086592732087</v>
      </c>
      <c r="I215" s="831">
        <v>1.8833907935257362E-2</v>
      </c>
      <c r="J215" s="817">
        <v>75.036199095022624</v>
      </c>
      <c r="K215" s="817">
        <v>245</v>
      </c>
    </row>
    <row r="216" spans="2:11" ht="14.5" customHeight="true">
      <c r="B216" s="820" t="s">
        <v>13</v>
      </c>
      <c r="C216" s="817">
        <v>21.9375</v>
      </c>
      <c r="D216" s="817">
        <v>542.14285714285711</v>
      </c>
      <c r="E216" s="833">
        <v>2296.9166666666665</v>
      </c>
      <c r="F216" s="833">
        <v>2273.3541666666665</v>
      </c>
      <c r="G216" s="832">
        <v>4.2402347114556411</v>
      </c>
      <c r="H216" s="832">
        <v>4.1977121016365198</v>
      </c>
      <c r="I216" s="831">
        <v>1.0258317309436564E-2</v>
      </c>
      <c r="J216" s="817">
        <v>81.88095238095238</v>
      </c>
      <c r="K216" s="817">
        <v>48</v>
      </c>
    </row>
    <row r="217" spans="2:11" ht="14.5" customHeight="true">
      <c r="B217" s="830" t="s">
        <v>377</v>
      </c>
      <c r="C217" s="817">
        <v>19.913043478260871</v>
      </c>
      <c r="D217" s="817">
        <v>540</v>
      </c>
      <c r="E217" s="833">
        <v>2233.695652173913</v>
      </c>
      <c r="F217" s="833">
        <v>2233.695652173913</v>
      </c>
      <c r="G217" s="832">
        <v>4.1364734299516908</v>
      </c>
      <c r="H217" s="832">
        <v>4.1364734299516908</v>
      </c>
      <c r="I217" s="831">
        <v>0</v>
      </c>
      <c r="J217" s="817">
        <v>90.391304347826093</v>
      </c>
      <c r="K217" s="817">
        <v>23</v>
      </c>
    </row>
    <row r="218" spans="2:11" ht="14.5" customHeight="true">
      <c r="B218" s="830" t="s">
        <v>1066</v>
      </c>
      <c r="C218" s="817">
        <v>22.6875</v>
      </c>
      <c r="D218" s="817">
        <v>546.17647058823525</v>
      </c>
      <c r="E218" s="833">
        <v>2292.75</v>
      </c>
      <c r="F218" s="833">
        <v>2222.0625</v>
      </c>
      <c r="G218" s="832">
        <v>4.205889319552111</v>
      </c>
      <c r="H218" s="832">
        <v>4.0783214900947451</v>
      </c>
      <c r="I218" s="831">
        <v>3.0830879947661104E-2</v>
      </c>
      <c r="J218" s="817">
        <v>114</v>
      </c>
      <c r="K218" s="817">
        <v>16</v>
      </c>
    </row>
    <row r="219" spans="2:11" ht="14.5" customHeight="true">
      <c r="B219" s="830" t="s">
        <v>1067</v>
      </c>
      <c r="C219" s="817">
        <v>24.25</v>
      </c>
      <c r="D219" s="817">
        <v>540</v>
      </c>
      <c r="E219" s="833">
        <v>2742.75</v>
      </c>
      <c r="F219" s="833">
        <v>2742.75</v>
      </c>
      <c r="G219" s="832">
        <v>5.0791666666666666</v>
      </c>
      <c r="H219" s="832">
        <v>5.0791666666666666</v>
      </c>
      <c r="I219" s="831">
        <v>0</v>
      </c>
      <c r="J219" s="817">
        <v>42</v>
      </c>
      <c r="K219" s="817">
        <v>4</v>
      </c>
    </row>
    <row r="220" spans="2:11" ht="14.5" customHeight="true">
      <c r="B220" s="830" t="s">
        <v>1068</v>
      </c>
      <c r="C220" s="817">
        <v>27</v>
      </c>
      <c r="D220" s="817">
        <v>540</v>
      </c>
      <c r="E220" s="833">
        <v>2244.4</v>
      </c>
      <c r="F220" s="833">
        <v>2244.4</v>
      </c>
      <c r="G220" s="832">
        <v>4.156296296296297</v>
      </c>
      <c r="H220" s="832">
        <v>4.156296296296297</v>
      </c>
      <c r="I220" s="831">
        <v>0</v>
      </c>
      <c r="J220" s="817">
        <v>10.4</v>
      </c>
      <c r="K220" s="817">
        <v>5</v>
      </c>
    </row>
    <row r="221" spans="2:11" ht="14.5" customHeight="true">
      <c r="B221" s="820" t="s">
        <v>269</v>
      </c>
      <c r="C221" s="817">
        <v>23.662576687116566</v>
      </c>
      <c r="D221" s="817">
        <v>776.90963855421683</v>
      </c>
      <c r="E221" s="833">
        <v>2777.9698795180725</v>
      </c>
      <c r="F221" s="833">
        <v>2727.9036144578313</v>
      </c>
      <c r="G221" s="832">
        <v>3.5967929170620967</v>
      </c>
      <c r="H221" s="832">
        <v>3.534640253655406</v>
      </c>
      <c r="I221" s="831">
        <v>1.8022609038844783E-2</v>
      </c>
      <c r="J221" s="817">
        <v>60.93333333333333</v>
      </c>
      <c r="K221" s="817">
        <v>166</v>
      </c>
    </row>
    <row r="222" spans="2:11" ht="14.5" customHeight="true">
      <c r="B222" s="830" t="s">
        <v>481</v>
      </c>
      <c r="C222" s="817">
        <v>23.333333333333332</v>
      </c>
      <c r="D222" s="817">
        <v>645</v>
      </c>
      <c r="E222" s="833">
        <v>2614</v>
      </c>
      <c r="F222" s="833">
        <v>2550.3333333333335</v>
      </c>
      <c r="G222" s="832">
        <v>4.0527131782945736</v>
      </c>
      <c r="H222" s="832">
        <v>3.9540051679586554</v>
      </c>
      <c r="I222" s="831">
        <v>2.4356031624585564E-2</v>
      </c>
      <c r="J222" s="817">
        <v>16</v>
      </c>
      <c r="K222" s="817">
        <v>9</v>
      </c>
    </row>
    <row r="223" spans="2:11" ht="14.5" customHeight="true">
      <c r="B223" s="830" t="s">
        <v>379</v>
      </c>
      <c r="C223" s="817">
        <v>16</v>
      </c>
      <c r="D223" s="817">
        <v>728</v>
      </c>
      <c r="E223" s="833">
        <v>2625.7692307692309</v>
      </c>
      <c r="F223" s="833">
        <v>2625.7692307692309</v>
      </c>
      <c r="G223" s="832">
        <v>3.6109622432965827</v>
      </c>
      <c r="H223" s="832">
        <v>3.6109622432965827</v>
      </c>
      <c r="I223" s="831">
        <v>0</v>
      </c>
      <c r="J223" s="817">
        <v>51.07692307692308</v>
      </c>
      <c r="K223" s="817">
        <v>13</v>
      </c>
    </row>
    <row r="224" spans="2:11" ht="14.5" customHeight="true">
      <c r="B224" s="830" t="s">
        <v>380</v>
      </c>
      <c r="C224" s="817">
        <v>24.272727272727273</v>
      </c>
      <c r="D224" s="817">
        <v>721.36363636363637</v>
      </c>
      <c r="E224" s="833">
        <v>2571.3636363636365</v>
      </c>
      <c r="F224" s="833">
        <v>2437.090909090909</v>
      </c>
      <c r="G224" s="832">
        <v>3.5624361805982754</v>
      </c>
      <c r="H224" s="832">
        <v>3.375165989143984</v>
      </c>
      <c r="I224" s="831">
        <v>5.221849036591833E-2</v>
      </c>
      <c r="J224" s="817">
        <v>59.444444444444443</v>
      </c>
      <c r="K224" s="817">
        <v>11</v>
      </c>
    </row>
    <row r="225" spans="2:11" ht="14.5" customHeight="true">
      <c r="B225" s="830" t="s">
        <v>381</v>
      </c>
      <c r="C225" s="817">
        <v>23.684210526315791</v>
      </c>
      <c r="D225" s="817">
        <v>811.73684210526312</v>
      </c>
      <c r="E225" s="833">
        <v>2760.8421052631579</v>
      </c>
      <c r="F225" s="833">
        <v>2721.8421052631579</v>
      </c>
      <c r="G225" s="832">
        <v>3.4117656688376119</v>
      </c>
      <c r="H225" s="832">
        <v>3.3582677264507805</v>
      </c>
      <c r="I225" s="831">
        <v>1.4126124752173249E-2</v>
      </c>
      <c r="J225" s="817">
        <v>75.764705882352942</v>
      </c>
      <c r="K225" s="817">
        <v>19</v>
      </c>
    </row>
    <row r="226" spans="2:11" ht="14.5" customHeight="true">
      <c r="B226" s="830" t="s">
        <v>382</v>
      </c>
      <c r="C226" s="817">
        <v>24.866666666666667</v>
      </c>
      <c r="D226" s="817">
        <v>863.6</v>
      </c>
      <c r="E226" s="833">
        <v>2798.4</v>
      </c>
      <c r="F226" s="833">
        <v>2720.8</v>
      </c>
      <c r="G226" s="832">
        <v>3.2389522841009444</v>
      </c>
      <c r="H226" s="832">
        <v>3.148719725961409</v>
      </c>
      <c r="I226" s="831">
        <v>2.773013150371641E-2</v>
      </c>
      <c r="J226" s="817">
        <v>77.142857142857139</v>
      </c>
      <c r="K226" s="817">
        <v>15</v>
      </c>
    </row>
    <row r="227" spans="2:11" ht="14.5" customHeight="true">
      <c r="B227" s="830" t="s">
        <v>383</v>
      </c>
      <c r="C227" s="817">
        <v>29.2</v>
      </c>
      <c r="D227" s="817">
        <v>875</v>
      </c>
      <c r="E227" s="833">
        <v>3075.9</v>
      </c>
      <c r="F227" s="833">
        <v>3008.25</v>
      </c>
      <c r="G227" s="832">
        <v>3.5141684700288409</v>
      </c>
      <c r="H227" s="832">
        <v>3.4363203687630182</v>
      </c>
      <c r="I227" s="831">
        <v>2.1993562859650834E-2</v>
      </c>
      <c r="J227" s="817">
        <v>57.94736842105263</v>
      </c>
      <c r="K227" s="817">
        <v>20</v>
      </c>
    </row>
    <row r="228" spans="2:11" ht="14.5" customHeight="true">
      <c r="B228" s="830" t="s">
        <v>378</v>
      </c>
      <c r="C228" s="817">
        <v>23.608695652173914</v>
      </c>
      <c r="D228" s="817">
        <v>645</v>
      </c>
      <c r="E228" s="833">
        <v>2434.3478260869565</v>
      </c>
      <c r="F228" s="833">
        <v>2434.3478260869565</v>
      </c>
      <c r="G228" s="832">
        <v>3.7741826761038082</v>
      </c>
      <c r="H228" s="832">
        <v>3.7741826761038082</v>
      </c>
      <c r="I228" s="831">
        <v>0</v>
      </c>
      <c r="J228" s="817">
        <v>63.695652173913047</v>
      </c>
      <c r="K228" s="817">
        <v>23</v>
      </c>
    </row>
    <row r="229" spans="2:11" ht="14.5" customHeight="true">
      <c r="B229" s="830" t="s">
        <v>651</v>
      </c>
      <c r="C229" s="817"/>
      <c r="D229" s="817">
        <v>818.66666666666663</v>
      </c>
      <c r="E229" s="833">
        <v>2858.6666666666665</v>
      </c>
      <c r="F229" s="833">
        <v>2825.3333333333335</v>
      </c>
      <c r="G229" s="832">
        <v>3.5140263893782717</v>
      </c>
      <c r="H229" s="832">
        <v>3.4675363847292715</v>
      </c>
      <c r="I229" s="831">
        <v>1.1660447761194031E-2</v>
      </c>
      <c r="J229" s="817">
        <v>47</v>
      </c>
      <c r="K229" s="817">
        <v>3</v>
      </c>
    </row>
    <row r="230" spans="2:11" ht="14.5" customHeight="true">
      <c r="B230" s="830" t="s">
        <v>1069</v>
      </c>
      <c r="C230" s="817">
        <v>18.2</v>
      </c>
      <c r="D230" s="817">
        <v>645</v>
      </c>
      <c r="E230" s="833">
        <v>2246.6</v>
      </c>
      <c r="F230" s="833">
        <v>2246.6</v>
      </c>
      <c r="G230" s="832">
        <v>3.4831007751937988</v>
      </c>
      <c r="H230" s="832">
        <v>3.4831007751937988</v>
      </c>
      <c r="I230" s="831">
        <v>0</v>
      </c>
      <c r="J230" s="817">
        <v>79.8</v>
      </c>
      <c r="K230" s="817">
        <v>5</v>
      </c>
    </row>
    <row r="231" spans="2:11" ht="14.5" customHeight="true">
      <c r="B231" s="830" t="s">
        <v>1070</v>
      </c>
      <c r="C231" s="817">
        <v>20.833333333333332</v>
      </c>
      <c r="D231" s="817">
        <v>645</v>
      </c>
      <c r="E231" s="833">
        <v>2731.1666666666665</v>
      </c>
      <c r="F231" s="833">
        <v>2731.1666666666665</v>
      </c>
      <c r="G231" s="832">
        <v>4.2343669250645997</v>
      </c>
      <c r="H231" s="832">
        <v>4.2343669250645997</v>
      </c>
      <c r="I231" s="831">
        <v>0</v>
      </c>
      <c r="J231" s="817">
        <v>17.166666666666668</v>
      </c>
      <c r="K231" s="817">
        <v>6</v>
      </c>
    </row>
    <row r="232" spans="2:11" ht="14.5" customHeight="true">
      <c r="B232" s="830" t="s">
        <v>1071</v>
      </c>
      <c r="C232" s="817">
        <v>23</v>
      </c>
      <c r="D232" s="817">
        <v>723</v>
      </c>
      <c r="E232" s="833">
        <v>2723.75</v>
      </c>
      <c r="F232" s="833">
        <v>2723.75</v>
      </c>
      <c r="G232" s="832">
        <v>3.7641364051173438</v>
      </c>
      <c r="H232" s="832">
        <v>3.7641364051173438</v>
      </c>
      <c r="I232" s="831">
        <v>0</v>
      </c>
      <c r="J232" s="817">
        <v>69</v>
      </c>
      <c r="K232" s="817">
        <v>4</v>
      </c>
    </row>
    <row r="233" spans="2:11" ht="14.5" customHeight="true">
      <c r="B233" s="830" t="s">
        <v>1072</v>
      </c>
      <c r="C233" s="817">
        <v>29</v>
      </c>
      <c r="D233" s="817">
        <v>726</v>
      </c>
      <c r="E233" s="833">
        <v>2809.5</v>
      </c>
      <c r="F233" s="833">
        <v>2809.5</v>
      </c>
      <c r="G233" s="832">
        <v>3.8674833984767352</v>
      </c>
      <c r="H233" s="832">
        <v>3.8674833984767352</v>
      </c>
      <c r="I233" s="831">
        <v>0</v>
      </c>
      <c r="J233" s="817">
        <v>58.5</v>
      </c>
      <c r="K233" s="817">
        <v>4</v>
      </c>
    </row>
    <row r="234" spans="2:11" ht="14.5" customHeight="true">
      <c r="B234" s="830" t="s">
        <v>1073</v>
      </c>
      <c r="C234" s="817">
        <v>17.571428571428573</v>
      </c>
      <c r="D234" s="817">
        <v>861.28571428571433</v>
      </c>
      <c r="E234" s="833">
        <v>2647.2857142857142</v>
      </c>
      <c r="F234" s="833">
        <v>2647.2857142857142</v>
      </c>
      <c r="G234" s="832">
        <v>3.0725791282606125</v>
      </c>
      <c r="H234" s="832">
        <v>3.0725791282606125</v>
      </c>
      <c r="I234" s="831">
        <v>0</v>
      </c>
      <c r="J234" s="817">
        <v>77.714285714285708</v>
      </c>
      <c r="K234" s="817">
        <v>7</v>
      </c>
    </row>
    <row r="235" spans="2:11" ht="14.5" customHeight="true">
      <c r="B235" s="830" t="s">
        <v>1074</v>
      </c>
      <c r="C235" s="817">
        <v>25.25</v>
      </c>
      <c r="D235" s="817">
        <v>864.5</v>
      </c>
      <c r="E235" s="833">
        <v>3613.25</v>
      </c>
      <c r="F235" s="833">
        <v>3613.25</v>
      </c>
      <c r="G235" s="832">
        <v>4.1801559531137098</v>
      </c>
      <c r="H235" s="832">
        <v>4.1801559531137098</v>
      </c>
      <c r="I235" s="831">
        <v>0</v>
      </c>
      <c r="J235" s="817">
        <v>28.25</v>
      </c>
      <c r="K235" s="817">
        <v>4</v>
      </c>
    </row>
    <row r="236" spans="2:11" ht="14.5" customHeight="true">
      <c r="B236" s="830" t="s">
        <v>1075</v>
      </c>
      <c r="C236" s="817">
        <v>20.714285714285715</v>
      </c>
      <c r="D236" s="817">
        <v>879</v>
      </c>
      <c r="E236" s="833">
        <v>3354.7142857142858</v>
      </c>
      <c r="F236" s="833">
        <v>3354.7142857142858</v>
      </c>
      <c r="G236" s="832">
        <v>3.8165122704371846</v>
      </c>
      <c r="H236" s="832">
        <v>3.8165122704371846</v>
      </c>
      <c r="I236" s="831">
        <v>0</v>
      </c>
      <c r="J236" s="817">
        <v>45.571428571428569</v>
      </c>
      <c r="K236" s="817">
        <v>7</v>
      </c>
    </row>
    <row r="237" spans="2:11" ht="14.5" customHeight="true">
      <c r="B237" s="830" t="s">
        <v>1077</v>
      </c>
      <c r="C237" s="817">
        <v>30.5</v>
      </c>
      <c r="D237" s="817">
        <v>879</v>
      </c>
      <c r="E237" s="833">
        <v>3213.75</v>
      </c>
      <c r="F237" s="833">
        <v>3213.75</v>
      </c>
      <c r="G237" s="832">
        <v>3.6561433447098977</v>
      </c>
      <c r="H237" s="832">
        <v>3.6561433447098977</v>
      </c>
      <c r="I237" s="831">
        <v>0</v>
      </c>
      <c r="J237" s="817">
        <v>34.75</v>
      </c>
      <c r="K237" s="817">
        <v>4</v>
      </c>
    </row>
    <row r="238" spans="2:11" ht="14.5" customHeight="true">
      <c r="B238" s="830" t="s">
        <v>1076</v>
      </c>
      <c r="C238" s="817">
        <v>25.583333333333332</v>
      </c>
      <c r="D238" s="817">
        <v>879</v>
      </c>
      <c r="E238" s="833">
        <v>2967.1666666666665</v>
      </c>
      <c r="F238" s="833">
        <v>2725.25</v>
      </c>
      <c r="G238" s="832">
        <v>3.3756162305650359</v>
      </c>
      <c r="H238" s="832">
        <v>3.1003981797497158</v>
      </c>
      <c r="I238" s="831">
        <v>8.1531202606302311E-2</v>
      </c>
      <c r="J238" s="817">
        <v>72.818181818181813</v>
      </c>
      <c r="K238" s="817">
        <v>12</v>
      </c>
    </row>
    <row r="239" spans="2:11" ht="14.5" customHeight="true">
      <c r="B239" s="820" t="s">
        <v>270</v>
      </c>
      <c r="C239" s="817">
        <v>24.806451612903224</v>
      </c>
      <c r="D239" s="817">
        <v>1107</v>
      </c>
      <c r="E239" s="833">
        <v>4005.1290322580644</v>
      </c>
      <c r="F239" s="833">
        <v>3887.1290322580644</v>
      </c>
      <c r="G239" s="832">
        <v>3.6180027391671774</v>
      </c>
      <c r="H239" s="832">
        <v>3.5114083398898503</v>
      </c>
      <c r="I239" s="831">
        <v>2.9462221828461893E-2</v>
      </c>
      <c r="J239" s="817">
        <v>138.06896551724137</v>
      </c>
      <c r="K239" s="817">
        <v>31</v>
      </c>
    </row>
    <row r="240" spans="2:11" ht="14.5" customHeight="true">
      <c r="B240" s="830" t="s">
        <v>384</v>
      </c>
      <c r="C240" s="817">
        <v>25.4</v>
      </c>
      <c r="D240" s="817">
        <v>1107</v>
      </c>
      <c r="E240" s="833">
        <v>3812.32</v>
      </c>
      <c r="F240" s="833">
        <v>3666</v>
      </c>
      <c r="G240" s="832">
        <v>3.4438301716350499</v>
      </c>
      <c r="H240" s="832">
        <v>3.3116531165311649</v>
      </c>
      <c r="I240" s="831">
        <v>3.8380828471901628E-2</v>
      </c>
      <c r="J240" s="817">
        <v>155.30434782608697</v>
      </c>
      <c r="K240" s="817">
        <v>25</v>
      </c>
    </row>
    <row r="241" spans="2:11" ht="14.5" customHeight="true">
      <c r="B241" s="830" t="s">
        <v>1078</v>
      </c>
      <c r="C241" s="817">
        <v>15.666666666666666</v>
      </c>
      <c r="D241" s="817">
        <v>1107</v>
      </c>
      <c r="E241" s="833">
        <v>4168.333333333333</v>
      </c>
      <c r="F241" s="833">
        <v>4168.333333333333</v>
      </c>
      <c r="G241" s="832">
        <v>3.7654320987654319</v>
      </c>
      <c r="H241" s="832">
        <v>3.7654320987654319</v>
      </c>
      <c r="I241" s="831">
        <v>0</v>
      </c>
      <c r="J241" s="817">
        <v>99.666666666666671</v>
      </c>
      <c r="K241" s="817">
        <v>3</v>
      </c>
    </row>
    <row r="242" spans="2:11" ht="14.5" customHeight="true">
      <c r="B242" s="830" t="s">
        <v>1079</v>
      </c>
      <c r="C242" s="817">
        <v>29</v>
      </c>
      <c r="D242" s="817">
        <v>1107</v>
      </c>
      <c r="E242" s="833">
        <v>5448.666666666667</v>
      </c>
      <c r="F242" s="833">
        <v>5448.666666666667</v>
      </c>
      <c r="G242" s="832">
        <v>4.9220114423366459</v>
      </c>
      <c r="H242" s="832">
        <v>4.9220114423366459</v>
      </c>
      <c r="I242" s="831">
        <v>0</v>
      </c>
      <c r="J242" s="817">
        <v>44.333333333333336</v>
      </c>
      <c r="K242" s="817">
        <v>3</v>
      </c>
    </row>
    <row r="243" spans="2:11" ht="14.5" customHeight="true">
      <c r="B243" s="816" t="s">
        <v>1182</v>
      </c>
      <c r="C243" s="817">
        <v>35.031690140845072</v>
      </c>
      <c r="D243" s="817">
        <v>830.83793103448272</v>
      </c>
      <c r="E243" s="833">
        <v>3294.5035211267605</v>
      </c>
      <c r="F243" s="833">
        <v>3137.2605633802818</v>
      </c>
      <c r="G243" s="832">
        <v>4.0417362214263619</v>
      </c>
      <c r="H243" s="832">
        <v>3.8515980450894753</v>
      </c>
      <c r="I243" s="831">
        <v>4.7728878338760994E-2</v>
      </c>
      <c r="J243" s="817">
        <v>66.937743190661479</v>
      </c>
      <c r="K243" s="817">
        <v>284</v>
      </c>
    </row>
    <row r="244" spans="2:11" ht="14.5" customHeight="true">
      <c r="B244" s="820" t="s">
        <v>13</v>
      </c>
      <c r="C244" s="817">
        <v>25.611764705882354</v>
      </c>
      <c r="D244" s="817">
        <v>572.6704545454545</v>
      </c>
      <c r="E244" s="833">
        <v>2404.3647058823531</v>
      </c>
      <c r="F244" s="833">
        <v>2301.4941176470588</v>
      </c>
      <c r="G244" s="832">
        <v>4.2329523548006982</v>
      </c>
      <c r="H244" s="832">
        <v>4.0506173958378469</v>
      </c>
      <c r="I244" s="831">
        <v>4.2784935240322744E-2</v>
      </c>
      <c r="J244" s="817">
        <v>56.870129870129873</v>
      </c>
      <c r="K244" s="817">
        <v>85</v>
      </c>
    </row>
    <row r="245" spans="2:11" ht="14.5" customHeight="true">
      <c r="B245" s="830" t="s">
        <v>554</v>
      </c>
      <c r="C245" s="817">
        <v>45.5625</v>
      </c>
      <c r="D245" s="817">
        <v>556.76470588235293</v>
      </c>
      <c r="E245" s="833">
        <v>2608.8125</v>
      </c>
      <c r="F245" s="833">
        <v>2492.4375</v>
      </c>
      <c r="G245" s="832">
        <v>4.7489622815186037</v>
      </c>
      <c r="H245" s="832">
        <v>4.5404117013696315</v>
      </c>
      <c r="I245" s="831">
        <v>4.4608418581251051E-2</v>
      </c>
      <c r="J245" s="817">
        <v>48.5625</v>
      </c>
      <c r="K245" s="817">
        <v>16</v>
      </c>
    </row>
    <row r="246" spans="2:11" ht="14.5" customHeight="true">
      <c r="B246" s="830" t="s">
        <v>13</v>
      </c>
      <c r="C246" s="817">
        <v>21</v>
      </c>
      <c r="D246" s="817">
        <v>548.5625</v>
      </c>
      <c r="E246" s="833">
        <v>2267.2258064516127</v>
      </c>
      <c r="F246" s="833">
        <v>2158.1935483870966</v>
      </c>
      <c r="G246" s="832">
        <v>4.1413014936397756</v>
      </c>
      <c r="H246" s="832">
        <v>3.9424958822091485</v>
      </c>
      <c r="I246" s="831">
        <v>4.8090603835865914E-2</v>
      </c>
      <c r="J246" s="817">
        <v>71.925925925925924</v>
      </c>
      <c r="K246" s="817">
        <v>31</v>
      </c>
    </row>
    <row r="247" spans="2:11" ht="14.5" customHeight="true">
      <c r="B247" s="830" t="s">
        <v>555</v>
      </c>
      <c r="C247" s="817">
        <v>20.973684210526315</v>
      </c>
      <c r="D247" s="817">
        <v>599.38461538461536</v>
      </c>
      <c r="E247" s="833">
        <v>2430.1578947368421</v>
      </c>
      <c r="F247" s="833">
        <v>2338</v>
      </c>
      <c r="G247" s="832">
        <v>4.0904528250244381</v>
      </c>
      <c r="H247" s="832">
        <v>3.9325926072583965</v>
      </c>
      <c r="I247" s="831">
        <v>3.7922595456219003E-2</v>
      </c>
      <c r="J247" s="817">
        <v>48.823529411764703</v>
      </c>
      <c r="K247" s="817">
        <v>38</v>
      </c>
    </row>
    <row r="248" spans="2:11" ht="14.5" customHeight="true">
      <c r="B248" s="820" t="s">
        <v>269</v>
      </c>
      <c r="C248" s="817">
        <v>38.123076923076923</v>
      </c>
      <c r="D248" s="817">
        <v>757.73282442748086</v>
      </c>
      <c r="E248" s="833">
        <v>3051.5384615384614</v>
      </c>
      <c r="F248" s="833">
        <v>2894.4615384615386</v>
      </c>
      <c r="G248" s="832">
        <v>4.0507868962374021</v>
      </c>
      <c r="H248" s="832">
        <v>3.8434058982909107</v>
      </c>
      <c r="I248" s="831">
        <v>5.1474665994454251E-2</v>
      </c>
      <c r="J248" s="817">
        <v>74.09401709401709</v>
      </c>
      <c r="K248" s="817">
        <v>130</v>
      </c>
    </row>
    <row r="249" spans="2:11" ht="14.5" customHeight="true">
      <c r="B249" s="830" t="s">
        <v>556</v>
      </c>
      <c r="C249" s="817">
        <v>38.038759689922479</v>
      </c>
      <c r="D249" s="817">
        <v>758.03076923076924</v>
      </c>
      <c r="E249" s="833">
        <v>3054.1240310077519</v>
      </c>
      <c r="F249" s="833">
        <v>2897.5813953488373</v>
      </c>
      <c r="G249" s="832">
        <v>4.0528840787841638</v>
      </c>
      <c r="H249" s="832">
        <v>3.8463321076134105</v>
      </c>
      <c r="I249" s="831">
        <v>5.1256148758065091E-2</v>
      </c>
      <c r="J249" s="817">
        <v>73.689655172413794</v>
      </c>
      <c r="K249" s="817">
        <v>129</v>
      </c>
    </row>
    <row r="250" spans="2:11" ht="14.5" customHeight="true">
      <c r="B250" s="830" t="s">
        <v>557</v>
      </c>
      <c r="C250" s="817">
        <v>49</v>
      </c>
      <c r="D250" s="817">
        <v>719</v>
      </c>
      <c r="E250" s="833">
        <v>2718</v>
      </c>
      <c r="F250" s="833">
        <v>2492</v>
      </c>
      <c r="G250" s="832">
        <v>3.7802503477051461</v>
      </c>
      <c r="H250" s="832">
        <v>3.4659248956884561</v>
      </c>
      <c r="I250" s="831">
        <v>8.3149374540103016E-2</v>
      </c>
      <c r="J250" s="817">
        <v>121</v>
      </c>
      <c r="K250" s="817">
        <v>1</v>
      </c>
    </row>
    <row r="251" spans="2:11" ht="14.5" customHeight="true">
      <c r="B251" s="820" t="s">
        <v>270</v>
      </c>
      <c r="C251" s="817">
        <v>41.945454545454545</v>
      </c>
      <c r="D251" s="817">
        <v>1159.2321428571429</v>
      </c>
      <c r="E251" s="833">
        <v>4453.9272727272728</v>
      </c>
      <c r="F251" s="833">
        <v>4275</v>
      </c>
      <c r="G251" s="832">
        <v>3.8480527224575534</v>
      </c>
      <c r="H251" s="832">
        <v>3.6980798648239399</v>
      </c>
      <c r="I251" s="831">
        <v>4.0172921956516415E-2</v>
      </c>
      <c r="J251" s="817">
        <v>56.897959183673471</v>
      </c>
      <c r="K251" s="817">
        <v>55</v>
      </c>
    </row>
    <row r="252" spans="2:11" ht="14.5" customHeight="true">
      <c r="B252" s="830" t="s">
        <v>558</v>
      </c>
      <c r="C252" s="817">
        <v>41.945454545454545</v>
      </c>
      <c r="D252" s="817">
        <v>1159.2321428571429</v>
      </c>
      <c r="E252" s="833">
        <v>4453.9272727272728</v>
      </c>
      <c r="F252" s="833">
        <v>4275</v>
      </c>
      <c r="G252" s="832">
        <v>3.8480527224575534</v>
      </c>
      <c r="H252" s="832">
        <v>3.6980798648239399</v>
      </c>
      <c r="I252" s="831">
        <v>4.0172921956516415E-2</v>
      </c>
      <c r="J252" s="817">
        <v>56.897959183673471</v>
      </c>
      <c r="K252" s="817">
        <v>55</v>
      </c>
    </row>
    <row r="253" spans="2:11" ht="14.5" customHeight="true">
      <c r="B253" s="820" t="s">
        <v>271</v>
      </c>
      <c r="C253" s="817">
        <v>36.357142857142854</v>
      </c>
      <c r="D253" s="817">
        <v>1757.8666666666666</v>
      </c>
      <c r="E253" s="833">
        <v>6400.1428571428569</v>
      </c>
      <c r="F253" s="833">
        <v>5996.4285714285716</v>
      </c>
      <c r="G253" s="832">
        <v>3.5576386057856988</v>
      </c>
      <c r="H253" s="832">
        <v>3.3224433440041623</v>
      </c>
      <c r="I253" s="831">
        <v>6.3078949130599762E-2</v>
      </c>
      <c r="J253" s="817">
        <v>97.642857142857139</v>
      </c>
      <c r="K253" s="817">
        <v>14</v>
      </c>
    </row>
    <row r="254" spans="2:11" ht="14.5" customHeight="true">
      <c r="B254" s="830" t="s">
        <v>559</v>
      </c>
      <c r="C254" s="817">
        <v>32.25</v>
      </c>
      <c r="D254" s="817">
        <v>1675.0769230769231</v>
      </c>
      <c r="E254" s="833">
        <v>5592.333333333333</v>
      </c>
      <c r="F254" s="833">
        <v>5164.666666666667</v>
      </c>
      <c r="G254" s="832">
        <v>3.3354436367563043</v>
      </c>
      <c r="H254" s="832">
        <v>3.079607337411606</v>
      </c>
      <c r="I254" s="831">
        <v>7.6473743815938494E-2</v>
      </c>
      <c r="J254" s="817">
        <v>111.33333333333333</v>
      </c>
      <c r="K254" s="817">
        <v>12</v>
      </c>
    </row>
    <row r="255" spans="2:11" ht="14.5" customHeight="true">
      <c r="B255" s="830" t="s">
        <v>1183</v>
      </c>
      <c r="C255" s="817">
        <v>61</v>
      </c>
      <c r="D255" s="817">
        <v>2296</v>
      </c>
      <c r="E255" s="833">
        <v>11247</v>
      </c>
      <c r="F255" s="833">
        <v>10987</v>
      </c>
      <c r="G255" s="832">
        <v>4.8908084199620694</v>
      </c>
      <c r="H255" s="832">
        <v>4.7794593835594998</v>
      </c>
      <c r="I255" s="831">
        <v>2.3117275717969236E-2</v>
      </c>
      <c r="J255" s="817">
        <v>15.5</v>
      </c>
      <c r="K255" s="817">
        <v>2</v>
      </c>
    </row>
    <row r="256" spans="2:11" ht="14.5" customHeight="true">
      <c r="B256" s="816" t="s">
        <v>1109</v>
      </c>
      <c r="C256" s="817">
        <v>29.029411764705884</v>
      </c>
      <c r="D256" s="817">
        <v>975.47712418300648</v>
      </c>
      <c r="E256" s="833">
        <v>3935.3790849673201</v>
      </c>
      <c r="F256" s="833">
        <v>3935.3790849673201</v>
      </c>
      <c r="G256" s="832">
        <v>4.0600766257074747</v>
      </c>
      <c r="H256" s="832">
        <v>4.0600766257074747</v>
      </c>
      <c r="I256" s="831">
        <v>0</v>
      </c>
      <c r="J256" s="817">
        <v>63.372950819672134</v>
      </c>
      <c r="K256" s="817">
        <v>306</v>
      </c>
    </row>
    <row r="257" spans="2:11" ht="14.5" customHeight="true">
      <c r="B257" s="820" t="s">
        <v>13</v>
      </c>
      <c r="C257" s="817">
        <v>23.477611940298509</v>
      </c>
      <c r="D257" s="817">
        <v>612.41791044776119</v>
      </c>
      <c r="E257" s="833">
        <v>2518.7761194029849</v>
      </c>
      <c r="F257" s="833">
        <v>2518.7761194029849</v>
      </c>
      <c r="G257" s="832">
        <v>4.1485549147821139</v>
      </c>
      <c r="H257" s="832">
        <v>4.1485549147821139</v>
      </c>
      <c r="I257" s="831">
        <v>0</v>
      </c>
      <c r="J257" s="817">
        <v>33.96551724137931</v>
      </c>
      <c r="K257" s="817">
        <v>67</v>
      </c>
    </row>
    <row r="258" spans="2:11" ht="14.5" customHeight="true">
      <c r="B258" s="830" t="s">
        <v>482</v>
      </c>
      <c r="C258" s="817">
        <v>22.523809523809526</v>
      </c>
      <c r="D258" s="817">
        <v>571</v>
      </c>
      <c r="E258" s="833">
        <v>2471.2380952380954</v>
      </c>
      <c r="F258" s="833">
        <v>2471.2380952380954</v>
      </c>
      <c r="G258" s="832">
        <v>4.3279126011175055</v>
      </c>
      <c r="H258" s="832">
        <v>4.3279126011175055</v>
      </c>
      <c r="I258" s="831">
        <v>0</v>
      </c>
      <c r="J258" s="817">
        <v>33</v>
      </c>
      <c r="K258" s="817">
        <v>21</v>
      </c>
    </row>
    <row r="259" spans="2:11" ht="14.5" customHeight="true">
      <c r="B259" s="830" t="s">
        <v>483</v>
      </c>
      <c r="C259" s="817">
        <v>25</v>
      </c>
      <c r="D259" s="817">
        <v>571</v>
      </c>
      <c r="E259" s="833">
        <v>2478.5</v>
      </c>
      <c r="F259" s="833">
        <v>2478.5</v>
      </c>
      <c r="G259" s="832">
        <v>4.3406304728546408</v>
      </c>
      <c r="H259" s="832">
        <v>4.3406304728546408</v>
      </c>
      <c r="I259" s="831">
        <v>0</v>
      </c>
      <c r="J259" s="817">
        <v>60.714285714285715</v>
      </c>
      <c r="K259" s="817">
        <v>16</v>
      </c>
    </row>
    <row r="260" spans="2:11" ht="14.5" customHeight="true">
      <c r="B260" s="830" t="s">
        <v>485</v>
      </c>
      <c r="C260" s="817">
        <v>22.2</v>
      </c>
      <c r="D260" s="817">
        <v>730</v>
      </c>
      <c r="E260" s="833">
        <v>2557.2666666666669</v>
      </c>
      <c r="F260" s="833">
        <v>2557.2666666666669</v>
      </c>
      <c r="G260" s="832">
        <v>3.5031050228310505</v>
      </c>
      <c r="H260" s="832">
        <v>3.5031050228310505</v>
      </c>
      <c r="I260" s="831">
        <v>0</v>
      </c>
      <c r="J260" s="817">
        <v>18.066666666666666</v>
      </c>
      <c r="K260" s="817">
        <v>15</v>
      </c>
    </row>
    <row r="261" spans="2:11" ht="14.5" customHeight="true">
      <c r="B261" s="830" t="s">
        <v>484</v>
      </c>
      <c r="C261" s="817">
        <v>24.466666666666665</v>
      </c>
      <c r="D261" s="817">
        <v>597</v>
      </c>
      <c r="E261" s="833">
        <v>2589.8000000000002</v>
      </c>
      <c r="F261" s="833">
        <v>2589.8000000000002</v>
      </c>
      <c r="G261" s="832">
        <v>4.3380234505862649</v>
      </c>
      <c r="H261" s="832">
        <v>4.3380234505862649</v>
      </c>
      <c r="I261" s="831">
        <v>0</v>
      </c>
      <c r="J261" s="817">
        <v>24</v>
      </c>
      <c r="K261" s="817">
        <v>15</v>
      </c>
    </row>
    <row r="262" spans="2:11" ht="14.5" customHeight="true">
      <c r="B262" s="820" t="s">
        <v>269</v>
      </c>
      <c r="C262" s="817">
        <v>28.827868852459016</v>
      </c>
      <c r="D262" s="817">
        <v>809.62295081967216</v>
      </c>
      <c r="E262" s="833">
        <v>3331.6639344262294</v>
      </c>
      <c r="F262" s="833">
        <v>3331.6639344262294</v>
      </c>
      <c r="G262" s="832">
        <v>4.1203491483894013</v>
      </c>
      <c r="H262" s="832">
        <v>4.1203491483894013</v>
      </c>
      <c r="I262" s="831">
        <v>0</v>
      </c>
      <c r="J262" s="817">
        <v>58.494949494949495</v>
      </c>
      <c r="K262" s="817">
        <v>122</v>
      </c>
    </row>
    <row r="263" spans="2:11" ht="14.5" customHeight="true">
      <c r="B263" s="830" t="s">
        <v>492</v>
      </c>
      <c r="C263" s="817">
        <v>42.545454545454547</v>
      </c>
      <c r="D263" s="817">
        <v>923</v>
      </c>
      <c r="E263" s="833">
        <v>3887.3636363636365</v>
      </c>
      <c r="F263" s="833">
        <v>3887.3636363636365</v>
      </c>
      <c r="G263" s="832">
        <v>4.2116615778587612</v>
      </c>
      <c r="H263" s="832">
        <v>4.2116615778587612</v>
      </c>
      <c r="I263" s="831">
        <v>0</v>
      </c>
      <c r="J263" s="817">
        <v>73.3</v>
      </c>
      <c r="K263" s="817">
        <v>11</v>
      </c>
    </row>
    <row r="264" spans="2:11" ht="14.5" customHeight="true">
      <c r="B264" s="830" t="s">
        <v>489</v>
      </c>
      <c r="C264" s="817">
        <v>43.888888888888886</v>
      </c>
      <c r="D264" s="817">
        <v>747</v>
      </c>
      <c r="E264" s="833">
        <v>3602.1111111111113</v>
      </c>
      <c r="F264" s="833">
        <v>3602.1111111111113</v>
      </c>
      <c r="G264" s="832">
        <v>4.8221032277257168</v>
      </c>
      <c r="H264" s="832">
        <v>4.8221032277257168</v>
      </c>
      <c r="I264" s="831">
        <v>0</v>
      </c>
      <c r="J264" s="817">
        <v>86.166666666666671</v>
      </c>
      <c r="K264" s="817">
        <v>9</v>
      </c>
    </row>
    <row r="265" spans="2:11" ht="14.5" customHeight="true">
      <c r="B265" s="830" t="s">
        <v>493</v>
      </c>
      <c r="C265" s="817">
        <v>42.636363636363633</v>
      </c>
      <c r="D265" s="817">
        <v>923</v>
      </c>
      <c r="E265" s="833">
        <v>3984.2727272727275</v>
      </c>
      <c r="F265" s="833">
        <v>3984.2727272727275</v>
      </c>
      <c r="G265" s="832">
        <v>4.316655175810105</v>
      </c>
      <c r="H265" s="832">
        <v>4.316655175810105</v>
      </c>
      <c r="I265" s="831">
        <v>0</v>
      </c>
      <c r="J265" s="817">
        <v>106.5</v>
      </c>
      <c r="K265" s="817">
        <v>11</v>
      </c>
    </row>
    <row r="266" spans="2:11" ht="14.5" customHeight="true">
      <c r="B266" s="830" t="s">
        <v>486</v>
      </c>
      <c r="C266" s="817">
        <v>22.136363636363637</v>
      </c>
      <c r="D266" s="817">
        <v>734</v>
      </c>
      <c r="E266" s="833">
        <v>2909.318181818182</v>
      </c>
      <c r="F266" s="833">
        <v>2909.318181818182</v>
      </c>
      <c r="G266" s="832">
        <v>3.9636487490710923</v>
      </c>
      <c r="H266" s="832">
        <v>3.9636487490710923</v>
      </c>
      <c r="I266" s="831">
        <v>0</v>
      </c>
      <c r="J266" s="817">
        <v>27</v>
      </c>
      <c r="K266" s="817">
        <v>22</v>
      </c>
    </row>
    <row r="267" spans="2:11" ht="14.5" customHeight="true">
      <c r="B267" s="830" t="s">
        <v>487</v>
      </c>
      <c r="C267" s="817">
        <v>23.666666666666668</v>
      </c>
      <c r="D267" s="817">
        <v>734</v>
      </c>
      <c r="E267" s="833">
        <v>3002.8333333333335</v>
      </c>
      <c r="F267" s="833">
        <v>3002.8333333333335</v>
      </c>
      <c r="G267" s="832">
        <v>4.0910535876475942</v>
      </c>
      <c r="H267" s="832">
        <v>4.0910535876475942</v>
      </c>
      <c r="I267" s="831">
        <v>0</v>
      </c>
      <c r="J267" s="817">
        <v>69.25</v>
      </c>
      <c r="K267" s="817">
        <v>18</v>
      </c>
    </row>
    <row r="268" spans="2:11" ht="14.5" customHeight="true">
      <c r="B268" s="830" t="s">
        <v>491</v>
      </c>
      <c r="C268" s="817">
        <v>25.105263157894736</v>
      </c>
      <c r="D268" s="817">
        <v>881</v>
      </c>
      <c r="E268" s="833">
        <v>3476.8947368421054</v>
      </c>
      <c r="F268" s="833">
        <v>3476.8947368421054</v>
      </c>
      <c r="G268" s="832">
        <v>3.9465320508990978</v>
      </c>
      <c r="H268" s="832">
        <v>3.9465320508990978</v>
      </c>
      <c r="I268" s="831">
        <v>0</v>
      </c>
      <c r="J268" s="817">
        <v>36.777777777777779</v>
      </c>
      <c r="K268" s="817">
        <v>19</v>
      </c>
    </row>
    <row r="269" spans="2:11" ht="14.5" customHeight="true">
      <c r="B269" s="830" t="s">
        <v>488</v>
      </c>
      <c r="C269" s="817">
        <v>24.578947368421051</v>
      </c>
      <c r="D269" s="817">
        <v>747</v>
      </c>
      <c r="E269" s="833">
        <v>3192.6842105263158</v>
      </c>
      <c r="F269" s="833">
        <v>3192.6842105263158</v>
      </c>
      <c r="G269" s="832">
        <v>4.2740083139575855</v>
      </c>
      <c r="H269" s="832">
        <v>4.2740083139575855</v>
      </c>
      <c r="I269" s="831">
        <v>0</v>
      </c>
      <c r="J269" s="817">
        <v>77.75</v>
      </c>
      <c r="K269" s="817">
        <v>19</v>
      </c>
    </row>
    <row r="270" spans="2:11" ht="14.5" customHeight="true">
      <c r="B270" s="830" t="s">
        <v>490</v>
      </c>
      <c r="C270" s="817">
        <v>25.23076923076923</v>
      </c>
      <c r="D270" s="817">
        <v>881</v>
      </c>
      <c r="E270" s="833">
        <v>3282.9230769230771</v>
      </c>
      <c r="F270" s="833">
        <v>3282.9230769230771</v>
      </c>
      <c r="G270" s="832">
        <v>3.7263599057015631</v>
      </c>
      <c r="H270" s="832">
        <v>3.7263599057015631</v>
      </c>
      <c r="I270" s="831">
        <v>0</v>
      </c>
      <c r="J270" s="817">
        <v>27.833333333333332</v>
      </c>
      <c r="K270" s="817">
        <v>13</v>
      </c>
    </row>
    <row r="271" spans="2:11" ht="14.5" customHeight="true">
      <c r="B271" s="820" t="s">
        <v>270</v>
      </c>
      <c r="C271" s="817">
        <v>28.388235294117646</v>
      </c>
      <c r="D271" s="817">
        <v>1265.7176470588236</v>
      </c>
      <c r="E271" s="833">
        <v>4878.0588235294117</v>
      </c>
      <c r="F271" s="833">
        <v>4878.0588235294117</v>
      </c>
      <c r="G271" s="832">
        <v>3.853412984035824</v>
      </c>
      <c r="H271" s="832">
        <v>3.853412984035824</v>
      </c>
      <c r="I271" s="831">
        <v>0</v>
      </c>
      <c r="J271" s="817">
        <v>83.328358208955223</v>
      </c>
      <c r="K271" s="817">
        <v>85</v>
      </c>
    </row>
    <row r="272" spans="2:11" ht="14.5" customHeight="true">
      <c r="B272" s="830" t="s">
        <v>496</v>
      </c>
      <c r="C272" s="817">
        <v>44</v>
      </c>
      <c r="D272" s="817">
        <v>1249</v>
      </c>
      <c r="E272" s="833">
        <v>5295.625</v>
      </c>
      <c r="F272" s="833">
        <v>5295.625</v>
      </c>
      <c r="G272" s="832">
        <v>4.2398919135308244</v>
      </c>
      <c r="H272" s="832">
        <v>4.2398919135308244</v>
      </c>
      <c r="I272" s="831">
        <v>0</v>
      </c>
      <c r="J272" s="817">
        <v>58.142857142857146</v>
      </c>
      <c r="K272" s="817">
        <v>8</v>
      </c>
    </row>
    <row r="273" spans="2:11" ht="14.5" customHeight="true">
      <c r="B273" s="830" t="s">
        <v>499</v>
      </c>
      <c r="C273" s="817">
        <v>43.333333333333336</v>
      </c>
      <c r="D273" s="817">
        <v>1318</v>
      </c>
      <c r="E273" s="833">
        <v>5412.2222222222226</v>
      </c>
      <c r="F273" s="833">
        <v>5412.2222222222226</v>
      </c>
      <c r="G273" s="832">
        <v>4.1063901534311249</v>
      </c>
      <c r="H273" s="832">
        <v>4.1063901534311249</v>
      </c>
      <c r="I273" s="831">
        <v>0</v>
      </c>
      <c r="J273" s="817">
        <v>99.833333333333329</v>
      </c>
      <c r="K273" s="817">
        <v>9</v>
      </c>
    </row>
    <row r="274" spans="2:11" ht="14.5" customHeight="true">
      <c r="B274" s="830" t="s">
        <v>495</v>
      </c>
      <c r="C274" s="817">
        <v>23.722222222222221</v>
      </c>
      <c r="D274" s="817">
        <v>1245</v>
      </c>
      <c r="E274" s="833">
        <v>4536.3888888888887</v>
      </c>
      <c r="F274" s="833">
        <v>4536.3888888888887</v>
      </c>
      <c r="G274" s="832">
        <v>3.643685854529227</v>
      </c>
      <c r="H274" s="832">
        <v>3.643685854529227</v>
      </c>
      <c r="I274" s="831">
        <v>0</v>
      </c>
      <c r="J274" s="817">
        <v>101.46666666666667</v>
      </c>
      <c r="K274" s="817">
        <v>18</v>
      </c>
    </row>
    <row r="275" spans="2:11" ht="14.5" customHeight="true">
      <c r="B275" s="830" t="s">
        <v>494</v>
      </c>
      <c r="C275" s="817">
        <v>25.066666666666666</v>
      </c>
      <c r="D275" s="817">
        <v>1230</v>
      </c>
      <c r="E275" s="833">
        <v>4635.6000000000004</v>
      </c>
      <c r="F275" s="833">
        <v>4635.6000000000004</v>
      </c>
      <c r="G275" s="832">
        <v>3.768780487804877</v>
      </c>
      <c r="H275" s="832">
        <v>3.768780487804877</v>
      </c>
      <c r="I275" s="831">
        <v>0</v>
      </c>
      <c r="J275" s="817">
        <v>130.58333333333334</v>
      </c>
      <c r="K275" s="817">
        <v>15</v>
      </c>
    </row>
    <row r="276" spans="2:11" ht="14.5" customHeight="true">
      <c r="B276" s="830" t="s">
        <v>498</v>
      </c>
      <c r="C276" s="817">
        <v>25</v>
      </c>
      <c r="D276" s="817">
        <v>1316</v>
      </c>
      <c r="E276" s="833">
        <v>4913.588235294118</v>
      </c>
      <c r="F276" s="833">
        <v>4913.588235294118</v>
      </c>
      <c r="G276" s="832">
        <v>3.7337296620775966</v>
      </c>
      <c r="H276" s="832">
        <v>3.7337296620775966</v>
      </c>
      <c r="I276" s="831">
        <v>0</v>
      </c>
      <c r="J276" s="817">
        <v>43.3125</v>
      </c>
      <c r="K276" s="817">
        <v>17</v>
      </c>
    </row>
    <row r="277" spans="2:11" ht="14.5" customHeight="true">
      <c r="B277" s="830" t="s">
        <v>497</v>
      </c>
      <c r="C277" s="817">
        <v>24.611111111111111</v>
      </c>
      <c r="D277" s="817">
        <v>1250</v>
      </c>
      <c r="E277" s="833">
        <v>4935.5555555555557</v>
      </c>
      <c r="F277" s="833">
        <v>4935.5555555555557</v>
      </c>
      <c r="G277" s="832">
        <v>3.9484444444444438</v>
      </c>
      <c r="H277" s="832">
        <v>3.9484444444444438</v>
      </c>
      <c r="I277" s="831">
        <v>0</v>
      </c>
      <c r="J277" s="817">
        <v>72.272727272727266</v>
      </c>
      <c r="K277" s="817">
        <v>18</v>
      </c>
    </row>
    <row r="278" spans="2:11" ht="14.5" customHeight="true">
      <c r="B278" s="820" t="s">
        <v>271</v>
      </c>
      <c r="C278" s="817">
        <v>43.125</v>
      </c>
      <c r="D278" s="817">
        <v>1597</v>
      </c>
      <c r="E278" s="833">
        <v>6699.0625</v>
      </c>
      <c r="F278" s="833">
        <v>6699.0625</v>
      </c>
      <c r="G278" s="832">
        <v>4.1939865134229555</v>
      </c>
      <c r="H278" s="832">
        <v>4.1939865134229555</v>
      </c>
      <c r="I278" s="831">
        <v>0</v>
      </c>
      <c r="J278" s="817">
        <v>105.95</v>
      </c>
      <c r="K278" s="817">
        <v>32</v>
      </c>
    </row>
    <row r="279" spans="2:11" ht="14.5" customHeight="true">
      <c r="B279" s="830" t="s">
        <v>501</v>
      </c>
      <c r="C279" s="817">
        <v>42.375</v>
      </c>
      <c r="D279" s="817">
        <v>1613</v>
      </c>
      <c r="E279" s="833">
        <v>6693</v>
      </c>
      <c r="F279" s="833">
        <v>6693</v>
      </c>
      <c r="G279" s="832">
        <v>4.1494110353378799</v>
      </c>
      <c r="H279" s="832">
        <v>4.1494110353378799</v>
      </c>
      <c r="I279" s="831">
        <v>0</v>
      </c>
      <c r="J279" s="817">
        <v>78.333333333333329</v>
      </c>
      <c r="K279" s="817">
        <v>8</v>
      </c>
    </row>
    <row r="280" spans="2:11" ht="14.5" customHeight="true">
      <c r="B280" s="830" t="s">
        <v>502</v>
      </c>
      <c r="C280" s="817">
        <v>43.2</v>
      </c>
      <c r="D280" s="817">
        <v>1626</v>
      </c>
      <c r="E280" s="833">
        <v>6941.8</v>
      </c>
      <c r="F280" s="833">
        <v>6941.8</v>
      </c>
      <c r="G280" s="832">
        <v>4.2692496924969259</v>
      </c>
      <c r="H280" s="832">
        <v>4.2692496924969259</v>
      </c>
      <c r="I280" s="831">
        <v>0</v>
      </c>
      <c r="J280" s="817">
        <v>49.5</v>
      </c>
      <c r="K280" s="817">
        <v>10</v>
      </c>
    </row>
    <row r="281" spans="2:11" ht="14.5" customHeight="true">
      <c r="B281" s="830" t="s">
        <v>503</v>
      </c>
      <c r="C281" s="817">
        <v>42.5</v>
      </c>
      <c r="D281" s="817">
        <v>1642</v>
      </c>
      <c r="E281" s="833">
        <v>6866.333333333333</v>
      </c>
      <c r="F281" s="833">
        <v>6866.333333333333</v>
      </c>
      <c r="G281" s="832">
        <v>4.1816889971579378</v>
      </c>
      <c r="H281" s="832">
        <v>4.1816889971579378</v>
      </c>
      <c r="I281" s="831">
        <v>0</v>
      </c>
      <c r="J281" s="817">
        <v>48.6</v>
      </c>
      <c r="K281" s="817">
        <v>6</v>
      </c>
    </row>
    <row r="282" spans="2:11" ht="14.5" customHeight="true">
      <c r="B282" s="830" t="s">
        <v>500</v>
      </c>
      <c r="C282" s="817">
        <v>44.25</v>
      </c>
      <c r="D282" s="817">
        <v>1511</v>
      </c>
      <c r="E282" s="833">
        <v>6276.25</v>
      </c>
      <c r="F282" s="833">
        <v>6276.25</v>
      </c>
      <c r="G282" s="832">
        <v>4.1537061548643281</v>
      </c>
      <c r="H282" s="832">
        <v>4.1537061548643281</v>
      </c>
      <c r="I282" s="831">
        <v>0</v>
      </c>
      <c r="J282" s="817">
        <v>186.71428571428572</v>
      </c>
      <c r="K282" s="817">
        <v>8</v>
      </c>
    </row>
    <row r="283" spans="2:11" ht="14.5" customHeight="true">
      <c r="B283" s="816" t="s">
        <v>1147</v>
      </c>
      <c r="C283" s="817">
        <v>22.542124542124544</v>
      </c>
      <c r="D283" s="817">
        <v>741.81403508771928</v>
      </c>
      <c r="E283" s="833">
        <v>2710.9926739926741</v>
      </c>
      <c r="F283" s="833">
        <v>2696.8278388278386</v>
      </c>
      <c r="G283" s="832">
        <v>3.7252741296502574</v>
      </c>
      <c r="H283" s="832">
        <v>3.7052743634146759</v>
      </c>
      <c r="I283" s="831">
        <v>5.2249625388967186E-3</v>
      </c>
      <c r="J283" s="817">
        <v>60.217213114754095</v>
      </c>
      <c r="K283" s="817">
        <v>273</v>
      </c>
    </row>
    <row r="284" spans="2:11" ht="14.5" customHeight="true">
      <c r="B284" s="820" t="s">
        <v>13</v>
      </c>
      <c r="C284" s="817">
        <v>23.015503875968992</v>
      </c>
      <c r="D284" s="817">
        <v>587.19548872180451</v>
      </c>
      <c r="E284" s="833">
        <v>2260.0930232558139</v>
      </c>
      <c r="F284" s="833">
        <v>2242.3720930232557</v>
      </c>
      <c r="G284" s="832">
        <v>3.8873550695373558</v>
      </c>
      <c r="H284" s="832">
        <v>3.8571279299062371</v>
      </c>
      <c r="I284" s="831">
        <v>7.8407968389858414E-3</v>
      </c>
      <c r="J284" s="817">
        <v>72.194690265486727</v>
      </c>
      <c r="K284" s="817">
        <v>129</v>
      </c>
    </row>
    <row r="285" spans="2:11" ht="14.5" customHeight="true">
      <c r="B285" s="830" t="s">
        <v>525</v>
      </c>
      <c r="C285" s="817">
        <v>21.857142857142858</v>
      </c>
      <c r="D285" s="817">
        <v>563</v>
      </c>
      <c r="E285" s="833">
        <v>2214.7142857142858</v>
      </c>
      <c r="F285" s="833">
        <v>2207.2857142857142</v>
      </c>
      <c r="G285" s="832">
        <v>3.9337731540218215</v>
      </c>
      <c r="H285" s="832">
        <v>3.9205785333671654</v>
      </c>
      <c r="I285" s="831">
        <v>3.3541895117074113E-3</v>
      </c>
      <c r="J285" s="817">
        <v>79.222222222222229</v>
      </c>
      <c r="K285" s="817">
        <v>21</v>
      </c>
    </row>
    <row r="286" spans="2:11" ht="14.5" customHeight="true">
      <c r="B286" s="830" t="s">
        <v>526</v>
      </c>
      <c r="C286" s="817">
        <v>22.666666666666668</v>
      </c>
      <c r="D286" s="817">
        <v>576</v>
      </c>
      <c r="E286" s="833">
        <v>2203.0666666666666</v>
      </c>
      <c r="F286" s="833">
        <v>2181.7333333333331</v>
      </c>
      <c r="G286" s="832">
        <v>3.8247685185185181</v>
      </c>
      <c r="H286" s="832">
        <v>3.7877314814814809</v>
      </c>
      <c r="I286" s="831">
        <v>9.6834715245415481E-3</v>
      </c>
      <c r="J286" s="817">
        <v>68.357142857142861</v>
      </c>
      <c r="K286" s="817">
        <v>15</v>
      </c>
    </row>
    <row r="287" spans="2:11" ht="14.5" customHeight="true">
      <c r="B287" s="830" t="s">
        <v>527</v>
      </c>
      <c r="C287" s="817">
        <v>25.055555555555557</v>
      </c>
      <c r="D287" s="817">
        <v>597</v>
      </c>
      <c r="E287" s="833">
        <v>2234.8888888888887</v>
      </c>
      <c r="F287" s="833">
        <v>2217.0555555555557</v>
      </c>
      <c r="G287" s="832">
        <v>3.7435324772008181</v>
      </c>
      <c r="H287" s="832">
        <v>3.7136608970779821</v>
      </c>
      <c r="I287" s="831">
        <v>7.9795167544993544E-3</v>
      </c>
      <c r="J287" s="817">
        <v>89.5625</v>
      </c>
      <c r="K287" s="817">
        <v>18</v>
      </c>
    </row>
    <row r="288" spans="2:11" ht="14.5" customHeight="true">
      <c r="B288" s="830" t="s">
        <v>528</v>
      </c>
      <c r="C288" s="817">
        <v>22.722222222222221</v>
      </c>
      <c r="D288" s="817">
        <v>717</v>
      </c>
      <c r="E288" s="833">
        <v>2567.9444444444443</v>
      </c>
      <c r="F288" s="833">
        <v>2535.7777777777778</v>
      </c>
      <c r="G288" s="832">
        <v>3.5815124748179139</v>
      </c>
      <c r="H288" s="832">
        <v>3.536649620331628</v>
      </c>
      <c r="I288" s="831">
        <v>1.2526231529757913E-2</v>
      </c>
      <c r="J288" s="817">
        <v>38.9375</v>
      </c>
      <c r="K288" s="817">
        <v>18</v>
      </c>
    </row>
    <row r="289" spans="2:11" ht="14.5" customHeight="true">
      <c r="B289" s="830" t="s">
        <v>529</v>
      </c>
      <c r="C289" s="817">
        <v>21.615384615384617</v>
      </c>
      <c r="D289" s="817">
        <v>720</v>
      </c>
      <c r="E289" s="833">
        <v>2522.5384615384614</v>
      </c>
      <c r="F289" s="833">
        <v>2508.1538461538462</v>
      </c>
      <c r="G289" s="832">
        <v>3.5035256410256412</v>
      </c>
      <c r="H289" s="832">
        <v>3.4835470085470086</v>
      </c>
      <c r="I289" s="831">
        <v>5.7024364955935722E-3</v>
      </c>
      <c r="J289" s="817">
        <v>107.36363636363636</v>
      </c>
      <c r="K289" s="817">
        <v>13</v>
      </c>
    </row>
    <row r="290" spans="2:11" ht="14.5" customHeight="true">
      <c r="B290" s="830" t="s">
        <v>530</v>
      </c>
      <c r="C290" s="817">
        <v>10</v>
      </c>
      <c r="D290" s="817">
        <v>734</v>
      </c>
      <c r="E290" s="833">
        <v>2575</v>
      </c>
      <c r="F290" s="833">
        <v>2575</v>
      </c>
      <c r="G290" s="832">
        <v>3.5081743869209809</v>
      </c>
      <c r="H290" s="832">
        <v>3.5081743869209809</v>
      </c>
      <c r="I290" s="831">
        <v>0</v>
      </c>
      <c r="J290" s="817">
        <v>36</v>
      </c>
      <c r="K290" s="817">
        <v>1</v>
      </c>
    </row>
    <row r="291" spans="2:11" ht="14.5" customHeight="true">
      <c r="B291" s="830" t="s">
        <v>531</v>
      </c>
      <c r="C291" s="817">
        <v>37.5</v>
      </c>
      <c r="D291" s="817">
        <v>758</v>
      </c>
      <c r="E291" s="833">
        <v>2944.5</v>
      </c>
      <c r="F291" s="833">
        <v>2944.5</v>
      </c>
      <c r="G291" s="832">
        <v>3.8845646437994721</v>
      </c>
      <c r="H291" s="832">
        <v>3.8845646437994721</v>
      </c>
      <c r="I291" s="831">
        <v>0</v>
      </c>
      <c r="J291" s="817"/>
      <c r="K291" s="817">
        <v>4</v>
      </c>
    </row>
    <row r="292" spans="2:11" ht="14.5" customHeight="true">
      <c r="B292" s="830" t="s">
        <v>520</v>
      </c>
      <c r="C292" s="817">
        <v>8</v>
      </c>
      <c r="D292" s="817">
        <v>433</v>
      </c>
      <c r="E292" s="833">
        <v>1800</v>
      </c>
      <c r="F292" s="833">
        <v>1800</v>
      </c>
      <c r="G292" s="832">
        <v>4.1570438799076213</v>
      </c>
      <c r="H292" s="832">
        <v>4.1570438799076213</v>
      </c>
      <c r="I292" s="831">
        <v>0</v>
      </c>
      <c r="J292" s="817">
        <v>47</v>
      </c>
      <c r="K292" s="817">
        <v>1</v>
      </c>
    </row>
    <row r="293" spans="2:11" ht="14.5" customHeight="true">
      <c r="B293" s="830" t="s">
        <v>521</v>
      </c>
      <c r="C293" s="817">
        <v>2</v>
      </c>
      <c r="D293" s="817">
        <v>440</v>
      </c>
      <c r="E293" s="833">
        <v>1742</v>
      </c>
      <c r="F293" s="833">
        <v>1608</v>
      </c>
      <c r="G293" s="832">
        <v>3.959090909090909</v>
      </c>
      <c r="H293" s="832">
        <v>3.6545454545454548</v>
      </c>
      <c r="I293" s="831">
        <v>7.6923076923076927E-2</v>
      </c>
      <c r="J293" s="817">
        <v>128</v>
      </c>
      <c r="K293" s="817">
        <v>1</v>
      </c>
    </row>
    <row r="294" spans="2:11" ht="14.5" customHeight="true">
      <c r="B294" s="830" t="s">
        <v>522</v>
      </c>
      <c r="C294" s="817">
        <v>22.45</v>
      </c>
      <c r="D294" s="817">
        <v>452</v>
      </c>
      <c r="E294" s="833">
        <v>1989.9</v>
      </c>
      <c r="F294" s="833">
        <v>1989.9</v>
      </c>
      <c r="G294" s="832">
        <v>4.4024336283185832</v>
      </c>
      <c r="H294" s="832">
        <v>4.4024336283185832</v>
      </c>
      <c r="I294" s="831">
        <v>0</v>
      </c>
      <c r="J294" s="817">
        <v>42.888888888888886</v>
      </c>
      <c r="K294" s="817">
        <v>20</v>
      </c>
    </row>
    <row r="295" spans="2:11" ht="14.5" customHeight="true">
      <c r="B295" s="830" t="s">
        <v>523</v>
      </c>
      <c r="C295" s="817">
        <v>24.117647058823529</v>
      </c>
      <c r="D295" s="817">
        <v>509</v>
      </c>
      <c r="E295" s="833">
        <v>2062.3529411764707</v>
      </c>
      <c r="F295" s="833">
        <v>2027.7058823529412</v>
      </c>
      <c r="G295" s="832">
        <v>4.0517739512307864</v>
      </c>
      <c r="H295" s="832">
        <v>3.9837050733849537</v>
      </c>
      <c r="I295" s="831">
        <v>1.6799771819737592E-2</v>
      </c>
      <c r="J295" s="817">
        <v>100.4</v>
      </c>
      <c r="K295" s="817">
        <v>17</v>
      </c>
    </row>
    <row r="296" spans="2:11" ht="14.5" customHeight="true">
      <c r="B296" s="830" t="s">
        <v>524</v>
      </c>
      <c r="C296" s="817"/>
      <c r="D296" s="817">
        <v>543</v>
      </c>
      <c r="E296" s="833"/>
      <c r="F296" s="833"/>
      <c r="G296" s="832"/>
      <c r="H296" s="832"/>
      <c r="I296" s="831" t="e">
        <v>#DIV/0!</v>
      </c>
      <c r="J296" s="817">
        <v>2</v>
      </c>
      <c r="K296" s="817"/>
    </row>
    <row r="297" spans="2:11" ht="14.5" customHeight="true">
      <c r="B297" s="820" t="s">
        <v>269</v>
      </c>
      <c r="C297" s="817">
        <v>22.067307692307693</v>
      </c>
      <c r="D297" s="817">
        <v>777.97247706422013</v>
      </c>
      <c r="E297" s="833">
        <v>2780.8653846153848</v>
      </c>
      <c r="F297" s="833">
        <v>2773.0384615384614</v>
      </c>
      <c r="G297" s="832">
        <v>3.5832963513638658</v>
      </c>
      <c r="H297" s="832">
        <v>3.5732554796173726</v>
      </c>
      <c r="I297" s="831">
        <v>2.8145638117630786E-3</v>
      </c>
      <c r="J297" s="817">
        <v>39.585106382978722</v>
      </c>
      <c r="K297" s="817">
        <v>104</v>
      </c>
    </row>
    <row r="298" spans="2:11" ht="14.5" customHeight="true">
      <c r="B298" s="830" t="s">
        <v>532</v>
      </c>
      <c r="C298" s="817">
        <v>22.1</v>
      </c>
      <c r="D298" s="817">
        <v>598</v>
      </c>
      <c r="E298" s="833">
        <v>2261.9</v>
      </c>
      <c r="F298" s="833">
        <v>2261.9</v>
      </c>
      <c r="G298" s="832">
        <v>3.7824414715719059</v>
      </c>
      <c r="H298" s="832">
        <v>3.7824414715719059</v>
      </c>
      <c r="I298" s="831">
        <v>0</v>
      </c>
      <c r="J298" s="817">
        <v>10.363636363636363</v>
      </c>
      <c r="K298" s="817">
        <v>10</v>
      </c>
    </row>
    <row r="299" spans="2:11" ht="14.5" customHeight="true">
      <c r="B299" s="830" t="s">
        <v>533</v>
      </c>
      <c r="C299" s="817">
        <v>9</v>
      </c>
      <c r="D299" s="817">
        <v>729</v>
      </c>
      <c r="E299" s="833">
        <v>2332</v>
      </c>
      <c r="F299" s="833">
        <v>2332</v>
      </c>
      <c r="G299" s="832">
        <v>3.1989026063100137</v>
      </c>
      <c r="H299" s="832">
        <v>3.1989026063100137</v>
      </c>
      <c r="I299" s="831">
        <v>0</v>
      </c>
      <c r="J299" s="817">
        <v>4</v>
      </c>
      <c r="K299" s="817">
        <v>1</v>
      </c>
    </row>
    <row r="300" spans="2:11" ht="14.5" customHeight="true">
      <c r="B300" s="830" t="s">
        <v>534</v>
      </c>
      <c r="C300" s="817">
        <v>22.933333333333334</v>
      </c>
      <c r="D300" s="817">
        <v>761</v>
      </c>
      <c r="E300" s="833">
        <v>2730.0666666666666</v>
      </c>
      <c r="F300" s="833">
        <v>2730.0666666666666</v>
      </c>
      <c r="G300" s="832">
        <v>3.5874726237406924</v>
      </c>
      <c r="H300" s="832">
        <v>3.5874726237406924</v>
      </c>
      <c r="I300" s="831">
        <v>0</v>
      </c>
      <c r="J300" s="817">
        <v>50.866666666666667</v>
      </c>
      <c r="K300" s="817">
        <v>15</v>
      </c>
    </row>
    <row r="301" spans="2:11" ht="14.5" customHeight="true">
      <c r="B301" s="830" t="s">
        <v>535</v>
      </c>
      <c r="C301" s="817">
        <v>23.611111111111111</v>
      </c>
      <c r="D301" s="817">
        <v>764</v>
      </c>
      <c r="E301" s="833">
        <v>2692.8333333333335</v>
      </c>
      <c r="F301" s="833">
        <v>2671.1111111111113</v>
      </c>
      <c r="G301" s="832">
        <v>3.5246509598603835</v>
      </c>
      <c r="H301" s="832">
        <v>3.496218731820826</v>
      </c>
      <c r="I301" s="831">
        <v>8.0666790452022866E-3</v>
      </c>
      <c r="J301" s="817">
        <v>50.733333333333334</v>
      </c>
      <c r="K301" s="817">
        <v>18</v>
      </c>
    </row>
    <row r="302" spans="2:11" ht="14.5" customHeight="true">
      <c r="B302" s="830" t="s">
        <v>536</v>
      </c>
      <c r="C302" s="817">
        <v>35</v>
      </c>
      <c r="D302" s="817">
        <v>766</v>
      </c>
      <c r="E302" s="833">
        <v>3194</v>
      </c>
      <c r="F302" s="833">
        <v>3194</v>
      </c>
      <c r="G302" s="832">
        <v>4.1697127937336811</v>
      </c>
      <c r="H302" s="832">
        <v>4.1697127937336811</v>
      </c>
      <c r="I302" s="831">
        <v>0</v>
      </c>
      <c r="J302" s="817">
        <v>106</v>
      </c>
      <c r="K302" s="817">
        <v>1</v>
      </c>
    </row>
    <row r="303" spans="2:11" ht="14.5" customHeight="true">
      <c r="B303" s="830" t="s">
        <v>537</v>
      </c>
      <c r="C303" s="817">
        <v>23.411764705882351</v>
      </c>
      <c r="D303" s="817">
        <v>791</v>
      </c>
      <c r="E303" s="833">
        <v>2784.8235294117649</v>
      </c>
      <c r="F303" s="833">
        <v>2772.1176470588234</v>
      </c>
      <c r="G303" s="832">
        <v>3.5206365732133569</v>
      </c>
      <c r="H303" s="832">
        <v>3.5045735108202583</v>
      </c>
      <c r="I303" s="831">
        <v>4.5625448861476067E-3</v>
      </c>
      <c r="J303" s="817">
        <v>39.375</v>
      </c>
      <c r="K303" s="817">
        <v>17</v>
      </c>
    </row>
    <row r="304" spans="2:11" ht="14.5" customHeight="true">
      <c r="B304" s="830" t="s">
        <v>538</v>
      </c>
      <c r="C304" s="817">
        <v>20.066666666666666</v>
      </c>
      <c r="D304" s="817">
        <v>798</v>
      </c>
      <c r="E304" s="833">
        <v>2841.8</v>
      </c>
      <c r="F304" s="833">
        <v>2828</v>
      </c>
      <c r="G304" s="832">
        <v>3.5611528822055138</v>
      </c>
      <c r="H304" s="832">
        <v>3.5438596491228069</v>
      </c>
      <c r="I304" s="831">
        <v>4.8560771342107114E-3</v>
      </c>
      <c r="J304" s="817">
        <v>13.0625</v>
      </c>
      <c r="K304" s="817">
        <v>15</v>
      </c>
    </row>
    <row r="305" spans="2:11" ht="14.5" customHeight="true">
      <c r="B305" s="830" t="s">
        <v>539</v>
      </c>
      <c r="C305" s="817">
        <v>8</v>
      </c>
      <c r="D305" s="817">
        <v>806</v>
      </c>
      <c r="E305" s="833">
        <v>2860</v>
      </c>
      <c r="F305" s="833">
        <v>2860</v>
      </c>
      <c r="G305" s="832">
        <v>3.5483870967741935</v>
      </c>
      <c r="H305" s="832">
        <v>3.5483870967741935</v>
      </c>
      <c r="I305" s="831">
        <v>0</v>
      </c>
      <c r="J305" s="817">
        <v>105</v>
      </c>
      <c r="K305" s="817">
        <v>1</v>
      </c>
    </row>
    <row r="306" spans="2:11" ht="14.5" customHeight="true">
      <c r="B306" s="830" t="s">
        <v>540</v>
      </c>
      <c r="C306" s="817">
        <v>24.823529411764707</v>
      </c>
      <c r="D306" s="817">
        <v>821</v>
      </c>
      <c r="E306" s="833">
        <v>2981.294117647059</v>
      </c>
      <c r="F306" s="833">
        <v>2981.294117647059</v>
      </c>
      <c r="G306" s="832">
        <v>3.6312961238088417</v>
      </c>
      <c r="H306" s="832">
        <v>3.6312961238088417</v>
      </c>
      <c r="I306" s="831">
        <v>0</v>
      </c>
      <c r="J306" s="817">
        <v>51.928571428571431</v>
      </c>
      <c r="K306" s="817">
        <v>17</v>
      </c>
    </row>
    <row r="307" spans="2:11" ht="14.5" customHeight="true">
      <c r="B307" s="830" t="s">
        <v>541</v>
      </c>
      <c r="C307" s="817">
        <v>37</v>
      </c>
      <c r="D307" s="817">
        <v>831</v>
      </c>
      <c r="E307" s="833">
        <v>3159</v>
      </c>
      <c r="F307" s="833">
        <v>3159</v>
      </c>
      <c r="G307" s="832">
        <v>3.8014440433212999</v>
      </c>
      <c r="H307" s="832">
        <v>3.8014440433212999</v>
      </c>
      <c r="I307" s="831">
        <v>0</v>
      </c>
      <c r="J307" s="817">
        <v>51</v>
      </c>
      <c r="K307" s="817">
        <v>3</v>
      </c>
    </row>
    <row r="308" spans="2:11" ht="14.5" customHeight="true">
      <c r="B308" s="830" t="s">
        <v>542</v>
      </c>
      <c r="C308" s="817">
        <v>8</v>
      </c>
      <c r="D308" s="817">
        <v>865</v>
      </c>
      <c r="E308" s="833">
        <v>2747</v>
      </c>
      <c r="F308" s="833">
        <v>2747</v>
      </c>
      <c r="G308" s="832">
        <v>3.1757225433526011</v>
      </c>
      <c r="H308" s="832">
        <v>3.1757225433526011</v>
      </c>
      <c r="I308" s="831">
        <v>0</v>
      </c>
      <c r="J308" s="817">
        <v>19</v>
      </c>
      <c r="K308" s="817">
        <v>1</v>
      </c>
    </row>
    <row r="309" spans="2:11" ht="14.5" customHeight="true">
      <c r="B309" s="830" t="s">
        <v>543</v>
      </c>
      <c r="C309" s="817">
        <v>2</v>
      </c>
      <c r="D309" s="817">
        <v>945</v>
      </c>
      <c r="E309" s="833">
        <v>3282</v>
      </c>
      <c r="F309" s="833">
        <v>3282</v>
      </c>
      <c r="G309" s="832">
        <v>3.4730158730158731</v>
      </c>
      <c r="H309" s="832">
        <v>3.4730158730158731</v>
      </c>
      <c r="I309" s="831">
        <v>0</v>
      </c>
      <c r="J309" s="817"/>
      <c r="K309" s="817">
        <v>1</v>
      </c>
    </row>
    <row r="310" spans="2:11" ht="14.5" customHeight="true">
      <c r="B310" s="830" t="s">
        <v>544</v>
      </c>
      <c r="C310" s="817">
        <v>2</v>
      </c>
      <c r="D310" s="817">
        <v>999</v>
      </c>
      <c r="E310" s="833">
        <v>2758</v>
      </c>
      <c r="F310" s="833">
        <v>2758</v>
      </c>
      <c r="G310" s="832">
        <v>2.7607607607607609</v>
      </c>
      <c r="H310" s="832">
        <v>2.7607607607607609</v>
      </c>
      <c r="I310" s="831">
        <v>0</v>
      </c>
      <c r="J310" s="817">
        <v>2</v>
      </c>
      <c r="K310" s="817">
        <v>1</v>
      </c>
    </row>
    <row r="311" spans="2:11" ht="14.5" customHeight="true">
      <c r="B311" s="830" t="s">
        <v>1148</v>
      </c>
      <c r="C311" s="817">
        <v>3</v>
      </c>
      <c r="D311" s="817">
        <v>887</v>
      </c>
      <c r="E311" s="833">
        <v>3264</v>
      </c>
      <c r="F311" s="833">
        <v>3264</v>
      </c>
      <c r="G311" s="832">
        <v>3.6798196166854567</v>
      </c>
      <c r="H311" s="832">
        <v>3.6798196166854567</v>
      </c>
      <c r="I311" s="831">
        <v>0</v>
      </c>
      <c r="J311" s="817"/>
      <c r="K311" s="817">
        <v>1</v>
      </c>
    </row>
    <row r="312" spans="2:11" ht="14.5" customHeight="true">
      <c r="B312" s="830" t="s">
        <v>1149</v>
      </c>
      <c r="C312" s="817">
        <v>3</v>
      </c>
      <c r="D312" s="817">
        <v>890</v>
      </c>
      <c r="E312" s="833">
        <v>3157</v>
      </c>
      <c r="F312" s="833">
        <v>3157</v>
      </c>
      <c r="G312" s="832">
        <v>3.547191011235955</v>
      </c>
      <c r="H312" s="832">
        <v>3.547191011235955</v>
      </c>
      <c r="I312" s="831">
        <v>0</v>
      </c>
      <c r="J312" s="817">
        <v>230</v>
      </c>
      <c r="K312" s="817">
        <v>1</v>
      </c>
    </row>
    <row r="313" spans="2:11" ht="14.5" customHeight="true">
      <c r="B313" s="830" t="s">
        <v>1150</v>
      </c>
      <c r="C313" s="817">
        <v>3</v>
      </c>
      <c r="D313" s="817">
        <v>951</v>
      </c>
      <c r="E313" s="833">
        <v>3447</v>
      </c>
      <c r="F313" s="833">
        <v>3447</v>
      </c>
      <c r="G313" s="832">
        <v>3.6246056782334386</v>
      </c>
      <c r="H313" s="832">
        <v>3.6246056782334386</v>
      </c>
      <c r="I313" s="831">
        <v>0</v>
      </c>
      <c r="J313" s="817"/>
      <c r="K313" s="817">
        <v>1</v>
      </c>
    </row>
    <row r="314" spans="2:11" ht="14.5" customHeight="true">
      <c r="B314" s="820" t="s">
        <v>270</v>
      </c>
      <c r="C314" s="817">
        <v>21.871794871794872</v>
      </c>
      <c r="D314" s="817">
        <v>1117.8333333333333</v>
      </c>
      <c r="E314" s="833">
        <v>3948.1282051282051</v>
      </c>
      <c r="F314" s="833">
        <v>3939.0256410256411</v>
      </c>
      <c r="G314" s="832">
        <v>3.5758274719623624</v>
      </c>
      <c r="H314" s="832">
        <v>3.5693070105708409</v>
      </c>
      <c r="I314" s="831">
        <v>2.3055391389623127E-3</v>
      </c>
      <c r="J314" s="817">
        <v>67.25</v>
      </c>
      <c r="K314" s="817">
        <v>39</v>
      </c>
    </row>
    <row r="315" spans="2:11" ht="14.5" customHeight="true">
      <c r="B315" s="830" t="s">
        <v>547</v>
      </c>
      <c r="C315" s="817">
        <v>35</v>
      </c>
      <c r="D315" s="817">
        <v>1220</v>
      </c>
      <c r="E315" s="833">
        <v>4454</v>
      </c>
      <c r="F315" s="833">
        <v>4454</v>
      </c>
      <c r="G315" s="832">
        <v>3.6508196721311474</v>
      </c>
      <c r="H315" s="832">
        <v>3.6508196721311474</v>
      </c>
      <c r="I315" s="831">
        <v>0</v>
      </c>
      <c r="J315" s="817">
        <v>116</v>
      </c>
      <c r="K315" s="817">
        <v>1</v>
      </c>
    </row>
    <row r="316" spans="2:11" ht="14.5" customHeight="true">
      <c r="B316" s="830" t="s">
        <v>548</v>
      </c>
      <c r="C316" s="817">
        <v>20.285714285714285</v>
      </c>
      <c r="D316" s="817">
        <v>1225</v>
      </c>
      <c r="E316" s="833">
        <v>4229.8571428571431</v>
      </c>
      <c r="F316" s="833">
        <v>4229.8571428571431</v>
      </c>
      <c r="G316" s="832">
        <v>3.4529446064139941</v>
      </c>
      <c r="H316" s="832">
        <v>3.4529446064139941</v>
      </c>
      <c r="I316" s="831">
        <v>0</v>
      </c>
      <c r="J316" s="817">
        <v>64.384615384615387</v>
      </c>
      <c r="K316" s="817">
        <v>14</v>
      </c>
    </row>
    <row r="317" spans="2:11" ht="14.5" customHeight="true">
      <c r="B317" s="830" t="s">
        <v>549</v>
      </c>
      <c r="C317" s="817">
        <v>3</v>
      </c>
      <c r="D317" s="817">
        <v>1294</v>
      </c>
      <c r="E317" s="833">
        <v>3712</v>
      </c>
      <c r="F317" s="833">
        <v>3712</v>
      </c>
      <c r="G317" s="832">
        <v>2.8686244204018547</v>
      </c>
      <c r="H317" s="832">
        <v>2.8686244204018547</v>
      </c>
      <c r="I317" s="831">
        <v>0</v>
      </c>
      <c r="J317" s="817">
        <v>295</v>
      </c>
      <c r="K317" s="817">
        <v>1</v>
      </c>
    </row>
    <row r="318" spans="2:11" ht="14.5" customHeight="true">
      <c r="B318" s="830" t="s">
        <v>550</v>
      </c>
      <c r="C318" s="817">
        <v>8</v>
      </c>
      <c r="D318" s="817">
        <v>1338</v>
      </c>
      <c r="E318" s="833">
        <v>3851</v>
      </c>
      <c r="F318" s="833">
        <v>3851</v>
      </c>
      <c r="G318" s="832">
        <v>2.8781763826606874</v>
      </c>
      <c r="H318" s="832">
        <v>2.8781763826606874</v>
      </c>
      <c r="I318" s="831">
        <v>0</v>
      </c>
      <c r="J318" s="817">
        <v>187</v>
      </c>
      <c r="K318" s="817">
        <v>1</v>
      </c>
    </row>
    <row r="319" spans="2:11" ht="14.5" customHeight="true">
      <c r="B319" s="830" t="s">
        <v>551</v>
      </c>
      <c r="C319" s="817">
        <v>38</v>
      </c>
      <c r="D319" s="817">
        <v>1396</v>
      </c>
      <c r="E319" s="833">
        <v>4612</v>
      </c>
      <c r="F319" s="833">
        <v>4434.5</v>
      </c>
      <c r="G319" s="832">
        <v>3.303724928366762</v>
      </c>
      <c r="H319" s="832">
        <v>3.1765759312320916</v>
      </c>
      <c r="I319" s="831">
        <v>3.8486556808326106E-2</v>
      </c>
      <c r="J319" s="817">
        <v>452</v>
      </c>
      <c r="K319" s="817">
        <v>2</v>
      </c>
    </row>
    <row r="320" spans="2:11" ht="14.5" customHeight="true">
      <c r="B320" s="830" t="s">
        <v>552</v>
      </c>
      <c r="C320" s="817">
        <v>2</v>
      </c>
      <c r="D320" s="817">
        <v>1474</v>
      </c>
      <c r="E320" s="833">
        <v>3502</v>
      </c>
      <c r="F320" s="833">
        <v>3502</v>
      </c>
      <c r="G320" s="832">
        <v>2.3758480325644507</v>
      </c>
      <c r="H320" s="832">
        <v>2.3758480325644507</v>
      </c>
      <c r="I320" s="831">
        <v>0</v>
      </c>
      <c r="J320" s="817">
        <v>2</v>
      </c>
      <c r="K320" s="817">
        <v>1</v>
      </c>
    </row>
    <row r="321" spans="2:11" ht="14.5" customHeight="true">
      <c r="B321" s="830" t="s">
        <v>545</v>
      </c>
      <c r="C321" s="817">
        <v>10</v>
      </c>
      <c r="D321" s="817">
        <v>955</v>
      </c>
      <c r="E321" s="833">
        <v>3334</v>
      </c>
      <c r="F321" s="833">
        <v>3334</v>
      </c>
      <c r="G321" s="832">
        <v>3.4910994764397905</v>
      </c>
      <c r="H321" s="832">
        <v>3.4910994764397905</v>
      </c>
      <c r="I321" s="831">
        <v>0</v>
      </c>
      <c r="J321" s="817">
        <v>4</v>
      </c>
      <c r="K321" s="817">
        <v>1</v>
      </c>
    </row>
    <row r="322" spans="2:11" ht="14.5" customHeight="true">
      <c r="B322" s="830" t="s">
        <v>546</v>
      </c>
      <c r="C322" s="817">
        <v>24.166666666666668</v>
      </c>
      <c r="D322" s="817">
        <v>963</v>
      </c>
      <c r="E322" s="833">
        <v>3704.5555555555557</v>
      </c>
      <c r="F322" s="833">
        <v>3704.5555555555557</v>
      </c>
      <c r="G322" s="832">
        <v>3.8468905042113763</v>
      </c>
      <c r="H322" s="832">
        <v>3.8468905042113763</v>
      </c>
      <c r="I322" s="831">
        <v>0</v>
      </c>
      <c r="J322" s="817">
        <v>32.75</v>
      </c>
      <c r="K322" s="817">
        <v>18</v>
      </c>
    </row>
    <row r="323" spans="2:11" ht="14.5" customHeight="true">
      <c r="B323" s="820" t="s">
        <v>271</v>
      </c>
      <c r="C323" s="817">
        <v>37</v>
      </c>
      <c r="D323" s="817">
        <v>1572</v>
      </c>
      <c r="E323" s="833">
        <v>5362</v>
      </c>
      <c r="F323" s="833">
        <v>4950</v>
      </c>
      <c r="G323" s="832">
        <v>3.4109414758269718</v>
      </c>
      <c r="H323" s="832">
        <v>3.1488549618320612</v>
      </c>
      <c r="I323" s="831">
        <v>7.6837001118985448E-2</v>
      </c>
      <c r="J323" s="817">
        <v>393</v>
      </c>
      <c r="K323" s="817">
        <v>1</v>
      </c>
    </row>
    <row r="324" spans="2:11" ht="14.5" customHeight="true">
      <c r="B324" s="830" t="s">
        <v>553</v>
      </c>
      <c r="C324" s="817">
        <v>37</v>
      </c>
      <c r="D324" s="817">
        <v>1572</v>
      </c>
      <c r="E324" s="833">
        <v>5362</v>
      </c>
      <c r="F324" s="833">
        <v>4950</v>
      </c>
      <c r="G324" s="832">
        <v>3.4109414758269718</v>
      </c>
      <c r="H324" s="832">
        <v>3.1488549618320612</v>
      </c>
      <c r="I324" s="831">
        <v>7.6837001118985448E-2</v>
      </c>
      <c r="J324" s="817">
        <v>393</v>
      </c>
      <c r="K324" s="817">
        <v>1</v>
      </c>
    </row>
    <row r="325" spans="2:11" ht="14.5" customHeight="true">
      <c r="B325" s="816" t="s">
        <v>1080</v>
      </c>
      <c r="C325" s="817">
        <v>23.509225092250922</v>
      </c>
      <c r="D325" s="817">
        <v>759.6193771626298</v>
      </c>
      <c r="E325" s="833">
        <v>2925.4779411764707</v>
      </c>
      <c r="F325" s="833">
        <v>2907.8382352941176</v>
      </c>
      <c r="G325" s="832">
        <v>3.9555599861764055</v>
      </c>
      <c r="H325" s="832">
        <v>3.9317137618763121</v>
      </c>
      <c r="I325" s="831">
        <v>6.0296834353361067E-3</v>
      </c>
      <c r="J325" s="817">
        <v>49.86</v>
      </c>
      <c r="K325" s="817">
        <v>272</v>
      </c>
    </row>
    <row r="326" spans="2:11" ht="14.5" customHeight="true">
      <c r="B326" s="820" t="s">
        <v>13</v>
      </c>
      <c r="C326" s="817">
        <v>21.96551724137931</v>
      </c>
      <c r="D326" s="817">
        <v>573.49180327868851</v>
      </c>
      <c r="E326" s="833">
        <v>2305.4655172413795</v>
      </c>
      <c r="F326" s="833">
        <v>2302.4827586206898</v>
      </c>
      <c r="G326" s="832">
        <v>4.0420804314432113</v>
      </c>
      <c r="H326" s="832">
        <v>4.0368310388434114</v>
      </c>
      <c r="I326" s="831">
        <v>1.2937771562329396E-3</v>
      </c>
      <c r="J326" s="817">
        <v>46.781818181818181</v>
      </c>
      <c r="K326" s="817">
        <v>58</v>
      </c>
    </row>
    <row r="327" spans="2:11" ht="14.5" customHeight="true">
      <c r="B327" s="830" t="s">
        <v>415</v>
      </c>
      <c r="C327" s="817">
        <v>3</v>
      </c>
      <c r="D327" s="817">
        <v>643</v>
      </c>
      <c r="E327" s="833">
        <v>2132</v>
      </c>
      <c r="F327" s="833">
        <v>2132</v>
      </c>
      <c r="G327" s="832">
        <v>3.3157076205287712</v>
      </c>
      <c r="H327" s="832">
        <v>3.3157076205287712</v>
      </c>
      <c r="I327" s="831">
        <v>0</v>
      </c>
      <c r="J327" s="817">
        <v>14</v>
      </c>
      <c r="K327" s="817">
        <v>1</v>
      </c>
    </row>
    <row r="328" spans="2:11" ht="14.5" customHeight="true">
      <c r="B328" s="830" t="s">
        <v>414</v>
      </c>
      <c r="C328" s="817">
        <v>27.666666666666668</v>
      </c>
      <c r="D328" s="817">
        <v>642</v>
      </c>
      <c r="E328" s="833">
        <v>2367.6666666666665</v>
      </c>
      <c r="F328" s="833">
        <v>2334.6666666666665</v>
      </c>
      <c r="G328" s="832">
        <v>3.6879543094496365</v>
      </c>
      <c r="H328" s="832">
        <v>3.6365524402907581</v>
      </c>
      <c r="I328" s="831">
        <v>1.393777277206814E-2</v>
      </c>
      <c r="J328" s="817">
        <v>48.5</v>
      </c>
      <c r="K328" s="817">
        <v>3</v>
      </c>
    </row>
    <row r="329" spans="2:11" ht="14.5" customHeight="true">
      <c r="B329" s="830" t="s">
        <v>412</v>
      </c>
      <c r="C329" s="817">
        <v>2</v>
      </c>
      <c r="D329" s="817">
        <v>615</v>
      </c>
      <c r="E329" s="833">
        <v>2189</v>
      </c>
      <c r="F329" s="833">
        <v>2189</v>
      </c>
      <c r="G329" s="832">
        <v>3.5593495934959352</v>
      </c>
      <c r="H329" s="832">
        <v>3.5593495934959352</v>
      </c>
      <c r="I329" s="831">
        <v>0</v>
      </c>
      <c r="J329" s="817">
        <v>48</v>
      </c>
      <c r="K329" s="817">
        <v>1</v>
      </c>
    </row>
    <row r="330" spans="2:11" ht="14.5" customHeight="true">
      <c r="B330" s="830" t="s">
        <v>413</v>
      </c>
      <c r="C330" s="817">
        <v>22.428571428571427</v>
      </c>
      <c r="D330" s="817">
        <v>618</v>
      </c>
      <c r="E330" s="833">
        <v>2414.2380952380954</v>
      </c>
      <c r="F330" s="833">
        <v>2412.4285714285716</v>
      </c>
      <c r="G330" s="832">
        <v>3.8745055735346989</v>
      </c>
      <c r="H330" s="832">
        <v>3.8710895361380802</v>
      </c>
      <c r="I330" s="831">
        <v>7.4952168681828048E-4</v>
      </c>
      <c r="J330" s="817">
        <v>20</v>
      </c>
      <c r="K330" s="817">
        <v>21</v>
      </c>
    </row>
    <row r="331" spans="2:11" ht="14.5" customHeight="true">
      <c r="B331" s="830" t="s">
        <v>411</v>
      </c>
      <c r="C331" s="817">
        <v>2</v>
      </c>
      <c r="D331" s="817">
        <v>493</v>
      </c>
      <c r="E331" s="833">
        <v>2443</v>
      </c>
      <c r="F331" s="833">
        <v>2443</v>
      </c>
      <c r="G331" s="832">
        <v>4.955375253549696</v>
      </c>
      <c r="H331" s="832">
        <v>4.955375253549696</v>
      </c>
      <c r="I331" s="831">
        <v>0</v>
      </c>
      <c r="J331" s="817">
        <v>54.5</v>
      </c>
      <c r="K331" s="817">
        <v>1</v>
      </c>
    </row>
    <row r="332" spans="2:11" ht="14.5" customHeight="true">
      <c r="B332" s="830" t="s">
        <v>410</v>
      </c>
      <c r="C332" s="817">
        <v>21.777777777777779</v>
      </c>
      <c r="D332" s="817">
        <v>493</v>
      </c>
      <c r="E332" s="833">
        <v>2178.6666666666665</v>
      </c>
      <c r="F332" s="833">
        <v>2176.6666666666665</v>
      </c>
      <c r="G332" s="832">
        <v>4.4192021636240693</v>
      </c>
      <c r="H332" s="832">
        <v>4.4151453684922233</v>
      </c>
      <c r="I332" s="831">
        <v>9.1799265605875156E-4</v>
      </c>
      <c r="J332" s="817">
        <v>106.13333333333334</v>
      </c>
      <c r="K332" s="817">
        <v>18</v>
      </c>
    </row>
    <row r="333" spans="2:11" ht="14.5" customHeight="true">
      <c r="B333" s="830" t="s">
        <v>651</v>
      </c>
      <c r="C333" s="817">
        <v>24.692307692307693</v>
      </c>
      <c r="D333" s="817">
        <v>600.30769230769226</v>
      </c>
      <c r="E333" s="833">
        <v>2302.6923076923076</v>
      </c>
      <c r="F333" s="833">
        <v>2302.6923076923076</v>
      </c>
      <c r="G333" s="832">
        <v>3.8564145434304233</v>
      </c>
      <c r="H333" s="832">
        <v>3.8564145434304233</v>
      </c>
      <c r="I333" s="831">
        <v>0</v>
      </c>
      <c r="J333" s="817">
        <v>15.818181818181818</v>
      </c>
      <c r="K333" s="817">
        <v>13</v>
      </c>
    </row>
    <row r="334" spans="2:11" ht="14.5" customHeight="true">
      <c r="B334" s="820" t="s">
        <v>269</v>
      </c>
      <c r="C334" s="817">
        <v>23.152173913043477</v>
      </c>
      <c r="D334" s="817">
        <v>726.93157894736839</v>
      </c>
      <c r="E334" s="833">
        <v>2850.1027027027026</v>
      </c>
      <c r="F334" s="833">
        <v>2829.1027027027026</v>
      </c>
      <c r="G334" s="832">
        <v>3.9304052082378305</v>
      </c>
      <c r="H334" s="832">
        <v>3.9007691317536</v>
      </c>
      <c r="I334" s="831">
        <v>7.3681555335132539E-3</v>
      </c>
      <c r="J334" s="817">
        <v>49.042682926829265</v>
      </c>
      <c r="K334" s="817">
        <v>185</v>
      </c>
    </row>
    <row r="335" spans="2:11" ht="14.5" customHeight="true">
      <c r="B335" s="830" t="s">
        <v>419</v>
      </c>
      <c r="C335" s="817">
        <v>3</v>
      </c>
      <c r="D335" s="817">
        <v>683</v>
      </c>
      <c r="E335" s="833">
        <v>2359</v>
      </c>
      <c r="F335" s="833">
        <v>2359</v>
      </c>
      <c r="G335" s="832">
        <v>3.4538799414348462</v>
      </c>
      <c r="H335" s="832">
        <v>3.4538799414348462</v>
      </c>
      <c r="I335" s="831">
        <v>0</v>
      </c>
      <c r="J335" s="817">
        <v>100</v>
      </c>
      <c r="K335" s="817">
        <v>1</v>
      </c>
    </row>
    <row r="336" spans="2:11" ht="14.5" customHeight="true">
      <c r="B336" s="830" t="s">
        <v>416</v>
      </c>
      <c r="C336" s="817">
        <v>44</v>
      </c>
      <c r="D336" s="817">
        <v>900</v>
      </c>
      <c r="E336" s="833">
        <v>3439</v>
      </c>
      <c r="F336" s="833">
        <v>3389</v>
      </c>
      <c r="G336" s="832">
        <v>3.8211111111111111</v>
      </c>
      <c r="H336" s="832">
        <v>3.7655555555555558</v>
      </c>
      <c r="I336" s="831">
        <v>1.4539110206455364E-2</v>
      </c>
      <c r="J336" s="817">
        <v>57.5</v>
      </c>
      <c r="K336" s="817">
        <v>1</v>
      </c>
    </row>
    <row r="337" spans="2:11" ht="14.5" customHeight="true">
      <c r="B337" s="830" t="s">
        <v>418</v>
      </c>
      <c r="C337" s="817">
        <v>20.181818181818183</v>
      </c>
      <c r="D337" s="817">
        <v>678</v>
      </c>
      <c r="E337" s="833">
        <v>2813.818181818182</v>
      </c>
      <c r="F337" s="833">
        <v>2790.3636363636365</v>
      </c>
      <c r="G337" s="832">
        <v>4.1087020648967556</v>
      </c>
      <c r="H337" s="832">
        <v>4.0706489675516222</v>
      </c>
      <c r="I337" s="831">
        <v>8.3354872059963822E-3</v>
      </c>
      <c r="J337" s="817">
        <v>48.545454545454547</v>
      </c>
      <c r="K337" s="817">
        <v>11</v>
      </c>
    </row>
    <row r="338" spans="2:11" ht="14.5" customHeight="true">
      <c r="B338" s="830" t="s">
        <v>420</v>
      </c>
      <c r="C338" s="817">
        <v>20.25</v>
      </c>
      <c r="D338" s="817">
        <v>730</v>
      </c>
      <c r="E338" s="833">
        <v>2998</v>
      </c>
      <c r="F338" s="833">
        <v>2988.75</v>
      </c>
      <c r="G338" s="832">
        <v>4.0694716242661446</v>
      </c>
      <c r="H338" s="832">
        <v>4.0549902152641879</v>
      </c>
      <c r="I338" s="831">
        <v>3.0853902601734491E-3</v>
      </c>
      <c r="J338" s="817">
        <v>56.75</v>
      </c>
      <c r="K338" s="817">
        <v>8</v>
      </c>
    </row>
    <row r="339" spans="2:11" ht="14.5" customHeight="true">
      <c r="B339" s="830" t="s">
        <v>421</v>
      </c>
      <c r="C339" s="817">
        <v>26.333333333333332</v>
      </c>
      <c r="D339" s="817">
        <v>752</v>
      </c>
      <c r="E339" s="833">
        <v>2931.4166666666665</v>
      </c>
      <c r="F339" s="833">
        <v>2927.9166666666665</v>
      </c>
      <c r="G339" s="832">
        <v>3.8785058027079304</v>
      </c>
      <c r="H339" s="832">
        <v>3.8734284332688591</v>
      </c>
      <c r="I339" s="831">
        <v>1.1939619637831539E-3</v>
      </c>
      <c r="J339" s="817">
        <v>56.8</v>
      </c>
      <c r="K339" s="817">
        <v>12</v>
      </c>
    </row>
    <row r="340" spans="2:11" ht="14.5" customHeight="true">
      <c r="B340" s="830" t="s">
        <v>417</v>
      </c>
      <c r="C340" s="817">
        <v>25.23076923076923</v>
      </c>
      <c r="D340" s="817">
        <v>678</v>
      </c>
      <c r="E340" s="833">
        <v>2729</v>
      </c>
      <c r="F340" s="833">
        <v>2649.2307692307691</v>
      </c>
      <c r="G340" s="832">
        <v>4.0250737463126844</v>
      </c>
      <c r="H340" s="832">
        <v>3.9074200136147037</v>
      </c>
      <c r="I340" s="831">
        <v>2.9230205485243962E-2</v>
      </c>
      <c r="J340" s="817">
        <v>46</v>
      </c>
      <c r="K340" s="817">
        <v>13</v>
      </c>
    </row>
    <row r="341" spans="2:11" ht="14.5" customHeight="true">
      <c r="B341" s="830" t="s">
        <v>651</v>
      </c>
      <c r="C341" s="817">
        <v>22.464788732394368</v>
      </c>
      <c r="D341" s="817">
        <v>723.34722222222217</v>
      </c>
      <c r="E341" s="833">
        <v>2837.0555555555557</v>
      </c>
      <c r="F341" s="833">
        <v>2827.5555555555557</v>
      </c>
      <c r="G341" s="832">
        <v>3.9226832655048787</v>
      </c>
      <c r="H341" s="832">
        <v>3.9100198282699137</v>
      </c>
      <c r="I341" s="831">
        <v>3.3485421113439206E-3</v>
      </c>
      <c r="J341" s="817">
        <v>31.639344262295083</v>
      </c>
      <c r="K341" s="817">
        <v>72</v>
      </c>
    </row>
    <row r="342" spans="2:11" ht="14.5" customHeight="true">
      <c r="B342" s="830" t="s">
        <v>1081</v>
      </c>
      <c r="C342" s="817">
        <v>45</v>
      </c>
      <c r="D342" s="817">
        <v>1080</v>
      </c>
      <c r="E342" s="833">
        <v>3809</v>
      </c>
      <c r="F342" s="833">
        <v>3809</v>
      </c>
      <c r="G342" s="832">
        <v>3.5268518518518519</v>
      </c>
      <c r="H342" s="832">
        <v>3.5268518518518519</v>
      </c>
      <c r="I342" s="831">
        <v>0</v>
      </c>
      <c r="J342" s="817">
        <v>6</v>
      </c>
      <c r="K342" s="817">
        <v>1</v>
      </c>
    </row>
    <row r="343" spans="2:11" ht="14.5" customHeight="true">
      <c r="B343" s="830" t="s">
        <v>1082</v>
      </c>
      <c r="C343" s="817">
        <v>24.5625</v>
      </c>
      <c r="D343" s="817">
        <v>697</v>
      </c>
      <c r="E343" s="833">
        <v>2781.6875</v>
      </c>
      <c r="F343" s="833">
        <v>2765.9375</v>
      </c>
      <c r="G343" s="832">
        <v>3.992039071396845</v>
      </c>
      <c r="H343" s="832">
        <v>3.9690798877233755</v>
      </c>
      <c r="I343" s="831">
        <v>5.6620306918012901E-3</v>
      </c>
      <c r="J343" s="817">
        <v>71.36363636363636</v>
      </c>
      <c r="K343" s="817">
        <v>16</v>
      </c>
    </row>
    <row r="344" spans="2:11" ht="14.5" customHeight="true">
      <c r="B344" s="830" t="s">
        <v>1083</v>
      </c>
      <c r="C344" s="817">
        <v>23.176470588235293</v>
      </c>
      <c r="D344" s="817">
        <v>700</v>
      </c>
      <c r="E344" s="833">
        <v>2784.705882352941</v>
      </c>
      <c r="F344" s="833">
        <v>2756.7647058823532</v>
      </c>
      <c r="G344" s="832">
        <v>3.9781512605042018</v>
      </c>
      <c r="H344" s="832">
        <v>3.9382352941176473</v>
      </c>
      <c r="I344" s="831">
        <v>1.0033798056611745E-2</v>
      </c>
      <c r="J344" s="817">
        <v>62.3125</v>
      </c>
      <c r="K344" s="817">
        <v>17</v>
      </c>
    </row>
    <row r="345" spans="2:11" ht="14.5" customHeight="true">
      <c r="B345" s="830" t="s">
        <v>1084</v>
      </c>
      <c r="C345" s="817">
        <v>22.38095238095238</v>
      </c>
      <c r="D345" s="817">
        <v>721</v>
      </c>
      <c r="E345" s="833">
        <v>2812.7619047619046</v>
      </c>
      <c r="F345" s="833">
        <v>2796</v>
      </c>
      <c r="G345" s="832">
        <v>3.9208737864077676</v>
      </c>
      <c r="H345" s="832">
        <v>3.8964632454923716</v>
      </c>
      <c r="I345" s="831">
        <v>5.959233425882034E-3</v>
      </c>
      <c r="J345" s="817">
        <v>84.15</v>
      </c>
      <c r="K345" s="817">
        <v>21</v>
      </c>
    </row>
    <row r="346" spans="2:11" ht="14.5" customHeight="true">
      <c r="B346" s="830" t="s">
        <v>1085</v>
      </c>
      <c r="C346" s="817">
        <v>2</v>
      </c>
      <c r="D346" s="817">
        <v>786</v>
      </c>
      <c r="E346" s="833">
        <v>3034</v>
      </c>
      <c r="F346" s="833">
        <v>3034</v>
      </c>
      <c r="G346" s="832">
        <v>3.8600508905852418</v>
      </c>
      <c r="H346" s="832">
        <v>3.8600508905852418</v>
      </c>
      <c r="I346" s="831">
        <v>0</v>
      </c>
      <c r="J346" s="817"/>
      <c r="K346" s="817">
        <v>1</v>
      </c>
    </row>
    <row r="347" spans="2:11" ht="14.5" customHeight="true">
      <c r="B347" s="830" t="s">
        <v>1086</v>
      </c>
      <c r="C347" s="817">
        <v>26</v>
      </c>
      <c r="D347" s="817">
        <v>856.91666666666663</v>
      </c>
      <c r="E347" s="833">
        <v>3077.7272727272725</v>
      </c>
      <c r="F347" s="833">
        <v>3017.6363636363635</v>
      </c>
      <c r="G347" s="832">
        <v>3.6206124481776167</v>
      </c>
      <c r="H347" s="832">
        <v>3.5483008848913244</v>
      </c>
      <c r="I347" s="831">
        <v>1.9524442475262149E-2</v>
      </c>
      <c r="J347" s="817">
        <v>30.416666666666668</v>
      </c>
      <c r="K347" s="817">
        <v>11</v>
      </c>
    </row>
    <row r="348" spans="2:11" ht="14.5" customHeight="true">
      <c r="B348" s="820" t="s">
        <v>270</v>
      </c>
      <c r="C348" s="817">
        <v>28.25925925925926</v>
      </c>
      <c r="D348" s="817">
        <v>1203.7142857142858</v>
      </c>
      <c r="E348" s="833">
        <v>4644.4444444444443</v>
      </c>
      <c r="F348" s="833">
        <v>4618.4444444444443</v>
      </c>
      <c r="G348" s="832">
        <v>3.9698191285027162</v>
      </c>
      <c r="H348" s="832">
        <v>3.9473819459089734</v>
      </c>
      <c r="I348" s="831">
        <v>5.5980861244019136E-3</v>
      </c>
      <c r="J348" s="817">
        <v>63.241379310344826</v>
      </c>
      <c r="K348" s="817">
        <v>27</v>
      </c>
    </row>
    <row r="349" spans="2:11" ht="14.5" customHeight="true">
      <c r="B349" s="830" t="s">
        <v>429</v>
      </c>
      <c r="C349" s="817"/>
      <c r="D349" s="817">
        <v>1518</v>
      </c>
      <c r="E349" s="833"/>
      <c r="F349" s="833"/>
      <c r="G349" s="832"/>
      <c r="H349" s="832"/>
      <c r="I349" s="831" t="e">
        <v>#DIV/0!</v>
      </c>
      <c r="J349" s="817">
        <v>33</v>
      </c>
      <c r="K349" s="817"/>
    </row>
    <row r="350" spans="2:11" ht="14.5" customHeight="true">
      <c r="B350" s="830" t="s">
        <v>422</v>
      </c>
      <c r="C350" s="817">
        <v>43.5</v>
      </c>
      <c r="D350" s="817">
        <v>1073</v>
      </c>
      <c r="E350" s="833">
        <v>4866.5</v>
      </c>
      <c r="F350" s="833">
        <v>4866.5</v>
      </c>
      <c r="G350" s="832">
        <v>4.5354147250698968</v>
      </c>
      <c r="H350" s="832">
        <v>4.5354147250698968</v>
      </c>
      <c r="I350" s="831">
        <v>0</v>
      </c>
      <c r="J350" s="817">
        <v>81</v>
      </c>
      <c r="K350" s="817">
        <v>2</v>
      </c>
    </row>
    <row r="351" spans="2:11" ht="14.5" customHeight="true">
      <c r="B351" s="830" t="s">
        <v>425</v>
      </c>
      <c r="C351" s="817">
        <v>45</v>
      </c>
      <c r="D351" s="817">
        <v>1258</v>
      </c>
      <c r="E351" s="833">
        <v>4620</v>
      </c>
      <c r="F351" s="833">
        <v>4331</v>
      </c>
      <c r="G351" s="832">
        <v>3.6724960254372019</v>
      </c>
      <c r="H351" s="832">
        <v>3.4427662957074721</v>
      </c>
      <c r="I351" s="831">
        <v>6.2554112554112556E-2</v>
      </c>
      <c r="J351" s="817">
        <v>60</v>
      </c>
      <c r="K351" s="817">
        <v>1</v>
      </c>
    </row>
    <row r="352" spans="2:11" ht="14.5" customHeight="true">
      <c r="B352" s="830" t="s">
        <v>428</v>
      </c>
      <c r="C352" s="817"/>
      <c r="D352" s="817">
        <v>1364</v>
      </c>
      <c r="E352" s="833"/>
      <c r="F352" s="833"/>
      <c r="G352" s="832"/>
      <c r="H352" s="832"/>
      <c r="I352" s="831" t="e">
        <v>#DIV/0!</v>
      </c>
      <c r="J352" s="817">
        <v>139</v>
      </c>
      <c r="K352" s="817"/>
    </row>
    <row r="353" spans="2:11" ht="14.5" customHeight="true">
      <c r="B353" s="830" t="s">
        <v>423</v>
      </c>
      <c r="C353" s="817">
        <v>22.8</v>
      </c>
      <c r="D353" s="817">
        <v>1139</v>
      </c>
      <c r="E353" s="833">
        <v>4507.666666666667</v>
      </c>
      <c r="F353" s="833">
        <v>4484.5333333333338</v>
      </c>
      <c r="G353" s="832">
        <v>3.9803085413269796</v>
      </c>
      <c r="H353" s="832">
        <v>3.9585475981437357</v>
      </c>
      <c r="I353" s="831">
        <v>5.1319973378688164E-3</v>
      </c>
      <c r="J353" s="817">
        <v>57.333333333333336</v>
      </c>
      <c r="K353" s="817">
        <v>15</v>
      </c>
    </row>
    <row r="354" spans="2:11" ht="14.5" customHeight="true">
      <c r="B354" s="830" t="s">
        <v>424</v>
      </c>
      <c r="C354" s="817">
        <v>43</v>
      </c>
      <c r="D354" s="817">
        <v>1168</v>
      </c>
      <c r="E354" s="833">
        <v>4896</v>
      </c>
      <c r="F354" s="833">
        <v>4896</v>
      </c>
      <c r="G354" s="832">
        <v>4.1917808219178081</v>
      </c>
      <c r="H354" s="832">
        <v>4.1917808219178081</v>
      </c>
      <c r="I354" s="831">
        <v>0</v>
      </c>
      <c r="J354" s="817">
        <v>68</v>
      </c>
      <c r="K354" s="817">
        <v>1</v>
      </c>
    </row>
    <row r="355" spans="2:11" ht="14.5" customHeight="true">
      <c r="B355" s="830" t="s">
        <v>427</v>
      </c>
      <c r="C355" s="817">
        <v>44</v>
      </c>
      <c r="D355" s="817">
        <v>1273</v>
      </c>
      <c r="E355" s="833">
        <v>4532</v>
      </c>
      <c r="F355" s="833">
        <v>4499</v>
      </c>
      <c r="G355" s="832">
        <v>3.5600942655145325</v>
      </c>
      <c r="H355" s="832">
        <v>3.5341712490180677</v>
      </c>
      <c r="I355" s="831">
        <v>7.2815533980582527E-3</v>
      </c>
      <c r="J355" s="817">
        <v>55.5</v>
      </c>
      <c r="K355" s="817">
        <v>1</v>
      </c>
    </row>
    <row r="356" spans="2:11" ht="14.5" customHeight="true">
      <c r="B356" s="830" t="s">
        <v>426</v>
      </c>
      <c r="C356" s="817">
        <v>2</v>
      </c>
      <c r="D356" s="817">
        <v>1260</v>
      </c>
      <c r="E356" s="833">
        <v>4319</v>
      </c>
      <c r="F356" s="833">
        <v>4319</v>
      </c>
      <c r="G356" s="832">
        <v>3.4277777777777776</v>
      </c>
      <c r="H356" s="832">
        <v>3.4277777777777776</v>
      </c>
      <c r="I356" s="831">
        <v>0</v>
      </c>
      <c r="J356" s="817">
        <v>145</v>
      </c>
      <c r="K356" s="817">
        <v>1</v>
      </c>
    </row>
    <row r="357" spans="2:11" ht="14.5" customHeight="true">
      <c r="B357" s="830" t="s">
        <v>651</v>
      </c>
      <c r="C357" s="817">
        <v>31</v>
      </c>
      <c r="D357" s="817">
        <v>1232.8</v>
      </c>
      <c r="E357" s="833">
        <v>4922.8</v>
      </c>
      <c r="F357" s="833">
        <v>4922.8</v>
      </c>
      <c r="G357" s="832">
        <v>4.0048647340965777</v>
      </c>
      <c r="H357" s="832">
        <v>4.0048647340965777</v>
      </c>
      <c r="I357" s="831">
        <v>0</v>
      </c>
      <c r="J357" s="817">
        <v>72</v>
      </c>
      <c r="K357" s="817">
        <v>5</v>
      </c>
    </row>
    <row r="358" spans="2:11" ht="14.5" customHeight="true">
      <c r="B358" s="830" t="s">
        <v>1087</v>
      </c>
      <c r="C358" s="817">
        <v>45</v>
      </c>
      <c r="D358" s="817">
        <v>1431</v>
      </c>
      <c r="E358" s="833">
        <v>5071</v>
      </c>
      <c r="F358" s="833">
        <v>5038</v>
      </c>
      <c r="G358" s="832">
        <v>3.5436757512229211</v>
      </c>
      <c r="H358" s="832">
        <v>3.5206149545772187</v>
      </c>
      <c r="I358" s="831">
        <v>6.5075921908893707E-3</v>
      </c>
      <c r="J358" s="817">
        <v>30.5</v>
      </c>
      <c r="K358" s="817">
        <v>1</v>
      </c>
    </row>
    <row r="359" spans="2:11" ht="14.5" customHeight="true">
      <c r="B359" s="820" t="s">
        <v>271</v>
      </c>
      <c r="C359" s="817">
        <v>44</v>
      </c>
      <c r="D359" s="817">
        <v>1829</v>
      </c>
      <c r="E359" s="833">
        <v>7142</v>
      </c>
      <c r="F359" s="833">
        <v>7142</v>
      </c>
      <c r="G359" s="832">
        <v>3.9048660470202297</v>
      </c>
      <c r="H359" s="832">
        <v>3.9048660470202297</v>
      </c>
      <c r="I359" s="831">
        <v>0</v>
      </c>
      <c r="J359" s="817">
        <v>7</v>
      </c>
      <c r="K359" s="817">
        <v>1</v>
      </c>
    </row>
    <row r="360" spans="2:11" ht="14.5" customHeight="true">
      <c r="B360" s="830" t="s">
        <v>430</v>
      </c>
      <c r="C360" s="817">
        <v>44</v>
      </c>
      <c r="D360" s="817">
        <v>1829</v>
      </c>
      <c r="E360" s="833">
        <v>7142</v>
      </c>
      <c r="F360" s="833">
        <v>7142</v>
      </c>
      <c r="G360" s="832">
        <v>3.9048660470202297</v>
      </c>
      <c r="H360" s="832">
        <v>3.9048660470202297</v>
      </c>
      <c r="I360" s="831">
        <v>0</v>
      </c>
      <c r="J360" s="817">
        <v>7</v>
      </c>
      <c r="K360" s="817">
        <v>1</v>
      </c>
    </row>
    <row r="361" spans="2:11" ht="14.5" customHeight="true">
      <c r="B361" s="820">
        <v>4</v>
      </c>
      <c r="C361" s="817">
        <v>30</v>
      </c>
      <c r="D361" s="817">
        <v>642</v>
      </c>
      <c r="E361" s="833">
        <v>2202</v>
      </c>
      <c r="F361" s="833">
        <v>2164</v>
      </c>
      <c r="G361" s="832">
        <v>3.4299065420560746</v>
      </c>
      <c r="H361" s="832">
        <v>3.3707165109034269</v>
      </c>
      <c r="I361" s="831">
        <v>1.725703905540418E-2</v>
      </c>
      <c r="J361" s="817">
        <v>8</v>
      </c>
      <c r="K361" s="817">
        <v>1</v>
      </c>
    </row>
    <row r="362" spans="2:11" ht="14.5" customHeight="true">
      <c r="B362" s="830" t="s">
        <v>414</v>
      </c>
      <c r="C362" s="817">
        <v>30</v>
      </c>
      <c r="D362" s="817">
        <v>642</v>
      </c>
      <c r="E362" s="833">
        <v>2202</v>
      </c>
      <c r="F362" s="833">
        <v>2164</v>
      </c>
      <c r="G362" s="832">
        <v>3.4299065420560746</v>
      </c>
      <c r="H362" s="832">
        <v>3.3707165109034269</v>
      </c>
      <c r="I362" s="831">
        <v>1.725703905540418E-2</v>
      </c>
      <c r="J362" s="817">
        <v>8</v>
      </c>
      <c r="K362" s="817">
        <v>1</v>
      </c>
    </row>
    <row r="363" spans="2:11" ht="14.5" customHeight="true">
      <c r="B363" s="816" t="s">
        <v>1111</v>
      </c>
      <c r="C363" s="817">
        <v>31.728506787330318</v>
      </c>
      <c r="D363" s="817">
        <v>737.95022624434387</v>
      </c>
      <c r="E363" s="833">
        <v>3055.6696832579187</v>
      </c>
      <c r="F363" s="833">
        <v>3055.6696832579187</v>
      </c>
      <c r="G363" s="832">
        <v>4.1848210575312397</v>
      </c>
      <c r="H363" s="832">
        <v>4.1848210575312397</v>
      </c>
      <c r="I363" s="831">
        <v>0</v>
      </c>
      <c r="J363" s="817">
        <v>62.592391304347828</v>
      </c>
      <c r="K363" s="817">
        <v>221</v>
      </c>
    </row>
    <row r="364" spans="2:11" ht="14.5" customHeight="true">
      <c r="B364" s="820" t="s">
        <v>13</v>
      </c>
      <c r="C364" s="817">
        <v>30.43661971830986</v>
      </c>
      <c r="D364" s="817">
        <v>561.36619718309862</v>
      </c>
      <c r="E364" s="833">
        <v>2476.8450704225352</v>
      </c>
      <c r="F364" s="833">
        <v>2476.8450704225352</v>
      </c>
      <c r="G364" s="832">
        <v>4.4266001401633286</v>
      </c>
      <c r="H364" s="832">
        <v>4.4266001401633286</v>
      </c>
      <c r="I364" s="831">
        <v>0</v>
      </c>
      <c r="J364" s="817">
        <v>53.38095238095238</v>
      </c>
      <c r="K364" s="817">
        <v>71</v>
      </c>
    </row>
    <row r="365" spans="2:11" ht="14.5" customHeight="true">
      <c r="B365" s="830" t="s">
        <v>1112</v>
      </c>
      <c r="C365" s="817">
        <v>30.421052631578949</v>
      </c>
      <c r="D365" s="817">
        <v>502</v>
      </c>
      <c r="E365" s="833">
        <v>2357.9473684210525</v>
      </c>
      <c r="F365" s="833">
        <v>2357.9473684210525</v>
      </c>
      <c r="G365" s="832">
        <v>4.6971063115957232</v>
      </c>
      <c r="H365" s="832">
        <v>4.6971063115957232</v>
      </c>
      <c r="I365" s="831">
        <v>0</v>
      </c>
      <c r="J365" s="817">
        <v>51</v>
      </c>
      <c r="K365" s="817">
        <v>19</v>
      </c>
    </row>
    <row r="366" spans="2:11" ht="14.5" customHeight="true">
      <c r="B366" s="830" t="s">
        <v>1113</v>
      </c>
      <c r="C366" s="817">
        <v>36.6</v>
      </c>
      <c r="D366" s="817">
        <v>502</v>
      </c>
      <c r="E366" s="833">
        <v>2295</v>
      </c>
      <c r="F366" s="833">
        <v>2295</v>
      </c>
      <c r="G366" s="832">
        <v>4.5717131474103585</v>
      </c>
      <c r="H366" s="832">
        <v>4.5717131474103585</v>
      </c>
      <c r="I366" s="831">
        <v>0</v>
      </c>
      <c r="J366" s="817">
        <v>130</v>
      </c>
      <c r="K366" s="817">
        <v>5</v>
      </c>
    </row>
    <row r="367" spans="2:11" ht="14.5" customHeight="true">
      <c r="B367" s="830" t="s">
        <v>1114</v>
      </c>
      <c r="C367" s="817">
        <v>28.923076923076923</v>
      </c>
      <c r="D367" s="817">
        <v>574</v>
      </c>
      <c r="E367" s="833">
        <v>2385.9230769230771</v>
      </c>
      <c r="F367" s="833">
        <v>2385.9230769230771</v>
      </c>
      <c r="G367" s="832">
        <v>4.156660412757974</v>
      </c>
      <c r="H367" s="832">
        <v>4.156660412757974</v>
      </c>
      <c r="I367" s="831">
        <v>0</v>
      </c>
      <c r="J367" s="817">
        <v>40.769230769230766</v>
      </c>
      <c r="K367" s="817">
        <v>13</v>
      </c>
    </row>
    <row r="368" spans="2:11" ht="14.5" customHeight="true">
      <c r="B368" s="830" t="s">
        <v>1115</v>
      </c>
      <c r="C368" s="817">
        <v>32.10526315789474</v>
      </c>
      <c r="D368" s="817">
        <v>591.68421052631584</v>
      </c>
      <c r="E368" s="833">
        <v>2764.3684210526317</v>
      </c>
      <c r="F368" s="833">
        <v>2764.3684210526317</v>
      </c>
      <c r="G368" s="832">
        <v>4.6723404517057068</v>
      </c>
      <c r="H368" s="832">
        <v>4.6723404517057068</v>
      </c>
      <c r="I368" s="831">
        <v>0</v>
      </c>
      <c r="J368" s="817">
        <v>57.5625</v>
      </c>
      <c r="K368" s="817">
        <v>19</v>
      </c>
    </row>
    <row r="369" spans="2:11" ht="14.5" customHeight="true">
      <c r="B369" s="830" t="s">
        <v>1116</v>
      </c>
      <c r="C369" s="817">
        <v>26.571428571428573</v>
      </c>
      <c r="D369" s="817">
        <v>607</v>
      </c>
      <c r="E369" s="833">
        <v>2342.8571428571427</v>
      </c>
      <c r="F369" s="833">
        <v>2342.8571428571427</v>
      </c>
      <c r="G369" s="832">
        <v>3.8597317015768411</v>
      </c>
      <c r="H369" s="832">
        <v>3.8597317015768411</v>
      </c>
      <c r="I369" s="831">
        <v>0</v>
      </c>
      <c r="J369" s="817">
        <v>9.1428571428571423</v>
      </c>
      <c r="K369" s="817">
        <v>7</v>
      </c>
    </row>
    <row r="370" spans="2:11" ht="14.5" customHeight="true">
      <c r="B370" s="830" t="s">
        <v>1117</v>
      </c>
      <c r="C370" s="817">
        <v>28.5</v>
      </c>
      <c r="D370" s="817">
        <v>607</v>
      </c>
      <c r="E370" s="833">
        <v>2455</v>
      </c>
      <c r="F370" s="833">
        <v>2455</v>
      </c>
      <c r="G370" s="832">
        <v>4.0444810543657335</v>
      </c>
      <c r="H370" s="832">
        <v>4.0444810543657335</v>
      </c>
      <c r="I370" s="831">
        <v>0</v>
      </c>
      <c r="J370" s="817">
        <v>73.142857142857139</v>
      </c>
      <c r="K370" s="817">
        <v>8</v>
      </c>
    </row>
    <row r="371" spans="2:11" ht="14.5" customHeight="true">
      <c r="B371" s="820" t="s">
        <v>269</v>
      </c>
      <c r="C371" s="817">
        <v>32.990909090909092</v>
      </c>
      <c r="D371" s="817">
        <v>716.1</v>
      </c>
      <c r="E371" s="833">
        <v>2921.3272727272729</v>
      </c>
      <c r="F371" s="833">
        <v>2921.3272727272729</v>
      </c>
      <c r="G371" s="832">
        <v>4.0942676168307273</v>
      </c>
      <c r="H371" s="832">
        <v>4.0942676168307273</v>
      </c>
      <c r="I371" s="831">
        <v>0</v>
      </c>
      <c r="J371" s="817">
        <v>68.306818181818187</v>
      </c>
      <c r="K371" s="817">
        <v>110</v>
      </c>
    </row>
    <row r="372" spans="2:11" ht="14.5" customHeight="true">
      <c r="B372" s="830" t="s">
        <v>1118</v>
      </c>
      <c r="C372" s="817">
        <v>37</v>
      </c>
      <c r="D372" s="817">
        <v>574</v>
      </c>
      <c r="E372" s="833">
        <v>2123</v>
      </c>
      <c r="F372" s="833">
        <v>2123</v>
      </c>
      <c r="G372" s="832">
        <v>3.6986062717770034</v>
      </c>
      <c r="H372" s="832">
        <v>3.6986062717770034</v>
      </c>
      <c r="I372" s="831">
        <v>0</v>
      </c>
      <c r="J372" s="817">
        <v>9</v>
      </c>
      <c r="K372" s="817">
        <v>1</v>
      </c>
    </row>
    <row r="373" spans="2:11" ht="14.5" customHeight="true">
      <c r="B373" s="830" t="s">
        <v>1119</v>
      </c>
      <c r="C373" s="817">
        <v>41.5</v>
      </c>
      <c r="D373" s="817">
        <v>578</v>
      </c>
      <c r="E373" s="833">
        <v>2444.25</v>
      </c>
      <c r="F373" s="833">
        <v>2444.25</v>
      </c>
      <c r="G373" s="832">
        <v>4.2288062283737027</v>
      </c>
      <c r="H373" s="832">
        <v>4.2288062283737027</v>
      </c>
      <c r="I373" s="831">
        <v>0</v>
      </c>
      <c r="J373" s="817">
        <v>194.57142857142858</v>
      </c>
      <c r="K373" s="817">
        <v>8</v>
      </c>
    </row>
    <row r="374" spans="2:11" ht="14.5" customHeight="true">
      <c r="B374" s="830" t="s">
        <v>1120</v>
      </c>
      <c r="C374" s="817">
        <v>42</v>
      </c>
      <c r="D374" s="817">
        <v>607</v>
      </c>
      <c r="E374" s="833">
        <v>2779.4</v>
      </c>
      <c r="F374" s="833">
        <v>2779.4</v>
      </c>
      <c r="G374" s="832">
        <v>4.5789126853377251</v>
      </c>
      <c r="H374" s="832">
        <v>4.5789126853377251</v>
      </c>
      <c r="I374" s="831">
        <v>0</v>
      </c>
      <c r="J374" s="817">
        <v>92.5</v>
      </c>
      <c r="K374" s="817">
        <v>5</v>
      </c>
    </row>
    <row r="375" spans="2:11" ht="14.5" customHeight="true">
      <c r="B375" s="830" t="s">
        <v>1121</v>
      </c>
      <c r="C375" s="817">
        <v>39.75</v>
      </c>
      <c r="D375" s="817">
        <v>607</v>
      </c>
      <c r="E375" s="833">
        <v>2820.5</v>
      </c>
      <c r="F375" s="833">
        <v>2820.5</v>
      </c>
      <c r="G375" s="832">
        <v>4.6466227347611202</v>
      </c>
      <c r="H375" s="832">
        <v>4.6466227347611202</v>
      </c>
      <c r="I375" s="831">
        <v>0</v>
      </c>
      <c r="J375" s="817">
        <v>140.33333333333334</v>
      </c>
      <c r="K375" s="817">
        <v>4</v>
      </c>
    </row>
    <row r="376" spans="2:11" ht="14.5" customHeight="true">
      <c r="B376" s="830" t="s">
        <v>1122</v>
      </c>
      <c r="C376" s="817">
        <v>31.45</v>
      </c>
      <c r="D376" s="817">
        <v>702.7</v>
      </c>
      <c r="E376" s="833">
        <v>3021.55</v>
      </c>
      <c r="F376" s="833">
        <v>3021.55</v>
      </c>
      <c r="G376" s="832">
        <v>4.2999609933820455</v>
      </c>
      <c r="H376" s="832">
        <v>4.2999609933820455</v>
      </c>
      <c r="I376" s="831">
        <v>0</v>
      </c>
      <c r="J376" s="817">
        <v>56.470588235294116</v>
      </c>
      <c r="K376" s="817">
        <v>20</v>
      </c>
    </row>
    <row r="377" spans="2:11" ht="14.5" customHeight="true">
      <c r="B377" s="830" t="s">
        <v>1123</v>
      </c>
      <c r="C377" s="817">
        <v>32.166666666666664</v>
      </c>
      <c r="D377" s="817">
        <v>702.66666666666663</v>
      </c>
      <c r="E377" s="833">
        <v>2826.3333333333335</v>
      </c>
      <c r="F377" s="833">
        <v>2826.3333333333335</v>
      </c>
      <c r="G377" s="832">
        <v>4.0224472110437022</v>
      </c>
      <c r="H377" s="832">
        <v>4.0224472110437022</v>
      </c>
      <c r="I377" s="831">
        <v>0</v>
      </c>
      <c r="J377" s="817">
        <v>41.4</v>
      </c>
      <c r="K377" s="817">
        <v>6</v>
      </c>
    </row>
    <row r="378" spans="2:11" ht="14.5" customHeight="true">
      <c r="B378" s="830" t="s">
        <v>1124</v>
      </c>
      <c r="C378" s="817">
        <v>22</v>
      </c>
      <c r="D378" s="817">
        <v>717</v>
      </c>
      <c r="E378" s="833">
        <v>2460.6666666666665</v>
      </c>
      <c r="F378" s="833">
        <v>2460.6666666666665</v>
      </c>
      <c r="G378" s="832">
        <v>3.4318921431892142</v>
      </c>
      <c r="H378" s="832">
        <v>3.4318921431892142</v>
      </c>
      <c r="I378" s="831">
        <v>0</v>
      </c>
      <c r="J378" s="817">
        <v>7</v>
      </c>
      <c r="K378" s="817">
        <v>3</v>
      </c>
    </row>
    <row r="379" spans="2:11" ht="14.5" customHeight="true">
      <c r="B379" s="830" t="s">
        <v>1125</v>
      </c>
      <c r="C379" s="817">
        <v>22.8</v>
      </c>
      <c r="D379" s="817">
        <v>717</v>
      </c>
      <c r="E379" s="833">
        <v>2658.8</v>
      </c>
      <c r="F379" s="833">
        <v>2658.8</v>
      </c>
      <c r="G379" s="832">
        <v>3.708228730822873</v>
      </c>
      <c r="H379" s="832">
        <v>3.708228730822873</v>
      </c>
      <c r="I379" s="831">
        <v>0</v>
      </c>
      <c r="J379" s="817">
        <v>36.5</v>
      </c>
      <c r="K379" s="817">
        <v>5</v>
      </c>
    </row>
    <row r="380" spans="2:11" ht="14.5" customHeight="true">
      <c r="B380" s="830" t="s">
        <v>1126</v>
      </c>
      <c r="C380" s="817">
        <v>35.666666666666664</v>
      </c>
      <c r="D380" s="817">
        <v>723</v>
      </c>
      <c r="E380" s="833">
        <v>2805.5</v>
      </c>
      <c r="F380" s="833">
        <v>2805.5</v>
      </c>
      <c r="G380" s="832">
        <v>3.8803596127247579</v>
      </c>
      <c r="H380" s="832">
        <v>3.8803596127247579</v>
      </c>
      <c r="I380" s="831">
        <v>0</v>
      </c>
      <c r="J380" s="817">
        <v>79</v>
      </c>
      <c r="K380" s="817">
        <v>6</v>
      </c>
    </row>
    <row r="381" spans="2:11" ht="14.5" customHeight="true">
      <c r="B381" s="830" t="s">
        <v>1127</v>
      </c>
      <c r="C381" s="817">
        <v>36.857142857142854</v>
      </c>
      <c r="D381" s="817">
        <v>723</v>
      </c>
      <c r="E381" s="833">
        <v>3098.2857142857142</v>
      </c>
      <c r="F381" s="833">
        <v>3098.2857142857142</v>
      </c>
      <c r="G381" s="832">
        <v>4.2853191068958703</v>
      </c>
      <c r="H381" s="832">
        <v>4.2853191068958703</v>
      </c>
      <c r="I381" s="831">
        <v>0</v>
      </c>
      <c r="J381" s="817">
        <v>51.25</v>
      </c>
      <c r="K381" s="817">
        <v>7</v>
      </c>
    </row>
    <row r="382" spans="2:11" ht="14.5" customHeight="true">
      <c r="B382" s="830" t="s">
        <v>1128</v>
      </c>
      <c r="C382" s="817">
        <v>28</v>
      </c>
      <c r="D382" s="817">
        <v>754</v>
      </c>
      <c r="E382" s="833">
        <v>2925.2</v>
      </c>
      <c r="F382" s="833">
        <v>2925.2</v>
      </c>
      <c r="G382" s="832">
        <v>3.8795755968169763</v>
      </c>
      <c r="H382" s="832">
        <v>3.8795755968169763</v>
      </c>
      <c r="I382" s="831">
        <v>0</v>
      </c>
      <c r="J382" s="817">
        <v>25.5</v>
      </c>
      <c r="K382" s="817">
        <v>5</v>
      </c>
    </row>
    <row r="383" spans="2:11" ht="14.5" customHeight="true">
      <c r="B383" s="830" t="s">
        <v>1129</v>
      </c>
      <c r="C383" s="817">
        <v>31.65</v>
      </c>
      <c r="D383" s="817">
        <v>754</v>
      </c>
      <c r="E383" s="833">
        <v>3266.95</v>
      </c>
      <c r="F383" s="833">
        <v>3266.95</v>
      </c>
      <c r="G383" s="832">
        <v>4.3328249336870028</v>
      </c>
      <c r="H383" s="832">
        <v>4.3328249336870028</v>
      </c>
      <c r="I383" s="831">
        <v>0</v>
      </c>
      <c r="J383" s="817">
        <v>75.3125</v>
      </c>
      <c r="K383" s="817">
        <v>20</v>
      </c>
    </row>
    <row r="384" spans="2:11" ht="14.5" customHeight="true">
      <c r="B384" s="830" t="s">
        <v>1130</v>
      </c>
      <c r="C384" s="817">
        <v>18</v>
      </c>
      <c r="D384" s="817">
        <v>782</v>
      </c>
      <c r="E384" s="833">
        <v>2413</v>
      </c>
      <c r="F384" s="833">
        <v>2413</v>
      </c>
      <c r="G384" s="832">
        <v>3.085677749360614</v>
      </c>
      <c r="H384" s="832">
        <v>3.085677749360614</v>
      </c>
      <c r="I384" s="831">
        <v>0</v>
      </c>
      <c r="J384" s="817">
        <v>53</v>
      </c>
      <c r="K384" s="817">
        <v>1</v>
      </c>
    </row>
    <row r="385" spans="2:11" ht="14.5" customHeight="true">
      <c r="B385" s="830" t="s">
        <v>1131</v>
      </c>
      <c r="C385" s="817">
        <v>23.6</v>
      </c>
      <c r="D385" s="817">
        <v>782</v>
      </c>
      <c r="E385" s="833">
        <v>2741.8</v>
      </c>
      <c r="F385" s="833">
        <v>2741.8</v>
      </c>
      <c r="G385" s="832">
        <v>3.5061381074168794</v>
      </c>
      <c r="H385" s="832">
        <v>3.5061381074168794</v>
      </c>
      <c r="I385" s="831">
        <v>0</v>
      </c>
      <c r="J385" s="817">
        <v>34.25</v>
      </c>
      <c r="K385" s="817">
        <v>5</v>
      </c>
    </row>
    <row r="386" spans="2:11" ht="14.5" customHeight="true">
      <c r="B386" s="830" t="s">
        <v>1132</v>
      </c>
      <c r="C386" s="817">
        <v>17</v>
      </c>
      <c r="D386" s="817">
        <v>782</v>
      </c>
      <c r="E386" s="833">
        <v>2750</v>
      </c>
      <c r="F386" s="833">
        <v>2750</v>
      </c>
      <c r="G386" s="832">
        <v>3.5166240409207159</v>
      </c>
      <c r="H386" s="832">
        <v>3.5166240409207159</v>
      </c>
      <c r="I386" s="831">
        <v>0</v>
      </c>
      <c r="J386" s="817"/>
      <c r="K386" s="817">
        <v>1</v>
      </c>
    </row>
    <row r="387" spans="2:11" ht="14.5" customHeight="true">
      <c r="B387" s="830" t="s">
        <v>1133</v>
      </c>
      <c r="C387" s="817">
        <v>36</v>
      </c>
      <c r="D387" s="817">
        <v>797</v>
      </c>
      <c r="E387" s="833">
        <v>3014.1666666666665</v>
      </c>
      <c r="F387" s="833">
        <v>3014.1666666666665</v>
      </c>
      <c r="G387" s="832">
        <v>3.781890422417399</v>
      </c>
      <c r="H387" s="832">
        <v>3.781890422417399</v>
      </c>
      <c r="I387" s="831">
        <v>0</v>
      </c>
      <c r="J387" s="817">
        <v>38.6</v>
      </c>
      <c r="K387" s="817">
        <v>6</v>
      </c>
    </row>
    <row r="388" spans="2:11" ht="14.5" customHeight="true">
      <c r="B388" s="830" t="s">
        <v>1134</v>
      </c>
      <c r="C388" s="817">
        <v>33.666666666666664</v>
      </c>
      <c r="D388" s="817">
        <v>797</v>
      </c>
      <c r="E388" s="833">
        <v>2915</v>
      </c>
      <c r="F388" s="833">
        <v>2915</v>
      </c>
      <c r="G388" s="832">
        <v>3.6574654956085322</v>
      </c>
      <c r="H388" s="832">
        <v>3.6574654956085322</v>
      </c>
      <c r="I388" s="831">
        <v>0</v>
      </c>
      <c r="J388" s="817">
        <v>49</v>
      </c>
      <c r="K388" s="817">
        <v>3</v>
      </c>
    </row>
    <row r="389" spans="2:11" ht="14.5" customHeight="true">
      <c r="B389" s="830" t="s">
        <v>1135</v>
      </c>
      <c r="C389" s="817">
        <v>43</v>
      </c>
      <c r="D389" s="817">
        <v>802</v>
      </c>
      <c r="E389" s="833">
        <v>2701</v>
      </c>
      <c r="F389" s="833">
        <v>2701</v>
      </c>
      <c r="G389" s="832">
        <v>3.3678304239401498</v>
      </c>
      <c r="H389" s="832">
        <v>3.3678304239401498</v>
      </c>
      <c r="I389" s="831">
        <v>0</v>
      </c>
      <c r="J389" s="817">
        <v>10</v>
      </c>
      <c r="K389" s="817">
        <v>1</v>
      </c>
    </row>
    <row r="390" spans="2:11" ht="14.5" customHeight="true">
      <c r="B390" s="830" t="s">
        <v>1136</v>
      </c>
      <c r="C390" s="817">
        <v>43.666666666666664</v>
      </c>
      <c r="D390" s="817">
        <v>802</v>
      </c>
      <c r="E390" s="833">
        <v>3178.6666666666665</v>
      </c>
      <c r="F390" s="833">
        <v>3178.6666666666665</v>
      </c>
      <c r="G390" s="832">
        <v>3.9634247714048212</v>
      </c>
      <c r="H390" s="832">
        <v>3.9634247714048212</v>
      </c>
      <c r="I390" s="831">
        <v>0</v>
      </c>
      <c r="J390" s="817">
        <v>74.333333333333329</v>
      </c>
      <c r="K390" s="817">
        <v>3</v>
      </c>
    </row>
    <row r="391" spans="2:11" ht="14.5" customHeight="true">
      <c r="B391" s="820" t="s">
        <v>270</v>
      </c>
      <c r="C391" s="817">
        <v>30.55</v>
      </c>
      <c r="D391" s="817">
        <v>1111.4749999999999</v>
      </c>
      <c r="E391" s="833">
        <v>4452.5249999999996</v>
      </c>
      <c r="F391" s="833">
        <v>4452.5249999999996</v>
      </c>
      <c r="G391" s="832">
        <v>4.0046851477856933</v>
      </c>
      <c r="H391" s="832">
        <v>4.0046851477856933</v>
      </c>
      <c r="I391" s="831">
        <v>0</v>
      </c>
      <c r="J391" s="817">
        <v>64.939393939393938</v>
      </c>
      <c r="K391" s="817">
        <v>40</v>
      </c>
    </row>
    <row r="392" spans="2:11" ht="14.5" customHeight="true">
      <c r="B392" s="830" t="s">
        <v>1137</v>
      </c>
      <c r="C392" s="817">
        <v>20</v>
      </c>
      <c r="D392" s="817">
        <v>1088</v>
      </c>
      <c r="E392" s="833">
        <v>3647.6666666666665</v>
      </c>
      <c r="F392" s="833">
        <v>3647.6666666666665</v>
      </c>
      <c r="G392" s="832">
        <v>3.352634803921569</v>
      </c>
      <c r="H392" s="832">
        <v>3.352634803921569</v>
      </c>
      <c r="I392" s="831">
        <v>0</v>
      </c>
      <c r="J392" s="817">
        <v>41.666666666666664</v>
      </c>
      <c r="K392" s="817">
        <v>3</v>
      </c>
    </row>
    <row r="393" spans="2:11" ht="14.5" customHeight="true">
      <c r="B393" s="830" t="s">
        <v>1138</v>
      </c>
      <c r="C393" s="817">
        <v>19</v>
      </c>
      <c r="D393" s="817">
        <v>1088</v>
      </c>
      <c r="E393" s="833">
        <v>4017.5</v>
      </c>
      <c r="F393" s="833">
        <v>4017.5</v>
      </c>
      <c r="G393" s="832">
        <v>3.6925551470588234</v>
      </c>
      <c r="H393" s="832">
        <v>3.6925551470588234</v>
      </c>
      <c r="I393" s="831">
        <v>0</v>
      </c>
      <c r="J393" s="817">
        <v>56</v>
      </c>
      <c r="K393" s="817">
        <v>2</v>
      </c>
    </row>
    <row r="394" spans="2:11" ht="14.5" customHeight="true">
      <c r="B394" s="830" t="s">
        <v>1139</v>
      </c>
      <c r="C394" s="817">
        <v>24.75</v>
      </c>
      <c r="D394" s="817">
        <v>1097</v>
      </c>
      <c r="E394" s="833">
        <v>4631.75</v>
      </c>
      <c r="F394" s="833">
        <v>4631.75</v>
      </c>
      <c r="G394" s="832">
        <v>4.2221969006381039</v>
      </c>
      <c r="H394" s="832">
        <v>4.2221969006381039</v>
      </c>
      <c r="I394" s="831">
        <v>0</v>
      </c>
      <c r="J394" s="817">
        <v>77.666666666666671</v>
      </c>
      <c r="K394" s="817">
        <v>4</v>
      </c>
    </row>
    <row r="395" spans="2:11" ht="14.5" customHeight="true">
      <c r="B395" s="830" t="s">
        <v>1140</v>
      </c>
      <c r="C395" s="817">
        <v>34.1</v>
      </c>
      <c r="D395" s="817">
        <v>1100</v>
      </c>
      <c r="E395" s="833">
        <v>4408</v>
      </c>
      <c r="F395" s="833">
        <v>4408</v>
      </c>
      <c r="G395" s="832">
        <v>4.0072727272727278</v>
      </c>
      <c r="H395" s="832">
        <v>4.0072727272727278</v>
      </c>
      <c r="I395" s="831">
        <v>0</v>
      </c>
      <c r="J395" s="817">
        <v>48.875</v>
      </c>
      <c r="K395" s="817">
        <v>10</v>
      </c>
    </row>
    <row r="396" spans="2:11" ht="14.5" customHeight="true">
      <c r="B396" s="830" t="s">
        <v>1141</v>
      </c>
      <c r="C396" s="817">
        <v>41</v>
      </c>
      <c r="D396" s="817">
        <v>1100</v>
      </c>
      <c r="E396" s="833">
        <v>4405</v>
      </c>
      <c r="F396" s="833">
        <v>4405</v>
      </c>
      <c r="G396" s="832">
        <v>4.0045454545454549</v>
      </c>
      <c r="H396" s="832">
        <v>4.0045454545454549</v>
      </c>
      <c r="I396" s="831">
        <v>0</v>
      </c>
      <c r="J396" s="817">
        <v>238</v>
      </c>
      <c r="K396" s="817">
        <v>1</v>
      </c>
    </row>
    <row r="397" spans="2:11" ht="14.5" customHeight="true">
      <c r="B397" s="830" t="s">
        <v>1142</v>
      </c>
      <c r="C397" s="817">
        <v>43.5</v>
      </c>
      <c r="D397" s="817">
        <v>1118</v>
      </c>
      <c r="E397" s="833">
        <v>4919.5</v>
      </c>
      <c r="F397" s="833">
        <v>4919.5</v>
      </c>
      <c r="G397" s="832">
        <v>4.4002683363148476</v>
      </c>
      <c r="H397" s="832">
        <v>4.4002683363148476</v>
      </c>
      <c r="I397" s="831">
        <v>0</v>
      </c>
      <c r="J397" s="817">
        <v>42</v>
      </c>
      <c r="K397" s="817">
        <v>4</v>
      </c>
    </row>
    <row r="398" spans="2:11" ht="14.5" customHeight="true">
      <c r="B398" s="830" t="s">
        <v>1143</v>
      </c>
      <c r="C398" s="817">
        <v>34.125</v>
      </c>
      <c r="D398" s="817">
        <v>1123</v>
      </c>
      <c r="E398" s="833">
        <v>4589</v>
      </c>
      <c r="F398" s="833">
        <v>4589</v>
      </c>
      <c r="G398" s="832">
        <v>4.0863757791629567</v>
      </c>
      <c r="H398" s="832">
        <v>4.0863757791629567</v>
      </c>
      <c r="I398" s="831">
        <v>0</v>
      </c>
      <c r="J398" s="817">
        <v>65.857142857142861</v>
      </c>
      <c r="K398" s="817">
        <v>8</v>
      </c>
    </row>
    <row r="399" spans="2:11" ht="14.5" customHeight="true">
      <c r="B399" s="830" t="s">
        <v>1144</v>
      </c>
      <c r="C399" s="817">
        <v>21.2</v>
      </c>
      <c r="D399" s="817">
        <v>1134</v>
      </c>
      <c r="E399" s="833">
        <v>4348.8</v>
      </c>
      <c r="F399" s="833">
        <v>4348.8</v>
      </c>
      <c r="G399" s="832">
        <v>3.8349206349206346</v>
      </c>
      <c r="H399" s="832">
        <v>3.8349206349206346</v>
      </c>
      <c r="I399" s="831">
        <v>0</v>
      </c>
      <c r="J399" s="817">
        <v>71.666666666666671</v>
      </c>
      <c r="K399" s="817">
        <v>5</v>
      </c>
    </row>
    <row r="400" spans="2:11" ht="14.5" customHeight="true">
      <c r="B400" s="830" t="s">
        <v>1145</v>
      </c>
      <c r="C400" s="817">
        <v>22.5</v>
      </c>
      <c r="D400" s="817">
        <v>1134</v>
      </c>
      <c r="E400" s="833">
        <v>4034</v>
      </c>
      <c r="F400" s="833">
        <v>4034</v>
      </c>
      <c r="G400" s="832">
        <v>3.5573192239858908</v>
      </c>
      <c r="H400" s="832">
        <v>3.5573192239858908</v>
      </c>
      <c r="I400" s="831">
        <v>0</v>
      </c>
      <c r="J400" s="817">
        <v>100</v>
      </c>
      <c r="K400" s="817">
        <v>2</v>
      </c>
    </row>
    <row r="401" spans="2:11" ht="14.5" customHeight="true">
      <c r="B401" s="830" t="s">
        <v>1146</v>
      </c>
      <c r="C401" s="817">
        <v>45</v>
      </c>
      <c r="D401" s="817">
        <v>1137</v>
      </c>
      <c r="E401" s="833">
        <v>5909</v>
      </c>
      <c r="F401" s="833">
        <v>5909</v>
      </c>
      <c r="G401" s="832">
        <v>5.1970096745822341</v>
      </c>
      <c r="H401" s="832">
        <v>5.1970096745822341</v>
      </c>
      <c r="I401" s="831">
        <v>0</v>
      </c>
      <c r="J401" s="817"/>
      <c r="K401" s="817">
        <v>1</v>
      </c>
    </row>
    <row r="402" spans="2:11" ht="14.5" customHeight="true">
      <c r="B402" s="816" t="s">
        <v>1151</v>
      </c>
      <c r="C402" s="817">
        <v>24.373333333333335</v>
      </c>
      <c r="D402" s="817">
        <v>772.38</v>
      </c>
      <c r="E402" s="833">
        <v>2865.33</v>
      </c>
      <c r="F402" s="833">
        <v>2853.0533333333333</v>
      </c>
      <c r="G402" s="832">
        <v>3.7261171899672982</v>
      </c>
      <c r="H402" s="832">
        <v>3.7109454135077509</v>
      </c>
      <c r="I402" s="831">
        <v>4.2845559382921573E-3</v>
      </c>
      <c r="J402" s="817">
        <v>44.978102189781019</v>
      </c>
      <c r="K402" s="817">
        <v>300</v>
      </c>
    </row>
    <row r="403" spans="2:11" ht="14.5" customHeight="true">
      <c r="B403" s="820" t="s">
        <v>13</v>
      </c>
      <c r="C403" s="817">
        <v>23.63529411764706</v>
      </c>
      <c r="D403" s="817">
        <v>588.83529411764709</v>
      </c>
      <c r="E403" s="833">
        <v>2230.2235294117645</v>
      </c>
      <c r="F403" s="833">
        <v>2224.8117647058825</v>
      </c>
      <c r="G403" s="832">
        <v>3.8162638620330438</v>
      </c>
      <c r="H403" s="832">
        <v>3.8067330159096322</v>
      </c>
      <c r="I403" s="831">
        <v>2.426557084755419E-3</v>
      </c>
      <c r="J403" s="817">
        <v>54.573333333333331</v>
      </c>
      <c r="K403" s="817">
        <v>85</v>
      </c>
    </row>
    <row r="404" spans="2:11" ht="14.5" customHeight="true">
      <c r="B404" s="830" t="s">
        <v>1152</v>
      </c>
      <c r="C404" s="817">
        <v>20.84</v>
      </c>
      <c r="D404" s="817">
        <v>522</v>
      </c>
      <c r="E404" s="833">
        <v>2258.44</v>
      </c>
      <c r="F404" s="833">
        <v>2252.44</v>
      </c>
      <c r="G404" s="832">
        <v>4.3265134099616862</v>
      </c>
      <c r="H404" s="832">
        <v>4.3150191570881216</v>
      </c>
      <c r="I404" s="831">
        <v>2.6567010857051769E-3</v>
      </c>
      <c r="J404" s="817">
        <v>54.565217391304351</v>
      </c>
      <c r="K404" s="817">
        <v>25</v>
      </c>
    </row>
    <row r="405" spans="2:11" ht="14.5" customHeight="true">
      <c r="B405" s="830" t="s">
        <v>1153</v>
      </c>
      <c r="C405" s="817">
        <v>42</v>
      </c>
      <c r="D405" s="817">
        <v>538</v>
      </c>
      <c r="E405" s="833">
        <v>2236</v>
      </c>
      <c r="F405" s="833">
        <v>2236</v>
      </c>
      <c r="G405" s="832">
        <v>4.1561338289962828</v>
      </c>
      <c r="H405" s="832">
        <v>4.1561338289962828</v>
      </c>
      <c r="I405" s="831">
        <v>0</v>
      </c>
      <c r="J405" s="817">
        <v>60</v>
      </c>
      <c r="K405" s="817">
        <v>1</v>
      </c>
    </row>
    <row r="406" spans="2:11" ht="14.5" customHeight="true">
      <c r="B406" s="830" t="s">
        <v>1154</v>
      </c>
      <c r="C406" s="817">
        <v>42.5</v>
      </c>
      <c r="D406" s="817">
        <v>538</v>
      </c>
      <c r="E406" s="833">
        <v>2305</v>
      </c>
      <c r="F406" s="833">
        <v>2305</v>
      </c>
      <c r="G406" s="832">
        <v>4.2843866171003722</v>
      </c>
      <c r="H406" s="832">
        <v>4.2843866171003722</v>
      </c>
      <c r="I406" s="831">
        <v>0</v>
      </c>
      <c r="J406" s="817">
        <v>9.5</v>
      </c>
      <c r="K406" s="817">
        <v>2</v>
      </c>
    </row>
    <row r="407" spans="2:11" ht="14.5" customHeight="true">
      <c r="B407" s="830" t="s">
        <v>1155</v>
      </c>
      <c r="C407" s="817">
        <v>19.666666666666668</v>
      </c>
      <c r="D407" s="817">
        <v>571</v>
      </c>
      <c r="E407" s="833">
        <v>2141.6666666666665</v>
      </c>
      <c r="F407" s="833">
        <v>2141.6666666666665</v>
      </c>
      <c r="G407" s="832">
        <v>3.7507297139521305</v>
      </c>
      <c r="H407" s="832">
        <v>3.7507297139521305</v>
      </c>
      <c r="I407" s="831">
        <v>0</v>
      </c>
      <c r="J407" s="817">
        <v>71</v>
      </c>
      <c r="K407" s="817">
        <v>3</v>
      </c>
    </row>
    <row r="408" spans="2:11" ht="14.5" customHeight="true">
      <c r="B408" s="830" t="s">
        <v>1156</v>
      </c>
      <c r="C408" s="817">
        <v>24.210526315789473</v>
      </c>
      <c r="D408" s="817">
        <v>593</v>
      </c>
      <c r="E408" s="833">
        <v>2143.3684210526317</v>
      </c>
      <c r="F408" s="833">
        <v>2127.0526315789475</v>
      </c>
      <c r="G408" s="832">
        <v>3.6144492766486196</v>
      </c>
      <c r="H408" s="832">
        <v>3.5869352977722557</v>
      </c>
      <c r="I408" s="831">
        <v>7.6122188390138493E-3</v>
      </c>
      <c r="J408" s="817">
        <v>23</v>
      </c>
      <c r="K408" s="817">
        <v>19</v>
      </c>
    </row>
    <row r="409" spans="2:11" ht="14.5" customHeight="true">
      <c r="B409" s="830" t="s">
        <v>1157</v>
      </c>
      <c r="C409" s="817">
        <v>18.857142857142858</v>
      </c>
      <c r="D409" s="817">
        <v>593</v>
      </c>
      <c r="E409" s="833">
        <v>2086.7142857142858</v>
      </c>
      <c r="F409" s="833">
        <v>2086.7142857142858</v>
      </c>
      <c r="G409" s="832">
        <v>3.5189111057576485</v>
      </c>
      <c r="H409" s="832">
        <v>3.5189111057576485</v>
      </c>
      <c r="I409" s="831">
        <v>0</v>
      </c>
      <c r="J409" s="817">
        <v>71.5</v>
      </c>
      <c r="K409" s="817">
        <v>7</v>
      </c>
    </row>
    <row r="410" spans="2:11" ht="14.5" customHeight="true">
      <c r="B410" s="830" t="s">
        <v>1158</v>
      </c>
      <c r="C410" s="817">
        <v>27.15</v>
      </c>
      <c r="D410" s="817">
        <v>652</v>
      </c>
      <c r="E410" s="833">
        <v>2311.6</v>
      </c>
      <c r="F410" s="833">
        <v>2311.6</v>
      </c>
      <c r="G410" s="832">
        <v>3.5453987730061356</v>
      </c>
      <c r="H410" s="832">
        <v>3.5453987730061356</v>
      </c>
      <c r="I410" s="831">
        <v>0</v>
      </c>
      <c r="J410" s="817">
        <v>64.89473684210526</v>
      </c>
      <c r="K410" s="817">
        <v>20</v>
      </c>
    </row>
    <row r="411" spans="2:11" ht="14.5" customHeight="true">
      <c r="B411" s="830" t="s">
        <v>1159</v>
      </c>
      <c r="C411" s="817">
        <v>20.875</v>
      </c>
      <c r="D411" s="817">
        <v>652</v>
      </c>
      <c r="E411" s="833">
        <v>2284.25</v>
      </c>
      <c r="F411" s="833">
        <v>2284.25</v>
      </c>
      <c r="G411" s="832">
        <v>3.5034509202453985</v>
      </c>
      <c r="H411" s="832">
        <v>3.5034509202453985</v>
      </c>
      <c r="I411" s="831">
        <v>0</v>
      </c>
      <c r="J411" s="817">
        <v>79.125</v>
      </c>
      <c r="K411" s="817">
        <v>8</v>
      </c>
    </row>
    <row r="412" spans="2:11" ht="14.5" customHeight="true">
      <c r="B412" s="820" t="s">
        <v>269</v>
      </c>
      <c r="C412" s="817">
        <v>22.906432748538013</v>
      </c>
      <c r="D412" s="817">
        <v>778.12280701754389</v>
      </c>
      <c r="E412" s="833">
        <v>2846.1578947368421</v>
      </c>
      <c r="F412" s="833">
        <v>2832.5087719298244</v>
      </c>
      <c r="G412" s="832">
        <v>3.6667662193710813</v>
      </c>
      <c r="H412" s="832">
        <v>3.648958882948337</v>
      </c>
      <c r="I412" s="831">
        <v>4.7956309213405572E-3</v>
      </c>
      <c r="J412" s="817">
        <v>41.774999999999999</v>
      </c>
      <c r="K412" s="817">
        <v>171</v>
      </c>
    </row>
    <row r="413" spans="2:11" ht="14.5" customHeight="true">
      <c r="B413" s="830" t="s">
        <v>448</v>
      </c>
      <c r="C413" s="817">
        <v>20.8</v>
      </c>
      <c r="D413" s="817">
        <v>757</v>
      </c>
      <c r="E413" s="833">
        <v>2905.5</v>
      </c>
      <c r="F413" s="833">
        <v>2905.5</v>
      </c>
      <c r="G413" s="832">
        <v>3.8381770145310434</v>
      </c>
      <c r="H413" s="832">
        <v>3.8381770145310434</v>
      </c>
      <c r="I413" s="831">
        <v>0</v>
      </c>
      <c r="J413" s="817">
        <v>21.8</v>
      </c>
      <c r="K413" s="817">
        <v>10</v>
      </c>
    </row>
    <row r="414" spans="2:11" ht="14.5" customHeight="true">
      <c r="B414" s="830" t="s">
        <v>450</v>
      </c>
      <c r="C414" s="817">
        <v>16.666666666666668</v>
      </c>
      <c r="D414" s="817">
        <v>770</v>
      </c>
      <c r="E414" s="833">
        <v>2957</v>
      </c>
      <c r="F414" s="833">
        <v>2957</v>
      </c>
      <c r="G414" s="832">
        <v>3.8402597402597407</v>
      </c>
      <c r="H414" s="832">
        <v>3.8402597402597407</v>
      </c>
      <c r="I414" s="831">
        <v>0</v>
      </c>
      <c r="J414" s="817">
        <v>32</v>
      </c>
      <c r="K414" s="817">
        <v>3</v>
      </c>
    </row>
    <row r="415" spans="2:11" ht="14.5" customHeight="true">
      <c r="B415" s="830" t="s">
        <v>449</v>
      </c>
      <c r="C415" s="817">
        <v>19.600000000000001</v>
      </c>
      <c r="D415" s="817">
        <v>818</v>
      </c>
      <c r="E415" s="833">
        <v>3012.9333333333334</v>
      </c>
      <c r="F415" s="833">
        <v>3012.9333333333334</v>
      </c>
      <c r="G415" s="832">
        <v>3.683292583537082</v>
      </c>
      <c r="H415" s="832">
        <v>3.683292583537082</v>
      </c>
      <c r="I415" s="831">
        <v>0</v>
      </c>
      <c r="J415" s="817">
        <v>22.5</v>
      </c>
      <c r="K415" s="817">
        <v>15</v>
      </c>
    </row>
    <row r="416" spans="2:11" ht="14.5" customHeight="true">
      <c r="B416" s="830" t="s">
        <v>451</v>
      </c>
      <c r="C416" s="817">
        <v>42</v>
      </c>
      <c r="D416" s="817">
        <v>803</v>
      </c>
      <c r="E416" s="833">
        <v>3185.75</v>
      </c>
      <c r="F416" s="833">
        <v>3185.75</v>
      </c>
      <c r="G416" s="832">
        <v>3.9673100871731011</v>
      </c>
      <c r="H416" s="832">
        <v>3.9673100871731011</v>
      </c>
      <c r="I416" s="831">
        <v>0</v>
      </c>
      <c r="J416" s="817">
        <v>49</v>
      </c>
      <c r="K416" s="817">
        <v>4</v>
      </c>
    </row>
    <row r="417" spans="2:11" ht="14.5" customHeight="true">
      <c r="B417" s="830" t="s">
        <v>452</v>
      </c>
      <c r="C417" s="817">
        <v>24.2</v>
      </c>
      <c r="D417" s="817">
        <v>829</v>
      </c>
      <c r="E417" s="833">
        <v>2974.4</v>
      </c>
      <c r="F417" s="833">
        <v>2964.6</v>
      </c>
      <c r="G417" s="832">
        <v>3.5879372738238842</v>
      </c>
      <c r="H417" s="832">
        <v>3.5761158021712909</v>
      </c>
      <c r="I417" s="831">
        <v>3.2947821409359873E-3</v>
      </c>
      <c r="J417" s="817">
        <v>42.3</v>
      </c>
      <c r="K417" s="817">
        <v>20</v>
      </c>
    </row>
    <row r="418" spans="2:11" ht="14.5" customHeight="true">
      <c r="B418" s="830" t="s">
        <v>453</v>
      </c>
      <c r="C418" s="817">
        <v>44</v>
      </c>
      <c r="D418" s="817">
        <v>816</v>
      </c>
      <c r="E418" s="833">
        <v>3150</v>
      </c>
      <c r="F418" s="833">
        <v>3150</v>
      </c>
      <c r="G418" s="832">
        <v>3.8602941176470589</v>
      </c>
      <c r="H418" s="832">
        <v>3.8602941176470589</v>
      </c>
      <c r="I418" s="831">
        <v>0</v>
      </c>
      <c r="J418" s="817">
        <v>37</v>
      </c>
      <c r="K418" s="817">
        <v>1</v>
      </c>
    </row>
    <row r="419" spans="2:11" ht="14.5" customHeight="true">
      <c r="B419" s="830" t="s">
        <v>454</v>
      </c>
      <c r="C419" s="817">
        <v>21.76923076923077</v>
      </c>
      <c r="D419" s="817">
        <v>848</v>
      </c>
      <c r="E419" s="833">
        <v>3079.3846153846152</v>
      </c>
      <c r="F419" s="833">
        <v>3067.8461538461538</v>
      </c>
      <c r="G419" s="832">
        <v>3.6313497822931788</v>
      </c>
      <c r="H419" s="832">
        <v>3.6177431059506535</v>
      </c>
      <c r="I419" s="831">
        <v>3.7470023980815349E-3</v>
      </c>
      <c r="J419" s="817">
        <v>25.76923076923077</v>
      </c>
      <c r="K419" s="817">
        <v>13</v>
      </c>
    </row>
    <row r="420" spans="2:11" ht="14.5" customHeight="true">
      <c r="B420" s="830" t="s">
        <v>455</v>
      </c>
      <c r="C420" s="817">
        <v>19.761904761904763</v>
      </c>
      <c r="D420" s="817">
        <v>844</v>
      </c>
      <c r="E420" s="833">
        <v>2954.6666666666665</v>
      </c>
      <c r="F420" s="833">
        <v>2939.1904761904761</v>
      </c>
      <c r="G420" s="832">
        <v>3.5007898894154823</v>
      </c>
      <c r="H420" s="832">
        <v>3.4824531708417963</v>
      </c>
      <c r="I420" s="831">
        <v>5.2378803506962354E-3</v>
      </c>
      <c r="J420" s="817">
        <v>58.94736842105263</v>
      </c>
      <c r="K420" s="817">
        <v>21</v>
      </c>
    </row>
    <row r="421" spans="2:11" ht="14.5" customHeight="true">
      <c r="B421" s="830" t="s">
        <v>456</v>
      </c>
      <c r="C421" s="817">
        <v>27.055555555555557</v>
      </c>
      <c r="D421" s="817">
        <v>712</v>
      </c>
      <c r="E421" s="833">
        <v>2643.8888888888887</v>
      </c>
      <c r="F421" s="833">
        <v>2625.7777777777778</v>
      </c>
      <c r="G421" s="832">
        <v>3.7133270911360805</v>
      </c>
      <c r="H421" s="832">
        <v>3.6878901373283401</v>
      </c>
      <c r="I421" s="831">
        <v>6.8501786089514606E-3</v>
      </c>
      <c r="J421" s="817">
        <v>58.941176470588232</v>
      </c>
      <c r="K421" s="817">
        <v>18</v>
      </c>
    </row>
    <row r="422" spans="2:11" ht="14.5" customHeight="true">
      <c r="B422" s="830" t="s">
        <v>457</v>
      </c>
      <c r="C422" s="817">
        <v>25.333333333333332</v>
      </c>
      <c r="D422" s="817">
        <v>718</v>
      </c>
      <c r="E422" s="833">
        <v>2806</v>
      </c>
      <c r="F422" s="833">
        <v>2806</v>
      </c>
      <c r="G422" s="832">
        <v>3.9080779944289694</v>
      </c>
      <c r="H422" s="832">
        <v>3.9080779944289694</v>
      </c>
      <c r="I422" s="831">
        <v>0</v>
      </c>
      <c r="J422" s="817">
        <v>32</v>
      </c>
      <c r="K422" s="817">
        <v>3</v>
      </c>
    </row>
    <row r="423" spans="2:11" ht="14.5" customHeight="true">
      <c r="B423" s="830" t="s">
        <v>458</v>
      </c>
      <c r="C423" s="817">
        <v>23.727272727272727</v>
      </c>
      <c r="D423" s="817">
        <v>663</v>
      </c>
      <c r="E423" s="833">
        <v>2567.8636363636365</v>
      </c>
      <c r="F423" s="833">
        <v>2540.5</v>
      </c>
      <c r="G423" s="832">
        <v>3.8730974907445503</v>
      </c>
      <c r="H423" s="832">
        <v>3.8318250377073912</v>
      </c>
      <c r="I423" s="831">
        <v>1.0656187492255678E-2</v>
      </c>
      <c r="J423" s="817">
        <v>60.736842105263158</v>
      </c>
      <c r="K423" s="817">
        <v>22</v>
      </c>
    </row>
    <row r="424" spans="2:11" ht="14.5" customHeight="true">
      <c r="B424" s="830" t="s">
        <v>1160</v>
      </c>
      <c r="C424" s="817">
        <v>26.4</v>
      </c>
      <c r="D424" s="817">
        <v>663</v>
      </c>
      <c r="E424" s="833">
        <v>2539.4</v>
      </c>
      <c r="F424" s="833">
        <v>2539.4</v>
      </c>
      <c r="G424" s="832">
        <v>3.8301659125188534</v>
      </c>
      <c r="H424" s="832">
        <v>3.8301659125188534</v>
      </c>
      <c r="I424" s="831">
        <v>0</v>
      </c>
      <c r="J424" s="817">
        <v>107</v>
      </c>
      <c r="K424" s="817">
        <v>5</v>
      </c>
    </row>
    <row r="425" spans="2:11" ht="14.5" customHeight="true">
      <c r="B425" s="830" t="s">
        <v>1161</v>
      </c>
      <c r="C425" s="817">
        <v>21.2</v>
      </c>
      <c r="D425" s="817">
        <v>712</v>
      </c>
      <c r="E425" s="833">
        <v>2438.4</v>
      </c>
      <c r="F425" s="833">
        <v>2438.4</v>
      </c>
      <c r="G425" s="832">
        <v>3.4247191011235953</v>
      </c>
      <c r="H425" s="832">
        <v>3.4247191011235953</v>
      </c>
      <c r="I425" s="831">
        <v>0</v>
      </c>
      <c r="J425" s="817">
        <v>12.6</v>
      </c>
      <c r="K425" s="817">
        <v>5</v>
      </c>
    </row>
    <row r="426" spans="2:11" ht="14.5" customHeight="true">
      <c r="B426" s="830" t="s">
        <v>1162</v>
      </c>
      <c r="C426" s="817">
        <v>19</v>
      </c>
      <c r="D426" s="817">
        <v>718</v>
      </c>
      <c r="E426" s="833">
        <v>2967</v>
      </c>
      <c r="F426" s="833">
        <v>2967</v>
      </c>
      <c r="G426" s="832">
        <v>4.1323119777158777</v>
      </c>
      <c r="H426" s="832">
        <v>4.1323119777158777</v>
      </c>
      <c r="I426" s="831">
        <v>0</v>
      </c>
      <c r="J426" s="817">
        <v>72</v>
      </c>
      <c r="K426" s="817">
        <v>1</v>
      </c>
    </row>
    <row r="427" spans="2:11" ht="14.5" customHeight="true">
      <c r="B427" s="830" t="s">
        <v>1163</v>
      </c>
      <c r="C427" s="817">
        <v>27.5</v>
      </c>
      <c r="D427" s="817">
        <v>757</v>
      </c>
      <c r="E427" s="833">
        <v>2826</v>
      </c>
      <c r="F427" s="833">
        <v>2826</v>
      </c>
      <c r="G427" s="832">
        <v>3.7331571994715986</v>
      </c>
      <c r="H427" s="832">
        <v>3.7331571994715986</v>
      </c>
      <c r="I427" s="831">
        <v>0</v>
      </c>
      <c r="J427" s="817">
        <v>56.25</v>
      </c>
      <c r="K427" s="817">
        <v>4</v>
      </c>
    </row>
    <row r="428" spans="2:11" ht="14.5" customHeight="true">
      <c r="B428" s="830" t="s">
        <v>1164</v>
      </c>
      <c r="C428" s="817">
        <v>6.333333333333333</v>
      </c>
      <c r="D428" s="817">
        <v>769</v>
      </c>
      <c r="E428" s="833">
        <v>2428.3333333333335</v>
      </c>
      <c r="F428" s="833">
        <v>2428.3333333333335</v>
      </c>
      <c r="G428" s="832">
        <v>3.1577806675335935</v>
      </c>
      <c r="H428" s="832">
        <v>3.1577806675335935</v>
      </c>
      <c r="I428" s="831">
        <v>0</v>
      </c>
      <c r="J428" s="817">
        <v>31.666666666666668</v>
      </c>
      <c r="K428" s="817">
        <v>3</v>
      </c>
    </row>
    <row r="429" spans="2:11" ht="14.5" customHeight="true">
      <c r="B429" s="830" t="s">
        <v>1165</v>
      </c>
      <c r="C429" s="817">
        <v>27</v>
      </c>
      <c r="D429" s="817">
        <v>770</v>
      </c>
      <c r="E429" s="833">
        <v>3022</v>
      </c>
      <c r="F429" s="833">
        <v>3022</v>
      </c>
      <c r="G429" s="832">
        <v>3.9246753246753245</v>
      </c>
      <c r="H429" s="832">
        <v>3.9246753246753245</v>
      </c>
      <c r="I429" s="831">
        <v>0</v>
      </c>
      <c r="J429" s="817">
        <v>13</v>
      </c>
      <c r="K429" s="817">
        <v>1</v>
      </c>
    </row>
    <row r="430" spans="2:11" ht="14.5" customHeight="true">
      <c r="B430" s="830" t="s">
        <v>1166</v>
      </c>
      <c r="C430" s="817">
        <v>19</v>
      </c>
      <c r="D430" s="817">
        <v>813</v>
      </c>
      <c r="E430" s="833">
        <v>2865</v>
      </c>
      <c r="F430" s="833">
        <v>2865</v>
      </c>
      <c r="G430" s="832">
        <v>3.5239852398523985</v>
      </c>
      <c r="H430" s="832">
        <v>3.5239852398523985</v>
      </c>
      <c r="I430" s="831">
        <v>0</v>
      </c>
      <c r="J430" s="817">
        <v>9</v>
      </c>
      <c r="K430" s="817">
        <v>1</v>
      </c>
    </row>
    <row r="431" spans="2:11" ht="14.5" customHeight="true">
      <c r="B431" s="830" t="s">
        <v>1167</v>
      </c>
      <c r="C431" s="817">
        <v>18.5</v>
      </c>
      <c r="D431" s="817">
        <v>813</v>
      </c>
      <c r="E431" s="833">
        <v>2766</v>
      </c>
      <c r="F431" s="833">
        <v>2691</v>
      </c>
      <c r="G431" s="832">
        <v>3.4022140221402215</v>
      </c>
      <c r="H431" s="832">
        <v>3.3099630996309966</v>
      </c>
      <c r="I431" s="831">
        <v>2.7114967462039046E-2</v>
      </c>
      <c r="J431" s="817">
        <v>21</v>
      </c>
      <c r="K431" s="817">
        <v>2</v>
      </c>
    </row>
    <row r="432" spans="2:11" ht="14.5" customHeight="true">
      <c r="B432" s="830" t="s">
        <v>1168</v>
      </c>
      <c r="C432" s="817">
        <v>43</v>
      </c>
      <c r="D432" s="817">
        <v>816</v>
      </c>
      <c r="E432" s="833">
        <v>3308</v>
      </c>
      <c r="F432" s="833">
        <v>3308</v>
      </c>
      <c r="G432" s="832">
        <v>4.0539215686274508</v>
      </c>
      <c r="H432" s="832">
        <v>4.0539215686274508</v>
      </c>
      <c r="I432" s="831">
        <v>0</v>
      </c>
      <c r="J432" s="817"/>
      <c r="K432" s="817">
        <v>1</v>
      </c>
    </row>
    <row r="433" spans="2:11" ht="14.5" customHeight="true">
      <c r="B433" s="830" t="s">
        <v>1169</v>
      </c>
      <c r="C433" s="817">
        <v>18</v>
      </c>
      <c r="D433" s="817">
        <v>818</v>
      </c>
      <c r="E433" s="833">
        <v>2925.6666666666665</v>
      </c>
      <c r="F433" s="833">
        <v>2925.6666666666665</v>
      </c>
      <c r="G433" s="832">
        <v>3.5766096169519153</v>
      </c>
      <c r="H433" s="832">
        <v>3.5766096169519153</v>
      </c>
      <c r="I433" s="831">
        <v>0</v>
      </c>
      <c r="J433" s="817">
        <v>20.333333333333332</v>
      </c>
      <c r="K433" s="817">
        <v>3</v>
      </c>
    </row>
    <row r="434" spans="2:11" ht="14.5" customHeight="true">
      <c r="B434" s="830" t="s">
        <v>1170</v>
      </c>
      <c r="C434" s="817">
        <v>18.833333333333332</v>
      </c>
      <c r="D434" s="817">
        <v>829</v>
      </c>
      <c r="E434" s="833">
        <v>2937.8333333333335</v>
      </c>
      <c r="F434" s="833">
        <v>2905</v>
      </c>
      <c r="G434" s="832">
        <v>3.5438279051065549</v>
      </c>
      <c r="H434" s="832">
        <v>3.5042219541616411</v>
      </c>
      <c r="I434" s="831">
        <v>1.1176036761785897E-2</v>
      </c>
      <c r="J434" s="817">
        <v>25</v>
      </c>
      <c r="K434" s="817">
        <v>6</v>
      </c>
    </row>
    <row r="435" spans="2:11" ht="14.5" customHeight="true">
      <c r="B435" s="830" t="s">
        <v>1171</v>
      </c>
      <c r="C435" s="817">
        <v>22.25</v>
      </c>
      <c r="D435" s="817">
        <v>844</v>
      </c>
      <c r="E435" s="833">
        <v>2963</v>
      </c>
      <c r="F435" s="833">
        <v>2912.75</v>
      </c>
      <c r="G435" s="832">
        <v>3.5106635071090051</v>
      </c>
      <c r="H435" s="832">
        <v>3.4511255924170618</v>
      </c>
      <c r="I435" s="831">
        <v>1.695916301046237E-2</v>
      </c>
      <c r="J435" s="817">
        <v>35.25</v>
      </c>
      <c r="K435" s="817">
        <v>4</v>
      </c>
    </row>
    <row r="436" spans="2:11" ht="14.5" customHeight="true">
      <c r="B436" s="830" t="s">
        <v>1172</v>
      </c>
      <c r="C436" s="817">
        <v>23.6</v>
      </c>
      <c r="D436" s="817">
        <v>848</v>
      </c>
      <c r="E436" s="833">
        <v>2836.6</v>
      </c>
      <c r="F436" s="833">
        <v>2799.2</v>
      </c>
      <c r="G436" s="832">
        <v>3.3450471698113207</v>
      </c>
      <c r="H436" s="832">
        <v>3.3009433962264154</v>
      </c>
      <c r="I436" s="831">
        <v>1.3184798702672213E-2</v>
      </c>
      <c r="J436" s="817">
        <v>5.4</v>
      </c>
      <c r="K436" s="817">
        <v>5</v>
      </c>
    </row>
    <row r="437" spans="2:11" ht="14.5" customHeight="true">
      <c r="B437" s="820" t="s">
        <v>270</v>
      </c>
      <c r="C437" s="817">
        <v>30.128205128205128</v>
      </c>
      <c r="D437" s="817">
        <v>1061.3846153846155</v>
      </c>
      <c r="E437" s="833">
        <v>3941.2564102564102</v>
      </c>
      <c r="F437" s="833">
        <v>3918.4615384615386</v>
      </c>
      <c r="G437" s="832">
        <v>3.7407497938316614</v>
      </c>
      <c r="H437" s="832">
        <v>3.7228944992397293</v>
      </c>
      <c r="I437" s="831">
        <v>5.7836561294393948E-3</v>
      </c>
      <c r="J437" s="817">
        <v>38.805555555555557</v>
      </c>
      <c r="K437" s="817">
        <v>39</v>
      </c>
    </row>
    <row r="438" spans="2:11" ht="14.5" customHeight="true">
      <c r="B438" s="830" t="s">
        <v>468</v>
      </c>
      <c r="C438" s="817">
        <v>8</v>
      </c>
      <c r="D438" s="817">
        <v>1342</v>
      </c>
      <c r="E438" s="833">
        <v>4082.6666666666665</v>
      </c>
      <c r="F438" s="833">
        <v>3940</v>
      </c>
      <c r="G438" s="832">
        <v>3.0422255340288129</v>
      </c>
      <c r="H438" s="832">
        <v>2.9359165424739193</v>
      </c>
      <c r="I438" s="831">
        <v>3.494448073154801E-2</v>
      </c>
      <c r="J438" s="817">
        <v>38.333333333333336</v>
      </c>
      <c r="K438" s="817">
        <v>3</v>
      </c>
    </row>
    <row r="439" spans="2:11" ht="14.5" customHeight="true">
      <c r="B439" s="830" t="s">
        <v>470</v>
      </c>
      <c r="C439" s="817">
        <v>26</v>
      </c>
      <c r="D439" s="817">
        <v>1171</v>
      </c>
      <c r="E439" s="833">
        <v>4361.5</v>
      </c>
      <c r="F439" s="833">
        <v>4361.5</v>
      </c>
      <c r="G439" s="832">
        <v>3.7245943637916312</v>
      </c>
      <c r="H439" s="832">
        <v>3.7245943637916312</v>
      </c>
      <c r="I439" s="831">
        <v>0</v>
      </c>
      <c r="J439" s="817">
        <v>33.5</v>
      </c>
      <c r="K439" s="817">
        <v>2</v>
      </c>
    </row>
    <row r="440" spans="2:11" ht="14.5" customHeight="true">
      <c r="B440" s="830" t="s">
        <v>471</v>
      </c>
      <c r="C440" s="817">
        <v>23.666666666666668</v>
      </c>
      <c r="D440" s="817">
        <v>1208</v>
      </c>
      <c r="E440" s="833">
        <v>4239.5</v>
      </c>
      <c r="F440" s="833">
        <v>4214.5</v>
      </c>
      <c r="G440" s="832">
        <v>3.509519867549669</v>
      </c>
      <c r="H440" s="832">
        <v>3.4888245033112582</v>
      </c>
      <c r="I440" s="831">
        <v>5.8969218068168419E-3</v>
      </c>
      <c r="J440" s="817">
        <v>7.833333333333333</v>
      </c>
      <c r="K440" s="817">
        <v>6</v>
      </c>
    </row>
    <row r="441" spans="2:11" ht="14.5" customHeight="true">
      <c r="B441" s="830" t="s">
        <v>474</v>
      </c>
      <c r="C441" s="817">
        <v>42.333333333333336</v>
      </c>
      <c r="D441" s="817">
        <v>1060</v>
      </c>
      <c r="E441" s="833">
        <v>4188.333333333333</v>
      </c>
      <c r="F441" s="833">
        <v>4188.333333333333</v>
      </c>
      <c r="G441" s="832">
        <v>3.9512578616352201</v>
      </c>
      <c r="H441" s="832">
        <v>3.9512578616352201</v>
      </c>
      <c r="I441" s="831">
        <v>0</v>
      </c>
      <c r="J441" s="817">
        <v>48.666666666666664</v>
      </c>
      <c r="K441" s="817">
        <v>3</v>
      </c>
    </row>
    <row r="442" spans="2:11" ht="14.5" customHeight="true">
      <c r="B442" s="830" t="s">
        <v>1173</v>
      </c>
      <c r="C442" s="817">
        <v>30.25</v>
      </c>
      <c r="D442" s="817">
        <v>904</v>
      </c>
      <c r="E442" s="833">
        <v>3349.5</v>
      </c>
      <c r="F442" s="833">
        <v>3349.5</v>
      </c>
      <c r="G442" s="832">
        <v>3.7051991150442478</v>
      </c>
      <c r="H442" s="832">
        <v>3.7051991150442478</v>
      </c>
      <c r="I442" s="831">
        <v>0</v>
      </c>
      <c r="J442" s="817">
        <v>19</v>
      </c>
      <c r="K442" s="817">
        <v>4</v>
      </c>
    </row>
    <row r="443" spans="2:11" ht="14.5" customHeight="true">
      <c r="B443" s="830" t="s">
        <v>1174</v>
      </c>
      <c r="C443" s="817">
        <v>30.071428571428573</v>
      </c>
      <c r="D443" s="817">
        <v>904</v>
      </c>
      <c r="E443" s="833">
        <v>3514</v>
      </c>
      <c r="F443" s="833">
        <v>3514</v>
      </c>
      <c r="G443" s="832">
        <v>3.88716814159292</v>
      </c>
      <c r="H443" s="832">
        <v>3.88716814159292</v>
      </c>
      <c r="I443" s="831">
        <v>0</v>
      </c>
      <c r="J443" s="817">
        <v>42.53846153846154</v>
      </c>
      <c r="K443" s="817">
        <v>14</v>
      </c>
    </row>
    <row r="444" spans="2:11" ht="14.5" customHeight="true">
      <c r="B444" s="830" t="s">
        <v>1175</v>
      </c>
      <c r="C444" s="817">
        <v>46</v>
      </c>
      <c r="D444" s="817">
        <v>1576</v>
      </c>
      <c r="E444" s="833">
        <v>5798</v>
      </c>
      <c r="F444" s="833">
        <v>5798</v>
      </c>
      <c r="G444" s="832">
        <v>3.6789340101522843</v>
      </c>
      <c r="H444" s="832">
        <v>3.6789340101522843</v>
      </c>
      <c r="I444" s="831">
        <v>0</v>
      </c>
      <c r="J444" s="817">
        <v>332</v>
      </c>
      <c r="K444" s="817">
        <v>1</v>
      </c>
    </row>
    <row r="445" spans="2:11" ht="14.5" customHeight="true">
      <c r="B445" s="830" t="s">
        <v>1176</v>
      </c>
      <c r="C445" s="817">
        <v>44</v>
      </c>
      <c r="D445" s="817">
        <v>1060</v>
      </c>
      <c r="E445" s="833">
        <v>4285</v>
      </c>
      <c r="F445" s="833">
        <v>4285</v>
      </c>
      <c r="G445" s="832">
        <v>4.0424528301886795</v>
      </c>
      <c r="H445" s="832">
        <v>4.0424528301886795</v>
      </c>
      <c r="I445" s="831">
        <v>0</v>
      </c>
      <c r="J445" s="817"/>
      <c r="K445" s="817">
        <v>2</v>
      </c>
    </row>
    <row r="446" spans="2:11" ht="14.5" customHeight="true">
      <c r="B446" s="830" t="s">
        <v>1177</v>
      </c>
      <c r="C446" s="817">
        <v>42</v>
      </c>
      <c r="D446" s="817">
        <v>1097</v>
      </c>
      <c r="E446" s="833">
        <v>3918</v>
      </c>
      <c r="F446" s="833">
        <v>3918</v>
      </c>
      <c r="G446" s="832">
        <v>3.5715587967183229</v>
      </c>
      <c r="H446" s="832">
        <v>3.5715587967183229</v>
      </c>
      <c r="I446" s="831">
        <v>0</v>
      </c>
      <c r="J446" s="817">
        <v>2</v>
      </c>
      <c r="K446" s="817">
        <v>1</v>
      </c>
    </row>
    <row r="447" spans="2:11" ht="14.5" customHeight="true">
      <c r="B447" s="830" t="s">
        <v>1178</v>
      </c>
      <c r="C447" s="817">
        <v>41</v>
      </c>
      <c r="D447" s="817">
        <v>1097</v>
      </c>
      <c r="E447" s="833">
        <v>4998</v>
      </c>
      <c r="F447" s="833">
        <v>4998</v>
      </c>
      <c r="G447" s="832">
        <v>4.5560619872379213</v>
      </c>
      <c r="H447" s="832">
        <v>4.5560619872379213</v>
      </c>
      <c r="I447" s="831">
        <v>0</v>
      </c>
      <c r="J447" s="817">
        <v>49</v>
      </c>
      <c r="K447" s="817">
        <v>1</v>
      </c>
    </row>
    <row r="448" spans="2:11" ht="14.5" customHeight="true">
      <c r="B448" s="830" t="s">
        <v>1179</v>
      </c>
      <c r="C448" s="817">
        <v>25</v>
      </c>
      <c r="D448" s="817">
        <v>1208</v>
      </c>
      <c r="E448" s="833">
        <v>4192</v>
      </c>
      <c r="F448" s="833">
        <v>4192</v>
      </c>
      <c r="G448" s="832">
        <v>3.4701986754966887</v>
      </c>
      <c r="H448" s="832">
        <v>3.4701986754966887</v>
      </c>
      <c r="I448" s="831">
        <v>0</v>
      </c>
      <c r="J448" s="817">
        <v>7</v>
      </c>
      <c r="K448" s="817">
        <v>1</v>
      </c>
    </row>
    <row r="449" spans="2:11" ht="14.5" customHeight="true">
      <c r="B449" s="830" t="s">
        <v>1180</v>
      </c>
      <c r="C449" s="817">
        <v>46</v>
      </c>
      <c r="D449" s="817">
        <v>1228</v>
      </c>
      <c r="E449" s="833">
        <v>4666</v>
      </c>
      <c r="F449" s="833">
        <v>4355</v>
      </c>
      <c r="G449" s="832">
        <v>3.7996742671009773</v>
      </c>
      <c r="H449" s="832">
        <v>3.5464169381107493</v>
      </c>
      <c r="I449" s="831">
        <v>6.6652378911273041E-2</v>
      </c>
      <c r="J449" s="817">
        <v>3</v>
      </c>
      <c r="K449" s="817">
        <v>1</v>
      </c>
    </row>
    <row r="450" spans="2:11" ht="14.5" customHeight="true">
      <c r="B450" s="820" t="s">
        <v>271</v>
      </c>
      <c r="C450" s="817">
        <v>42.2</v>
      </c>
      <c r="D450" s="817">
        <v>1442</v>
      </c>
      <c r="E450" s="833">
        <v>5925.6</v>
      </c>
      <c r="F450" s="833">
        <v>5925.6</v>
      </c>
      <c r="G450" s="832">
        <v>4.1092926490984736</v>
      </c>
      <c r="H450" s="832">
        <v>4.1092926490984736</v>
      </c>
      <c r="I450" s="831">
        <v>0</v>
      </c>
      <c r="J450" s="817">
        <v>50</v>
      </c>
      <c r="K450" s="817">
        <v>5</v>
      </c>
    </row>
    <row r="451" spans="2:11" ht="14.5" customHeight="true">
      <c r="B451" s="830" t="s">
        <v>1181</v>
      </c>
      <c r="C451" s="817">
        <v>42.2</v>
      </c>
      <c r="D451" s="817">
        <v>1442</v>
      </c>
      <c r="E451" s="833">
        <v>5925.6</v>
      </c>
      <c r="F451" s="833">
        <v>5925.6</v>
      </c>
      <c r="G451" s="832">
        <v>4.1092926490984736</v>
      </c>
      <c r="H451" s="832">
        <v>4.1092926490984736</v>
      </c>
      <c r="I451" s="831">
        <v>0</v>
      </c>
      <c r="J451" s="817">
        <v>50</v>
      </c>
      <c r="K451" s="817">
        <v>5</v>
      </c>
    </row>
    <row r="452" spans="2:11" ht="14.5" customHeight="true">
      <c r="B452" s="816" t="s">
        <v>375</v>
      </c>
      <c r="C452" s="817">
        <v>26.151849217638691</v>
      </c>
      <c r="D452" s="817">
        <v>816.56503642039547</v>
      </c>
      <c r="E452" s="833">
        <v>3062.2171468728038</v>
      </c>
      <c r="F452" s="833">
        <v>3036.405832747716</v>
      </c>
      <c r="G452" s="832">
        <v>3.8019782438744745</v>
      </c>
      <c r="H452" s="832">
        <v>3.7702408403008856</v>
      </c>
      <c r="I452" s="831">
        <v>8.4289627048319757E-3</v>
      </c>
      <c r="J452" s="817">
        <v>61.96810207336523</v>
      </c>
      <c r="K452" s="817">
        <v>2846</v>
      </c>
    </row>
    <row r="453" spans="2:11" ht="14.5" customHeight="true"/>
    <row r="454" spans="2:11" ht="14.5" customHeight="true"/>
    <row r="455" spans="2:11" ht="14.5" customHeight="true"/>
    <row r="456" spans="2:11" ht="14.5" customHeight="true"/>
    <row r="457" spans="2:11" ht="14.5" customHeight="true"/>
    <row r="458" spans="2:11" ht="14.5" customHeight="true"/>
    <row r="459" spans="2:11" ht="14.5" customHeight="true"/>
    <row r="460" spans="2:11" ht="14.5" customHeight="true"/>
    <row r="461" spans="2:11" ht="14.5" customHeight="true"/>
    <row r="462" spans="2:11" ht="14.5" customHeight="true"/>
    <row r="463" spans="2:11" ht="14.5" customHeight="true"/>
    <row r="464" spans="2:11" ht="14.5" customHeight="true"/>
    <row r="465" spans="2:11" ht="14.5" customHeight="true"/>
    <row r="466" spans="2:11" ht="14.5" customHeight="true"/>
    <row r="467" spans="2:11" ht="14.5" customHeight="true"/>
    <row r="468" spans="2:11" ht="14.5" customHeight="true"/>
    <row r="469" spans="2:11" ht="14.5" customHeight="true"/>
    <row r="470" spans="2:11" ht="14.5" customHeight="true"/>
    <row r="471" spans="2:11" ht="14.5" customHeight="true"/>
    <row r="472" spans="2:11" ht="14.5" customHeight="true"/>
    <row r="473" spans="2:11" ht="14.5" customHeight="true"/>
    <row r="474" spans="2:11" ht="14.5" customHeight="true"/>
    <row r="475" spans="2:11" ht="14.5" customHeight="true"/>
    <row r="476" spans="2:11" ht="14.5" customHeight="true"/>
    <row r="477" spans="2:11" ht="14.5" customHeight="true"/>
    <row r="478" spans="2:11" ht="14.5" customHeight="true"/>
    <row r="479" spans="2:11" ht="14.5" customHeight="true"/>
    <row r="480" spans="2:11" ht="14.5" customHeight="true"/>
    <row r="481" spans="2:11" ht="14.5" customHeight="true"/>
    <row r="482" spans="2:11" ht="14.5" customHeight="true"/>
    <row r="483" spans="2:11" ht="14.5" customHeight="true"/>
    <row r="484" spans="2:11" ht="14.5" customHeight="true"/>
    <row r="485" spans="2:11" ht="14.5" customHeight="true"/>
    <row r="486" spans="2:11" ht="14.5" customHeight="true"/>
    <row r="487" spans="2:11" ht="14.5" customHeight="true"/>
    <row r="488" spans="2:11" ht="14.5" customHeight="true"/>
    <row r="489" spans="2:11" ht="14.5" customHeight="true"/>
    <row r="490" spans="2:11" ht="14.5" customHeight="true"/>
    <row r="491" spans="2:11" ht="14.5" customHeight="true"/>
    <row r="492" spans="2:11" ht="14.5" customHeight="true"/>
    <row r="493" spans="2:11" ht="14.5" customHeight="true"/>
    <row r="494" spans="2:11" ht="14.5" customHeight="true"/>
    <row r="495" spans="2:11" ht="14.5" customHeight="true"/>
    <row r="496" spans="2:11" ht="14.5" customHeight="true"/>
    <row r="497" spans="2:11" ht="14.5" customHeight="true"/>
    <row r="498" spans="2:11" ht="14.5" customHeight="true"/>
    <row r="499" spans="2:11" ht="14.5" customHeight="true"/>
    <row r="500" spans="2:11" ht="14.5" customHeight="true"/>
    <row r="501" spans="2:11" ht="14.5" customHeight="true"/>
    <row r="502" spans="2:11" ht="14.5" customHeight="true"/>
    <row r="503" spans="2:11" ht="14.5" customHeight="true"/>
    <row r="504" spans="2:11" ht="14.5" customHeight="true"/>
    <row r="505" spans="2:11" ht="14.5" customHeight="true"/>
    <row r="506" spans="2:11" ht="14.5" customHeight="true"/>
    <row r="507" spans="2:11" ht="14.5" customHeight="true"/>
    <row r="508" spans="2:11" ht="14.5" customHeight="true"/>
    <row r="509" spans="2:11" ht="14.5" customHeight="true"/>
    <row r="510" spans="2:11" ht="14.5" customHeight="true"/>
    <row r="511" spans="2:11" ht="14.5" customHeight="true"/>
    <row r="512" spans="2:11" ht="14.5" customHeight="true"/>
    <row r="513" spans="2:11" ht="14.5" customHeight="true"/>
    <row r="514" spans="2:11" ht="14.5" customHeight="true"/>
    <row r="515" spans="2:11" ht="14.5" customHeight="true"/>
    <row r="516" spans="2:11" ht="14.5" customHeight="true"/>
    <row r="517" spans="2:11" ht="14.5" customHeight="true"/>
    <row r="518" spans="2:11" ht="14.5" customHeight="true"/>
    <row r="519" spans="2:11" ht="14.5" customHeight="true"/>
    <row r="520" spans="2:11" ht="14.5" customHeight="true"/>
    <row r="521" spans="2:11" ht="14.5" customHeight="true"/>
    <row r="522" spans="2:11" ht="14.5" customHeight="true"/>
    <row r="523" spans="2:11" ht="14.5" customHeight="true"/>
    <row r="524" spans="2:11" ht="14.5" customHeight="true"/>
    <row r="525" spans="2:11" ht="14.5" customHeight="true"/>
    <row r="526" spans="2:11" ht="14.5" customHeight="true"/>
    <row r="527" spans="2:11" ht="14.5" customHeight="true"/>
    <row r="528" spans="2:11" ht="14.5" customHeight="true"/>
    <row r="529" spans="2:11" ht="14.5" customHeight="true"/>
    <row r="530" spans="2:11" ht="14.5" customHeight="true"/>
    <row r="531" spans="2:11" ht="14.5" customHeight="true"/>
    <row r="532" spans="2:11" ht="14.5" customHeight="true"/>
    <row r="533" spans="2:11" ht="14.5" customHeight="true"/>
    <row r="534" spans="2:11" ht="14.5" customHeight="true"/>
    <row r="535" spans="2:11" ht="14.5" customHeight="true"/>
    <row r="536" spans="2:11" ht="14.5" customHeight="true"/>
    <row r="537" spans="2:11" ht="14.5" customHeight="true"/>
    <row r="538" spans="2:11" ht="14.5" customHeight="true"/>
    <row r="539" spans="2:11" ht="14.5" customHeight="true"/>
    <row r="540" spans="2:11" ht="14.5" customHeight="true"/>
    <row r="541" spans="2:11" ht="14.5" customHeight="true"/>
    <row r="542" spans="2:11" ht="14.5" customHeight="true"/>
    <row r="543" spans="2:11" ht="14.5" customHeight="true"/>
    <row r="544" spans="2:11" ht="14.5" customHeight="true"/>
    <row r="545" spans="2:11" ht="14.5" customHeight="true"/>
    <row r="546" spans="2:11" ht="14.5" customHeight="true"/>
    <row r="547" spans="2:11" ht="14.5" customHeight="true"/>
    <row r="548" spans="2:11" ht="14.5" customHeight="true"/>
    <row r="549" spans="2:11" ht="14.5" customHeight="true"/>
  </sheetData>
  <mergeCells count="3">
    <mergeCell ref="Q10:S10"/>
    <mergeCell ref="N10:P10"/>
    <mergeCell ref="A2:A5"/>
  </mergeCells>
  <conditionalFormatting sqref="O12:O17">
    <cfRule type="cellIs" dxfId="14" priority="2" operator="lessThan">
      <formula>20</formula>
    </cfRule>
  </conditionalFormatting>
  <conditionalFormatting sqref="R12:R17">
    <cfRule type="cellIs" dxfId="13" priority="1" operator="lessThan">
      <formula>20</formula>
    </cfRule>
  </conditionalFormatting>
  <conditionalFormatting sqref="U12:V17">
    <cfRule type="cellIs" dxfId="12" priority="3" operator="lessThan">
      <formula>0</formula>
    </cfRule>
    <cfRule type="cellIs" dxfId="11" priority="4" operator="greaterThan">
      <formula>0</formula>
    </cfRule>
  </conditionalFormatting>
  <dataValidations count="2">
    <dataValidation allowBlank="true" showErrorMessage="true" showInputMessage="true" sqref="M8" type="list">
      <formula1>"[Select Amenity],Renovated,Corner_Unit,Balcony,View,Washer_Dryer,Walk_In_Closet"</formula1>
    </dataValidation>
    <dataValidation allowBlank="true" showErrorMessage="true" showInputMessage="true" sqref="Q8" type="list">
      <formula1>"Leased Rent,Effective Rent,Leased Rent PSF,NER PSF"</formula1>
    </dataValidation>
  </dataValidations>
  <pageMargins left="0.25" right="0.25" top="0.75" bottom="0.75" header="0.3" footer="0.3"/>
  <pageSetup fitToHeight="0" r:id="rId2" orientation="portrait" scale="48"/>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D0DE8-F6B1-40D1-A73C-E017F1523EAD}">
  <sheetPr codeName="Sheet5"/>
  <dimension ref="B1:RI390"/>
  <sheetViews>
    <sheetView showGridLines="false" zoomScaleNormal="100" workbookViewId="0"/>
  </sheetViews>
  <sheetFormatPr defaultRowHeight="14.5"/>
  <cols>
    <col customWidth="true" max="1" min="1" style="71" width="2.6328125"/>
    <col customWidth="true" max="2" min="2" style="71" width="12.453125"/>
    <col customWidth="true" max="32" min="3" style="71" width="12.1796875"/>
    <col max="16384" min="33" style="71" width="8.7265625"/>
  </cols>
  <sheetData>
    <row r="1" spans="2:32" ht="8" customHeight="true"/>
    <row r="2" spans="2:32" ht="23.5">
      <c r="B2" s="706" t="s">
        <v>1202</v>
      </c>
      <c r="C2" s="771"/>
      <c r="D2" s="771"/>
      <c r="E2" s="771"/>
      <c r="F2" s="771"/>
      <c r="G2" s="771"/>
      <c r="H2" s="771"/>
      <c r="I2" s="771"/>
      <c r="J2" s="771"/>
      <c r="K2" s="771"/>
      <c r="L2" s="771"/>
      <c r="M2" s="771"/>
      <c r="N2" s="771"/>
      <c r="O2" s="771"/>
      <c r="P2" s="771"/>
      <c r="Q2" s="771"/>
      <c r="R2" s="771"/>
      <c r="S2" s="771"/>
      <c r="T2" s="771"/>
      <c r="U2" s="771"/>
      <c r="V2" s="771"/>
      <c r="W2" s="771"/>
      <c r="X2" s="771"/>
      <c r="Y2" s="771"/>
      <c r="Z2" s="771"/>
      <c r="AA2" s="771"/>
      <c r="AB2" s="771"/>
      <c r="AC2" s="771"/>
      <c r="AD2" s="771"/>
      <c r="AE2" s="771"/>
      <c r="AF2" s="771"/>
    </row>
    <row r="3" spans="2:32">
      <c r="B3" s="765" t="s">
        <v>1210</v>
      </c>
    </row>
    <row r="4" spans="2:32">
      <c r="B4" s="129"/>
      <c r="C4" s="129"/>
      <c r="D4" s="129"/>
      <c r="E4" s="129"/>
      <c r="F4" s="129"/>
      <c r="G4" s="129"/>
      <c r="H4" s="129"/>
      <c r="I4" s="129"/>
      <c r="J4" s="129"/>
      <c r="K4" s="129"/>
      <c r="L4" s="129"/>
      <c r="M4" s="129"/>
      <c r="N4" s="129"/>
      <c r="O4" s="129"/>
      <c r="P4" s="129"/>
      <c r="Q4" s="129"/>
      <c r="R4" s="129"/>
      <c r="S4" s="129"/>
      <c r="T4" s="129"/>
      <c r="U4" s="129"/>
      <c r="V4" s="129"/>
    </row>
    <row r="5" spans="2:32" hidden="true">
      <c r="B5" s="837"/>
      <c r="C5" s="838" t="s">
        <v>1005</v>
      </c>
      <c r="D5" s="837"/>
      <c r="E5" s="837"/>
      <c r="F5" s="837"/>
      <c r="G5" s="837"/>
      <c r="H5" s="837"/>
      <c r="I5" s="837"/>
      <c r="J5" s="837"/>
      <c r="K5" s="837"/>
      <c r="L5" s="837"/>
      <c r="M5" s="837"/>
      <c r="N5" s="837"/>
      <c r="O5" s="837"/>
      <c r="P5" s="837"/>
      <c r="Q5" s="837"/>
      <c r="R5" s="837"/>
      <c r="S5" s="837"/>
      <c r="T5" s="837"/>
      <c r="U5" s="837"/>
      <c r="V5" s="837"/>
    </row>
    <row r="6" spans="2:32" s="764" customFormat="true" ht="15.5">
      <c r="B6" s="837"/>
      <c r="C6" s="842" t="s">
        <v>1088</v>
      </c>
      <c r="D6" s="843"/>
      <c r="E6" s="842" t="s">
        <v>1110</v>
      </c>
      <c r="F6" s="843"/>
      <c r="G6" s="842" t="s">
        <v>1089</v>
      </c>
      <c r="H6" s="843"/>
      <c r="I6" s="842" t="s">
        <v>1065</v>
      </c>
      <c r="J6" s="843"/>
      <c r="K6" s="842" t="s">
        <v>1182</v>
      </c>
      <c r="L6" s="843"/>
      <c r="M6" s="842" t="s">
        <v>1109</v>
      </c>
      <c r="N6" s="843"/>
      <c r="O6" s="842" t="s">
        <v>1147</v>
      </c>
      <c r="P6" s="843"/>
      <c r="Q6" s="842" t="s">
        <v>1080</v>
      </c>
      <c r="R6" s="843"/>
      <c r="S6" s="842" t="s">
        <v>1111</v>
      </c>
      <c r="T6" s="843"/>
      <c r="U6" s="842" t="s">
        <v>1151</v>
      </c>
      <c r="V6" s="845"/>
    </row>
    <row r="7" spans="2:32">
      <c r="B7" s="837" t="s">
        <v>1191</v>
      </c>
      <c r="C7" s="836" t="s">
        <v>840</v>
      </c>
      <c r="D7" s="837" t="s">
        <v>647</v>
      </c>
      <c r="E7" s="836" t="s">
        <v>840</v>
      </c>
      <c r="F7" s="837" t="s">
        <v>647</v>
      </c>
      <c r="G7" s="836" t="s">
        <v>840</v>
      </c>
      <c r="H7" s="837" t="s">
        <v>647</v>
      </c>
      <c r="I7" s="836" t="s">
        <v>840</v>
      </c>
      <c r="J7" s="837" t="s">
        <v>647</v>
      </c>
      <c r="K7" s="836" t="s">
        <v>840</v>
      </c>
      <c r="L7" s="837" t="s">
        <v>647</v>
      </c>
      <c r="M7" s="836" t="s">
        <v>840</v>
      </c>
      <c r="N7" s="837" t="s">
        <v>647</v>
      </c>
      <c r="O7" s="836" t="s">
        <v>840</v>
      </c>
      <c r="P7" s="837" t="s">
        <v>647</v>
      </c>
      <c r="Q7" s="836" t="s">
        <v>840</v>
      </c>
      <c r="R7" s="837" t="s">
        <v>647</v>
      </c>
      <c r="S7" s="836" t="s">
        <v>840</v>
      </c>
      <c r="T7" s="837" t="s">
        <v>647</v>
      </c>
      <c r="U7" s="836" t="s">
        <v>840</v>
      </c>
      <c r="V7" s="837" t="s">
        <v>647</v>
      </c>
    </row>
    <row r="8" spans="2:32">
      <c r="B8" s="838" t="s">
        <v>464</v>
      </c>
      <c r="C8" s="834"/>
      <c r="D8" s="835"/>
      <c r="E8" s="834"/>
      <c r="F8" s="835"/>
      <c r="G8" s="834"/>
      <c r="H8" s="835"/>
      <c r="I8" s="834"/>
      <c r="J8" s="835"/>
      <c r="K8" s="834"/>
      <c r="L8" s="835"/>
      <c r="M8" s="834"/>
      <c r="N8" s="835"/>
      <c r="O8" s="834"/>
      <c r="P8" s="835"/>
      <c r="Q8" s="834"/>
      <c r="R8" s="835"/>
      <c r="S8" s="834"/>
      <c r="T8" s="835"/>
      <c r="U8" s="834"/>
      <c r="V8" s="841"/>
    </row>
    <row r="9" spans="2:32">
      <c r="B9" s="837" t="s">
        <v>633</v>
      </c>
      <c r="C9" s="840">
        <v>3011</v>
      </c>
      <c r="D9" s="835">
        <v>8</v>
      </c>
      <c r="E9" s="834">
        <v>3545.8333333333335</v>
      </c>
      <c r="F9" s="835">
        <v>6</v>
      </c>
      <c r="G9" s="834">
        <v>2980</v>
      </c>
      <c r="H9" s="835">
        <v>21</v>
      </c>
      <c r="I9" s="834">
        <v>3326.2857142857142</v>
      </c>
      <c r="J9" s="835">
        <v>14</v>
      </c>
      <c r="K9" s="834">
        <v>2609</v>
      </c>
      <c r="L9" s="835">
        <v>6</v>
      </c>
      <c r="M9" s="834">
        <v>3940.8</v>
      </c>
      <c r="N9" s="835">
        <v>5</v>
      </c>
      <c r="O9" s="834">
        <v>2685.75</v>
      </c>
      <c r="P9" s="835">
        <v>8</v>
      </c>
      <c r="Q9" s="834">
        <v>2646.0588235294117</v>
      </c>
      <c r="R9" s="835">
        <v>17</v>
      </c>
      <c r="S9" s="834">
        <v>3338.1666666666665</v>
      </c>
      <c r="T9" s="835">
        <v>6</v>
      </c>
      <c r="U9" s="834">
        <v>2785.7</v>
      </c>
      <c r="V9" s="841">
        <v>10</v>
      </c>
    </row>
    <row r="10" spans="2:32">
      <c r="B10" s="837" t="s">
        <v>634</v>
      </c>
      <c r="C10" s="840">
        <v>2909.2857142857142</v>
      </c>
      <c r="D10" s="835">
        <v>7</v>
      </c>
      <c r="E10" s="834">
        <v>3618.3</v>
      </c>
      <c r="F10" s="835">
        <v>10</v>
      </c>
      <c r="G10" s="834">
        <v>2645.2352941176468</v>
      </c>
      <c r="H10" s="835">
        <v>18</v>
      </c>
      <c r="I10" s="834">
        <v>4224</v>
      </c>
      <c r="J10" s="835">
        <v>1</v>
      </c>
      <c r="K10" s="834">
        <v>4677.333333333333</v>
      </c>
      <c r="L10" s="835">
        <v>3</v>
      </c>
      <c r="M10" s="834">
        <v>4130.4444444444443</v>
      </c>
      <c r="N10" s="835">
        <v>9</v>
      </c>
      <c r="O10" s="834">
        <v>2801.5</v>
      </c>
      <c r="P10" s="835">
        <v>3</v>
      </c>
      <c r="Q10" s="834">
        <v>2732.3529411764707</v>
      </c>
      <c r="R10" s="835">
        <v>17</v>
      </c>
      <c r="S10" s="834">
        <v>5294</v>
      </c>
      <c r="T10" s="835">
        <v>2</v>
      </c>
      <c r="U10" s="834">
        <v>3066.2222222222222</v>
      </c>
      <c r="V10" s="841">
        <v>9</v>
      </c>
    </row>
    <row r="11" spans="2:32">
      <c r="B11" s="837" t="s">
        <v>635</v>
      </c>
      <c r="C11" s="840">
        <v>3653.5</v>
      </c>
      <c r="D11" s="835">
        <v>2</v>
      </c>
      <c r="E11" s="834">
        <v>3379</v>
      </c>
      <c r="F11" s="844">
        <v>6</v>
      </c>
      <c r="G11" s="834">
        <v>3491.5</v>
      </c>
      <c r="H11" s="835">
        <v>8</v>
      </c>
      <c r="I11" s="834">
        <v>3639.25</v>
      </c>
      <c r="J11" s="835">
        <v>4</v>
      </c>
      <c r="K11" s="834">
        <v>3134</v>
      </c>
      <c r="L11" s="835">
        <v>1</v>
      </c>
      <c r="M11" s="834">
        <v>2974.75</v>
      </c>
      <c r="N11" s="835">
        <v>4</v>
      </c>
      <c r="O11" s="834">
        <v>2774</v>
      </c>
      <c r="P11" s="835">
        <v>3</v>
      </c>
      <c r="Q11" s="834">
        <v>2830.3571428571427</v>
      </c>
      <c r="R11" s="835">
        <v>28</v>
      </c>
      <c r="S11" s="834">
        <v>2505.6666666666665</v>
      </c>
      <c r="T11" s="835">
        <v>3</v>
      </c>
      <c r="U11" s="834">
        <v>3532.3333333333335</v>
      </c>
      <c r="V11" s="841">
        <v>3</v>
      </c>
    </row>
    <row r="12" spans="2:32">
      <c r="B12" s="837" t="s">
        <v>636</v>
      </c>
      <c r="C12" s="840">
        <v>3406.5</v>
      </c>
      <c r="D12" s="835">
        <v>4</v>
      </c>
      <c r="E12" s="834">
        <v>3858.5</v>
      </c>
      <c r="F12" s="835">
        <v>4</v>
      </c>
      <c r="G12" s="834">
        <v>2447</v>
      </c>
      <c r="H12" s="835">
        <v>7</v>
      </c>
      <c r="I12" s="834">
        <v>3296.6666666666665</v>
      </c>
      <c r="J12" s="835">
        <v>3</v>
      </c>
      <c r="K12" s="834">
        <v>2621.6666666666665</v>
      </c>
      <c r="L12" s="835">
        <v>6</v>
      </c>
      <c r="M12" s="834">
        <v>3442.3076923076924</v>
      </c>
      <c r="N12" s="835">
        <v>13</v>
      </c>
      <c r="O12" s="834">
        <v>2587</v>
      </c>
      <c r="P12" s="835">
        <v>10</v>
      </c>
      <c r="Q12" s="834">
        <v>2886.25</v>
      </c>
      <c r="R12" s="835">
        <v>4</v>
      </c>
      <c r="S12" s="834">
        <v>3030</v>
      </c>
      <c r="T12" s="835">
        <v>1</v>
      </c>
      <c r="U12" s="834">
        <v>3769.6666666666665</v>
      </c>
      <c r="V12" s="841">
        <v>3</v>
      </c>
    </row>
    <row r="13" spans="2:32">
      <c r="B13" s="837" t="s">
        <v>637</v>
      </c>
      <c r="C13" s="840">
        <v>2523</v>
      </c>
      <c r="D13" s="835">
        <v>3</v>
      </c>
      <c r="E13" s="834">
        <v>3465.5</v>
      </c>
      <c r="F13" s="835">
        <v>2</v>
      </c>
      <c r="G13" s="834">
        <v>2678.6666666666665</v>
      </c>
      <c r="H13" s="835">
        <v>3</v>
      </c>
      <c r="I13" s="834">
        <v>2953</v>
      </c>
      <c r="J13" s="835">
        <v>3</v>
      </c>
      <c r="K13" s="834">
        <v>2819.375</v>
      </c>
      <c r="L13" s="835">
        <v>8</v>
      </c>
      <c r="M13" s="834">
        <v>3653.1111111111113</v>
      </c>
      <c r="N13" s="835">
        <v>9</v>
      </c>
      <c r="O13" s="834">
        <v>2566.4</v>
      </c>
      <c r="P13" s="835">
        <v>10</v>
      </c>
      <c r="Q13" s="834">
        <v>2905</v>
      </c>
      <c r="R13" s="835">
        <v>3</v>
      </c>
      <c r="S13" s="834">
        <v>3184</v>
      </c>
      <c r="T13" s="835">
        <v>1</v>
      </c>
      <c r="U13" s="834">
        <v>2581</v>
      </c>
      <c r="V13" s="841">
        <v>4</v>
      </c>
    </row>
    <row r="14" spans="2:32">
      <c r="B14" s="837" t="s">
        <v>638</v>
      </c>
      <c r="C14" s="840">
        <v>3053.8</v>
      </c>
      <c r="D14" s="835">
        <v>10</v>
      </c>
      <c r="E14" s="834">
        <v>2822.5</v>
      </c>
      <c r="F14" s="835">
        <v>12</v>
      </c>
      <c r="G14" s="834">
        <v>2038</v>
      </c>
      <c r="H14" s="835">
        <v>1</v>
      </c>
      <c r="I14" s="834">
        <v>2951.1666666666665</v>
      </c>
      <c r="J14" s="835">
        <v>6</v>
      </c>
      <c r="K14" s="834">
        <v>3094.5</v>
      </c>
      <c r="L14" s="835">
        <v>4</v>
      </c>
      <c r="M14" s="834">
        <v>4139.2307692307695</v>
      </c>
      <c r="N14" s="835">
        <v>13</v>
      </c>
      <c r="O14" s="834">
        <v>2458.3333333333335</v>
      </c>
      <c r="P14" s="835">
        <v>6</v>
      </c>
      <c r="Q14" s="834">
        <v>3623</v>
      </c>
      <c r="R14" s="835">
        <v>13</v>
      </c>
      <c r="S14" s="834">
        <v>3250.25</v>
      </c>
      <c r="T14" s="835">
        <v>4</v>
      </c>
      <c r="U14" s="834">
        <v>3531</v>
      </c>
      <c r="V14" s="841">
        <v>1</v>
      </c>
    </row>
    <row r="15" spans="2:32">
      <c r="B15" s="838" t="s">
        <v>631</v>
      </c>
      <c r="C15" s="840"/>
      <c r="D15" s="835"/>
      <c r="E15" s="834"/>
      <c r="F15" s="835"/>
      <c r="G15" s="834"/>
      <c r="H15" s="835"/>
      <c r="I15" s="834"/>
      <c r="J15" s="835"/>
      <c r="K15" s="834"/>
      <c r="L15" s="835"/>
      <c r="M15" s="834"/>
      <c r="N15" s="835"/>
      <c r="O15" s="834"/>
      <c r="P15" s="835"/>
      <c r="Q15" s="834"/>
      <c r="R15" s="835"/>
      <c r="S15" s="834"/>
      <c r="T15" s="835"/>
      <c r="U15" s="834"/>
      <c r="V15" s="841"/>
    </row>
    <row r="16" spans="2:32">
      <c r="B16" s="837" t="s">
        <v>641</v>
      </c>
      <c r="C16" s="840">
        <v>2940.6666666666665</v>
      </c>
      <c r="D16" s="835">
        <v>12</v>
      </c>
      <c r="E16" s="834">
        <v>2860.1111111111113</v>
      </c>
      <c r="F16" s="835">
        <v>9</v>
      </c>
      <c r="G16" s="834">
        <v>2055.75</v>
      </c>
      <c r="H16" s="835">
        <v>4</v>
      </c>
      <c r="I16" s="834"/>
      <c r="J16" s="835"/>
      <c r="K16" s="834">
        <v>3288.8571428571427</v>
      </c>
      <c r="L16" s="835">
        <v>7</v>
      </c>
      <c r="M16" s="834">
        <v>3368.2</v>
      </c>
      <c r="N16" s="835">
        <v>10</v>
      </c>
      <c r="O16" s="834">
        <v>2735.2</v>
      </c>
      <c r="P16" s="835">
        <v>7</v>
      </c>
      <c r="Q16" s="834"/>
      <c r="R16" s="835">
        <v>1</v>
      </c>
      <c r="S16" s="834"/>
      <c r="T16" s="835"/>
      <c r="U16" s="834">
        <v>2883.25</v>
      </c>
      <c r="V16" s="841">
        <v>8</v>
      </c>
    </row>
    <row r="17" spans="2:22">
      <c r="B17" s="837" t="s">
        <v>642</v>
      </c>
      <c r="C17" s="840">
        <v>2812.5</v>
      </c>
      <c r="D17" s="835">
        <v>12</v>
      </c>
      <c r="E17" s="834">
        <v>3221.2222222222222</v>
      </c>
      <c r="F17" s="835">
        <v>9</v>
      </c>
      <c r="G17" s="834">
        <v>3302</v>
      </c>
      <c r="H17" s="835">
        <v>7</v>
      </c>
      <c r="I17" s="834">
        <v>3006.4166666666665</v>
      </c>
      <c r="J17" s="835">
        <v>12</v>
      </c>
      <c r="K17" s="834">
        <v>2803.5</v>
      </c>
      <c r="L17" s="835">
        <v>6</v>
      </c>
      <c r="M17" s="834">
        <v>3559</v>
      </c>
      <c r="N17" s="835">
        <v>11</v>
      </c>
      <c r="O17" s="834">
        <v>2543</v>
      </c>
      <c r="P17" s="835">
        <v>13</v>
      </c>
      <c r="Q17" s="834"/>
      <c r="R17" s="835">
        <v>1</v>
      </c>
      <c r="S17" s="834">
        <v>2671</v>
      </c>
      <c r="T17" s="835">
        <v>4</v>
      </c>
      <c r="U17" s="834">
        <v>2844</v>
      </c>
      <c r="V17" s="841">
        <v>1</v>
      </c>
    </row>
    <row r="18" spans="2:22">
      <c r="B18" s="837" t="s">
        <v>643</v>
      </c>
      <c r="C18" s="840">
        <v>3502.1</v>
      </c>
      <c r="D18" s="835">
        <v>10</v>
      </c>
      <c r="E18" s="834">
        <v>2608.25</v>
      </c>
      <c r="F18" s="835">
        <v>12</v>
      </c>
      <c r="G18" s="834">
        <v>2970.5263157894738</v>
      </c>
      <c r="H18" s="835">
        <v>19</v>
      </c>
      <c r="I18" s="834">
        <v>2479.7692307692309</v>
      </c>
      <c r="J18" s="835">
        <v>13</v>
      </c>
      <c r="K18" s="834">
        <v>3252.181818181818</v>
      </c>
      <c r="L18" s="835">
        <v>23</v>
      </c>
      <c r="M18" s="834">
        <v>3677.5555555555557</v>
      </c>
      <c r="N18" s="835">
        <v>9</v>
      </c>
      <c r="O18" s="834">
        <v>2801.4285714285716</v>
      </c>
      <c r="P18" s="835">
        <v>10</v>
      </c>
      <c r="Q18" s="834"/>
      <c r="R18" s="835">
        <v>2</v>
      </c>
      <c r="S18" s="834">
        <v>3174</v>
      </c>
      <c r="T18" s="835">
        <v>6</v>
      </c>
      <c r="U18" s="834">
        <v>2655.0666666666666</v>
      </c>
      <c r="V18" s="841">
        <v>15</v>
      </c>
    </row>
    <row r="19" spans="2:22">
      <c r="B19" s="837" t="s">
        <v>639</v>
      </c>
      <c r="C19" s="840">
        <v>3617.6363636363635</v>
      </c>
      <c r="D19" s="835">
        <v>11</v>
      </c>
      <c r="E19" s="834">
        <v>3190</v>
      </c>
      <c r="F19" s="835">
        <v>22</v>
      </c>
      <c r="G19" s="834">
        <v>2691.962962962963</v>
      </c>
      <c r="H19" s="835">
        <v>27</v>
      </c>
      <c r="I19" s="834"/>
      <c r="J19" s="835"/>
      <c r="K19" s="834">
        <v>3718.3571428571427</v>
      </c>
      <c r="L19" s="835">
        <v>17</v>
      </c>
      <c r="M19" s="834">
        <v>4229.3999999999996</v>
      </c>
      <c r="N19" s="835">
        <v>15</v>
      </c>
      <c r="O19" s="834">
        <v>2664.4666666666667</v>
      </c>
      <c r="P19" s="835">
        <v>16</v>
      </c>
      <c r="Q19" s="834"/>
      <c r="R19" s="835">
        <v>2</v>
      </c>
      <c r="S19" s="834">
        <v>3083.1666666666665</v>
      </c>
      <c r="T19" s="835">
        <v>6</v>
      </c>
      <c r="U19" s="834">
        <v>2921.4210526315787</v>
      </c>
      <c r="V19" s="841">
        <v>19</v>
      </c>
    </row>
    <row r="20" spans="2:22">
      <c r="B20" s="837" t="s">
        <v>640</v>
      </c>
      <c r="C20" s="840">
        <v>3446</v>
      </c>
      <c r="D20" s="835">
        <v>17</v>
      </c>
      <c r="E20" s="834">
        <v>3254.0666666666666</v>
      </c>
      <c r="F20" s="835">
        <v>15</v>
      </c>
      <c r="G20" s="834">
        <v>2632.5833333333335</v>
      </c>
      <c r="H20" s="835">
        <v>24</v>
      </c>
      <c r="I20" s="834">
        <v>2561.5625</v>
      </c>
      <c r="J20" s="835">
        <v>32</v>
      </c>
      <c r="K20" s="834">
        <v>3467.4583333333335</v>
      </c>
      <c r="L20" s="835">
        <v>26</v>
      </c>
      <c r="M20" s="834">
        <v>3945.44</v>
      </c>
      <c r="N20" s="835">
        <v>25</v>
      </c>
      <c r="O20" s="834">
        <v>2697.3333333333335</v>
      </c>
      <c r="P20" s="835">
        <v>12</v>
      </c>
      <c r="Q20" s="834">
        <v>2814.0454545454545</v>
      </c>
      <c r="R20" s="835">
        <v>40</v>
      </c>
      <c r="S20" s="834">
        <v>3126.8333333333335</v>
      </c>
      <c r="T20" s="835">
        <v>12</v>
      </c>
      <c r="U20" s="834">
        <v>3052.090909090909</v>
      </c>
      <c r="V20" s="841">
        <v>33</v>
      </c>
    </row>
    <row r="21" spans="2:22">
      <c r="B21" s="837" t="s">
        <v>632</v>
      </c>
      <c r="C21" s="840">
        <v>3037</v>
      </c>
      <c r="D21" s="835">
        <v>16</v>
      </c>
      <c r="E21" s="834">
        <v>3539</v>
      </c>
      <c r="F21" s="835">
        <v>9</v>
      </c>
      <c r="G21" s="834">
        <v>2752.3888888888887</v>
      </c>
      <c r="H21" s="835">
        <v>36</v>
      </c>
      <c r="I21" s="834">
        <v>2834.1176470588234</v>
      </c>
      <c r="J21" s="835">
        <v>34</v>
      </c>
      <c r="K21" s="834">
        <v>2866</v>
      </c>
      <c r="L21" s="835">
        <v>18</v>
      </c>
      <c r="M21" s="834">
        <v>4078.909090909091</v>
      </c>
      <c r="N21" s="835">
        <v>11</v>
      </c>
      <c r="O21" s="834">
        <v>2683.0769230769229</v>
      </c>
      <c r="P21" s="835">
        <v>13</v>
      </c>
      <c r="Q21" s="834">
        <v>2683.75</v>
      </c>
      <c r="R21" s="835">
        <v>8</v>
      </c>
      <c r="S21" s="834">
        <v>2914.3636363636365</v>
      </c>
      <c r="T21" s="835">
        <v>22</v>
      </c>
      <c r="U21" s="834">
        <v>2727.4</v>
      </c>
      <c r="V21" s="841">
        <v>25</v>
      </c>
    </row>
    <row r="22" spans="2:22">
      <c r="B22" s="837" t="s">
        <v>633</v>
      </c>
      <c r="C22" s="840">
        <v>2705.375</v>
      </c>
      <c r="D22" s="835">
        <v>8</v>
      </c>
      <c r="E22" s="834">
        <v>3000.6666666666665</v>
      </c>
      <c r="F22" s="835">
        <v>9</v>
      </c>
      <c r="G22" s="834">
        <v>2961.7586206896553</v>
      </c>
      <c r="H22" s="835">
        <v>29</v>
      </c>
      <c r="I22" s="834">
        <v>3170.6666666666665</v>
      </c>
      <c r="J22" s="835">
        <v>15</v>
      </c>
      <c r="K22" s="834">
        <v>3310</v>
      </c>
      <c r="L22" s="835">
        <v>15</v>
      </c>
      <c r="M22" s="834">
        <v>3748.6666666666665</v>
      </c>
      <c r="N22" s="835">
        <v>21</v>
      </c>
      <c r="O22" s="834">
        <v>2785.2727272727275</v>
      </c>
      <c r="P22" s="835">
        <v>11</v>
      </c>
      <c r="Q22" s="834">
        <v>3423.0588235294117</v>
      </c>
      <c r="R22" s="835">
        <v>17</v>
      </c>
      <c r="S22" s="834">
        <v>2748.2631578947367</v>
      </c>
      <c r="T22" s="835">
        <v>19</v>
      </c>
      <c r="U22" s="834">
        <v>2721.5454545454545</v>
      </c>
      <c r="V22" s="841">
        <v>22</v>
      </c>
    </row>
    <row r="23" spans="2:22">
      <c r="B23" s="837" t="s">
        <v>634</v>
      </c>
      <c r="C23" s="840">
        <v>2853.3</v>
      </c>
      <c r="D23" s="835">
        <v>10</v>
      </c>
      <c r="E23" s="834">
        <v>3222.5714285714284</v>
      </c>
      <c r="F23" s="835">
        <v>14</v>
      </c>
      <c r="G23" s="834">
        <v>2818.1555555555556</v>
      </c>
      <c r="H23" s="835">
        <v>45</v>
      </c>
      <c r="I23" s="834">
        <v>2747.1428571428573</v>
      </c>
      <c r="J23" s="835">
        <v>14</v>
      </c>
      <c r="K23" s="834">
        <v>3081.4583333333335</v>
      </c>
      <c r="L23" s="835">
        <v>24</v>
      </c>
      <c r="M23" s="834">
        <v>4335.2857142857147</v>
      </c>
      <c r="N23" s="835">
        <v>14</v>
      </c>
      <c r="O23" s="834">
        <v>2285.5454545454545</v>
      </c>
      <c r="P23" s="835">
        <v>11</v>
      </c>
      <c r="Q23" s="834">
        <v>2720.8461538461538</v>
      </c>
      <c r="R23" s="835">
        <v>13</v>
      </c>
      <c r="S23" s="834">
        <v>3305.7857142857142</v>
      </c>
      <c r="T23" s="835">
        <v>14</v>
      </c>
      <c r="U23" s="834">
        <v>2940.6666666666665</v>
      </c>
      <c r="V23" s="841">
        <v>15</v>
      </c>
    </row>
    <row r="24" spans="2:22">
      <c r="B24" s="837" t="s">
        <v>635</v>
      </c>
      <c r="C24" s="840">
        <v>3166</v>
      </c>
      <c r="D24" s="835">
        <v>5</v>
      </c>
      <c r="E24" s="834">
        <v>3137</v>
      </c>
      <c r="F24" s="835">
        <v>4</v>
      </c>
      <c r="G24" s="834">
        <v>3509</v>
      </c>
      <c r="H24" s="835">
        <v>15</v>
      </c>
      <c r="I24" s="834">
        <v>2380</v>
      </c>
      <c r="J24" s="835">
        <v>3</v>
      </c>
      <c r="K24" s="834">
        <v>3573.8235294117649</v>
      </c>
      <c r="L24" s="835">
        <v>17</v>
      </c>
      <c r="M24" s="834">
        <v>3230.5555555555557</v>
      </c>
      <c r="N24" s="835">
        <v>9</v>
      </c>
      <c r="O24" s="834">
        <v>2818.0833333333335</v>
      </c>
      <c r="P24" s="835">
        <v>24</v>
      </c>
      <c r="Q24" s="834">
        <v>2783</v>
      </c>
      <c r="R24" s="835">
        <v>18</v>
      </c>
      <c r="S24" s="834">
        <v>3090.6153846153848</v>
      </c>
      <c r="T24" s="835">
        <v>13</v>
      </c>
      <c r="U24" s="834">
        <v>2945.4285714285716</v>
      </c>
      <c r="V24" s="841">
        <v>14</v>
      </c>
    </row>
    <row r="25" spans="2:22">
      <c r="B25" s="837" t="s">
        <v>636</v>
      </c>
      <c r="C25" s="840">
        <v>3529.5384615384614</v>
      </c>
      <c r="D25" s="835">
        <v>13</v>
      </c>
      <c r="E25" s="834">
        <v>3046.875</v>
      </c>
      <c r="F25" s="835">
        <v>16</v>
      </c>
      <c r="G25" s="834">
        <v>2944.4814814814813</v>
      </c>
      <c r="H25" s="835">
        <v>27</v>
      </c>
      <c r="I25" s="834">
        <v>2513.7777777777778</v>
      </c>
      <c r="J25" s="835">
        <v>9</v>
      </c>
      <c r="K25" s="834">
        <v>3354.9166666666665</v>
      </c>
      <c r="L25" s="835">
        <v>12</v>
      </c>
      <c r="M25" s="834">
        <v>3932.7777777777778</v>
      </c>
      <c r="N25" s="835">
        <v>9</v>
      </c>
      <c r="O25" s="834">
        <v>2703</v>
      </c>
      <c r="P25" s="835">
        <v>7</v>
      </c>
      <c r="Q25" s="834">
        <v>2955.3333333333335</v>
      </c>
      <c r="R25" s="835">
        <v>9</v>
      </c>
      <c r="S25" s="834">
        <v>2845.0555555555557</v>
      </c>
      <c r="T25" s="835">
        <v>18</v>
      </c>
      <c r="U25" s="834">
        <v>2611.7272727272725</v>
      </c>
      <c r="V25" s="841">
        <v>11</v>
      </c>
    </row>
    <row r="26" spans="2:22">
      <c r="B26" s="837" t="s">
        <v>637</v>
      </c>
      <c r="C26" s="840">
        <v>3190</v>
      </c>
      <c r="D26" s="835">
        <v>4</v>
      </c>
      <c r="E26" s="834">
        <v>2729.8461538461538</v>
      </c>
      <c r="F26" s="835">
        <v>13</v>
      </c>
      <c r="G26" s="834">
        <v>2945.818181818182</v>
      </c>
      <c r="H26" s="835">
        <v>11</v>
      </c>
      <c r="I26" s="834">
        <v>2856.6</v>
      </c>
      <c r="J26" s="835">
        <v>15</v>
      </c>
      <c r="K26" s="834">
        <v>3328.2727272727275</v>
      </c>
      <c r="L26" s="835">
        <v>11</v>
      </c>
      <c r="M26" s="834">
        <v>3548.4444444444443</v>
      </c>
      <c r="N26" s="835">
        <v>9</v>
      </c>
      <c r="O26" s="834">
        <v>2679.2608695652175</v>
      </c>
      <c r="P26" s="835">
        <v>23</v>
      </c>
      <c r="Q26" s="834">
        <v>3072.3</v>
      </c>
      <c r="R26" s="835">
        <v>10</v>
      </c>
      <c r="S26" s="834">
        <v>3146.1176470588234</v>
      </c>
      <c r="T26" s="835">
        <v>17</v>
      </c>
      <c r="U26" s="834">
        <v>2693.5833333333335</v>
      </c>
      <c r="V26" s="841">
        <v>12</v>
      </c>
    </row>
    <row r="27" spans="2:22">
      <c r="B27" s="837" t="s">
        <v>638</v>
      </c>
      <c r="C27" s="840">
        <v>2988.090909090909</v>
      </c>
      <c r="D27" s="835">
        <v>11</v>
      </c>
      <c r="E27" s="834">
        <v>3252.6666666666665</v>
      </c>
      <c r="F27" s="835">
        <v>6</v>
      </c>
      <c r="G27" s="834">
        <v>2618.1333333333332</v>
      </c>
      <c r="H27" s="835">
        <v>30</v>
      </c>
      <c r="I27" s="834">
        <v>2686.4375</v>
      </c>
      <c r="J27" s="835">
        <v>17</v>
      </c>
      <c r="K27" s="834">
        <v>2893.2666666666669</v>
      </c>
      <c r="L27" s="835">
        <v>15</v>
      </c>
      <c r="M27" s="834">
        <v>4055.9230769230771</v>
      </c>
      <c r="N27" s="835">
        <v>13</v>
      </c>
      <c r="O27" s="834">
        <v>2624.2631578947367</v>
      </c>
      <c r="P27" s="835">
        <v>19</v>
      </c>
      <c r="Q27" s="834">
        <v>2627.6</v>
      </c>
      <c r="R27" s="835">
        <v>10</v>
      </c>
      <c r="S27" s="834">
        <v>2539.4117647058824</v>
      </c>
      <c r="T27" s="835">
        <v>17</v>
      </c>
      <c r="U27" s="834">
        <v>2768.75</v>
      </c>
      <c r="V27" s="841">
        <v>16</v>
      </c>
    </row>
    <row r="28" spans="2:22">
      <c r="B28" s="838" t="s">
        <v>473</v>
      </c>
      <c r="C28" s="840"/>
      <c r="D28" s="835"/>
      <c r="E28" s="834"/>
      <c r="F28" s="835"/>
      <c r="G28" s="834"/>
      <c r="H28" s="835"/>
      <c r="I28" s="834"/>
      <c r="J28" s="835"/>
      <c r="K28" s="834"/>
      <c r="L28" s="835"/>
      <c r="M28" s="834"/>
      <c r="N28" s="835"/>
      <c r="O28" s="834"/>
      <c r="P28" s="835"/>
      <c r="Q28" s="834"/>
      <c r="R28" s="835"/>
      <c r="S28" s="834"/>
      <c r="T28" s="835"/>
      <c r="U28" s="834"/>
      <c r="V28" s="841"/>
    </row>
    <row r="29" spans="2:22">
      <c r="B29" s="837" t="s">
        <v>641</v>
      </c>
      <c r="C29" s="840">
        <v>2754.35</v>
      </c>
      <c r="D29" s="835">
        <v>20</v>
      </c>
      <c r="E29" s="834">
        <v>2992.1875</v>
      </c>
      <c r="F29" s="835">
        <v>16</v>
      </c>
      <c r="G29" s="834">
        <v>2720.3823529411766</v>
      </c>
      <c r="H29" s="835">
        <v>34</v>
      </c>
      <c r="I29" s="834">
        <v>3101.4615384615386</v>
      </c>
      <c r="J29" s="835">
        <v>13</v>
      </c>
      <c r="K29" s="834">
        <v>3149.7222222222222</v>
      </c>
      <c r="L29" s="835">
        <v>18</v>
      </c>
      <c r="M29" s="834">
        <v>4037.3888888888887</v>
      </c>
      <c r="N29" s="835">
        <v>18</v>
      </c>
      <c r="O29" s="834">
        <v>2423.7647058823532</v>
      </c>
      <c r="P29" s="835">
        <v>17</v>
      </c>
      <c r="Q29" s="834">
        <v>2629.6428571428573</v>
      </c>
      <c r="R29" s="835">
        <v>14</v>
      </c>
      <c r="S29" s="834">
        <v>3199.5</v>
      </c>
      <c r="T29" s="835">
        <v>8</v>
      </c>
      <c r="U29" s="834">
        <v>2881.7647058823532</v>
      </c>
      <c r="V29" s="841">
        <v>17</v>
      </c>
    </row>
    <row r="30" spans="2:22">
      <c r="B30" s="837" t="s">
        <v>642</v>
      </c>
      <c r="C30" s="840">
        <v>3162.695652173913</v>
      </c>
      <c r="D30" s="835">
        <v>23</v>
      </c>
      <c r="E30" s="834">
        <v>3196.8260869565215</v>
      </c>
      <c r="F30" s="835">
        <v>23</v>
      </c>
      <c r="G30" s="834">
        <v>3009.8148148148148</v>
      </c>
      <c r="H30" s="835">
        <v>27</v>
      </c>
      <c r="I30" s="834">
        <v>2905</v>
      </c>
      <c r="J30" s="835">
        <v>5</v>
      </c>
      <c r="K30" s="834">
        <v>3258.3333333333335</v>
      </c>
      <c r="L30" s="835">
        <v>12</v>
      </c>
      <c r="M30" s="834">
        <v>4192.333333333333</v>
      </c>
      <c r="N30" s="835">
        <v>12</v>
      </c>
      <c r="O30" s="834">
        <v>2977.7333333333331</v>
      </c>
      <c r="P30" s="835">
        <v>15</v>
      </c>
      <c r="Q30" s="834">
        <v>3190.5</v>
      </c>
      <c r="R30" s="835">
        <v>8</v>
      </c>
      <c r="S30" s="834">
        <v>3604.6666666666665</v>
      </c>
      <c r="T30" s="835">
        <v>6</v>
      </c>
      <c r="U30" s="834">
        <v>2587.7777777777778</v>
      </c>
      <c r="V30" s="841">
        <v>18</v>
      </c>
    </row>
    <row r="31" spans="2:22">
      <c r="B31" s="837" t="s">
        <v>643</v>
      </c>
      <c r="C31" s="840">
        <v>3285.3333333333335</v>
      </c>
      <c r="D31" s="835">
        <v>21</v>
      </c>
      <c r="E31" s="834">
        <v>3297.125</v>
      </c>
      <c r="F31" s="835">
        <v>8</v>
      </c>
      <c r="G31" s="834">
        <v>2534.7777777777778</v>
      </c>
      <c r="H31" s="835">
        <v>9</v>
      </c>
      <c r="I31" s="834">
        <v>2809.2857142857142</v>
      </c>
      <c r="J31" s="835">
        <v>7</v>
      </c>
      <c r="K31" s="834">
        <v>4506.916666666667</v>
      </c>
      <c r="L31" s="835">
        <v>12</v>
      </c>
      <c r="M31" s="834">
        <v>3745.4285714285716</v>
      </c>
      <c r="N31" s="835">
        <v>21</v>
      </c>
      <c r="O31" s="834">
        <v>3022.0833333333335</v>
      </c>
      <c r="P31" s="835">
        <v>12</v>
      </c>
      <c r="Q31" s="834">
        <v>2816.5</v>
      </c>
      <c r="R31" s="835">
        <v>20</v>
      </c>
      <c r="S31" s="834">
        <v>2561.75</v>
      </c>
      <c r="T31" s="835">
        <v>4</v>
      </c>
      <c r="U31" s="834">
        <v>2937.2</v>
      </c>
      <c r="V31" s="841">
        <v>15</v>
      </c>
    </row>
    <row r="32" spans="2:22">
      <c r="B32" s="837" t="s">
        <v>639</v>
      </c>
      <c r="C32" s="834">
        <v>2277</v>
      </c>
      <c r="D32" s="835">
        <v>2</v>
      </c>
      <c r="E32" s="834"/>
      <c r="F32" s="835"/>
      <c r="G32" s="834">
        <v>2311</v>
      </c>
      <c r="H32" s="835">
        <v>1</v>
      </c>
      <c r="I32" s="834">
        <v>2365</v>
      </c>
      <c r="J32" s="835">
        <v>1</v>
      </c>
      <c r="K32" s="834"/>
      <c r="L32" s="835"/>
      <c r="M32" s="834"/>
      <c r="N32" s="835"/>
      <c r="O32" s="834"/>
      <c r="P32" s="835"/>
      <c r="Q32" s="834"/>
      <c r="R32" s="835"/>
      <c r="S32" s="834"/>
      <c r="T32" s="835"/>
      <c r="U32" s="834"/>
      <c r="V32" s="841"/>
    </row>
    <row r="33" spans="2:477">
      <c r="B33" s="837" t="s">
        <v>640</v>
      </c>
      <c r="C33" s="834"/>
      <c r="D33" s="835"/>
      <c r="E33" s="834"/>
      <c r="F33" s="835"/>
      <c r="G33" s="834"/>
      <c r="H33" s="835"/>
      <c r="I33" s="834"/>
      <c r="J33" s="835"/>
      <c r="K33" s="834"/>
      <c r="L33" s="835"/>
      <c r="M33" s="834"/>
      <c r="N33" s="835"/>
      <c r="O33" s="834"/>
      <c r="P33" s="835"/>
      <c r="Q33" s="834">
        <v>1986</v>
      </c>
      <c r="R33" s="835">
        <v>1</v>
      </c>
      <c r="S33" s="834"/>
      <c r="T33" s="835"/>
      <c r="U33" s="834"/>
      <c r="V33" s="841"/>
    </row>
    <row r="34" spans="2:477">
      <c r="B34" s="837" t="s">
        <v>632</v>
      </c>
      <c r="C34" s="834"/>
      <c r="D34" s="835"/>
      <c r="E34" s="834"/>
      <c r="F34" s="835"/>
      <c r="G34" s="834"/>
      <c r="H34" s="835"/>
      <c r="I34" s="834"/>
      <c r="J34" s="835"/>
      <c r="K34" s="834"/>
      <c r="L34" s="835"/>
      <c r="M34" s="834">
        <v>2414</v>
      </c>
      <c r="N34" s="835">
        <v>1</v>
      </c>
      <c r="O34" s="834">
        <v>2139</v>
      </c>
      <c r="P34" s="835">
        <v>1</v>
      </c>
      <c r="Q34" s="834"/>
      <c r="R34" s="835">
        <v>1</v>
      </c>
      <c r="S34" s="834"/>
      <c r="T34" s="835"/>
      <c r="U34" s="834"/>
      <c r="V34" s="841"/>
    </row>
    <row r="35" spans="2:477">
      <c r="B35" s="837" t="s">
        <v>633</v>
      </c>
      <c r="C35" s="834">
        <v>2110</v>
      </c>
      <c r="D35" s="835">
        <v>1</v>
      </c>
      <c r="E35" s="834"/>
      <c r="F35" s="835"/>
      <c r="G35" s="834"/>
      <c r="H35" s="835"/>
      <c r="I35" s="834"/>
      <c r="J35" s="835"/>
      <c r="K35" s="834"/>
      <c r="L35" s="835"/>
      <c r="M35" s="834">
        <v>2564</v>
      </c>
      <c r="N35" s="835">
        <v>1</v>
      </c>
      <c r="O35" s="834">
        <v>2215</v>
      </c>
      <c r="P35" s="835">
        <v>1</v>
      </c>
      <c r="Q35" s="834">
        <v>3325</v>
      </c>
      <c r="R35" s="835">
        <v>1</v>
      </c>
      <c r="S35" s="834"/>
      <c r="T35" s="835"/>
      <c r="U35" s="834"/>
      <c r="V35" s="841"/>
    </row>
    <row r="36" spans="2:477">
      <c r="B36" s="837" t="s">
        <v>634</v>
      </c>
      <c r="C36" s="834">
        <v>2166</v>
      </c>
      <c r="D36" s="835">
        <v>1</v>
      </c>
      <c r="E36" s="834"/>
      <c r="F36" s="835"/>
      <c r="G36" s="834"/>
      <c r="H36" s="835"/>
      <c r="I36" s="834"/>
      <c r="J36" s="835"/>
      <c r="K36" s="834">
        <v>2269</v>
      </c>
      <c r="L36" s="835">
        <v>1</v>
      </c>
      <c r="M36" s="834"/>
      <c r="N36" s="835"/>
      <c r="O36" s="834"/>
      <c r="P36" s="835"/>
      <c r="Q36" s="834"/>
      <c r="R36" s="835"/>
      <c r="S36" s="834"/>
      <c r="T36" s="835"/>
      <c r="U36" s="834"/>
      <c r="V36" s="841"/>
    </row>
    <row r="37" spans="2:477">
      <c r="B37" s="837" t="s">
        <v>635</v>
      </c>
      <c r="C37" s="834">
        <v>3338</v>
      </c>
      <c r="D37" s="835">
        <v>1</v>
      </c>
      <c r="E37" s="834">
        <v>2104</v>
      </c>
      <c r="F37" s="835">
        <v>1</v>
      </c>
      <c r="G37" s="834">
        <v>2104.5</v>
      </c>
      <c r="H37" s="835">
        <v>2</v>
      </c>
      <c r="I37" s="834"/>
      <c r="J37" s="835"/>
      <c r="K37" s="834">
        <v>3001</v>
      </c>
      <c r="L37" s="835">
        <v>1</v>
      </c>
      <c r="M37" s="834">
        <v>2776</v>
      </c>
      <c r="N37" s="835">
        <v>1</v>
      </c>
      <c r="O37" s="834">
        <v>2429</v>
      </c>
      <c r="P37" s="835">
        <v>1</v>
      </c>
      <c r="Q37" s="834"/>
      <c r="R37" s="835"/>
      <c r="S37" s="834"/>
      <c r="T37" s="835"/>
      <c r="U37" s="834"/>
      <c r="V37" s="841"/>
    </row>
    <row r="38" spans="2:477">
      <c r="B38" s="837" t="s">
        <v>636</v>
      </c>
      <c r="C38" s="834"/>
      <c r="D38" s="835"/>
      <c r="E38" s="834"/>
      <c r="F38" s="835"/>
      <c r="G38" s="834">
        <v>2346</v>
      </c>
      <c r="H38" s="835">
        <v>1</v>
      </c>
      <c r="I38" s="834"/>
      <c r="J38" s="835"/>
      <c r="K38" s="834">
        <v>3974</v>
      </c>
      <c r="L38" s="835">
        <v>1</v>
      </c>
      <c r="M38" s="834">
        <v>6693</v>
      </c>
      <c r="N38" s="835">
        <v>1</v>
      </c>
      <c r="O38" s="834"/>
      <c r="P38" s="835"/>
      <c r="Q38" s="834"/>
      <c r="R38" s="835"/>
      <c r="S38" s="834"/>
      <c r="T38" s="835"/>
      <c r="U38" s="834"/>
      <c r="V38" s="841"/>
    </row>
    <row r="39" spans="2:477">
      <c r="B39" s="837" t="s">
        <v>637</v>
      </c>
      <c r="C39" s="834"/>
      <c r="D39" s="835"/>
      <c r="E39" s="834">
        <v>2026</v>
      </c>
      <c r="F39" s="835">
        <v>1</v>
      </c>
      <c r="G39" s="834">
        <v>2488</v>
      </c>
      <c r="H39" s="835">
        <v>1</v>
      </c>
      <c r="I39" s="834"/>
      <c r="J39" s="835"/>
      <c r="K39" s="834"/>
      <c r="L39" s="835"/>
      <c r="M39" s="834"/>
      <c r="N39" s="835"/>
      <c r="O39" s="834"/>
      <c r="P39" s="835"/>
      <c r="Q39" s="834"/>
      <c r="R39" s="835"/>
      <c r="S39" s="834">
        <v>1882</v>
      </c>
      <c r="T39" s="835">
        <v>1</v>
      </c>
      <c r="U39" s="834">
        <v>2865</v>
      </c>
      <c r="V39" s="841">
        <v>1</v>
      </c>
    </row>
    <row r="40" spans="2:477">
      <c r="B40" s="837" t="s">
        <v>638</v>
      </c>
      <c r="C40" s="834"/>
      <c r="D40" s="835"/>
      <c r="E40" s="834">
        <v>3010</v>
      </c>
      <c r="F40" s="835">
        <v>2</v>
      </c>
      <c r="G40" s="834">
        <v>2427</v>
      </c>
      <c r="H40" s="835">
        <v>1</v>
      </c>
      <c r="I40" s="834"/>
      <c r="J40" s="835"/>
      <c r="K40" s="834">
        <v>6249</v>
      </c>
      <c r="L40" s="835">
        <v>1</v>
      </c>
      <c r="M40" s="834"/>
      <c r="N40" s="835"/>
      <c r="O40" s="834"/>
      <c r="P40" s="835"/>
      <c r="Q40" s="834"/>
      <c r="R40" s="835"/>
      <c r="S40" s="834">
        <v>2426</v>
      </c>
      <c r="T40" s="835">
        <v>1</v>
      </c>
      <c r="U40" s="834">
        <v>2967</v>
      </c>
      <c r="V40" s="841">
        <v>2</v>
      </c>
    </row>
    <row r="41" spans="2:477"/>
    <row r="42" spans="2:477" ht="23.5">
      <c r="B42" s="706" t="s">
        <v>1211</v>
      </c>
      <c r="C42" s="771"/>
      <c r="D42" s="771"/>
      <c r="E42" s="771"/>
      <c r="F42" s="771"/>
      <c r="G42" s="771"/>
      <c r="H42" s="771"/>
      <c r="I42" s="771"/>
      <c r="J42" s="771"/>
      <c r="K42" s="771"/>
      <c r="L42" s="771"/>
      <c r="M42" s="771"/>
      <c r="N42" s="771"/>
      <c r="O42" s="771"/>
      <c r="P42" s="771"/>
      <c r="Q42" s="771"/>
      <c r="R42" s="771"/>
      <c r="S42" s="771"/>
      <c r="T42" s="771"/>
      <c r="U42" s="771"/>
      <c r="V42" s="771"/>
      <c r="W42" s="771"/>
      <c r="X42" s="771"/>
      <c r="Y42" s="771"/>
      <c r="Z42" s="771"/>
      <c r="AA42" s="771"/>
      <c r="AB42" s="771"/>
      <c r="AC42" s="771"/>
      <c r="AD42" s="771"/>
      <c r="AE42" s="771"/>
      <c r="AF42" s="771"/>
    </row>
    <row r="43" spans="2:477">
      <c r="B43" s="765" t="s">
        <v>1210</v>
      </c>
    </row>
    <row r="44"/>
    <row r="45" spans="2:477" hidden="true">
      <c r="B45" s="837" t="s">
        <v>840</v>
      </c>
      <c r="C45" s="837" t="s">
        <v>1005</v>
      </c>
      <c r="D45" s="837"/>
      <c r="E45" s="837"/>
      <c r="F45" s="837"/>
      <c r="G45" s="837"/>
      <c r="H45" s="837"/>
      <c r="I45" s="837"/>
      <c r="J45" s="837"/>
      <c r="K45" s="837"/>
      <c r="L45" s="837"/>
      <c r="M45" s="837"/>
      <c r="N45" s="837"/>
      <c r="O45" s="837"/>
      <c r="P45" s="837"/>
      <c r="Q45" s="837"/>
      <c r="R45" s="837"/>
      <c r="S45" s="837"/>
      <c r="T45" s="837"/>
      <c r="U45" s="837"/>
      <c r="V45" s="837"/>
      <c r="W45" s="837"/>
      <c r="X45" s="837"/>
      <c r="Y45" s="837"/>
      <c r="Z45" s="837"/>
      <c r="AA45" s="837"/>
      <c r="AB45" s="837"/>
      <c r="AC45" s="837"/>
      <c r="AD45" s="837"/>
      <c r="AE45" s="837"/>
      <c r="AF45" s="837"/>
    </row>
    <row r="46" spans="2:477">
      <c r="B46" s="837"/>
      <c r="C46" s="838" t="s">
        <v>464</v>
      </c>
      <c r="D46" s="838"/>
      <c r="E46" s="838"/>
      <c r="F46" s="838"/>
      <c r="G46" s="838"/>
      <c r="H46" s="838"/>
      <c r="I46" s="838" t="s">
        <v>631</v>
      </c>
      <c r="J46" s="838"/>
      <c r="K46" s="838"/>
      <c r="L46" s="838"/>
      <c r="M46" s="838"/>
      <c r="N46" s="838"/>
      <c r="O46" s="838"/>
      <c r="P46" s="838"/>
      <c r="Q46" s="838"/>
      <c r="R46" s="838"/>
      <c r="S46" s="838"/>
      <c r="T46" s="838"/>
      <c r="U46" s="838" t="s">
        <v>473</v>
      </c>
      <c r="V46" s="838"/>
      <c r="W46" s="838"/>
      <c r="X46" s="838"/>
      <c r="Y46" s="838"/>
      <c r="Z46" s="838"/>
      <c r="AA46" s="838"/>
      <c r="AB46" s="838"/>
      <c r="AC46" s="838"/>
      <c r="AD46" s="838"/>
      <c r="AE46" s="838"/>
      <c r="AF46" s="838"/>
    </row>
    <row r="47" spans="2:477">
      <c r="B47" s="838" t="s">
        <v>1191</v>
      </c>
      <c r="C47" s="837" t="s">
        <v>633</v>
      </c>
      <c r="D47" s="837" t="s">
        <v>634</v>
      </c>
      <c r="E47" s="837" t="s">
        <v>635</v>
      </c>
      <c r="F47" s="837" t="s">
        <v>636</v>
      </c>
      <c r="G47" s="837" t="s">
        <v>637</v>
      </c>
      <c r="H47" s="837" t="s">
        <v>638</v>
      </c>
      <c r="I47" s="837" t="s">
        <v>641</v>
      </c>
      <c r="J47" s="837" t="s">
        <v>642</v>
      </c>
      <c r="K47" s="837" t="s">
        <v>643</v>
      </c>
      <c r="L47" s="837" t="s">
        <v>639</v>
      </c>
      <c r="M47" s="837" t="s">
        <v>640</v>
      </c>
      <c r="N47" s="837" t="s">
        <v>632</v>
      </c>
      <c r="O47" s="837" t="s">
        <v>633</v>
      </c>
      <c r="P47" s="837" t="s">
        <v>634</v>
      </c>
      <c r="Q47" s="837" t="s">
        <v>635</v>
      </c>
      <c r="R47" s="837" t="s">
        <v>636</v>
      </c>
      <c r="S47" s="837" t="s">
        <v>637</v>
      </c>
      <c r="T47" s="837" t="s">
        <v>638</v>
      </c>
      <c r="U47" s="837" t="s">
        <v>641</v>
      </c>
      <c r="V47" s="837" t="s">
        <v>642</v>
      </c>
      <c r="W47" s="837" t="s">
        <v>643</v>
      </c>
      <c r="X47" s="837" t="s">
        <v>639</v>
      </c>
      <c r="Y47" s="837" t="s">
        <v>640</v>
      </c>
      <c r="Z47" s="837" t="s">
        <v>632</v>
      </c>
      <c r="AA47" s="837" t="s">
        <v>633</v>
      </c>
      <c r="AB47" s="837" t="s">
        <v>634</v>
      </c>
      <c r="AC47" s="837" t="s">
        <v>635</v>
      </c>
      <c r="AD47" s="837" t="s">
        <v>636</v>
      </c>
      <c r="AE47" s="837" t="s">
        <v>637</v>
      </c>
      <c r="AF47" s="837" t="s">
        <v>638</v>
      </c>
    </row>
    <row r="48" spans="2:477" ht="15.5">
      <c r="B48" s="843" t="s">
        <v>1088</v>
      </c>
      <c r="C48" s="839"/>
      <c r="D48" s="839"/>
      <c r="E48" s="839"/>
      <c r="F48" s="839"/>
      <c r="G48" s="839"/>
      <c r="H48" s="839"/>
      <c r="I48" s="839"/>
      <c r="J48" s="839"/>
      <c r="K48" s="839"/>
      <c r="L48" s="839"/>
      <c r="M48" s="839"/>
      <c r="N48" s="839"/>
      <c r="O48" s="839"/>
      <c r="P48" s="839"/>
      <c r="Q48" s="839"/>
      <c r="R48" s="839"/>
      <c r="S48" s="839"/>
      <c r="T48" s="839"/>
      <c r="U48" s="839"/>
      <c r="V48" s="839"/>
      <c r="W48" s="839"/>
      <c r="X48" s="835"/>
      <c r="Y48" s="835"/>
      <c r="Z48" s="835"/>
      <c r="AA48" s="835"/>
      <c r="AB48" s="835"/>
      <c r="AC48" s="835"/>
      <c r="AD48" s="835"/>
      <c r="AE48" s="835"/>
      <c r="AF48" s="835"/>
    </row>
    <row r="49" spans="2:477">
      <c r="B49" s="837" t="s">
        <v>13</v>
      </c>
      <c r="C49" s="835"/>
      <c r="D49" s="835"/>
      <c r="E49" s="835"/>
      <c r="F49" s="835"/>
      <c r="G49" s="835"/>
      <c r="H49" s="835"/>
      <c r="I49" s="835"/>
      <c r="J49" s="835"/>
      <c r="K49" s="835"/>
      <c r="L49" s="835"/>
      <c r="M49" s="835"/>
      <c r="N49" s="835"/>
      <c r="O49" s="835"/>
      <c r="P49" s="835"/>
      <c r="Q49" s="835"/>
      <c r="R49" s="835"/>
      <c r="S49" s="835"/>
      <c r="T49" s="835"/>
      <c r="U49" s="835"/>
      <c r="V49" s="835"/>
      <c r="W49" s="835"/>
      <c r="X49" s="835"/>
      <c r="Y49" s="835"/>
      <c r="Z49" s="835"/>
      <c r="AA49" s="835"/>
      <c r="AB49" s="835"/>
      <c r="AC49" s="835"/>
      <c r="AD49" s="835"/>
      <c r="AE49" s="835"/>
      <c r="AF49" s="835"/>
    </row>
    <row r="50" spans="2:477">
      <c r="B50" s="835">
        <v>560</v>
      </c>
      <c r="C50" s="835">
        <v>2257.5</v>
      </c>
      <c r="D50" s="835">
        <v>2316</v>
      </c>
      <c r="E50" s="835"/>
      <c r="F50" s="835"/>
      <c r="G50" s="835"/>
      <c r="H50" s="835"/>
      <c r="I50" s="835"/>
      <c r="J50" s="835"/>
      <c r="K50" s="835"/>
      <c r="L50" s="835"/>
      <c r="M50" s="835"/>
      <c r="N50" s="835">
        <v>2371</v>
      </c>
      <c r="O50" s="835"/>
      <c r="P50" s="835">
        <v>2470</v>
      </c>
      <c r="Q50" s="835"/>
      <c r="R50" s="835"/>
      <c r="S50" s="835"/>
      <c r="T50" s="835"/>
      <c r="U50" s="835">
        <v>2274</v>
      </c>
      <c r="V50" s="835">
        <v>2216</v>
      </c>
      <c r="W50" s="835"/>
      <c r="X50" s="835"/>
      <c r="Y50" s="835"/>
      <c r="Z50" s="835"/>
      <c r="AA50" s="835"/>
      <c r="AB50" s="835"/>
      <c r="AC50" s="835"/>
      <c r="AD50" s="835"/>
      <c r="AE50" s="835"/>
      <c r="AF50" s="835"/>
    </row>
    <row r="51" spans="2:477">
      <c r="B51" s="835">
        <v>572</v>
      </c>
      <c r="C51" s="835"/>
      <c r="D51" s="835">
        <v>2524</v>
      </c>
      <c r="E51" s="835"/>
      <c r="F51" s="835"/>
      <c r="G51" s="835">
        <v>2301</v>
      </c>
      <c r="H51" s="835">
        <v>2283</v>
      </c>
      <c r="I51" s="835">
        <v>2308</v>
      </c>
      <c r="J51" s="835">
        <v>2289</v>
      </c>
      <c r="K51" s="835">
        <v>2410</v>
      </c>
      <c r="L51" s="835"/>
      <c r="M51" s="835"/>
      <c r="N51" s="835">
        <v>2582.5</v>
      </c>
      <c r="O51" s="835">
        <v>2570.5</v>
      </c>
      <c r="P51" s="835"/>
      <c r="Q51" s="835">
        <v>2494</v>
      </c>
      <c r="R51" s="835"/>
      <c r="S51" s="835"/>
      <c r="T51" s="835">
        <v>2263</v>
      </c>
      <c r="U51" s="835">
        <v>2316.25</v>
      </c>
      <c r="V51" s="835">
        <v>2311.5</v>
      </c>
      <c r="W51" s="835">
        <v>2435</v>
      </c>
      <c r="X51" s="835"/>
      <c r="Y51" s="835"/>
      <c r="Z51" s="835"/>
      <c r="AA51" s="835"/>
      <c r="AB51" s="835"/>
      <c r="AC51" s="835"/>
      <c r="AD51" s="835"/>
      <c r="AE51" s="835"/>
      <c r="AF51" s="835"/>
    </row>
    <row r="52" spans="2:477">
      <c r="B52" s="835">
        <v>575</v>
      </c>
      <c r="C52" s="835"/>
      <c r="D52" s="835"/>
      <c r="E52" s="835"/>
      <c r="F52" s="835"/>
      <c r="G52" s="835"/>
      <c r="H52" s="835"/>
      <c r="I52" s="835">
        <v>2144</v>
      </c>
      <c r="J52" s="835">
        <v>2030</v>
      </c>
      <c r="K52" s="835"/>
      <c r="L52" s="835">
        <v>2163</v>
      </c>
      <c r="M52" s="835"/>
      <c r="N52" s="835"/>
      <c r="O52" s="835"/>
      <c r="P52" s="835">
        <v>2257.3333333333335</v>
      </c>
      <c r="Q52" s="835"/>
      <c r="R52" s="835">
        <v>2098</v>
      </c>
      <c r="S52" s="835"/>
      <c r="T52" s="835">
        <v>2059</v>
      </c>
      <c r="U52" s="835">
        <v>2054</v>
      </c>
      <c r="V52" s="835"/>
      <c r="W52" s="835">
        <v>2157</v>
      </c>
      <c r="X52" s="835"/>
      <c r="Y52" s="835"/>
      <c r="Z52" s="835"/>
      <c r="AA52" s="835"/>
      <c r="AB52" s="835"/>
      <c r="AC52" s="835"/>
      <c r="AD52" s="835"/>
      <c r="AE52" s="835"/>
      <c r="AF52" s="835"/>
    </row>
    <row r="53" spans="2:477">
      <c r="B53" s="835">
        <v>585</v>
      </c>
      <c r="C53" s="835">
        <v>2110</v>
      </c>
      <c r="D53" s="835"/>
      <c r="E53" s="835"/>
      <c r="F53" s="835"/>
      <c r="G53" s="835"/>
      <c r="H53" s="835"/>
      <c r="I53" s="835">
        <v>1973</v>
      </c>
      <c r="J53" s="835">
        <v>2034.5</v>
      </c>
      <c r="K53" s="835"/>
      <c r="L53" s="835">
        <v>2182</v>
      </c>
      <c r="M53" s="835">
        <v>2231</v>
      </c>
      <c r="N53" s="835">
        <v>2213.3333333333335</v>
      </c>
      <c r="O53" s="835">
        <v>2238</v>
      </c>
      <c r="P53" s="835">
        <v>2287</v>
      </c>
      <c r="Q53" s="835"/>
      <c r="R53" s="835">
        <v>2154</v>
      </c>
      <c r="S53" s="835">
        <v>2068</v>
      </c>
      <c r="T53" s="835">
        <v>2015</v>
      </c>
      <c r="U53" s="835"/>
      <c r="V53" s="835"/>
      <c r="W53" s="835"/>
      <c r="X53" s="835"/>
      <c r="Y53" s="835"/>
      <c r="Z53" s="835"/>
      <c r="AA53" s="835">
        <v>2110</v>
      </c>
      <c r="AB53" s="835"/>
      <c r="AC53" s="835"/>
      <c r="AD53" s="835"/>
      <c r="AE53" s="835"/>
      <c r="AF53" s="835"/>
    </row>
    <row r="54" spans="2:477">
      <c r="B54" s="835">
        <v>593</v>
      </c>
      <c r="C54" s="835"/>
      <c r="D54" s="835">
        <v>2386</v>
      </c>
      <c r="E54" s="835"/>
      <c r="F54" s="835"/>
      <c r="G54" s="835">
        <v>2249</v>
      </c>
      <c r="H54" s="835"/>
      <c r="I54" s="835"/>
      <c r="J54" s="835"/>
      <c r="K54" s="835"/>
      <c r="L54" s="835">
        <v>2323</v>
      </c>
      <c r="M54" s="835"/>
      <c r="N54" s="835">
        <v>2569</v>
      </c>
      <c r="O54" s="835">
        <v>2386</v>
      </c>
      <c r="P54" s="835">
        <v>2425</v>
      </c>
      <c r="Q54" s="835"/>
      <c r="R54" s="835"/>
      <c r="S54" s="835"/>
      <c r="T54" s="835"/>
      <c r="U54" s="835"/>
      <c r="V54" s="835"/>
      <c r="W54" s="835"/>
      <c r="X54" s="835"/>
      <c r="Y54" s="835"/>
      <c r="Z54" s="835"/>
      <c r="AA54" s="835"/>
      <c r="AB54" s="835"/>
      <c r="AC54" s="835"/>
      <c r="AD54" s="835"/>
      <c r="AE54" s="835"/>
      <c r="AF54" s="835"/>
    </row>
    <row r="55" spans="2:477">
      <c r="B55" s="835">
        <v>604</v>
      </c>
      <c r="C55" s="835"/>
      <c r="D55" s="835"/>
      <c r="E55" s="835"/>
      <c r="F55" s="835"/>
      <c r="G55" s="835"/>
      <c r="H55" s="835">
        <v>2088.5</v>
      </c>
      <c r="I55" s="835">
        <v>2076</v>
      </c>
      <c r="J55" s="835"/>
      <c r="K55" s="835"/>
      <c r="L55" s="835"/>
      <c r="M55" s="835"/>
      <c r="N55" s="835">
        <v>2159</v>
      </c>
      <c r="O55" s="835"/>
      <c r="P55" s="835"/>
      <c r="Q55" s="835"/>
      <c r="R55" s="835">
        <v>2101</v>
      </c>
      <c r="S55" s="835"/>
      <c r="T55" s="835">
        <v>2063</v>
      </c>
      <c r="U55" s="835">
        <v>2096</v>
      </c>
      <c r="V55" s="835">
        <v>2135</v>
      </c>
      <c r="W55" s="835"/>
      <c r="X55" s="835">
        <v>2059</v>
      </c>
      <c r="Y55" s="835"/>
      <c r="Z55" s="835"/>
      <c r="AA55" s="835"/>
      <c r="AB55" s="835">
        <v>2166</v>
      </c>
      <c r="AC55" s="835"/>
      <c r="AD55" s="835"/>
      <c r="AE55" s="835"/>
      <c r="AF55" s="835"/>
    </row>
    <row r="56" spans="2:477">
      <c r="B56" s="835">
        <v>653</v>
      </c>
      <c r="C56" s="835"/>
      <c r="D56" s="835">
        <v>2581</v>
      </c>
      <c r="E56" s="835"/>
      <c r="F56" s="835"/>
      <c r="G56" s="835"/>
      <c r="H56" s="835"/>
      <c r="I56" s="835"/>
      <c r="J56" s="835"/>
      <c r="K56" s="835"/>
      <c r="L56" s="835"/>
      <c r="M56" s="835"/>
      <c r="N56" s="835"/>
      <c r="O56" s="835"/>
      <c r="P56" s="835"/>
      <c r="Q56" s="835"/>
      <c r="R56" s="835"/>
      <c r="S56" s="835"/>
      <c r="T56" s="835"/>
      <c r="U56" s="835">
        <v>2372</v>
      </c>
      <c r="V56" s="835"/>
      <c r="W56" s="835">
        <v>2340</v>
      </c>
      <c r="X56" s="835"/>
      <c r="Y56" s="835"/>
      <c r="Z56" s="835"/>
      <c r="AA56" s="835"/>
      <c r="AB56" s="835"/>
      <c r="AC56" s="835"/>
      <c r="AD56" s="835"/>
      <c r="AE56" s="835"/>
      <c r="AF56" s="835"/>
    </row>
    <row r="57" spans="2:477">
      <c r="B57" s="835">
        <v>660</v>
      </c>
      <c r="C57" s="835">
        <v>2465</v>
      </c>
      <c r="D57" s="835"/>
      <c r="E57" s="835"/>
      <c r="F57" s="835"/>
      <c r="G57" s="835"/>
      <c r="H57" s="835"/>
      <c r="I57" s="835">
        <v>2468.5</v>
      </c>
      <c r="J57" s="835">
        <v>2477</v>
      </c>
      <c r="K57" s="835">
        <v>2481</v>
      </c>
      <c r="L57" s="835"/>
      <c r="M57" s="835"/>
      <c r="N57" s="835">
        <v>2626</v>
      </c>
      <c r="O57" s="835">
        <v>2676</v>
      </c>
      <c r="P57" s="835"/>
      <c r="Q57" s="835">
        <v>2660</v>
      </c>
      <c r="R57" s="835">
        <v>2561</v>
      </c>
      <c r="S57" s="835"/>
      <c r="T57" s="835">
        <v>2541</v>
      </c>
      <c r="U57" s="835">
        <v>2463.5</v>
      </c>
      <c r="V57" s="835">
        <v>2515</v>
      </c>
      <c r="W57" s="835">
        <v>2488.5</v>
      </c>
      <c r="X57" s="835">
        <v>2495</v>
      </c>
      <c r="Y57" s="835"/>
      <c r="Z57" s="835"/>
      <c r="AA57" s="835"/>
      <c r="AB57" s="835"/>
      <c r="AC57" s="835"/>
      <c r="AD57" s="835"/>
      <c r="AE57" s="835"/>
      <c r="AF57" s="835"/>
    </row>
    <row r="58" spans="2:477">
      <c r="B58" s="837" t="s">
        <v>1209</v>
      </c>
      <c r="C58" s="835"/>
      <c r="D58" s="835"/>
      <c r="E58" s="835"/>
      <c r="F58" s="835"/>
      <c r="G58" s="835"/>
      <c r="H58" s="835"/>
      <c r="I58" s="835"/>
      <c r="J58" s="835"/>
      <c r="K58" s="835"/>
      <c r="L58" s="835"/>
      <c r="M58" s="835"/>
      <c r="N58" s="835"/>
      <c r="O58" s="835"/>
      <c r="P58" s="835"/>
      <c r="Q58" s="835"/>
      <c r="R58" s="835"/>
      <c r="S58" s="835"/>
      <c r="T58" s="835"/>
      <c r="U58" s="835"/>
      <c r="V58" s="835"/>
      <c r="W58" s="835"/>
      <c r="X58" s="835"/>
      <c r="Y58" s="835"/>
      <c r="Z58" s="835"/>
      <c r="AA58" s="835"/>
      <c r="AB58" s="835"/>
      <c r="AC58" s="835"/>
      <c r="AD58" s="835"/>
      <c r="AE58" s="835"/>
      <c r="AF58" s="835"/>
    </row>
    <row r="59" spans="2:477">
      <c r="B59" s="835">
        <v>801</v>
      </c>
      <c r="C59" s="835">
        <v>3109</v>
      </c>
      <c r="D59" s="835"/>
      <c r="E59" s="835"/>
      <c r="F59" s="835"/>
      <c r="G59" s="835"/>
      <c r="H59" s="835">
        <v>2880</v>
      </c>
      <c r="I59" s="835">
        <v>2909</v>
      </c>
      <c r="J59" s="835"/>
      <c r="K59" s="835">
        <v>2844</v>
      </c>
      <c r="L59" s="835">
        <v>2946</v>
      </c>
      <c r="M59" s="835">
        <v>2966</v>
      </c>
      <c r="N59" s="835"/>
      <c r="O59" s="835"/>
      <c r="P59" s="835"/>
      <c r="Q59" s="835">
        <v>3134</v>
      </c>
      <c r="R59" s="835"/>
      <c r="S59" s="835"/>
      <c r="T59" s="835"/>
      <c r="U59" s="835"/>
      <c r="V59" s="835">
        <v>3203</v>
      </c>
      <c r="W59" s="835">
        <v>3096</v>
      </c>
      <c r="X59" s="835"/>
      <c r="Y59" s="835"/>
      <c r="Z59" s="835"/>
      <c r="AA59" s="835"/>
      <c r="AB59" s="835"/>
      <c r="AC59" s="835"/>
      <c r="AD59" s="835"/>
      <c r="AE59" s="835"/>
      <c r="AF59" s="835"/>
    </row>
    <row r="60" spans="2:477">
      <c r="B60" s="835">
        <v>827</v>
      </c>
      <c r="C60" s="835"/>
      <c r="D60" s="835"/>
      <c r="E60" s="835"/>
      <c r="F60" s="835">
        <v>2832</v>
      </c>
      <c r="G60" s="835"/>
      <c r="H60" s="835"/>
      <c r="I60" s="835"/>
      <c r="J60" s="835"/>
      <c r="K60" s="835"/>
      <c r="L60" s="835"/>
      <c r="M60" s="835">
        <v>3098.6</v>
      </c>
      <c r="N60" s="835">
        <v>3177.5</v>
      </c>
      <c r="O60" s="835">
        <v>3254</v>
      </c>
      <c r="P60" s="835"/>
      <c r="Q60" s="835">
        <v>3220</v>
      </c>
      <c r="R60" s="835">
        <v>3009</v>
      </c>
      <c r="S60" s="835">
        <v>3039</v>
      </c>
      <c r="T60" s="835"/>
      <c r="U60" s="835"/>
      <c r="V60" s="835">
        <v>2866</v>
      </c>
      <c r="W60" s="835"/>
      <c r="X60" s="835"/>
      <c r="Y60" s="835"/>
      <c r="Z60" s="835"/>
      <c r="AA60" s="835"/>
      <c r="AB60" s="835"/>
      <c r="AC60" s="835"/>
      <c r="AD60" s="835"/>
      <c r="AE60" s="835"/>
      <c r="AF60" s="835"/>
    </row>
    <row r="61" spans="2:477">
      <c r="B61" s="835">
        <v>850</v>
      </c>
      <c r="C61" s="835"/>
      <c r="D61" s="835"/>
      <c r="E61" s="835"/>
      <c r="F61" s="835"/>
      <c r="G61" s="835"/>
      <c r="H61" s="835"/>
      <c r="I61" s="835"/>
      <c r="J61" s="835"/>
      <c r="K61" s="835"/>
      <c r="L61" s="835"/>
      <c r="M61" s="835">
        <v>3243</v>
      </c>
      <c r="N61" s="835"/>
      <c r="O61" s="835"/>
      <c r="P61" s="835"/>
      <c r="Q61" s="835"/>
      <c r="R61" s="835"/>
      <c r="S61" s="835"/>
      <c r="T61" s="835"/>
      <c r="U61" s="835">
        <v>2947.5</v>
      </c>
      <c r="V61" s="835">
        <v>3063.5</v>
      </c>
      <c r="W61" s="835"/>
      <c r="X61" s="835"/>
      <c r="Y61" s="835"/>
      <c r="Z61" s="835"/>
      <c r="AA61" s="835"/>
      <c r="AB61" s="835"/>
      <c r="AC61" s="835"/>
      <c r="AD61" s="835"/>
      <c r="AE61" s="835"/>
      <c r="AF61" s="835"/>
    </row>
    <row r="62" spans="2:477">
      <c r="B62" s="835">
        <v>857</v>
      </c>
      <c r="C62" s="835"/>
      <c r="D62" s="835"/>
      <c r="E62" s="835"/>
      <c r="F62" s="835"/>
      <c r="G62" s="835"/>
      <c r="H62" s="835"/>
      <c r="I62" s="835"/>
      <c r="J62" s="835"/>
      <c r="K62" s="835"/>
      <c r="L62" s="835"/>
      <c r="M62" s="835"/>
      <c r="N62" s="835"/>
      <c r="O62" s="835"/>
      <c r="P62" s="835"/>
      <c r="Q62" s="835"/>
      <c r="R62" s="835"/>
      <c r="S62" s="835"/>
      <c r="T62" s="835"/>
      <c r="U62" s="835"/>
      <c r="V62" s="835">
        <v>3515</v>
      </c>
      <c r="W62" s="835"/>
      <c r="X62" s="835"/>
      <c r="Y62" s="835"/>
      <c r="Z62" s="835"/>
      <c r="AA62" s="835"/>
      <c r="AB62" s="835"/>
      <c r="AC62" s="835"/>
      <c r="AD62" s="835"/>
      <c r="AE62" s="835"/>
      <c r="AF62" s="835"/>
    </row>
    <row r="63" spans="2:477">
      <c r="B63" s="835">
        <v>865</v>
      </c>
      <c r="C63" s="835">
        <v>3431</v>
      </c>
      <c r="D63" s="835">
        <v>3221</v>
      </c>
      <c r="E63" s="835">
        <v>3195</v>
      </c>
      <c r="F63" s="835">
        <v>2927</v>
      </c>
      <c r="G63" s="835"/>
      <c r="H63" s="835"/>
      <c r="I63" s="835">
        <v>2910</v>
      </c>
      <c r="J63" s="835">
        <v>2982</v>
      </c>
      <c r="K63" s="835"/>
      <c r="L63" s="835"/>
      <c r="M63" s="835">
        <v>3243.6666666666665</v>
      </c>
      <c r="N63" s="835">
        <v>3207</v>
      </c>
      <c r="O63" s="835"/>
      <c r="P63" s="835">
        <v>3380</v>
      </c>
      <c r="Q63" s="835"/>
      <c r="R63" s="835"/>
      <c r="S63" s="835">
        <v>3274</v>
      </c>
      <c r="T63" s="835">
        <v>3045</v>
      </c>
      <c r="U63" s="835">
        <v>3134.5</v>
      </c>
      <c r="V63" s="835"/>
      <c r="W63" s="835">
        <v>3205.6666666666665</v>
      </c>
      <c r="X63" s="835"/>
      <c r="Y63" s="835"/>
      <c r="Z63" s="835"/>
      <c r="AA63" s="835"/>
      <c r="AB63" s="835"/>
      <c r="AC63" s="835"/>
      <c r="AD63" s="835"/>
      <c r="AE63" s="835"/>
      <c r="AF63" s="835"/>
    </row>
    <row r="64" spans="2:477">
      <c r="B64" s="835">
        <v>913</v>
      </c>
      <c r="C64" s="835"/>
      <c r="D64" s="835">
        <v>3546</v>
      </c>
      <c r="E64" s="835"/>
      <c r="F64" s="835"/>
      <c r="G64" s="835"/>
      <c r="H64" s="835"/>
      <c r="I64" s="835"/>
      <c r="J64" s="835"/>
      <c r="K64" s="835"/>
      <c r="L64" s="835"/>
      <c r="M64" s="835"/>
      <c r="N64" s="835"/>
      <c r="O64" s="835"/>
      <c r="P64" s="835"/>
      <c r="Q64" s="835"/>
      <c r="R64" s="835"/>
      <c r="S64" s="835"/>
      <c r="T64" s="835"/>
      <c r="U64" s="835"/>
      <c r="V64" s="835">
        <v>3518</v>
      </c>
      <c r="W64" s="835"/>
      <c r="X64" s="835"/>
      <c r="Y64" s="835"/>
      <c r="Z64" s="835"/>
      <c r="AA64" s="835"/>
      <c r="AB64" s="835"/>
      <c r="AC64" s="835"/>
      <c r="AD64" s="835"/>
      <c r="AE64" s="835"/>
      <c r="AF64" s="835"/>
    </row>
    <row r="65" spans="2:62">
      <c r="B65" s="835">
        <v>961</v>
      </c>
      <c r="C65" s="835"/>
      <c r="D65" s="835"/>
      <c r="E65" s="835"/>
      <c r="F65" s="835"/>
      <c r="G65" s="835">
        <v>3019</v>
      </c>
      <c r="H65" s="835">
        <v>2996</v>
      </c>
      <c r="I65" s="835"/>
      <c r="J65" s="835"/>
      <c r="K65" s="835">
        <v>3181</v>
      </c>
      <c r="L65" s="835">
        <v>3304</v>
      </c>
      <c r="M65" s="835"/>
      <c r="N65" s="835"/>
      <c r="O65" s="835"/>
      <c r="P65" s="835"/>
      <c r="Q65" s="835"/>
      <c r="R65" s="835"/>
      <c r="S65" s="835"/>
      <c r="T65" s="835">
        <v>3164</v>
      </c>
      <c r="U65" s="835"/>
      <c r="V65" s="835"/>
      <c r="W65" s="835"/>
      <c r="X65" s="835"/>
      <c r="Y65" s="835"/>
      <c r="Z65" s="835"/>
      <c r="AA65" s="835"/>
      <c r="AB65" s="835"/>
      <c r="AC65" s="835"/>
      <c r="AD65" s="835"/>
      <c r="AE65" s="835"/>
      <c r="AF65" s="835"/>
    </row>
    <row r="66" spans="2:62">
      <c r="B66" s="835">
        <v>966</v>
      </c>
      <c r="C66" s="835"/>
      <c r="D66" s="835"/>
      <c r="E66" s="835"/>
      <c r="F66" s="835"/>
      <c r="G66" s="835"/>
      <c r="H66" s="835"/>
      <c r="I66" s="835"/>
      <c r="J66" s="835"/>
      <c r="K66" s="835">
        <v>3446</v>
      </c>
      <c r="L66" s="835">
        <v>3269</v>
      </c>
      <c r="M66" s="835"/>
      <c r="N66" s="835"/>
      <c r="O66" s="835"/>
      <c r="P66" s="835"/>
      <c r="Q66" s="835"/>
      <c r="R66" s="835">
        <v>3424</v>
      </c>
      <c r="S66" s="835"/>
      <c r="T66" s="835"/>
      <c r="U66" s="835"/>
      <c r="V66" s="835"/>
      <c r="W66" s="835"/>
      <c r="X66" s="835"/>
      <c r="Y66" s="835"/>
      <c r="Z66" s="835"/>
      <c r="AA66" s="835"/>
      <c r="AB66" s="835"/>
      <c r="AC66" s="835"/>
      <c r="AD66" s="835"/>
      <c r="AE66" s="835"/>
      <c r="AF66" s="835"/>
    </row>
    <row r="67" spans="2:62">
      <c r="B67" s="835">
        <v>980</v>
      </c>
      <c r="C67" s="835"/>
      <c r="D67" s="835"/>
      <c r="E67" s="835"/>
      <c r="F67" s="835"/>
      <c r="G67" s="835"/>
      <c r="H67" s="835"/>
      <c r="I67" s="835"/>
      <c r="J67" s="835"/>
      <c r="K67" s="835"/>
      <c r="L67" s="835"/>
      <c r="M67" s="835">
        <v>3451</v>
      </c>
      <c r="N67" s="835"/>
      <c r="O67" s="835">
        <v>3710</v>
      </c>
      <c r="P67" s="835"/>
      <c r="Q67" s="835"/>
      <c r="R67" s="835"/>
      <c r="S67" s="835"/>
      <c r="T67" s="835"/>
      <c r="U67" s="835"/>
      <c r="V67" s="835"/>
      <c r="W67" s="835">
        <v>3482</v>
      </c>
      <c r="X67" s="835"/>
      <c r="Y67" s="835"/>
      <c r="Z67" s="835"/>
      <c r="AA67" s="835"/>
      <c r="AB67" s="835"/>
      <c r="AC67" s="835"/>
      <c r="AD67" s="835"/>
      <c r="AE67" s="835"/>
      <c r="AF67" s="835"/>
    </row>
    <row r="68" spans="2:62">
      <c r="B68" s="835">
        <v>993</v>
      </c>
      <c r="C68" s="835"/>
      <c r="D68" s="835"/>
      <c r="E68" s="835"/>
      <c r="F68" s="835"/>
      <c r="G68" s="835"/>
      <c r="H68" s="835">
        <v>2945</v>
      </c>
      <c r="I68" s="835"/>
      <c r="J68" s="835">
        <v>3133</v>
      </c>
      <c r="K68" s="835">
        <v>3140</v>
      </c>
      <c r="L68" s="835"/>
      <c r="M68" s="835"/>
      <c r="N68" s="835"/>
      <c r="O68" s="835"/>
      <c r="P68" s="835"/>
      <c r="Q68" s="835"/>
      <c r="R68" s="835"/>
      <c r="S68" s="835"/>
      <c r="T68" s="835"/>
      <c r="U68" s="835">
        <v>3239</v>
      </c>
      <c r="V68" s="835">
        <v>3233</v>
      </c>
      <c r="W68" s="835"/>
      <c r="X68" s="835"/>
      <c r="Y68" s="835"/>
      <c r="Z68" s="835"/>
      <c r="AA68" s="835"/>
      <c r="AB68" s="835"/>
      <c r="AC68" s="835">
        <v>3338</v>
      </c>
      <c r="AD68" s="835"/>
      <c r="AE68" s="835"/>
      <c r="AF68" s="835"/>
    </row>
    <row r="69" spans="2:62">
      <c r="B69" s="835">
        <v>1081</v>
      </c>
      <c r="C69" s="835"/>
      <c r="D69" s="835">
        <v>3791</v>
      </c>
      <c r="E69" s="835"/>
      <c r="F69" s="835">
        <v>3886</v>
      </c>
      <c r="G69" s="835"/>
      <c r="H69" s="835">
        <v>3691</v>
      </c>
      <c r="I69" s="835">
        <v>3384</v>
      </c>
      <c r="J69" s="835">
        <v>3447</v>
      </c>
      <c r="K69" s="835">
        <v>3515</v>
      </c>
      <c r="L69" s="835">
        <v>3639</v>
      </c>
      <c r="M69" s="835"/>
      <c r="N69" s="835"/>
      <c r="O69" s="835"/>
      <c r="P69" s="835"/>
      <c r="Q69" s="835"/>
      <c r="R69" s="835">
        <v>3930</v>
      </c>
      <c r="S69" s="835"/>
      <c r="T69" s="835"/>
      <c r="U69" s="835"/>
      <c r="V69" s="835">
        <v>3882</v>
      </c>
      <c r="W69" s="835">
        <v>3717</v>
      </c>
      <c r="X69" s="835"/>
      <c r="Y69" s="835"/>
      <c r="Z69" s="835"/>
      <c r="AA69" s="835"/>
      <c r="AB69" s="835"/>
      <c r="AC69" s="835"/>
      <c r="AD69" s="835"/>
      <c r="AE69" s="835"/>
      <c r="AF69" s="835"/>
    </row>
    <row r="70" spans="2:62">
      <c r="B70" s="837" t="s">
        <v>270</v>
      </c>
      <c r="C70" s="835"/>
      <c r="D70" s="835"/>
      <c r="E70" s="835"/>
      <c r="F70" s="835"/>
      <c r="G70" s="835"/>
      <c r="H70" s="835"/>
      <c r="I70" s="835"/>
      <c r="J70" s="835"/>
      <c r="K70" s="835"/>
      <c r="L70" s="835"/>
      <c r="M70" s="835"/>
      <c r="N70" s="835"/>
      <c r="O70" s="835"/>
      <c r="P70" s="835"/>
      <c r="Q70" s="835"/>
      <c r="R70" s="835"/>
      <c r="S70" s="835"/>
      <c r="T70" s="835"/>
      <c r="U70" s="835"/>
      <c r="V70" s="835"/>
      <c r="W70" s="835"/>
      <c r="X70" s="835"/>
      <c r="Y70" s="835"/>
      <c r="Z70" s="835"/>
      <c r="AA70" s="835"/>
      <c r="AB70" s="835"/>
      <c r="AC70" s="835"/>
      <c r="AD70" s="835"/>
      <c r="AE70" s="835"/>
      <c r="AF70" s="835"/>
    </row>
    <row r="71" spans="2:62">
      <c r="B71" s="835">
        <v>1197</v>
      </c>
      <c r="C71" s="835">
        <v>4278</v>
      </c>
      <c r="D71" s="835"/>
      <c r="E71" s="835">
        <v>4112</v>
      </c>
      <c r="F71" s="835">
        <v>3981</v>
      </c>
      <c r="G71" s="835"/>
      <c r="H71" s="835">
        <v>3981</v>
      </c>
      <c r="I71" s="835"/>
      <c r="J71" s="835"/>
      <c r="K71" s="835">
        <v>4006</v>
      </c>
      <c r="L71" s="835"/>
      <c r="M71" s="835">
        <v>4196</v>
      </c>
      <c r="N71" s="835"/>
      <c r="O71" s="835"/>
      <c r="P71" s="835">
        <v>4433</v>
      </c>
      <c r="Q71" s="835"/>
      <c r="R71" s="835">
        <v>4413</v>
      </c>
      <c r="S71" s="835"/>
      <c r="T71" s="835">
        <v>4359</v>
      </c>
      <c r="U71" s="835">
        <v>4062</v>
      </c>
      <c r="V71" s="835">
        <v>4319</v>
      </c>
      <c r="W71" s="835">
        <v>4189</v>
      </c>
      <c r="X71" s="835"/>
      <c r="Y71" s="835"/>
      <c r="Z71" s="835"/>
      <c r="AA71" s="835"/>
      <c r="AB71" s="835"/>
      <c r="AC71" s="835"/>
      <c r="AD71" s="835"/>
      <c r="AE71" s="835"/>
      <c r="AF71" s="835"/>
    </row>
    <row r="72" spans="2:62">
      <c r="B72" s="835">
        <v>1199</v>
      </c>
      <c r="C72" s="835">
        <v>4180</v>
      </c>
      <c r="D72" s="835"/>
      <c r="E72" s="835"/>
      <c r="F72" s="835"/>
      <c r="G72" s="835"/>
      <c r="H72" s="835"/>
      <c r="I72" s="835">
        <v>4189</v>
      </c>
      <c r="J72" s="835"/>
      <c r="K72" s="835"/>
      <c r="L72" s="835">
        <v>4409</v>
      </c>
      <c r="M72" s="835">
        <v>4439.5</v>
      </c>
      <c r="N72" s="835">
        <v>4594.5</v>
      </c>
      <c r="O72" s="835"/>
      <c r="P72" s="835">
        <v>4341</v>
      </c>
      <c r="Q72" s="835">
        <v>4322</v>
      </c>
      <c r="R72" s="835">
        <v>4316.5</v>
      </c>
      <c r="S72" s="835">
        <v>4379</v>
      </c>
      <c r="T72" s="835">
        <v>4131</v>
      </c>
      <c r="U72" s="835"/>
      <c r="V72" s="835">
        <v>4102</v>
      </c>
      <c r="W72" s="835">
        <v>4287.666666666667</v>
      </c>
      <c r="X72" s="835"/>
      <c r="Y72" s="835"/>
      <c r="Z72" s="835"/>
      <c r="AA72" s="835"/>
      <c r="AB72" s="835"/>
      <c r="AC72" s="835"/>
      <c r="AD72" s="835"/>
      <c r="AE72" s="835"/>
      <c r="AF72" s="835"/>
    </row>
    <row r="73" spans="2:62">
      <c r="B73" s="835">
        <v>1257</v>
      </c>
      <c r="C73" s="835"/>
      <c r="D73" s="835"/>
      <c r="E73" s="835"/>
      <c r="F73" s="835"/>
      <c r="G73" s="835"/>
      <c r="H73" s="835"/>
      <c r="I73" s="835">
        <v>4269</v>
      </c>
      <c r="J73" s="835"/>
      <c r="K73" s="835"/>
      <c r="L73" s="835"/>
      <c r="M73" s="835"/>
      <c r="N73" s="835"/>
      <c r="O73" s="835"/>
      <c r="P73" s="835"/>
      <c r="Q73" s="835"/>
      <c r="R73" s="835"/>
      <c r="S73" s="835"/>
      <c r="T73" s="835">
        <v>4731</v>
      </c>
      <c r="U73" s="835"/>
      <c r="V73" s="835"/>
      <c r="W73" s="835">
        <v>4523</v>
      </c>
      <c r="X73" s="835"/>
      <c r="Y73" s="835"/>
      <c r="Z73" s="835"/>
      <c r="AA73" s="835"/>
      <c r="AB73" s="835"/>
      <c r="AC73" s="835"/>
      <c r="AD73" s="835"/>
      <c r="AE73" s="835"/>
      <c r="AF73" s="835"/>
    </row>
    <row r="74" spans="2:62">
      <c r="B74" s="835">
        <v>1293</v>
      </c>
      <c r="C74" s="835"/>
      <c r="D74" s="835"/>
      <c r="E74" s="835"/>
      <c r="F74" s="835"/>
      <c r="G74" s="835"/>
      <c r="H74" s="835">
        <v>4705</v>
      </c>
      <c r="I74" s="835"/>
      <c r="J74" s="835"/>
      <c r="K74" s="835"/>
      <c r="L74" s="835"/>
      <c r="M74" s="835"/>
      <c r="N74" s="835"/>
      <c r="O74" s="835"/>
      <c r="P74" s="835"/>
      <c r="Q74" s="835"/>
      <c r="R74" s="835">
        <v>4699</v>
      </c>
      <c r="S74" s="835"/>
      <c r="T74" s="835"/>
      <c r="U74" s="835"/>
      <c r="V74" s="835">
        <v>4643</v>
      </c>
      <c r="W74" s="835"/>
      <c r="X74" s="835"/>
      <c r="Y74" s="835"/>
      <c r="Z74" s="835"/>
      <c r="AA74" s="835"/>
      <c r="AB74" s="835"/>
      <c r="AC74" s="835"/>
      <c r="AD74" s="835"/>
      <c r="AE74" s="835"/>
      <c r="AF74" s="835"/>
    </row>
    <row r="75" spans="2:62">
      <c r="B75" s="835">
        <v>1742</v>
      </c>
      <c r="C75" s="835"/>
      <c r="D75" s="835"/>
      <c r="E75" s="835"/>
      <c r="F75" s="835"/>
      <c r="G75" s="835"/>
      <c r="H75" s="835"/>
      <c r="I75" s="835"/>
      <c r="J75" s="835"/>
      <c r="K75" s="835">
        <v>5992</v>
      </c>
      <c r="L75" s="835"/>
      <c r="M75" s="835"/>
      <c r="N75" s="835">
        <v>6152</v>
      </c>
      <c r="O75" s="835"/>
      <c r="P75" s="835"/>
      <c r="Q75" s="835"/>
      <c r="R75" s="835">
        <v>5853</v>
      </c>
      <c r="S75" s="835"/>
      <c r="T75" s="835"/>
      <c r="U75" s="835"/>
      <c r="V75" s="835"/>
      <c r="W75" s="835"/>
      <c r="X75" s="835"/>
      <c r="Y75" s="835"/>
      <c r="Z75" s="835"/>
      <c r="AA75" s="835"/>
      <c r="AB75" s="835"/>
      <c r="AC75" s="835"/>
      <c r="AD75" s="835"/>
      <c r="AE75" s="835"/>
      <c r="AF75" s="835"/>
    </row>
    <row r="76" spans="2:62">
      <c r="B76" s="837" t="s">
        <v>271</v>
      </c>
      <c r="C76" s="835"/>
      <c r="D76" s="835"/>
      <c r="E76" s="835"/>
      <c r="F76" s="835"/>
      <c r="G76" s="835"/>
      <c r="H76" s="835"/>
      <c r="I76" s="835"/>
      <c r="J76" s="835"/>
      <c r="K76" s="835"/>
      <c r="L76" s="835"/>
      <c r="M76" s="835"/>
      <c r="N76" s="835"/>
      <c r="O76" s="835"/>
      <c r="P76" s="835"/>
      <c r="Q76" s="835"/>
      <c r="R76" s="835"/>
      <c r="S76" s="835"/>
      <c r="T76" s="835"/>
      <c r="U76" s="835"/>
      <c r="V76" s="835"/>
      <c r="W76" s="835"/>
      <c r="X76" s="835"/>
      <c r="Y76" s="835"/>
      <c r="Z76" s="835"/>
      <c r="AA76" s="835"/>
      <c r="AB76" s="835"/>
      <c r="AC76" s="835"/>
      <c r="AD76" s="835"/>
      <c r="AE76" s="835"/>
      <c r="AF76" s="835"/>
    </row>
    <row r="77" spans="2:62">
      <c r="B77" s="835">
        <v>1752</v>
      </c>
      <c r="C77" s="835"/>
      <c r="D77" s="835"/>
      <c r="E77" s="835"/>
      <c r="F77" s="835"/>
      <c r="G77" s="835"/>
      <c r="H77" s="835"/>
      <c r="I77" s="835"/>
      <c r="J77" s="835"/>
      <c r="K77" s="835"/>
      <c r="L77" s="835">
        <v>6741</v>
      </c>
      <c r="M77" s="835"/>
      <c r="N77" s="835"/>
      <c r="O77" s="835"/>
      <c r="P77" s="835"/>
      <c r="Q77" s="835"/>
      <c r="R77" s="835"/>
      <c r="S77" s="835"/>
      <c r="T77" s="835"/>
      <c r="U77" s="835">
        <v>6430</v>
      </c>
      <c r="V77" s="835"/>
      <c r="W77" s="835"/>
      <c r="X77" s="835"/>
      <c r="Y77" s="835"/>
      <c r="Z77" s="835"/>
      <c r="AA77" s="835"/>
      <c r="AB77" s="835"/>
      <c r="AC77" s="835"/>
      <c r="AD77" s="835"/>
      <c r="AE77" s="835"/>
      <c r="AF77" s="835"/>
    </row>
    <row r="78" spans="2:62">
      <c r="B78" s="837" t="s">
        <v>598</v>
      </c>
      <c r="C78" s="835"/>
      <c r="D78" s="835"/>
      <c r="E78" s="835"/>
      <c r="F78" s="835"/>
      <c r="G78" s="835"/>
      <c r="H78" s="835"/>
      <c r="I78" s="835"/>
      <c r="J78" s="835"/>
      <c r="K78" s="835"/>
      <c r="L78" s="835"/>
      <c r="M78" s="835"/>
      <c r="N78" s="835"/>
      <c r="O78" s="835"/>
      <c r="P78" s="835"/>
      <c r="Q78" s="835"/>
      <c r="R78" s="835"/>
      <c r="S78" s="835"/>
      <c r="T78" s="835"/>
      <c r="U78" s="835"/>
      <c r="V78" s="835"/>
      <c r="W78" s="835"/>
      <c r="X78" s="835"/>
      <c r="Y78" s="835"/>
      <c r="Z78" s="835"/>
      <c r="AA78" s="835"/>
      <c r="AB78" s="835"/>
      <c r="AC78" s="835"/>
      <c r="AD78" s="835"/>
      <c r="AE78" s="835"/>
      <c r="AF78" s="835"/>
    </row>
    <row r="79" spans="2:62">
      <c r="B79" s="835">
        <v>660</v>
      </c>
      <c r="C79" s="835"/>
      <c r="D79" s="835"/>
      <c r="E79" s="835"/>
      <c r="F79" s="835"/>
      <c r="G79" s="835"/>
      <c r="H79" s="835"/>
      <c r="I79" s="835"/>
      <c r="J79" s="835"/>
      <c r="K79" s="835"/>
      <c r="L79" s="835"/>
      <c r="M79" s="835"/>
      <c r="N79" s="835"/>
      <c r="O79" s="835"/>
      <c r="P79" s="835"/>
      <c r="Q79" s="835"/>
      <c r="R79" s="835"/>
      <c r="S79" s="835"/>
      <c r="T79" s="835">
        <v>2498</v>
      </c>
      <c r="U79" s="835"/>
      <c r="V79" s="835"/>
      <c r="W79" s="835"/>
      <c r="X79" s="835"/>
      <c r="Y79" s="835"/>
      <c r="Z79" s="835"/>
      <c r="AA79" s="835"/>
      <c r="AB79" s="835"/>
      <c r="AC79" s="835"/>
      <c r="AD79" s="835"/>
      <c r="AE79" s="835"/>
      <c r="AF79" s="835"/>
    </row>
    <row r="80" spans="2:62" ht="15.5">
      <c r="B80" s="843" t="s">
        <v>1110</v>
      </c>
      <c r="C80" s="835"/>
      <c r="D80" s="835"/>
      <c r="E80" s="835"/>
      <c r="F80" s="835"/>
      <c r="G80" s="835"/>
      <c r="H80" s="835"/>
      <c r="I80" s="835"/>
      <c r="J80" s="835"/>
      <c r="K80" s="835"/>
      <c r="L80" s="835"/>
      <c r="M80" s="835"/>
      <c r="N80" s="835"/>
      <c r="O80" s="835"/>
      <c r="P80" s="835"/>
      <c r="Q80" s="835"/>
      <c r="R80" s="835"/>
      <c r="S80" s="835"/>
      <c r="T80" s="835"/>
      <c r="U80" s="835"/>
      <c r="V80" s="835"/>
      <c r="W80" s="835"/>
      <c r="X80" s="835"/>
      <c r="Y80" s="835"/>
      <c r="Z80" s="835"/>
      <c r="AA80" s="835"/>
      <c r="AB80" s="835"/>
      <c r="AC80" s="835"/>
      <c r="AD80" s="835"/>
      <c r="AE80" s="835"/>
      <c r="AF80" s="835"/>
    </row>
    <row r="81" spans="2:62">
      <c r="B81" s="837" t="s">
        <v>13</v>
      </c>
      <c r="C81" s="835"/>
      <c r="D81" s="835"/>
      <c r="E81" s="835"/>
      <c r="F81" s="835"/>
      <c r="G81" s="835"/>
      <c r="H81" s="835"/>
      <c r="I81" s="835"/>
      <c r="J81" s="835"/>
      <c r="K81" s="835"/>
      <c r="L81" s="835"/>
      <c r="M81" s="835"/>
      <c r="N81" s="835"/>
      <c r="O81" s="835"/>
      <c r="P81" s="835"/>
      <c r="Q81" s="835"/>
      <c r="R81" s="835"/>
      <c r="S81" s="835"/>
      <c r="T81" s="835"/>
      <c r="U81" s="835"/>
      <c r="V81" s="835"/>
      <c r="W81" s="835"/>
      <c r="X81" s="835"/>
      <c r="Y81" s="835"/>
      <c r="Z81" s="835"/>
      <c r="AA81" s="835"/>
      <c r="AB81" s="835"/>
      <c r="AC81" s="835"/>
      <c r="AD81" s="835"/>
      <c r="AE81" s="835"/>
      <c r="AF81" s="835"/>
    </row>
    <row r="82" spans="2:62">
      <c r="B82" s="835">
        <v>480</v>
      </c>
      <c r="C82" s="835"/>
      <c r="D82" s="835"/>
      <c r="E82" s="835"/>
      <c r="F82" s="835"/>
      <c r="G82" s="835"/>
      <c r="H82" s="835"/>
      <c r="I82" s="835">
        <v>1892.5</v>
      </c>
      <c r="J82" s="835">
        <v>1985.5</v>
      </c>
      <c r="K82" s="835">
        <v>2034.6666666666667</v>
      </c>
      <c r="L82" s="835">
        <v>2029.75</v>
      </c>
      <c r="M82" s="835">
        <v>2098</v>
      </c>
      <c r="N82" s="835">
        <v>2031</v>
      </c>
      <c r="O82" s="835">
        <v>2162</v>
      </c>
      <c r="P82" s="835">
        <v>2276</v>
      </c>
      <c r="Q82" s="835"/>
      <c r="R82" s="835">
        <v>1796</v>
      </c>
      <c r="S82" s="835">
        <v>1911.6666666666667</v>
      </c>
      <c r="T82" s="835"/>
      <c r="U82" s="835">
        <v>2077.5</v>
      </c>
      <c r="V82" s="835">
        <v>1816</v>
      </c>
      <c r="W82" s="835">
        <v>1980</v>
      </c>
      <c r="X82" s="835"/>
      <c r="Y82" s="835"/>
      <c r="Z82" s="835"/>
      <c r="AA82" s="835"/>
      <c r="AB82" s="835"/>
      <c r="AC82" s="835"/>
      <c r="AD82" s="835"/>
      <c r="AE82" s="835">
        <v>2026</v>
      </c>
      <c r="AF82" s="835"/>
    </row>
    <row r="83" spans="2:62">
      <c r="B83" s="835">
        <v>546</v>
      </c>
      <c r="C83" s="835"/>
      <c r="D83" s="835"/>
      <c r="E83" s="835"/>
      <c r="F83" s="835"/>
      <c r="G83" s="835"/>
      <c r="H83" s="835">
        <v>2154</v>
      </c>
      <c r="I83" s="835">
        <v>2518</v>
      </c>
      <c r="J83" s="835"/>
      <c r="K83" s="835"/>
      <c r="L83" s="835"/>
      <c r="M83" s="835">
        <v>1781</v>
      </c>
      <c r="N83" s="835"/>
      <c r="O83" s="835">
        <v>2079.3333333333335</v>
      </c>
      <c r="P83" s="835">
        <v>2359.5</v>
      </c>
      <c r="Q83" s="835">
        <v>2159.5</v>
      </c>
      <c r="R83" s="835">
        <v>2193</v>
      </c>
      <c r="S83" s="835">
        <v>2157</v>
      </c>
      <c r="T83" s="835"/>
      <c r="U83" s="835">
        <v>2144</v>
      </c>
      <c r="V83" s="835">
        <v>2156.5</v>
      </c>
      <c r="W83" s="835">
        <v>2098</v>
      </c>
      <c r="X83" s="835"/>
      <c r="Y83" s="835"/>
      <c r="Z83" s="835"/>
      <c r="AA83" s="835"/>
      <c r="AB83" s="835"/>
      <c r="AC83" s="835">
        <v>2104</v>
      </c>
      <c r="AD83" s="835"/>
      <c r="AE83" s="835"/>
      <c r="AF83" s="835"/>
    </row>
    <row r="84" spans="2:62">
      <c r="B84" s="837" t="s">
        <v>1209</v>
      </c>
      <c r="C84" s="835"/>
      <c r="D84" s="835"/>
      <c r="E84" s="835"/>
      <c r="F84" s="835"/>
      <c r="G84" s="835"/>
      <c r="H84" s="835"/>
      <c r="I84" s="835"/>
      <c r="J84" s="835"/>
      <c r="K84" s="835"/>
      <c r="L84" s="835"/>
      <c r="M84" s="835"/>
      <c r="N84" s="835"/>
      <c r="O84" s="835"/>
      <c r="P84" s="835"/>
      <c r="Q84" s="835"/>
      <c r="R84" s="835"/>
      <c r="S84" s="835"/>
      <c r="T84" s="835"/>
      <c r="U84" s="835"/>
      <c r="V84" s="835"/>
      <c r="W84" s="835"/>
      <c r="X84" s="835"/>
      <c r="Y84" s="835"/>
      <c r="Z84" s="835"/>
      <c r="AA84" s="835"/>
      <c r="AB84" s="835"/>
      <c r="AC84" s="835"/>
      <c r="AD84" s="835"/>
      <c r="AE84" s="835"/>
      <c r="AF84" s="835"/>
    </row>
    <row r="85" spans="2:62">
      <c r="B85" s="835">
        <v>629</v>
      </c>
      <c r="C85" s="835"/>
      <c r="D85" s="835"/>
      <c r="E85" s="835"/>
      <c r="F85" s="835"/>
      <c r="G85" s="835"/>
      <c r="H85" s="835"/>
      <c r="I85" s="835"/>
      <c r="J85" s="835"/>
      <c r="K85" s="835">
        <v>2649</v>
      </c>
      <c r="L85" s="835"/>
      <c r="M85" s="835">
        <v>2566</v>
      </c>
      <c r="N85" s="835"/>
      <c r="O85" s="835"/>
      <c r="P85" s="835">
        <v>2702</v>
      </c>
      <c r="Q85" s="835"/>
      <c r="R85" s="835"/>
      <c r="S85" s="835">
        <v>2375</v>
      </c>
      <c r="T85" s="835"/>
      <c r="U85" s="835"/>
      <c r="V85" s="835"/>
      <c r="W85" s="835"/>
      <c r="X85" s="835"/>
      <c r="Y85" s="835"/>
      <c r="Z85" s="835"/>
      <c r="AA85" s="835"/>
      <c r="AB85" s="835"/>
      <c r="AC85" s="835"/>
      <c r="AD85" s="835"/>
      <c r="AE85" s="835"/>
      <c r="AF85" s="835"/>
    </row>
    <row r="86" spans="2:62">
      <c r="B86" s="835">
        <v>658</v>
      </c>
      <c r="C86" s="835"/>
      <c r="D86" s="835"/>
      <c r="E86" s="835"/>
      <c r="F86" s="835"/>
      <c r="G86" s="835"/>
      <c r="H86" s="835">
        <v>2357</v>
      </c>
      <c r="I86" s="835">
        <v>2452</v>
      </c>
      <c r="J86" s="835"/>
      <c r="K86" s="835">
        <v>2679</v>
      </c>
      <c r="L86" s="835">
        <v>2529</v>
      </c>
      <c r="M86" s="835"/>
      <c r="N86" s="835">
        <v>2806</v>
      </c>
      <c r="O86" s="835"/>
      <c r="P86" s="835"/>
      <c r="Q86" s="835"/>
      <c r="R86" s="835">
        <v>2661.5</v>
      </c>
      <c r="S86" s="835">
        <v>2729</v>
      </c>
      <c r="T86" s="835"/>
      <c r="U86" s="835">
        <v>2758.5</v>
      </c>
      <c r="V86" s="835">
        <v>2805</v>
      </c>
      <c r="W86" s="835"/>
      <c r="X86" s="835"/>
      <c r="Y86" s="835"/>
      <c r="Z86" s="835"/>
      <c r="AA86" s="835"/>
      <c r="AB86" s="835"/>
      <c r="AC86" s="835"/>
      <c r="AD86" s="835"/>
      <c r="AE86" s="835"/>
      <c r="AF86" s="835">
        <v>2760</v>
      </c>
    </row>
    <row r="87" spans="2:62">
      <c r="B87" s="835">
        <v>672</v>
      </c>
      <c r="C87" s="835">
        <v>2865</v>
      </c>
      <c r="D87" s="835"/>
      <c r="E87" s="835"/>
      <c r="F87" s="835"/>
      <c r="G87" s="835"/>
      <c r="H87" s="835">
        <v>2567</v>
      </c>
      <c r="I87" s="835"/>
      <c r="J87" s="835"/>
      <c r="K87" s="835"/>
      <c r="L87" s="835">
        <v>2804</v>
      </c>
      <c r="M87" s="835"/>
      <c r="N87" s="835"/>
      <c r="O87" s="835"/>
      <c r="P87" s="835"/>
      <c r="Q87" s="835"/>
      <c r="R87" s="835"/>
      <c r="S87" s="835"/>
      <c r="T87" s="835"/>
      <c r="U87" s="835"/>
      <c r="V87" s="835"/>
      <c r="W87" s="835"/>
      <c r="X87" s="835"/>
      <c r="Y87" s="835"/>
      <c r="Z87" s="835"/>
      <c r="AA87" s="835"/>
      <c r="AB87" s="835"/>
      <c r="AC87" s="835"/>
      <c r="AD87" s="835"/>
      <c r="AE87" s="835"/>
      <c r="AF87" s="835"/>
    </row>
    <row r="88" spans="2:62">
      <c r="B88" s="835">
        <v>678</v>
      </c>
      <c r="C88" s="835"/>
      <c r="D88" s="835"/>
      <c r="E88" s="835"/>
      <c r="F88" s="835"/>
      <c r="G88" s="835"/>
      <c r="H88" s="835"/>
      <c r="I88" s="835"/>
      <c r="J88" s="835"/>
      <c r="K88" s="835"/>
      <c r="L88" s="835">
        <v>3068</v>
      </c>
      <c r="M88" s="835"/>
      <c r="N88" s="835"/>
      <c r="O88" s="835"/>
      <c r="P88" s="835"/>
      <c r="Q88" s="835"/>
      <c r="R88" s="835">
        <v>2881</v>
      </c>
      <c r="S88" s="835">
        <v>2698</v>
      </c>
      <c r="T88" s="835"/>
      <c r="U88" s="835"/>
      <c r="V88" s="835">
        <v>2655</v>
      </c>
      <c r="W88" s="835"/>
      <c r="X88" s="835"/>
      <c r="Y88" s="835"/>
      <c r="Z88" s="835"/>
      <c r="AA88" s="835"/>
      <c r="AB88" s="835"/>
      <c r="AC88" s="835"/>
      <c r="AD88" s="835"/>
      <c r="AE88" s="835"/>
      <c r="AF88" s="835"/>
    </row>
    <row r="89" spans="2:62">
      <c r="B89" s="835">
        <v>689</v>
      </c>
      <c r="C89" s="835"/>
      <c r="D89" s="835"/>
      <c r="E89" s="835"/>
      <c r="F89" s="835"/>
      <c r="G89" s="835"/>
      <c r="H89" s="835">
        <v>2439</v>
      </c>
      <c r="I89" s="835"/>
      <c r="J89" s="835"/>
      <c r="K89" s="835">
        <v>2335</v>
      </c>
      <c r="L89" s="835">
        <v>2811</v>
      </c>
      <c r="M89" s="835">
        <v>2661</v>
      </c>
      <c r="N89" s="835"/>
      <c r="O89" s="835"/>
      <c r="P89" s="835">
        <v>3095</v>
      </c>
      <c r="Q89" s="835"/>
      <c r="R89" s="835"/>
      <c r="S89" s="835"/>
      <c r="T89" s="835"/>
      <c r="U89" s="835">
        <v>2652</v>
      </c>
      <c r="V89" s="835">
        <v>2480</v>
      </c>
      <c r="W89" s="835"/>
      <c r="X89" s="835"/>
      <c r="Y89" s="835"/>
      <c r="Z89" s="835"/>
      <c r="AA89" s="835"/>
      <c r="AB89" s="835"/>
      <c r="AC89" s="835"/>
      <c r="AD89" s="835"/>
      <c r="AE89" s="835"/>
      <c r="AF89" s="835"/>
    </row>
    <row r="90" spans="2:62">
      <c r="B90" s="835">
        <v>692</v>
      </c>
      <c r="C90" s="835"/>
      <c r="D90" s="835"/>
      <c r="E90" s="835"/>
      <c r="F90" s="835"/>
      <c r="G90" s="835"/>
      <c r="H90" s="835"/>
      <c r="I90" s="835"/>
      <c r="J90" s="835"/>
      <c r="K90" s="835">
        <v>2703</v>
      </c>
      <c r="L90" s="835"/>
      <c r="M90" s="835"/>
      <c r="N90" s="835"/>
      <c r="O90" s="835"/>
      <c r="P90" s="835"/>
      <c r="Q90" s="835"/>
      <c r="R90" s="835"/>
      <c r="S90" s="835"/>
      <c r="T90" s="835"/>
      <c r="U90" s="835"/>
      <c r="V90" s="835"/>
      <c r="W90" s="835"/>
      <c r="X90" s="835"/>
      <c r="Y90" s="835"/>
      <c r="Z90" s="835"/>
      <c r="AA90" s="835"/>
      <c r="AB90" s="835"/>
      <c r="AC90" s="835"/>
      <c r="AD90" s="835"/>
      <c r="AE90" s="835"/>
      <c r="AF90" s="835"/>
    </row>
    <row r="91" spans="2:62">
      <c r="B91" s="835">
        <v>704</v>
      </c>
      <c r="C91" s="835">
        <v>3211</v>
      </c>
      <c r="D91" s="835"/>
      <c r="E91" s="835">
        <v>2919</v>
      </c>
      <c r="F91" s="835"/>
      <c r="G91" s="835"/>
      <c r="H91" s="835">
        <v>2648</v>
      </c>
      <c r="I91" s="835">
        <v>2845</v>
      </c>
      <c r="J91" s="835">
        <v>2800</v>
      </c>
      <c r="K91" s="835">
        <v>2672.5</v>
      </c>
      <c r="L91" s="835">
        <v>2750</v>
      </c>
      <c r="M91" s="835"/>
      <c r="N91" s="835"/>
      <c r="O91" s="835"/>
      <c r="P91" s="835">
        <v>2983</v>
      </c>
      <c r="Q91" s="835"/>
      <c r="R91" s="835">
        <v>2694</v>
      </c>
      <c r="S91" s="835"/>
      <c r="T91" s="835">
        <v>2538.3333333333335</v>
      </c>
      <c r="U91" s="835"/>
      <c r="V91" s="835"/>
      <c r="W91" s="835"/>
      <c r="X91" s="835"/>
      <c r="Y91" s="835"/>
      <c r="Z91" s="835"/>
      <c r="AA91" s="835"/>
      <c r="AB91" s="835"/>
      <c r="AC91" s="835"/>
      <c r="AD91" s="835"/>
      <c r="AE91" s="835"/>
      <c r="AF91" s="835"/>
    </row>
    <row r="92" spans="2:62">
      <c r="B92" s="835">
        <v>723</v>
      </c>
      <c r="C92" s="835"/>
      <c r="D92" s="835"/>
      <c r="E92" s="835">
        <v>2804</v>
      </c>
      <c r="F92" s="835"/>
      <c r="G92" s="835"/>
      <c r="H92" s="835"/>
      <c r="I92" s="835"/>
      <c r="J92" s="835"/>
      <c r="K92" s="835"/>
      <c r="L92" s="835"/>
      <c r="M92" s="835">
        <v>3103</v>
      </c>
      <c r="N92" s="835">
        <v>3140</v>
      </c>
      <c r="O92" s="835"/>
      <c r="P92" s="835">
        <v>3179</v>
      </c>
      <c r="Q92" s="835"/>
      <c r="R92" s="835"/>
      <c r="S92" s="835">
        <v>2850</v>
      </c>
      <c r="T92" s="835"/>
      <c r="U92" s="835"/>
      <c r="V92" s="835">
        <v>2724</v>
      </c>
      <c r="W92" s="835"/>
      <c r="X92" s="835"/>
      <c r="Y92" s="835"/>
      <c r="Z92" s="835"/>
      <c r="AA92" s="835"/>
      <c r="AB92" s="835"/>
      <c r="AC92" s="835"/>
      <c r="AD92" s="835"/>
      <c r="AE92" s="835"/>
      <c r="AF92" s="835"/>
    </row>
    <row r="93" spans="2:62">
      <c r="B93" s="835">
        <v>724</v>
      </c>
      <c r="C93" s="835"/>
      <c r="D93" s="835">
        <v>3144</v>
      </c>
      <c r="E93" s="835"/>
      <c r="F93" s="835"/>
      <c r="G93" s="835"/>
      <c r="H93" s="835"/>
      <c r="I93" s="835"/>
      <c r="J93" s="835"/>
      <c r="K93" s="835"/>
      <c r="L93" s="835"/>
      <c r="M93" s="835"/>
      <c r="N93" s="835">
        <v>3108</v>
      </c>
      <c r="O93" s="835"/>
      <c r="P93" s="835">
        <v>3065</v>
      </c>
      <c r="Q93" s="835"/>
      <c r="R93" s="835">
        <v>2917</v>
      </c>
      <c r="S93" s="835"/>
      <c r="T93" s="835"/>
      <c r="U93" s="835">
        <v>3034</v>
      </c>
      <c r="V93" s="835"/>
      <c r="W93" s="835">
        <v>3017</v>
      </c>
      <c r="X93" s="835"/>
      <c r="Y93" s="835"/>
      <c r="Z93" s="835"/>
      <c r="AA93" s="835"/>
      <c r="AB93" s="835"/>
      <c r="AC93" s="835"/>
      <c r="AD93" s="835"/>
      <c r="AE93" s="835"/>
      <c r="AF93" s="835"/>
    </row>
    <row r="94" spans="2:62">
      <c r="B94" s="835">
        <v>737</v>
      </c>
      <c r="C94" s="835"/>
      <c r="D94" s="835">
        <v>2855</v>
      </c>
      <c r="E94" s="835"/>
      <c r="F94" s="835"/>
      <c r="G94" s="835"/>
      <c r="H94" s="835"/>
      <c r="I94" s="835"/>
      <c r="J94" s="835"/>
      <c r="K94" s="835"/>
      <c r="L94" s="835"/>
      <c r="M94" s="835"/>
      <c r="N94" s="835"/>
      <c r="O94" s="835"/>
      <c r="P94" s="835"/>
      <c r="Q94" s="835"/>
      <c r="R94" s="835"/>
      <c r="S94" s="835"/>
      <c r="T94" s="835"/>
      <c r="U94" s="835"/>
      <c r="V94" s="835"/>
      <c r="W94" s="835"/>
      <c r="X94" s="835"/>
      <c r="Y94" s="835"/>
      <c r="Z94" s="835"/>
      <c r="AA94" s="835"/>
      <c r="AB94" s="835"/>
      <c r="AC94" s="835"/>
      <c r="AD94" s="835"/>
      <c r="AE94" s="835"/>
      <c r="AF94" s="835"/>
    </row>
    <row r="95" spans="2:62">
      <c r="B95" s="835">
        <v>739</v>
      </c>
      <c r="C95" s="835"/>
      <c r="D95" s="835">
        <v>3022</v>
      </c>
      <c r="E95" s="835"/>
      <c r="F95" s="835">
        <v>2757</v>
      </c>
      <c r="G95" s="835"/>
      <c r="H95" s="835">
        <v>2723.5</v>
      </c>
      <c r="I95" s="835">
        <v>2709</v>
      </c>
      <c r="J95" s="835"/>
      <c r="K95" s="835"/>
      <c r="L95" s="835">
        <v>3185</v>
      </c>
      <c r="M95" s="835"/>
      <c r="N95" s="835"/>
      <c r="O95" s="835"/>
      <c r="P95" s="835"/>
      <c r="Q95" s="835"/>
      <c r="R95" s="835"/>
      <c r="S95" s="835"/>
      <c r="T95" s="835"/>
      <c r="U95" s="835">
        <v>2983</v>
      </c>
      <c r="V95" s="835">
        <v>2995</v>
      </c>
      <c r="W95" s="835">
        <v>3209</v>
      </c>
      <c r="X95" s="835"/>
      <c r="Y95" s="835"/>
      <c r="Z95" s="835"/>
      <c r="AA95" s="835"/>
      <c r="AB95" s="835"/>
      <c r="AC95" s="835"/>
      <c r="AD95" s="835"/>
      <c r="AE95" s="835"/>
      <c r="AF95" s="835"/>
    </row>
    <row r="96" spans="2:62">
      <c r="B96" s="835">
        <v>785</v>
      </c>
      <c r="C96" s="835"/>
      <c r="D96" s="835"/>
      <c r="E96" s="835"/>
      <c r="F96" s="835"/>
      <c r="G96" s="835"/>
      <c r="H96" s="835"/>
      <c r="I96" s="835"/>
      <c r="J96" s="835"/>
      <c r="K96" s="835"/>
      <c r="L96" s="835"/>
      <c r="M96" s="835"/>
      <c r="N96" s="835"/>
      <c r="O96" s="835"/>
      <c r="P96" s="835"/>
      <c r="Q96" s="835"/>
      <c r="R96" s="835">
        <v>2733</v>
      </c>
      <c r="S96" s="835"/>
      <c r="T96" s="835"/>
      <c r="U96" s="835"/>
      <c r="V96" s="835"/>
      <c r="W96" s="835"/>
      <c r="X96" s="835"/>
      <c r="Y96" s="835"/>
      <c r="Z96" s="835"/>
      <c r="AA96" s="835"/>
      <c r="AB96" s="835"/>
      <c r="AC96" s="835"/>
      <c r="AD96" s="835"/>
      <c r="AE96" s="835"/>
      <c r="AF96" s="835"/>
    </row>
    <row r="97" spans="2:62">
      <c r="B97" s="835">
        <v>799</v>
      </c>
      <c r="C97" s="835"/>
      <c r="D97" s="835"/>
      <c r="E97" s="835"/>
      <c r="F97" s="835"/>
      <c r="G97" s="835"/>
      <c r="H97" s="835"/>
      <c r="I97" s="835"/>
      <c r="J97" s="835"/>
      <c r="K97" s="835">
        <v>3089</v>
      </c>
      <c r="L97" s="835"/>
      <c r="M97" s="835">
        <v>3363</v>
      </c>
      <c r="N97" s="835"/>
      <c r="O97" s="835"/>
      <c r="P97" s="835"/>
      <c r="Q97" s="835">
        <v>3199</v>
      </c>
      <c r="R97" s="835"/>
      <c r="S97" s="835"/>
      <c r="T97" s="835"/>
      <c r="U97" s="835"/>
      <c r="V97" s="835"/>
      <c r="W97" s="835"/>
      <c r="X97" s="835"/>
      <c r="Y97" s="835"/>
      <c r="Z97" s="835"/>
      <c r="AA97" s="835"/>
      <c r="AB97" s="835"/>
      <c r="AC97" s="835"/>
      <c r="AD97" s="835"/>
      <c r="AE97" s="835"/>
      <c r="AF97" s="835"/>
    </row>
    <row r="98" spans="2:62">
      <c r="B98" s="835">
        <v>806</v>
      </c>
      <c r="C98" s="835"/>
      <c r="D98" s="835"/>
      <c r="E98" s="835"/>
      <c r="F98" s="835"/>
      <c r="G98" s="835"/>
      <c r="H98" s="835"/>
      <c r="I98" s="835"/>
      <c r="J98" s="835"/>
      <c r="K98" s="835"/>
      <c r="L98" s="835">
        <v>3127</v>
      </c>
      <c r="M98" s="835"/>
      <c r="N98" s="835">
        <v>3374</v>
      </c>
      <c r="O98" s="835"/>
      <c r="P98" s="835">
        <v>3095</v>
      </c>
      <c r="Q98" s="835"/>
      <c r="R98" s="835"/>
      <c r="S98" s="835"/>
      <c r="T98" s="835"/>
      <c r="U98" s="835">
        <v>3039.5</v>
      </c>
      <c r="V98" s="835"/>
      <c r="W98" s="835"/>
      <c r="X98" s="835"/>
      <c r="Y98" s="835"/>
      <c r="Z98" s="835"/>
      <c r="AA98" s="835"/>
      <c r="AB98" s="835"/>
      <c r="AC98" s="835"/>
      <c r="AD98" s="835"/>
      <c r="AE98" s="835"/>
      <c r="AF98" s="835"/>
    </row>
    <row r="99" spans="2:62">
      <c r="B99" s="835">
        <v>811</v>
      </c>
      <c r="C99" s="835">
        <v>3248</v>
      </c>
      <c r="D99" s="835"/>
      <c r="E99" s="835"/>
      <c r="F99" s="835"/>
      <c r="G99" s="835"/>
      <c r="H99" s="835"/>
      <c r="I99" s="835"/>
      <c r="J99" s="835"/>
      <c r="K99" s="835"/>
      <c r="L99" s="835"/>
      <c r="M99" s="835"/>
      <c r="N99" s="835"/>
      <c r="O99" s="835"/>
      <c r="P99" s="835"/>
      <c r="Q99" s="835"/>
      <c r="R99" s="835"/>
      <c r="S99" s="835"/>
      <c r="T99" s="835">
        <v>3225</v>
      </c>
      <c r="U99" s="835"/>
      <c r="V99" s="835"/>
      <c r="W99" s="835"/>
      <c r="X99" s="835"/>
      <c r="Y99" s="835"/>
      <c r="Z99" s="835"/>
      <c r="AA99" s="835"/>
      <c r="AB99" s="835"/>
      <c r="AC99" s="835"/>
      <c r="AD99" s="835"/>
      <c r="AE99" s="835"/>
      <c r="AF99" s="835"/>
    </row>
    <row r="100" spans="2:62">
      <c r="B100" s="835">
        <v>818</v>
      </c>
      <c r="C100" s="835"/>
      <c r="D100" s="835"/>
      <c r="E100" s="835"/>
      <c r="F100" s="835"/>
      <c r="G100" s="835"/>
      <c r="H100" s="835"/>
      <c r="I100" s="835">
        <v>3071</v>
      </c>
      <c r="J100" s="835"/>
      <c r="K100" s="835"/>
      <c r="L100" s="835"/>
      <c r="M100" s="835"/>
      <c r="N100" s="835"/>
      <c r="O100" s="835"/>
      <c r="P100" s="835"/>
      <c r="Q100" s="835"/>
      <c r="R100" s="835"/>
      <c r="S100" s="835"/>
      <c r="T100" s="835"/>
      <c r="U100" s="835">
        <v>3340</v>
      </c>
      <c r="V100" s="835"/>
      <c r="W100" s="835"/>
      <c r="X100" s="835"/>
      <c r="Y100" s="835"/>
      <c r="Z100" s="835"/>
      <c r="AA100" s="835"/>
      <c r="AB100" s="835"/>
      <c r="AC100" s="835"/>
      <c r="AD100" s="835"/>
      <c r="AE100" s="835"/>
      <c r="AF100" s="835"/>
    </row>
    <row r="101" spans="2:62">
      <c r="B101" s="835">
        <v>820</v>
      </c>
      <c r="C101" s="835"/>
      <c r="D101" s="835"/>
      <c r="E101" s="835">
        <v>2811</v>
      </c>
      <c r="F101" s="835"/>
      <c r="G101" s="835"/>
      <c r="H101" s="835">
        <v>2813</v>
      </c>
      <c r="I101" s="835"/>
      <c r="J101" s="835"/>
      <c r="K101" s="835">
        <v>3159</v>
      </c>
      <c r="L101" s="835">
        <v>3243.3333333333335</v>
      </c>
      <c r="M101" s="835"/>
      <c r="N101" s="835"/>
      <c r="O101" s="835">
        <v>3372</v>
      </c>
      <c r="P101" s="835"/>
      <c r="Q101" s="835"/>
      <c r="R101" s="835">
        <v>3005.5</v>
      </c>
      <c r="S101" s="835"/>
      <c r="T101" s="835"/>
      <c r="U101" s="835"/>
      <c r="V101" s="835">
        <v>3270</v>
      </c>
      <c r="W101" s="835"/>
      <c r="X101" s="835"/>
      <c r="Y101" s="835"/>
      <c r="Z101" s="835"/>
      <c r="AA101" s="835"/>
      <c r="AB101" s="835"/>
      <c r="AC101" s="835"/>
      <c r="AD101" s="835"/>
      <c r="AE101" s="835"/>
      <c r="AF101" s="835">
        <v>3260</v>
      </c>
    </row>
    <row r="102" spans="2:62">
      <c r="B102" s="835">
        <v>833</v>
      </c>
      <c r="C102" s="835">
        <v>3292</v>
      </c>
      <c r="D102" s="835">
        <v>3316</v>
      </c>
      <c r="E102" s="835">
        <v>2993</v>
      </c>
      <c r="F102" s="835"/>
      <c r="G102" s="835"/>
      <c r="H102" s="835"/>
      <c r="I102" s="835"/>
      <c r="J102" s="835"/>
      <c r="K102" s="835"/>
      <c r="L102" s="835">
        <v>3271</v>
      </c>
      <c r="M102" s="835"/>
      <c r="N102" s="835"/>
      <c r="O102" s="835">
        <v>3270</v>
      </c>
      <c r="P102" s="835">
        <v>3435</v>
      </c>
      <c r="Q102" s="835"/>
      <c r="R102" s="835">
        <v>3105</v>
      </c>
      <c r="S102" s="835"/>
      <c r="T102" s="835"/>
      <c r="U102" s="835">
        <v>3182</v>
      </c>
      <c r="V102" s="835">
        <v>3337</v>
      </c>
      <c r="W102" s="835"/>
      <c r="X102" s="835"/>
      <c r="Y102" s="835"/>
      <c r="Z102" s="835"/>
      <c r="AA102" s="835"/>
      <c r="AB102" s="835"/>
      <c r="AC102" s="835"/>
      <c r="AD102" s="835"/>
      <c r="AE102" s="835"/>
      <c r="AF102" s="835"/>
    </row>
    <row r="103" spans="2:62">
      <c r="B103" s="835">
        <v>878</v>
      </c>
      <c r="C103" s="835"/>
      <c r="D103" s="835"/>
      <c r="E103" s="835"/>
      <c r="F103" s="835"/>
      <c r="G103" s="835"/>
      <c r="H103" s="835"/>
      <c r="I103" s="835"/>
      <c r="J103" s="835"/>
      <c r="K103" s="835"/>
      <c r="L103" s="835"/>
      <c r="M103" s="835">
        <v>2577</v>
      </c>
      <c r="N103" s="835"/>
      <c r="O103" s="835"/>
      <c r="P103" s="835"/>
      <c r="Q103" s="835"/>
      <c r="R103" s="835">
        <v>2486</v>
      </c>
      <c r="S103" s="835"/>
      <c r="T103" s="835"/>
      <c r="U103" s="835"/>
      <c r="V103" s="835"/>
      <c r="W103" s="835"/>
      <c r="X103" s="835"/>
      <c r="Y103" s="835"/>
      <c r="Z103" s="835"/>
      <c r="AA103" s="835"/>
      <c r="AB103" s="835"/>
      <c r="AC103" s="835"/>
      <c r="AD103" s="835"/>
      <c r="AE103" s="835"/>
      <c r="AF103" s="835"/>
    </row>
    <row r="104" spans="2:62">
      <c r="B104" s="835">
        <v>883</v>
      </c>
      <c r="C104" s="835"/>
      <c r="D104" s="835"/>
      <c r="E104" s="835"/>
      <c r="F104" s="835"/>
      <c r="G104" s="835">
        <v>3057</v>
      </c>
      <c r="H104" s="835"/>
      <c r="I104" s="835"/>
      <c r="J104" s="835"/>
      <c r="K104" s="835"/>
      <c r="L104" s="835"/>
      <c r="M104" s="835">
        <v>3541</v>
      </c>
      <c r="N104" s="835"/>
      <c r="O104" s="835"/>
      <c r="P104" s="835"/>
      <c r="Q104" s="835"/>
      <c r="R104" s="835"/>
      <c r="S104" s="835"/>
      <c r="T104" s="835"/>
      <c r="U104" s="835"/>
      <c r="V104" s="835"/>
      <c r="W104" s="835"/>
      <c r="X104" s="835"/>
      <c r="Y104" s="835"/>
      <c r="Z104" s="835"/>
      <c r="AA104" s="835"/>
      <c r="AB104" s="835"/>
      <c r="AC104" s="835"/>
      <c r="AD104" s="835"/>
      <c r="AE104" s="835"/>
      <c r="AF104" s="835"/>
    </row>
    <row r="105" spans="2:62">
      <c r="B105" s="835">
        <v>909</v>
      </c>
      <c r="C105" s="835"/>
      <c r="D105" s="835">
        <v>3596.5</v>
      </c>
      <c r="E105" s="835"/>
      <c r="F105" s="835"/>
      <c r="G105" s="835"/>
      <c r="H105" s="835">
        <v>3149</v>
      </c>
      <c r="I105" s="835"/>
      <c r="J105" s="835">
        <v>3267</v>
      </c>
      <c r="K105" s="835">
        <v>3236</v>
      </c>
      <c r="L105" s="835">
        <v>3341</v>
      </c>
      <c r="M105" s="835">
        <v>3767</v>
      </c>
      <c r="N105" s="835"/>
      <c r="O105" s="835">
        <v>3619</v>
      </c>
      <c r="P105" s="835"/>
      <c r="Q105" s="835"/>
      <c r="R105" s="835"/>
      <c r="S105" s="835">
        <v>3527</v>
      </c>
      <c r="T105" s="835"/>
      <c r="U105" s="835"/>
      <c r="V105" s="835"/>
      <c r="W105" s="835"/>
      <c r="X105" s="835"/>
      <c r="Y105" s="835"/>
      <c r="Z105" s="835"/>
      <c r="AA105" s="835"/>
      <c r="AB105" s="835"/>
      <c r="AC105" s="835"/>
      <c r="AD105" s="835"/>
      <c r="AE105" s="835"/>
      <c r="AF105" s="835"/>
    </row>
    <row r="106" spans="2:62">
      <c r="B106" s="835">
        <v>1087</v>
      </c>
      <c r="C106" s="835">
        <v>4064</v>
      </c>
      <c r="D106" s="835"/>
      <c r="E106" s="835"/>
      <c r="F106" s="835"/>
      <c r="G106" s="835"/>
      <c r="H106" s="835"/>
      <c r="I106" s="835">
        <v>3794</v>
      </c>
      <c r="J106" s="835">
        <v>3921</v>
      </c>
      <c r="K106" s="835"/>
      <c r="L106" s="835"/>
      <c r="M106" s="835">
        <v>3767</v>
      </c>
      <c r="N106" s="835"/>
      <c r="O106" s="835"/>
      <c r="P106" s="835"/>
      <c r="Q106" s="835"/>
      <c r="R106" s="835"/>
      <c r="S106" s="835"/>
      <c r="T106" s="835"/>
      <c r="U106" s="835">
        <v>4105</v>
      </c>
      <c r="V106" s="835">
        <v>3773</v>
      </c>
      <c r="W106" s="835"/>
      <c r="X106" s="835"/>
      <c r="Y106" s="835"/>
      <c r="Z106" s="835"/>
      <c r="AA106" s="835"/>
      <c r="AB106" s="835"/>
      <c r="AC106" s="835"/>
      <c r="AD106" s="835"/>
      <c r="AE106" s="835"/>
      <c r="AF106" s="835"/>
    </row>
    <row r="107" spans="2:62">
      <c r="B107" s="835">
        <v>1110</v>
      </c>
      <c r="C107" s="835"/>
      <c r="D107" s="835">
        <v>3864</v>
      </c>
      <c r="E107" s="835"/>
      <c r="F107" s="835"/>
      <c r="G107" s="835"/>
      <c r="H107" s="835"/>
      <c r="I107" s="835">
        <v>4567</v>
      </c>
      <c r="J107" s="835">
        <v>4032</v>
      </c>
      <c r="K107" s="835"/>
      <c r="L107" s="835">
        <v>4025.5</v>
      </c>
      <c r="M107" s="835">
        <v>4307</v>
      </c>
      <c r="N107" s="835"/>
      <c r="O107" s="835">
        <v>4172.5</v>
      </c>
      <c r="P107" s="835">
        <v>4414</v>
      </c>
      <c r="Q107" s="835"/>
      <c r="R107" s="835"/>
      <c r="S107" s="835"/>
      <c r="T107" s="835">
        <v>4095</v>
      </c>
      <c r="U107" s="835">
        <v>4266</v>
      </c>
      <c r="V107" s="835">
        <v>4193</v>
      </c>
      <c r="W107" s="835">
        <v>4175.5</v>
      </c>
      <c r="X107" s="835"/>
      <c r="Y107" s="835"/>
      <c r="Z107" s="835"/>
      <c r="AA107" s="835"/>
      <c r="AB107" s="835"/>
      <c r="AC107" s="835"/>
      <c r="AD107" s="835"/>
      <c r="AE107" s="835"/>
      <c r="AF107" s="835"/>
    </row>
    <row r="108" spans="2:62">
      <c r="B108" s="837" t="s">
        <v>270</v>
      </c>
      <c r="C108" s="835"/>
      <c r="D108" s="835"/>
      <c r="E108" s="835"/>
      <c r="F108" s="835"/>
      <c r="G108" s="835"/>
      <c r="H108" s="835"/>
      <c r="I108" s="835"/>
      <c r="J108" s="835"/>
      <c r="K108" s="835"/>
      <c r="L108" s="835"/>
      <c r="M108" s="835"/>
      <c r="N108" s="835"/>
      <c r="O108" s="835"/>
      <c r="P108" s="835"/>
      <c r="Q108" s="835"/>
      <c r="R108" s="835"/>
      <c r="S108" s="835"/>
      <c r="T108" s="835"/>
      <c r="U108" s="835"/>
      <c r="V108" s="835"/>
      <c r="W108" s="835"/>
      <c r="X108" s="835"/>
      <c r="Y108" s="835"/>
      <c r="Z108" s="835"/>
      <c r="AA108" s="835"/>
      <c r="AB108" s="835"/>
      <c r="AC108" s="835"/>
      <c r="AD108" s="835"/>
      <c r="AE108" s="835"/>
      <c r="AF108" s="835"/>
    </row>
    <row r="109" spans="2:62">
      <c r="B109" s="835">
        <v>1177</v>
      </c>
      <c r="C109" s="835"/>
      <c r="D109" s="835"/>
      <c r="E109" s="835"/>
      <c r="F109" s="835"/>
      <c r="G109" s="835"/>
      <c r="H109" s="835"/>
      <c r="I109" s="835"/>
      <c r="J109" s="835">
        <v>3484</v>
      </c>
      <c r="K109" s="835"/>
      <c r="L109" s="835"/>
      <c r="M109" s="835"/>
      <c r="N109" s="835"/>
      <c r="O109" s="835"/>
      <c r="P109" s="835"/>
      <c r="Q109" s="835"/>
      <c r="R109" s="835"/>
      <c r="S109" s="835"/>
      <c r="T109" s="835"/>
      <c r="U109" s="835"/>
      <c r="V109" s="835"/>
      <c r="W109" s="835"/>
      <c r="X109" s="835"/>
      <c r="Y109" s="835"/>
      <c r="Z109" s="835"/>
      <c r="AA109" s="835"/>
      <c r="AB109" s="835"/>
      <c r="AC109" s="835"/>
      <c r="AD109" s="835"/>
      <c r="AE109" s="835"/>
      <c r="AF109" s="835"/>
    </row>
    <row r="110" spans="2:62">
      <c r="B110" s="835">
        <v>1223</v>
      </c>
      <c r="C110" s="835"/>
      <c r="D110" s="835">
        <v>4321</v>
      </c>
      <c r="E110" s="835"/>
      <c r="F110" s="835">
        <v>3967</v>
      </c>
      <c r="G110" s="835">
        <v>3874</v>
      </c>
      <c r="H110" s="835">
        <v>3824</v>
      </c>
      <c r="I110" s="835"/>
      <c r="J110" s="835"/>
      <c r="K110" s="835"/>
      <c r="L110" s="835">
        <v>4494</v>
      </c>
      <c r="M110" s="835">
        <v>4537</v>
      </c>
      <c r="N110" s="835">
        <v>4490</v>
      </c>
      <c r="O110" s="835"/>
      <c r="P110" s="835">
        <v>4585</v>
      </c>
      <c r="Q110" s="835"/>
      <c r="R110" s="835">
        <v>4162</v>
      </c>
      <c r="S110" s="835">
        <v>4206</v>
      </c>
      <c r="T110" s="835"/>
      <c r="U110" s="835">
        <v>4274</v>
      </c>
      <c r="V110" s="835">
        <v>4480</v>
      </c>
      <c r="W110" s="835">
        <v>4513</v>
      </c>
      <c r="X110" s="835"/>
      <c r="Y110" s="835"/>
      <c r="Z110" s="835"/>
      <c r="AA110" s="835"/>
      <c r="AB110" s="835"/>
      <c r="AC110" s="835"/>
      <c r="AD110" s="835"/>
      <c r="AE110" s="835"/>
      <c r="AF110" s="835"/>
    </row>
    <row r="111" spans="2:62">
      <c r="B111" s="835">
        <v>1283</v>
      </c>
      <c r="C111" s="835"/>
      <c r="D111" s="835">
        <v>3841</v>
      </c>
      <c r="E111" s="835">
        <v>4055</v>
      </c>
      <c r="F111" s="835"/>
      <c r="G111" s="835"/>
      <c r="H111" s="835"/>
      <c r="I111" s="835"/>
      <c r="J111" s="835"/>
      <c r="K111" s="835"/>
      <c r="L111" s="835"/>
      <c r="M111" s="835"/>
      <c r="N111" s="835">
        <v>3922</v>
      </c>
      <c r="O111" s="835"/>
      <c r="P111" s="835"/>
      <c r="Q111" s="835"/>
      <c r="R111" s="835"/>
      <c r="S111" s="835"/>
      <c r="T111" s="835"/>
      <c r="U111" s="835"/>
      <c r="V111" s="835"/>
      <c r="W111" s="835"/>
      <c r="X111" s="835"/>
      <c r="Y111" s="835"/>
      <c r="Z111" s="835"/>
      <c r="AA111" s="835"/>
      <c r="AB111" s="835"/>
      <c r="AC111" s="835"/>
      <c r="AD111" s="835"/>
      <c r="AE111" s="835"/>
      <c r="AF111" s="835"/>
    </row>
    <row r="112" spans="2:62">
      <c r="B112" s="835">
        <v>1325</v>
      </c>
      <c r="C112" s="835">
        <v>4595</v>
      </c>
      <c r="D112" s="835">
        <v>4627</v>
      </c>
      <c r="E112" s="835">
        <v>4692</v>
      </c>
      <c r="F112" s="835">
        <v>4355</v>
      </c>
      <c r="G112" s="835"/>
      <c r="H112" s="835"/>
      <c r="I112" s="835"/>
      <c r="J112" s="835"/>
      <c r="K112" s="835"/>
      <c r="L112" s="835">
        <v>5221</v>
      </c>
      <c r="M112" s="835"/>
      <c r="N112" s="835"/>
      <c r="O112" s="835"/>
      <c r="P112" s="835"/>
      <c r="Q112" s="835">
        <v>5030</v>
      </c>
      <c r="R112" s="835">
        <v>4877.5</v>
      </c>
      <c r="S112" s="835"/>
      <c r="T112" s="835">
        <v>4581</v>
      </c>
      <c r="U112" s="835"/>
      <c r="V112" s="835">
        <v>4618.666666666667</v>
      </c>
      <c r="W112" s="835"/>
      <c r="X112" s="835"/>
      <c r="Y112" s="835"/>
      <c r="Z112" s="835"/>
      <c r="AA112" s="835"/>
      <c r="AB112" s="835"/>
      <c r="AC112" s="835"/>
      <c r="AD112" s="835"/>
      <c r="AE112" s="835"/>
      <c r="AF112" s="835"/>
    </row>
    <row r="113" spans="2:62" ht="15.5">
      <c r="B113" s="843" t="s">
        <v>1089</v>
      </c>
      <c r="C113" s="835"/>
      <c r="D113" s="835"/>
      <c r="E113" s="835"/>
      <c r="F113" s="835"/>
      <c r="G113" s="835"/>
      <c r="H113" s="835"/>
      <c r="I113" s="835"/>
      <c r="J113" s="835"/>
      <c r="K113" s="835"/>
      <c r="L113" s="835"/>
      <c r="M113" s="835"/>
      <c r="N113" s="835"/>
      <c r="O113" s="835"/>
      <c r="P113" s="835"/>
      <c r="Q113" s="835"/>
      <c r="R113" s="835"/>
      <c r="S113" s="835"/>
      <c r="T113" s="835"/>
      <c r="U113" s="835"/>
      <c r="V113" s="835"/>
      <c r="W113" s="835"/>
      <c r="X113" s="835"/>
      <c r="Y113" s="835"/>
      <c r="Z113" s="835"/>
      <c r="AA113" s="835"/>
      <c r="AB113" s="835"/>
      <c r="AC113" s="835"/>
      <c r="AD113" s="835"/>
      <c r="AE113" s="835"/>
      <c r="AF113" s="835"/>
    </row>
    <row r="114" spans="2:62">
      <c r="B114" s="837" t="s">
        <v>13</v>
      </c>
      <c r="C114" s="835"/>
      <c r="D114" s="835"/>
      <c r="E114" s="835"/>
      <c r="F114" s="835"/>
      <c r="G114" s="835"/>
      <c r="H114" s="835"/>
      <c r="I114" s="835"/>
      <c r="J114" s="835"/>
      <c r="K114" s="835"/>
      <c r="L114" s="835"/>
      <c r="M114" s="835"/>
      <c r="N114" s="835"/>
      <c r="O114" s="835"/>
      <c r="P114" s="835"/>
      <c r="Q114" s="835"/>
      <c r="R114" s="835"/>
      <c r="S114" s="835"/>
      <c r="T114" s="835"/>
      <c r="U114" s="835"/>
      <c r="V114" s="835"/>
      <c r="W114" s="835"/>
      <c r="X114" s="835"/>
      <c r="Y114" s="835"/>
      <c r="Z114" s="835"/>
      <c r="AA114" s="835"/>
      <c r="AB114" s="835"/>
      <c r="AC114" s="835"/>
      <c r="AD114" s="835"/>
      <c r="AE114" s="835"/>
      <c r="AF114" s="835"/>
    </row>
    <row r="115" spans="2:62">
      <c r="B115" s="835">
        <v>572</v>
      </c>
      <c r="C115" s="835"/>
      <c r="D115" s="835"/>
      <c r="E115" s="835"/>
      <c r="F115" s="835"/>
      <c r="G115" s="835"/>
      <c r="H115" s="835"/>
      <c r="I115" s="835">
        <v>2036</v>
      </c>
      <c r="J115" s="835"/>
      <c r="K115" s="835">
        <v>2110</v>
      </c>
      <c r="L115" s="835"/>
      <c r="M115" s="835"/>
      <c r="N115" s="835">
        <v>2194</v>
      </c>
      <c r="O115" s="835">
        <v>2201</v>
      </c>
      <c r="P115" s="835"/>
      <c r="Q115" s="835"/>
      <c r="R115" s="835">
        <v>2367</v>
      </c>
      <c r="S115" s="835"/>
      <c r="T115" s="835"/>
      <c r="U115" s="835"/>
      <c r="V115" s="835">
        <v>2214</v>
      </c>
      <c r="W115" s="835">
        <v>2135</v>
      </c>
      <c r="X115" s="835"/>
      <c r="Y115" s="835"/>
      <c r="Z115" s="835"/>
      <c r="AA115" s="835"/>
      <c r="AB115" s="835"/>
      <c r="AC115" s="835">
        <v>2120</v>
      </c>
      <c r="AD115" s="835"/>
      <c r="AE115" s="835"/>
      <c r="AF115" s="835"/>
    </row>
    <row r="116" spans="2:62">
      <c r="B116" s="835">
        <v>574</v>
      </c>
      <c r="C116" s="835">
        <v>2193</v>
      </c>
      <c r="D116" s="835"/>
      <c r="E116" s="835"/>
      <c r="F116" s="835">
        <v>2231</v>
      </c>
      <c r="G116" s="835"/>
      <c r="H116" s="835"/>
      <c r="I116" s="835"/>
      <c r="J116" s="835"/>
      <c r="K116" s="835"/>
      <c r="L116" s="835">
        <v>2065</v>
      </c>
      <c r="M116" s="835">
        <v>2187</v>
      </c>
      <c r="N116" s="835">
        <v>2169</v>
      </c>
      <c r="O116" s="835"/>
      <c r="P116" s="835"/>
      <c r="Q116" s="835"/>
      <c r="R116" s="835">
        <v>2047</v>
      </c>
      <c r="S116" s="835"/>
      <c r="T116" s="835"/>
      <c r="U116" s="835"/>
      <c r="V116" s="835"/>
      <c r="W116" s="835"/>
      <c r="X116" s="835"/>
      <c r="Y116" s="835"/>
      <c r="Z116" s="835"/>
      <c r="AA116" s="835"/>
      <c r="AB116" s="835"/>
      <c r="AC116" s="835"/>
      <c r="AD116" s="835"/>
      <c r="AE116" s="835"/>
      <c r="AF116" s="835"/>
    </row>
    <row r="117" spans="2:62">
      <c r="B117" s="835">
        <v>587</v>
      </c>
      <c r="C117" s="835"/>
      <c r="D117" s="835"/>
      <c r="E117" s="835"/>
      <c r="F117" s="835"/>
      <c r="G117" s="835"/>
      <c r="H117" s="835"/>
      <c r="I117" s="835"/>
      <c r="J117" s="835"/>
      <c r="K117" s="835"/>
      <c r="L117" s="835"/>
      <c r="M117" s="835"/>
      <c r="N117" s="835">
        <v>2092</v>
      </c>
      <c r="O117" s="835"/>
      <c r="P117" s="835">
        <v>2319</v>
      </c>
      <c r="Q117" s="835"/>
      <c r="R117" s="835">
        <v>2297</v>
      </c>
      <c r="S117" s="835"/>
      <c r="T117" s="835"/>
      <c r="U117" s="835"/>
      <c r="V117" s="835">
        <v>2135</v>
      </c>
      <c r="W117" s="835"/>
      <c r="X117" s="835"/>
      <c r="Y117" s="835"/>
      <c r="Z117" s="835"/>
      <c r="AA117" s="835"/>
      <c r="AB117" s="835"/>
      <c r="AC117" s="835"/>
      <c r="AD117" s="835"/>
      <c r="AE117" s="835"/>
      <c r="AF117" s="835"/>
    </row>
    <row r="118" spans="2:62">
      <c r="B118" s="835">
        <v>594</v>
      </c>
      <c r="C118" s="835"/>
      <c r="D118" s="835"/>
      <c r="E118" s="835">
        <v>2248</v>
      </c>
      <c r="F118" s="835"/>
      <c r="G118" s="835"/>
      <c r="H118" s="835"/>
      <c r="I118" s="835"/>
      <c r="J118" s="835"/>
      <c r="K118" s="835">
        <v>2150</v>
      </c>
      <c r="L118" s="835"/>
      <c r="M118" s="835"/>
      <c r="N118" s="835"/>
      <c r="O118" s="835"/>
      <c r="P118" s="835">
        <v>2315</v>
      </c>
      <c r="Q118" s="835"/>
      <c r="R118" s="835"/>
      <c r="S118" s="835"/>
      <c r="T118" s="835"/>
      <c r="U118" s="835"/>
      <c r="V118" s="835"/>
      <c r="W118" s="835"/>
      <c r="X118" s="835"/>
      <c r="Y118" s="835"/>
      <c r="Z118" s="835"/>
      <c r="AA118" s="835"/>
      <c r="AB118" s="835"/>
      <c r="AC118" s="835"/>
      <c r="AD118" s="835"/>
      <c r="AE118" s="835"/>
      <c r="AF118" s="835"/>
    </row>
    <row r="119" spans="2:62">
      <c r="B119" s="835">
        <v>595</v>
      </c>
      <c r="C119" s="835">
        <v>2089</v>
      </c>
      <c r="D119" s="835"/>
      <c r="E119" s="835"/>
      <c r="F119" s="835"/>
      <c r="G119" s="835"/>
      <c r="H119" s="835"/>
      <c r="I119" s="835"/>
      <c r="J119" s="835"/>
      <c r="K119" s="835"/>
      <c r="L119" s="835">
        <v>2105</v>
      </c>
      <c r="M119" s="835">
        <v>2014</v>
      </c>
      <c r="N119" s="835"/>
      <c r="O119" s="835"/>
      <c r="P119" s="835"/>
      <c r="Q119" s="835"/>
      <c r="R119" s="835"/>
      <c r="S119" s="835">
        <v>2262</v>
      </c>
      <c r="T119" s="835"/>
      <c r="U119" s="835"/>
      <c r="V119" s="835"/>
      <c r="W119" s="835"/>
      <c r="X119" s="835"/>
      <c r="Y119" s="835"/>
      <c r="Z119" s="835"/>
      <c r="AA119" s="835"/>
      <c r="AB119" s="835"/>
      <c r="AC119" s="835"/>
      <c r="AD119" s="835"/>
      <c r="AE119" s="835"/>
      <c r="AF119" s="835"/>
    </row>
    <row r="120" spans="2:62">
      <c r="B120" s="835">
        <v>606</v>
      </c>
      <c r="C120" s="835"/>
      <c r="D120" s="835"/>
      <c r="E120" s="835"/>
      <c r="F120" s="835">
        <v>2067</v>
      </c>
      <c r="G120" s="835"/>
      <c r="H120" s="835"/>
      <c r="I120" s="835"/>
      <c r="J120" s="835"/>
      <c r="K120" s="835"/>
      <c r="L120" s="835"/>
      <c r="M120" s="835">
        <v>2118</v>
      </c>
      <c r="N120" s="835"/>
      <c r="O120" s="835"/>
      <c r="P120" s="835">
        <v>2277</v>
      </c>
      <c r="Q120" s="835"/>
      <c r="R120" s="835"/>
      <c r="S120" s="835"/>
      <c r="T120" s="835"/>
      <c r="U120" s="835"/>
      <c r="V120" s="835"/>
      <c r="W120" s="835"/>
      <c r="X120" s="835"/>
      <c r="Y120" s="835"/>
      <c r="Z120" s="835"/>
      <c r="AA120" s="835"/>
      <c r="AB120" s="835"/>
      <c r="AC120" s="835">
        <v>2089</v>
      </c>
      <c r="AD120" s="835"/>
      <c r="AE120" s="835"/>
      <c r="AF120" s="835"/>
    </row>
    <row r="121" spans="2:62">
      <c r="B121" s="835">
        <v>656</v>
      </c>
      <c r="C121" s="835"/>
      <c r="D121" s="835"/>
      <c r="E121" s="835"/>
      <c r="F121" s="835"/>
      <c r="G121" s="835"/>
      <c r="H121" s="835"/>
      <c r="I121" s="835">
        <v>2020</v>
      </c>
      <c r="J121" s="835"/>
      <c r="K121" s="835"/>
      <c r="L121" s="835"/>
      <c r="M121" s="835"/>
      <c r="N121" s="835"/>
      <c r="O121" s="835"/>
      <c r="P121" s="835">
        <v>2234</v>
      </c>
      <c r="Q121" s="835"/>
      <c r="R121" s="835"/>
      <c r="S121" s="835"/>
      <c r="T121" s="835"/>
      <c r="U121" s="835"/>
      <c r="V121" s="835"/>
      <c r="W121" s="835"/>
      <c r="X121" s="835"/>
      <c r="Y121" s="835"/>
      <c r="Z121" s="835"/>
      <c r="AA121" s="835"/>
      <c r="AB121" s="835"/>
      <c r="AC121" s="835"/>
      <c r="AD121" s="835"/>
      <c r="AE121" s="835"/>
      <c r="AF121" s="835"/>
    </row>
    <row r="122" spans="2:62">
      <c r="B122" s="835">
        <v>669</v>
      </c>
      <c r="C122" s="835"/>
      <c r="D122" s="835"/>
      <c r="E122" s="835"/>
      <c r="F122" s="835"/>
      <c r="G122" s="835"/>
      <c r="H122" s="835">
        <v>2038</v>
      </c>
      <c r="I122" s="835"/>
      <c r="J122" s="835"/>
      <c r="K122" s="835"/>
      <c r="L122" s="835"/>
      <c r="M122" s="835"/>
      <c r="N122" s="835"/>
      <c r="O122" s="835"/>
      <c r="P122" s="835">
        <v>2285</v>
      </c>
      <c r="Q122" s="835"/>
      <c r="R122" s="835"/>
      <c r="S122" s="835"/>
      <c r="T122" s="835"/>
      <c r="U122" s="835">
        <v>2275</v>
      </c>
      <c r="V122" s="835"/>
      <c r="W122" s="835">
        <v>2434</v>
      </c>
      <c r="X122" s="835"/>
      <c r="Y122" s="835"/>
      <c r="Z122" s="835"/>
      <c r="AA122" s="835"/>
      <c r="AB122" s="835"/>
      <c r="AC122" s="835"/>
      <c r="AD122" s="835"/>
      <c r="AE122" s="835"/>
      <c r="AF122" s="835"/>
    </row>
    <row r="123" spans="2:62">
      <c r="B123" s="835">
        <v>671</v>
      </c>
      <c r="C123" s="835"/>
      <c r="D123" s="835">
        <v>2595</v>
      </c>
      <c r="E123" s="835"/>
      <c r="F123" s="835"/>
      <c r="G123" s="835"/>
      <c r="H123" s="835"/>
      <c r="I123" s="835"/>
      <c r="J123" s="835"/>
      <c r="K123" s="835">
        <v>2183</v>
      </c>
      <c r="L123" s="835">
        <v>2325.5</v>
      </c>
      <c r="M123" s="835">
        <v>2331.6666666666665</v>
      </c>
      <c r="N123" s="835">
        <v>2345.5</v>
      </c>
      <c r="O123" s="835">
        <v>2319</v>
      </c>
      <c r="P123" s="835">
        <v>2381</v>
      </c>
      <c r="Q123" s="835"/>
      <c r="R123" s="835"/>
      <c r="S123" s="835"/>
      <c r="T123" s="835"/>
      <c r="U123" s="835"/>
      <c r="V123" s="835">
        <v>2406</v>
      </c>
      <c r="W123" s="835"/>
      <c r="X123" s="835"/>
      <c r="Y123" s="835"/>
      <c r="Z123" s="835"/>
      <c r="AA123" s="835"/>
      <c r="AB123" s="835"/>
      <c r="AC123" s="835"/>
      <c r="AD123" s="835"/>
      <c r="AE123" s="835"/>
      <c r="AF123" s="835"/>
    </row>
    <row r="124" spans="2:62">
      <c r="B124" s="835">
        <v>675</v>
      </c>
      <c r="C124" s="835">
        <v>2373</v>
      </c>
      <c r="D124" s="835">
        <v>2250</v>
      </c>
      <c r="E124" s="835"/>
      <c r="F124" s="835"/>
      <c r="G124" s="835"/>
      <c r="H124" s="835"/>
      <c r="I124" s="835"/>
      <c r="J124" s="835"/>
      <c r="K124" s="835"/>
      <c r="L124" s="835">
        <v>2475.5</v>
      </c>
      <c r="M124" s="835">
        <v>2263</v>
      </c>
      <c r="N124" s="835">
        <v>2333.5</v>
      </c>
      <c r="O124" s="835">
        <v>2649</v>
      </c>
      <c r="P124" s="835">
        <v>2422.6666666666665</v>
      </c>
      <c r="Q124" s="835"/>
      <c r="R124" s="835"/>
      <c r="S124" s="835"/>
      <c r="T124" s="835">
        <v>2172.4</v>
      </c>
      <c r="U124" s="835">
        <v>2100</v>
      </c>
      <c r="V124" s="835">
        <v>2060</v>
      </c>
      <c r="W124" s="835">
        <v>2441</v>
      </c>
      <c r="X124" s="835"/>
      <c r="Y124" s="835"/>
      <c r="Z124" s="835"/>
      <c r="AA124" s="835"/>
      <c r="AB124" s="835"/>
      <c r="AC124" s="835"/>
      <c r="AD124" s="835"/>
      <c r="AE124" s="835"/>
      <c r="AF124" s="835"/>
    </row>
    <row r="125" spans="2:62">
      <c r="B125" s="835">
        <v>686</v>
      </c>
      <c r="C125" s="835"/>
      <c r="D125" s="835">
        <v>2210</v>
      </c>
      <c r="E125" s="835"/>
      <c r="F125" s="835"/>
      <c r="G125" s="835"/>
      <c r="H125" s="835"/>
      <c r="I125" s="835">
        <v>2131</v>
      </c>
      <c r="J125" s="835"/>
      <c r="K125" s="835">
        <v>2134</v>
      </c>
      <c r="L125" s="835">
        <v>2175</v>
      </c>
      <c r="M125" s="835">
        <v>2188</v>
      </c>
      <c r="N125" s="835"/>
      <c r="O125" s="835"/>
      <c r="P125" s="835">
        <v>2228</v>
      </c>
      <c r="Q125" s="835"/>
      <c r="R125" s="835"/>
      <c r="S125" s="835"/>
      <c r="T125" s="835"/>
      <c r="U125" s="835"/>
      <c r="V125" s="835"/>
      <c r="W125" s="835"/>
      <c r="X125" s="835"/>
      <c r="Y125" s="835"/>
      <c r="Z125" s="835"/>
      <c r="AA125" s="835"/>
      <c r="AB125" s="835"/>
      <c r="AC125" s="835"/>
      <c r="AD125" s="835"/>
      <c r="AE125" s="835"/>
      <c r="AF125" s="835"/>
    </row>
    <row r="126" spans="2:62">
      <c r="B126" s="835">
        <v>704</v>
      </c>
      <c r="C126" s="835">
        <v>2364</v>
      </c>
      <c r="D126" s="835"/>
      <c r="E126" s="835"/>
      <c r="F126" s="835">
        <v>2278</v>
      </c>
      <c r="G126" s="835"/>
      <c r="H126" s="835"/>
      <c r="I126" s="835"/>
      <c r="J126" s="835"/>
      <c r="K126" s="835"/>
      <c r="L126" s="835"/>
      <c r="M126" s="835"/>
      <c r="N126" s="835">
        <v>2118</v>
      </c>
      <c r="O126" s="835">
        <v>2347</v>
      </c>
      <c r="P126" s="835"/>
      <c r="Q126" s="835">
        <v>2077</v>
      </c>
      <c r="R126" s="835">
        <v>2072</v>
      </c>
      <c r="S126" s="835"/>
      <c r="T126" s="835">
        <v>1993</v>
      </c>
      <c r="U126" s="835"/>
      <c r="V126" s="835">
        <v>2393</v>
      </c>
      <c r="W126" s="835"/>
      <c r="X126" s="835"/>
      <c r="Y126" s="835"/>
      <c r="Z126" s="835"/>
      <c r="AA126" s="835"/>
      <c r="AB126" s="835"/>
      <c r="AC126" s="835"/>
      <c r="AD126" s="835"/>
      <c r="AE126" s="835"/>
      <c r="AF126" s="835"/>
    </row>
    <row r="127" spans="2:62">
      <c r="B127" s="835">
        <v>707</v>
      </c>
      <c r="C127" s="835"/>
      <c r="D127" s="835"/>
      <c r="E127" s="835"/>
      <c r="F127" s="835"/>
      <c r="G127" s="835"/>
      <c r="H127" s="835"/>
      <c r="I127" s="835"/>
      <c r="J127" s="835"/>
      <c r="K127" s="835"/>
      <c r="L127" s="835"/>
      <c r="M127" s="835"/>
      <c r="N127" s="835"/>
      <c r="O127" s="835">
        <v>2493</v>
      </c>
      <c r="P127" s="835"/>
      <c r="Q127" s="835"/>
      <c r="R127" s="835"/>
      <c r="S127" s="835"/>
      <c r="T127" s="835"/>
      <c r="U127" s="835"/>
      <c r="V127" s="835"/>
      <c r="W127" s="835"/>
      <c r="X127" s="835"/>
      <c r="Y127" s="835"/>
      <c r="Z127" s="835"/>
      <c r="AA127" s="835"/>
      <c r="AB127" s="835"/>
      <c r="AC127" s="835"/>
      <c r="AD127" s="835"/>
      <c r="AE127" s="835"/>
      <c r="AF127" s="835"/>
    </row>
    <row r="128" spans="2:62">
      <c r="B128" s="835">
        <v>712</v>
      </c>
      <c r="C128" s="835"/>
      <c r="D128" s="835">
        <v>2465</v>
      </c>
      <c r="E128" s="835">
        <v>2464</v>
      </c>
      <c r="F128" s="835"/>
      <c r="G128" s="835"/>
      <c r="H128" s="835"/>
      <c r="I128" s="835"/>
      <c r="J128" s="835"/>
      <c r="K128" s="835"/>
      <c r="L128" s="835">
        <v>2554</v>
      </c>
      <c r="M128" s="835"/>
      <c r="N128" s="835">
        <v>2252</v>
      </c>
      <c r="O128" s="835">
        <v>2402.6666666666665</v>
      </c>
      <c r="P128" s="835"/>
      <c r="Q128" s="835">
        <v>2639</v>
      </c>
      <c r="R128" s="835">
        <v>2388.75</v>
      </c>
      <c r="S128" s="835">
        <v>2349</v>
      </c>
      <c r="T128" s="835">
        <v>2314</v>
      </c>
      <c r="U128" s="835">
        <v>2252</v>
      </c>
      <c r="V128" s="835"/>
      <c r="W128" s="835">
        <v>2655</v>
      </c>
      <c r="X128" s="835">
        <v>2311</v>
      </c>
      <c r="Y128" s="835"/>
      <c r="Z128" s="835"/>
      <c r="AA128" s="835"/>
      <c r="AB128" s="835"/>
      <c r="AC128" s="835"/>
      <c r="AD128" s="835">
        <v>2346</v>
      </c>
      <c r="AE128" s="835"/>
      <c r="AF128" s="835"/>
    </row>
    <row r="129" spans="2:62">
      <c r="B129" s="835">
        <v>715</v>
      </c>
      <c r="C129" s="835"/>
      <c r="D129" s="835">
        <v>2211</v>
      </c>
      <c r="E129" s="835"/>
      <c r="F129" s="835"/>
      <c r="G129" s="835"/>
      <c r="H129" s="835"/>
      <c r="I129" s="835"/>
      <c r="J129" s="835"/>
      <c r="K129" s="835"/>
      <c r="L129" s="835">
        <v>2433.3333333333335</v>
      </c>
      <c r="M129" s="835">
        <v>2373</v>
      </c>
      <c r="N129" s="835">
        <v>2321.6666666666665</v>
      </c>
      <c r="O129" s="835"/>
      <c r="P129" s="835">
        <v>2565</v>
      </c>
      <c r="Q129" s="835">
        <v>2380</v>
      </c>
      <c r="R129" s="835"/>
      <c r="S129" s="835"/>
      <c r="T129" s="835">
        <v>2176.6666666666665</v>
      </c>
      <c r="U129" s="835">
        <v>2187.25</v>
      </c>
      <c r="V129" s="835"/>
      <c r="W129" s="835"/>
      <c r="X129" s="835"/>
      <c r="Y129" s="835"/>
      <c r="Z129" s="835"/>
      <c r="AA129" s="835"/>
      <c r="AB129" s="835"/>
      <c r="AC129" s="835"/>
      <c r="AD129" s="835"/>
      <c r="AE129" s="835">
        <v>2488</v>
      </c>
      <c r="AF129" s="835"/>
    </row>
    <row r="130" spans="2:62">
      <c r="B130" s="835">
        <v>728</v>
      </c>
      <c r="C130" s="835"/>
      <c r="D130" s="835">
        <v>2351</v>
      </c>
      <c r="E130" s="835"/>
      <c r="F130" s="835"/>
      <c r="G130" s="835"/>
      <c r="H130" s="835"/>
      <c r="I130" s="835"/>
      <c r="J130" s="835"/>
      <c r="K130" s="835"/>
      <c r="L130" s="835"/>
      <c r="M130" s="835"/>
      <c r="N130" s="835"/>
      <c r="O130" s="835">
        <v>2208</v>
      </c>
      <c r="P130" s="835"/>
      <c r="Q130" s="835"/>
      <c r="R130" s="835">
        <v>2505</v>
      </c>
      <c r="S130" s="835"/>
      <c r="T130" s="835">
        <v>2110</v>
      </c>
      <c r="U130" s="835">
        <v>2159</v>
      </c>
      <c r="V130" s="835">
        <v>2298.6666666666665</v>
      </c>
      <c r="W130" s="835"/>
      <c r="X130" s="835"/>
      <c r="Y130" s="835"/>
      <c r="Z130" s="835"/>
      <c r="AA130" s="835"/>
      <c r="AB130" s="835"/>
      <c r="AC130" s="835"/>
      <c r="AD130" s="835"/>
      <c r="AE130" s="835"/>
      <c r="AF130" s="835"/>
    </row>
    <row r="131" spans="2:62">
      <c r="B131" s="837" t="s">
        <v>1209</v>
      </c>
      <c r="C131" s="835"/>
      <c r="D131" s="835"/>
      <c r="E131" s="835"/>
      <c r="F131" s="835"/>
      <c r="G131" s="835"/>
      <c r="H131" s="835"/>
      <c r="I131" s="835"/>
      <c r="J131" s="835"/>
      <c r="K131" s="835"/>
      <c r="L131" s="835"/>
      <c r="M131" s="835"/>
      <c r="N131" s="835"/>
      <c r="O131" s="835"/>
      <c r="P131" s="835"/>
      <c r="Q131" s="835"/>
      <c r="R131" s="835"/>
      <c r="S131" s="835"/>
      <c r="T131" s="835"/>
      <c r="U131" s="835"/>
      <c r="V131" s="835"/>
      <c r="W131" s="835"/>
      <c r="X131" s="835"/>
      <c r="Y131" s="835"/>
      <c r="Z131" s="835"/>
      <c r="AA131" s="835"/>
      <c r="AB131" s="835"/>
      <c r="AC131" s="835"/>
      <c r="AD131" s="835"/>
      <c r="AE131" s="835"/>
      <c r="AF131" s="835"/>
    </row>
    <row r="132" spans="2:62">
      <c r="B132" s="835">
        <v>715</v>
      </c>
      <c r="C132" s="835"/>
      <c r="D132" s="835"/>
      <c r="E132" s="835"/>
      <c r="F132" s="835">
        <v>2808</v>
      </c>
      <c r="G132" s="835"/>
      <c r="H132" s="835"/>
      <c r="I132" s="835"/>
      <c r="J132" s="835">
        <v>2454.6666666666665</v>
      </c>
      <c r="K132" s="835"/>
      <c r="L132" s="835">
        <v>2522.5</v>
      </c>
      <c r="M132" s="835">
        <v>2593</v>
      </c>
      <c r="N132" s="835">
        <v>2545</v>
      </c>
      <c r="O132" s="835">
        <v>2752</v>
      </c>
      <c r="P132" s="835">
        <v>2464</v>
      </c>
      <c r="Q132" s="835">
        <v>2565</v>
      </c>
      <c r="R132" s="835">
        <v>2516.5</v>
      </c>
      <c r="S132" s="835"/>
      <c r="T132" s="835">
        <v>2527</v>
      </c>
      <c r="U132" s="835">
        <v>2434</v>
      </c>
      <c r="V132" s="835"/>
      <c r="W132" s="835">
        <v>2545</v>
      </c>
      <c r="X132" s="835"/>
      <c r="Y132" s="835"/>
      <c r="Z132" s="835"/>
      <c r="AA132" s="835"/>
      <c r="AB132" s="835"/>
      <c r="AC132" s="835"/>
      <c r="AD132" s="835"/>
      <c r="AE132" s="835"/>
      <c r="AF132" s="835"/>
    </row>
    <row r="133" spans="2:62">
      <c r="B133" s="835">
        <v>728</v>
      </c>
      <c r="C133" s="835">
        <v>2741</v>
      </c>
      <c r="D133" s="835">
        <v>2706</v>
      </c>
      <c r="E133" s="835"/>
      <c r="F133" s="835"/>
      <c r="G133" s="835"/>
      <c r="H133" s="835"/>
      <c r="I133" s="835"/>
      <c r="J133" s="835"/>
      <c r="K133" s="835">
        <v>2665</v>
      </c>
      <c r="L133" s="835">
        <v>2775.5</v>
      </c>
      <c r="M133" s="835"/>
      <c r="N133" s="835">
        <v>2662</v>
      </c>
      <c r="O133" s="835">
        <v>2956</v>
      </c>
      <c r="P133" s="835">
        <v>2672.5555555555557</v>
      </c>
      <c r="Q133" s="835"/>
      <c r="R133" s="835">
        <v>2552.6666666666665</v>
      </c>
      <c r="S133" s="835">
        <v>2417</v>
      </c>
      <c r="T133" s="835">
        <v>2336</v>
      </c>
      <c r="U133" s="835">
        <v>2342</v>
      </c>
      <c r="V133" s="835">
        <v>2428.6666666666665</v>
      </c>
      <c r="W133" s="835">
        <v>2498</v>
      </c>
      <c r="X133" s="835"/>
      <c r="Y133" s="835"/>
      <c r="Z133" s="835"/>
      <c r="AA133" s="835"/>
      <c r="AB133" s="835"/>
      <c r="AC133" s="835"/>
      <c r="AD133" s="835"/>
      <c r="AE133" s="835"/>
      <c r="AF133" s="835"/>
    </row>
    <row r="134" spans="2:62">
      <c r="B134" s="835">
        <v>795</v>
      </c>
      <c r="C134" s="835">
        <v>2754</v>
      </c>
      <c r="D134" s="835"/>
      <c r="E134" s="835"/>
      <c r="F134" s="835">
        <v>2678</v>
      </c>
      <c r="G134" s="835">
        <v>2658</v>
      </c>
      <c r="H134" s="835"/>
      <c r="I134" s="835"/>
      <c r="J134" s="835"/>
      <c r="K134" s="835">
        <v>2460</v>
      </c>
      <c r="L134" s="835">
        <v>2793</v>
      </c>
      <c r="M134" s="835"/>
      <c r="N134" s="835">
        <v>2897.75</v>
      </c>
      <c r="O134" s="835">
        <v>2919.5</v>
      </c>
      <c r="P134" s="835">
        <v>2756</v>
      </c>
      <c r="Q134" s="835"/>
      <c r="R134" s="835"/>
      <c r="S134" s="835"/>
      <c r="T134" s="835">
        <v>2641</v>
      </c>
      <c r="U134" s="835">
        <v>2512.6666666666665</v>
      </c>
      <c r="V134" s="835"/>
      <c r="W134" s="835"/>
      <c r="X134" s="835"/>
      <c r="Y134" s="835"/>
      <c r="Z134" s="835"/>
      <c r="AA134" s="835"/>
      <c r="AB134" s="835"/>
      <c r="AC134" s="835"/>
      <c r="AD134" s="835"/>
      <c r="AE134" s="835"/>
      <c r="AF134" s="835"/>
    </row>
    <row r="135" spans="2:62">
      <c r="B135" s="835">
        <v>808</v>
      </c>
      <c r="C135" s="835"/>
      <c r="D135" s="835"/>
      <c r="E135" s="835"/>
      <c r="F135" s="835"/>
      <c r="G135" s="835"/>
      <c r="H135" s="835"/>
      <c r="I135" s="835"/>
      <c r="J135" s="835"/>
      <c r="K135" s="835"/>
      <c r="L135" s="835"/>
      <c r="M135" s="835"/>
      <c r="N135" s="835"/>
      <c r="O135" s="835"/>
      <c r="P135" s="835"/>
      <c r="Q135" s="835"/>
      <c r="R135" s="835"/>
      <c r="S135" s="835"/>
      <c r="T135" s="835">
        <v>2307</v>
      </c>
      <c r="U135" s="835"/>
      <c r="V135" s="835"/>
      <c r="W135" s="835"/>
      <c r="X135" s="835"/>
      <c r="Y135" s="835"/>
      <c r="Z135" s="835"/>
      <c r="AA135" s="835"/>
      <c r="AB135" s="835"/>
      <c r="AC135" s="835"/>
      <c r="AD135" s="835"/>
      <c r="AE135" s="835"/>
      <c r="AF135" s="835"/>
    </row>
    <row r="136" spans="2:62">
      <c r="B136" s="835">
        <v>812</v>
      </c>
      <c r="C136" s="835"/>
      <c r="D136" s="835"/>
      <c r="E136" s="835"/>
      <c r="F136" s="835"/>
      <c r="G136" s="835">
        <v>2720</v>
      </c>
      <c r="H136" s="835"/>
      <c r="I136" s="835"/>
      <c r="J136" s="835"/>
      <c r="K136" s="835">
        <v>2526</v>
      </c>
      <c r="L136" s="835"/>
      <c r="M136" s="835">
        <v>2689</v>
      </c>
      <c r="N136" s="835"/>
      <c r="O136" s="835"/>
      <c r="P136" s="835">
        <v>2621</v>
      </c>
      <c r="Q136" s="835"/>
      <c r="R136" s="835">
        <v>2525</v>
      </c>
      <c r="S136" s="835"/>
      <c r="T136" s="835">
        <v>2535</v>
      </c>
      <c r="U136" s="835"/>
      <c r="V136" s="835"/>
      <c r="W136" s="835">
        <v>2862</v>
      </c>
      <c r="X136" s="835"/>
      <c r="Y136" s="835"/>
      <c r="Z136" s="835"/>
      <c r="AA136" s="835"/>
      <c r="AB136" s="835"/>
      <c r="AC136" s="835"/>
      <c r="AD136" s="835"/>
      <c r="AE136" s="835"/>
      <c r="AF136" s="835"/>
    </row>
    <row r="137" spans="2:62">
      <c r="B137" s="835">
        <v>813</v>
      </c>
      <c r="C137" s="835"/>
      <c r="D137" s="835">
        <v>2853</v>
      </c>
      <c r="E137" s="835"/>
      <c r="F137" s="835"/>
      <c r="G137" s="835"/>
      <c r="H137" s="835"/>
      <c r="I137" s="835"/>
      <c r="J137" s="835"/>
      <c r="K137" s="835"/>
      <c r="L137" s="835">
        <v>2897</v>
      </c>
      <c r="M137" s="835">
        <v>3199</v>
      </c>
      <c r="N137" s="835">
        <v>2784</v>
      </c>
      <c r="O137" s="835">
        <v>2902.5</v>
      </c>
      <c r="P137" s="835">
        <v>2845.5</v>
      </c>
      <c r="Q137" s="835"/>
      <c r="R137" s="835"/>
      <c r="S137" s="835">
        <v>2866</v>
      </c>
      <c r="T137" s="835"/>
      <c r="U137" s="835">
        <v>2766</v>
      </c>
      <c r="V137" s="835">
        <v>2765.5</v>
      </c>
      <c r="W137" s="835"/>
      <c r="X137" s="835"/>
      <c r="Y137" s="835"/>
      <c r="Z137" s="835"/>
      <c r="AA137" s="835"/>
      <c r="AB137" s="835"/>
      <c r="AC137" s="835"/>
      <c r="AD137" s="835"/>
      <c r="AE137" s="835"/>
      <c r="AF137" s="835"/>
    </row>
    <row r="138" spans="2:62">
      <c r="B138" s="835">
        <v>816</v>
      </c>
      <c r="C138" s="835"/>
      <c r="D138" s="835">
        <v>2823</v>
      </c>
      <c r="E138" s="835"/>
      <c r="F138" s="835"/>
      <c r="G138" s="835"/>
      <c r="H138" s="835"/>
      <c r="I138" s="835"/>
      <c r="J138" s="835">
        <v>2366</v>
      </c>
      <c r="K138" s="835">
        <v>2637.5</v>
      </c>
      <c r="L138" s="835"/>
      <c r="M138" s="835">
        <v>2464</v>
      </c>
      <c r="N138" s="835"/>
      <c r="O138" s="835">
        <v>2589</v>
      </c>
      <c r="P138" s="835"/>
      <c r="Q138" s="835"/>
      <c r="R138" s="835"/>
      <c r="S138" s="835"/>
      <c r="T138" s="835"/>
      <c r="U138" s="835"/>
      <c r="V138" s="835">
        <v>2647</v>
      </c>
      <c r="W138" s="835"/>
      <c r="X138" s="835"/>
      <c r="Y138" s="835"/>
      <c r="Z138" s="835"/>
      <c r="AA138" s="835"/>
      <c r="AB138" s="835"/>
      <c r="AC138" s="835"/>
      <c r="AD138" s="835"/>
      <c r="AE138" s="835"/>
      <c r="AF138" s="835"/>
    </row>
    <row r="139" spans="2:62">
      <c r="B139" s="835">
        <v>819</v>
      </c>
      <c r="C139" s="835"/>
      <c r="D139" s="835"/>
      <c r="E139" s="835"/>
      <c r="F139" s="835"/>
      <c r="G139" s="835"/>
      <c r="H139" s="835"/>
      <c r="I139" s="835"/>
      <c r="J139" s="835"/>
      <c r="K139" s="835"/>
      <c r="L139" s="835"/>
      <c r="M139" s="835"/>
      <c r="N139" s="835">
        <v>3036</v>
      </c>
      <c r="O139" s="835"/>
      <c r="P139" s="835"/>
      <c r="Q139" s="835"/>
      <c r="R139" s="835"/>
      <c r="S139" s="835"/>
      <c r="T139" s="835"/>
      <c r="U139" s="835"/>
      <c r="V139" s="835"/>
      <c r="W139" s="835"/>
      <c r="X139" s="835"/>
      <c r="Y139" s="835"/>
      <c r="Z139" s="835"/>
      <c r="AA139" s="835"/>
      <c r="AB139" s="835"/>
      <c r="AC139" s="835"/>
      <c r="AD139" s="835"/>
      <c r="AE139" s="835"/>
      <c r="AF139" s="835"/>
    </row>
    <row r="140" spans="2:62">
      <c r="B140" s="835">
        <v>822</v>
      </c>
      <c r="C140" s="835"/>
      <c r="D140" s="835">
        <v>2903</v>
      </c>
      <c r="E140" s="835"/>
      <c r="F140" s="835"/>
      <c r="G140" s="835"/>
      <c r="H140" s="835"/>
      <c r="I140" s="835"/>
      <c r="J140" s="835"/>
      <c r="K140" s="835"/>
      <c r="L140" s="835">
        <v>2623.5</v>
      </c>
      <c r="M140" s="835">
        <v>2821</v>
      </c>
      <c r="N140" s="835">
        <v>2604</v>
      </c>
      <c r="O140" s="835">
        <v>2953</v>
      </c>
      <c r="P140" s="835">
        <v>2681</v>
      </c>
      <c r="Q140" s="835">
        <v>2838</v>
      </c>
      <c r="R140" s="835"/>
      <c r="S140" s="835">
        <v>2545</v>
      </c>
      <c r="T140" s="835">
        <v>2612</v>
      </c>
      <c r="U140" s="835"/>
      <c r="V140" s="835"/>
      <c r="W140" s="835"/>
      <c r="X140" s="835"/>
      <c r="Y140" s="835"/>
      <c r="Z140" s="835"/>
      <c r="AA140" s="835"/>
      <c r="AB140" s="835"/>
      <c r="AC140" s="835"/>
      <c r="AD140" s="835"/>
      <c r="AE140" s="835"/>
      <c r="AF140" s="835">
        <v>2427</v>
      </c>
    </row>
    <row r="141" spans="2:62">
      <c r="B141" s="835">
        <v>835</v>
      </c>
      <c r="C141" s="835">
        <v>2898</v>
      </c>
      <c r="D141" s="835"/>
      <c r="E141" s="835"/>
      <c r="F141" s="835"/>
      <c r="G141" s="835"/>
      <c r="H141" s="835"/>
      <c r="I141" s="835"/>
      <c r="J141" s="835"/>
      <c r="K141" s="835"/>
      <c r="L141" s="835"/>
      <c r="M141" s="835">
        <v>2893</v>
      </c>
      <c r="N141" s="835"/>
      <c r="O141" s="835"/>
      <c r="P141" s="835">
        <v>2667</v>
      </c>
      <c r="Q141" s="835"/>
      <c r="R141" s="835">
        <v>2756</v>
      </c>
      <c r="S141" s="835"/>
      <c r="T141" s="835">
        <v>2720</v>
      </c>
      <c r="U141" s="835"/>
      <c r="V141" s="835"/>
      <c r="W141" s="835"/>
      <c r="X141" s="835"/>
      <c r="Y141" s="835"/>
      <c r="Z141" s="835"/>
      <c r="AA141" s="835"/>
      <c r="AB141" s="835"/>
      <c r="AC141" s="835"/>
      <c r="AD141" s="835"/>
      <c r="AE141" s="835"/>
      <c r="AF141" s="835"/>
    </row>
    <row r="142" spans="2:62">
      <c r="B142" s="835">
        <v>850</v>
      </c>
      <c r="C142" s="835">
        <v>2981.6666666666665</v>
      </c>
      <c r="D142" s="835">
        <v>2824</v>
      </c>
      <c r="E142" s="835"/>
      <c r="F142" s="835">
        <v>2836</v>
      </c>
      <c r="G142" s="835"/>
      <c r="H142" s="835"/>
      <c r="I142" s="835"/>
      <c r="J142" s="835"/>
      <c r="K142" s="835">
        <v>2718</v>
      </c>
      <c r="L142" s="835">
        <v>2678</v>
      </c>
      <c r="M142" s="835">
        <v>2852</v>
      </c>
      <c r="N142" s="835"/>
      <c r="O142" s="835"/>
      <c r="P142" s="835"/>
      <c r="Q142" s="835">
        <v>2711</v>
      </c>
      <c r="R142" s="835">
        <v>2791</v>
      </c>
      <c r="S142" s="835"/>
      <c r="T142" s="835">
        <v>2480</v>
      </c>
      <c r="U142" s="835">
        <v>2583</v>
      </c>
      <c r="V142" s="835"/>
      <c r="W142" s="835"/>
      <c r="X142" s="835"/>
      <c r="Y142" s="835"/>
      <c r="Z142" s="835"/>
      <c r="AA142" s="835"/>
      <c r="AB142" s="835"/>
      <c r="AC142" s="835"/>
      <c r="AD142" s="835"/>
      <c r="AE142" s="835"/>
      <c r="AF142" s="835"/>
    </row>
    <row r="143" spans="2:62">
      <c r="B143" s="835">
        <v>855</v>
      </c>
      <c r="C143" s="835">
        <v>2764</v>
      </c>
      <c r="D143" s="835">
        <v>2804</v>
      </c>
      <c r="E143" s="835"/>
      <c r="F143" s="835"/>
      <c r="G143" s="835"/>
      <c r="H143" s="835"/>
      <c r="I143" s="835"/>
      <c r="J143" s="835"/>
      <c r="K143" s="835"/>
      <c r="L143" s="835">
        <v>2747</v>
      </c>
      <c r="M143" s="835">
        <v>2914</v>
      </c>
      <c r="N143" s="835">
        <v>2911.5</v>
      </c>
      <c r="O143" s="835">
        <v>2849</v>
      </c>
      <c r="P143" s="835">
        <v>2854</v>
      </c>
      <c r="Q143" s="835"/>
      <c r="R143" s="835">
        <v>2733</v>
      </c>
      <c r="S143" s="835"/>
      <c r="T143" s="835"/>
      <c r="U143" s="835">
        <v>2642</v>
      </c>
      <c r="V143" s="835">
        <v>2913.5</v>
      </c>
      <c r="W143" s="835"/>
      <c r="X143" s="835"/>
      <c r="Y143" s="835"/>
      <c r="Z143" s="835"/>
      <c r="AA143" s="835"/>
      <c r="AB143" s="835"/>
      <c r="AC143" s="835"/>
      <c r="AD143" s="835"/>
      <c r="AE143" s="835"/>
      <c r="AF143" s="835"/>
    </row>
    <row r="144" spans="2:62">
      <c r="B144" s="835">
        <v>861</v>
      </c>
      <c r="C144" s="835"/>
      <c r="D144" s="835"/>
      <c r="E144" s="835"/>
      <c r="F144" s="835"/>
      <c r="G144" s="835"/>
      <c r="H144" s="835"/>
      <c r="I144" s="835"/>
      <c r="J144" s="835"/>
      <c r="K144" s="835"/>
      <c r="L144" s="835">
        <v>2788</v>
      </c>
      <c r="M144" s="835"/>
      <c r="N144" s="835">
        <v>2837</v>
      </c>
      <c r="O144" s="835"/>
      <c r="P144" s="835">
        <v>2686</v>
      </c>
      <c r="Q144" s="835"/>
      <c r="R144" s="835"/>
      <c r="S144" s="835"/>
      <c r="T144" s="835">
        <v>2586</v>
      </c>
      <c r="U144" s="835">
        <v>2537.5</v>
      </c>
      <c r="V144" s="835"/>
      <c r="W144" s="835">
        <v>2698</v>
      </c>
      <c r="X144" s="835"/>
      <c r="Y144" s="835"/>
      <c r="Z144" s="835"/>
      <c r="AA144" s="835"/>
      <c r="AB144" s="835"/>
      <c r="AC144" s="835"/>
      <c r="AD144" s="835"/>
      <c r="AE144" s="835"/>
      <c r="AF144" s="835"/>
    </row>
    <row r="145" spans="2:62">
      <c r="B145" s="835">
        <v>873</v>
      </c>
      <c r="C145" s="835">
        <v>3048</v>
      </c>
      <c r="D145" s="835"/>
      <c r="E145" s="835"/>
      <c r="F145" s="835"/>
      <c r="G145" s="835"/>
      <c r="H145" s="835"/>
      <c r="I145" s="835"/>
      <c r="J145" s="835"/>
      <c r="K145" s="835">
        <v>2670</v>
      </c>
      <c r="L145" s="835"/>
      <c r="M145" s="835"/>
      <c r="N145" s="835"/>
      <c r="O145" s="835"/>
      <c r="P145" s="835"/>
      <c r="Q145" s="835"/>
      <c r="R145" s="835"/>
      <c r="S145" s="835">
        <v>2619</v>
      </c>
      <c r="T145" s="835">
        <v>2421</v>
      </c>
      <c r="U145" s="835">
        <v>2606</v>
      </c>
      <c r="V145" s="835"/>
      <c r="W145" s="835"/>
      <c r="X145" s="835"/>
      <c r="Y145" s="835"/>
      <c r="Z145" s="835"/>
      <c r="AA145" s="835"/>
      <c r="AB145" s="835"/>
      <c r="AC145" s="835"/>
      <c r="AD145" s="835"/>
      <c r="AE145" s="835"/>
      <c r="AF145" s="835"/>
    </row>
    <row r="146" spans="2:62">
      <c r="B146" s="835">
        <v>885</v>
      </c>
      <c r="C146" s="835"/>
      <c r="D146" s="835"/>
      <c r="E146" s="835"/>
      <c r="F146" s="835"/>
      <c r="G146" s="835"/>
      <c r="H146" s="835"/>
      <c r="I146" s="835"/>
      <c r="J146" s="835"/>
      <c r="K146" s="835"/>
      <c r="L146" s="835"/>
      <c r="M146" s="835"/>
      <c r="N146" s="835">
        <v>2550</v>
      </c>
      <c r="O146" s="835"/>
      <c r="P146" s="835"/>
      <c r="Q146" s="835"/>
      <c r="R146" s="835">
        <v>2795</v>
      </c>
      <c r="S146" s="835"/>
      <c r="T146" s="835"/>
      <c r="U146" s="835">
        <v>2541.5</v>
      </c>
      <c r="V146" s="835"/>
      <c r="W146" s="835"/>
      <c r="X146" s="835"/>
      <c r="Y146" s="835"/>
      <c r="Z146" s="835"/>
      <c r="AA146" s="835"/>
      <c r="AB146" s="835"/>
      <c r="AC146" s="835"/>
      <c r="AD146" s="835"/>
      <c r="AE146" s="835"/>
      <c r="AF146" s="835"/>
    </row>
    <row r="147" spans="2:62">
      <c r="B147" s="835">
        <v>904</v>
      </c>
      <c r="C147" s="835"/>
      <c r="D147" s="835"/>
      <c r="E147" s="835"/>
      <c r="F147" s="835"/>
      <c r="G147" s="835"/>
      <c r="H147" s="835"/>
      <c r="I147" s="835"/>
      <c r="J147" s="835"/>
      <c r="K147" s="835"/>
      <c r="L147" s="835">
        <v>3139</v>
      </c>
      <c r="M147" s="835">
        <v>2932</v>
      </c>
      <c r="N147" s="835"/>
      <c r="O147" s="835"/>
      <c r="P147" s="835">
        <v>2690</v>
      </c>
      <c r="Q147" s="835"/>
      <c r="R147" s="835"/>
      <c r="S147" s="835"/>
      <c r="T147" s="835"/>
      <c r="U147" s="835"/>
      <c r="V147" s="835">
        <v>2774.5</v>
      </c>
      <c r="W147" s="835"/>
      <c r="X147" s="835"/>
      <c r="Y147" s="835"/>
      <c r="Z147" s="835"/>
      <c r="AA147" s="835"/>
      <c r="AB147" s="835"/>
      <c r="AC147" s="835"/>
      <c r="AD147" s="835"/>
      <c r="AE147" s="835"/>
      <c r="AF147" s="835"/>
    </row>
    <row r="148" spans="2:62">
      <c r="B148" s="835">
        <v>906</v>
      </c>
      <c r="C148" s="835">
        <v>2814</v>
      </c>
      <c r="D148" s="835"/>
      <c r="E148" s="835"/>
      <c r="F148" s="835"/>
      <c r="G148" s="835"/>
      <c r="H148" s="835"/>
      <c r="I148" s="835"/>
      <c r="J148" s="835"/>
      <c r="K148" s="835"/>
      <c r="L148" s="835"/>
      <c r="M148" s="835"/>
      <c r="N148" s="835"/>
      <c r="O148" s="835"/>
      <c r="P148" s="835">
        <v>2927.5</v>
      </c>
      <c r="Q148" s="835"/>
      <c r="R148" s="835">
        <v>2811</v>
      </c>
      <c r="S148" s="835"/>
      <c r="T148" s="835"/>
      <c r="U148" s="835"/>
      <c r="V148" s="835">
        <v>2799</v>
      </c>
      <c r="W148" s="835"/>
      <c r="X148" s="835"/>
      <c r="Y148" s="835"/>
      <c r="Z148" s="835"/>
      <c r="AA148" s="835"/>
      <c r="AB148" s="835"/>
      <c r="AC148" s="835"/>
      <c r="AD148" s="835"/>
      <c r="AE148" s="835"/>
      <c r="AF148" s="835"/>
    </row>
    <row r="149" spans="2:62">
      <c r="B149" s="837" t="s">
        <v>270</v>
      </c>
      <c r="C149" s="835"/>
      <c r="D149" s="835"/>
      <c r="E149" s="835"/>
      <c r="F149" s="835"/>
      <c r="G149" s="835"/>
      <c r="H149" s="835"/>
      <c r="I149" s="835"/>
      <c r="J149" s="835"/>
      <c r="K149" s="835"/>
      <c r="L149" s="835"/>
      <c r="M149" s="835"/>
      <c r="N149" s="835"/>
      <c r="O149" s="835"/>
      <c r="P149" s="835"/>
      <c r="Q149" s="835"/>
      <c r="R149" s="835"/>
      <c r="S149" s="835"/>
      <c r="T149" s="835"/>
      <c r="U149" s="835"/>
      <c r="V149" s="835"/>
      <c r="W149" s="835"/>
      <c r="X149" s="835"/>
      <c r="Y149" s="835"/>
      <c r="Z149" s="835"/>
      <c r="AA149" s="835"/>
      <c r="AB149" s="835"/>
      <c r="AC149" s="835"/>
      <c r="AD149" s="835"/>
      <c r="AE149" s="835"/>
      <c r="AF149" s="835"/>
    </row>
    <row r="150" spans="2:62">
      <c r="B150" s="835">
        <v>1228</v>
      </c>
      <c r="C150" s="835"/>
      <c r="D150" s="835">
        <v>4234</v>
      </c>
      <c r="E150" s="835">
        <v>4162</v>
      </c>
      <c r="F150" s="835"/>
      <c r="G150" s="835"/>
      <c r="H150" s="835"/>
      <c r="I150" s="835"/>
      <c r="J150" s="835"/>
      <c r="K150" s="835"/>
      <c r="L150" s="835">
        <v>3869</v>
      </c>
      <c r="M150" s="835"/>
      <c r="N150" s="835">
        <v>3784</v>
      </c>
      <c r="O150" s="835">
        <v>3767.5</v>
      </c>
      <c r="P150" s="835">
        <v>3857</v>
      </c>
      <c r="Q150" s="835">
        <v>3986.5</v>
      </c>
      <c r="R150" s="835">
        <v>3868.5</v>
      </c>
      <c r="S150" s="835"/>
      <c r="T150" s="835"/>
      <c r="U150" s="835">
        <v>3723.5</v>
      </c>
      <c r="V150" s="835">
        <v>3820.3333333333335</v>
      </c>
      <c r="W150" s="835"/>
      <c r="X150" s="835"/>
      <c r="Y150" s="835"/>
      <c r="Z150" s="835"/>
      <c r="AA150" s="835"/>
      <c r="AB150" s="835"/>
      <c r="AC150" s="835"/>
      <c r="AD150" s="835"/>
      <c r="AE150" s="835"/>
      <c r="AF150" s="835"/>
    </row>
    <row r="151" spans="2:62">
      <c r="B151" s="835">
        <v>1248</v>
      </c>
      <c r="C151" s="835">
        <v>4593</v>
      </c>
      <c r="D151" s="835"/>
      <c r="E151" s="835">
        <v>3895</v>
      </c>
      <c r="F151" s="835"/>
      <c r="G151" s="835"/>
      <c r="H151" s="835"/>
      <c r="I151" s="835"/>
      <c r="J151" s="835"/>
      <c r="K151" s="835"/>
      <c r="L151" s="835"/>
      <c r="M151" s="835"/>
      <c r="N151" s="835">
        <v>3602.5</v>
      </c>
      <c r="O151" s="835">
        <v>3760.3333333333335</v>
      </c>
      <c r="P151" s="835">
        <v>3774</v>
      </c>
      <c r="Q151" s="835">
        <v>3979.25</v>
      </c>
      <c r="R151" s="835">
        <v>3611</v>
      </c>
      <c r="S151" s="835">
        <v>3754</v>
      </c>
      <c r="T151" s="835">
        <v>3583</v>
      </c>
      <c r="U151" s="835">
        <v>3595</v>
      </c>
      <c r="V151" s="835"/>
      <c r="W151" s="835"/>
      <c r="X151" s="835"/>
      <c r="Y151" s="835"/>
      <c r="Z151" s="835"/>
      <c r="AA151" s="835"/>
      <c r="AB151" s="835"/>
      <c r="AC151" s="835"/>
      <c r="AD151" s="835"/>
      <c r="AE151" s="835"/>
      <c r="AF151" s="835"/>
    </row>
    <row r="152" spans="2:62">
      <c r="B152" s="835">
        <v>1289</v>
      </c>
      <c r="C152" s="835"/>
      <c r="D152" s="835"/>
      <c r="E152" s="835">
        <v>3677</v>
      </c>
      <c r="F152" s="835"/>
      <c r="G152" s="835"/>
      <c r="H152" s="835"/>
      <c r="I152" s="835"/>
      <c r="J152" s="835"/>
      <c r="K152" s="835">
        <v>3875</v>
      </c>
      <c r="L152" s="835"/>
      <c r="M152" s="835"/>
      <c r="N152" s="835">
        <v>3982</v>
      </c>
      <c r="O152" s="835"/>
      <c r="P152" s="835">
        <v>3854</v>
      </c>
      <c r="Q152" s="835"/>
      <c r="R152" s="835">
        <v>3688</v>
      </c>
      <c r="S152" s="835"/>
      <c r="T152" s="835">
        <v>3855</v>
      </c>
      <c r="U152" s="835"/>
      <c r="V152" s="835"/>
      <c r="W152" s="835"/>
      <c r="X152" s="835"/>
      <c r="Y152" s="835"/>
      <c r="Z152" s="835"/>
      <c r="AA152" s="835"/>
      <c r="AB152" s="835"/>
      <c r="AC152" s="835"/>
      <c r="AD152" s="835"/>
      <c r="AE152" s="835"/>
      <c r="AF152" s="835"/>
    </row>
    <row r="153" spans="2:62">
      <c r="B153" s="835">
        <v>1301</v>
      </c>
      <c r="C153" s="835">
        <v>4093</v>
      </c>
      <c r="D153" s="835"/>
      <c r="E153" s="835"/>
      <c r="F153" s="835"/>
      <c r="G153" s="835"/>
      <c r="H153" s="835"/>
      <c r="I153" s="835"/>
      <c r="J153" s="835"/>
      <c r="K153" s="835"/>
      <c r="L153" s="835"/>
      <c r="M153" s="835"/>
      <c r="N153" s="835"/>
      <c r="O153" s="835"/>
      <c r="P153" s="835"/>
      <c r="Q153" s="835">
        <v>3777</v>
      </c>
      <c r="R153" s="835"/>
      <c r="S153" s="835">
        <v>3735</v>
      </c>
      <c r="T153" s="835">
        <v>3471</v>
      </c>
      <c r="U153" s="835">
        <v>3530</v>
      </c>
      <c r="V153" s="835">
        <v>4019</v>
      </c>
      <c r="W153" s="835"/>
      <c r="X153" s="835"/>
      <c r="Y153" s="835"/>
      <c r="Z153" s="835"/>
      <c r="AA153" s="835"/>
      <c r="AB153" s="835"/>
      <c r="AC153" s="835"/>
      <c r="AD153" s="835"/>
      <c r="AE153" s="835"/>
      <c r="AF153" s="835"/>
    </row>
    <row r="154" spans="2:62">
      <c r="B154" s="835">
        <v>1305</v>
      </c>
      <c r="C154" s="835"/>
      <c r="D154" s="835"/>
      <c r="E154" s="835">
        <v>3719</v>
      </c>
      <c r="F154" s="835"/>
      <c r="G154" s="835"/>
      <c r="H154" s="835"/>
      <c r="I154" s="835"/>
      <c r="J154" s="835">
        <v>3874</v>
      </c>
      <c r="K154" s="835"/>
      <c r="L154" s="835"/>
      <c r="M154" s="835">
        <v>3870</v>
      </c>
      <c r="N154" s="835"/>
      <c r="O154" s="835">
        <v>3996</v>
      </c>
      <c r="P154" s="835">
        <v>3769</v>
      </c>
      <c r="Q154" s="835"/>
      <c r="R154" s="835"/>
      <c r="S154" s="835"/>
      <c r="T154" s="835"/>
      <c r="U154" s="835">
        <v>4309</v>
      </c>
      <c r="V154" s="835">
        <v>3962.5</v>
      </c>
      <c r="W154" s="835"/>
      <c r="X154" s="835"/>
      <c r="Y154" s="835"/>
      <c r="Z154" s="835"/>
      <c r="AA154" s="835"/>
      <c r="AB154" s="835"/>
      <c r="AC154" s="835"/>
      <c r="AD154" s="835"/>
      <c r="AE154" s="835"/>
      <c r="AF154" s="835"/>
    </row>
    <row r="155" spans="2:62">
      <c r="B155" s="835">
        <v>1315</v>
      </c>
      <c r="C155" s="835"/>
      <c r="D155" s="835"/>
      <c r="E155" s="835">
        <v>3826</v>
      </c>
      <c r="F155" s="835"/>
      <c r="G155" s="835"/>
      <c r="H155" s="835"/>
      <c r="I155" s="835"/>
      <c r="J155" s="835">
        <v>3854</v>
      </c>
      <c r="K155" s="835">
        <v>4115</v>
      </c>
      <c r="L155" s="835"/>
      <c r="M155" s="835">
        <v>4206</v>
      </c>
      <c r="N155" s="835">
        <v>3639</v>
      </c>
      <c r="O155" s="835"/>
      <c r="P155" s="835">
        <v>3820.5</v>
      </c>
      <c r="Q155" s="835"/>
      <c r="R155" s="835"/>
      <c r="S155" s="835"/>
      <c r="T155" s="835">
        <v>3542</v>
      </c>
      <c r="U155" s="835"/>
      <c r="V155" s="835"/>
      <c r="W155" s="835"/>
      <c r="X155" s="835"/>
      <c r="Y155" s="835"/>
      <c r="Z155" s="835"/>
      <c r="AA155" s="835"/>
      <c r="AB155" s="835"/>
      <c r="AC155" s="835"/>
      <c r="AD155" s="835"/>
      <c r="AE155" s="835"/>
      <c r="AF155" s="835"/>
    </row>
    <row r="156" spans="2:62">
      <c r="B156" s="835">
        <v>1337</v>
      </c>
      <c r="C156" s="835"/>
      <c r="D156" s="835"/>
      <c r="E156" s="835">
        <v>3941</v>
      </c>
      <c r="F156" s="835"/>
      <c r="G156" s="835"/>
      <c r="H156" s="835"/>
      <c r="I156" s="835"/>
      <c r="J156" s="835"/>
      <c r="K156" s="835">
        <v>3885</v>
      </c>
      <c r="L156" s="835"/>
      <c r="M156" s="835"/>
      <c r="N156" s="835"/>
      <c r="O156" s="835">
        <v>3812</v>
      </c>
      <c r="P156" s="835"/>
      <c r="Q156" s="835">
        <v>3788</v>
      </c>
      <c r="R156" s="835"/>
      <c r="S156" s="835"/>
      <c r="T156" s="835">
        <v>3951</v>
      </c>
      <c r="U156" s="835"/>
      <c r="V156" s="835"/>
      <c r="W156" s="835"/>
      <c r="X156" s="835"/>
      <c r="Y156" s="835"/>
      <c r="Z156" s="835"/>
      <c r="AA156" s="835"/>
      <c r="AB156" s="835"/>
      <c r="AC156" s="835"/>
      <c r="AD156" s="835"/>
      <c r="AE156" s="835"/>
      <c r="AF156" s="835"/>
    </row>
    <row r="157" spans="2:62">
      <c r="B157" s="835">
        <v>1358</v>
      </c>
      <c r="C157" s="835"/>
      <c r="D157" s="835"/>
      <c r="E157" s="835"/>
      <c r="F157" s="835"/>
      <c r="G157" s="835"/>
      <c r="H157" s="835"/>
      <c r="I157" s="835"/>
      <c r="J157" s="835"/>
      <c r="K157" s="835">
        <v>4227</v>
      </c>
      <c r="L157" s="835">
        <v>4084</v>
      </c>
      <c r="M157" s="835"/>
      <c r="N157" s="835"/>
      <c r="O157" s="835">
        <v>4514</v>
      </c>
      <c r="P157" s="835"/>
      <c r="Q157" s="835"/>
      <c r="R157" s="835"/>
      <c r="S157" s="835"/>
      <c r="T157" s="835"/>
      <c r="U157" s="835">
        <v>3679</v>
      </c>
      <c r="V157" s="835">
        <v>4106</v>
      </c>
      <c r="W157" s="835"/>
      <c r="X157" s="835"/>
      <c r="Y157" s="835"/>
      <c r="Z157" s="835"/>
      <c r="AA157" s="835"/>
      <c r="AB157" s="835"/>
      <c r="AC157" s="835"/>
      <c r="AD157" s="835"/>
      <c r="AE157" s="835"/>
      <c r="AF157" s="835"/>
    </row>
    <row r="158" spans="2:62">
      <c r="B158" s="835">
        <v>1363</v>
      </c>
      <c r="C158" s="835"/>
      <c r="D158" s="835"/>
      <c r="E158" s="835"/>
      <c r="F158" s="835"/>
      <c r="G158" s="835"/>
      <c r="H158" s="835"/>
      <c r="I158" s="835"/>
      <c r="J158" s="835"/>
      <c r="K158" s="835"/>
      <c r="L158" s="835"/>
      <c r="M158" s="835"/>
      <c r="N158" s="835"/>
      <c r="O158" s="835"/>
      <c r="P158" s="835"/>
      <c r="Q158" s="835"/>
      <c r="R158" s="835">
        <v>3625</v>
      </c>
      <c r="S158" s="835"/>
      <c r="T158" s="835"/>
      <c r="U158" s="835"/>
      <c r="V158" s="835"/>
      <c r="W158" s="835"/>
      <c r="X158" s="835"/>
      <c r="Y158" s="835"/>
      <c r="Z158" s="835"/>
      <c r="AA158" s="835"/>
      <c r="AB158" s="835"/>
      <c r="AC158" s="835"/>
      <c r="AD158" s="835"/>
      <c r="AE158" s="835"/>
      <c r="AF158" s="835"/>
    </row>
    <row r="159" spans="2:62">
      <c r="B159" s="837" t="s">
        <v>271</v>
      </c>
      <c r="C159" s="835"/>
      <c r="D159" s="835"/>
      <c r="E159" s="835"/>
      <c r="F159" s="835"/>
      <c r="G159" s="835"/>
      <c r="H159" s="835"/>
      <c r="I159" s="835"/>
      <c r="J159" s="835"/>
      <c r="K159" s="835"/>
      <c r="L159" s="835"/>
      <c r="M159" s="835"/>
      <c r="N159" s="835"/>
      <c r="O159" s="835"/>
      <c r="P159" s="835"/>
      <c r="Q159" s="835"/>
      <c r="R159" s="835"/>
      <c r="S159" s="835"/>
      <c r="T159" s="835"/>
      <c r="U159" s="835"/>
      <c r="V159" s="835"/>
      <c r="W159" s="835"/>
      <c r="X159" s="835"/>
      <c r="Y159" s="835"/>
      <c r="Z159" s="835"/>
      <c r="AA159" s="835"/>
      <c r="AB159" s="835"/>
      <c r="AC159" s="835"/>
      <c r="AD159" s="835"/>
      <c r="AE159" s="835"/>
      <c r="AF159" s="835"/>
    </row>
    <row r="160" spans="2:62">
      <c r="B160" s="835">
        <v>1869</v>
      </c>
      <c r="C160" s="835"/>
      <c r="D160" s="835"/>
      <c r="E160" s="835"/>
      <c r="F160" s="835"/>
      <c r="G160" s="835"/>
      <c r="H160" s="835"/>
      <c r="I160" s="835"/>
      <c r="J160" s="835">
        <v>5656</v>
      </c>
      <c r="K160" s="835"/>
      <c r="L160" s="835"/>
      <c r="M160" s="835"/>
      <c r="N160" s="835"/>
      <c r="O160" s="835"/>
      <c r="P160" s="835"/>
      <c r="Q160" s="835"/>
      <c r="R160" s="835"/>
      <c r="S160" s="835"/>
      <c r="T160" s="835"/>
      <c r="U160" s="835">
        <v>5821</v>
      </c>
      <c r="V160" s="835"/>
      <c r="W160" s="835"/>
      <c r="X160" s="835"/>
      <c r="Y160" s="835"/>
      <c r="Z160" s="835"/>
      <c r="AA160" s="835"/>
      <c r="AB160" s="835"/>
      <c r="AC160" s="835"/>
      <c r="AD160" s="835"/>
      <c r="AE160" s="835"/>
      <c r="AF160" s="835"/>
    </row>
    <row r="161" spans="2:62">
      <c r="B161" s="835">
        <v>1911</v>
      </c>
      <c r="C161" s="835"/>
      <c r="D161" s="835"/>
      <c r="E161" s="835"/>
      <c r="F161" s="835"/>
      <c r="G161" s="835"/>
      <c r="H161" s="835"/>
      <c r="I161" s="835"/>
      <c r="J161" s="835"/>
      <c r="K161" s="835"/>
      <c r="L161" s="835"/>
      <c r="M161" s="835"/>
      <c r="N161" s="835"/>
      <c r="O161" s="835"/>
      <c r="P161" s="835"/>
      <c r="Q161" s="835"/>
      <c r="R161" s="835">
        <v>5447.5</v>
      </c>
      <c r="S161" s="835"/>
      <c r="T161" s="835"/>
      <c r="U161" s="835"/>
      <c r="V161" s="835"/>
      <c r="W161" s="835"/>
      <c r="X161" s="835"/>
      <c r="Y161" s="835"/>
      <c r="Z161" s="835"/>
      <c r="AA161" s="835"/>
      <c r="AB161" s="835"/>
      <c r="AC161" s="835"/>
      <c r="AD161" s="835"/>
      <c r="AE161" s="835"/>
      <c r="AF161" s="835"/>
    </row>
    <row r="162" spans="2:62">
      <c r="B162" s="835">
        <v>1936</v>
      </c>
      <c r="C162" s="835"/>
      <c r="D162" s="835"/>
      <c r="E162" s="835"/>
      <c r="F162" s="835"/>
      <c r="G162" s="835"/>
      <c r="H162" s="835"/>
      <c r="I162" s="835"/>
      <c r="J162" s="835"/>
      <c r="K162" s="835"/>
      <c r="L162" s="835"/>
      <c r="M162" s="835"/>
      <c r="N162" s="835"/>
      <c r="O162" s="835"/>
      <c r="P162" s="835"/>
      <c r="Q162" s="835"/>
      <c r="R162" s="835"/>
      <c r="S162" s="835"/>
      <c r="T162" s="835"/>
      <c r="U162" s="835"/>
      <c r="V162" s="835">
        <v>6011</v>
      </c>
      <c r="W162" s="835"/>
      <c r="X162" s="835"/>
      <c r="Y162" s="835"/>
      <c r="Z162" s="835"/>
      <c r="AA162" s="835"/>
      <c r="AB162" s="835"/>
      <c r="AC162" s="835"/>
      <c r="AD162" s="835"/>
      <c r="AE162" s="835"/>
      <c r="AF162" s="835"/>
    </row>
    <row r="163" spans="2:62">
      <c r="B163" s="835">
        <v>2102</v>
      </c>
      <c r="C163" s="835">
        <v>5915</v>
      </c>
      <c r="D163" s="835"/>
      <c r="E163" s="835"/>
      <c r="F163" s="835"/>
      <c r="G163" s="835"/>
      <c r="H163" s="835"/>
      <c r="I163" s="835"/>
      <c r="J163" s="835"/>
      <c r="K163" s="835"/>
      <c r="L163" s="835"/>
      <c r="M163" s="835"/>
      <c r="N163" s="835"/>
      <c r="O163" s="835"/>
      <c r="P163" s="835"/>
      <c r="Q163" s="835">
        <v>5970</v>
      </c>
      <c r="R163" s="835"/>
      <c r="S163" s="835"/>
      <c r="T163" s="835"/>
      <c r="U163" s="835"/>
      <c r="V163" s="835"/>
      <c r="W163" s="835"/>
      <c r="X163" s="835"/>
      <c r="Y163" s="835"/>
      <c r="Z163" s="835"/>
      <c r="AA163" s="835"/>
      <c r="AB163" s="835"/>
      <c r="AC163" s="835"/>
      <c r="AD163" s="835"/>
      <c r="AE163" s="835"/>
      <c r="AF163" s="835"/>
    </row>
    <row r="164" spans="2:62" ht="15.5">
      <c r="B164" s="843" t="s">
        <v>1065</v>
      </c>
      <c r="C164" s="835"/>
      <c r="D164" s="835"/>
      <c r="E164" s="835"/>
      <c r="F164" s="835"/>
      <c r="G164" s="835"/>
      <c r="H164" s="835"/>
      <c r="I164" s="835"/>
      <c r="J164" s="835"/>
      <c r="K164" s="835"/>
      <c r="L164" s="835"/>
      <c r="M164" s="835"/>
      <c r="N164" s="835"/>
      <c r="O164" s="835"/>
      <c r="P164" s="835"/>
      <c r="Q164" s="835"/>
      <c r="R164" s="835"/>
      <c r="S164" s="835"/>
      <c r="T164" s="835"/>
      <c r="U164" s="835"/>
      <c r="V164" s="835"/>
      <c r="W164" s="835"/>
      <c r="X164" s="835"/>
      <c r="Y164" s="835"/>
      <c r="Z164" s="835"/>
      <c r="AA164" s="835"/>
      <c r="AB164" s="835"/>
      <c r="AC164" s="835"/>
      <c r="AD164" s="835"/>
      <c r="AE164" s="835"/>
      <c r="AF164" s="835"/>
    </row>
    <row r="165" spans="2:62">
      <c r="B165" s="837" t="s">
        <v>13</v>
      </c>
      <c r="C165" s="835"/>
      <c r="D165" s="835"/>
      <c r="E165" s="835"/>
      <c r="F165" s="835"/>
      <c r="G165" s="835"/>
      <c r="H165" s="835"/>
      <c r="I165" s="835"/>
      <c r="J165" s="835"/>
      <c r="K165" s="835"/>
      <c r="L165" s="835"/>
      <c r="M165" s="835"/>
      <c r="N165" s="835"/>
      <c r="O165" s="835"/>
      <c r="P165" s="835"/>
      <c r="Q165" s="835"/>
      <c r="R165" s="835"/>
      <c r="S165" s="835"/>
      <c r="T165" s="835"/>
      <c r="U165" s="835"/>
      <c r="V165" s="835"/>
      <c r="W165" s="835"/>
      <c r="X165" s="835"/>
      <c r="Y165" s="835"/>
      <c r="Z165" s="835"/>
      <c r="AA165" s="835"/>
      <c r="AB165" s="835"/>
      <c r="AC165" s="835"/>
      <c r="AD165" s="835"/>
      <c r="AE165" s="835"/>
      <c r="AF165" s="835"/>
    </row>
    <row r="166" spans="2:62">
      <c r="B166" s="835">
        <v>540</v>
      </c>
      <c r="C166" s="835">
        <v>2244.4</v>
      </c>
      <c r="D166" s="835"/>
      <c r="E166" s="835"/>
      <c r="F166" s="835">
        <v>2720</v>
      </c>
      <c r="G166" s="835">
        <v>2990</v>
      </c>
      <c r="H166" s="835">
        <v>3009</v>
      </c>
      <c r="I166" s="835"/>
      <c r="J166" s="835">
        <v>2252</v>
      </c>
      <c r="K166" s="835"/>
      <c r="L166" s="835"/>
      <c r="M166" s="835">
        <v>2150.7142857142858</v>
      </c>
      <c r="N166" s="835">
        <v>2215</v>
      </c>
      <c r="O166" s="835">
        <v>2250</v>
      </c>
      <c r="P166" s="835">
        <v>2387.5</v>
      </c>
      <c r="Q166" s="835">
        <v>2155</v>
      </c>
      <c r="R166" s="835">
        <v>2146.3333333333335</v>
      </c>
      <c r="S166" s="835">
        <v>2218</v>
      </c>
      <c r="T166" s="835">
        <v>2171.75</v>
      </c>
      <c r="U166" s="835"/>
      <c r="V166" s="835">
        <v>2291</v>
      </c>
      <c r="W166" s="835">
        <v>2268</v>
      </c>
      <c r="X166" s="835">
        <v>2365</v>
      </c>
      <c r="Y166" s="835"/>
      <c r="Z166" s="835"/>
      <c r="AA166" s="835"/>
      <c r="AB166" s="835"/>
      <c r="AC166" s="835"/>
      <c r="AD166" s="835"/>
      <c r="AE166" s="835"/>
      <c r="AF166" s="835"/>
    </row>
    <row r="167" spans="2:62">
      <c r="B167" s="835">
        <v>645</v>
      </c>
      <c r="C167" s="835"/>
      <c r="D167" s="835"/>
      <c r="E167" s="835"/>
      <c r="F167" s="835"/>
      <c r="G167" s="835"/>
      <c r="H167" s="835"/>
      <c r="I167" s="835"/>
      <c r="J167" s="835"/>
      <c r="K167" s="835"/>
      <c r="L167" s="835"/>
      <c r="M167" s="835"/>
      <c r="N167" s="835"/>
      <c r="O167" s="835"/>
      <c r="P167" s="835"/>
      <c r="Q167" s="835"/>
      <c r="R167" s="835"/>
      <c r="S167" s="835"/>
      <c r="T167" s="835"/>
      <c r="U167" s="835">
        <v>2120</v>
      </c>
      <c r="V167" s="835"/>
      <c r="W167" s="835"/>
      <c r="X167" s="835"/>
      <c r="Y167" s="835"/>
      <c r="Z167" s="835"/>
      <c r="AA167" s="835"/>
      <c r="AB167" s="835"/>
      <c r="AC167" s="835"/>
      <c r="AD167" s="835"/>
      <c r="AE167" s="835"/>
      <c r="AF167" s="835"/>
    </row>
    <row r="168" spans="2:62">
      <c r="B168" s="837" t="s">
        <v>1209</v>
      </c>
      <c r="C168" s="835"/>
      <c r="D168" s="835"/>
      <c r="E168" s="835"/>
      <c r="F168" s="835"/>
      <c r="G168" s="835"/>
      <c r="H168" s="835"/>
      <c r="I168" s="835"/>
      <c r="J168" s="835"/>
      <c r="K168" s="835"/>
      <c r="L168" s="835"/>
      <c r="M168" s="835"/>
      <c r="N168" s="835"/>
      <c r="O168" s="835"/>
      <c r="P168" s="835"/>
      <c r="Q168" s="835"/>
      <c r="R168" s="835"/>
      <c r="S168" s="835"/>
      <c r="T168" s="835"/>
      <c r="U168" s="835"/>
      <c r="V168" s="835"/>
      <c r="W168" s="835"/>
      <c r="X168" s="835"/>
      <c r="Y168" s="835"/>
      <c r="Z168" s="835"/>
      <c r="AA168" s="835"/>
      <c r="AB168" s="835"/>
      <c r="AC168" s="835"/>
      <c r="AD168" s="835"/>
      <c r="AE168" s="835"/>
      <c r="AF168" s="835"/>
    </row>
    <row r="169" spans="2:62">
      <c r="B169" s="835">
        <v>645</v>
      </c>
      <c r="C169" s="835">
        <v>3183</v>
      </c>
      <c r="D169" s="835"/>
      <c r="E169" s="835">
        <v>3328</v>
      </c>
      <c r="F169" s="835">
        <v>2460</v>
      </c>
      <c r="G169" s="835"/>
      <c r="H169" s="835"/>
      <c r="I169" s="835"/>
      <c r="J169" s="835">
        <v>2176</v>
      </c>
      <c r="K169" s="835">
        <v>2215</v>
      </c>
      <c r="L169" s="835"/>
      <c r="M169" s="835">
        <v>2409.4444444444443</v>
      </c>
      <c r="N169" s="835">
        <v>2413.125</v>
      </c>
      <c r="O169" s="835"/>
      <c r="P169" s="835">
        <v>2526.25</v>
      </c>
      <c r="Q169" s="835">
        <v>2400</v>
      </c>
      <c r="R169" s="835">
        <v>2397.5</v>
      </c>
      <c r="S169" s="835"/>
      <c r="T169" s="835">
        <v>2563</v>
      </c>
      <c r="U169" s="835"/>
      <c r="V169" s="835"/>
      <c r="W169" s="835"/>
      <c r="X169" s="835"/>
      <c r="Y169" s="835"/>
      <c r="Z169" s="835"/>
      <c r="AA169" s="835"/>
      <c r="AB169" s="835"/>
      <c r="AC169" s="835"/>
      <c r="AD169" s="835"/>
      <c r="AE169" s="835"/>
      <c r="AF169" s="835"/>
    </row>
    <row r="170" spans="2:62">
      <c r="B170" s="835">
        <v>717</v>
      </c>
      <c r="C170" s="835">
        <v>2716</v>
      </c>
      <c r="D170" s="835"/>
      <c r="E170" s="835"/>
      <c r="F170" s="835"/>
      <c r="G170" s="835"/>
      <c r="H170" s="835">
        <v>2365</v>
      </c>
      <c r="I170" s="835"/>
      <c r="J170" s="835">
        <v>2137</v>
      </c>
      <c r="K170" s="835"/>
      <c r="L170" s="835"/>
      <c r="M170" s="835">
        <v>2612.8571428571427</v>
      </c>
      <c r="N170" s="835">
        <v>2595</v>
      </c>
      <c r="O170" s="835"/>
      <c r="P170" s="835"/>
      <c r="Q170" s="835"/>
      <c r="R170" s="835">
        <v>2295</v>
      </c>
      <c r="S170" s="835">
        <v>2294</v>
      </c>
      <c r="T170" s="835">
        <v>2798</v>
      </c>
      <c r="U170" s="835"/>
      <c r="V170" s="835"/>
      <c r="W170" s="835">
        <v>2289</v>
      </c>
      <c r="X170" s="835"/>
      <c r="Y170" s="835"/>
      <c r="Z170" s="835"/>
      <c r="AA170" s="835"/>
      <c r="AB170" s="835"/>
      <c r="AC170" s="835"/>
      <c r="AD170" s="835"/>
      <c r="AE170" s="835"/>
      <c r="AF170" s="835"/>
    </row>
    <row r="171" spans="2:62">
      <c r="B171" s="835">
        <v>729</v>
      </c>
      <c r="C171" s="835">
        <v>3541</v>
      </c>
      <c r="D171" s="835"/>
      <c r="E171" s="835">
        <v>3158</v>
      </c>
      <c r="F171" s="835"/>
      <c r="G171" s="835"/>
      <c r="H171" s="835"/>
      <c r="I171" s="835"/>
      <c r="J171" s="835">
        <v>3214</v>
      </c>
      <c r="K171" s="835">
        <v>2501</v>
      </c>
      <c r="L171" s="835"/>
      <c r="M171" s="835">
        <v>2827.5</v>
      </c>
      <c r="N171" s="835">
        <v>2880</v>
      </c>
      <c r="O171" s="835"/>
      <c r="P171" s="835">
        <v>2890</v>
      </c>
      <c r="Q171" s="835"/>
      <c r="R171" s="835"/>
      <c r="S171" s="835">
        <v>2469</v>
      </c>
      <c r="T171" s="835">
        <v>2498</v>
      </c>
      <c r="U171" s="835">
        <v>2619</v>
      </c>
      <c r="V171" s="835"/>
      <c r="W171" s="835">
        <v>2653.5</v>
      </c>
      <c r="X171" s="835"/>
      <c r="Y171" s="835"/>
      <c r="Z171" s="835"/>
      <c r="AA171" s="835"/>
      <c r="AB171" s="835"/>
      <c r="AC171" s="835"/>
      <c r="AD171" s="835"/>
      <c r="AE171" s="835"/>
      <c r="AF171" s="835"/>
    </row>
    <row r="172" spans="2:62">
      <c r="B172" s="835">
        <v>860</v>
      </c>
      <c r="C172" s="835">
        <v>3483</v>
      </c>
      <c r="D172" s="835"/>
      <c r="E172" s="835">
        <v>3896</v>
      </c>
      <c r="F172" s="835"/>
      <c r="G172" s="835">
        <v>2505</v>
      </c>
      <c r="H172" s="835"/>
      <c r="I172" s="835"/>
      <c r="J172" s="835">
        <v>2611.3333333333335</v>
      </c>
      <c r="K172" s="835">
        <v>2451</v>
      </c>
      <c r="L172" s="835"/>
      <c r="M172" s="835">
        <v>2770</v>
      </c>
      <c r="N172" s="835">
        <v>2855</v>
      </c>
      <c r="O172" s="835">
        <v>3090</v>
      </c>
      <c r="P172" s="835">
        <v>2943.3333333333335</v>
      </c>
      <c r="Q172" s="835">
        <v>2585</v>
      </c>
      <c r="R172" s="835"/>
      <c r="S172" s="835">
        <v>2496</v>
      </c>
      <c r="T172" s="835">
        <v>2625.5</v>
      </c>
      <c r="U172" s="835">
        <v>2487</v>
      </c>
      <c r="V172" s="835">
        <v>2586</v>
      </c>
      <c r="W172" s="835"/>
      <c r="X172" s="835"/>
      <c r="Y172" s="835"/>
      <c r="Z172" s="835"/>
      <c r="AA172" s="835"/>
      <c r="AB172" s="835"/>
      <c r="AC172" s="835"/>
      <c r="AD172" s="835"/>
      <c r="AE172" s="835"/>
      <c r="AF172" s="835"/>
    </row>
    <row r="173" spans="2:62">
      <c r="B173" s="835">
        <v>869</v>
      </c>
      <c r="C173" s="835"/>
      <c r="D173" s="835">
        <v>4224</v>
      </c>
      <c r="E173" s="835"/>
      <c r="F173" s="835"/>
      <c r="G173" s="835"/>
      <c r="H173" s="835">
        <v>3070</v>
      </c>
      <c r="I173" s="835"/>
      <c r="J173" s="835"/>
      <c r="K173" s="835"/>
      <c r="L173" s="835"/>
      <c r="M173" s="835"/>
      <c r="N173" s="835">
        <v>3042.5</v>
      </c>
      <c r="O173" s="835">
        <v>3205</v>
      </c>
      <c r="P173" s="835">
        <v>2985</v>
      </c>
      <c r="Q173" s="835"/>
      <c r="R173" s="835">
        <v>2810</v>
      </c>
      <c r="S173" s="835">
        <v>2802.5</v>
      </c>
      <c r="T173" s="835">
        <v>2842</v>
      </c>
      <c r="U173" s="835">
        <v>2877</v>
      </c>
      <c r="V173" s="835"/>
      <c r="W173" s="835">
        <v>2848</v>
      </c>
      <c r="X173" s="835"/>
      <c r="Y173" s="835"/>
      <c r="Z173" s="835"/>
      <c r="AA173" s="835"/>
      <c r="AB173" s="835"/>
      <c r="AC173" s="835"/>
      <c r="AD173" s="835"/>
      <c r="AE173" s="835"/>
      <c r="AF173" s="835"/>
    </row>
    <row r="174" spans="2:62">
      <c r="B174" s="835">
        <v>879</v>
      </c>
      <c r="C174" s="835">
        <v>4116</v>
      </c>
      <c r="D174" s="835"/>
      <c r="E174" s="835">
        <v>4175</v>
      </c>
      <c r="F174" s="835"/>
      <c r="G174" s="835">
        <v>3364</v>
      </c>
      <c r="H174" s="835">
        <v>3096.5</v>
      </c>
      <c r="I174" s="835"/>
      <c r="J174" s="835">
        <v>2885</v>
      </c>
      <c r="K174" s="835">
        <v>2859.5</v>
      </c>
      <c r="L174" s="835"/>
      <c r="M174" s="835">
        <v>3182.5</v>
      </c>
      <c r="N174" s="835">
        <v>3202.5</v>
      </c>
      <c r="O174" s="835">
        <v>3422.5</v>
      </c>
      <c r="P174" s="835"/>
      <c r="Q174" s="835"/>
      <c r="R174" s="835"/>
      <c r="S174" s="835">
        <v>2918.4</v>
      </c>
      <c r="T174" s="835">
        <v>2725</v>
      </c>
      <c r="U174" s="835">
        <v>3077.6666666666665</v>
      </c>
      <c r="V174" s="835">
        <v>2931</v>
      </c>
      <c r="W174" s="835">
        <v>2991</v>
      </c>
      <c r="X174" s="835"/>
      <c r="Y174" s="835"/>
      <c r="Z174" s="835"/>
      <c r="AA174" s="835"/>
      <c r="AB174" s="835"/>
      <c r="AC174" s="835"/>
      <c r="AD174" s="835"/>
      <c r="AE174" s="835"/>
      <c r="AF174" s="835"/>
    </row>
    <row r="175" spans="2:62">
      <c r="B175" s="837" t="s">
        <v>270</v>
      </c>
      <c r="C175" s="835"/>
      <c r="D175" s="835"/>
      <c r="E175" s="835"/>
      <c r="F175" s="835"/>
      <c r="G175" s="835"/>
      <c r="H175" s="835"/>
      <c r="I175" s="835"/>
      <c r="J175" s="835"/>
      <c r="K175" s="835"/>
      <c r="L175" s="835"/>
      <c r="M175" s="835"/>
      <c r="N175" s="835"/>
      <c r="O175" s="835"/>
      <c r="P175" s="835"/>
      <c r="Q175" s="835"/>
      <c r="R175" s="835"/>
      <c r="S175" s="835"/>
      <c r="T175" s="835"/>
      <c r="U175" s="835"/>
      <c r="V175" s="835"/>
      <c r="W175" s="835"/>
      <c r="X175" s="835"/>
      <c r="Y175" s="835"/>
      <c r="Z175" s="835"/>
      <c r="AA175" s="835"/>
      <c r="AB175" s="835"/>
      <c r="AC175" s="835"/>
      <c r="AD175" s="835"/>
      <c r="AE175" s="835"/>
      <c r="AF175" s="835"/>
    </row>
    <row r="176" spans="2:62">
      <c r="B176" s="835">
        <v>1107</v>
      </c>
      <c r="C176" s="835">
        <v>5504</v>
      </c>
      <c r="D176" s="835"/>
      <c r="E176" s="835"/>
      <c r="F176" s="835">
        <v>4710</v>
      </c>
      <c r="G176" s="835"/>
      <c r="H176" s="835"/>
      <c r="I176" s="835"/>
      <c r="J176" s="835">
        <v>4904.5</v>
      </c>
      <c r="K176" s="835">
        <v>3324</v>
      </c>
      <c r="L176" s="835"/>
      <c r="M176" s="835">
        <v>3840</v>
      </c>
      <c r="N176" s="835">
        <v>3810</v>
      </c>
      <c r="O176" s="835">
        <v>4190</v>
      </c>
      <c r="P176" s="835">
        <v>4100</v>
      </c>
      <c r="Q176" s="835"/>
      <c r="R176" s="835">
        <v>3990</v>
      </c>
      <c r="S176" s="835">
        <v>3627</v>
      </c>
      <c r="T176" s="835">
        <v>3456</v>
      </c>
      <c r="U176" s="835">
        <v>3621.2</v>
      </c>
      <c r="V176" s="835">
        <v>4131</v>
      </c>
      <c r="W176" s="835">
        <v>3962</v>
      </c>
      <c r="X176" s="835"/>
      <c r="Y176" s="835"/>
      <c r="Z176" s="835"/>
      <c r="AA176" s="835"/>
      <c r="AB176" s="835"/>
      <c r="AC176" s="835"/>
      <c r="AD176" s="835"/>
      <c r="AE176" s="835"/>
      <c r="AF176" s="835"/>
    </row>
    <row r="177" spans="2:62" ht="15.5">
      <c r="B177" s="843" t="s">
        <v>1182</v>
      </c>
      <c r="C177" s="835"/>
      <c r="D177" s="835"/>
      <c r="E177" s="835"/>
      <c r="F177" s="835"/>
      <c r="G177" s="835"/>
      <c r="H177" s="835"/>
      <c r="I177" s="835"/>
      <c r="J177" s="835"/>
      <c r="K177" s="835"/>
      <c r="L177" s="835"/>
      <c r="M177" s="835"/>
      <c r="N177" s="835"/>
      <c r="O177" s="835"/>
      <c r="P177" s="835"/>
      <c r="Q177" s="835"/>
      <c r="R177" s="835"/>
      <c r="S177" s="835"/>
      <c r="T177" s="835"/>
      <c r="U177" s="835"/>
      <c r="V177" s="835"/>
      <c r="W177" s="835"/>
      <c r="X177" s="835"/>
      <c r="Y177" s="835"/>
      <c r="Z177" s="835"/>
      <c r="AA177" s="835"/>
      <c r="AB177" s="835"/>
      <c r="AC177" s="835"/>
      <c r="AD177" s="835"/>
      <c r="AE177" s="835"/>
      <c r="AF177" s="835"/>
    </row>
    <row r="178" spans="2:62">
      <c r="B178" s="837" t="s">
        <v>13</v>
      </c>
      <c r="C178" s="835"/>
      <c r="D178" s="835"/>
      <c r="E178" s="835"/>
      <c r="F178" s="835"/>
      <c r="G178" s="835"/>
      <c r="H178" s="835"/>
      <c r="I178" s="835"/>
      <c r="J178" s="835"/>
      <c r="K178" s="835"/>
      <c r="L178" s="835"/>
      <c r="M178" s="835"/>
      <c r="N178" s="835"/>
      <c r="O178" s="835"/>
      <c r="P178" s="835"/>
      <c r="Q178" s="835"/>
      <c r="R178" s="835"/>
      <c r="S178" s="835"/>
      <c r="T178" s="835"/>
      <c r="U178" s="835"/>
      <c r="V178" s="835"/>
      <c r="W178" s="835"/>
      <c r="X178" s="835"/>
      <c r="Y178" s="835"/>
      <c r="Z178" s="835"/>
      <c r="AA178" s="835"/>
      <c r="AB178" s="835"/>
      <c r="AC178" s="835"/>
      <c r="AD178" s="835"/>
      <c r="AE178" s="835"/>
      <c r="AF178" s="835"/>
    </row>
    <row r="179" spans="2:62">
      <c r="B179" s="835">
        <v>521</v>
      </c>
      <c r="C179" s="835"/>
      <c r="D179" s="835"/>
      <c r="E179" s="835"/>
      <c r="F179" s="835">
        <v>2725</v>
      </c>
      <c r="G179" s="835">
        <v>2661</v>
      </c>
      <c r="H179" s="835"/>
      <c r="I179" s="835"/>
      <c r="J179" s="835"/>
      <c r="K179" s="835"/>
      <c r="L179" s="835"/>
      <c r="M179" s="835"/>
      <c r="N179" s="835"/>
      <c r="O179" s="835"/>
      <c r="P179" s="835"/>
      <c r="Q179" s="835"/>
      <c r="R179" s="835"/>
      <c r="S179" s="835">
        <v>2584</v>
      </c>
      <c r="T179" s="835"/>
      <c r="U179" s="835"/>
      <c r="V179" s="835"/>
      <c r="W179" s="835"/>
      <c r="X179" s="835"/>
      <c r="Y179" s="835"/>
      <c r="Z179" s="835"/>
      <c r="AA179" s="835"/>
      <c r="AB179" s="835"/>
      <c r="AC179" s="835"/>
      <c r="AD179" s="835"/>
      <c r="AE179" s="835"/>
      <c r="AF179" s="835"/>
    </row>
    <row r="180" spans="2:62">
      <c r="B180" s="835">
        <v>525</v>
      </c>
      <c r="C180" s="835"/>
      <c r="D180" s="835"/>
      <c r="E180" s="835"/>
      <c r="F180" s="835"/>
      <c r="G180" s="835"/>
      <c r="H180" s="835"/>
      <c r="I180" s="835"/>
      <c r="J180" s="835"/>
      <c r="K180" s="835">
        <v>2617</v>
      </c>
      <c r="L180" s="835"/>
      <c r="M180" s="835"/>
      <c r="N180" s="835"/>
      <c r="O180" s="835">
        <v>2479.5</v>
      </c>
      <c r="P180" s="835">
        <v>2494</v>
      </c>
      <c r="Q180" s="835"/>
      <c r="R180" s="835">
        <v>2342</v>
      </c>
      <c r="S180" s="835"/>
      <c r="T180" s="835"/>
      <c r="U180" s="835"/>
      <c r="V180" s="835"/>
      <c r="W180" s="835"/>
      <c r="X180" s="835"/>
      <c r="Y180" s="835"/>
      <c r="Z180" s="835"/>
      <c r="AA180" s="835"/>
      <c r="AB180" s="835"/>
      <c r="AC180" s="835"/>
      <c r="AD180" s="835"/>
      <c r="AE180" s="835"/>
      <c r="AF180" s="835"/>
    </row>
    <row r="181" spans="2:62">
      <c r="B181" s="835">
        <v>538</v>
      </c>
      <c r="C181" s="835">
        <v>2296</v>
      </c>
      <c r="D181" s="835"/>
      <c r="E181" s="835"/>
      <c r="F181" s="835"/>
      <c r="G181" s="835"/>
      <c r="H181" s="835"/>
      <c r="I181" s="835">
        <v>2482</v>
      </c>
      <c r="J181" s="835"/>
      <c r="K181" s="835"/>
      <c r="L181" s="835"/>
      <c r="M181" s="835">
        <v>2432</v>
      </c>
      <c r="N181" s="835"/>
      <c r="O181" s="835"/>
      <c r="P181" s="835">
        <v>2434</v>
      </c>
      <c r="Q181" s="835"/>
      <c r="R181" s="835"/>
      <c r="S181" s="835"/>
      <c r="T181" s="835"/>
      <c r="U181" s="835"/>
      <c r="V181" s="835"/>
      <c r="W181" s="835"/>
      <c r="X181" s="835"/>
      <c r="Y181" s="835"/>
      <c r="Z181" s="835"/>
      <c r="AA181" s="835"/>
      <c r="AB181" s="835"/>
      <c r="AC181" s="835"/>
      <c r="AD181" s="835"/>
      <c r="AE181" s="835"/>
      <c r="AF181" s="835"/>
    </row>
    <row r="182" spans="2:62">
      <c r="B182" s="835">
        <v>539</v>
      </c>
      <c r="C182" s="835">
        <v>2414</v>
      </c>
      <c r="D182" s="835"/>
      <c r="E182" s="835"/>
      <c r="F182" s="835"/>
      <c r="G182" s="835"/>
      <c r="H182" s="835"/>
      <c r="I182" s="835">
        <v>2047</v>
      </c>
      <c r="J182" s="835"/>
      <c r="K182" s="835">
        <v>2312</v>
      </c>
      <c r="L182" s="835"/>
      <c r="M182" s="835">
        <v>2363.5</v>
      </c>
      <c r="N182" s="835">
        <v>2312</v>
      </c>
      <c r="O182" s="835"/>
      <c r="P182" s="835"/>
      <c r="Q182" s="835"/>
      <c r="R182" s="835">
        <v>2030</v>
      </c>
      <c r="S182" s="835">
        <v>2162</v>
      </c>
      <c r="T182" s="835">
        <v>2058</v>
      </c>
      <c r="U182" s="835"/>
      <c r="V182" s="835">
        <v>2161.3333333333335</v>
      </c>
      <c r="W182" s="835"/>
      <c r="X182" s="835"/>
      <c r="Y182" s="835"/>
      <c r="Z182" s="835"/>
      <c r="AA182" s="835"/>
      <c r="AB182" s="835"/>
      <c r="AC182" s="835"/>
      <c r="AD182" s="835"/>
      <c r="AE182" s="835"/>
      <c r="AF182" s="835"/>
    </row>
    <row r="183" spans="2:62">
      <c r="B183" s="835">
        <v>544</v>
      </c>
      <c r="C183" s="835"/>
      <c r="D183" s="835"/>
      <c r="E183" s="835"/>
      <c r="F183" s="835">
        <v>2370</v>
      </c>
      <c r="G183" s="835">
        <v>2369</v>
      </c>
      <c r="H183" s="835"/>
      <c r="I183" s="835"/>
      <c r="J183" s="835"/>
      <c r="K183" s="835">
        <v>2160</v>
      </c>
      <c r="L183" s="835"/>
      <c r="M183" s="835"/>
      <c r="N183" s="835">
        <v>2473</v>
      </c>
      <c r="O183" s="835"/>
      <c r="P183" s="835">
        <v>2345</v>
      </c>
      <c r="Q183" s="835"/>
      <c r="R183" s="835"/>
      <c r="S183" s="835"/>
      <c r="T183" s="835"/>
      <c r="U183" s="835"/>
      <c r="V183" s="835"/>
      <c r="W183" s="835"/>
      <c r="X183" s="835"/>
      <c r="Y183" s="835"/>
      <c r="Z183" s="835"/>
      <c r="AA183" s="835"/>
      <c r="AB183" s="835"/>
      <c r="AC183" s="835"/>
      <c r="AD183" s="835"/>
      <c r="AE183" s="835"/>
      <c r="AF183" s="835"/>
    </row>
    <row r="184" spans="2:62">
      <c r="B184" s="835">
        <v>560</v>
      </c>
      <c r="C184" s="835"/>
      <c r="D184" s="835"/>
      <c r="E184" s="835"/>
      <c r="F184" s="835"/>
      <c r="G184" s="835"/>
      <c r="H184" s="835">
        <v>2439</v>
      </c>
      <c r="I184" s="835"/>
      <c r="J184" s="835"/>
      <c r="K184" s="835">
        <v>2470</v>
      </c>
      <c r="L184" s="835">
        <v>2616</v>
      </c>
      <c r="M184" s="835"/>
      <c r="N184" s="835">
        <v>2436.5</v>
      </c>
      <c r="O184" s="835"/>
      <c r="P184" s="835">
        <v>2464.5</v>
      </c>
      <c r="Q184" s="835"/>
      <c r="R184" s="835"/>
      <c r="S184" s="835"/>
      <c r="T184" s="835">
        <v>2159</v>
      </c>
      <c r="U184" s="835">
        <v>2343</v>
      </c>
      <c r="V184" s="835"/>
      <c r="W184" s="835">
        <v>2403</v>
      </c>
      <c r="X184" s="835"/>
      <c r="Y184" s="835"/>
      <c r="Z184" s="835"/>
      <c r="AA184" s="835"/>
      <c r="AB184" s="835"/>
      <c r="AC184" s="835"/>
      <c r="AD184" s="835"/>
      <c r="AE184" s="835"/>
      <c r="AF184" s="835"/>
    </row>
    <row r="185" spans="2:62">
      <c r="B185" s="835">
        <v>567</v>
      </c>
      <c r="C185" s="835"/>
      <c r="D185" s="835"/>
      <c r="E185" s="835"/>
      <c r="F185" s="835"/>
      <c r="G185" s="835"/>
      <c r="H185" s="835"/>
      <c r="I185" s="835"/>
      <c r="J185" s="835">
        <v>2346</v>
      </c>
      <c r="K185" s="835"/>
      <c r="L185" s="835"/>
      <c r="M185" s="835"/>
      <c r="N185" s="835"/>
      <c r="O185" s="835"/>
      <c r="P185" s="835"/>
      <c r="Q185" s="835"/>
      <c r="R185" s="835">
        <v>2328</v>
      </c>
      <c r="S185" s="835"/>
      <c r="T185" s="835"/>
      <c r="U185" s="835"/>
      <c r="V185" s="835">
        <v>2553</v>
      </c>
      <c r="W185" s="835">
        <v>2416</v>
      </c>
      <c r="X185" s="835"/>
      <c r="Y185" s="835"/>
      <c r="Z185" s="835"/>
      <c r="AA185" s="835"/>
      <c r="AB185" s="835"/>
      <c r="AC185" s="835"/>
      <c r="AD185" s="835"/>
      <c r="AE185" s="835"/>
      <c r="AF185" s="835"/>
    </row>
    <row r="186" spans="2:62">
      <c r="B186" s="835">
        <v>571</v>
      </c>
      <c r="C186" s="835"/>
      <c r="D186" s="835"/>
      <c r="E186" s="835"/>
      <c r="F186" s="835"/>
      <c r="G186" s="835"/>
      <c r="H186" s="835"/>
      <c r="I186" s="835"/>
      <c r="J186" s="835"/>
      <c r="K186" s="835"/>
      <c r="L186" s="835"/>
      <c r="M186" s="835">
        <v>2914</v>
      </c>
      <c r="N186" s="835"/>
      <c r="O186" s="835"/>
      <c r="P186" s="835"/>
      <c r="Q186" s="835"/>
      <c r="R186" s="835"/>
      <c r="S186" s="835"/>
      <c r="T186" s="835"/>
      <c r="U186" s="835"/>
      <c r="V186" s="835"/>
      <c r="W186" s="835"/>
      <c r="X186" s="835"/>
      <c r="Y186" s="835"/>
      <c r="Z186" s="835"/>
      <c r="AA186" s="835"/>
      <c r="AB186" s="835"/>
      <c r="AC186" s="835"/>
      <c r="AD186" s="835"/>
      <c r="AE186" s="835"/>
      <c r="AF186" s="835"/>
    </row>
    <row r="187" spans="2:62">
      <c r="B187" s="835">
        <v>573</v>
      </c>
      <c r="C187" s="835"/>
      <c r="D187" s="835"/>
      <c r="E187" s="835"/>
      <c r="F187" s="835"/>
      <c r="G187" s="835"/>
      <c r="H187" s="835">
        <v>2295</v>
      </c>
      <c r="I187" s="835"/>
      <c r="J187" s="835"/>
      <c r="K187" s="835"/>
      <c r="L187" s="835"/>
      <c r="M187" s="835"/>
      <c r="N187" s="835">
        <v>2486</v>
      </c>
      <c r="O187" s="835"/>
      <c r="P187" s="835">
        <v>2389.5</v>
      </c>
      <c r="Q187" s="835"/>
      <c r="R187" s="835"/>
      <c r="S187" s="835"/>
      <c r="T187" s="835"/>
      <c r="U187" s="835">
        <v>2085</v>
      </c>
      <c r="V187" s="835"/>
      <c r="W187" s="835"/>
      <c r="X187" s="835"/>
      <c r="Y187" s="835"/>
      <c r="Z187" s="835"/>
      <c r="AA187" s="835"/>
      <c r="AB187" s="835"/>
      <c r="AC187" s="835"/>
      <c r="AD187" s="835"/>
      <c r="AE187" s="835"/>
      <c r="AF187" s="835"/>
    </row>
    <row r="188" spans="2:62">
      <c r="B188" s="835">
        <v>627</v>
      </c>
      <c r="C188" s="835">
        <v>2612</v>
      </c>
      <c r="D188" s="835"/>
      <c r="E188" s="835"/>
      <c r="F188" s="835"/>
      <c r="G188" s="835"/>
      <c r="H188" s="835"/>
      <c r="I188" s="835"/>
      <c r="J188" s="835"/>
      <c r="K188" s="835">
        <v>2504</v>
      </c>
      <c r="L188" s="835"/>
      <c r="M188" s="835"/>
      <c r="N188" s="835"/>
      <c r="O188" s="835"/>
      <c r="P188" s="835"/>
      <c r="Q188" s="835"/>
      <c r="R188" s="835"/>
      <c r="S188" s="835"/>
      <c r="T188" s="835"/>
      <c r="U188" s="835">
        <v>2647</v>
      </c>
      <c r="V188" s="835">
        <v>2666</v>
      </c>
      <c r="W188" s="835"/>
      <c r="X188" s="835"/>
      <c r="Y188" s="835"/>
      <c r="Z188" s="835"/>
      <c r="AA188" s="835"/>
      <c r="AB188" s="835"/>
      <c r="AC188" s="835"/>
      <c r="AD188" s="835"/>
      <c r="AE188" s="835"/>
      <c r="AF188" s="835"/>
    </row>
    <row r="189" spans="2:62">
      <c r="B189" s="835">
        <v>639</v>
      </c>
      <c r="C189" s="835"/>
      <c r="D189" s="835"/>
      <c r="E189" s="835"/>
      <c r="F189" s="835"/>
      <c r="G189" s="835"/>
      <c r="H189" s="835"/>
      <c r="I189" s="835"/>
      <c r="J189" s="835">
        <v>2291</v>
      </c>
      <c r="K189" s="835"/>
      <c r="L189" s="835"/>
      <c r="M189" s="835"/>
      <c r="N189" s="835"/>
      <c r="O189" s="835"/>
      <c r="P189" s="835"/>
      <c r="Q189" s="835"/>
      <c r="R189" s="835"/>
      <c r="S189" s="835"/>
      <c r="T189" s="835"/>
      <c r="U189" s="835"/>
      <c r="V189" s="835"/>
      <c r="W189" s="835"/>
      <c r="X189" s="835"/>
      <c r="Y189" s="835"/>
      <c r="Z189" s="835"/>
      <c r="AA189" s="835"/>
      <c r="AB189" s="835"/>
      <c r="AC189" s="835"/>
      <c r="AD189" s="835"/>
      <c r="AE189" s="835"/>
      <c r="AF189" s="835"/>
    </row>
    <row r="190" spans="2:62">
      <c r="B190" s="835">
        <v>661</v>
      </c>
      <c r="C190" s="835"/>
      <c r="D190" s="835"/>
      <c r="E190" s="835"/>
      <c r="F190" s="835">
        <v>2455</v>
      </c>
      <c r="G190" s="835"/>
      <c r="H190" s="835"/>
      <c r="I190" s="835">
        <v>2283</v>
      </c>
      <c r="J190" s="835"/>
      <c r="K190" s="835"/>
      <c r="L190" s="835"/>
      <c r="M190" s="835"/>
      <c r="N190" s="835"/>
      <c r="O190" s="835"/>
      <c r="P190" s="835">
        <v>2576.5</v>
      </c>
      <c r="Q190" s="835"/>
      <c r="R190" s="835"/>
      <c r="S190" s="835"/>
      <c r="T190" s="835">
        <v>2298</v>
      </c>
      <c r="U190" s="835"/>
      <c r="V190" s="835"/>
      <c r="W190" s="835">
        <v>2299</v>
      </c>
      <c r="X190" s="835"/>
      <c r="Y190" s="835"/>
      <c r="Z190" s="835"/>
      <c r="AA190" s="835"/>
      <c r="AB190" s="835"/>
      <c r="AC190" s="835"/>
      <c r="AD190" s="835"/>
      <c r="AE190" s="835"/>
      <c r="AF190" s="835"/>
    </row>
    <row r="191" spans="2:62">
      <c r="B191" s="835">
        <v>669</v>
      </c>
      <c r="C191" s="835"/>
      <c r="D191" s="835"/>
      <c r="E191" s="835"/>
      <c r="F191" s="835"/>
      <c r="G191" s="835"/>
      <c r="H191" s="835"/>
      <c r="I191" s="835"/>
      <c r="J191" s="835"/>
      <c r="K191" s="835"/>
      <c r="L191" s="835"/>
      <c r="M191" s="835"/>
      <c r="N191" s="835">
        <v>2593</v>
      </c>
      <c r="O191" s="835">
        <v>2572</v>
      </c>
      <c r="P191" s="835">
        <v>2481</v>
      </c>
      <c r="Q191" s="835"/>
      <c r="R191" s="835"/>
      <c r="S191" s="835"/>
      <c r="T191" s="835"/>
      <c r="U191" s="835">
        <v>2304</v>
      </c>
      <c r="V191" s="835"/>
      <c r="W191" s="835"/>
      <c r="X191" s="835"/>
      <c r="Y191" s="835"/>
      <c r="Z191" s="835"/>
      <c r="AA191" s="835"/>
      <c r="AB191" s="835"/>
      <c r="AC191" s="835"/>
      <c r="AD191" s="835"/>
      <c r="AE191" s="835"/>
      <c r="AF191" s="835"/>
    </row>
    <row r="192" spans="2:62">
      <c r="B192" s="837" t="s">
        <v>1209</v>
      </c>
      <c r="C192" s="835"/>
      <c r="D192" s="835"/>
      <c r="E192" s="835"/>
      <c r="F192" s="835"/>
      <c r="G192" s="835"/>
      <c r="H192" s="835"/>
      <c r="I192" s="835"/>
      <c r="J192" s="835"/>
      <c r="K192" s="835"/>
      <c r="L192" s="835"/>
      <c r="M192" s="835"/>
      <c r="N192" s="835"/>
      <c r="O192" s="835"/>
      <c r="P192" s="835"/>
      <c r="Q192" s="835"/>
      <c r="R192" s="835"/>
      <c r="S192" s="835"/>
      <c r="T192" s="835"/>
      <c r="U192" s="835"/>
      <c r="V192" s="835"/>
      <c r="W192" s="835"/>
      <c r="X192" s="835"/>
      <c r="Y192" s="835"/>
      <c r="Z192" s="835"/>
      <c r="AA192" s="835"/>
      <c r="AB192" s="835"/>
      <c r="AC192" s="835"/>
      <c r="AD192" s="835"/>
      <c r="AE192" s="835"/>
      <c r="AF192" s="835"/>
    </row>
    <row r="193" spans="2:62">
      <c r="B193" s="835">
        <v>586</v>
      </c>
      <c r="C193" s="835"/>
      <c r="D193" s="835"/>
      <c r="E193" s="835"/>
      <c r="F193" s="835"/>
      <c r="G193" s="835"/>
      <c r="H193" s="835"/>
      <c r="I193" s="835"/>
      <c r="J193" s="835"/>
      <c r="K193" s="835"/>
      <c r="L193" s="835"/>
      <c r="M193" s="835"/>
      <c r="N193" s="835"/>
      <c r="O193" s="835"/>
      <c r="P193" s="835"/>
      <c r="Q193" s="835"/>
      <c r="R193" s="835"/>
      <c r="S193" s="835"/>
      <c r="T193" s="835"/>
      <c r="U193" s="835"/>
      <c r="V193" s="835"/>
      <c r="W193" s="835"/>
      <c r="X193" s="835"/>
      <c r="Y193" s="835"/>
      <c r="Z193" s="835"/>
      <c r="AA193" s="835"/>
      <c r="AB193" s="835">
        <v>2269</v>
      </c>
      <c r="AC193" s="835"/>
      <c r="AD193" s="835"/>
      <c r="AE193" s="835"/>
      <c r="AF193" s="835"/>
    </row>
    <row r="194" spans="2:62">
      <c r="B194" s="835">
        <v>608</v>
      </c>
      <c r="C194" s="835">
        <v>2627</v>
      </c>
      <c r="D194" s="835"/>
      <c r="E194" s="835"/>
      <c r="F194" s="835">
        <v>2755</v>
      </c>
      <c r="G194" s="835"/>
      <c r="H194" s="835"/>
      <c r="I194" s="835"/>
      <c r="J194" s="835"/>
      <c r="K194" s="835">
        <v>2675</v>
      </c>
      <c r="L194" s="835"/>
      <c r="M194" s="835">
        <v>2667</v>
      </c>
      <c r="N194" s="835"/>
      <c r="O194" s="835"/>
      <c r="P194" s="835">
        <v>2816</v>
      </c>
      <c r="Q194" s="835">
        <v>3028</v>
      </c>
      <c r="R194" s="835"/>
      <c r="S194" s="835"/>
      <c r="T194" s="835"/>
      <c r="U194" s="835"/>
      <c r="V194" s="835"/>
      <c r="W194" s="835"/>
      <c r="X194" s="835"/>
      <c r="Y194" s="835"/>
      <c r="Z194" s="835"/>
      <c r="AA194" s="835"/>
      <c r="AB194" s="835"/>
      <c r="AC194" s="835"/>
      <c r="AD194" s="835"/>
      <c r="AE194" s="835"/>
      <c r="AF194" s="835"/>
    </row>
    <row r="195" spans="2:62">
      <c r="B195" s="835">
        <v>617</v>
      </c>
      <c r="C195" s="835"/>
      <c r="D195" s="835"/>
      <c r="E195" s="835"/>
      <c r="F195" s="835"/>
      <c r="G195" s="835"/>
      <c r="H195" s="835"/>
      <c r="I195" s="835"/>
      <c r="J195" s="835"/>
      <c r="K195" s="835"/>
      <c r="L195" s="835"/>
      <c r="M195" s="835"/>
      <c r="N195" s="835"/>
      <c r="O195" s="835">
        <v>2919</v>
      </c>
      <c r="P195" s="835"/>
      <c r="Q195" s="835"/>
      <c r="R195" s="835"/>
      <c r="S195" s="835"/>
      <c r="T195" s="835"/>
      <c r="U195" s="835"/>
      <c r="V195" s="835"/>
      <c r="W195" s="835"/>
      <c r="X195" s="835"/>
      <c r="Y195" s="835"/>
      <c r="Z195" s="835"/>
      <c r="AA195" s="835"/>
      <c r="AB195" s="835"/>
      <c r="AC195" s="835"/>
      <c r="AD195" s="835"/>
      <c r="AE195" s="835"/>
      <c r="AF195" s="835"/>
    </row>
    <row r="196" spans="2:62">
      <c r="B196" s="835">
        <v>689</v>
      </c>
      <c r="C196" s="835"/>
      <c r="D196" s="835"/>
      <c r="E196" s="835"/>
      <c r="F196" s="835"/>
      <c r="G196" s="835"/>
      <c r="H196" s="835"/>
      <c r="I196" s="835">
        <v>3119</v>
      </c>
      <c r="J196" s="835"/>
      <c r="K196" s="835"/>
      <c r="L196" s="835"/>
      <c r="M196" s="835">
        <v>3001</v>
      </c>
      <c r="N196" s="835">
        <v>3056.5</v>
      </c>
      <c r="O196" s="835">
        <v>3114</v>
      </c>
      <c r="P196" s="835">
        <v>3075</v>
      </c>
      <c r="Q196" s="835">
        <v>3135</v>
      </c>
      <c r="R196" s="835"/>
      <c r="S196" s="835">
        <v>2845</v>
      </c>
      <c r="T196" s="835">
        <v>2995.3333333333335</v>
      </c>
      <c r="U196" s="835">
        <v>3257</v>
      </c>
      <c r="V196" s="835">
        <v>2907</v>
      </c>
      <c r="W196" s="835">
        <v>3067</v>
      </c>
      <c r="X196" s="835"/>
      <c r="Y196" s="835"/>
      <c r="Z196" s="835"/>
      <c r="AA196" s="835"/>
      <c r="AB196" s="835"/>
      <c r="AC196" s="835"/>
      <c r="AD196" s="835"/>
      <c r="AE196" s="835"/>
      <c r="AF196" s="835"/>
    </row>
    <row r="197" spans="2:62">
      <c r="B197" s="835">
        <v>695</v>
      </c>
      <c r="C197" s="835"/>
      <c r="D197" s="835"/>
      <c r="E197" s="835"/>
      <c r="F197" s="835"/>
      <c r="G197" s="835"/>
      <c r="H197" s="835"/>
      <c r="I197" s="835"/>
      <c r="J197" s="835"/>
      <c r="K197" s="835"/>
      <c r="L197" s="835"/>
      <c r="M197" s="835"/>
      <c r="N197" s="835"/>
      <c r="O197" s="835"/>
      <c r="P197" s="835">
        <v>2859</v>
      </c>
      <c r="Q197" s="835"/>
      <c r="R197" s="835"/>
      <c r="S197" s="835"/>
      <c r="T197" s="835"/>
      <c r="U197" s="835"/>
      <c r="V197" s="835"/>
      <c r="W197" s="835"/>
      <c r="X197" s="835"/>
      <c r="Y197" s="835"/>
      <c r="Z197" s="835"/>
      <c r="AA197" s="835"/>
      <c r="AB197" s="835"/>
      <c r="AC197" s="835"/>
      <c r="AD197" s="835"/>
      <c r="AE197" s="835"/>
      <c r="AF197" s="835"/>
    </row>
    <row r="198" spans="2:62">
      <c r="B198" s="835">
        <v>709</v>
      </c>
      <c r="C198" s="835"/>
      <c r="D198" s="835"/>
      <c r="E198" s="835"/>
      <c r="F198" s="835"/>
      <c r="G198" s="835"/>
      <c r="H198" s="835"/>
      <c r="I198" s="835"/>
      <c r="J198" s="835"/>
      <c r="K198" s="835"/>
      <c r="L198" s="835">
        <v>2797</v>
      </c>
      <c r="M198" s="835">
        <v>3259</v>
      </c>
      <c r="N198" s="835"/>
      <c r="O198" s="835">
        <v>3266</v>
      </c>
      <c r="P198" s="835"/>
      <c r="Q198" s="835"/>
      <c r="R198" s="835"/>
      <c r="S198" s="835"/>
      <c r="T198" s="835"/>
      <c r="U198" s="835">
        <v>3015</v>
      </c>
      <c r="V198" s="835"/>
      <c r="W198" s="835"/>
      <c r="X198" s="835"/>
      <c r="Y198" s="835"/>
      <c r="Z198" s="835"/>
      <c r="AA198" s="835"/>
      <c r="AB198" s="835"/>
      <c r="AC198" s="835"/>
      <c r="AD198" s="835"/>
      <c r="AE198" s="835"/>
      <c r="AF198" s="835"/>
    </row>
    <row r="199" spans="2:62">
      <c r="B199" s="835">
        <v>711</v>
      </c>
      <c r="C199" s="835"/>
      <c r="D199" s="835"/>
      <c r="E199" s="835"/>
      <c r="F199" s="835"/>
      <c r="G199" s="835"/>
      <c r="H199" s="835"/>
      <c r="I199" s="835"/>
      <c r="J199" s="835"/>
      <c r="K199" s="835"/>
      <c r="L199" s="835"/>
      <c r="M199" s="835">
        <v>2853</v>
      </c>
      <c r="N199" s="835">
        <v>2771</v>
      </c>
      <c r="O199" s="835">
        <v>2717</v>
      </c>
      <c r="P199" s="835">
        <v>3073</v>
      </c>
      <c r="Q199" s="835"/>
      <c r="R199" s="835"/>
      <c r="S199" s="835">
        <v>2589</v>
      </c>
      <c r="T199" s="835">
        <v>2699</v>
      </c>
      <c r="U199" s="835"/>
      <c r="V199" s="835"/>
      <c r="W199" s="835"/>
      <c r="X199" s="835"/>
      <c r="Y199" s="835"/>
      <c r="Z199" s="835"/>
      <c r="AA199" s="835"/>
      <c r="AB199" s="835"/>
      <c r="AC199" s="835"/>
      <c r="AD199" s="835"/>
      <c r="AE199" s="835"/>
      <c r="AF199" s="835"/>
    </row>
    <row r="200" spans="2:62">
      <c r="B200" s="835">
        <v>719</v>
      </c>
      <c r="C200" s="835"/>
      <c r="D200" s="835"/>
      <c r="E200" s="835"/>
      <c r="F200" s="835"/>
      <c r="G200" s="835"/>
      <c r="H200" s="835"/>
      <c r="I200" s="835"/>
      <c r="J200" s="835"/>
      <c r="K200" s="835"/>
      <c r="L200" s="835"/>
      <c r="M200" s="835"/>
      <c r="N200" s="835"/>
      <c r="O200" s="835"/>
      <c r="P200" s="835"/>
      <c r="Q200" s="835"/>
      <c r="R200" s="835">
        <v>2718</v>
      </c>
      <c r="S200" s="835"/>
      <c r="T200" s="835"/>
      <c r="U200" s="835"/>
      <c r="V200" s="835"/>
      <c r="W200" s="835"/>
      <c r="X200" s="835"/>
      <c r="Y200" s="835"/>
      <c r="Z200" s="835"/>
      <c r="AA200" s="835"/>
      <c r="AB200" s="835"/>
      <c r="AC200" s="835"/>
      <c r="AD200" s="835"/>
      <c r="AE200" s="835"/>
      <c r="AF200" s="835"/>
    </row>
    <row r="201" spans="2:62">
      <c r="B201" s="835">
        <v>737</v>
      </c>
      <c r="C201" s="835"/>
      <c r="D201" s="835"/>
      <c r="E201" s="835"/>
      <c r="F201" s="835">
        <v>3055</v>
      </c>
      <c r="G201" s="835">
        <v>2938</v>
      </c>
      <c r="H201" s="835"/>
      <c r="I201" s="835"/>
      <c r="J201" s="835"/>
      <c r="K201" s="835">
        <v>2690</v>
      </c>
      <c r="L201" s="835"/>
      <c r="M201" s="835"/>
      <c r="N201" s="835"/>
      <c r="O201" s="835">
        <v>3147</v>
      </c>
      <c r="P201" s="835"/>
      <c r="Q201" s="835">
        <v>3067</v>
      </c>
      <c r="R201" s="835">
        <v>2897</v>
      </c>
      <c r="S201" s="835"/>
      <c r="T201" s="835">
        <v>2829</v>
      </c>
      <c r="U201" s="835"/>
      <c r="V201" s="835"/>
      <c r="W201" s="835"/>
      <c r="X201" s="835"/>
      <c r="Y201" s="835"/>
      <c r="Z201" s="835"/>
      <c r="AA201" s="835"/>
      <c r="AB201" s="835"/>
      <c r="AC201" s="835"/>
      <c r="AD201" s="835"/>
      <c r="AE201" s="835"/>
      <c r="AF201" s="835"/>
    </row>
    <row r="202" spans="2:62">
      <c r="B202" s="835">
        <v>751</v>
      </c>
      <c r="C202" s="835"/>
      <c r="D202" s="835"/>
      <c r="E202" s="835"/>
      <c r="F202" s="835"/>
      <c r="G202" s="835"/>
      <c r="H202" s="835"/>
      <c r="I202" s="835"/>
      <c r="J202" s="835"/>
      <c r="K202" s="835"/>
      <c r="L202" s="835"/>
      <c r="M202" s="835"/>
      <c r="N202" s="835"/>
      <c r="O202" s="835"/>
      <c r="P202" s="835"/>
      <c r="Q202" s="835"/>
      <c r="R202" s="835"/>
      <c r="S202" s="835"/>
      <c r="T202" s="835"/>
      <c r="U202" s="835"/>
      <c r="V202" s="835"/>
      <c r="W202" s="835">
        <v>3106</v>
      </c>
      <c r="X202" s="835"/>
      <c r="Y202" s="835"/>
      <c r="Z202" s="835"/>
      <c r="AA202" s="835"/>
      <c r="AB202" s="835"/>
      <c r="AC202" s="835"/>
      <c r="AD202" s="835"/>
      <c r="AE202" s="835"/>
      <c r="AF202" s="835"/>
    </row>
    <row r="203" spans="2:62">
      <c r="B203" s="835">
        <v>780</v>
      </c>
      <c r="C203" s="835"/>
      <c r="D203" s="835"/>
      <c r="E203" s="835"/>
      <c r="F203" s="835"/>
      <c r="G203" s="835"/>
      <c r="H203" s="835"/>
      <c r="I203" s="835"/>
      <c r="J203" s="835"/>
      <c r="K203" s="835"/>
      <c r="L203" s="835"/>
      <c r="M203" s="835">
        <v>3259</v>
      </c>
      <c r="N203" s="835">
        <v>3197.5</v>
      </c>
      <c r="O203" s="835"/>
      <c r="P203" s="835"/>
      <c r="Q203" s="835"/>
      <c r="R203" s="835">
        <v>2656</v>
      </c>
      <c r="S203" s="835"/>
      <c r="T203" s="835">
        <v>2766</v>
      </c>
      <c r="U203" s="835"/>
      <c r="V203" s="835">
        <v>3036</v>
      </c>
      <c r="W203" s="835"/>
      <c r="X203" s="835"/>
      <c r="Y203" s="835"/>
      <c r="Z203" s="835"/>
      <c r="AA203" s="835"/>
      <c r="AB203" s="835"/>
      <c r="AC203" s="835"/>
      <c r="AD203" s="835"/>
      <c r="AE203" s="835"/>
      <c r="AF203" s="835"/>
    </row>
    <row r="204" spans="2:62">
      <c r="B204" s="835">
        <v>786</v>
      </c>
      <c r="C204" s="835">
        <v>3291</v>
      </c>
      <c r="D204" s="835"/>
      <c r="E204" s="835">
        <v>3134</v>
      </c>
      <c r="F204" s="835"/>
      <c r="G204" s="835">
        <v>3062</v>
      </c>
      <c r="H204" s="835"/>
      <c r="I204" s="835">
        <v>3176</v>
      </c>
      <c r="J204" s="835">
        <v>3031</v>
      </c>
      <c r="K204" s="835">
        <v>3047.6666666666665</v>
      </c>
      <c r="L204" s="835">
        <v>3224.5</v>
      </c>
      <c r="M204" s="835">
        <v>3237.3333333333335</v>
      </c>
      <c r="N204" s="835"/>
      <c r="O204" s="835">
        <v>3398</v>
      </c>
      <c r="P204" s="835">
        <v>3008</v>
      </c>
      <c r="Q204" s="835">
        <v>2934</v>
      </c>
      <c r="R204" s="835"/>
      <c r="S204" s="835">
        <v>2896.5</v>
      </c>
      <c r="T204" s="835">
        <v>2772</v>
      </c>
      <c r="U204" s="835">
        <v>2967</v>
      </c>
      <c r="V204" s="835"/>
      <c r="W204" s="835">
        <v>3152</v>
      </c>
      <c r="X204" s="835"/>
      <c r="Y204" s="835"/>
      <c r="Z204" s="835"/>
      <c r="AA204" s="835"/>
      <c r="AB204" s="835"/>
      <c r="AC204" s="835"/>
      <c r="AD204" s="835"/>
      <c r="AE204" s="835"/>
      <c r="AF204" s="835"/>
    </row>
    <row r="205" spans="2:62">
      <c r="B205" s="835">
        <v>787</v>
      </c>
      <c r="C205" s="835"/>
      <c r="D205" s="835"/>
      <c r="E205" s="835"/>
      <c r="F205" s="835"/>
      <c r="G205" s="835"/>
      <c r="H205" s="835"/>
      <c r="I205" s="835"/>
      <c r="J205" s="835"/>
      <c r="K205" s="835"/>
      <c r="L205" s="835"/>
      <c r="M205" s="835"/>
      <c r="N205" s="835"/>
      <c r="O205" s="835"/>
      <c r="P205" s="835"/>
      <c r="Q205" s="835"/>
      <c r="R205" s="835"/>
      <c r="S205" s="835">
        <v>4014</v>
      </c>
      <c r="T205" s="835"/>
      <c r="U205" s="835">
        <v>3771</v>
      </c>
      <c r="V205" s="835"/>
      <c r="W205" s="835"/>
      <c r="X205" s="835"/>
      <c r="Y205" s="835"/>
      <c r="Z205" s="835"/>
      <c r="AA205" s="835"/>
      <c r="AB205" s="835"/>
      <c r="AC205" s="835"/>
      <c r="AD205" s="835"/>
      <c r="AE205" s="835"/>
      <c r="AF205" s="835"/>
    </row>
    <row r="206" spans="2:62">
      <c r="B206" s="835">
        <v>806</v>
      </c>
      <c r="C206" s="835"/>
      <c r="D206" s="835"/>
      <c r="E206" s="835"/>
      <c r="F206" s="835"/>
      <c r="G206" s="835"/>
      <c r="H206" s="835"/>
      <c r="I206" s="835"/>
      <c r="J206" s="835"/>
      <c r="K206" s="835"/>
      <c r="L206" s="835"/>
      <c r="M206" s="835"/>
      <c r="N206" s="835"/>
      <c r="O206" s="835"/>
      <c r="P206" s="835"/>
      <c r="Q206" s="835"/>
      <c r="R206" s="835"/>
      <c r="S206" s="835"/>
      <c r="T206" s="835"/>
      <c r="U206" s="835"/>
      <c r="V206" s="835">
        <v>3490</v>
      </c>
      <c r="W206" s="835"/>
      <c r="X206" s="835"/>
      <c r="Y206" s="835"/>
      <c r="Z206" s="835"/>
      <c r="AA206" s="835"/>
      <c r="AB206" s="835"/>
      <c r="AC206" s="835"/>
      <c r="AD206" s="835"/>
      <c r="AE206" s="835"/>
      <c r="AF206" s="835"/>
    </row>
    <row r="207" spans="2:62">
      <c r="B207" s="835">
        <v>810</v>
      </c>
      <c r="C207" s="835"/>
      <c r="D207" s="835"/>
      <c r="E207" s="835"/>
      <c r="F207" s="835"/>
      <c r="G207" s="835"/>
      <c r="H207" s="835"/>
      <c r="I207" s="835"/>
      <c r="J207" s="835"/>
      <c r="K207" s="835">
        <v>3377.5</v>
      </c>
      <c r="L207" s="835"/>
      <c r="M207" s="835">
        <v>3563</v>
      </c>
      <c r="N207" s="835"/>
      <c r="O207" s="835"/>
      <c r="P207" s="835"/>
      <c r="Q207" s="835">
        <v>3398</v>
      </c>
      <c r="R207" s="835"/>
      <c r="S207" s="835"/>
      <c r="T207" s="835"/>
      <c r="U207" s="835"/>
      <c r="V207" s="835"/>
      <c r="W207" s="835"/>
      <c r="X207" s="835"/>
      <c r="Y207" s="835"/>
      <c r="Z207" s="835"/>
      <c r="AA207" s="835"/>
      <c r="AB207" s="835"/>
      <c r="AC207" s="835"/>
      <c r="AD207" s="835"/>
      <c r="AE207" s="835"/>
      <c r="AF207" s="835"/>
    </row>
    <row r="208" spans="2:62">
      <c r="B208" s="835">
        <v>811</v>
      </c>
      <c r="C208" s="835"/>
      <c r="D208" s="835"/>
      <c r="E208" s="835"/>
      <c r="F208" s="835"/>
      <c r="G208" s="835"/>
      <c r="H208" s="835"/>
      <c r="I208" s="835"/>
      <c r="J208" s="835"/>
      <c r="K208" s="835"/>
      <c r="L208" s="835"/>
      <c r="M208" s="835">
        <v>3060.5</v>
      </c>
      <c r="N208" s="835">
        <v>2910</v>
      </c>
      <c r="O208" s="835">
        <v>3152</v>
      </c>
      <c r="P208" s="835"/>
      <c r="Q208" s="835"/>
      <c r="R208" s="835"/>
      <c r="S208" s="835">
        <v>3022</v>
      </c>
      <c r="T208" s="835"/>
      <c r="U208" s="835"/>
      <c r="V208" s="835"/>
      <c r="W208" s="835"/>
      <c r="X208" s="835"/>
      <c r="Y208" s="835"/>
      <c r="Z208" s="835"/>
      <c r="AA208" s="835"/>
      <c r="AB208" s="835"/>
      <c r="AC208" s="835"/>
      <c r="AD208" s="835"/>
      <c r="AE208" s="835"/>
      <c r="AF208" s="835"/>
    </row>
    <row r="209" spans="2:62">
      <c r="B209" s="835">
        <v>823</v>
      </c>
      <c r="C209" s="835"/>
      <c r="D209" s="835"/>
      <c r="E209" s="835"/>
      <c r="F209" s="835"/>
      <c r="G209" s="835"/>
      <c r="H209" s="835">
        <v>3097</v>
      </c>
      <c r="I209" s="835"/>
      <c r="J209" s="835"/>
      <c r="K209" s="835"/>
      <c r="L209" s="835"/>
      <c r="M209" s="835">
        <v>3560</v>
      </c>
      <c r="N209" s="835"/>
      <c r="O209" s="835"/>
      <c r="P209" s="835">
        <v>3357.5</v>
      </c>
      <c r="Q209" s="835"/>
      <c r="R209" s="835">
        <v>3287</v>
      </c>
      <c r="S209" s="835"/>
      <c r="T209" s="835"/>
      <c r="U209" s="835">
        <v>2967</v>
      </c>
      <c r="V209" s="835">
        <v>3431</v>
      </c>
      <c r="W209" s="835">
        <v>3502</v>
      </c>
      <c r="X209" s="835"/>
      <c r="Y209" s="835"/>
      <c r="Z209" s="835"/>
      <c r="AA209" s="835"/>
      <c r="AB209" s="835"/>
      <c r="AC209" s="835">
        <v>3001</v>
      </c>
      <c r="AD209" s="835"/>
      <c r="AE209" s="835"/>
      <c r="AF209" s="835"/>
    </row>
    <row r="210" spans="2:62">
      <c r="B210" s="835">
        <v>951</v>
      </c>
      <c r="C210" s="835"/>
      <c r="D210" s="835">
        <v>3109</v>
      </c>
      <c r="E210" s="835"/>
      <c r="F210" s="835"/>
      <c r="G210" s="835">
        <v>2864</v>
      </c>
      <c r="H210" s="835"/>
      <c r="I210" s="835"/>
      <c r="J210" s="835"/>
      <c r="K210" s="835"/>
      <c r="L210" s="835">
        <v>3158</v>
      </c>
      <c r="M210" s="835">
        <v>3058</v>
      </c>
      <c r="N210" s="835"/>
      <c r="O210" s="835"/>
      <c r="P210" s="835"/>
      <c r="Q210" s="835"/>
      <c r="R210" s="835"/>
      <c r="S210" s="835"/>
      <c r="T210" s="835"/>
      <c r="U210" s="835">
        <v>2759</v>
      </c>
      <c r="V210" s="835">
        <v>2979</v>
      </c>
      <c r="W210" s="835"/>
      <c r="X210" s="835"/>
      <c r="Y210" s="835"/>
      <c r="Z210" s="835"/>
      <c r="AA210" s="835"/>
      <c r="AB210" s="835"/>
      <c r="AC210" s="835"/>
      <c r="AD210" s="835"/>
      <c r="AE210" s="835"/>
      <c r="AF210" s="835"/>
    </row>
    <row r="211" spans="2:62">
      <c r="B211" s="837" t="s">
        <v>270</v>
      </c>
      <c r="C211" s="835"/>
      <c r="D211" s="835"/>
      <c r="E211" s="835"/>
      <c r="F211" s="835"/>
      <c r="G211" s="835"/>
      <c r="H211" s="835"/>
      <c r="I211" s="835"/>
      <c r="J211" s="835"/>
      <c r="K211" s="835"/>
      <c r="L211" s="835"/>
      <c r="M211" s="835"/>
      <c r="N211" s="835"/>
      <c r="O211" s="835"/>
      <c r="P211" s="835"/>
      <c r="Q211" s="835"/>
      <c r="R211" s="835"/>
      <c r="S211" s="835"/>
      <c r="T211" s="835"/>
      <c r="U211" s="835"/>
      <c r="V211" s="835"/>
      <c r="W211" s="835"/>
      <c r="X211" s="835"/>
      <c r="Y211" s="835"/>
      <c r="Z211" s="835"/>
      <c r="AA211" s="835"/>
      <c r="AB211" s="835"/>
      <c r="AC211" s="835"/>
      <c r="AD211" s="835"/>
      <c r="AE211" s="835"/>
      <c r="AF211" s="835"/>
    </row>
    <row r="212" spans="2:62">
      <c r="B212" s="835">
        <v>1049</v>
      </c>
      <c r="C212" s="835"/>
      <c r="D212" s="835"/>
      <c r="E212" s="835"/>
      <c r="F212" s="835"/>
      <c r="G212" s="835"/>
      <c r="H212" s="835"/>
      <c r="I212" s="835">
        <v>4496</v>
      </c>
      <c r="J212" s="835"/>
      <c r="K212" s="835"/>
      <c r="L212" s="835"/>
      <c r="M212" s="835"/>
      <c r="N212" s="835"/>
      <c r="O212" s="835"/>
      <c r="P212" s="835"/>
      <c r="Q212" s="835">
        <v>3925</v>
      </c>
      <c r="R212" s="835"/>
      <c r="S212" s="835"/>
      <c r="T212" s="835"/>
      <c r="U212" s="835">
        <v>4371</v>
      </c>
      <c r="V212" s="835"/>
      <c r="W212" s="835"/>
      <c r="X212" s="835"/>
      <c r="Y212" s="835"/>
      <c r="Z212" s="835"/>
      <c r="AA212" s="835"/>
      <c r="AB212" s="835"/>
      <c r="AC212" s="835"/>
      <c r="AD212" s="835"/>
      <c r="AE212" s="835"/>
      <c r="AF212" s="835"/>
    </row>
    <row r="213" spans="2:62">
      <c r="B213" s="835">
        <v>1056</v>
      </c>
      <c r="C213" s="835"/>
      <c r="D213" s="835"/>
      <c r="E213" s="835"/>
      <c r="F213" s="835"/>
      <c r="G213" s="835"/>
      <c r="H213" s="835"/>
      <c r="I213" s="835"/>
      <c r="J213" s="835">
        <v>3776</v>
      </c>
      <c r="K213" s="835"/>
      <c r="L213" s="835">
        <v>3769</v>
      </c>
      <c r="M213" s="835"/>
      <c r="N213" s="835">
        <v>3967</v>
      </c>
      <c r="O213" s="835"/>
      <c r="P213" s="835">
        <v>3672</v>
      </c>
      <c r="Q213" s="835">
        <v>3404</v>
      </c>
      <c r="R213" s="835">
        <v>3427</v>
      </c>
      <c r="S213" s="835"/>
      <c r="T213" s="835">
        <v>3961</v>
      </c>
      <c r="U213" s="835"/>
      <c r="V213" s="835"/>
      <c r="W213" s="835"/>
      <c r="X213" s="835"/>
      <c r="Y213" s="835"/>
      <c r="Z213" s="835"/>
      <c r="AA213" s="835"/>
      <c r="AB213" s="835"/>
      <c r="AC213" s="835"/>
      <c r="AD213" s="835"/>
      <c r="AE213" s="835"/>
      <c r="AF213" s="835"/>
    </row>
    <row r="214" spans="2:62">
      <c r="B214" s="835">
        <v>1120</v>
      </c>
      <c r="C214" s="835"/>
      <c r="D214" s="835"/>
      <c r="E214" s="835"/>
      <c r="F214" s="835"/>
      <c r="G214" s="835"/>
      <c r="H214" s="835"/>
      <c r="I214" s="835"/>
      <c r="J214" s="835"/>
      <c r="K214" s="835"/>
      <c r="L214" s="835"/>
      <c r="M214" s="835">
        <v>5454.5</v>
      </c>
      <c r="N214" s="835"/>
      <c r="O214" s="835">
        <v>4672</v>
      </c>
      <c r="P214" s="835">
        <v>4708.5</v>
      </c>
      <c r="Q214" s="835">
        <v>4265</v>
      </c>
      <c r="R214" s="835">
        <v>4602</v>
      </c>
      <c r="S214" s="835">
        <v>5025</v>
      </c>
      <c r="T214" s="835"/>
      <c r="U214" s="835">
        <v>4856</v>
      </c>
      <c r="V214" s="835"/>
      <c r="W214" s="835"/>
      <c r="X214" s="835"/>
      <c r="Y214" s="835"/>
      <c r="Z214" s="835"/>
      <c r="AA214" s="835"/>
      <c r="AB214" s="835"/>
      <c r="AC214" s="835"/>
      <c r="AD214" s="835"/>
      <c r="AE214" s="835"/>
      <c r="AF214" s="835"/>
    </row>
    <row r="215" spans="2:62">
      <c r="B215" s="835">
        <v>1149</v>
      </c>
      <c r="C215" s="835"/>
      <c r="D215" s="835"/>
      <c r="E215" s="835"/>
      <c r="F215" s="835"/>
      <c r="G215" s="835"/>
      <c r="H215" s="835"/>
      <c r="I215" s="835"/>
      <c r="J215" s="835"/>
      <c r="K215" s="835"/>
      <c r="L215" s="835"/>
      <c r="M215" s="835"/>
      <c r="N215" s="835"/>
      <c r="O215" s="835"/>
      <c r="P215" s="835"/>
      <c r="Q215" s="835">
        <v>3932</v>
      </c>
      <c r="R215" s="835">
        <v>4149</v>
      </c>
      <c r="S215" s="835"/>
      <c r="T215" s="835"/>
      <c r="U215" s="835"/>
      <c r="V215" s="835"/>
      <c r="W215" s="835"/>
      <c r="X215" s="835"/>
      <c r="Y215" s="835"/>
      <c r="Z215" s="835"/>
      <c r="AA215" s="835"/>
      <c r="AB215" s="835"/>
      <c r="AC215" s="835"/>
      <c r="AD215" s="835"/>
      <c r="AE215" s="835"/>
      <c r="AF215" s="835"/>
    </row>
    <row r="216" spans="2:62">
      <c r="B216" s="835">
        <v>1153</v>
      </c>
      <c r="C216" s="835"/>
      <c r="D216" s="835"/>
      <c r="E216" s="835"/>
      <c r="F216" s="835"/>
      <c r="G216" s="835"/>
      <c r="H216" s="835"/>
      <c r="I216" s="835"/>
      <c r="J216" s="835"/>
      <c r="K216" s="835"/>
      <c r="L216" s="835"/>
      <c r="M216" s="835"/>
      <c r="N216" s="835"/>
      <c r="O216" s="835"/>
      <c r="P216" s="835"/>
      <c r="Q216" s="835"/>
      <c r="R216" s="835">
        <v>4439</v>
      </c>
      <c r="S216" s="835"/>
      <c r="T216" s="835"/>
      <c r="U216" s="835"/>
      <c r="V216" s="835"/>
      <c r="W216" s="835"/>
      <c r="X216" s="835"/>
      <c r="Y216" s="835"/>
      <c r="Z216" s="835"/>
      <c r="AA216" s="835"/>
      <c r="AB216" s="835"/>
      <c r="AC216" s="835"/>
      <c r="AD216" s="835"/>
      <c r="AE216" s="835"/>
      <c r="AF216" s="835"/>
    </row>
    <row r="217" spans="2:62">
      <c r="B217" s="835">
        <v>1154</v>
      </c>
      <c r="C217" s="835"/>
      <c r="D217" s="835"/>
      <c r="E217" s="835"/>
      <c r="F217" s="835"/>
      <c r="G217" s="835"/>
      <c r="H217" s="835"/>
      <c r="I217" s="835"/>
      <c r="J217" s="835"/>
      <c r="K217" s="835"/>
      <c r="L217" s="835">
        <v>4912</v>
      </c>
      <c r="M217" s="835"/>
      <c r="N217" s="835"/>
      <c r="O217" s="835">
        <v>4339</v>
      </c>
      <c r="P217" s="835"/>
      <c r="Q217" s="835">
        <v>3933</v>
      </c>
      <c r="R217" s="835"/>
      <c r="S217" s="835">
        <v>4179</v>
      </c>
      <c r="T217" s="835"/>
      <c r="U217" s="835">
        <v>4137</v>
      </c>
      <c r="V217" s="835"/>
      <c r="W217" s="835"/>
      <c r="X217" s="835"/>
      <c r="Y217" s="835"/>
      <c r="Z217" s="835"/>
      <c r="AA217" s="835"/>
      <c r="AB217" s="835"/>
      <c r="AC217" s="835"/>
      <c r="AD217" s="835"/>
      <c r="AE217" s="835"/>
      <c r="AF217" s="835"/>
    </row>
    <row r="218" spans="2:62">
      <c r="B218" s="835">
        <v>1272</v>
      </c>
      <c r="C218" s="835"/>
      <c r="D218" s="835">
        <v>4522</v>
      </c>
      <c r="E218" s="835"/>
      <c r="F218" s="835"/>
      <c r="G218" s="835"/>
      <c r="H218" s="835"/>
      <c r="I218" s="835"/>
      <c r="J218" s="835"/>
      <c r="K218" s="835"/>
      <c r="L218" s="835"/>
      <c r="M218" s="835">
        <v>4267</v>
      </c>
      <c r="N218" s="835"/>
      <c r="O218" s="835"/>
      <c r="P218" s="835"/>
      <c r="Q218" s="835"/>
      <c r="R218" s="835"/>
      <c r="S218" s="835"/>
      <c r="T218" s="835"/>
      <c r="U218" s="835"/>
      <c r="V218" s="835"/>
      <c r="W218" s="835"/>
      <c r="X218" s="835"/>
      <c r="Y218" s="835"/>
      <c r="Z218" s="835"/>
      <c r="AA218" s="835"/>
      <c r="AB218" s="835"/>
      <c r="AC218" s="835"/>
      <c r="AD218" s="835"/>
      <c r="AE218" s="835"/>
      <c r="AF218" s="835"/>
    </row>
    <row r="219" spans="2:62">
      <c r="B219" s="835">
        <v>1282</v>
      </c>
      <c r="C219" s="835"/>
      <c r="D219" s="835"/>
      <c r="E219" s="835"/>
      <c r="F219" s="835"/>
      <c r="G219" s="835"/>
      <c r="H219" s="835"/>
      <c r="I219" s="835"/>
      <c r="J219" s="835"/>
      <c r="K219" s="835"/>
      <c r="L219" s="835">
        <v>5638</v>
      </c>
      <c r="M219" s="835">
        <v>5083</v>
      </c>
      <c r="N219" s="835"/>
      <c r="O219" s="835"/>
      <c r="P219" s="835"/>
      <c r="Q219" s="835"/>
      <c r="R219" s="835">
        <v>5384</v>
      </c>
      <c r="S219" s="835"/>
      <c r="T219" s="835"/>
      <c r="U219" s="835"/>
      <c r="V219" s="835"/>
      <c r="W219" s="835"/>
      <c r="X219" s="835"/>
      <c r="Y219" s="835"/>
      <c r="Z219" s="835"/>
      <c r="AA219" s="835"/>
      <c r="AB219" s="835"/>
      <c r="AC219" s="835"/>
      <c r="AD219" s="835"/>
      <c r="AE219" s="835"/>
      <c r="AF219" s="835"/>
    </row>
    <row r="220" spans="2:62">
      <c r="B220" s="835">
        <v>1340</v>
      </c>
      <c r="C220" s="835"/>
      <c r="D220" s="835"/>
      <c r="E220" s="835"/>
      <c r="F220" s="835"/>
      <c r="G220" s="835"/>
      <c r="H220" s="835"/>
      <c r="I220" s="835"/>
      <c r="J220" s="835"/>
      <c r="K220" s="835"/>
      <c r="L220" s="835"/>
      <c r="M220" s="835"/>
      <c r="N220" s="835"/>
      <c r="O220" s="835"/>
      <c r="P220" s="835"/>
      <c r="Q220" s="835">
        <v>3730</v>
      </c>
      <c r="R220" s="835"/>
      <c r="S220" s="835"/>
      <c r="T220" s="835"/>
      <c r="U220" s="835"/>
      <c r="V220" s="835"/>
      <c r="W220" s="835"/>
      <c r="X220" s="835"/>
      <c r="Y220" s="835"/>
      <c r="Z220" s="835"/>
      <c r="AA220" s="835"/>
      <c r="AB220" s="835"/>
      <c r="AC220" s="835"/>
      <c r="AD220" s="835">
        <v>3974</v>
      </c>
      <c r="AE220" s="835"/>
      <c r="AF220" s="835"/>
    </row>
    <row r="221" spans="2:62">
      <c r="B221" s="835">
        <v>1342</v>
      </c>
      <c r="C221" s="835"/>
      <c r="D221" s="835"/>
      <c r="E221" s="835"/>
      <c r="F221" s="835"/>
      <c r="G221" s="835"/>
      <c r="H221" s="835"/>
      <c r="I221" s="835"/>
      <c r="J221" s="835"/>
      <c r="K221" s="835">
        <v>5565</v>
      </c>
      <c r="L221" s="835"/>
      <c r="M221" s="835"/>
      <c r="N221" s="835"/>
      <c r="O221" s="835"/>
      <c r="P221" s="835">
        <v>6194</v>
      </c>
      <c r="Q221" s="835"/>
      <c r="R221" s="835"/>
      <c r="S221" s="835"/>
      <c r="T221" s="835"/>
      <c r="U221" s="835"/>
      <c r="V221" s="835"/>
      <c r="W221" s="835"/>
      <c r="X221" s="835"/>
      <c r="Y221" s="835"/>
      <c r="Z221" s="835"/>
      <c r="AA221" s="835"/>
      <c r="AB221" s="835"/>
      <c r="AC221" s="835"/>
      <c r="AD221" s="835"/>
      <c r="AE221" s="835"/>
      <c r="AF221" s="835"/>
    </row>
    <row r="222" spans="2:62">
      <c r="B222" s="835">
        <v>1344</v>
      </c>
      <c r="C222" s="835"/>
      <c r="D222" s="835"/>
      <c r="E222" s="835"/>
      <c r="F222" s="835"/>
      <c r="G222" s="835"/>
      <c r="H222" s="835"/>
      <c r="I222" s="835"/>
      <c r="J222" s="835"/>
      <c r="K222" s="835"/>
      <c r="L222" s="835"/>
      <c r="M222" s="835"/>
      <c r="N222" s="835"/>
      <c r="O222" s="835"/>
      <c r="P222" s="835"/>
      <c r="Q222" s="835"/>
      <c r="R222" s="835"/>
      <c r="S222" s="835">
        <v>4398</v>
      </c>
      <c r="T222" s="835"/>
      <c r="U222" s="835">
        <v>4230</v>
      </c>
      <c r="V222" s="835"/>
      <c r="W222" s="835"/>
      <c r="X222" s="835"/>
      <c r="Y222" s="835"/>
      <c r="Z222" s="835"/>
      <c r="AA222" s="835"/>
      <c r="AB222" s="835"/>
      <c r="AC222" s="835"/>
      <c r="AD222" s="835"/>
      <c r="AE222" s="835"/>
      <c r="AF222" s="835"/>
    </row>
    <row r="223" spans="2:62">
      <c r="B223" s="835">
        <v>1363</v>
      </c>
      <c r="C223" s="835"/>
      <c r="D223" s="835">
        <v>6401</v>
      </c>
      <c r="E223" s="835"/>
      <c r="F223" s="835"/>
      <c r="G223" s="835"/>
      <c r="H223" s="835"/>
      <c r="I223" s="835"/>
      <c r="J223" s="835"/>
      <c r="K223" s="835"/>
      <c r="L223" s="835"/>
      <c r="M223" s="835"/>
      <c r="N223" s="835"/>
      <c r="O223" s="835"/>
      <c r="P223" s="835"/>
      <c r="Q223" s="835"/>
      <c r="R223" s="835"/>
      <c r="S223" s="835"/>
      <c r="T223" s="835"/>
      <c r="U223" s="835"/>
      <c r="V223" s="835">
        <v>6207</v>
      </c>
      <c r="W223" s="835"/>
      <c r="X223" s="835"/>
      <c r="Y223" s="835"/>
      <c r="Z223" s="835"/>
      <c r="AA223" s="835"/>
      <c r="AB223" s="835"/>
      <c r="AC223" s="835"/>
      <c r="AD223" s="835"/>
      <c r="AE223" s="835"/>
      <c r="AF223" s="835"/>
    </row>
    <row r="224" spans="2:62">
      <c r="B224" s="837" t="s">
        <v>271</v>
      </c>
      <c r="C224" s="835"/>
      <c r="D224" s="835"/>
      <c r="E224" s="835"/>
      <c r="F224" s="835"/>
      <c r="G224" s="835"/>
      <c r="H224" s="835"/>
      <c r="I224" s="835"/>
      <c r="J224" s="835"/>
      <c r="K224" s="835"/>
      <c r="L224" s="835"/>
      <c r="M224" s="835"/>
      <c r="N224" s="835"/>
      <c r="O224" s="835"/>
      <c r="P224" s="835"/>
      <c r="Q224" s="835"/>
      <c r="R224" s="835"/>
      <c r="S224" s="835"/>
      <c r="T224" s="835"/>
      <c r="U224" s="835"/>
      <c r="V224" s="835"/>
      <c r="W224" s="835"/>
      <c r="X224" s="835"/>
      <c r="Y224" s="835"/>
      <c r="Z224" s="835"/>
      <c r="AA224" s="835"/>
      <c r="AB224" s="835"/>
      <c r="AC224" s="835"/>
      <c r="AD224" s="835"/>
      <c r="AE224" s="835"/>
      <c r="AF224" s="835"/>
    </row>
    <row r="225" spans="2:62">
      <c r="B225" s="835">
        <v>1571</v>
      </c>
      <c r="C225" s="835"/>
      <c r="D225" s="835"/>
      <c r="E225" s="835"/>
      <c r="F225" s="835"/>
      <c r="G225" s="835"/>
      <c r="H225" s="835"/>
      <c r="I225" s="835">
        <v>5419</v>
      </c>
      <c r="J225" s="835"/>
      <c r="K225" s="835">
        <v>5435</v>
      </c>
      <c r="L225" s="835"/>
      <c r="M225" s="835">
        <v>6500</v>
      </c>
      <c r="N225" s="835"/>
      <c r="O225" s="835"/>
      <c r="P225" s="835"/>
      <c r="Q225" s="835"/>
      <c r="R225" s="835"/>
      <c r="S225" s="835"/>
      <c r="T225" s="835"/>
      <c r="U225" s="835"/>
      <c r="V225" s="835"/>
      <c r="W225" s="835"/>
      <c r="X225" s="835"/>
      <c r="Y225" s="835"/>
      <c r="Z225" s="835"/>
      <c r="AA225" s="835"/>
      <c r="AB225" s="835"/>
      <c r="AC225" s="835"/>
      <c r="AD225" s="835"/>
      <c r="AE225" s="835"/>
      <c r="AF225" s="835"/>
    </row>
    <row r="226" spans="2:62">
      <c r="B226" s="835">
        <v>1620</v>
      </c>
      <c r="C226" s="835"/>
      <c r="D226" s="835"/>
      <c r="E226" s="835"/>
      <c r="F226" s="835"/>
      <c r="G226" s="835"/>
      <c r="H226" s="835"/>
      <c r="I226" s="835"/>
      <c r="J226" s="835"/>
      <c r="K226" s="835"/>
      <c r="L226" s="835">
        <v>7039</v>
      </c>
      <c r="M226" s="835"/>
      <c r="N226" s="835"/>
      <c r="O226" s="835"/>
      <c r="P226" s="835"/>
      <c r="Q226" s="835"/>
      <c r="R226" s="835"/>
      <c r="S226" s="835"/>
      <c r="T226" s="835"/>
      <c r="U226" s="835"/>
      <c r="V226" s="835"/>
      <c r="W226" s="835"/>
      <c r="X226" s="835"/>
      <c r="Y226" s="835"/>
      <c r="Z226" s="835"/>
      <c r="AA226" s="835"/>
      <c r="AB226" s="835"/>
      <c r="AC226" s="835"/>
      <c r="AD226" s="835"/>
      <c r="AE226" s="835"/>
      <c r="AF226" s="835"/>
    </row>
    <row r="227" spans="2:62">
      <c r="B227" s="835">
        <v>1734</v>
      </c>
      <c r="C227" s="835"/>
      <c r="D227" s="835"/>
      <c r="E227" s="835"/>
      <c r="F227" s="835"/>
      <c r="G227" s="835"/>
      <c r="H227" s="835">
        <v>4547</v>
      </c>
      <c r="I227" s="835"/>
      <c r="J227" s="835"/>
      <c r="K227" s="835">
        <v>5390</v>
      </c>
      <c r="L227" s="835"/>
      <c r="M227" s="835"/>
      <c r="N227" s="835"/>
      <c r="O227" s="835"/>
      <c r="P227" s="835"/>
      <c r="Q227" s="835"/>
      <c r="R227" s="835"/>
      <c r="S227" s="835"/>
      <c r="T227" s="835">
        <v>5155</v>
      </c>
      <c r="U227" s="835"/>
      <c r="V227" s="835">
        <v>5347</v>
      </c>
      <c r="W227" s="835">
        <v>5075</v>
      </c>
      <c r="X227" s="835"/>
      <c r="Y227" s="835"/>
      <c r="Z227" s="835"/>
      <c r="AA227" s="835"/>
      <c r="AB227" s="835"/>
      <c r="AC227" s="835"/>
      <c r="AD227" s="835"/>
      <c r="AE227" s="835"/>
      <c r="AF227" s="835">
        <v>6249</v>
      </c>
    </row>
    <row r="228" spans="2:62">
      <c r="B228" s="835">
        <v>2257</v>
      </c>
      <c r="C228" s="835"/>
      <c r="D228" s="835"/>
      <c r="E228" s="835"/>
      <c r="F228" s="835"/>
      <c r="G228" s="835"/>
      <c r="H228" s="835"/>
      <c r="I228" s="835"/>
      <c r="J228" s="835"/>
      <c r="K228" s="835"/>
      <c r="L228" s="835"/>
      <c r="M228" s="835"/>
      <c r="N228" s="835"/>
      <c r="O228" s="835"/>
      <c r="P228" s="835"/>
      <c r="Q228" s="835"/>
      <c r="R228" s="835"/>
      <c r="S228" s="835"/>
      <c r="T228" s="835"/>
      <c r="U228" s="835"/>
      <c r="V228" s="835"/>
      <c r="W228" s="835">
        <v>10014</v>
      </c>
      <c r="X228" s="835"/>
      <c r="Y228" s="835"/>
      <c r="Z228" s="835"/>
      <c r="AA228" s="835"/>
      <c r="AB228" s="835"/>
      <c r="AC228" s="835"/>
      <c r="AD228" s="835"/>
      <c r="AE228" s="835"/>
      <c r="AF228" s="835"/>
    </row>
    <row r="229" spans="2:62">
      <c r="B229" s="835">
        <v>2335</v>
      </c>
      <c r="C229" s="835"/>
      <c r="D229" s="835"/>
      <c r="E229" s="835"/>
      <c r="F229" s="835"/>
      <c r="G229" s="835"/>
      <c r="H229" s="835"/>
      <c r="I229" s="835"/>
      <c r="J229" s="835"/>
      <c r="K229" s="835"/>
      <c r="L229" s="835"/>
      <c r="M229" s="835"/>
      <c r="N229" s="835"/>
      <c r="O229" s="835"/>
      <c r="P229" s="835"/>
      <c r="Q229" s="835"/>
      <c r="R229" s="835"/>
      <c r="S229" s="835"/>
      <c r="T229" s="835"/>
      <c r="U229" s="835"/>
      <c r="V229" s="835"/>
      <c r="W229" s="835">
        <v>12480</v>
      </c>
      <c r="X229" s="835"/>
      <c r="Y229" s="835"/>
      <c r="Z229" s="835"/>
      <c r="AA229" s="835"/>
      <c r="AB229" s="835"/>
      <c r="AC229" s="835"/>
      <c r="AD229" s="835"/>
      <c r="AE229" s="835"/>
      <c r="AF229" s="835"/>
    </row>
    <row r="230" spans="2:62" ht="15.5">
      <c r="B230" s="843" t="s">
        <v>1109</v>
      </c>
      <c r="C230" s="835"/>
      <c r="D230" s="835"/>
      <c r="E230" s="835"/>
      <c r="F230" s="835"/>
      <c r="G230" s="835"/>
      <c r="H230" s="835"/>
      <c r="I230" s="835"/>
      <c r="J230" s="835"/>
      <c r="K230" s="835"/>
      <c r="L230" s="835"/>
      <c r="M230" s="835"/>
      <c r="N230" s="835"/>
      <c r="O230" s="835"/>
      <c r="P230" s="835"/>
      <c r="Q230" s="835"/>
      <c r="R230" s="835"/>
      <c r="S230" s="835"/>
      <c r="T230" s="835"/>
      <c r="U230" s="835"/>
      <c r="V230" s="835"/>
      <c r="W230" s="835"/>
      <c r="X230" s="835"/>
      <c r="Y230" s="835"/>
      <c r="Z230" s="835"/>
      <c r="AA230" s="835"/>
      <c r="AB230" s="835"/>
      <c r="AC230" s="835"/>
      <c r="AD230" s="835"/>
      <c r="AE230" s="835"/>
      <c r="AF230" s="835"/>
    </row>
    <row r="231" spans="2:62">
      <c r="B231" s="837" t="s">
        <v>13</v>
      </c>
      <c r="C231" s="835"/>
      <c r="D231" s="835"/>
      <c r="E231" s="835"/>
      <c r="F231" s="835"/>
      <c r="G231" s="835"/>
      <c r="H231" s="835"/>
      <c r="I231" s="835"/>
      <c r="J231" s="835"/>
      <c r="K231" s="835"/>
      <c r="L231" s="835"/>
      <c r="M231" s="835"/>
      <c r="N231" s="835"/>
      <c r="O231" s="835"/>
      <c r="P231" s="835"/>
      <c r="Q231" s="835"/>
      <c r="R231" s="835"/>
      <c r="S231" s="835"/>
      <c r="T231" s="835"/>
      <c r="U231" s="835"/>
      <c r="V231" s="835"/>
      <c r="W231" s="835"/>
      <c r="X231" s="835"/>
      <c r="Y231" s="835"/>
      <c r="Z231" s="835"/>
      <c r="AA231" s="835"/>
      <c r="AB231" s="835"/>
      <c r="AC231" s="835"/>
      <c r="AD231" s="835"/>
      <c r="AE231" s="835"/>
      <c r="AF231" s="835"/>
    </row>
    <row r="232" spans="2:62">
      <c r="B232" s="835">
        <v>571</v>
      </c>
      <c r="C232" s="835"/>
      <c r="D232" s="835">
        <v>2596.5</v>
      </c>
      <c r="E232" s="835"/>
      <c r="F232" s="835"/>
      <c r="G232" s="835">
        <v>2402.5</v>
      </c>
      <c r="H232" s="835">
        <v>2029</v>
      </c>
      <c r="I232" s="835">
        <v>2440</v>
      </c>
      <c r="J232" s="835">
        <v>2119</v>
      </c>
      <c r="K232" s="835">
        <v>2670</v>
      </c>
      <c r="L232" s="835">
        <v>2617</v>
      </c>
      <c r="M232" s="835">
        <v>2426</v>
      </c>
      <c r="N232" s="835">
        <v>2590</v>
      </c>
      <c r="O232" s="835">
        <v>2635.2</v>
      </c>
      <c r="P232" s="835"/>
      <c r="Q232" s="835"/>
      <c r="R232" s="835">
        <v>2179.3333333333335</v>
      </c>
      <c r="S232" s="835">
        <v>2495</v>
      </c>
      <c r="T232" s="835">
        <v>2120</v>
      </c>
      <c r="U232" s="835">
        <v>2440</v>
      </c>
      <c r="V232" s="835">
        <v>2379</v>
      </c>
      <c r="W232" s="835">
        <v>2480.5</v>
      </c>
      <c r="X232" s="835"/>
      <c r="Y232" s="835"/>
      <c r="Z232" s="835">
        <v>2414</v>
      </c>
      <c r="AA232" s="835">
        <v>2564</v>
      </c>
      <c r="AB232" s="835"/>
      <c r="AC232" s="835"/>
      <c r="AD232" s="835"/>
      <c r="AE232" s="835"/>
      <c r="AF232" s="835"/>
    </row>
    <row r="233" spans="2:62">
      <c r="B233" s="835">
        <v>597</v>
      </c>
      <c r="C233" s="835"/>
      <c r="D233" s="835">
        <v>2613</v>
      </c>
      <c r="E233" s="835"/>
      <c r="F233" s="835">
        <v>2209</v>
      </c>
      <c r="G233" s="835"/>
      <c r="H233" s="835"/>
      <c r="I233" s="835"/>
      <c r="J233" s="835">
        <v>2174</v>
      </c>
      <c r="K233" s="835"/>
      <c r="L233" s="835"/>
      <c r="M233" s="835">
        <v>2345</v>
      </c>
      <c r="N233" s="835">
        <v>2774</v>
      </c>
      <c r="O233" s="835">
        <v>2655</v>
      </c>
      <c r="P233" s="835">
        <v>3193</v>
      </c>
      <c r="Q233" s="835"/>
      <c r="R233" s="835">
        <v>2572</v>
      </c>
      <c r="S233" s="835"/>
      <c r="T233" s="835"/>
      <c r="U233" s="835">
        <v>2384</v>
      </c>
      <c r="V233" s="835"/>
      <c r="W233" s="835"/>
      <c r="X233" s="835"/>
      <c r="Y233" s="835"/>
      <c r="Z233" s="835"/>
      <c r="AA233" s="835"/>
      <c r="AB233" s="835"/>
      <c r="AC233" s="835"/>
      <c r="AD233" s="835"/>
      <c r="AE233" s="835"/>
      <c r="AF233" s="835"/>
    </row>
    <row r="234" spans="2:62">
      <c r="B234" s="835">
        <v>730</v>
      </c>
      <c r="C234" s="835"/>
      <c r="D234" s="835"/>
      <c r="E234" s="835"/>
      <c r="F234" s="835">
        <v>2557</v>
      </c>
      <c r="G234" s="835"/>
      <c r="H234" s="835"/>
      <c r="I234" s="835">
        <v>2064</v>
      </c>
      <c r="J234" s="835">
        <v>2470.5</v>
      </c>
      <c r="K234" s="835"/>
      <c r="L234" s="835">
        <v>2552</v>
      </c>
      <c r="M234" s="835">
        <v>2633.5</v>
      </c>
      <c r="N234" s="835"/>
      <c r="O234" s="835">
        <v>2699</v>
      </c>
      <c r="P234" s="835">
        <v>2659</v>
      </c>
      <c r="Q234" s="835"/>
      <c r="R234" s="835"/>
      <c r="S234" s="835">
        <v>2539</v>
      </c>
      <c r="T234" s="835">
        <v>2369</v>
      </c>
      <c r="U234" s="835">
        <v>2566</v>
      </c>
      <c r="V234" s="835"/>
      <c r="W234" s="835">
        <v>2804</v>
      </c>
      <c r="X234" s="835"/>
      <c r="Y234" s="835"/>
      <c r="Z234" s="835"/>
      <c r="AA234" s="835"/>
      <c r="AB234" s="835"/>
      <c r="AC234" s="835">
        <v>2776</v>
      </c>
      <c r="AD234" s="835"/>
      <c r="AE234" s="835"/>
      <c r="AF234" s="835"/>
    </row>
    <row r="235" spans="2:62">
      <c r="B235" s="837" t="s">
        <v>1209</v>
      </c>
      <c r="C235" s="835"/>
      <c r="D235" s="835"/>
      <c r="E235" s="835"/>
      <c r="F235" s="835"/>
      <c r="G235" s="835"/>
      <c r="H235" s="835"/>
      <c r="I235" s="835"/>
      <c r="J235" s="835"/>
      <c r="K235" s="835"/>
      <c r="L235" s="835"/>
      <c r="M235" s="835"/>
      <c r="N235" s="835"/>
      <c r="O235" s="835"/>
      <c r="P235" s="835"/>
      <c r="Q235" s="835"/>
      <c r="R235" s="835"/>
      <c r="S235" s="835"/>
      <c r="T235" s="835"/>
      <c r="U235" s="835"/>
      <c r="V235" s="835"/>
      <c r="W235" s="835"/>
      <c r="X235" s="835"/>
      <c r="Y235" s="835"/>
      <c r="Z235" s="835"/>
      <c r="AA235" s="835"/>
      <c r="AB235" s="835"/>
      <c r="AC235" s="835"/>
      <c r="AD235" s="835"/>
      <c r="AE235" s="835"/>
      <c r="AF235" s="835"/>
    </row>
    <row r="236" spans="2:62">
      <c r="B236" s="835">
        <v>734</v>
      </c>
      <c r="C236" s="835"/>
      <c r="D236" s="835">
        <v>2855</v>
      </c>
      <c r="E236" s="835">
        <v>2974.75</v>
      </c>
      <c r="F236" s="835">
        <v>2588</v>
      </c>
      <c r="G236" s="835"/>
      <c r="H236" s="835"/>
      <c r="I236" s="835">
        <v>2320</v>
      </c>
      <c r="J236" s="835"/>
      <c r="K236" s="835">
        <v>2812</v>
      </c>
      <c r="L236" s="835">
        <v>3164.5</v>
      </c>
      <c r="M236" s="835">
        <v>2937.6666666666665</v>
      </c>
      <c r="N236" s="835">
        <v>2723</v>
      </c>
      <c r="O236" s="835">
        <v>3302</v>
      </c>
      <c r="P236" s="835">
        <v>2764</v>
      </c>
      <c r="Q236" s="835">
        <v>2966.3333333333335</v>
      </c>
      <c r="R236" s="835"/>
      <c r="S236" s="835">
        <v>2762.6666666666665</v>
      </c>
      <c r="T236" s="835">
        <v>2864</v>
      </c>
      <c r="U236" s="835"/>
      <c r="V236" s="835">
        <v>2829</v>
      </c>
      <c r="W236" s="835">
        <v>2996.6666666666665</v>
      </c>
      <c r="X236" s="835"/>
      <c r="Y236" s="835"/>
      <c r="Z236" s="835"/>
      <c r="AA236" s="835"/>
      <c r="AB236" s="835"/>
      <c r="AC236" s="835"/>
      <c r="AD236" s="835"/>
      <c r="AE236" s="835"/>
      <c r="AF236" s="835"/>
    </row>
    <row r="237" spans="2:62">
      <c r="B237" s="835">
        <v>747</v>
      </c>
      <c r="C237" s="835">
        <v>3296</v>
      </c>
      <c r="D237" s="835">
        <v>2900</v>
      </c>
      <c r="E237" s="835"/>
      <c r="F237" s="835"/>
      <c r="G237" s="835"/>
      <c r="H237" s="835"/>
      <c r="I237" s="835"/>
      <c r="J237" s="835"/>
      <c r="K237" s="835">
        <v>3159</v>
      </c>
      <c r="L237" s="835">
        <v>3079</v>
      </c>
      <c r="M237" s="835">
        <v>3375.8</v>
      </c>
      <c r="N237" s="835">
        <v>3112</v>
      </c>
      <c r="O237" s="835">
        <v>3469.5</v>
      </c>
      <c r="P237" s="835">
        <v>3381.3333333333335</v>
      </c>
      <c r="Q237" s="835">
        <v>2840</v>
      </c>
      <c r="R237" s="835"/>
      <c r="S237" s="835"/>
      <c r="T237" s="835">
        <v>3529</v>
      </c>
      <c r="U237" s="835"/>
      <c r="V237" s="835">
        <v>3431</v>
      </c>
      <c r="W237" s="835"/>
      <c r="X237" s="835"/>
      <c r="Y237" s="835"/>
      <c r="Z237" s="835"/>
      <c r="AA237" s="835"/>
      <c r="AB237" s="835"/>
      <c r="AC237" s="835"/>
      <c r="AD237" s="835"/>
      <c r="AE237" s="835"/>
      <c r="AF237" s="835"/>
    </row>
    <row r="238" spans="2:62">
      <c r="B238" s="835">
        <v>881</v>
      </c>
      <c r="C238" s="835">
        <v>3238</v>
      </c>
      <c r="D238" s="835">
        <v>3929</v>
      </c>
      <c r="E238" s="835"/>
      <c r="F238" s="835">
        <v>3233</v>
      </c>
      <c r="G238" s="835">
        <v>3088</v>
      </c>
      <c r="H238" s="835">
        <v>2787.6666666666665</v>
      </c>
      <c r="I238" s="835"/>
      <c r="J238" s="835">
        <v>3317</v>
      </c>
      <c r="K238" s="835">
        <v>3812</v>
      </c>
      <c r="L238" s="835">
        <v>3929.5</v>
      </c>
      <c r="M238" s="835"/>
      <c r="N238" s="835">
        <v>3610</v>
      </c>
      <c r="O238" s="835">
        <v>3854.3333333333335</v>
      </c>
      <c r="P238" s="835">
        <v>3246</v>
      </c>
      <c r="Q238" s="835">
        <v>3152</v>
      </c>
      <c r="R238" s="835">
        <v>3608</v>
      </c>
      <c r="S238" s="835">
        <v>3401</v>
      </c>
      <c r="T238" s="835"/>
      <c r="U238" s="835">
        <v>3656</v>
      </c>
      <c r="V238" s="835">
        <v>3195</v>
      </c>
      <c r="W238" s="835">
        <v>3262.8333333333335</v>
      </c>
      <c r="X238" s="835"/>
      <c r="Y238" s="835"/>
      <c r="Z238" s="835"/>
      <c r="AA238" s="835"/>
      <c r="AB238" s="835"/>
      <c r="AC238" s="835"/>
      <c r="AD238" s="835"/>
      <c r="AE238" s="835"/>
      <c r="AF238" s="835"/>
    </row>
    <row r="239" spans="2:62">
      <c r="B239" s="835">
        <v>923</v>
      </c>
      <c r="C239" s="835"/>
      <c r="D239" s="835"/>
      <c r="E239" s="835"/>
      <c r="F239" s="835"/>
      <c r="G239" s="835">
        <v>3534</v>
      </c>
      <c r="H239" s="835">
        <v>3359</v>
      </c>
      <c r="I239" s="835">
        <v>3714</v>
      </c>
      <c r="J239" s="835">
        <v>4065</v>
      </c>
      <c r="K239" s="835">
        <v>4158</v>
      </c>
      <c r="L239" s="835"/>
      <c r="M239" s="835">
        <v>4384</v>
      </c>
      <c r="N239" s="835"/>
      <c r="O239" s="835">
        <v>4330</v>
      </c>
      <c r="P239" s="835">
        <v>4005.5</v>
      </c>
      <c r="Q239" s="835">
        <v>3940</v>
      </c>
      <c r="R239" s="835">
        <v>4111</v>
      </c>
      <c r="S239" s="835"/>
      <c r="T239" s="835">
        <v>4193</v>
      </c>
      <c r="U239" s="835"/>
      <c r="V239" s="835"/>
      <c r="W239" s="835">
        <v>3741.8</v>
      </c>
      <c r="X239" s="835"/>
      <c r="Y239" s="835"/>
      <c r="Z239" s="835"/>
      <c r="AA239" s="835"/>
      <c r="AB239" s="835"/>
      <c r="AC239" s="835"/>
      <c r="AD239" s="835"/>
      <c r="AE239" s="835"/>
      <c r="AF239" s="835"/>
    </row>
    <row r="240" spans="2:62">
      <c r="B240" s="837" t="s">
        <v>270</v>
      </c>
      <c r="C240" s="835"/>
      <c r="D240" s="835"/>
      <c r="E240" s="835"/>
      <c r="F240" s="835"/>
      <c r="G240" s="835"/>
      <c r="H240" s="835"/>
      <c r="I240" s="835"/>
      <c r="J240" s="835"/>
      <c r="K240" s="835"/>
      <c r="L240" s="835"/>
      <c r="M240" s="835"/>
      <c r="N240" s="835"/>
      <c r="O240" s="835"/>
      <c r="P240" s="835"/>
      <c r="Q240" s="835"/>
      <c r="R240" s="835"/>
      <c r="S240" s="835"/>
      <c r="T240" s="835"/>
      <c r="U240" s="835"/>
      <c r="V240" s="835"/>
      <c r="W240" s="835"/>
      <c r="X240" s="835"/>
      <c r="Y240" s="835"/>
      <c r="Z240" s="835"/>
      <c r="AA240" s="835"/>
      <c r="AB240" s="835"/>
      <c r="AC240" s="835"/>
      <c r="AD240" s="835"/>
      <c r="AE240" s="835"/>
      <c r="AF240" s="835"/>
    </row>
    <row r="241" spans="2:62">
      <c r="B241" s="835">
        <v>1230</v>
      </c>
      <c r="C241" s="835"/>
      <c r="D241" s="835"/>
      <c r="E241" s="835"/>
      <c r="F241" s="835"/>
      <c r="G241" s="835"/>
      <c r="H241" s="835"/>
      <c r="I241" s="835"/>
      <c r="J241" s="835">
        <v>4741</v>
      </c>
      <c r="K241" s="835"/>
      <c r="L241" s="835"/>
      <c r="M241" s="835"/>
      <c r="N241" s="835"/>
      <c r="O241" s="835"/>
      <c r="P241" s="835"/>
      <c r="Q241" s="835"/>
      <c r="R241" s="835">
        <v>4657</v>
      </c>
      <c r="S241" s="835">
        <v>3881</v>
      </c>
      <c r="T241" s="835"/>
      <c r="U241" s="835">
        <v>4335.2</v>
      </c>
      <c r="V241" s="835">
        <v>4757</v>
      </c>
      <c r="W241" s="835">
        <v>5358</v>
      </c>
      <c r="X241" s="835"/>
      <c r="Y241" s="835"/>
      <c r="Z241" s="835"/>
      <c r="AA241" s="835"/>
      <c r="AB241" s="835"/>
      <c r="AC241" s="835"/>
      <c r="AD241" s="835"/>
      <c r="AE241" s="835"/>
      <c r="AF241" s="835"/>
    </row>
    <row r="242" spans="2:62">
      <c r="B242" s="835">
        <v>1245</v>
      </c>
      <c r="C242" s="835"/>
      <c r="D242" s="835"/>
      <c r="E242" s="835"/>
      <c r="F242" s="835">
        <v>4519</v>
      </c>
      <c r="G242" s="835">
        <v>4361</v>
      </c>
      <c r="H242" s="835">
        <v>4284.666666666667</v>
      </c>
      <c r="I242" s="835">
        <v>4217</v>
      </c>
      <c r="J242" s="835"/>
      <c r="K242" s="835">
        <v>4607</v>
      </c>
      <c r="L242" s="835">
        <v>4540.5</v>
      </c>
      <c r="M242" s="835">
        <v>4660.75</v>
      </c>
      <c r="N242" s="835"/>
      <c r="O242" s="835"/>
      <c r="P242" s="835"/>
      <c r="Q242" s="835"/>
      <c r="R242" s="835"/>
      <c r="S242" s="835"/>
      <c r="T242" s="835"/>
      <c r="U242" s="835"/>
      <c r="V242" s="835">
        <v>4773</v>
      </c>
      <c r="W242" s="835"/>
      <c r="X242" s="835"/>
      <c r="Y242" s="835"/>
      <c r="Z242" s="835"/>
      <c r="AA242" s="835"/>
      <c r="AB242" s="835"/>
      <c r="AC242" s="835"/>
      <c r="AD242" s="835"/>
      <c r="AE242" s="835"/>
      <c r="AF242" s="835"/>
    </row>
    <row r="243" spans="2:62">
      <c r="B243" s="835">
        <v>1249</v>
      </c>
      <c r="C243" s="835"/>
      <c r="D243" s="835"/>
      <c r="E243" s="835"/>
      <c r="F243" s="835"/>
      <c r="G243" s="835"/>
      <c r="H243" s="835"/>
      <c r="I243" s="835"/>
      <c r="J243" s="835">
        <v>5078</v>
      </c>
      <c r="K243" s="835"/>
      <c r="L243" s="835">
        <v>5234</v>
      </c>
      <c r="M243" s="835">
        <v>5664</v>
      </c>
      <c r="N243" s="835"/>
      <c r="O243" s="835">
        <v>5761</v>
      </c>
      <c r="P243" s="835"/>
      <c r="Q243" s="835"/>
      <c r="R243" s="835"/>
      <c r="S243" s="835"/>
      <c r="T243" s="835">
        <v>4911</v>
      </c>
      <c r="U243" s="835"/>
      <c r="V243" s="835">
        <v>5142</v>
      </c>
      <c r="W243" s="835"/>
      <c r="X243" s="835"/>
      <c r="Y243" s="835"/>
      <c r="Z243" s="835"/>
      <c r="AA243" s="835"/>
      <c r="AB243" s="835"/>
      <c r="AC243" s="835"/>
      <c r="AD243" s="835"/>
      <c r="AE243" s="835"/>
      <c r="AF243" s="835"/>
    </row>
    <row r="244" spans="2:62">
      <c r="B244" s="835">
        <v>1250</v>
      </c>
      <c r="C244" s="835"/>
      <c r="D244" s="835"/>
      <c r="E244" s="835"/>
      <c r="F244" s="835">
        <v>4160</v>
      </c>
      <c r="G244" s="835"/>
      <c r="H244" s="835"/>
      <c r="I244" s="835"/>
      <c r="J244" s="835">
        <v>4527</v>
      </c>
      <c r="K244" s="835"/>
      <c r="L244" s="835">
        <v>4996</v>
      </c>
      <c r="M244" s="835">
        <v>5468</v>
      </c>
      <c r="N244" s="835">
        <v>5495.5</v>
      </c>
      <c r="O244" s="835">
        <v>4762</v>
      </c>
      <c r="P244" s="835"/>
      <c r="Q244" s="835"/>
      <c r="R244" s="835"/>
      <c r="S244" s="835"/>
      <c r="T244" s="835">
        <v>3906</v>
      </c>
      <c r="U244" s="835">
        <v>4599.666666666667</v>
      </c>
      <c r="V244" s="835"/>
      <c r="W244" s="835"/>
      <c r="X244" s="835"/>
      <c r="Y244" s="835"/>
      <c r="Z244" s="835"/>
      <c r="AA244" s="835"/>
      <c r="AB244" s="835"/>
      <c r="AC244" s="835"/>
      <c r="AD244" s="835"/>
      <c r="AE244" s="835"/>
      <c r="AF244" s="835"/>
    </row>
    <row r="245" spans="2:62">
      <c r="B245" s="835">
        <v>1316</v>
      </c>
      <c r="C245" s="835"/>
      <c r="D245" s="835"/>
      <c r="E245" s="835"/>
      <c r="F245" s="835"/>
      <c r="G245" s="835">
        <v>4834</v>
      </c>
      <c r="H245" s="835">
        <v>4580.333333333333</v>
      </c>
      <c r="I245" s="835"/>
      <c r="J245" s="835"/>
      <c r="K245" s="835"/>
      <c r="L245" s="835">
        <v>4932</v>
      </c>
      <c r="M245" s="835">
        <v>5656</v>
      </c>
      <c r="N245" s="835"/>
      <c r="O245" s="835">
        <v>5308.5</v>
      </c>
      <c r="P245" s="835">
        <v>5198.5</v>
      </c>
      <c r="Q245" s="835"/>
      <c r="R245" s="835"/>
      <c r="S245" s="835">
        <v>4867</v>
      </c>
      <c r="T245" s="835">
        <v>4693.25</v>
      </c>
      <c r="U245" s="835"/>
      <c r="V245" s="835">
        <v>4527</v>
      </c>
      <c r="W245" s="835"/>
      <c r="X245" s="835"/>
      <c r="Y245" s="835"/>
      <c r="Z245" s="835"/>
      <c r="AA245" s="835"/>
      <c r="AB245" s="835"/>
      <c r="AC245" s="835"/>
      <c r="AD245" s="835"/>
      <c r="AE245" s="835"/>
      <c r="AF245" s="835"/>
    </row>
    <row r="246" spans="2:62">
      <c r="B246" s="835">
        <v>1318</v>
      </c>
      <c r="C246" s="835"/>
      <c r="D246" s="835"/>
      <c r="E246" s="835"/>
      <c r="F246" s="835">
        <v>5353</v>
      </c>
      <c r="G246" s="835"/>
      <c r="H246" s="835"/>
      <c r="I246" s="835">
        <v>5218</v>
      </c>
      <c r="J246" s="835"/>
      <c r="K246" s="835">
        <v>5398</v>
      </c>
      <c r="L246" s="835"/>
      <c r="M246" s="835"/>
      <c r="N246" s="835"/>
      <c r="O246" s="835">
        <v>5933</v>
      </c>
      <c r="P246" s="835">
        <v>5620</v>
      </c>
      <c r="Q246" s="835"/>
      <c r="R246" s="835"/>
      <c r="S246" s="835"/>
      <c r="T246" s="835">
        <v>5151</v>
      </c>
      <c r="U246" s="835">
        <v>4987</v>
      </c>
      <c r="V246" s="835"/>
      <c r="W246" s="835"/>
      <c r="X246" s="835"/>
      <c r="Y246" s="835"/>
      <c r="Z246" s="835"/>
      <c r="AA246" s="835"/>
      <c r="AB246" s="835"/>
      <c r="AC246" s="835"/>
      <c r="AD246" s="835"/>
      <c r="AE246" s="835"/>
      <c r="AF246" s="835"/>
    </row>
    <row r="247" spans="2:62">
      <c r="B247" s="837" t="s">
        <v>271</v>
      </c>
      <c r="C247" s="835"/>
      <c r="D247" s="835"/>
      <c r="E247" s="835"/>
      <c r="F247" s="835"/>
      <c r="G247" s="835"/>
      <c r="H247" s="835"/>
      <c r="I247" s="835"/>
      <c r="J247" s="835"/>
      <c r="K247" s="835"/>
      <c r="L247" s="835"/>
      <c r="M247" s="835"/>
      <c r="N247" s="835"/>
      <c r="O247" s="835"/>
      <c r="P247" s="835"/>
      <c r="Q247" s="835"/>
      <c r="R247" s="835"/>
      <c r="S247" s="835"/>
      <c r="T247" s="835"/>
      <c r="U247" s="835"/>
      <c r="V247" s="835"/>
      <c r="W247" s="835"/>
      <c r="X247" s="835"/>
      <c r="Y247" s="835"/>
      <c r="Z247" s="835"/>
      <c r="AA247" s="835"/>
      <c r="AB247" s="835"/>
      <c r="AC247" s="835"/>
      <c r="AD247" s="835"/>
      <c r="AE247" s="835"/>
      <c r="AF247" s="835"/>
    </row>
    <row r="248" spans="2:62">
      <c r="B248" s="835">
        <v>1511</v>
      </c>
      <c r="C248" s="835"/>
      <c r="D248" s="835"/>
      <c r="E248" s="835"/>
      <c r="F248" s="835"/>
      <c r="G248" s="835"/>
      <c r="H248" s="835"/>
      <c r="I248" s="835"/>
      <c r="J248" s="835">
        <v>6068</v>
      </c>
      <c r="K248" s="835"/>
      <c r="L248" s="835"/>
      <c r="M248" s="835">
        <v>5974</v>
      </c>
      <c r="N248" s="835">
        <v>6283</v>
      </c>
      <c r="O248" s="835"/>
      <c r="P248" s="835"/>
      <c r="Q248" s="835"/>
      <c r="R248" s="835">
        <v>6690</v>
      </c>
      <c r="S248" s="835">
        <v>6465</v>
      </c>
      <c r="T248" s="835"/>
      <c r="U248" s="835"/>
      <c r="V248" s="835">
        <v>6330</v>
      </c>
      <c r="W248" s="835">
        <v>5884</v>
      </c>
      <c r="X248" s="835"/>
      <c r="Y248" s="835"/>
      <c r="Z248" s="835"/>
      <c r="AA248" s="835"/>
      <c r="AB248" s="835"/>
      <c r="AC248" s="835"/>
      <c r="AD248" s="835"/>
      <c r="AE248" s="835"/>
      <c r="AF248" s="835"/>
    </row>
    <row r="249" spans="2:62">
      <c r="B249" s="835">
        <v>1613</v>
      </c>
      <c r="C249" s="835"/>
      <c r="D249" s="835">
        <v>6402</v>
      </c>
      <c r="E249" s="835"/>
      <c r="F249" s="835"/>
      <c r="G249" s="835"/>
      <c r="H249" s="835"/>
      <c r="I249" s="835"/>
      <c r="J249" s="835"/>
      <c r="K249" s="835"/>
      <c r="L249" s="835"/>
      <c r="M249" s="835">
        <v>6601</v>
      </c>
      <c r="N249" s="835"/>
      <c r="O249" s="835"/>
      <c r="P249" s="835">
        <v>7167</v>
      </c>
      <c r="Q249" s="835"/>
      <c r="R249" s="835">
        <v>7219</v>
      </c>
      <c r="S249" s="835"/>
      <c r="T249" s="835"/>
      <c r="U249" s="835">
        <v>6858</v>
      </c>
      <c r="V249" s="835"/>
      <c r="W249" s="835">
        <v>6033</v>
      </c>
      <c r="X249" s="835"/>
      <c r="Y249" s="835"/>
      <c r="Z249" s="835"/>
      <c r="AA249" s="835"/>
      <c r="AB249" s="835"/>
      <c r="AC249" s="835"/>
      <c r="AD249" s="835"/>
      <c r="AE249" s="835"/>
      <c r="AF249" s="835"/>
    </row>
    <row r="250" spans="2:62">
      <c r="B250" s="835">
        <v>1626</v>
      </c>
      <c r="C250" s="835"/>
      <c r="D250" s="835">
        <v>6880</v>
      </c>
      <c r="E250" s="835"/>
      <c r="F250" s="835"/>
      <c r="G250" s="835"/>
      <c r="H250" s="835">
        <v>6732</v>
      </c>
      <c r="I250" s="835">
        <v>6629</v>
      </c>
      <c r="J250" s="835"/>
      <c r="K250" s="835"/>
      <c r="L250" s="835">
        <v>6894</v>
      </c>
      <c r="M250" s="835"/>
      <c r="N250" s="835"/>
      <c r="O250" s="835"/>
      <c r="P250" s="835"/>
      <c r="Q250" s="835"/>
      <c r="R250" s="835"/>
      <c r="S250" s="835"/>
      <c r="T250" s="835"/>
      <c r="U250" s="835"/>
      <c r="V250" s="835"/>
      <c r="W250" s="835"/>
      <c r="X250" s="835"/>
      <c r="Y250" s="835"/>
      <c r="Z250" s="835"/>
      <c r="AA250" s="835"/>
      <c r="AB250" s="835"/>
      <c r="AC250" s="835"/>
      <c r="AD250" s="835">
        <v>6693</v>
      </c>
      <c r="AE250" s="835"/>
      <c r="AF250" s="835"/>
    </row>
    <row r="251" spans="2:62">
      <c r="B251" s="835">
        <v>1642</v>
      </c>
      <c r="C251" s="835">
        <v>6578</v>
      </c>
      <c r="D251" s="835"/>
      <c r="E251" s="835"/>
      <c r="F251" s="835"/>
      <c r="G251" s="835"/>
      <c r="H251" s="835"/>
      <c r="I251" s="835"/>
      <c r="J251" s="835"/>
      <c r="K251" s="835"/>
      <c r="L251" s="835">
        <v>6789</v>
      </c>
      <c r="M251" s="835"/>
      <c r="N251" s="835">
        <v>7083</v>
      </c>
      <c r="O251" s="835"/>
      <c r="P251" s="835">
        <v>7493</v>
      </c>
      <c r="Q251" s="835"/>
      <c r="R251" s="835"/>
      <c r="S251" s="835"/>
      <c r="T251" s="835"/>
      <c r="U251" s="835">
        <v>6917</v>
      </c>
      <c r="V251" s="835"/>
      <c r="W251" s="835">
        <v>6338</v>
      </c>
      <c r="X251" s="835"/>
      <c r="Y251" s="835"/>
      <c r="Z251" s="835"/>
      <c r="AA251" s="835"/>
      <c r="AB251" s="835"/>
      <c r="AC251" s="835"/>
      <c r="AD251" s="835"/>
      <c r="AE251" s="835"/>
      <c r="AF251" s="835"/>
    </row>
    <row r="252" spans="2:62" ht="15.5">
      <c r="B252" s="843" t="s">
        <v>1147</v>
      </c>
      <c r="C252" s="835"/>
      <c r="D252" s="835"/>
      <c r="E252" s="835"/>
      <c r="F252" s="835"/>
      <c r="G252" s="835"/>
      <c r="H252" s="835"/>
      <c r="I252" s="835"/>
      <c r="J252" s="835"/>
      <c r="K252" s="835"/>
      <c r="L252" s="835"/>
      <c r="M252" s="835"/>
      <c r="N252" s="835"/>
      <c r="O252" s="835"/>
      <c r="P252" s="835"/>
      <c r="Q252" s="835"/>
      <c r="R252" s="835"/>
      <c r="S252" s="835"/>
      <c r="T252" s="835"/>
      <c r="U252" s="835"/>
      <c r="V252" s="835"/>
      <c r="W252" s="835"/>
      <c r="X252" s="835"/>
      <c r="Y252" s="835"/>
      <c r="Z252" s="835"/>
      <c r="AA252" s="835"/>
      <c r="AB252" s="835"/>
      <c r="AC252" s="835"/>
      <c r="AD252" s="835"/>
      <c r="AE252" s="835"/>
      <c r="AF252" s="835"/>
    </row>
    <row r="253" spans="2:62">
      <c r="B253" s="837" t="s">
        <v>13</v>
      </c>
      <c r="C253" s="835"/>
      <c r="D253" s="835"/>
      <c r="E253" s="835"/>
      <c r="F253" s="835"/>
      <c r="G253" s="835"/>
      <c r="H253" s="835"/>
      <c r="I253" s="835"/>
      <c r="J253" s="835"/>
      <c r="K253" s="835"/>
      <c r="L253" s="835"/>
      <c r="M253" s="835"/>
      <c r="N253" s="835"/>
      <c r="O253" s="835"/>
      <c r="P253" s="835"/>
      <c r="Q253" s="835"/>
      <c r="R253" s="835"/>
      <c r="S253" s="835"/>
      <c r="T253" s="835"/>
      <c r="U253" s="835"/>
      <c r="V253" s="835"/>
      <c r="W253" s="835"/>
      <c r="X253" s="835"/>
      <c r="Y253" s="835"/>
      <c r="Z253" s="835"/>
      <c r="AA253" s="835"/>
      <c r="AB253" s="835"/>
      <c r="AC253" s="835"/>
      <c r="AD253" s="835"/>
      <c r="AE253" s="835"/>
      <c r="AF253" s="835"/>
    </row>
    <row r="254" spans="2:62">
      <c r="B254" s="835">
        <v>433</v>
      </c>
      <c r="C254" s="835"/>
      <c r="D254" s="835"/>
      <c r="E254" s="835"/>
      <c r="F254" s="835"/>
      <c r="G254" s="835"/>
      <c r="H254" s="835"/>
      <c r="I254" s="835">
        <v>1800</v>
      </c>
      <c r="J254" s="835"/>
      <c r="K254" s="835"/>
      <c r="L254" s="835"/>
      <c r="M254" s="835"/>
      <c r="N254" s="835"/>
      <c r="O254" s="835"/>
      <c r="P254" s="835"/>
      <c r="Q254" s="835"/>
      <c r="R254" s="835"/>
      <c r="S254" s="835"/>
      <c r="T254" s="835"/>
      <c r="U254" s="835"/>
      <c r="V254" s="835"/>
      <c r="W254" s="835"/>
      <c r="X254" s="835"/>
      <c r="Y254" s="835"/>
      <c r="Z254" s="835"/>
      <c r="AA254" s="835"/>
      <c r="AB254" s="835"/>
      <c r="AC254" s="835"/>
      <c r="AD254" s="835"/>
      <c r="AE254" s="835"/>
      <c r="AF254" s="835"/>
    </row>
    <row r="255" spans="2:62">
      <c r="B255" s="835">
        <v>440</v>
      </c>
      <c r="C255" s="835"/>
      <c r="D255" s="835"/>
      <c r="E255" s="835"/>
      <c r="F255" s="835"/>
      <c r="G255" s="835"/>
      <c r="H255" s="835"/>
      <c r="I255" s="835"/>
      <c r="J255" s="835"/>
      <c r="K255" s="835"/>
      <c r="L255" s="835"/>
      <c r="M255" s="835"/>
      <c r="N255" s="835"/>
      <c r="O255" s="835"/>
      <c r="P255" s="835"/>
      <c r="Q255" s="835"/>
      <c r="R255" s="835"/>
      <c r="S255" s="835"/>
      <c r="T255" s="835">
        <v>1742</v>
      </c>
      <c r="U255" s="835"/>
      <c r="V255" s="835"/>
      <c r="W255" s="835"/>
      <c r="X255" s="835"/>
      <c r="Y255" s="835"/>
      <c r="Z255" s="835"/>
      <c r="AA255" s="835"/>
      <c r="AB255" s="835"/>
      <c r="AC255" s="835"/>
      <c r="AD255" s="835"/>
      <c r="AE255" s="835"/>
      <c r="AF255" s="835"/>
    </row>
    <row r="256" spans="2:62">
      <c r="B256" s="835">
        <v>452</v>
      </c>
      <c r="C256" s="835">
        <v>2049</v>
      </c>
      <c r="D256" s="835"/>
      <c r="E256" s="835">
        <v>2019</v>
      </c>
      <c r="F256" s="835">
        <v>2017</v>
      </c>
      <c r="G256" s="835">
        <v>2083</v>
      </c>
      <c r="H256" s="835"/>
      <c r="I256" s="835"/>
      <c r="J256" s="835"/>
      <c r="K256" s="835">
        <v>1918</v>
      </c>
      <c r="L256" s="835">
        <v>1953.5</v>
      </c>
      <c r="M256" s="835">
        <v>2058</v>
      </c>
      <c r="N256" s="835">
        <v>1797</v>
      </c>
      <c r="O256" s="835">
        <v>1997</v>
      </c>
      <c r="P256" s="835">
        <v>1892</v>
      </c>
      <c r="Q256" s="835">
        <v>1967</v>
      </c>
      <c r="R256" s="835"/>
      <c r="S256" s="835"/>
      <c r="T256" s="835"/>
      <c r="U256" s="835">
        <v>1845.3333333333333</v>
      </c>
      <c r="V256" s="835"/>
      <c r="W256" s="835">
        <v>2137</v>
      </c>
      <c r="X256" s="835"/>
      <c r="Y256" s="835"/>
      <c r="Z256" s="835"/>
      <c r="AA256" s="835"/>
      <c r="AB256" s="835"/>
      <c r="AC256" s="835"/>
      <c r="AD256" s="835"/>
      <c r="AE256" s="835"/>
      <c r="AF256" s="835"/>
    </row>
    <row r="257" spans="2:62">
      <c r="B257" s="835">
        <v>509</v>
      </c>
      <c r="C257" s="835">
        <v>2000</v>
      </c>
      <c r="D257" s="835"/>
      <c r="E257" s="835"/>
      <c r="F257" s="835"/>
      <c r="G257" s="835"/>
      <c r="H257" s="835"/>
      <c r="I257" s="835"/>
      <c r="J257" s="835"/>
      <c r="K257" s="835"/>
      <c r="L257" s="835">
        <v>2188</v>
      </c>
      <c r="M257" s="835"/>
      <c r="N257" s="835"/>
      <c r="O257" s="835">
        <v>2122</v>
      </c>
      <c r="P257" s="835">
        <v>2058.5</v>
      </c>
      <c r="Q257" s="835">
        <v>1992</v>
      </c>
      <c r="R257" s="835">
        <v>2074</v>
      </c>
      <c r="S257" s="835"/>
      <c r="T257" s="835">
        <v>1915.75</v>
      </c>
      <c r="U257" s="835">
        <v>2097</v>
      </c>
      <c r="V257" s="835"/>
      <c r="W257" s="835">
        <v>2044</v>
      </c>
      <c r="X257" s="835"/>
      <c r="Y257" s="835"/>
      <c r="Z257" s="835">
        <v>2139</v>
      </c>
      <c r="AA257" s="835"/>
      <c r="AB257" s="835"/>
      <c r="AC257" s="835"/>
      <c r="AD257" s="835"/>
      <c r="AE257" s="835"/>
      <c r="AF257" s="835"/>
    </row>
    <row r="258" spans="2:62">
      <c r="B258" s="835">
        <v>543</v>
      </c>
      <c r="C258" s="835"/>
      <c r="D258" s="835"/>
      <c r="E258" s="835"/>
      <c r="F258" s="835"/>
      <c r="G258" s="835"/>
      <c r="H258" s="835"/>
      <c r="I258" s="835"/>
      <c r="J258" s="835"/>
      <c r="K258" s="835"/>
      <c r="L258" s="835"/>
      <c r="M258" s="835"/>
      <c r="N258" s="835"/>
      <c r="O258" s="835"/>
      <c r="P258" s="835"/>
      <c r="Q258" s="835"/>
      <c r="R258" s="835"/>
      <c r="S258" s="835"/>
      <c r="T258" s="835"/>
      <c r="U258" s="835"/>
      <c r="V258" s="835"/>
      <c r="W258" s="835"/>
      <c r="X258" s="835"/>
      <c r="Y258" s="835"/>
      <c r="Z258" s="835"/>
      <c r="AA258" s="835"/>
      <c r="AB258" s="835"/>
      <c r="AC258" s="835"/>
      <c r="AD258" s="835"/>
      <c r="AE258" s="835"/>
      <c r="AF258" s="835"/>
    </row>
    <row r="259" spans="2:62">
      <c r="B259" s="835">
        <v>563</v>
      </c>
      <c r="C259" s="835"/>
      <c r="D259" s="835"/>
      <c r="E259" s="835"/>
      <c r="F259" s="835"/>
      <c r="G259" s="835"/>
      <c r="H259" s="835"/>
      <c r="I259" s="835"/>
      <c r="J259" s="835">
        <v>2072</v>
      </c>
      <c r="K259" s="835"/>
      <c r="L259" s="835">
        <v>2205</v>
      </c>
      <c r="M259" s="835">
        <v>2266</v>
      </c>
      <c r="N259" s="835">
        <v>2160</v>
      </c>
      <c r="O259" s="835"/>
      <c r="P259" s="835">
        <v>2326</v>
      </c>
      <c r="Q259" s="835">
        <v>2293</v>
      </c>
      <c r="R259" s="835">
        <v>2218</v>
      </c>
      <c r="S259" s="835">
        <v>1990.6666666666667</v>
      </c>
      <c r="T259" s="835">
        <v>2101</v>
      </c>
      <c r="U259" s="835">
        <v>2089.5</v>
      </c>
      <c r="V259" s="835">
        <v>2090</v>
      </c>
      <c r="W259" s="835"/>
      <c r="X259" s="835"/>
      <c r="Y259" s="835"/>
      <c r="Z259" s="835"/>
      <c r="AA259" s="835"/>
      <c r="AB259" s="835"/>
      <c r="AC259" s="835"/>
      <c r="AD259" s="835"/>
      <c r="AE259" s="835"/>
      <c r="AF259" s="835"/>
    </row>
    <row r="260" spans="2:62">
      <c r="B260" s="835">
        <v>576</v>
      </c>
      <c r="C260" s="835"/>
      <c r="D260" s="835"/>
      <c r="E260" s="835"/>
      <c r="F260" s="835"/>
      <c r="G260" s="835"/>
      <c r="H260" s="835">
        <v>2012</v>
      </c>
      <c r="I260" s="835"/>
      <c r="J260" s="835">
        <v>2162</v>
      </c>
      <c r="K260" s="835">
        <v>2400</v>
      </c>
      <c r="L260" s="835"/>
      <c r="M260" s="835">
        <v>2222</v>
      </c>
      <c r="N260" s="835">
        <v>2277</v>
      </c>
      <c r="O260" s="835">
        <v>2377</v>
      </c>
      <c r="P260" s="835"/>
      <c r="Q260" s="835"/>
      <c r="R260" s="835"/>
      <c r="S260" s="835">
        <v>1946.5</v>
      </c>
      <c r="T260" s="835">
        <v>2153.5</v>
      </c>
      <c r="U260" s="835"/>
      <c r="V260" s="835"/>
      <c r="W260" s="835"/>
      <c r="X260" s="835"/>
      <c r="Y260" s="835"/>
      <c r="Z260" s="835"/>
      <c r="AA260" s="835">
        <v>2215</v>
      </c>
      <c r="AB260" s="835"/>
      <c r="AC260" s="835"/>
      <c r="AD260" s="835"/>
      <c r="AE260" s="835"/>
      <c r="AF260" s="835"/>
    </row>
    <row r="261" spans="2:62">
      <c r="B261" s="835">
        <v>597</v>
      </c>
      <c r="C261" s="835">
        <v>2220</v>
      </c>
      <c r="D261" s="835"/>
      <c r="E261" s="835"/>
      <c r="F261" s="835"/>
      <c r="G261" s="835"/>
      <c r="H261" s="835">
        <v>1926</v>
      </c>
      <c r="I261" s="835"/>
      <c r="J261" s="835"/>
      <c r="K261" s="835">
        <v>2310</v>
      </c>
      <c r="L261" s="835">
        <v>2260</v>
      </c>
      <c r="M261" s="835"/>
      <c r="N261" s="835">
        <v>2241.5</v>
      </c>
      <c r="O261" s="835"/>
      <c r="P261" s="835">
        <v>2269</v>
      </c>
      <c r="Q261" s="835">
        <v>2198</v>
      </c>
      <c r="R261" s="835"/>
      <c r="S261" s="835">
        <v>2085</v>
      </c>
      <c r="T261" s="835">
        <v>2081</v>
      </c>
      <c r="U261" s="835"/>
      <c r="V261" s="835">
        <v>2329</v>
      </c>
      <c r="W261" s="835"/>
      <c r="X261" s="835"/>
      <c r="Y261" s="835"/>
      <c r="Z261" s="835"/>
      <c r="AA261" s="835"/>
      <c r="AB261" s="835"/>
      <c r="AC261" s="835"/>
      <c r="AD261" s="835"/>
      <c r="AE261" s="835"/>
      <c r="AF261" s="835"/>
    </row>
    <row r="262" spans="2:62">
      <c r="B262" s="835">
        <v>717</v>
      </c>
      <c r="C262" s="835"/>
      <c r="D262" s="835"/>
      <c r="E262" s="835"/>
      <c r="F262" s="835"/>
      <c r="G262" s="835"/>
      <c r="H262" s="835"/>
      <c r="I262" s="835">
        <v>2499</v>
      </c>
      <c r="J262" s="835">
        <v>2598</v>
      </c>
      <c r="K262" s="835"/>
      <c r="L262" s="835">
        <v>2623</v>
      </c>
      <c r="M262" s="835">
        <v>2705</v>
      </c>
      <c r="N262" s="835"/>
      <c r="O262" s="835">
        <v>2710</v>
      </c>
      <c r="P262" s="835">
        <v>2569</v>
      </c>
      <c r="Q262" s="835">
        <v>2656.5</v>
      </c>
      <c r="R262" s="835"/>
      <c r="S262" s="835">
        <v>2522.5</v>
      </c>
      <c r="T262" s="835">
        <v>2487.5</v>
      </c>
      <c r="U262" s="835"/>
      <c r="V262" s="835"/>
      <c r="W262" s="835">
        <v>2382</v>
      </c>
      <c r="X262" s="835"/>
      <c r="Y262" s="835"/>
      <c r="Z262" s="835"/>
      <c r="AA262" s="835"/>
      <c r="AB262" s="835"/>
      <c r="AC262" s="835"/>
      <c r="AD262" s="835"/>
      <c r="AE262" s="835"/>
      <c r="AF262" s="835"/>
    </row>
    <row r="263" spans="2:62">
      <c r="B263" s="835">
        <v>720</v>
      </c>
      <c r="C263" s="835"/>
      <c r="D263" s="835"/>
      <c r="E263" s="835"/>
      <c r="F263" s="835"/>
      <c r="G263" s="835"/>
      <c r="H263" s="835"/>
      <c r="I263" s="835"/>
      <c r="J263" s="835"/>
      <c r="K263" s="835"/>
      <c r="L263" s="835"/>
      <c r="M263" s="835"/>
      <c r="N263" s="835"/>
      <c r="O263" s="835"/>
      <c r="P263" s="835">
        <v>2525</v>
      </c>
      <c r="Q263" s="835">
        <v>2580</v>
      </c>
      <c r="R263" s="835"/>
      <c r="S263" s="835">
        <v>2469</v>
      </c>
      <c r="T263" s="835">
        <v>2436</v>
      </c>
      <c r="U263" s="835"/>
      <c r="V263" s="835">
        <v>2336</v>
      </c>
      <c r="W263" s="835">
        <v>2457</v>
      </c>
      <c r="X263" s="835"/>
      <c r="Y263" s="835"/>
      <c r="Z263" s="835"/>
      <c r="AA263" s="835"/>
      <c r="AB263" s="835"/>
      <c r="AC263" s="835">
        <v>2429</v>
      </c>
      <c r="AD263" s="835"/>
      <c r="AE263" s="835"/>
      <c r="AF263" s="835"/>
    </row>
    <row r="264" spans="2:62">
      <c r="B264" s="835">
        <v>734</v>
      </c>
      <c r="C264" s="835"/>
      <c r="D264" s="835"/>
      <c r="E264" s="835"/>
      <c r="F264" s="835"/>
      <c r="G264" s="835"/>
      <c r="H264" s="835"/>
      <c r="I264" s="835"/>
      <c r="J264" s="835"/>
      <c r="K264" s="835"/>
      <c r="L264" s="835">
        <v>2575</v>
      </c>
      <c r="M264" s="835"/>
      <c r="N264" s="835"/>
      <c r="O264" s="835"/>
      <c r="P264" s="835"/>
      <c r="Q264" s="835"/>
      <c r="R264" s="835"/>
      <c r="S264" s="835"/>
      <c r="T264" s="835"/>
      <c r="U264" s="835"/>
      <c r="V264" s="835"/>
      <c r="W264" s="835"/>
      <c r="X264" s="835"/>
      <c r="Y264" s="835"/>
      <c r="Z264" s="835"/>
      <c r="AA264" s="835"/>
      <c r="AB264" s="835"/>
      <c r="AC264" s="835"/>
      <c r="AD264" s="835"/>
      <c r="AE264" s="835"/>
      <c r="AF264" s="835"/>
    </row>
    <row r="265" spans="2:62">
      <c r="B265" s="837" t="s">
        <v>1209</v>
      </c>
      <c r="C265" s="835"/>
      <c r="D265" s="835"/>
      <c r="E265" s="835"/>
      <c r="F265" s="835"/>
      <c r="G265" s="835"/>
      <c r="H265" s="835"/>
      <c r="I265" s="835"/>
      <c r="J265" s="835"/>
      <c r="K265" s="835"/>
      <c r="L265" s="835"/>
      <c r="M265" s="835"/>
      <c r="N265" s="835"/>
      <c r="O265" s="835"/>
      <c r="P265" s="835"/>
      <c r="Q265" s="835"/>
      <c r="R265" s="835"/>
      <c r="S265" s="835"/>
      <c r="T265" s="835"/>
      <c r="U265" s="835"/>
      <c r="V265" s="835"/>
      <c r="W265" s="835"/>
      <c r="X265" s="835"/>
      <c r="Y265" s="835"/>
      <c r="Z265" s="835"/>
      <c r="AA265" s="835"/>
      <c r="AB265" s="835"/>
      <c r="AC265" s="835"/>
      <c r="AD265" s="835"/>
      <c r="AE265" s="835"/>
      <c r="AF265" s="835"/>
    </row>
    <row r="266" spans="2:62">
      <c r="B266" s="835">
        <v>598</v>
      </c>
      <c r="C266" s="835">
        <v>2459.5</v>
      </c>
      <c r="D266" s="835"/>
      <c r="E266" s="835"/>
      <c r="F266" s="835">
        <v>2273</v>
      </c>
      <c r="G266" s="835"/>
      <c r="H266" s="835">
        <v>2358</v>
      </c>
      <c r="I266" s="835"/>
      <c r="J266" s="835">
        <v>2257</v>
      </c>
      <c r="K266" s="835"/>
      <c r="L266" s="835"/>
      <c r="M266" s="835">
        <v>2378</v>
      </c>
      <c r="N266" s="835"/>
      <c r="O266" s="835">
        <v>2151</v>
      </c>
      <c r="P266" s="835"/>
      <c r="Q266" s="835"/>
      <c r="R266" s="835">
        <v>2135</v>
      </c>
      <c r="S266" s="835"/>
      <c r="T266" s="835"/>
      <c r="U266" s="835"/>
      <c r="V266" s="835">
        <v>1891</v>
      </c>
      <c r="W266" s="835"/>
      <c r="X266" s="835"/>
      <c r="Y266" s="835"/>
      <c r="Z266" s="835"/>
      <c r="AA266" s="835"/>
      <c r="AB266" s="835"/>
      <c r="AC266" s="835"/>
      <c r="AD266" s="835"/>
      <c r="AE266" s="835"/>
      <c r="AF266" s="835"/>
    </row>
    <row r="267" spans="2:62">
      <c r="B267" s="835">
        <v>729</v>
      </c>
      <c r="C267" s="835"/>
      <c r="D267" s="835"/>
      <c r="E267" s="835"/>
      <c r="F267" s="835"/>
      <c r="G267" s="835"/>
      <c r="H267" s="835"/>
      <c r="I267" s="835"/>
      <c r="J267" s="835">
        <v>2332</v>
      </c>
      <c r="K267" s="835"/>
      <c r="L267" s="835"/>
      <c r="M267" s="835"/>
      <c r="N267" s="835"/>
      <c r="O267" s="835"/>
      <c r="P267" s="835"/>
      <c r="Q267" s="835"/>
      <c r="R267" s="835"/>
      <c r="S267" s="835"/>
      <c r="T267" s="835"/>
      <c r="U267" s="835"/>
      <c r="V267" s="835"/>
      <c r="W267" s="835"/>
      <c r="X267" s="835"/>
      <c r="Y267" s="835"/>
      <c r="Z267" s="835"/>
      <c r="AA267" s="835"/>
      <c r="AB267" s="835"/>
      <c r="AC267" s="835"/>
      <c r="AD267" s="835"/>
      <c r="AE267" s="835"/>
      <c r="AF267" s="835"/>
    </row>
    <row r="268" spans="2:62">
      <c r="B268" s="835">
        <v>761</v>
      </c>
      <c r="C268" s="835"/>
      <c r="D268" s="835">
        <v>2845</v>
      </c>
      <c r="E268" s="835"/>
      <c r="F268" s="835">
        <v>2449</v>
      </c>
      <c r="G268" s="835">
        <v>2741</v>
      </c>
      <c r="H268" s="835"/>
      <c r="I268" s="835"/>
      <c r="J268" s="835"/>
      <c r="K268" s="835"/>
      <c r="L268" s="835"/>
      <c r="M268" s="835">
        <v>2974</v>
      </c>
      <c r="N268" s="835"/>
      <c r="O268" s="835"/>
      <c r="P268" s="835">
        <v>2579</v>
      </c>
      <c r="Q268" s="835">
        <v>2719.5</v>
      </c>
      <c r="R268" s="835">
        <v>2681</v>
      </c>
      <c r="S268" s="835">
        <v>2734</v>
      </c>
      <c r="T268" s="835"/>
      <c r="U268" s="835">
        <v>2420</v>
      </c>
      <c r="V268" s="835">
        <v>2877</v>
      </c>
      <c r="W268" s="835">
        <v>2851</v>
      </c>
      <c r="X268" s="835"/>
      <c r="Y268" s="835"/>
      <c r="Z268" s="835"/>
      <c r="AA268" s="835"/>
      <c r="AB268" s="835"/>
      <c r="AC268" s="835"/>
      <c r="AD268" s="835"/>
      <c r="AE268" s="835"/>
      <c r="AF268" s="835"/>
    </row>
    <row r="269" spans="2:62">
      <c r="B269" s="835">
        <v>764</v>
      </c>
      <c r="C269" s="835">
        <v>3270</v>
      </c>
      <c r="D269" s="835"/>
      <c r="E269" s="835"/>
      <c r="F269" s="835">
        <v>2384</v>
      </c>
      <c r="G269" s="835">
        <v>2433.6666666666665</v>
      </c>
      <c r="H269" s="835"/>
      <c r="I269" s="835"/>
      <c r="J269" s="835">
        <v>2586</v>
      </c>
      <c r="K269" s="835"/>
      <c r="L269" s="835"/>
      <c r="M269" s="835"/>
      <c r="N269" s="835">
        <v>2967</v>
      </c>
      <c r="O269" s="835"/>
      <c r="P269" s="835"/>
      <c r="Q269" s="835">
        <v>2702.3333333333335</v>
      </c>
      <c r="R269" s="835">
        <v>2642</v>
      </c>
      <c r="S269" s="835"/>
      <c r="T269" s="835">
        <v>2538</v>
      </c>
      <c r="U269" s="835">
        <v>2626.5</v>
      </c>
      <c r="V269" s="835"/>
      <c r="W269" s="835">
        <v>2905</v>
      </c>
      <c r="X269" s="835"/>
      <c r="Y269" s="835"/>
      <c r="Z269" s="835"/>
      <c r="AA269" s="835"/>
      <c r="AB269" s="835"/>
      <c r="AC269" s="835"/>
      <c r="AD269" s="835"/>
      <c r="AE269" s="835"/>
      <c r="AF269" s="835"/>
    </row>
    <row r="270" spans="2:62">
      <c r="B270" s="835">
        <v>766</v>
      </c>
      <c r="C270" s="835"/>
      <c r="D270" s="835"/>
      <c r="E270" s="835"/>
      <c r="F270" s="835"/>
      <c r="G270" s="835"/>
      <c r="H270" s="835"/>
      <c r="I270" s="835"/>
      <c r="J270" s="835"/>
      <c r="K270" s="835"/>
      <c r="L270" s="835"/>
      <c r="M270" s="835"/>
      <c r="N270" s="835"/>
      <c r="O270" s="835">
        <v>3194</v>
      </c>
      <c r="P270" s="835"/>
      <c r="Q270" s="835"/>
      <c r="R270" s="835"/>
      <c r="S270" s="835"/>
      <c r="T270" s="835"/>
      <c r="U270" s="835"/>
      <c r="V270" s="835"/>
      <c r="W270" s="835"/>
      <c r="X270" s="835"/>
      <c r="Y270" s="835"/>
      <c r="Z270" s="835"/>
      <c r="AA270" s="835"/>
      <c r="AB270" s="835"/>
      <c r="AC270" s="835"/>
      <c r="AD270" s="835"/>
      <c r="AE270" s="835"/>
      <c r="AF270" s="835"/>
    </row>
    <row r="271" spans="2:62">
      <c r="B271" s="835">
        <v>791</v>
      </c>
      <c r="C271" s="835"/>
      <c r="D271" s="835"/>
      <c r="E271" s="835"/>
      <c r="F271" s="835">
        <v>2562</v>
      </c>
      <c r="G271" s="835">
        <v>2481</v>
      </c>
      <c r="H271" s="835"/>
      <c r="I271" s="835"/>
      <c r="J271" s="835">
        <v>2645</v>
      </c>
      <c r="K271" s="835">
        <v>3007</v>
      </c>
      <c r="L271" s="835">
        <v>3161</v>
      </c>
      <c r="M271" s="835"/>
      <c r="N271" s="835">
        <v>2940</v>
      </c>
      <c r="O271" s="835">
        <v>2995</v>
      </c>
      <c r="P271" s="835"/>
      <c r="Q271" s="835">
        <v>2869</v>
      </c>
      <c r="R271" s="835"/>
      <c r="S271" s="835">
        <v>2693</v>
      </c>
      <c r="T271" s="835">
        <v>2808</v>
      </c>
      <c r="U271" s="835">
        <v>2710.3333333333335</v>
      </c>
      <c r="V271" s="835"/>
      <c r="W271" s="835"/>
      <c r="X271" s="835"/>
      <c r="Y271" s="835"/>
      <c r="Z271" s="835"/>
      <c r="AA271" s="835"/>
      <c r="AB271" s="835"/>
      <c r="AC271" s="835"/>
      <c r="AD271" s="835"/>
      <c r="AE271" s="835"/>
      <c r="AF271" s="835"/>
    </row>
    <row r="272" spans="2:62">
      <c r="B272" s="835">
        <v>798</v>
      </c>
      <c r="C272" s="835"/>
      <c r="D272" s="835"/>
      <c r="E272" s="835"/>
      <c r="F272" s="835"/>
      <c r="G272" s="835"/>
      <c r="H272" s="835">
        <v>2650</v>
      </c>
      <c r="I272" s="835"/>
      <c r="J272" s="835">
        <v>2671</v>
      </c>
      <c r="K272" s="835">
        <v>3204</v>
      </c>
      <c r="L272" s="835"/>
      <c r="M272" s="835">
        <v>3035</v>
      </c>
      <c r="N272" s="835"/>
      <c r="O272" s="835">
        <v>3071</v>
      </c>
      <c r="P272" s="835"/>
      <c r="Q272" s="835"/>
      <c r="R272" s="835"/>
      <c r="S272" s="835">
        <v>2743.5</v>
      </c>
      <c r="T272" s="835">
        <v>2694</v>
      </c>
      <c r="U272" s="835">
        <v>2599.6666666666665</v>
      </c>
      <c r="V272" s="835">
        <v>2841</v>
      </c>
      <c r="W272" s="835">
        <v>3070</v>
      </c>
      <c r="X272" s="835"/>
      <c r="Y272" s="835"/>
      <c r="Z272" s="835"/>
      <c r="AA272" s="835"/>
      <c r="AB272" s="835"/>
      <c r="AC272" s="835"/>
      <c r="AD272" s="835"/>
      <c r="AE272" s="835"/>
      <c r="AF272" s="835"/>
    </row>
    <row r="273" spans="2:62">
      <c r="B273" s="835">
        <v>806</v>
      </c>
      <c r="C273" s="835"/>
      <c r="D273" s="835"/>
      <c r="E273" s="835"/>
      <c r="F273" s="835"/>
      <c r="G273" s="835"/>
      <c r="H273" s="835"/>
      <c r="I273" s="835"/>
      <c r="J273" s="835"/>
      <c r="K273" s="835"/>
      <c r="L273" s="835"/>
      <c r="M273" s="835"/>
      <c r="N273" s="835">
        <v>2860</v>
      </c>
      <c r="O273" s="835"/>
      <c r="P273" s="835"/>
      <c r="Q273" s="835"/>
      <c r="R273" s="835"/>
      <c r="S273" s="835"/>
      <c r="T273" s="835"/>
      <c r="U273" s="835"/>
      <c r="V273" s="835"/>
      <c r="W273" s="835"/>
      <c r="X273" s="835"/>
      <c r="Y273" s="835"/>
      <c r="Z273" s="835"/>
      <c r="AA273" s="835"/>
      <c r="AB273" s="835"/>
      <c r="AC273" s="835"/>
      <c r="AD273" s="835"/>
      <c r="AE273" s="835"/>
      <c r="AF273" s="835"/>
    </row>
    <row r="274" spans="2:62">
      <c r="B274" s="835">
        <v>821</v>
      </c>
      <c r="C274" s="835"/>
      <c r="D274" s="835"/>
      <c r="E274" s="835">
        <v>2865</v>
      </c>
      <c r="F274" s="835"/>
      <c r="G274" s="835">
        <v>2666</v>
      </c>
      <c r="H274" s="835"/>
      <c r="I274" s="835">
        <v>2535</v>
      </c>
      <c r="J274" s="835"/>
      <c r="K274" s="835"/>
      <c r="L274" s="835"/>
      <c r="M274" s="835">
        <v>3417</v>
      </c>
      <c r="N274" s="835">
        <v>3189</v>
      </c>
      <c r="O274" s="835"/>
      <c r="P274" s="835"/>
      <c r="Q274" s="835">
        <v>3027.5</v>
      </c>
      <c r="R274" s="835">
        <v>2898</v>
      </c>
      <c r="S274" s="835">
        <v>2790.5</v>
      </c>
      <c r="T274" s="835"/>
      <c r="U274" s="835">
        <v>2731</v>
      </c>
      <c r="V274" s="835">
        <v>2879</v>
      </c>
      <c r="W274" s="835"/>
      <c r="X274" s="835"/>
      <c r="Y274" s="835"/>
      <c r="Z274" s="835"/>
      <c r="AA274" s="835"/>
      <c r="AB274" s="835"/>
      <c r="AC274" s="835"/>
      <c r="AD274" s="835"/>
      <c r="AE274" s="835"/>
      <c r="AF274" s="835"/>
    </row>
    <row r="275" spans="2:62">
      <c r="B275" s="835">
        <v>831</v>
      </c>
      <c r="C275" s="835"/>
      <c r="D275" s="835"/>
      <c r="E275" s="835"/>
      <c r="F275" s="835"/>
      <c r="G275" s="835">
        <v>2910</v>
      </c>
      <c r="H275" s="835"/>
      <c r="I275" s="835"/>
      <c r="J275" s="835"/>
      <c r="K275" s="835"/>
      <c r="L275" s="835"/>
      <c r="M275" s="835"/>
      <c r="N275" s="835"/>
      <c r="O275" s="835"/>
      <c r="P275" s="835"/>
      <c r="Q275" s="835"/>
      <c r="R275" s="835"/>
      <c r="S275" s="835"/>
      <c r="T275" s="835"/>
      <c r="U275" s="835">
        <v>3058</v>
      </c>
      <c r="V275" s="835"/>
      <c r="W275" s="835"/>
      <c r="X275" s="835"/>
      <c r="Y275" s="835"/>
      <c r="Z275" s="835"/>
      <c r="AA275" s="835"/>
      <c r="AB275" s="835"/>
      <c r="AC275" s="835"/>
      <c r="AD275" s="835"/>
      <c r="AE275" s="835"/>
      <c r="AF275" s="835"/>
    </row>
    <row r="276" spans="2:62">
      <c r="B276" s="835">
        <v>865</v>
      </c>
      <c r="C276" s="835"/>
      <c r="D276" s="835"/>
      <c r="E276" s="835"/>
      <c r="F276" s="835"/>
      <c r="G276" s="835"/>
      <c r="H276" s="835"/>
      <c r="I276" s="835"/>
      <c r="J276" s="835"/>
      <c r="K276" s="835"/>
      <c r="L276" s="835"/>
      <c r="M276" s="835"/>
      <c r="N276" s="835"/>
      <c r="O276" s="835"/>
      <c r="P276" s="835"/>
      <c r="Q276" s="835"/>
      <c r="R276" s="835"/>
      <c r="S276" s="835"/>
      <c r="T276" s="835"/>
      <c r="U276" s="835"/>
      <c r="V276" s="835">
        <v>2747</v>
      </c>
      <c r="W276" s="835"/>
      <c r="X276" s="835"/>
      <c r="Y276" s="835"/>
      <c r="Z276" s="835"/>
      <c r="AA276" s="835"/>
      <c r="AB276" s="835"/>
      <c r="AC276" s="835"/>
      <c r="AD276" s="835"/>
      <c r="AE276" s="835"/>
      <c r="AF276" s="835"/>
    </row>
    <row r="277" spans="2:62">
      <c r="B277" s="835">
        <v>890</v>
      </c>
      <c r="C277" s="835"/>
      <c r="D277" s="835"/>
      <c r="E277" s="835"/>
      <c r="F277" s="835"/>
      <c r="G277" s="835"/>
      <c r="H277" s="835"/>
      <c r="I277" s="835"/>
      <c r="J277" s="835"/>
      <c r="K277" s="835"/>
      <c r="L277" s="835"/>
      <c r="M277" s="835"/>
      <c r="N277" s="835"/>
      <c r="O277" s="835"/>
      <c r="P277" s="835"/>
      <c r="Q277" s="835"/>
      <c r="R277" s="835"/>
      <c r="S277" s="835"/>
      <c r="T277" s="835"/>
      <c r="U277" s="835"/>
      <c r="V277" s="835">
        <v>3157</v>
      </c>
      <c r="W277" s="835"/>
      <c r="X277" s="835"/>
      <c r="Y277" s="835"/>
      <c r="Z277" s="835"/>
      <c r="AA277" s="835"/>
      <c r="AB277" s="835"/>
      <c r="AC277" s="835"/>
      <c r="AD277" s="835"/>
      <c r="AE277" s="835"/>
      <c r="AF277" s="835"/>
    </row>
    <row r="278" spans="2:62">
      <c r="B278" s="835">
        <v>945</v>
      </c>
      <c r="C278" s="835">
        <v>3282</v>
      </c>
      <c r="D278" s="835"/>
      <c r="E278" s="835"/>
      <c r="F278" s="835"/>
      <c r="G278" s="835"/>
      <c r="H278" s="835"/>
      <c r="I278" s="835"/>
      <c r="J278" s="835"/>
      <c r="K278" s="835"/>
      <c r="L278" s="835"/>
      <c r="M278" s="835"/>
      <c r="N278" s="835"/>
      <c r="O278" s="835"/>
      <c r="P278" s="835"/>
      <c r="Q278" s="835"/>
      <c r="R278" s="835"/>
      <c r="S278" s="835"/>
      <c r="T278" s="835"/>
      <c r="U278" s="835"/>
      <c r="V278" s="835"/>
      <c r="W278" s="835"/>
      <c r="X278" s="835"/>
      <c r="Y278" s="835"/>
      <c r="Z278" s="835"/>
      <c r="AA278" s="835"/>
      <c r="AB278" s="835"/>
      <c r="AC278" s="835"/>
      <c r="AD278" s="835"/>
      <c r="AE278" s="835"/>
      <c r="AF278" s="835"/>
    </row>
    <row r="279" spans="2:62">
      <c r="B279" s="835">
        <v>999</v>
      </c>
      <c r="C279" s="835"/>
      <c r="D279" s="835">
        <v>2758</v>
      </c>
      <c r="E279" s="835"/>
      <c r="F279" s="835"/>
      <c r="G279" s="835"/>
      <c r="H279" s="835"/>
      <c r="I279" s="835"/>
      <c r="J279" s="835"/>
      <c r="K279" s="835"/>
      <c r="L279" s="835"/>
      <c r="M279" s="835"/>
      <c r="N279" s="835"/>
      <c r="O279" s="835"/>
      <c r="P279" s="835"/>
      <c r="Q279" s="835"/>
      <c r="R279" s="835"/>
      <c r="S279" s="835"/>
      <c r="T279" s="835"/>
      <c r="U279" s="835"/>
      <c r="V279" s="835"/>
      <c r="W279" s="835"/>
      <c r="X279" s="835"/>
      <c r="Y279" s="835"/>
      <c r="Z279" s="835"/>
      <c r="AA279" s="835"/>
      <c r="AB279" s="835"/>
      <c r="AC279" s="835"/>
      <c r="AD279" s="835"/>
      <c r="AE279" s="835"/>
      <c r="AF279" s="835"/>
    </row>
    <row r="280" spans="2:62">
      <c r="B280" s="837" t="s">
        <v>270</v>
      </c>
      <c r="C280" s="835"/>
      <c r="D280" s="835"/>
      <c r="E280" s="835"/>
      <c r="F280" s="835"/>
      <c r="G280" s="835"/>
      <c r="H280" s="835"/>
      <c r="I280" s="835"/>
      <c r="J280" s="835"/>
      <c r="K280" s="835"/>
      <c r="L280" s="835"/>
      <c r="M280" s="835"/>
      <c r="N280" s="835"/>
      <c r="O280" s="835"/>
      <c r="P280" s="835"/>
      <c r="Q280" s="835"/>
      <c r="R280" s="835"/>
      <c r="S280" s="835"/>
      <c r="T280" s="835"/>
      <c r="U280" s="835"/>
      <c r="V280" s="835"/>
      <c r="W280" s="835"/>
      <c r="X280" s="835"/>
      <c r="Y280" s="835"/>
      <c r="Z280" s="835"/>
      <c r="AA280" s="835"/>
      <c r="AB280" s="835"/>
      <c r="AC280" s="835"/>
      <c r="AD280" s="835"/>
      <c r="AE280" s="835"/>
      <c r="AF280" s="835"/>
    </row>
    <row r="281" spans="2:62">
      <c r="B281" s="835">
        <v>955</v>
      </c>
      <c r="C281" s="835"/>
      <c r="D281" s="835"/>
      <c r="E281" s="835"/>
      <c r="F281" s="835"/>
      <c r="G281" s="835"/>
      <c r="H281" s="835"/>
      <c r="I281" s="835"/>
      <c r="J281" s="835"/>
      <c r="K281" s="835">
        <v>3334</v>
      </c>
      <c r="L281" s="835"/>
      <c r="M281" s="835"/>
      <c r="N281" s="835"/>
      <c r="O281" s="835"/>
      <c r="P281" s="835"/>
      <c r="Q281" s="835"/>
      <c r="R281" s="835"/>
      <c r="S281" s="835"/>
      <c r="T281" s="835"/>
      <c r="U281" s="835"/>
      <c r="V281" s="835"/>
      <c r="W281" s="835"/>
      <c r="X281" s="835"/>
      <c r="Y281" s="835"/>
      <c r="Z281" s="835"/>
      <c r="AA281" s="835"/>
      <c r="AB281" s="835"/>
      <c r="AC281" s="835"/>
      <c r="AD281" s="835"/>
      <c r="AE281" s="835"/>
      <c r="AF281" s="835"/>
    </row>
    <row r="282" spans="2:62">
      <c r="B282" s="835">
        <v>963</v>
      </c>
      <c r="C282" s="835">
        <v>3746</v>
      </c>
      <c r="D282" s="835"/>
      <c r="E282" s="835">
        <v>3438</v>
      </c>
      <c r="F282" s="835"/>
      <c r="G282" s="835"/>
      <c r="H282" s="835"/>
      <c r="I282" s="835">
        <v>3106</v>
      </c>
      <c r="J282" s="835"/>
      <c r="K282" s="835">
        <v>3437</v>
      </c>
      <c r="L282" s="835">
        <v>3839.5</v>
      </c>
      <c r="M282" s="835">
        <v>3998</v>
      </c>
      <c r="N282" s="835"/>
      <c r="O282" s="835">
        <v>3655.5</v>
      </c>
      <c r="P282" s="835"/>
      <c r="Q282" s="835">
        <v>3467.6666666666665</v>
      </c>
      <c r="R282" s="835"/>
      <c r="S282" s="835">
        <v>4244</v>
      </c>
      <c r="T282" s="835">
        <v>4004</v>
      </c>
      <c r="U282" s="835"/>
      <c r="V282" s="835">
        <v>3439</v>
      </c>
      <c r="W282" s="835">
        <v>3628</v>
      </c>
      <c r="X282" s="835"/>
      <c r="Y282" s="835"/>
      <c r="Z282" s="835"/>
      <c r="AA282" s="835"/>
      <c r="AB282" s="835"/>
      <c r="AC282" s="835"/>
      <c r="AD282" s="835"/>
      <c r="AE282" s="835"/>
      <c r="AF282" s="835"/>
    </row>
    <row r="283" spans="2:62">
      <c r="B283" s="835">
        <v>1220</v>
      </c>
      <c r="C283" s="835"/>
      <c r="D283" s="835"/>
      <c r="E283" s="835"/>
      <c r="F283" s="835"/>
      <c r="G283" s="835"/>
      <c r="H283" s="835"/>
      <c r="I283" s="835"/>
      <c r="J283" s="835"/>
      <c r="K283" s="835"/>
      <c r="L283" s="835"/>
      <c r="M283" s="835"/>
      <c r="N283" s="835"/>
      <c r="O283" s="835"/>
      <c r="P283" s="835"/>
      <c r="Q283" s="835"/>
      <c r="R283" s="835"/>
      <c r="S283" s="835">
        <v>4454</v>
      </c>
      <c r="T283" s="835"/>
      <c r="U283" s="835"/>
      <c r="V283" s="835"/>
      <c r="W283" s="835"/>
      <c r="X283" s="835"/>
      <c r="Y283" s="835"/>
      <c r="Z283" s="835"/>
      <c r="AA283" s="835"/>
      <c r="AB283" s="835"/>
      <c r="AC283" s="835"/>
      <c r="AD283" s="835"/>
      <c r="AE283" s="835"/>
      <c r="AF283" s="835"/>
    </row>
    <row r="284" spans="2:62">
      <c r="B284" s="835">
        <v>1225</v>
      </c>
      <c r="C284" s="835"/>
      <c r="D284" s="835"/>
      <c r="E284" s="835"/>
      <c r="F284" s="835">
        <v>3887</v>
      </c>
      <c r="G284" s="835"/>
      <c r="H284" s="835">
        <v>3792</v>
      </c>
      <c r="I284" s="835">
        <v>3736</v>
      </c>
      <c r="J284" s="835">
        <v>3850</v>
      </c>
      <c r="K284" s="835"/>
      <c r="L284" s="835">
        <v>4651</v>
      </c>
      <c r="M284" s="835"/>
      <c r="N284" s="835">
        <v>4581</v>
      </c>
      <c r="O284" s="835"/>
      <c r="P284" s="835"/>
      <c r="Q284" s="835">
        <v>3899</v>
      </c>
      <c r="R284" s="835">
        <v>4273</v>
      </c>
      <c r="S284" s="835">
        <v>4146</v>
      </c>
      <c r="T284" s="835"/>
      <c r="U284" s="835"/>
      <c r="V284" s="835">
        <v>4130</v>
      </c>
      <c r="W284" s="835">
        <v>4632</v>
      </c>
      <c r="X284" s="835"/>
      <c r="Y284" s="835"/>
      <c r="Z284" s="835"/>
      <c r="AA284" s="835"/>
      <c r="AB284" s="835"/>
      <c r="AC284" s="835"/>
      <c r="AD284" s="835"/>
      <c r="AE284" s="835"/>
      <c r="AF284" s="835"/>
    </row>
    <row r="285" spans="2:62">
      <c r="B285" s="835">
        <v>1294</v>
      </c>
      <c r="C285" s="835"/>
      <c r="D285" s="835"/>
      <c r="E285" s="835"/>
      <c r="F285" s="835"/>
      <c r="G285" s="835"/>
      <c r="H285" s="835"/>
      <c r="I285" s="835"/>
      <c r="J285" s="835"/>
      <c r="K285" s="835"/>
      <c r="L285" s="835"/>
      <c r="M285" s="835"/>
      <c r="N285" s="835"/>
      <c r="O285" s="835"/>
      <c r="P285" s="835"/>
      <c r="Q285" s="835"/>
      <c r="R285" s="835"/>
      <c r="S285" s="835">
        <v>3712</v>
      </c>
      <c r="T285" s="835"/>
      <c r="U285" s="835"/>
      <c r="V285" s="835"/>
      <c r="W285" s="835"/>
      <c r="X285" s="835"/>
      <c r="Y285" s="835"/>
      <c r="Z285" s="835"/>
      <c r="AA285" s="835"/>
      <c r="AB285" s="835"/>
      <c r="AC285" s="835"/>
      <c r="AD285" s="835"/>
      <c r="AE285" s="835"/>
      <c r="AF285" s="835"/>
    </row>
    <row r="286" spans="2:62">
      <c r="B286" s="835">
        <v>1338</v>
      </c>
      <c r="C286" s="835"/>
      <c r="D286" s="835"/>
      <c r="E286" s="835"/>
      <c r="F286" s="835"/>
      <c r="G286" s="835"/>
      <c r="H286" s="835"/>
      <c r="I286" s="835"/>
      <c r="J286" s="835"/>
      <c r="K286" s="835"/>
      <c r="L286" s="835"/>
      <c r="M286" s="835"/>
      <c r="N286" s="835"/>
      <c r="O286" s="835"/>
      <c r="P286" s="835"/>
      <c r="Q286" s="835">
        <v>3851</v>
      </c>
      <c r="R286" s="835"/>
      <c r="S286" s="835"/>
      <c r="T286" s="835"/>
      <c r="U286" s="835"/>
      <c r="V286" s="835"/>
      <c r="W286" s="835"/>
      <c r="X286" s="835"/>
      <c r="Y286" s="835"/>
      <c r="Z286" s="835"/>
      <c r="AA286" s="835"/>
      <c r="AB286" s="835"/>
      <c r="AC286" s="835"/>
      <c r="AD286" s="835"/>
      <c r="AE286" s="835"/>
      <c r="AF286" s="835"/>
    </row>
    <row r="287" spans="2:62">
      <c r="B287" s="835">
        <v>1396</v>
      </c>
      <c r="C287" s="835"/>
      <c r="D287" s="835"/>
      <c r="E287" s="835"/>
      <c r="F287" s="835"/>
      <c r="G287" s="835"/>
      <c r="H287" s="835"/>
      <c r="I287" s="835"/>
      <c r="J287" s="835"/>
      <c r="K287" s="835"/>
      <c r="L287" s="835"/>
      <c r="M287" s="835"/>
      <c r="N287" s="835"/>
      <c r="O287" s="835"/>
      <c r="P287" s="835"/>
      <c r="Q287" s="835"/>
      <c r="R287" s="835"/>
      <c r="S287" s="835"/>
      <c r="T287" s="835">
        <v>4612</v>
      </c>
      <c r="U287" s="835"/>
      <c r="V287" s="835">
        <v>4612</v>
      </c>
      <c r="W287" s="835"/>
      <c r="X287" s="835"/>
      <c r="Y287" s="835"/>
      <c r="Z287" s="835"/>
      <c r="AA287" s="835"/>
      <c r="AB287" s="835"/>
      <c r="AC287" s="835"/>
      <c r="AD287" s="835"/>
      <c r="AE287" s="835"/>
      <c r="AF287" s="835"/>
    </row>
    <row r="288" spans="2:62">
      <c r="B288" s="835">
        <v>1474</v>
      </c>
      <c r="C288" s="835"/>
      <c r="D288" s="835"/>
      <c r="E288" s="835"/>
      <c r="F288" s="835"/>
      <c r="G288" s="835"/>
      <c r="H288" s="835"/>
      <c r="I288" s="835"/>
      <c r="J288" s="835"/>
      <c r="K288" s="835"/>
      <c r="L288" s="835"/>
      <c r="M288" s="835"/>
      <c r="N288" s="835"/>
      <c r="O288" s="835"/>
      <c r="P288" s="835"/>
      <c r="Q288" s="835">
        <v>3502</v>
      </c>
      <c r="R288" s="835"/>
      <c r="S288" s="835"/>
      <c r="T288" s="835"/>
      <c r="U288" s="835"/>
      <c r="V288" s="835"/>
      <c r="W288" s="835"/>
      <c r="X288" s="835"/>
      <c r="Y288" s="835"/>
      <c r="Z288" s="835"/>
      <c r="AA288" s="835"/>
      <c r="AB288" s="835"/>
      <c r="AC288" s="835"/>
      <c r="AD288" s="835"/>
      <c r="AE288" s="835"/>
      <c r="AF288" s="835"/>
    </row>
    <row r="289" spans="2:62">
      <c r="B289" s="837" t="s">
        <v>271</v>
      </c>
      <c r="C289" s="835"/>
      <c r="D289" s="835"/>
      <c r="E289" s="835"/>
      <c r="F289" s="835"/>
      <c r="G289" s="835"/>
      <c r="H289" s="835"/>
      <c r="I289" s="835"/>
      <c r="J289" s="835"/>
      <c r="K289" s="835"/>
      <c r="L289" s="835"/>
      <c r="M289" s="835"/>
      <c r="N289" s="835"/>
      <c r="O289" s="835"/>
      <c r="P289" s="835"/>
      <c r="Q289" s="835"/>
      <c r="R289" s="835"/>
      <c r="S289" s="835"/>
      <c r="T289" s="835"/>
      <c r="U289" s="835"/>
      <c r="V289" s="835"/>
      <c r="W289" s="835"/>
      <c r="X289" s="835"/>
      <c r="Y289" s="835"/>
      <c r="Z289" s="835"/>
      <c r="AA289" s="835"/>
      <c r="AB289" s="835"/>
      <c r="AC289" s="835"/>
      <c r="AD289" s="835"/>
      <c r="AE289" s="835"/>
      <c r="AF289" s="835"/>
    </row>
    <row r="290" spans="2:62">
      <c r="B290" s="835">
        <v>1572</v>
      </c>
      <c r="C290" s="835"/>
      <c r="D290" s="835"/>
      <c r="E290" s="835"/>
      <c r="F290" s="835"/>
      <c r="G290" s="835"/>
      <c r="H290" s="835"/>
      <c r="I290" s="835"/>
      <c r="J290" s="835"/>
      <c r="K290" s="835"/>
      <c r="L290" s="835"/>
      <c r="M290" s="835"/>
      <c r="N290" s="835"/>
      <c r="O290" s="835"/>
      <c r="P290" s="835"/>
      <c r="Q290" s="835"/>
      <c r="R290" s="835"/>
      <c r="S290" s="835"/>
      <c r="T290" s="835">
        <v>5362</v>
      </c>
      <c r="U290" s="835"/>
      <c r="V290" s="835"/>
      <c r="W290" s="835"/>
      <c r="X290" s="835"/>
      <c r="Y290" s="835"/>
      <c r="Z290" s="835"/>
      <c r="AA290" s="835"/>
      <c r="AB290" s="835"/>
      <c r="AC290" s="835"/>
      <c r="AD290" s="835"/>
      <c r="AE290" s="835"/>
      <c r="AF290" s="835"/>
    </row>
    <row r="291" spans="2:62" ht="15.5">
      <c r="B291" s="843" t="s">
        <v>1080</v>
      </c>
      <c r="C291" s="835"/>
      <c r="D291" s="835"/>
      <c r="E291" s="835"/>
      <c r="F291" s="835"/>
      <c r="G291" s="835"/>
      <c r="H291" s="835"/>
      <c r="I291" s="835"/>
      <c r="J291" s="835"/>
      <c r="K291" s="835"/>
      <c r="L291" s="835"/>
      <c r="M291" s="835"/>
      <c r="N291" s="835"/>
      <c r="O291" s="835"/>
      <c r="P291" s="835"/>
      <c r="Q291" s="835"/>
      <c r="R291" s="835"/>
      <c r="S291" s="835"/>
      <c r="T291" s="835"/>
      <c r="U291" s="835"/>
      <c r="V291" s="835"/>
      <c r="W291" s="835"/>
      <c r="X291" s="835"/>
      <c r="Y291" s="835"/>
      <c r="Z291" s="835"/>
      <c r="AA291" s="835"/>
      <c r="AB291" s="835"/>
      <c r="AC291" s="835"/>
      <c r="AD291" s="835"/>
      <c r="AE291" s="835"/>
      <c r="AF291" s="835"/>
    </row>
    <row r="292" spans="2:62">
      <c r="B292" s="837" t="s">
        <v>13</v>
      </c>
      <c r="C292" s="835"/>
      <c r="D292" s="835"/>
      <c r="E292" s="835"/>
      <c r="F292" s="835"/>
      <c r="G292" s="835"/>
      <c r="H292" s="835"/>
      <c r="I292" s="835"/>
      <c r="J292" s="835"/>
      <c r="K292" s="835"/>
      <c r="L292" s="835"/>
      <c r="M292" s="835"/>
      <c r="N292" s="835"/>
      <c r="O292" s="835"/>
      <c r="P292" s="835"/>
      <c r="Q292" s="835"/>
      <c r="R292" s="835"/>
      <c r="S292" s="835"/>
      <c r="T292" s="835"/>
      <c r="U292" s="835"/>
      <c r="V292" s="835"/>
      <c r="W292" s="835"/>
      <c r="X292" s="835"/>
      <c r="Y292" s="835"/>
      <c r="Z292" s="835"/>
      <c r="AA292" s="835"/>
      <c r="AB292" s="835"/>
      <c r="AC292" s="835"/>
      <c r="AD292" s="835"/>
      <c r="AE292" s="835"/>
      <c r="AF292" s="835"/>
    </row>
    <row r="293" spans="2:62">
      <c r="B293" s="835">
        <v>493</v>
      </c>
      <c r="C293" s="835">
        <v>2050</v>
      </c>
      <c r="D293" s="835"/>
      <c r="E293" s="835"/>
      <c r="F293" s="835"/>
      <c r="G293" s="835"/>
      <c r="H293" s="835"/>
      <c r="I293" s="835"/>
      <c r="J293" s="835"/>
      <c r="K293" s="835"/>
      <c r="L293" s="835"/>
      <c r="M293" s="835"/>
      <c r="N293" s="835">
        <v>2335</v>
      </c>
      <c r="O293" s="835"/>
      <c r="P293" s="835">
        <v>2192.5</v>
      </c>
      <c r="Q293" s="835"/>
      <c r="R293" s="835"/>
      <c r="S293" s="835"/>
      <c r="T293" s="835">
        <v>2035.3333333333333</v>
      </c>
      <c r="U293" s="835">
        <v>2368</v>
      </c>
      <c r="V293" s="835">
        <v>2334</v>
      </c>
      <c r="W293" s="835">
        <v>2090.25</v>
      </c>
      <c r="X293" s="835"/>
      <c r="Y293" s="835">
        <v>1986</v>
      </c>
      <c r="Z293" s="835"/>
      <c r="AA293" s="835"/>
      <c r="AB293" s="835"/>
      <c r="AC293" s="835"/>
      <c r="AD293" s="835"/>
      <c r="AE293" s="835"/>
      <c r="AF293" s="835"/>
    </row>
    <row r="294" spans="2:62">
      <c r="B294" s="835">
        <v>615</v>
      </c>
      <c r="C294" s="835"/>
      <c r="D294" s="835"/>
      <c r="E294" s="835"/>
      <c r="F294" s="835"/>
      <c r="G294" s="835"/>
      <c r="H294" s="835"/>
      <c r="I294" s="835"/>
      <c r="J294" s="835"/>
      <c r="K294" s="835"/>
      <c r="L294" s="835"/>
      <c r="M294" s="835"/>
      <c r="N294" s="835"/>
      <c r="O294" s="835"/>
      <c r="P294" s="835"/>
      <c r="Q294" s="835"/>
      <c r="R294" s="835">
        <v>2189</v>
      </c>
      <c r="S294" s="835"/>
      <c r="T294" s="835"/>
      <c r="U294" s="835"/>
      <c r="V294" s="835"/>
      <c r="W294" s="835"/>
      <c r="X294" s="835"/>
      <c r="Y294" s="835"/>
      <c r="Z294" s="835"/>
      <c r="AA294" s="835"/>
      <c r="AB294" s="835"/>
      <c r="AC294" s="835"/>
      <c r="AD294" s="835"/>
      <c r="AE294" s="835"/>
      <c r="AF294" s="835"/>
    </row>
    <row r="295" spans="2:62">
      <c r="B295" s="835">
        <v>618</v>
      </c>
      <c r="C295" s="835"/>
      <c r="D295" s="835">
        <v>2350</v>
      </c>
      <c r="E295" s="835">
        <v>2475</v>
      </c>
      <c r="F295" s="835"/>
      <c r="G295" s="835"/>
      <c r="H295" s="835"/>
      <c r="I295" s="835"/>
      <c r="J295" s="835"/>
      <c r="K295" s="835"/>
      <c r="L295" s="835"/>
      <c r="M295" s="835">
        <v>2368.3333333333335</v>
      </c>
      <c r="N295" s="835">
        <v>2280.75</v>
      </c>
      <c r="O295" s="835"/>
      <c r="P295" s="835">
        <v>2316.75</v>
      </c>
      <c r="Q295" s="835"/>
      <c r="R295" s="835">
        <v>2525</v>
      </c>
      <c r="S295" s="835"/>
      <c r="T295" s="835">
        <v>2364</v>
      </c>
      <c r="U295" s="835">
        <v>2585</v>
      </c>
      <c r="V295" s="835">
        <v>2648.5</v>
      </c>
      <c r="W295" s="835">
        <v>2283</v>
      </c>
      <c r="X295" s="835"/>
      <c r="Y295" s="835"/>
      <c r="Z295" s="835"/>
      <c r="AA295" s="835"/>
      <c r="AB295" s="835"/>
      <c r="AC295" s="835"/>
      <c r="AD295" s="835"/>
      <c r="AE295" s="835"/>
      <c r="AF295" s="835"/>
    </row>
    <row r="296" spans="2:62">
      <c r="B296" s="835">
        <v>642</v>
      </c>
      <c r="C296" s="835">
        <v>2275</v>
      </c>
      <c r="D296" s="835">
        <v>2395</v>
      </c>
      <c r="E296" s="835">
        <v>2475</v>
      </c>
      <c r="F296" s="835"/>
      <c r="G296" s="835"/>
      <c r="H296" s="835"/>
      <c r="I296" s="835"/>
      <c r="J296" s="835"/>
      <c r="K296" s="835"/>
      <c r="L296" s="835"/>
      <c r="M296" s="835">
        <v>2370</v>
      </c>
      <c r="N296" s="835"/>
      <c r="O296" s="835"/>
      <c r="P296" s="835">
        <v>2449</v>
      </c>
      <c r="Q296" s="835"/>
      <c r="R296" s="835"/>
      <c r="S296" s="835"/>
      <c r="T296" s="835"/>
      <c r="U296" s="835">
        <v>2284</v>
      </c>
      <c r="V296" s="835"/>
      <c r="W296" s="835"/>
      <c r="X296" s="835"/>
      <c r="Y296" s="835"/>
      <c r="Z296" s="835"/>
      <c r="AA296" s="835"/>
      <c r="AB296" s="835"/>
      <c r="AC296" s="835"/>
      <c r="AD296" s="835"/>
      <c r="AE296" s="835"/>
      <c r="AF296" s="835"/>
    </row>
    <row r="297" spans="2:62">
      <c r="B297" s="835">
        <v>643</v>
      </c>
      <c r="C297" s="835"/>
      <c r="D297" s="835"/>
      <c r="E297" s="835">
        <v>2295</v>
      </c>
      <c r="F297" s="835"/>
      <c r="G297" s="835"/>
      <c r="H297" s="835"/>
      <c r="I297" s="835"/>
      <c r="J297" s="835"/>
      <c r="K297" s="835"/>
      <c r="L297" s="835"/>
      <c r="M297" s="835"/>
      <c r="N297" s="835"/>
      <c r="O297" s="835"/>
      <c r="P297" s="835"/>
      <c r="Q297" s="835"/>
      <c r="R297" s="835"/>
      <c r="S297" s="835"/>
      <c r="T297" s="835"/>
      <c r="U297" s="835"/>
      <c r="V297" s="835"/>
      <c r="W297" s="835">
        <v>2132</v>
      </c>
      <c r="X297" s="835"/>
      <c r="Y297" s="835"/>
      <c r="Z297" s="835"/>
      <c r="AA297" s="835"/>
      <c r="AB297" s="835"/>
      <c r="AC297" s="835"/>
      <c r="AD297" s="835"/>
      <c r="AE297" s="835"/>
      <c r="AF297" s="835"/>
    </row>
    <row r="298" spans="2:62">
      <c r="B298" s="835" t="s">
        <v>651</v>
      </c>
      <c r="C298" s="835"/>
      <c r="D298" s="835"/>
      <c r="E298" s="835"/>
      <c r="F298" s="835"/>
      <c r="G298" s="835"/>
      <c r="H298" s="835"/>
      <c r="I298" s="835"/>
      <c r="J298" s="835"/>
      <c r="K298" s="835"/>
      <c r="L298" s="835"/>
      <c r="M298" s="835"/>
      <c r="N298" s="835"/>
      <c r="O298" s="835"/>
      <c r="P298" s="835"/>
      <c r="Q298" s="835"/>
      <c r="R298" s="835"/>
      <c r="S298" s="835"/>
      <c r="T298" s="835"/>
      <c r="U298" s="835">
        <v>2487</v>
      </c>
      <c r="V298" s="835"/>
      <c r="W298" s="835"/>
      <c r="X298" s="835"/>
      <c r="Y298" s="835"/>
      <c r="Z298" s="835"/>
      <c r="AA298" s="835"/>
      <c r="AB298" s="835"/>
      <c r="AC298" s="835"/>
      <c r="AD298" s="835"/>
      <c r="AE298" s="835"/>
      <c r="AF298" s="835"/>
    </row>
    <row r="299" spans="2:62">
      <c r="B299" s="837" t="s">
        <v>1209</v>
      </c>
      <c r="C299" s="835"/>
      <c r="D299" s="835"/>
      <c r="E299" s="835"/>
      <c r="F299" s="835"/>
      <c r="G299" s="835"/>
      <c r="H299" s="835"/>
      <c r="I299" s="835"/>
      <c r="J299" s="835"/>
      <c r="K299" s="835"/>
      <c r="L299" s="835"/>
      <c r="M299" s="835"/>
      <c r="N299" s="835"/>
      <c r="O299" s="835"/>
      <c r="P299" s="835"/>
      <c r="Q299" s="835"/>
      <c r="R299" s="835"/>
      <c r="S299" s="835"/>
      <c r="T299" s="835"/>
      <c r="U299" s="835"/>
      <c r="V299" s="835"/>
      <c r="W299" s="835"/>
      <c r="X299" s="835"/>
      <c r="Y299" s="835"/>
      <c r="Z299" s="835"/>
      <c r="AA299" s="835"/>
      <c r="AB299" s="835"/>
      <c r="AC299" s="835"/>
      <c r="AD299" s="835"/>
      <c r="AE299" s="835"/>
      <c r="AF299" s="835"/>
    </row>
    <row r="300" spans="2:62">
      <c r="B300" s="835">
        <v>678</v>
      </c>
      <c r="C300" s="835">
        <v>2450</v>
      </c>
      <c r="D300" s="835">
        <v>2737.5</v>
      </c>
      <c r="E300" s="835">
        <v>2733.75</v>
      </c>
      <c r="F300" s="835">
        <v>2475</v>
      </c>
      <c r="G300" s="835">
        <v>2595</v>
      </c>
      <c r="H300" s="835"/>
      <c r="I300" s="835"/>
      <c r="J300" s="835"/>
      <c r="K300" s="835"/>
      <c r="L300" s="835"/>
      <c r="M300" s="835">
        <v>2608.2857142857142</v>
      </c>
      <c r="N300" s="835"/>
      <c r="O300" s="835"/>
      <c r="P300" s="835"/>
      <c r="Q300" s="835">
        <v>2676.5</v>
      </c>
      <c r="R300" s="835">
        <v>2706.5</v>
      </c>
      <c r="S300" s="835">
        <v>2821.5</v>
      </c>
      <c r="T300" s="835">
        <v>2619</v>
      </c>
      <c r="U300" s="835">
        <v>2703.5</v>
      </c>
      <c r="V300" s="835"/>
      <c r="W300" s="835">
        <v>3174</v>
      </c>
      <c r="X300" s="835"/>
      <c r="Y300" s="835"/>
      <c r="Z300" s="835"/>
      <c r="AA300" s="835"/>
      <c r="AB300" s="835"/>
      <c r="AC300" s="835"/>
      <c r="AD300" s="835"/>
      <c r="AE300" s="835"/>
      <c r="AF300" s="835"/>
    </row>
    <row r="301" spans="2:62">
      <c r="B301" s="835">
        <v>683</v>
      </c>
      <c r="C301" s="835">
        <v>2550</v>
      </c>
      <c r="D301" s="835"/>
      <c r="E301" s="835"/>
      <c r="F301" s="835"/>
      <c r="G301" s="835"/>
      <c r="H301" s="835"/>
      <c r="I301" s="835"/>
      <c r="J301" s="835"/>
      <c r="K301" s="835"/>
      <c r="L301" s="835"/>
      <c r="M301" s="835"/>
      <c r="N301" s="835"/>
      <c r="O301" s="835"/>
      <c r="P301" s="835"/>
      <c r="Q301" s="835">
        <v>2359</v>
      </c>
      <c r="R301" s="835"/>
      <c r="S301" s="835"/>
      <c r="T301" s="835"/>
      <c r="U301" s="835"/>
      <c r="V301" s="835"/>
      <c r="W301" s="835"/>
      <c r="X301" s="835"/>
      <c r="Y301" s="835"/>
      <c r="Z301" s="835"/>
      <c r="AA301" s="835"/>
      <c r="AB301" s="835"/>
      <c r="AC301" s="835"/>
      <c r="AD301" s="835"/>
      <c r="AE301" s="835"/>
      <c r="AF301" s="835"/>
    </row>
    <row r="302" spans="2:62">
      <c r="B302" s="835">
        <v>686</v>
      </c>
      <c r="C302" s="835">
        <v>2440</v>
      </c>
      <c r="D302" s="835"/>
      <c r="E302" s="835">
        <v>2672.5</v>
      </c>
      <c r="F302" s="835"/>
      <c r="G302" s="835"/>
      <c r="H302" s="835"/>
      <c r="I302" s="835"/>
      <c r="J302" s="835"/>
      <c r="K302" s="835"/>
      <c r="L302" s="835"/>
      <c r="M302" s="835">
        <v>2482</v>
      </c>
      <c r="N302" s="835"/>
      <c r="O302" s="835">
        <v>2840</v>
      </c>
      <c r="P302" s="835"/>
      <c r="Q302" s="835">
        <v>2550</v>
      </c>
      <c r="R302" s="835">
        <v>2653</v>
      </c>
      <c r="S302" s="835">
        <v>2824.5</v>
      </c>
      <c r="T302" s="835"/>
      <c r="U302" s="835">
        <v>2417.5</v>
      </c>
      <c r="V302" s="835"/>
      <c r="W302" s="835"/>
      <c r="X302" s="835"/>
      <c r="Y302" s="835"/>
      <c r="Z302" s="835"/>
      <c r="AA302" s="835"/>
      <c r="AB302" s="835"/>
      <c r="AC302" s="835"/>
      <c r="AD302" s="835"/>
      <c r="AE302" s="835"/>
      <c r="AF302" s="835"/>
    </row>
    <row r="303" spans="2:62">
      <c r="B303" s="835">
        <v>700</v>
      </c>
      <c r="C303" s="835">
        <v>2812.5</v>
      </c>
      <c r="D303" s="835"/>
      <c r="E303" s="835"/>
      <c r="F303" s="835"/>
      <c r="G303" s="835"/>
      <c r="H303" s="835">
        <v>2738.3333333333335</v>
      </c>
      <c r="I303" s="835"/>
      <c r="J303" s="835"/>
      <c r="K303" s="835"/>
      <c r="L303" s="835"/>
      <c r="M303" s="835">
        <v>2653.5</v>
      </c>
      <c r="N303" s="835"/>
      <c r="O303" s="835"/>
      <c r="P303" s="835"/>
      <c r="Q303" s="835">
        <v>2639</v>
      </c>
      <c r="R303" s="835"/>
      <c r="S303" s="835"/>
      <c r="T303" s="835"/>
      <c r="U303" s="835">
        <v>2763.6666666666665</v>
      </c>
      <c r="V303" s="835">
        <v>2981</v>
      </c>
      <c r="W303" s="835">
        <v>2939.5</v>
      </c>
      <c r="X303" s="835"/>
      <c r="Y303" s="835"/>
      <c r="Z303" s="835"/>
      <c r="AA303" s="835"/>
      <c r="AB303" s="835"/>
      <c r="AC303" s="835"/>
      <c r="AD303" s="835"/>
      <c r="AE303" s="835"/>
      <c r="AF303" s="835"/>
    </row>
    <row r="304" spans="2:62">
      <c r="B304" s="835">
        <v>720</v>
      </c>
      <c r="C304" s="835">
        <v>2562</v>
      </c>
      <c r="D304" s="835"/>
      <c r="E304" s="835"/>
      <c r="F304" s="835"/>
      <c r="G304" s="835"/>
      <c r="H304" s="835"/>
      <c r="I304" s="835"/>
      <c r="J304" s="835"/>
      <c r="K304" s="835"/>
      <c r="L304" s="835"/>
      <c r="M304" s="835"/>
      <c r="N304" s="835"/>
      <c r="O304" s="835"/>
      <c r="P304" s="835"/>
      <c r="Q304" s="835"/>
      <c r="R304" s="835"/>
      <c r="S304" s="835"/>
      <c r="T304" s="835"/>
      <c r="U304" s="835"/>
      <c r="V304" s="835"/>
      <c r="W304" s="835"/>
      <c r="X304" s="835"/>
      <c r="Y304" s="835"/>
      <c r="Z304" s="835"/>
      <c r="AA304" s="835"/>
      <c r="AB304" s="835"/>
      <c r="AC304" s="835"/>
      <c r="AD304" s="835"/>
      <c r="AE304" s="835"/>
      <c r="AF304" s="835"/>
    </row>
    <row r="305" spans="2:62">
      <c r="B305" s="835">
        <v>721</v>
      </c>
      <c r="C305" s="835">
        <v>2521</v>
      </c>
      <c r="D305" s="835">
        <v>2695</v>
      </c>
      <c r="E305" s="835">
        <v>2695</v>
      </c>
      <c r="F305" s="835"/>
      <c r="G305" s="835"/>
      <c r="H305" s="835">
        <v>2872.5</v>
      </c>
      <c r="I305" s="835"/>
      <c r="J305" s="835"/>
      <c r="K305" s="835"/>
      <c r="L305" s="835"/>
      <c r="M305" s="835">
        <v>2711</v>
      </c>
      <c r="N305" s="835"/>
      <c r="O305" s="835">
        <v>2917.3333333333335</v>
      </c>
      <c r="P305" s="835"/>
      <c r="Q305" s="835">
        <v>2661.6666666666665</v>
      </c>
      <c r="R305" s="835">
        <v>3167</v>
      </c>
      <c r="S305" s="835">
        <v>2764.6666666666665</v>
      </c>
      <c r="T305" s="835"/>
      <c r="U305" s="835">
        <v>2767</v>
      </c>
      <c r="V305" s="835"/>
      <c r="W305" s="835">
        <v>2868.6666666666665</v>
      </c>
      <c r="X305" s="835"/>
      <c r="Y305" s="835"/>
      <c r="Z305" s="835"/>
      <c r="AA305" s="835"/>
      <c r="AB305" s="835"/>
      <c r="AC305" s="835"/>
      <c r="AD305" s="835"/>
      <c r="AE305" s="835"/>
      <c r="AF305" s="835"/>
    </row>
    <row r="306" spans="2:62">
      <c r="B306" s="835">
        <v>730</v>
      </c>
      <c r="C306" s="835">
        <v>2850</v>
      </c>
      <c r="D306" s="835">
        <v>2855</v>
      </c>
      <c r="E306" s="835">
        <v>2820</v>
      </c>
      <c r="F306" s="835">
        <v>2950</v>
      </c>
      <c r="G306" s="835">
        <v>2825</v>
      </c>
      <c r="H306" s="835"/>
      <c r="I306" s="835"/>
      <c r="J306" s="835"/>
      <c r="K306" s="835"/>
      <c r="L306" s="835"/>
      <c r="M306" s="835">
        <v>3094</v>
      </c>
      <c r="N306" s="835"/>
      <c r="O306" s="835">
        <v>2831</v>
      </c>
      <c r="P306" s="835">
        <v>2991</v>
      </c>
      <c r="Q306" s="835"/>
      <c r="R306" s="835">
        <v>3032</v>
      </c>
      <c r="S306" s="835"/>
      <c r="T306" s="835"/>
      <c r="U306" s="835">
        <v>2898</v>
      </c>
      <c r="V306" s="835">
        <v>2958</v>
      </c>
      <c r="W306" s="835"/>
      <c r="X306" s="835"/>
      <c r="Y306" s="835"/>
      <c r="Z306" s="835"/>
      <c r="AA306" s="835"/>
      <c r="AB306" s="835"/>
      <c r="AC306" s="835"/>
      <c r="AD306" s="835"/>
      <c r="AE306" s="835"/>
      <c r="AF306" s="835"/>
    </row>
    <row r="307" spans="2:62">
      <c r="B307" s="835">
        <v>752</v>
      </c>
      <c r="C307" s="835">
        <v>2741.6666666666665</v>
      </c>
      <c r="D307" s="835"/>
      <c r="E307" s="835"/>
      <c r="F307" s="835">
        <v>2795</v>
      </c>
      <c r="G307" s="835"/>
      <c r="H307" s="835"/>
      <c r="I307" s="835"/>
      <c r="J307" s="835"/>
      <c r="K307" s="835"/>
      <c r="L307" s="835"/>
      <c r="M307" s="835">
        <v>2863</v>
      </c>
      <c r="N307" s="835"/>
      <c r="O307" s="835">
        <v>2901</v>
      </c>
      <c r="P307" s="835">
        <v>2781</v>
      </c>
      <c r="Q307" s="835">
        <v>2672</v>
      </c>
      <c r="R307" s="835"/>
      <c r="S307" s="835">
        <v>2631</v>
      </c>
      <c r="T307" s="835">
        <v>2684</v>
      </c>
      <c r="U307" s="835">
        <v>2893</v>
      </c>
      <c r="V307" s="835"/>
      <c r="W307" s="835">
        <v>3157.5</v>
      </c>
      <c r="X307" s="835"/>
      <c r="Y307" s="835"/>
      <c r="Z307" s="835"/>
      <c r="AA307" s="835"/>
      <c r="AB307" s="835"/>
      <c r="AC307" s="835"/>
      <c r="AD307" s="835"/>
      <c r="AE307" s="835"/>
      <c r="AF307" s="835"/>
    </row>
    <row r="308" spans="2:62">
      <c r="B308" s="835">
        <v>824</v>
      </c>
      <c r="C308" s="835"/>
      <c r="D308" s="835"/>
      <c r="E308" s="835">
        <v>3295</v>
      </c>
      <c r="F308" s="835"/>
      <c r="G308" s="835"/>
      <c r="H308" s="835"/>
      <c r="I308" s="835"/>
      <c r="J308" s="835"/>
      <c r="K308" s="835"/>
      <c r="L308" s="835"/>
      <c r="M308" s="835"/>
      <c r="N308" s="835"/>
      <c r="O308" s="835"/>
      <c r="P308" s="835"/>
      <c r="Q308" s="835"/>
      <c r="R308" s="835"/>
      <c r="S308" s="835"/>
      <c r="T308" s="835"/>
      <c r="U308" s="835"/>
      <c r="V308" s="835"/>
      <c r="W308" s="835"/>
      <c r="X308" s="835"/>
      <c r="Y308" s="835"/>
      <c r="Z308" s="835"/>
      <c r="AA308" s="835"/>
      <c r="AB308" s="835"/>
      <c r="AC308" s="835"/>
      <c r="AD308" s="835"/>
      <c r="AE308" s="835"/>
      <c r="AF308" s="835"/>
    </row>
    <row r="309" spans="2:62">
      <c r="B309" s="835">
        <v>831</v>
      </c>
      <c r="C309" s="835">
        <v>3360</v>
      </c>
      <c r="D309" s="835">
        <v>3295</v>
      </c>
      <c r="E309" s="835">
        <v>3375</v>
      </c>
      <c r="F309" s="835">
        <v>3325</v>
      </c>
      <c r="G309" s="835"/>
      <c r="H309" s="835">
        <v>3391.6666666666665</v>
      </c>
      <c r="I309" s="835"/>
      <c r="J309" s="835"/>
      <c r="K309" s="835"/>
      <c r="L309" s="835"/>
      <c r="M309" s="835">
        <v>3343</v>
      </c>
      <c r="N309" s="835"/>
      <c r="O309" s="835">
        <v>3157</v>
      </c>
      <c r="P309" s="835"/>
      <c r="Q309" s="835"/>
      <c r="R309" s="835">
        <v>3207</v>
      </c>
      <c r="S309" s="835"/>
      <c r="T309" s="835">
        <v>2788</v>
      </c>
      <c r="U309" s="835"/>
      <c r="V309" s="835"/>
      <c r="W309" s="835"/>
      <c r="X309" s="835"/>
      <c r="Y309" s="835"/>
      <c r="Z309" s="835"/>
      <c r="AA309" s="835">
        <v>3325</v>
      </c>
      <c r="AB309" s="835"/>
      <c r="AC309" s="835"/>
      <c r="AD309" s="835"/>
      <c r="AE309" s="835"/>
      <c r="AF309" s="835"/>
    </row>
    <row r="310" spans="2:62">
      <c r="B310" s="835">
        <v>900</v>
      </c>
      <c r="C310" s="835"/>
      <c r="D310" s="835"/>
      <c r="E310" s="835"/>
      <c r="F310" s="835"/>
      <c r="G310" s="835"/>
      <c r="H310" s="835">
        <v>3570</v>
      </c>
      <c r="I310" s="835"/>
      <c r="J310" s="835"/>
      <c r="K310" s="835"/>
      <c r="L310" s="835"/>
      <c r="M310" s="835"/>
      <c r="N310" s="835"/>
      <c r="O310" s="835">
        <v>3439</v>
      </c>
      <c r="P310" s="835"/>
      <c r="Q310" s="835"/>
      <c r="R310" s="835"/>
      <c r="S310" s="835"/>
      <c r="T310" s="835"/>
      <c r="U310" s="835"/>
      <c r="V310" s="835"/>
      <c r="W310" s="835"/>
      <c r="X310" s="835"/>
      <c r="Y310" s="835"/>
      <c r="Z310" s="835"/>
      <c r="AA310" s="835"/>
      <c r="AB310" s="835"/>
      <c r="AC310" s="835"/>
      <c r="AD310" s="835"/>
      <c r="AE310" s="835"/>
      <c r="AF310" s="835"/>
    </row>
    <row r="311" spans="2:62">
      <c r="B311" s="835">
        <v>905</v>
      </c>
      <c r="C311" s="835"/>
      <c r="D311" s="835"/>
      <c r="E311" s="835"/>
      <c r="F311" s="835"/>
      <c r="G311" s="835">
        <v>3295</v>
      </c>
      <c r="H311" s="835"/>
      <c r="I311" s="835"/>
      <c r="J311" s="835"/>
      <c r="K311" s="835"/>
      <c r="L311" s="835"/>
      <c r="M311" s="835"/>
      <c r="N311" s="835"/>
      <c r="O311" s="835"/>
      <c r="P311" s="835"/>
      <c r="Q311" s="835"/>
      <c r="R311" s="835"/>
      <c r="S311" s="835"/>
      <c r="T311" s="835"/>
      <c r="U311" s="835"/>
      <c r="V311" s="835"/>
      <c r="W311" s="835"/>
      <c r="X311" s="835"/>
      <c r="Y311" s="835"/>
      <c r="Z311" s="835"/>
      <c r="AA311" s="835"/>
      <c r="AB311" s="835"/>
      <c r="AC311" s="835"/>
      <c r="AD311" s="835"/>
      <c r="AE311" s="835"/>
      <c r="AF311" s="835"/>
    </row>
    <row r="312" spans="2:62">
      <c r="B312" s="835">
        <v>1080</v>
      </c>
      <c r="C312" s="835"/>
      <c r="D312" s="835"/>
      <c r="E312" s="835"/>
      <c r="F312" s="835"/>
      <c r="G312" s="835"/>
      <c r="H312" s="835"/>
      <c r="I312" s="835"/>
      <c r="J312" s="835"/>
      <c r="K312" s="835"/>
      <c r="L312" s="835"/>
      <c r="M312" s="835"/>
      <c r="N312" s="835"/>
      <c r="O312" s="835"/>
      <c r="P312" s="835"/>
      <c r="Q312" s="835"/>
      <c r="R312" s="835"/>
      <c r="S312" s="835"/>
      <c r="T312" s="835"/>
      <c r="U312" s="835"/>
      <c r="V312" s="835"/>
      <c r="W312" s="835">
        <v>3809</v>
      </c>
      <c r="X312" s="835"/>
      <c r="Y312" s="835"/>
      <c r="Z312" s="835"/>
      <c r="AA312" s="835"/>
      <c r="AB312" s="835"/>
      <c r="AC312" s="835"/>
      <c r="AD312" s="835"/>
      <c r="AE312" s="835"/>
      <c r="AF312" s="835"/>
    </row>
    <row r="313" spans="2:62">
      <c r="B313" s="835">
        <v>1142</v>
      </c>
      <c r="C313" s="835"/>
      <c r="D313" s="835"/>
      <c r="E313" s="835"/>
      <c r="F313" s="835"/>
      <c r="G313" s="835"/>
      <c r="H313" s="835"/>
      <c r="I313" s="835"/>
      <c r="J313" s="835"/>
      <c r="K313" s="835"/>
      <c r="L313" s="835"/>
      <c r="M313" s="835"/>
      <c r="N313" s="835"/>
      <c r="O313" s="835"/>
      <c r="P313" s="835"/>
      <c r="Q313" s="835"/>
      <c r="R313" s="835"/>
      <c r="S313" s="835"/>
      <c r="T313" s="835">
        <v>2787</v>
      </c>
      <c r="U313" s="835"/>
      <c r="V313" s="835"/>
      <c r="W313" s="835"/>
      <c r="X313" s="835"/>
      <c r="Y313" s="835"/>
      <c r="Z313" s="835"/>
      <c r="AA313" s="835"/>
      <c r="AB313" s="835"/>
      <c r="AC313" s="835"/>
      <c r="AD313" s="835"/>
      <c r="AE313" s="835"/>
      <c r="AF313" s="835"/>
    </row>
    <row r="314" spans="2:62">
      <c r="B314" s="835" t="s">
        <v>651</v>
      </c>
      <c r="C314" s="835"/>
      <c r="D314" s="835"/>
      <c r="E314" s="835"/>
      <c r="F314" s="835"/>
      <c r="G314" s="835"/>
      <c r="H314" s="835"/>
      <c r="I314" s="835"/>
      <c r="J314" s="835"/>
      <c r="K314" s="835"/>
      <c r="L314" s="835"/>
      <c r="M314" s="835"/>
      <c r="N314" s="835"/>
      <c r="O314" s="835"/>
      <c r="P314" s="835"/>
      <c r="Q314" s="835"/>
      <c r="R314" s="835"/>
      <c r="S314" s="835"/>
      <c r="T314" s="835"/>
      <c r="U314" s="835"/>
      <c r="V314" s="835">
        <v>3095</v>
      </c>
      <c r="W314" s="835">
        <v>2529</v>
      </c>
      <c r="X314" s="835"/>
      <c r="Y314" s="835"/>
      <c r="Z314" s="835"/>
      <c r="AA314" s="835"/>
      <c r="AB314" s="835"/>
      <c r="AC314" s="835"/>
      <c r="AD314" s="835"/>
      <c r="AE314" s="835"/>
      <c r="AF314" s="835"/>
    </row>
    <row r="315" spans="2:62">
      <c r="B315" s="837" t="s">
        <v>270</v>
      </c>
      <c r="C315" s="835"/>
      <c r="D315" s="835"/>
      <c r="E315" s="835"/>
      <c r="F315" s="835"/>
      <c r="G315" s="835"/>
      <c r="H315" s="835"/>
      <c r="I315" s="835"/>
      <c r="J315" s="835"/>
      <c r="K315" s="835"/>
      <c r="L315" s="835"/>
      <c r="M315" s="835"/>
      <c r="N315" s="835"/>
      <c r="O315" s="835"/>
      <c r="P315" s="835"/>
      <c r="Q315" s="835"/>
      <c r="R315" s="835"/>
      <c r="S315" s="835"/>
      <c r="T315" s="835"/>
      <c r="U315" s="835"/>
      <c r="V315" s="835"/>
      <c r="W315" s="835"/>
      <c r="X315" s="835"/>
      <c r="Y315" s="835"/>
      <c r="Z315" s="835"/>
      <c r="AA315" s="835"/>
      <c r="AB315" s="835"/>
      <c r="AC315" s="835"/>
      <c r="AD315" s="835"/>
      <c r="AE315" s="835"/>
      <c r="AF315" s="835"/>
    </row>
    <row r="316" spans="2:62">
      <c r="B316" s="835">
        <v>1073</v>
      </c>
      <c r="C316" s="835"/>
      <c r="D316" s="835"/>
      <c r="E316" s="835"/>
      <c r="F316" s="835"/>
      <c r="G316" s="835"/>
      <c r="H316" s="835"/>
      <c r="I316" s="835"/>
      <c r="J316" s="835"/>
      <c r="K316" s="835"/>
      <c r="L316" s="835"/>
      <c r="M316" s="835"/>
      <c r="N316" s="835"/>
      <c r="O316" s="835"/>
      <c r="P316" s="835"/>
      <c r="Q316" s="835"/>
      <c r="R316" s="835"/>
      <c r="S316" s="835"/>
      <c r="T316" s="835"/>
      <c r="U316" s="835"/>
      <c r="V316" s="835"/>
      <c r="W316" s="835"/>
      <c r="X316" s="835"/>
      <c r="Y316" s="835"/>
      <c r="Z316" s="835"/>
      <c r="AA316" s="835"/>
      <c r="AB316" s="835"/>
      <c r="AC316" s="835"/>
      <c r="AD316" s="835"/>
      <c r="AE316" s="835"/>
      <c r="AF316" s="835"/>
    </row>
    <row r="317" spans="2:62">
      <c r="B317" s="835">
        <v>1139</v>
      </c>
      <c r="C317" s="835"/>
      <c r="D317" s="835"/>
      <c r="E317" s="835"/>
      <c r="F317" s="835"/>
      <c r="G317" s="835"/>
      <c r="H317" s="835">
        <v>4522.5</v>
      </c>
      <c r="I317" s="835"/>
      <c r="J317" s="835"/>
      <c r="K317" s="835"/>
      <c r="L317" s="835"/>
      <c r="M317" s="835">
        <v>4449</v>
      </c>
      <c r="N317" s="835">
        <v>5342</v>
      </c>
      <c r="O317" s="835">
        <v>4442</v>
      </c>
      <c r="P317" s="835">
        <v>4152.5</v>
      </c>
      <c r="Q317" s="835">
        <v>4083</v>
      </c>
      <c r="R317" s="835">
        <v>4412</v>
      </c>
      <c r="S317" s="835">
        <v>4361</v>
      </c>
      <c r="T317" s="835">
        <v>4140</v>
      </c>
      <c r="U317" s="835"/>
      <c r="V317" s="835">
        <v>5878</v>
      </c>
      <c r="W317" s="835">
        <v>4636</v>
      </c>
      <c r="X317" s="835"/>
      <c r="Y317" s="835"/>
      <c r="Z317" s="835"/>
      <c r="AA317" s="835"/>
      <c r="AB317" s="835"/>
      <c r="AC317" s="835"/>
      <c r="AD317" s="835"/>
      <c r="AE317" s="835"/>
      <c r="AF317" s="835"/>
    </row>
    <row r="318" spans="2:62">
      <c r="B318" s="835">
        <v>1158</v>
      </c>
      <c r="C318" s="835"/>
      <c r="D318" s="835"/>
      <c r="E318" s="835"/>
      <c r="F318" s="835"/>
      <c r="G318" s="835"/>
      <c r="H318" s="835">
        <v>5129</v>
      </c>
      <c r="I318" s="835"/>
      <c r="J318" s="835"/>
      <c r="K318" s="835"/>
      <c r="L318" s="835"/>
      <c r="M318" s="835"/>
      <c r="N318" s="835"/>
      <c r="O318" s="835"/>
      <c r="P318" s="835"/>
      <c r="Q318" s="835"/>
      <c r="R318" s="835"/>
      <c r="S318" s="835"/>
      <c r="T318" s="835"/>
      <c r="U318" s="835"/>
      <c r="V318" s="835"/>
      <c r="W318" s="835"/>
      <c r="X318" s="835"/>
      <c r="Y318" s="835"/>
      <c r="Z318" s="835"/>
      <c r="AA318" s="835"/>
      <c r="AB318" s="835"/>
      <c r="AC318" s="835"/>
      <c r="AD318" s="835"/>
      <c r="AE318" s="835"/>
      <c r="AF318" s="835"/>
    </row>
    <row r="319" spans="2:62">
      <c r="B319" s="835">
        <v>1168</v>
      </c>
      <c r="C319" s="835"/>
      <c r="D319" s="835"/>
      <c r="E319" s="835"/>
      <c r="F319" s="835"/>
      <c r="G319" s="835"/>
      <c r="H319" s="835"/>
      <c r="I319" s="835"/>
      <c r="J319" s="835"/>
      <c r="K319" s="835"/>
      <c r="L319" s="835"/>
      <c r="M319" s="835"/>
      <c r="N319" s="835"/>
      <c r="O319" s="835"/>
      <c r="P319" s="835"/>
      <c r="Q319" s="835"/>
      <c r="R319" s="835"/>
      <c r="S319" s="835"/>
      <c r="T319" s="835"/>
      <c r="U319" s="835"/>
      <c r="V319" s="835"/>
      <c r="W319" s="835"/>
      <c r="X319" s="835"/>
      <c r="Y319" s="835"/>
      <c r="Z319" s="835"/>
      <c r="AA319" s="835"/>
      <c r="AB319" s="835"/>
      <c r="AC319" s="835"/>
      <c r="AD319" s="835"/>
      <c r="AE319" s="835"/>
      <c r="AF319" s="835"/>
    </row>
    <row r="320" spans="2:62">
      <c r="B320" s="835">
        <v>1258</v>
      </c>
      <c r="C320" s="835"/>
      <c r="D320" s="835"/>
      <c r="E320" s="835"/>
      <c r="F320" s="835"/>
      <c r="G320" s="835"/>
      <c r="H320" s="835"/>
      <c r="I320" s="835"/>
      <c r="J320" s="835"/>
      <c r="K320" s="835"/>
      <c r="L320" s="835"/>
      <c r="M320" s="835">
        <v>4620</v>
      </c>
      <c r="N320" s="835"/>
      <c r="O320" s="835"/>
      <c r="P320" s="835"/>
      <c r="Q320" s="835"/>
      <c r="R320" s="835"/>
      <c r="S320" s="835"/>
      <c r="T320" s="835"/>
      <c r="U320" s="835"/>
      <c r="V320" s="835"/>
      <c r="W320" s="835"/>
      <c r="X320" s="835"/>
      <c r="Y320" s="835"/>
      <c r="Z320" s="835"/>
      <c r="AA320" s="835"/>
      <c r="AB320" s="835"/>
      <c r="AC320" s="835"/>
      <c r="AD320" s="835"/>
      <c r="AE320" s="835"/>
      <c r="AF320" s="835"/>
    </row>
    <row r="321" spans="2:62">
      <c r="B321" s="835">
        <v>1260</v>
      </c>
      <c r="C321" s="835"/>
      <c r="D321" s="835"/>
      <c r="E321" s="835"/>
      <c r="F321" s="835"/>
      <c r="G321" s="835"/>
      <c r="H321" s="835"/>
      <c r="I321" s="835"/>
      <c r="J321" s="835"/>
      <c r="K321" s="835"/>
      <c r="L321" s="835"/>
      <c r="M321" s="835"/>
      <c r="N321" s="835"/>
      <c r="O321" s="835"/>
      <c r="P321" s="835"/>
      <c r="Q321" s="835"/>
      <c r="R321" s="835"/>
      <c r="S321" s="835"/>
      <c r="T321" s="835"/>
      <c r="U321" s="835"/>
      <c r="V321" s="835"/>
      <c r="W321" s="835"/>
      <c r="X321" s="835"/>
      <c r="Y321" s="835"/>
      <c r="Z321" s="835"/>
      <c r="AA321" s="835"/>
      <c r="AB321" s="835"/>
      <c r="AC321" s="835"/>
      <c r="AD321" s="835"/>
      <c r="AE321" s="835"/>
      <c r="AF321" s="835"/>
    </row>
    <row r="322" spans="2:62">
      <c r="B322" s="835">
        <v>1273</v>
      </c>
      <c r="C322" s="835"/>
      <c r="D322" s="835"/>
      <c r="E322" s="835"/>
      <c r="F322" s="835"/>
      <c r="G322" s="835"/>
      <c r="H322" s="835"/>
      <c r="I322" s="835"/>
      <c r="J322" s="835"/>
      <c r="K322" s="835"/>
      <c r="L322" s="835"/>
      <c r="M322" s="835"/>
      <c r="N322" s="835"/>
      <c r="O322" s="835">
        <v>4532</v>
      </c>
      <c r="P322" s="835"/>
      <c r="Q322" s="835"/>
      <c r="R322" s="835"/>
      <c r="S322" s="835"/>
      <c r="T322" s="835"/>
      <c r="U322" s="835"/>
      <c r="V322" s="835"/>
      <c r="W322" s="835"/>
      <c r="X322" s="835"/>
      <c r="Y322" s="835"/>
      <c r="Z322" s="835"/>
      <c r="AA322" s="835"/>
      <c r="AB322" s="835"/>
      <c r="AC322" s="835"/>
      <c r="AD322" s="835"/>
      <c r="AE322" s="835"/>
      <c r="AF322" s="835"/>
    </row>
    <row r="323" spans="2:62">
      <c r="B323" s="835">
        <v>1364</v>
      </c>
      <c r="C323" s="835"/>
      <c r="D323" s="835"/>
      <c r="E323" s="835">
        <v>5220</v>
      </c>
      <c r="F323" s="835"/>
      <c r="G323" s="835"/>
      <c r="H323" s="835">
        <v>5220</v>
      </c>
      <c r="I323" s="835"/>
      <c r="J323" s="835"/>
      <c r="K323" s="835"/>
      <c r="L323" s="835"/>
      <c r="M323" s="835"/>
      <c r="N323" s="835"/>
      <c r="O323" s="835"/>
      <c r="P323" s="835"/>
      <c r="Q323" s="835"/>
      <c r="R323" s="835"/>
      <c r="S323" s="835"/>
      <c r="T323" s="835"/>
      <c r="U323" s="835"/>
      <c r="V323" s="835"/>
      <c r="W323" s="835"/>
      <c r="X323" s="835"/>
      <c r="Y323" s="835"/>
      <c r="Z323" s="835"/>
      <c r="AA323" s="835"/>
      <c r="AB323" s="835"/>
      <c r="AC323" s="835"/>
      <c r="AD323" s="835"/>
      <c r="AE323" s="835"/>
      <c r="AF323" s="835"/>
    </row>
    <row r="324" spans="2:62">
      <c r="B324" s="835">
        <v>1431</v>
      </c>
      <c r="C324" s="835"/>
      <c r="D324" s="835"/>
      <c r="E324" s="835"/>
      <c r="F324" s="835"/>
      <c r="G324" s="835"/>
      <c r="H324" s="835"/>
      <c r="I324" s="835"/>
      <c r="J324" s="835"/>
      <c r="K324" s="835"/>
      <c r="L324" s="835"/>
      <c r="M324" s="835"/>
      <c r="N324" s="835"/>
      <c r="O324" s="835">
        <v>5071</v>
      </c>
      <c r="P324" s="835"/>
      <c r="Q324" s="835"/>
      <c r="R324" s="835"/>
      <c r="S324" s="835"/>
      <c r="T324" s="835"/>
      <c r="U324" s="835"/>
      <c r="V324" s="835"/>
      <c r="W324" s="835"/>
      <c r="X324" s="835"/>
      <c r="Y324" s="835"/>
      <c r="Z324" s="835"/>
      <c r="AA324" s="835"/>
      <c r="AB324" s="835"/>
      <c r="AC324" s="835"/>
      <c r="AD324" s="835"/>
      <c r="AE324" s="835"/>
      <c r="AF324" s="835"/>
    </row>
    <row r="325" spans="2:62">
      <c r="B325" s="835">
        <v>1518</v>
      </c>
      <c r="C325" s="835"/>
      <c r="D325" s="835"/>
      <c r="E325" s="835"/>
      <c r="F325" s="835"/>
      <c r="G325" s="835"/>
      <c r="H325" s="835"/>
      <c r="I325" s="835"/>
      <c r="J325" s="835"/>
      <c r="K325" s="835"/>
      <c r="L325" s="835"/>
      <c r="M325" s="835"/>
      <c r="N325" s="835"/>
      <c r="O325" s="835"/>
      <c r="P325" s="835"/>
      <c r="Q325" s="835"/>
      <c r="R325" s="835"/>
      <c r="S325" s="835"/>
      <c r="T325" s="835"/>
      <c r="U325" s="835"/>
      <c r="V325" s="835"/>
      <c r="W325" s="835"/>
      <c r="X325" s="835"/>
      <c r="Y325" s="835"/>
      <c r="Z325" s="835"/>
      <c r="AA325" s="835"/>
      <c r="AB325" s="835"/>
      <c r="AC325" s="835"/>
      <c r="AD325" s="835"/>
      <c r="AE325" s="835"/>
      <c r="AF325" s="835"/>
    </row>
    <row r="326" spans="2:62">
      <c r="B326" s="835" t="s">
        <v>651</v>
      </c>
      <c r="C326" s="835"/>
      <c r="D326" s="835"/>
      <c r="E326" s="835"/>
      <c r="F326" s="835"/>
      <c r="G326" s="835"/>
      <c r="H326" s="835"/>
      <c r="I326" s="835"/>
      <c r="J326" s="835"/>
      <c r="K326" s="835"/>
      <c r="L326" s="835"/>
      <c r="M326" s="835"/>
      <c r="N326" s="835"/>
      <c r="O326" s="835"/>
      <c r="P326" s="835"/>
      <c r="Q326" s="835"/>
      <c r="R326" s="835"/>
      <c r="S326" s="835">
        <v>4145</v>
      </c>
      <c r="T326" s="835"/>
      <c r="U326" s="835"/>
      <c r="V326" s="835"/>
      <c r="W326" s="835"/>
      <c r="X326" s="835"/>
      <c r="Y326" s="835"/>
      <c r="Z326" s="835"/>
      <c r="AA326" s="835"/>
      <c r="AB326" s="835"/>
      <c r="AC326" s="835"/>
      <c r="AD326" s="835"/>
      <c r="AE326" s="835"/>
      <c r="AF326" s="835"/>
    </row>
    <row r="327" spans="2:62">
      <c r="B327" s="837" t="s">
        <v>271</v>
      </c>
      <c r="C327" s="835"/>
      <c r="D327" s="835"/>
      <c r="E327" s="835"/>
      <c r="F327" s="835"/>
      <c r="G327" s="835"/>
      <c r="H327" s="835"/>
      <c r="I327" s="835"/>
      <c r="J327" s="835"/>
      <c r="K327" s="835"/>
      <c r="L327" s="835"/>
      <c r="M327" s="835"/>
      <c r="N327" s="835"/>
      <c r="O327" s="835"/>
      <c r="P327" s="835"/>
      <c r="Q327" s="835"/>
      <c r="R327" s="835"/>
      <c r="S327" s="835"/>
      <c r="T327" s="835"/>
      <c r="U327" s="835"/>
      <c r="V327" s="835"/>
      <c r="W327" s="835"/>
      <c r="X327" s="835"/>
      <c r="Y327" s="835"/>
      <c r="Z327" s="835"/>
      <c r="AA327" s="835"/>
      <c r="AB327" s="835"/>
      <c r="AC327" s="835"/>
      <c r="AD327" s="835"/>
      <c r="AE327" s="835"/>
      <c r="AF327" s="835"/>
    </row>
    <row r="328" spans="2:62">
      <c r="B328" s="835">
        <v>1829</v>
      </c>
      <c r="C328" s="835"/>
      <c r="D328" s="835"/>
      <c r="E328" s="835"/>
      <c r="F328" s="835"/>
      <c r="G328" s="835"/>
      <c r="H328" s="835"/>
      <c r="I328" s="835"/>
      <c r="J328" s="835"/>
      <c r="K328" s="835"/>
      <c r="L328" s="835"/>
      <c r="M328" s="835"/>
      <c r="N328" s="835"/>
      <c r="O328" s="835"/>
      <c r="P328" s="835"/>
      <c r="Q328" s="835"/>
      <c r="R328" s="835"/>
      <c r="S328" s="835"/>
      <c r="T328" s="835"/>
      <c r="U328" s="835"/>
      <c r="V328" s="835"/>
      <c r="W328" s="835"/>
      <c r="X328" s="835"/>
      <c r="Y328" s="835"/>
      <c r="Z328" s="835"/>
      <c r="AA328" s="835"/>
      <c r="AB328" s="835"/>
      <c r="AC328" s="835"/>
      <c r="AD328" s="835"/>
      <c r="AE328" s="835"/>
      <c r="AF328" s="835"/>
    </row>
    <row r="329" spans="2:62">
      <c r="B329" s="837" t="s">
        <v>598</v>
      </c>
      <c r="C329" s="835"/>
      <c r="D329" s="835"/>
      <c r="E329" s="835"/>
      <c r="F329" s="835"/>
      <c r="G329" s="835"/>
      <c r="H329" s="835"/>
      <c r="I329" s="835"/>
      <c r="J329" s="835"/>
      <c r="K329" s="835"/>
      <c r="L329" s="835"/>
      <c r="M329" s="835"/>
      <c r="N329" s="835"/>
      <c r="O329" s="835"/>
      <c r="P329" s="835"/>
      <c r="Q329" s="835"/>
      <c r="R329" s="835"/>
      <c r="S329" s="835"/>
      <c r="T329" s="835"/>
      <c r="U329" s="835"/>
      <c r="V329" s="835"/>
      <c r="W329" s="835"/>
      <c r="X329" s="835"/>
      <c r="Y329" s="835"/>
      <c r="Z329" s="835"/>
      <c r="AA329" s="835"/>
      <c r="AB329" s="835"/>
      <c r="AC329" s="835"/>
      <c r="AD329" s="835"/>
      <c r="AE329" s="835"/>
      <c r="AF329" s="835"/>
    </row>
    <row r="330" spans="2:62">
      <c r="B330" s="835">
        <v>642</v>
      </c>
      <c r="C330" s="835"/>
      <c r="D330" s="835"/>
      <c r="E330" s="835"/>
      <c r="F330" s="835"/>
      <c r="G330" s="835"/>
      <c r="H330" s="835"/>
      <c r="I330" s="835"/>
      <c r="J330" s="835"/>
      <c r="K330" s="835"/>
      <c r="L330" s="835"/>
      <c r="M330" s="835"/>
      <c r="N330" s="835"/>
      <c r="O330" s="835"/>
      <c r="P330" s="835">
        <v>2202</v>
      </c>
      <c r="Q330" s="835"/>
      <c r="R330" s="835"/>
      <c r="S330" s="835"/>
      <c r="T330" s="835"/>
      <c r="U330" s="835"/>
      <c r="V330" s="835"/>
      <c r="W330" s="835"/>
      <c r="X330" s="835"/>
      <c r="Y330" s="835"/>
      <c r="Z330" s="835"/>
      <c r="AA330" s="835"/>
      <c r="AB330" s="835"/>
      <c r="AC330" s="835"/>
      <c r="AD330" s="835"/>
      <c r="AE330" s="835"/>
      <c r="AF330" s="835"/>
    </row>
    <row r="331" spans="2:62" ht="15.5">
      <c r="B331" s="843" t="s">
        <v>1111</v>
      </c>
      <c r="C331" s="835"/>
      <c r="D331" s="835"/>
      <c r="E331" s="835"/>
      <c r="F331" s="835"/>
      <c r="G331" s="835"/>
      <c r="H331" s="835"/>
      <c r="I331" s="835"/>
      <c r="J331" s="835"/>
      <c r="K331" s="835"/>
      <c r="L331" s="835"/>
      <c r="M331" s="835"/>
      <c r="N331" s="835"/>
      <c r="O331" s="835"/>
      <c r="P331" s="835"/>
      <c r="Q331" s="835"/>
      <c r="R331" s="835"/>
      <c r="S331" s="835"/>
      <c r="T331" s="835"/>
      <c r="U331" s="835"/>
      <c r="V331" s="835"/>
      <c r="W331" s="835"/>
      <c r="X331" s="835"/>
      <c r="Y331" s="835"/>
      <c r="Z331" s="835"/>
      <c r="AA331" s="835"/>
      <c r="AB331" s="835"/>
      <c r="AC331" s="835"/>
      <c r="AD331" s="835"/>
      <c r="AE331" s="835"/>
      <c r="AF331" s="835"/>
    </row>
    <row r="332" spans="2:62">
      <c r="B332" s="837" t="s">
        <v>13</v>
      </c>
      <c r="C332" s="835"/>
      <c r="D332" s="835"/>
      <c r="E332" s="835"/>
      <c r="F332" s="835"/>
      <c r="G332" s="835"/>
      <c r="H332" s="835"/>
      <c r="I332" s="835"/>
      <c r="J332" s="835"/>
      <c r="K332" s="835"/>
      <c r="L332" s="835"/>
      <c r="M332" s="835"/>
      <c r="N332" s="835"/>
      <c r="O332" s="835"/>
      <c r="P332" s="835"/>
      <c r="Q332" s="835"/>
      <c r="R332" s="835"/>
      <c r="S332" s="835"/>
      <c r="T332" s="835"/>
      <c r="U332" s="835"/>
      <c r="V332" s="835"/>
      <c r="W332" s="835"/>
      <c r="X332" s="835"/>
      <c r="Y332" s="835"/>
      <c r="Z332" s="835"/>
      <c r="AA332" s="835"/>
      <c r="AB332" s="835"/>
      <c r="AC332" s="835"/>
      <c r="AD332" s="835"/>
      <c r="AE332" s="835"/>
      <c r="AF332" s="835"/>
    </row>
    <row r="333" spans="2:62">
      <c r="B333" s="835">
        <v>502</v>
      </c>
      <c r="C333" s="835"/>
      <c r="D333" s="835"/>
      <c r="E333" s="835">
        <v>2099</v>
      </c>
      <c r="F333" s="835"/>
      <c r="G333" s="835"/>
      <c r="H333" s="835"/>
      <c r="I333" s="835"/>
      <c r="J333" s="835"/>
      <c r="K333" s="835"/>
      <c r="L333" s="835"/>
      <c r="M333" s="835"/>
      <c r="N333" s="835">
        <v>2249</v>
      </c>
      <c r="O333" s="835">
        <v>2180.75</v>
      </c>
      <c r="P333" s="835">
        <v>2173</v>
      </c>
      <c r="Q333" s="835">
        <v>2203</v>
      </c>
      <c r="R333" s="835"/>
      <c r="S333" s="835">
        <v>2565</v>
      </c>
      <c r="T333" s="835">
        <v>2154</v>
      </c>
      <c r="U333" s="835">
        <v>2244</v>
      </c>
      <c r="V333" s="835">
        <v>2602</v>
      </c>
      <c r="W333" s="835">
        <v>2493.5</v>
      </c>
      <c r="X333" s="835"/>
      <c r="Y333" s="835"/>
      <c r="Z333" s="835"/>
      <c r="AA333" s="835"/>
      <c r="AB333" s="835"/>
      <c r="AC333" s="835"/>
      <c r="AD333" s="835"/>
      <c r="AE333" s="835"/>
      <c r="AF333" s="835">
        <v>2426</v>
      </c>
    </row>
    <row r="334" spans="2:62">
      <c r="B334" s="835">
        <v>574</v>
      </c>
      <c r="C334" s="835">
        <v>2478</v>
      </c>
      <c r="D334" s="835"/>
      <c r="E334" s="835"/>
      <c r="F334" s="835"/>
      <c r="G334" s="835"/>
      <c r="H334" s="835"/>
      <c r="I334" s="835"/>
      <c r="J334" s="835"/>
      <c r="K334" s="835"/>
      <c r="L334" s="835">
        <v>2421</v>
      </c>
      <c r="M334" s="835">
        <v>2297</v>
      </c>
      <c r="N334" s="835">
        <v>2479.25</v>
      </c>
      <c r="O334" s="835"/>
      <c r="P334" s="835"/>
      <c r="Q334" s="835"/>
      <c r="R334" s="835"/>
      <c r="S334" s="835">
        <v>2398</v>
      </c>
      <c r="T334" s="835">
        <v>2050</v>
      </c>
      <c r="U334" s="835"/>
      <c r="V334" s="835">
        <v>2430</v>
      </c>
      <c r="W334" s="835">
        <v>2555</v>
      </c>
      <c r="X334" s="835"/>
      <c r="Y334" s="835"/>
      <c r="Z334" s="835"/>
      <c r="AA334" s="835"/>
      <c r="AB334" s="835"/>
      <c r="AC334" s="835"/>
      <c r="AD334" s="835"/>
      <c r="AE334" s="835"/>
      <c r="AF334" s="835"/>
    </row>
    <row r="335" spans="2:62">
      <c r="B335" s="835">
        <v>590</v>
      </c>
      <c r="C335" s="835"/>
      <c r="D335" s="835"/>
      <c r="E335" s="835"/>
      <c r="F335" s="835"/>
      <c r="G335" s="835"/>
      <c r="H335" s="835"/>
      <c r="I335" s="835"/>
      <c r="J335" s="835"/>
      <c r="K335" s="835"/>
      <c r="L335" s="835"/>
      <c r="M335" s="835"/>
      <c r="N335" s="835"/>
      <c r="O335" s="835">
        <v>2681</v>
      </c>
      <c r="P335" s="835">
        <v>2749.3333333333335</v>
      </c>
      <c r="Q335" s="835">
        <v>3020</v>
      </c>
      <c r="R335" s="835">
        <v>2706</v>
      </c>
      <c r="S335" s="835">
        <v>2742.5</v>
      </c>
      <c r="T335" s="835"/>
      <c r="U335" s="835">
        <v>2584</v>
      </c>
      <c r="V335" s="835"/>
      <c r="W335" s="835">
        <v>2705</v>
      </c>
      <c r="X335" s="835"/>
      <c r="Y335" s="835"/>
      <c r="Z335" s="835"/>
      <c r="AA335" s="835"/>
      <c r="AB335" s="835"/>
      <c r="AC335" s="835"/>
      <c r="AD335" s="835"/>
      <c r="AE335" s="835"/>
      <c r="AF335" s="835"/>
    </row>
    <row r="336" spans="2:62">
      <c r="B336" s="835">
        <v>591</v>
      </c>
      <c r="C336" s="835"/>
      <c r="D336" s="835"/>
      <c r="E336" s="835"/>
      <c r="F336" s="835"/>
      <c r="G336" s="835"/>
      <c r="H336" s="835"/>
      <c r="I336" s="835"/>
      <c r="J336" s="835"/>
      <c r="K336" s="835"/>
      <c r="L336" s="835">
        <v>2406</v>
      </c>
      <c r="M336" s="835"/>
      <c r="N336" s="835"/>
      <c r="O336" s="835"/>
      <c r="P336" s="835"/>
      <c r="Q336" s="835"/>
      <c r="R336" s="835"/>
      <c r="S336" s="835"/>
      <c r="T336" s="835"/>
      <c r="U336" s="835"/>
      <c r="V336" s="835"/>
      <c r="W336" s="835"/>
      <c r="X336" s="835"/>
      <c r="Y336" s="835"/>
      <c r="Z336" s="835"/>
      <c r="AA336" s="835"/>
      <c r="AB336" s="835"/>
      <c r="AC336" s="835"/>
      <c r="AD336" s="835"/>
      <c r="AE336" s="835"/>
      <c r="AF336" s="835"/>
    </row>
    <row r="337" spans="2:62">
      <c r="B337" s="835">
        <v>600</v>
      </c>
      <c r="C337" s="835"/>
      <c r="D337" s="835"/>
      <c r="E337" s="835"/>
      <c r="F337" s="835"/>
      <c r="G337" s="835"/>
      <c r="H337" s="835"/>
      <c r="I337" s="835"/>
      <c r="J337" s="835"/>
      <c r="K337" s="835"/>
      <c r="L337" s="835"/>
      <c r="M337" s="835"/>
      <c r="N337" s="835"/>
      <c r="O337" s="835">
        <v>3655</v>
      </c>
      <c r="P337" s="835"/>
      <c r="Q337" s="835">
        <v>2423</v>
      </c>
      <c r="R337" s="835"/>
      <c r="S337" s="835"/>
      <c r="T337" s="835">
        <v>2165</v>
      </c>
      <c r="U337" s="835"/>
      <c r="V337" s="835"/>
      <c r="W337" s="835"/>
      <c r="X337" s="835"/>
      <c r="Y337" s="835"/>
      <c r="Z337" s="835"/>
      <c r="AA337" s="835"/>
      <c r="AB337" s="835"/>
      <c r="AC337" s="835"/>
      <c r="AD337" s="835"/>
      <c r="AE337" s="835"/>
      <c r="AF337" s="835"/>
    </row>
    <row r="338" spans="2:62">
      <c r="B338" s="835">
        <v>607</v>
      </c>
      <c r="C338" s="835"/>
      <c r="D338" s="835"/>
      <c r="E338" s="835">
        <v>1999</v>
      </c>
      <c r="F338" s="835"/>
      <c r="G338" s="835"/>
      <c r="H338" s="835">
        <v>2410</v>
      </c>
      <c r="I338" s="835"/>
      <c r="J338" s="835"/>
      <c r="K338" s="835"/>
      <c r="L338" s="835"/>
      <c r="M338" s="835">
        <v>2537</v>
      </c>
      <c r="N338" s="835">
        <v>2496</v>
      </c>
      <c r="O338" s="835">
        <v>2347</v>
      </c>
      <c r="P338" s="835"/>
      <c r="Q338" s="835">
        <v>2535</v>
      </c>
      <c r="R338" s="835">
        <v>2461.5</v>
      </c>
      <c r="S338" s="835">
        <v>2277</v>
      </c>
      <c r="T338" s="835"/>
      <c r="U338" s="835"/>
      <c r="V338" s="835"/>
      <c r="W338" s="835"/>
      <c r="X338" s="835"/>
      <c r="Y338" s="835"/>
      <c r="Z338" s="835"/>
      <c r="AA338" s="835"/>
      <c r="AB338" s="835"/>
      <c r="AC338" s="835"/>
      <c r="AD338" s="835"/>
      <c r="AE338" s="835">
        <v>1882</v>
      </c>
      <c r="AF338" s="835"/>
    </row>
    <row r="339" spans="2:62">
      <c r="B339" s="837" t="s">
        <v>1209</v>
      </c>
      <c r="C339" s="835"/>
      <c r="D339" s="835"/>
      <c r="E339" s="835"/>
      <c r="F339" s="835"/>
      <c r="G339" s="835"/>
      <c r="H339" s="835"/>
      <c r="I339" s="835"/>
      <c r="J339" s="835"/>
      <c r="K339" s="835"/>
      <c r="L339" s="835"/>
      <c r="M339" s="835"/>
      <c r="N339" s="835"/>
      <c r="O339" s="835"/>
      <c r="P339" s="835"/>
      <c r="Q339" s="835"/>
      <c r="R339" s="835"/>
      <c r="S339" s="835"/>
      <c r="T339" s="835"/>
      <c r="U339" s="835"/>
      <c r="V339" s="835"/>
      <c r="W339" s="835"/>
      <c r="X339" s="835"/>
      <c r="Y339" s="835"/>
      <c r="Z339" s="835"/>
      <c r="AA339" s="835"/>
      <c r="AB339" s="835"/>
      <c r="AC339" s="835"/>
      <c r="AD339" s="835"/>
      <c r="AE339" s="835"/>
      <c r="AF339" s="835"/>
    </row>
    <row r="340" spans="2:62">
      <c r="B340" s="835">
        <v>574</v>
      </c>
      <c r="C340" s="835"/>
      <c r="D340" s="835"/>
      <c r="E340" s="835"/>
      <c r="F340" s="835"/>
      <c r="G340" s="835"/>
      <c r="H340" s="835"/>
      <c r="I340" s="835"/>
      <c r="J340" s="835"/>
      <c r="K340" s="835"/>
      <c r="L340" s="835"/>
      <c r="M340" s="835"/>
      <c r="N340" s="835"/>
      <c r="O340" s="835"/>
      <c r="P340" s="835"/>
      <c r="Q340" s="835"/>
      <c r="R340" s="835"/>
      <c r="S340" s="835">
        <v>2123</v>
      </c>
      <c r="T340" s="835"/>
      <c r="U340" s="835"/>
      <c r="V340" s="835"/>
      <c r="W340" s="835"/>
      <c r="X340" s="835"/>
      <c r="Y340" s="835"/>
      <c r="Z340" s="835"/>
      <c r="AA340" s="835"/>
      <c r="AB340" s="835"/>
      <c r="AC340" s="835"/>
      <c r="AD340" s="835"/>
      <c r="AE340" s="835"/>
      <c r="AF340" s="835"/>
    </row>
    <row r="341" spans="2:62">
      <c r="B341" s="835">
        <v>578</v>
      </c>
      <c r="C341" s="835"/>
      <c r="D341" s="835"/>
      <c r="E341" s="835"/>
      <c r="F341" s="835"/>
      <c r="G341" s="835"/>
      <c r="H341" s="835"/>
      <c r="I341" s="835"/>
      <c r="J341" s="835">
        <v>2547</v>
      </c>
      <c r="K341" s="835"/>
      <c r="L341" s="835"/>
      <c r="M341" s="835"/>
      <c r="N341" s="835"/>
      <c r="O341" s="835"/>
      <c r="P341" s="835"/>
      <c r="Q341" s="835"/>
      <c r="R341" s="835"/>
      <c r="S341" s="835">
        <v>2673</v>
      </c>
      <c r="T341" s="835">
        <v>2332.1999999999998</v>
      </c>
      <c r="U341" s="835"/>
      <c r="V341" s="835"/>
      <c r="W341" s="835"/>
      <c r="X341" s="835"/>
      <c r="Y341" s="835"/>
      <c r="Z341" s="835"/>
      <c r="AA341" s="835"/>
      <c r="AB341" s="835"/>
      <c r="AC341" s="835"/>
      <c r="AD341" s="835"/>
      <c r="AE341" s="835"/>
      <c r="AF341" s="835"/>
    </row>
    <row r="342" spans="2:62">
      <c r="B342" s="835">
        <v>607</v>
      </c>
      <c r="C342" s="835"/>
      <c r="D342" s="835"/>
      <c r="E342" s="835"/>
      <c r="F342" s="835"/>
      <c r="G342" s="835"/>
      <c r="H342" s="835"/>
      <c r="I342" s="835"/>
      <c r="J342" s="835"/>
      <c r="K342" s="835"/>
      <c r="L342" s="835"/>
      <c r="M342" s="835"/>
      <c r="N342" s="835">
        <v>2878</v>
      </c>
      <c r="O342" s="835"/>
      <c r="P342" s="835"/>
      <c r="Q342" s="835">
        <v>2720</v>
      </c>
      <c r="R342" s="835"/>
      <c r="S342" s="835">
        <v>2609</v>
      </c>
      <c r="T342" s="835"/>
      <c r="U342" s="835">
        <v>3008</v>
      </c>
      <c r="V342" s="835">
        <v>2869</v>
      </c>
      <c r="W342" s="835"/>
      <c r="X342" s="835"/>
      <c r="Y342" s="835"/>
      <c r="Z342" s="835"/>
      <c r="AA342" s="835"/>
      <c r="AB342" s="835"/>
      <c r="AC342" s="835"/>
      <c r="AD342" s="835"/>
      <c r="AE342" s="835"/>
      <c r="AF342" s="835"/>
    </row>
    <row r="343" spans="2:62">
      <c r="B343" s="835">
        <v>702</v>
      </c>
      <c r="C343" s="835"/>
      <c r="D343" s="835"/>
      <c r="E343" s="835"/>
      <c r="F343" s="835">
        <v>3030</v>
      </c>
      <c r="G343" s="835"/>
      <c r="H343" s="835"/>
      <c r="I343" s="835"/>
      <c r="J343" s="835"/>
      <c r="K343" s="835">
        <v>3376</v>
      </c>
      <c r="L343" s="835"/>
      <c r="M343" s="835"/>
      <c r="N343" s="835"/>
      <c r="O343" s="835"/>
      <c r="P343" s="835">
        <v>3421</v>
      </c>
      <c r="Q343" s="835"/>
      <c r="R343" s="835">
        <v>2838</v>
      </c>
      <c r="S343" s="835"/>
      <c r="T343" s="835">
        <v>2899.5</v>
      </c>
      <c r="U343" s="835"/>
      <c r="V343" s="835"/>
      <c r="W343" s="835"/>
      <c r="X343" s="835"/>
      <c r="Y343" s="835"/>
      <c r="Z343" s="835"/>
      <c r="AA343" s="835"/>
      <c r="AB343" s="835"/>
      <c r="AC343" s="835"/>
      <c r="AD343" s="835"/>
      <c r="AE343" s="835"/>
      <c r="AF343" s="835"/>
    </row>
    <row r="344" spans="2:62">
      <c r="B344" s="835">
        <v>703</v>
      </c>
      <c r="C344" s="835">
        <v>2888</v>
      </c>
      <c r="D344" s="835"/>
      <c r="E344" s="835"/>
      <c r="F344" s="835"/>
      <c r="G344" s="835"/>
      <c r="H344" s="835"/>
      <c r="I344" s="835"/>
      <c r="J344" s="835"/>
      <c r="K344" s="835"/>
      <c r="L344" s="835">
        <v>3184</v>
      </c>
      <c r="M344" s="835">
        <v>2858</v>
      </c>
      <c r="N344" s="835">
        <v>3078.5</v>
      </c>
      <c r="O344" s="835">
        <v>2795</v>
      </c>
      <c r="P344" s="835">
        <v>3050</v>
      </c>
      <c r="Q344" s="835">
        <v>3063</v>
      </c>
      <c r="R344" s="835">
        <v>2509</v>
      </c>
      <c r="S344" s="835"/>
      <c r="T344" s="835"/>
      <c r="U344" s="835"/>
      <c r="V344" s="835"/>
      <c r="W344" s="835"/>
      <c r="X344" s="835"/>
      <c r="Y344" s="835"/>
      <c r="Z344" s="835"/>
      <c r="AA344" s="835"/>
      <c r="AB344" s="835"/>
      <c r="AC344" s="835"/>
      <c r="AD344" s="835"/>
      <c r="AE344" s="835"/>
      <c r="AF344" s="835"/>
    </row>
    <row r="345" spans="2:62">
      <c r="B345" s="835">
        <v>717</v>
      </c>
      <c r="C345" s="835">
        <v>2250</v>
      </c>
      <c r="D345" s="835"/>
      <c r="E345" s="835"/>
      <c r="F345" s="835"/>
      <c r="G345" s="835"/>
      <c r="H345" s="835"/>
      <c r="I345" s="835"/>
      <c r="J345" s="835"/>
      <c r="K345" s="835">
        <v>2613</v>
      </c>
      <c r="L345" s="835">
        <v>2833</v>
      </c>
      <c r="M345" s="835">
        <v>2840.5</v>
      </c>
      <c r="N345" s="835">
        <v>2566</v>
      </c>
      <c r="O345" s="835"/>
      <c r="P345" s="835"/>
      <c r="Q345" s="835"/>
      <c r="R345" s="835">
        <v>1983</v>
      </c>
      <c r="S345" s="835"/>
      <c r="T345" s="835"/>
      <c r="U345" s="835"/>
      <c r="V345" s="835"/>
      <c r="W345" s="835"/>
      <c r="X345" s="835"/>
      <c r="Y345" s="835"/>
      <c r="Z345" s="835"/>
      <c r="AA345" s="835"/>
      <c r="AB345" s="835"/>
      <c r="AC345" s="835"/>
      <c r="AD345" s="835"/>
      <c r="AE345" s="835"/>
      <c r="AF345" s="835"/>
    </row>
    <row r="346" spans="2:62">
      <c r="B346" s="835">
        <v>723</v>
      </c>
      <c r="C346" s="835"/>
      <c r="D346" s="835"/>
      <c r="E346" s="835"/>
      <c r="F346" s="835"/>
      <c r="G346" s="835"/>
      <c r="H346" s="835"/>
      <c r="I346" s="835"/>
      <c r="J346" s="835">
        <v>2878</v>
      </c>
      <c r="K346" s="835"/>
      <c r="L346" s="835"/>
      <c r="M346" s="835"/>
      <c r="N346" s="835"/>
      <c r="O346" s="835">
        <v>2976</v>
      </c>
      <c r="P346" s="835">
        <v>3096.5</v>
      </c>
      <c r="Q346" s="835">
        <v>3409</v>
      </c>
      <c r="R346" s="835">
        <v>2328</v>
      </c>
      <c r="S346" s="835">
        <v>2478</v>
      </c>
      <c r="T346" s="835">
        <v>2834</v>
      </c>
      <c r="U346" s="835"/>
      <c r="V346" s="835"/>
      <c r="W346" s="835"/>
      <c r="X346" s="835"/>
      <c r="Y346" s="835"/>
      <c r="Z346" s="835"/>
      <c r="AA346" s="835"/>
      <c r="AB346" s="835"/>
      <c r="AC346" s="835"/>
      <c r="AD346" s="835"/>
      <c r="AE346" s="835"/>
      <c r="AF346" s="835"/>
    </row>
    <row r="347" spans="2:62">
      <c r="B347" s="835">
        <v>754</v>
      </c>
      <c r="C347" s="835">
        <v>3265</v>
      </c>
      <c r="D347" s="835"/>
      <c r="E347" s="835"/>
      <c r="F347" s="835"/>
      <c r="G347" s="835"/>
      <c r="H347" s="835">
        <v>3574</v>
      </c>
      <c r="I347" s="835"/>
      <c r="J347" s="835"/>
      <c r="K347" s="835">
        <v>3009</v>
      </c>
      <c r="L347" s="835"/>
      <c r="M347" s="835">
        <v>3599</v>
      </c>
      <c r="N347" s="835">
        <v>3474</v>
      </c>
      <c r="O347" s="835">
        <v>3103.3333333333335</v>
      </c>
      <c r="P347" s="835">
        <v>3065.5</v>
      </c>
      <c r="Q347" s="835">
        <v>3189</v>
      </c>
      <c r="R347" s="835">
        <v>2669.3333333333335</v>
      </c>
      <c r="S347" s="835"/>
      <c r="T347" s="835"/>
      <c r="U347" s="835">
        <v>3773</v>
      </c>
      <c r="V347" s="835"/>
      <c r="W347" s="835"/>
      <c r="X347" s="835"/>
      <c r="Y347" s="835"/>
      <c r="Z347" s="835"/>
      <c r="AA347" s="835"/>
      <c r="AB347" s="835"/>
      <c r="AC347" s="835"/>
      <c r="AD347" s="835"/>
      <c r="AE347" s="835"/>
      <c r="AF347" s="835"/>
    </row>
    <row r="348" spans="2:62">
      <c r="B348" s="835">
        <v>782</v>
      </c>
      <c r="C348" s="835"/>
      <c r="D348" s="835"/>
      <c r="E348" s="835"/>
      <c r="F348" s="835"/>
      <c r="G348" s="835"/>
      <c r="H348" s="835"/>
      <c r="I348" s="835"/>
      <c r="J348" s="835">
        <v>2629.5</v>
      </c>
      <c r="K348" s="835"/>
      <c r="L348" s="835"/>
      <c r="M348" s="835">
        <v>2873</v>
      </c>
      <c r="N348" s="835"/>
      <c r="O348" s="835">
        <v>2687</v>
      </c>
      <c r="P348" s="835"/>
      <c r="Q348" s="835">
        <v>2413</v>
      </c>
      <c r="R348" s="835"/>
      <c r="S348" s="835"/>
      <c r="T348" s="835"/>
      <c r="U348" s="835"/>
      <c r="V348" s="835"/>
      <c r="W348" s="835"/>
      <c r="X348" s="835"/>
      <c r="Y348" s="835"/>
      <c r="Z348" s="835"/>
      <c r="AA348" s="835"/>
      <c r="AB348" s="835"/>
      <c r="AC348" s="835"/>
      <c r="AD348" s="835"/>
      <c r="AE348" s="835"/>
      <c r="AF348" s="835"/>
    </row>
    <row r="349" spans="2:62">
      <c r="B349" s="835">
        <v>797</v>
      </c>
      <c r="C349" s="835"/>
      <c r="D349" s="835"/>
      <c r="E349" s="835"/>
      <c r="F349" s="835"/>
      <c r="G349" s="835">
        <v>3184</v>
      </c>
      <c r="H349" s="835">
        <v>2739</v>
      </c>
      <c r="I349" s="835"/>
      <c r="J349" s="835"/>
      <c r="K349" s="835"/>
      <c r="L349" s="835"/>
      <c r="M349" s="835">
        <v>3031</v>
      </c>
      <c r="N349" s="835"/>
      <c r="O349" s="835">
        <v>3065</v>
      </c>
      <c r="P349" s="835"/>
      <c r="Q349" s="835"/>
      <c r="R349" s="835">
        <v>2345</v>
      </c>
      <c r="S349" s="835">
        <v>2951</v>
      </c>
      <c r="T349" s="835"/>
      <c r="U349" s="835"/>
      <c r="V349" s="835"/>
      <c r="W349" s="835"/>
      <c r="X349" s="835"/>
      <c r="Y349" s="835"/>
      <c r="Z349" s="835"/>
      <c r="AA349" s="835"/>
      <c r="AB349" s="835"/>
      <c r="AC349" s="835"/>
      <c r="AD349" s="835"/>
      <c r="AE349" s="835"/>
      <c r="AF349" s="835"/>
    </row>
    <row r="350" spans="2:62">
      <c r="B350" s="835">
        <v>802</v>
      </c>
      <c r="C350" s="835"/>
      <c r="D350" s="835"/>
      <c r="E350" s="835"/>
      <c r="F350" s="835"/>
      <c r="G350" s="835"/>
      <c r="H350" s="835"/>
      <c r="I350" s="835"/>
      <c r="J350" s="835"/>
      <c r="K350" s="835"/>
      <c r="L350" s="835"/>
      <c r="M350" s="835">
        <v>3463</v>
      </c>
      <c r="N350" s="835"/>
      <c r="O350" s="835"/>
      <c r="P350" s="835"/>
      <c r="Q350" s="835"/>
      <c r="R350" s="835">
        <v>2783</v>
      </c>
      <c r="S350" s="835"/>
      <c r="T350" s="835">
        <v>3208</v>
      </c>
      <c r="U350" s="835"/>
      <c r="V350" s="835"/>
      <c r="W350" s="835"/>
      <c r="X350" s="835"/>
      <c r="Y350" s="835"/>
      <c r="Z350" s="835"/>
      <c r="AA350" s="835"/>
      <c r="AB350" s="835"/>
      <c r="AC350" s="835"/>
      <c r="AD350" s="835"/>
      <c r="AE350" s="835"/>
      <c r="AF350" s="835"/>
    </row>
    <row r="351" spans="2:62">
      <c r="B351" s="837" t="s">
        <v>270</v>
      </c>
      <c r="C351" s="835"/>
      <c r="D351" s="835"/>
      <c r="E351" s="835"/>
      <c r="F351" s="835"/>
      <c r="G351" s="835"/>
      <c r="H351" s="835"/>
      <c r="I351" s="835"/>
      <c r="J351" s="835"/>
      <c r="K351" s="835"/>
      <c r="L351" s="835"/>
      <c r="M351" s="835"/>
      <c r="N351" s="835"/>
      <c r="O351" s="835"/>
      <c r="P351" s="835"/>
      <c r="Q351" s="835"/>
      <c r="R351" s="835"/>
      <c r="S351" s="835"/>
      <c r="T351" s="835"/>
      <c r="U351" s="835"/>
      <c r="V351" s="835"/>
      <c r="W351" s="835"/>
      <c r="X351" s="835"/>
      <c r="Y351" s="835"/>
      <c r="Z351" s="835"/>
      <c r="AA351" s="835"/>
      <c r="AB351" s="835"/>
      <c r="AC351" s="835"/>
      <c r="AD351" s="835"/>
      <c r="AE351" s="835"/>
      <c r="AF351" s="835"/>
    </row>
    <row r="352" spans="2:62">
      <c r="B352" s="835">
        <v>1088</v>
      </c>
      <c r="C352" s="835"/>
      <c r="D352" s="835"/>
      <c r="E352" s="835"/>
      <c r="F352" s="835"/>
      <c r="G352" s="835"/>
      <c r="H352" s="835"/>
      <c r="I352" s="835"/>
      <c r="J352" s="835"/>
      <c r="K352" s="835"/>
      <c r="L352" s="835"/>
      <c r="M352" s="835">
        <v>3985</v>
      </c>
      <c r="N352" s="835">
        <v>4050</v>
      </c>
      <c r="O352" s="835"/>
      <c r="P352" s="835"/>
      <c r="Q352" s="835">
        <v>3540</v>
      </c>
      <c r="R352" s="835">
        <v>3418</v>
      </c>
      <c r="S352" s="835"/>
      <c r="T352" s="835"/>
      <c r="U352" s="835">
        <v>3985</v>
      </c>
      <c r="V352" s="835"/>
      <c r="W352" s="835"/>
      <c r="X352" s="835"/>
      <c r="Y352" s="835"/>
      <c r="Z352" s="835"/>
      <c r="AA352" s="835"/>
      <c r="AB352" s="835"/>
      <c r="AC352" s="835"/>
      <c r="AD352" s="835"/>
      <c r="AE352" s="835"/>
      <c r="AF352" s="835"/>
    </row>
    <row r="353" spans="2:32">
      <c r="B353" s="835">
        <v>1097</v>
      </c>
      <c r="C353" s="835"/>
      <c r="D353" s="835"/>
      <c r="E353" s="835">
        <v>3419</v>
      </c>
      <c r="F353" s="835"/>
      <c r="G353" s="835"/>
      <c r="H353" s="835"/>
      <c r="I353" s="835"/>
      <c r="J353" s="835"/>
      <c r="K353" s="835"/>
      <c r="L353" s="835"/>
      <c r="M353" s="835"/>
      <c r="N353" s="835">
        <v>3882</v>
      </c>
      <c r="O353" s="835"/>
      <c r="P353" s="835"/>
      <c r="Q353" s="835"/>
      <c r="R353" s="835"/>
      <c r="S353" s="835">
        <v>6350</v>
      </c>
      <c r="T353" s="835"/>
      <c r="U353" s="835"/>
      <c r="V353" s="835"/>
      <c r="W353" s="835"/>
      <c r="X353" s="835"/>
      <c r="Y353" s="835"/>
      <c r="Z353" s="835"/>
      <c r="AA353" s="835"/>
      <c r="AB353" s="835"/>
      <c r="AC353" s="835"/>
      <c r="AD353" s="835"/>
      <c r="AE353" s="835"/>
      <c r="AF353" s="835"/>
    </row>
    <row r="354" spans="2:32">
      <c r="B354" s="835">
        <v>1100</v>
      </c>
      <c r="C354" s="835">
        <v>4574</v>
      </c>
      <c r="D354" s="835">
        <v>4679</v>
      </c>
      <c r="E354" s="835"/>
      <c r="F354" s="835"/>
      <c r="G354" s="835"/>
      <c r="H354" s="835"/>
      <c r="I354" s="835"/>
      <c r="J354" s="835"/>
      <c r="K354" s="835">
        <v>4028</v>
      </c>
      <c r="L354" s="835"/>
      <c r="M354" s="835"/>
      <c r="N354" s="835">
        <v>4396</v>
      </c>
      <c r="O354" s="835"/>
      <c r="P354" s="835"/>
      <c r="Q354" s="835"/>
      <c r="R354" s="835">
        <v>4005</v>
      </c>
      <c r="S354" s="835">
        <v>4031</v>
      </c>
      <c r="T354" s="835"/>
      <c r="U354" s="835"/>
      <c r="V354" s="835"/>
      <c r="W354" s="835"/>
      <c r="X354" s="835"/>
      <c r="Y354" s="835"/>
      <c r="Z354" s="835"/>
      <c r="AA354" s="835"/>
      <c r="AB354" s="835"/>
      <c r="AC354" s="835"/>
      <c r="AD354" s="835"/>
      <c r="AE354" s="835"/>
      <c r="AF354" s="835"/>
    </row>
    <row r="355" spans="2:32">
      <c r="B355" s="835">
        <v>1118</v>
      </c>
      <c r="C355" s="835"/>
      <c r="D355" s="835"/>
      <c r="E355" s="835"/>
      <c r="F355" s="835"/>
      <c r="G355" s="835"/>
      <c r="H355" s="835">
        <v>4278</v>
      </c>
      <c r="I355" s="835"/>
      <c r="J355" s="835"/>
      <c r="K355" s="835"/>
      <c r="L355" s="835">
        <v>5234</v>
      </c>
      <c r="M355" s="835"/>
      <c r="N355" s="835"/>
      <c r="O355" s="835"/>
      <c r="P355" s="835">
        <v>5083</v>
      </c>
      <c r="Q355" s="835"/>
      <c r="R355" s="835"/>
      <c r="S355" s="835"/>
      <c r="T355" s="835"/>
      <c r="U355" s="835"/>
      <c r="V355" s="835"/>
      <c r="W355" s="835"/>
      <c r="X355" s="835"/>
      <c r="Y355" s="835"/>
      <c r="Z355" s="835"/>
      <c r="AA355" s="835"/>
      <c r="AB355" s="835"/>
      <c r="AC355" s="835"/>
      <c r="AD355" s="835"/>
      <c r="AE355" s="835"/>
      <c r="AF355" s="835"/>
    </row>
    <row r="356" spans="2:32">
      <c r="B356" s="835">
        <v>1123</v>
      </c>
      <c r="C356" s="835"/>
      <c r="D356" s="835"/>
      <c r="E356" s="835"/>
      <c r="F356" s="835"/>
      <c r="G356" s="835"/>
      <c r="H356" s="835"/>
      <c r="I356" s="835"/>
      <c r="J356" s="835"/>
      <c r="K356" s="835"/>
      <c r="L356" s="835"/>
      <c r="M356" s="835"/>
      <c r="N356" s="835"/>
      <c r="O356" s="835"/>
      <c r="P356" s="835">
        <v>4726</v>
      </c>
      <c r="Q356" s="835">
        <v>4237</v>
      </c>
      <c r="R356" s="835">
        <v>4068</v>
      </c>
      <c r="S356" s="835"/>
      <c r="T356" s="835">
        <v>4107</v>
      </c>
      <c r="U356" s="835">
        <v>4834</v>
      </c>
      <c r="V356" s="835">
        <v>4887</v>
      </c>
      <c r="W356" s="835"/>
      <c r="X356" s="835"/>
      <c r="Y356" s="835"/>
      <c r="Z356" s="835"/>
      <c r="AA356" s="835"/>
      <c r="AB356" s="835"/>
      <c r="AC356" s="835"/>
      <c r="AD356" s="835"/>
      <c r="AE356" s="835"/>
      <c r="AF356" s="835"/>
    </row>
    <row r="357" spans="2:32">
      <c r="B357" s="835">
        <v>1134</v>
      </c>
      <c r="C357" s="835"/>
      <c r="D357" s="835"/>
      <c r="E357" s="835"/>
      <c r="F357" s="835"/>
      <c r="G357" s="835"/>
      <c r="H357" s="835"/>
      <c r="I357" s="835"/>
      <c r="J357" s="835"/>
      <c r="K357" s="835"/>
      <c r="L357" s="835"/>
      <c r="M357" s="835"/>
      <c r="N357" s="835"/>
      <c r="O357" s="835"/>
      <c r="P357" s="835"/>
      <c r="Q357" s="835"/>
      <c r="R357" s="835"/>
      <c r="S357" s="835">
        <v>3613.3333333333335</v>
      </c>
      <c r="T357" s="835"/>
      <c r="U357" s="835"/>
      <c r="V357" s="835">
        <v>4420</v>
      </c>
      <c r="W357" s="835"/>
      <c r="X357" s="835"/>
      <c r="Y357" s="835"/>
      <c r="Z357" s="835"/>
      <c r="AA357" s="835"/>
      <c r="AB357" s="835"/>
      <c r="AC357" s="835"/>
      <c r="AD357" s="835"/>
      <c r="AE357" s="835"/>
      <c r="AF357" s="835"/>
    </row>
    <row r="358" spans="2:32">
      <c r="B358" s="835">
        <v>1137</v>
      </c>
      <c r="C358" s="835"/>
      <c r="D358" s="835">
        <v>5909</v>
      </c>
      <c r="E358" s="835"/>
      <c r="F358" s="835"/>
      <c r="G358" s="835"/>
      <c r="H358" s="835"/>
      <c r="I358" s="835"/>
      <c r="J358" s="835"/>
      <c r="K358" s="835"/>
      <c r="L358" s="835"/>
      <c r="M358" s="835"/>
      <c r="N358" s="835"/>
      <c r="O358" s="835"/>
      <c r="P358" s="835"/>
      <c r="Q358" s="835"/>
      <c r="R358" s="835"/>
      <c r="S358" s="835"/>
      <c r="T358" s="835"/>
      <c r="U358" s="835"/>
      <c r="V358" s="835"/>
      <c r="W358" s="835"/>
      <c r="X358" s="835"/>
      <c r="Y358" s="835"/>
      <c r="Z358" s="835"/>
      <c r="AA358" s="835"/>
      <c r="AB358" s="835"/>
      <c r="AC358" s="835"/>
      <c r="AD358" s="835"/>
      <c r="AE358" s="835"/>
      <c r="AF358" s="835"/>
    </row>
    <row r="359" spans="2:32" ht="15.5">
      <c r="B359" s="843" t="s">
        <v>1151</v>
      </c>
      <c r="C359" s="835"/>
      <c r="D359" s="835"/>
      <c r="E359" s="835"/>
      <c r="F359" s="835"/>
      <c r="G359" s="835"/>
      <c r="H359" s="835"/>
      <c r="I359" s="835"/>
      <c r="J359" s="835"/>
      <c r="K359" s="835"/>
      <c r="L359" s="835"/>
      <c r="M359" s="835"/>
      <c r="N359" s="835"/>
      <c r="O359" s="835"/>
      <c r="P359" s="835"/>
      <c r="Q359" s="835"/>
      <c r="R359" s="835"/>
      <c r="S359" s="835"/>
      <c r="T359" s="835"/>
      <c r="U359" s="835"/>
      <c r="V359" s="835"/>
      <c r="W359" s="835"/>
      <c r="X359" s="835"/>
      <c r="Y359" s="835"/>
      <c r="Z359" s="835"/>
      <c r="AA359" s="835"/>
      <c r="AB359" s="835"/>
      <c r="AC359" s="835"/>
      <c r="AD359" s="835"/>
      <c r="AE359" s="835"/>
      <c r="AF359" s="835"/>
    </row>
    <row r="360" spans="2:32">
      <c r="B360" s="837" t="s">
        <v>13</v>
      </c>
      <c r="C360" s="835"/>
      <c r="D360" s="835"/>
      <c r="E360" s="835"/>
      <c r="F360" s="835"/>
      <c r="G360" s="835"/>
      <c r="H360" s="835"/>
      <c r="I360" s="835"/>
      <c r="J360" s="835"/>
      <c r="K360" s="835"/>
      <c r="L360" s="835"/>
      <c r="M360" s="835"/>
      <c r="N360" s="835"/>
      <c r="O360" s="835"/>
      <c r="P360" s="835"/>
      <c r="Q360" s="835"/>
      <c r="R360" s="835"/>
      <c r="S360" s="835"/>
      <c r="T360" s="835"/>
      <c r="U360" s="835"/>
      <c r="V360" s="835"/>
      <c r="W360" s="835"/>
      <c r="X360" s="835"/>
      <c r="Y360" s="835"/>
      <c r="Z360" s="835"/>
      <c r="AA360" s="835"/>
      <c r="AB360" s="835"/>
      <c r="AC360" s="835"/>
      <c r="AD360" s="835"/>
      <c r="AE360" s="835"/>
      <c r="AF360" s="835"/>
    </row>
    <row r="361" spans="2:32">
      <c r="B361" s="835">
        <v>522</v>
      </c>
      <c r="C361" s="835">
        <v>2339.5</v>
      </c>
      <c r="D361" s="835"/>
      <c r="E361" s="835"/>
      <c r="F361" s="835">
        <v>2199</v>
      </c>
      <c r="G361" s="835">
        <v>2122</v>
      </c>
      <c r="H361" s="835"/>
      <c r="I361" s="835"/>
      <c r="J361" s="835"/>
      <c r="K361" s="835">
        <v>2240.5</v>
      </c>
      <c r="L361" s="835">
        <v>2199.5</v>
      </c>
      <c r="M361" s="835"/>
      <c r="N361" s="835">
        <v>2219.5</v>
      </c>
      <c r="O361" s="835">
        <v>2283.75</v>
      </c>
      <c r="P361" s="835">
        <v>2338</v>
      </c>
      <c r="Q361" s="835">
        <v>2363</v>
      </c>
      <c r="R361" s="835">
        <v>2369</v>
      </c>
      <c r="S361" s="835"/>
      <c r="T361" s="835"/>
      <c r="U361" s="835">
        <v>2253</v>
      </c>
      <c r="V361" s="835">
        <v>2188</v>
      </c>
      <c r="W361" s="835">
        <v>2344</v>
      </c>
      <c r="X361" s="835"/>
      <c r="Y361" s="835"/>
      <c r="Z361" s="835"/>
      <c r="AA361" s="835"/>
      <c r="AB361" s="835"/>
      <c r="AC361" s="835"/>
      <c r="AD361" s="835"/>
      <c r="AE361" s="835"/>
      <c r="AF361" s="835"/>
    </row>
    <row r="362" spans="2:32">
      <c r="B362" s="835">
        <v>538</v>
      </c>
      <c r="C362" s="835"/>
      <c r="D362" s="835">
        <v>2373</v>
      </c>
      <c r="E362" s="835"/>
      <c r="F362" s="835"/>
      <c r="G362" s="835"/>
      <c r="H362" s="835"/>
      <c r="I362" s="835"/>
      <c r="J362" s="835"/>
      <c r="K362" s="835"/>
      <c r="L362" s="835"/>
      <c r="M362" s="835"/>
      <c r="N362" s="835"/>
      <c r="O362" s="835"/>
      <c r="P362" s="835"/>
      <c r="Q362" s="835"/>
      <c r="R362" s="835"/>
      <c r="S362" s="835">
        <v>2236</v>
      </c>
      <c r="T362" s="835">
        <v>2237</v>
      </c>
      <c r="U362" s="835"/>
      <c r="V362" s="835"/>
      <c r="W362" s="835"/>
      <c r="X362" s="835"/>
      <c r="Y362" s="835"/>
      <c r="Z362" s="835"/>
      <c r="AA362" s="835"/>
      <c r="AB362" s="835"/>
      <c r="AC362" s="835"/>
      <c r="AD362" s="835"/>
      <c r="AE362" s="835"/>
      <c r="AF362" s="835"/>
    </row>
    <row r="363" spans="2:32">
      <c r="B363" s="835">
        <v>571</v>
      </c>
      <c r="C363" s="835"/>
      <c r="D363" s="835"/>
      <c r="E363" s="835"/>
      <c r="F363" s="835"/>
      <c r="G363" s="835"/>
      <c r="H363" s="835"/>
      <c r="I363" s="835"/>
      <c r="J363" s="835"/>
      <c r="K363" s="835"/>
      <c r="L363" s="835"/>
      <c r="M363" s="835">
        <v>2193</v>
      </c>
      <c r="N363" s="835"/>
      <c r="O363" s="835"/>
      <c r="P363" s="835"/>
      <c r="Q363" s="835"/>
      <c r="R363" s="835"/>
      <c r="S363" s="835"/>
      <c r="T363" s="835"/>
      <c r="U363" s="835"/>
      <c r="V363" s="835">
        <v>1993</v>
      </c>
      <c r="W363" s="835"/>
      <c r="X363" s="835"/>
      <c r="Y363" s="835"/>
      <c r="Z363" s="835"/>
      <c r="AA363" s="835"/>
      <c r="AB363" s="835"/>
      <c r="AC363" s="835"/>
      <c r="AD363" s="835"/>
      <c r="AE363" s="835"/>
      <c r="AF363" s="835"/>
    </row>
    <row r="364" spans="2:32">
      <c r="B364" s="835">
        <v>593</v>
      </c>
      <c r="C364" s="835">
        <v>2129</v>
      </c>
      <c r="D364" s="835">
        <v>2042</v>
      </c>
      <c r="E364" s="835"/>
      <c r="F364" s="835"/>
      <c r="G364" s="835"/>
      <c r="H364" s="835"/>
      <c r="I364" s="835">
        <v>1917</v>
      </c>
      <c r="J364" s="835"/>
      <c r="K364" s="835">
        <v>2051</v>
      </c>
      <c r="L364" s="835"/>
      <c r="M364" s="835"/>
      <c r="N364" s="835"/>
      <c r="O364" s="835">
        <v>2071.5</v>
      </c>
      <c r="P364" s="835">
        <v>2319</v>
      </c>
      <c r="Q364" s="835">
        <v>2261</v>
      </c>
      <c r="R364" s="835">
        <v>1898</v>
      </c>
      <c r="S364" s="835">
        <v>2035</v>
      </c>
      <c r="T364" s="835">
        <v>2105</v>
      </c>
      <c r="U364" s="835">
        <v>2406</v>
      </c>
      <c r="V364" s="835">
        <v>2139.6666666666665</v>
      </c>
      <c r="W364" s="835">
        <v>2077</v>
      </c>
      <c r="X364" s="835"/>
      <c r="Y364" s="835"/>
      <c r="Z364" s="835"/>
      <c r="AA364" s="835"/>
      <c r="AB364" s="835"/>
      <c r="AC364" s="835"/>
      <c r="AD364" s="835"/>
      <c r="AE364" s="835"/>
      <c r="AF364" s="835"/>
    </row>
    <row r="365" spans="2:32">
      <c r="B365" s="835">
        <v>652</v>
      </c>
      <c r="C365" s="835"/>
      <c r="D365" s="835">
        <v>2455</v>
      </c>
      <c r="E365" s="835"/>
      <c r="F365" s="835"/>
      <c r="G365" s="835"/>
      <c r="H365" s="835"/>
      <c r="I365" s="835"/>
      <c r="J365" s="835"/>
      <c r="K365" s="835">
        <v>2321.5</v>
      </c>
      <c r="L365" s="835">
        <v>2237</v>
      </c>
      <c r="M365" s="835">
        <v>2346</v>
      </c>
      <c r="N365" s="835">
        <v>2290.25</v>
      </c>
      <c r="O365" s="835">
        <v>2333.1999999999998</v>
      </c>
      <c r="P365" s="835">
        <v>2164</v>
      </c>
      <c r="Q365" s="835">
        <v>2365</v>
      </c>
      <c r="R365" s="835">
        <v>2296.6666666666665</v>
      </c>
      <c r="S365" s="835"/>
      <c r="T365" s="835">
        <v>2233</v>
      </c>
      <c r="U365" s="835"/>
      <c r="V365" s="835">
        <v>2303</v>
      </c>
      <c r="W365" s="835">
        <v>2262</v>
      </c>
      <c r="X365" s="835"/>
      <c r="Y365" s="835"/>
      <c r="Z365" s="835"/>
      <c r="AA365" s="835"/>
      <c r="AB365" s="835"/>
      <c r="AC365" s="835"/>
      <c r="AD365" s="835"/>
      <c r="AE365" s="835"/>
      <c r="AF365" s="835">
        <v>2269</v>
      </c>
    </row>
    <row r="366" spans="2:32">
      <c r="B366" s="837" t="s">
        <v>1209</v>
      </c>
      <c r="C366" s="835"/>
      <c r="D366" s="835"/>
      <c r="E366" s="835"/>
      <c r="F366" s="835"/>
      <c r="G366" s="835"/>
      <c r="H366" s="835"/>
      <c r="I366" s="835"/>
      <c r="J366" s="835"/>
      <c r="K366" s="835"/>
      <c r="L366" s="835"/>
      <c r="M366" s="835"/>
      <c r="N366" s="835"/>
      <c r="O366" s="835"/>
      <c r="P366" s="835"/>
      <c r="Q366" s="835"/>
      <c r="R366" s="835"/>
      <c r="S366" s="835"/>
      <c r="T366" s="835"/>
      <c r="U366" s="835"/>
      <c r="V366" s="835"/>
      <c r="W366" s="835"/>
      <c r="X366" s="835"/>
      <c r="Y366" s="835"/>
      <c r="Z366" s="835"/>
      <c r="AA366" s="835"/>
      <c r="AB366" s="835"/>
      <c r="AC366" s="835"/>
      <c r="AD366" s="835"/>
      <c r="AE366" s="835"/>
      <c r="AF366" s="835"/>
    </row>
    <row r="367" spans="2:32">
      <c r="B367" s="835">
        <v>663</v>
      </c>
      <c r="C367" s="835"/>
      <c r="D367" s="835"/>
      <c r="E367" s="835"/>
      <c r="F367" s="835"/>
      <c r="G367" s="835"/>
      <c r="H367" s="835"/>
      <c r="I367" s="835">
        <v>2402</v>
      </c>
      <c r="J367" s="835"/>
      <c r="K367" s="835">
        <v>2671</v>
      </c>
      <c r="L367" s="835">
        <v>2554</v>
      </c>
      <c r="M367" s="835">
        <v>2511.6666666666665</v>
      </c>
      <c r="N367" s="835">
        <v>2517</v>
      </c>
      <c r="O367" s="835">
        <v>2442</v>
      </c>
      <c r="P367" s="835">
        <v>2532.3333333333335</v>
      </c>
      <c r="Q367" s="835">
        <v>2433.5</v>
      </c>
      <c r="R367" s="835"/>
      <c r="S367" s="835"/>
      <c r="T367" s="835">
        <v>2350</v>
      </c>
      <c r="U367" s="835">
        <v>2582</v>
      </c>
      <c r="V367" s="835">
        <v>2310</v>
      </c>
      <c r="W367" s="835">
        <v>2461.5</v>
      </c>
      <c r="X367" s="835"/>
      <c r="Y367" s="835"/>
      <c r="Z367" s="835"/>
      <c r="AA367" s="835"/>
      <c r="AB367" s="835"/>
      <c r="AC367" s="835"/>
      <c r="AD367" s="835"/>
      <c r="AE367" s="835"/>
      <c r="AF367" s="835"/>
    </row>
    <row r="368" spans="2:32">
      <c r="B368" s="835">
        <v>712</v>
      </c>
      <c r="C368" s="835"/>
      <c r="D368" s="835"/>
      <c r="E368" s="835"/>
      <c r="F368" s="835"/>
      <c r="G368" s="835"/>
      <c r="H368" s="835"/>
      <c r="I368" s="835">
        <v>2600</v>
      </c>
      <c r="J368" s="835"/>
      <c r="K368" s="835">
        <v>2389</v>
      </c>
      <c r="L368" s="835"/>
      <c r="M368" s="835">
        <v>2592.5</v>
      </c>
      <c r="N368" s="835">
        <v>2605.4</v>
      </c>
      <c r="O368" s="835">
        <v>2569</v>
      </c>
      <c r="P368" s="835">
        <v>2552</v>
      </c>
      <c r="Q368" s="835"/>
      <c r="R368" s="835">
        <v>2292</v>
      </c>
      <c r="S368" s="835">
        <v>2634</v>
      </c>
      <c r="T368" s="835">
        <v>2595.5</v>
      </c>
      <c r="U368" s="835">
        <v>2552.5</v>
      </c>
      <c r="V368" s="835">
        <v>2479</v>
      </c>
      <c r="W368" s="835">
        <v>2648</v>
      </c>
      <c r="X368" s="835"/>
      <c r="Y368" s="835"/>
      <c r="Z368" s="835"/>
      <c r="AA368" s="835"/>
      <c r="AB368" s="835"/>
      <c r="AC368" s="835"/>
      <c r="AD368" s="835"/>
      <c r="AE368" s="835"/>
      <c r="AF368" s="835"/>
    </row>
    <row r="369" spans="2:32">
      <c r="B369" s="835">
        <v>718</v>
      </c>
      <c r="C369" s="835"/>
      <c r="D369" s="835"/>
      <c r="E369" s="835"/>
      <c r="F369" s="835"/>
      <c r="G369" s="835"/>
      <c r="H369" s="835"/>
      <c r="I369" s="835"/>
      <c r="J369" s="835"/>
      <c r="K369" s="835">
        <v>2963</v>
      </c>
      <c r="L369" s="835"/>
      <c r="M369" s="835">
        <v>2783</v>
      </c>
      <c r="N369" s="835"/>
      <c r="O369" s="835">
        <v>2856</v>
      </c>
      <c r="P369" s="835"/>
      <c r="Q369" s="835"/>
      <c r="R369" s="835"/>
      <c r="S369" s="835"/>
      <c r="T369" s="835"/>
      <c r="U369" s="835"/>
      <c r="V369" s="835"/>
      <c r="W369" s="835"/>
      <c r="X369" s="835"/>
      <c r="Y369" s="835"/>
      <c r="Z369" s="835"/>
      <c r="AA369" s="835"/>
      <c r="AB369" s="835"/>
      <c r="AC369" s="835"/>
      <c r="AD369" s="835"/>
      <c r="AE369" s="835"/>
      <c r="AF369" s="835"/>
    </row>
    <row r="370" spans="2:32">
      <c r="B370" s="835">
        <v>757</v>
      </c>
      <c r="C370" s="835">
        <v>2647</v>
      </c>
      <c r="D370" s="835">
        <v>2795</v>
      </c>
      <c r="E370" s="835"/>
      <c r="F370" s="835"/>
      <c r="G370" s="835"/>
      <c r="H370" s="835"/>
      <c r="I370" s="835"/>
      <c r="J370" s="835"/>
      <c r="K370" s="835">
        <v>2785</v>
      </c>
      <c r="L370" s="835">
        <v>2919</v>
      </c>
      <c r="M370" s="835">
        <v>2884</v>
      </c>
      <c r="N370" s="835">
        <v>2626</v>
      </c>
      <c r="O370" s="835">
        <v>2810</v>
      </c>
      <c r="P370" s="835">
        <v>3581</v>
      </c>
      <c r="Q370" s="835"/>
      <c r="R370" s="835">
        <v>2992</v>
      </c>
      <c r="S370" s="835"/>
      <c r="T370" s="835"/>
      <c r="U370" s="835"/>
      <c r="V370" s="835"/>
      <c r="W370" s="835">
        <v>2754</v>
      </c>
      <c r="X370" s="835"/>
      <c r="Y370" s="835"/>
      <c r="Z370" s="835"/>
      <c r="AA370" s="835"/>
      <c r="AB370" s="835"/>
      <c r="AC370" s="835"/>
      <c r="AD370" s="835"/>
      <c r="AE370" s="835"/>
      <c r="AF370" s="835"/>
    </row>
    <row r="371" spans="2:32">
      <c r="B371" s="835">
        <v>769</v>
      </c>
      <c r="C371" s="835">
        <v>2553</v>
      </c>
      <c r="D371" s="835"/>
      <c r="E371" s="835"/>
      <c r="F371" s="835"/>
      <c r="G371" s="835">
        <v>2289</v>
      </c>
      <c r="H371" s="835"/>
      <c r="I371" s="835"/>
      <c r="J371" s="835"/>
      <c r="K371" s="835"/>
      <c r="L371" s="835"/>
      <c r="M371" s="835"/>
      <c r="N371" s="835"/>
      <c r="O371" s="835"/>
      <c r="P371" s="835">
        <v>2443</v>
      </c>
      <c r="Q371" s="835"/>
      <c r="R371" s="835"/>
      <c r="S371" s="835"/>
      <c r="T371" s="835"/>
      <c r="U371" s="835"/>
      <c r="V371" s="835"/>
      <c r="W371" s="835"/>
      <c r="X371" s="835"/>
      <c r="Y371" s="835"/>
      <c r="Z371" s="835"/>
      <c r="AA371" s="835"/>
      <c r="AB371" s="835"/>
      <c r="AC371" s="835"/>
      <c r="AD371" s="835"/>
      <c r="AE371" s="835"/>
      <c r="AF371" s="835"/>
    </row>
    <row r="372" spans="2:32">
      <c r="B372" s="835">
        <v>770</v>
      </c>
      <c r="C372" s="835"/>
      <c r="D372" s="835"/>
      <c r="E372" s="835"/>
      <c r="F372" s="835"/>
      <c r="G372" s="835">
        <v>2701</v>
      </c>
      <c r="H372" s="835"/>
      <c r="I372" s="835"/>
      <c r="J372" s="835"/>
      <c r="K372" s="835"/>
      <c r="L372" s="835"/>
      <c r="M372" s="835"/>
      <c r="N372" s="835"/>
      <c r="O372" s="835"/>
      <c r="P372" s="835"/>
      <c r="Q372" s="835"/>
      <c r="R372" s="835"/>
      <c r="S372" s="835"/>
      <c r="T372" s="835"/>
      <c r="U372" s="835"/>
      <c r="V372" s="835"/>
      <c r="W372" s="835">
        <v>3028.5</v>
      </c>
      <c r="X372" s="835"/>
      <c r="Y372" s="835"/>
      <c r="Z372" s="835"/>
      <c r="AA372" s="835"/>
      <c r="AB372" s="835"/>
      <c r="AC372" s="835"/>
      <c r="AD372" s="835"/>
      <c r="AE372" s="835"/>
      <c r="AF372" s="835"/>
    </row>
    <row r="373" spans="2:32">
      <c r="B373" s="835">
        <v>803</v>
      </c>
      <c r="C373" s="835"/>
      <c r="D373" s="835"/>
      <c r="E373" s="835"/>
      <c r="F373" s="835"/>
      <c r="G373" s="835"/>
      <c r="H373" s="835"/>
      <c r="I373" s="835"/>
      <c r="J373" s="835"/>
      <c r="K373" s="835"/>
      <c r="L373" s="835"/>
      <c r="M373" s="835">
        <v>3142</v>
      </c>
      <c r="N373" s="835">
        <v>3076.5</v>
      </c>
      <c r="O373" s="835"/>
      <c r="P373" s="835"/>
      <c r="Q373" s="835">
        <v>3448</v>
      </c>
      <c r="R373" s="835"/>
      <c r="S373" s="835"/>
      <c r="T373" s="835"/>
      <c r="U373" s="835"/>
      <c r="V373" s="835"/>
      <c r="W373" s="835"/>
      <c r="X373" s="835"/>
      <c r="Y373" s="835"/>
      <c r="Z373" s="835"/>
      <c r="AA373" s="835"/>
      <c r="AB373" s="835"/>
      <c r="AC373" s="835"/>
      <c r="AD373" s="835"/>
      <c r="AE373" s="835"/>
      <c r="AF373" s="835"/>
    </row>
    <row r="374" spans="2:32">
      <c r="B374" s="835">
        <v>813</v>
      </c>
      <c r="C374" s="835">
        <v>2740</v>
      </c>
      <c r="D374" s="835"/>
      <c r="E374" s="835"/>
      <c r="F374" s="835"/>
      <c r="G374" s="835"/>
      <c r="H374" s="835"/>
      <c r="I374" s="835">
        <v>2792</v>
      </c>
      <c r="J374" s="835"/>
      <c r="K374" s="835"/>
      <c r="L374" s="835"/>
      <c r="M374" s="835"/>
      <c r="N374" s="835"/>
      <c r="O374" s="835"/>
      <c r="P374" s="835"/>
      <c r="Q374" s="835"/>
      <c r="R374" s="835"/>
      <c r="S374" s="835"/>
      <c r="T374" s="835"/>
      <c r="U374" s="835"/>
      <c r="V374" s="835"/>
      <c r="W374" s="835"/>
      <c r="X374" s="835"/>
      <c r="Y374" s="835"/>
      <c r="Z374" s="835"/>
      <c r="AA374" s="835"/>
      <c r="AB374" s="835"/>
      <c r="AC374" s="835"/>
      <c r="AD374" s="835"/>
      <c r="AE374" s="835">
        <v>2865</v>
      </c>
      <c r="AF374" s="835"/>
    </row>
    <row r="375" spans="2:32">
      <c r="B375" s="835">
        <v>816</v>
      </c>
      <c r="C375" s="835"/>
      <c r="D375" s="835"/>
      <c r="E375" s="835"/>
      <c r="F375" s="835"/>
      <c r="G375" s="835"/>
      <c r="H375" s="835"/>
      <c r="I375" s="835"/>
      <c r="J375" s="835"/>
      <c r="K375" s="835"/>
      <c r="L375" s="835"/>
      <c r="M375" s="835">
        <v>3150</v>
      </c>
      <c r="N375" s="835"/>
      <c r="O375" s="835"/>
      <c r="P375" s="835"/>
      <c r="Q375" s="835"/>
      <c r="R375" s="835"/>
      <c r="S375" s="835"/>
      <c r="T375" s="835"/>
      <c r="U375" s="835"/>
      <c r="V375" s="835"/>
      <c r="W375" s="835"/>
      <c r="X375" s="835"/>
      <c r="Y375" s="835"/>
      <c r="Z375" s="835"/>
      <c r="AA375" s="835"/>
      <c r="AB375" s="835"/>
      <c r="AC375" s="835"/>
      <c r="AD375" s="835"/>
      <c r="AE375" s="835"/>
      <c r="AF375" s="835"/>
    </row>
    <row r="376" spans="2:32">
      <c r="B376" s="835">
        <v>818</v>
      </c>
      <c r="C376" s="835"/>
      <c r="D376" s="835"/>
      <c r="E376" s="835">
        <v>2842</v>
      </c>
      <c r="F376" s="835"/>
      <c r="G376" s="835"/>
      <c r="H376" s="835"/>
      <c r="I376" s="835"/>
      <c r="J376" s="835"/>
      <c r="K376" s="835"/>
      <c r="L376" s="835">
        <v>3022.25</v>
      </c>
      <c r="M376" s="835">
        <v>2840.5</v>
      </c>
      <c r="N376" s="835"/>
      <c r="O376" s="835">
        <v>2775</v>
      </c>
      <c r="P376" s="835">
        <v>3004</v>
      </c>
      <c r="Q376" s="835">
        <v>3035.5</v>
      </c>
      <c r="R376" s="835">
        <v>2965</v>
      </c>
      <c r="S376" s="835"/>
      <c r="T376" s="835">
        <v>2888</v>
      </c>
      <c r="U376" s="835"/>
      <c r="V376" s="835">
        <v>3070.5</v>
      </c>
      <c r="W376" s="835">
        <v>3695</v>
      </c>
      <c r="X376" s="835"/>
      <c r="Y376" s="835"/>
      <c r="Z376" s="835"/>
      <c r="AA376" s="835"/>
      <c r="AB376" s="835"/>
      <c r="AC376" s="835"/>
      <c r="AD376" s="835"/>
      <c r="AE376" s="835"/>
      <c r="AF376" s="835"/>
    </row>
    <row r="377" spans="2:32">
      <c r="B377" s="835">
        <v>829</v>
      </c>
      <c r="C377" s="835"/>
      <c r="D377" s="835">
        <v>3038</v>
      </c>
      <c r="E377" s="835"/>
      <c r="F377" s="835"/>
      <c r="G377" s="835"/>
      <c r="H377" s="835"/>
      <c r="I377" s="835"/>
      <c r="J377" s="835">
        <v>2844</v>
      </c>
      <c r="K377" s="835">
        <v>2878.3333333333335</v>
      </c>
      <c r="L377" s="835">
        <v>3009.5</v>
      </c>
      <c r="M377" s="835">
        <v>3094.6666666666665</v>
      </c>
      <c r="N377" s="835">
        <v>2852.75</v>
      </c>
      <c r="O377" s="835"/>
      <c r="P377" s="835"/>
      <c r="Q377" s="835">
        <v>3065.5</v>
      </c>
      <c r="R377" s="835">
        <v>2913</v>
      </c>
      <c r="S377" s="835">
        <v>2964</v>
      </c>
      <c r="T377" s="835">
        <v>2836</v>
      </c>
      <c r="U377" s="835">
        <v>2944.3333333333335</v>
      </c>
      <c r="V377" s="835">
        <v>3072</v>
      </c>
      <c r="W377" s="835"/>
      <c r="X377" s="835"/>
      <c r="Y377" s="835"/>
      <c r="Z377" s="835"/>
      <c r="AA377" s="835"/>
      <c r="AB377" s="835"/>
      <c r="AC377" s="835"/>
      <c r="AD377" s="835"/>
      <c r="AE377" s="835"/>
      <c r="AF377" s="835"/>
    </row>
    <row r="378" spans="2:32">
      <c r="B378" s="835">
        <v>844</v>
      </c>
      <c r="C378" s="835">
        <v>3055</v>
      </c>
      <c r="D378" s="835">
        <v>2992</v>
      </c>
      <c r="E378" s="835"/>
      <c r="F378" s="835"/>
      <c r="G378" s="835"/>
      <c r="H378" s="835"/>
      <c r="I378" s="835">
        <v>2619</v>
      </c>
      <c r="J378" s="835"/>
      <c r="K378" s="835"/>
      <c r="L378" s="835">
        <v>2766</v>
      </c>
      <c r="M378" s="835">
        <v>2683</v>
      </c>
      <c r="N378" s="835">
        <v>2810</v>
      </c>
      <c r="O378" s="835">
        <v>2994</v>
      </c>
      <c r="P378" s="835"/>
      <c r="Q378" s="835">
        <v>3212.5</v>
      </c>
      <c r="R378" s="835"/>
      <c r="S378" s="835">
        <v>2995</v>
      </c>
      <c r="T378" s="835">
        <v>3246.5</v>
      </c>
      <c r="U378" s="835">
        <v>2777.6666666666665</v>
      </c>
      <c r="V378" s="835">
        <v>2853</v>
      </c>
      <c r="W378" s="835">
        <v>3278</v>
      </c>
      <c r="X378" s="835"/>
      <c r="Y378" s="835"/>
      <c r="Z378" s="835"/>
      <c r="AA378" s="835"/>
      <c r="AB378" s="835"/>
      <c r="AC378" s="835"/>
      <c r="AD378" s="835"/>
      <c r="AE378" s="835"/>
      <c r="AF378" s="835"/>
    </row>
    <row r="379" spans="2:32">
      <c r="B379" s="835">
        <v>848</v>
      </c>
      <c r="C379" s="835"/>
      <c r="D379" s="835"/>
      <c r="E379" s="835"/>
      <c r="F379" s="835"/>
      <c r="G379" s="835"/>
      <c r="H379" s="835"/>
      <c r="I379" s="835">
        <v>2988</v>
      </c>
      <c r="J379" s="835"/>
      <c r="K379" s="835">
        <v>3086</v>
      </c>
      <c r="L379" s="835">
        <v>3213</v>
      </c>
      <c r="M379" s="835">
        <v>2995.25</v>
      </c>
      <c r="N379" s="835">
        <v>2919</v>
      </c>
      <c r="O379" s="835">
        <v>3087</v>
      </c>
      <c r="P379" s="835">
        <v>3009</v>
      </c>
      <c r="Q379" s="835">
        <v>3113</v>
      </c>
      <c r="R379" s="835"/>
      <c r="S379" s="835"/>
      <c r="T379" s="835">
        <v>2981</v>
      </c>
      <c r="U379" s="835">
        <v>2739.5</v>
      </c>
      <c r="V379" s="835">
        <v>3177</v>
      </c>
      <c r="W379" s="835">
        <v>3220</v>
      </c>
      <c r="X379" s="835"/>
      <c r="Y379" s="835"/>
      <c r="Z379" s="835"/>
      <c r="AA379" s="835"/>
      <c r="AB379" s="835"/>
      <c r="AC379" s="835"/>
      <c r="AD379" s="835"/>
      <c r="AE379" s="835"/>
      <c r="AF379" s="835"/>
    </row>
    <row r="380" spans="2:32">
      <c r="B380" s="837" t="s">
        <v>270</v>
      </c>
      <c r="C380" s="835"/>
      <c r="D380" s="835"/>
      <c r="E380" s="835"/>
      <c r="F380" s="835"/>
      <c r="G380" s="835"/>
      <c r="H380" s="835"/>
      <c r="I380" s="835"/>
      <c r="J380" s="835"/>
      <c r="K380" s="835"/>
      <c r="L380" s="835"/>
      <c r="M380" s="835"/>
      <c r="N380" s="835"/>
      <c r="O380" s="835"/>
      <c r="P380" s="835"/>
      <c r="Q380" s="835"/>
      <c r="R380" s="835"/>
      <c r="S380" s="835"/>
      <c r="T380" s="835"/>
      <c r="U380" s="835"/>
      <c r="V380" s="835"/>
      <c r="W380" s="835"/>
      <c r="X380" s="835"/>
      <c r="Y380" s="835"/>
      <c r="Z380" s="835"/>
      <c r="AA380" s="835"/>
      <c r="AB380" s="835"/>
      <c r="AC380" s="835"/>
      <c r="AD380" s="835"/>
      <c r="AE380" s="835"/>
      <c r="AF380" s="835"/>
    </row>
    <row r="381" spans="2:32">
      <c r="B381" s="835">
        <v>904</v>
      </c>
      <c r="C381" s="835">
        <v>3499.5</v>
      </c>
      <c r="D381" s="835">
        <v>3514</v>
      </c>
      <c r="E381" s="835">
        <v>3447</v>
      </c>
      <c r="F381" s="835">
        <v>3526</v>
      </c>
      <c r="G381" s="835">
        <v>3212</v>
      </c>
      <c r="H381" s="835">
        <v>3531</v>
      </c>
      <c r="I381" s="835"/>
      <c r="J381" s="835"/>
      <c r="K381" s="835">
        <v>3451</v>
      </c>
      <c r="L381" s="835">
        <v>3600</v>
      </c>
      <c r="M381" s="835">
        <v>3493</v>
      </c>
      <c r="N381" s="835">
        <v>3512</v>
      </c>
      <c r="O381" s="835"/>
      <c r="P381" s="835"/>
      <c r="Q381" s="835"/>
      <c r="R381" s="835">
        <v>3418</v>
      </c>
      <c r="S381" s="835">
        <v>3471</v>
      </c>
      <c r="T381" s="835">
        <v>3337</v>
      </c>
      <c r="U381" s="835"/>
      <c r="V381" s="835">
        <v>3540.5</v>
      </c>
      <c r="W381" s="835"/>
      <c r="X381" s="835"/>
      <c r="Y381" s="835"/>
      <c r="Z381" s="835"/>
      <c r="AA381" s="835"/>
      <c r="AB381" s="835"/>
      <c r="AC381" s="835"/>
      <c r="AD381" s="835"/>
      <c r="AE381" s="835"/>
      <c r="AF381" s="835">
        <v>3665</v>
      </c>
    </row>
    <row r="382" spans="2:32">
      <c r="B382" s="835">
        <v>1060</v>
      </c>
      <c r="C382" s="835"/>
      <c r="D382" s="835">
        <v>4149</v>
      </c>
      <c r="E382" s="835"/>
      <c r="F382" s="835"/>
      <c r="G382" s="835"/>
      <c r="H382" s="835"/>
      <c r="I382" s="835"/>
      <c r="J382" s="835"/>
      <c r="K382" s="835"/>
      <c r="L382" s="835">
        <v>4400</v>
      </c>
      <c r="M382" s="835"/>
      <c r="N382" s="835"/>
      <c r="O382" s="835">
        <v>4036</v>
      </c>
      <c r="P382" s="835">
        <v>4129</v>
      </c>
      <c r="Q382" s="835"/>
      <c r="R382" s="835"/>
      <c r="S382" s="835"/>
      <c r="T382" s="835"/>
      <c r="U382" s="835"/>
      <c r="V382" s="835"/>
      <c r="W382" s="835"/>
      <c r="X382" s="835"/>
      <c r="Y382" s="835"/>
      <c r="Z382" s="835"/>
      <c r="AA382" s="835"/>
      <c r="AB382" s="835"/>
      <c r="AC382" s="835"/>
      <c r="AD382" s="835"/>
      <c r="AE382" s="835"/>
      <c r="AF382" s="835"/>
    </row>
    <row r="383" spans="2:32">
      <c r="B383" s="835">
        <v>1097</v>
      </c>
      <c r="C383" s="835"/>
      <c r="D383" s="835"/>
      <c r="E383" s="835"/>
      <c r="F383" s="835"/>
      <c r="G383" s="835"/>
      <c r="H383" s="835"/>
      <c r="I383" s="835"/>
      <c r="J383" s="835"/>
      <c r="K383" s="835"/>
      <c r="L383" s="835">
        <v>3918</v>
      </c>
      <c r="M383" s="835">
        <v>4998</v>
      </c>
      <c r="N383" s="835"/>
      <c r="O383" s="835"/>
      <c r="P383" s="835"/>
      <c r="Q383" s="835"/>
      <c r="R383" s="835"/>
      <c r="S383" s="835"/>
      <c r="T383" s="835"/>
      <c r="U383" s="835"/>
      <c r="V383" s="835"/>
      <c r="W383" s="835"/>
      <c r="X383" s="835"/>
      <c r="Y383" s="835"/>
      <c r="Z383" s="835"/>
      <c r="AA383" s="835"/>
      <c r="AB383" s="835"/>
      <c r="AC383" s="835"/>
      <c r="AD383" s="835"/>
      <c r="AE383" s="835"/>
      <c r="AF383" s="835"/>
    </row>
    <row r="384" spans="2:32">
      <c r="B384" s="835">
        <v>1171</v>
      </c>
      <c r="C384" s="835"/>
      <c r="D384" s="835"/>
      <c r="E384" s="835"/>
      <c r="F384" s="835"/>
      <c r="G384" s="835"/>
      <c r="H384" s="835"/>
      <c r="I384" s="835"/>
      <c r="J384" s="835"/>
      <c r="K384" s="835"/>
      <c r="L384" s="835"/>
      <c r="M384" s="835"/>
      <c r="N384" s="835"/>
      <c r="O384" s="835"/>
      <c r="P384" s="835"/>
      <c r="Q384" s="835"/>
      <c r="R384" s="835"/>
      <c r="S384" s="835"/>
      <c r="T384" s="835"/>
      <c r="U384" s="835"/>
      <c r="V384" s="835"/>
      <c r="W384" s="835">
        <v>4361.5</v>
      </c>
      <c r="X384" s="835"/>
      <c r="Y384" s="835"/>
      <c r="Z384" s="835"/>
      <c r="AA384" s="835"/>
      <c r="AB384" s="835"/>
      <c r="AC384" s="835"/>
      <c r="AD384" s="835"/>
      <c r="AE384" s="835"/>
      <c r="AF384" s="835"/>
    </row>
    <row r="385" spans="2:32">
      <c r="B385" s="835">
        <v>1208</v>
      </c>
      <c r="C385" s="835"/>
      <c r="D385" s="835">
        <v>4238</v>
      </c>
      <c r="E385" s="835">
        <v>4308</v>
      </c>
      <c r="F385" s="835"/>
      <c r="G385" s="835"/>
      <c r="H385" s="835"/>
      <c r="I385" s="835">
        <v>3952</v>
      </c>
      <c r="J385" s="835"/>
      <c r="K385" s="835"/>
      <c r="L385" s="835"/>
      <c r="M385" s="835">
        <v>4284</v>
      </c>
      <c r="N385" s="835"/>
      <c r="O385" s="835"/>
      <c r="P385" s="835">
        <v>4327.5</v>
      </c>
      <c r="Q385" s="835">
        <v>4192</v>
      </c>
      <c r="R385" s="835"/>
      <c r="S385" s="835"/>
      <c r="T385" s="835"/>
      <c r="U385" s="835"/>
      <c r="V385" s="835"/>
      <c r="W385" s="835"/>
      <c r="X385" s="835"/>
      <c r="Y385" s="835"/>
      <c r="Z385" s="835"/>
      <c r="AA385" s="835"/>
      <c r="AB385" s="835"/>
      <c r="AC385" s="835"/>
      <c r="AD385" s="835"/>
      <c r="AE385" s="835"/>
      <c r="AF385" s="835"/>
    </row>
    <row r="386" spans="2:32">
      <c r="B386" s="835">
        <v>1228</v>
      </c>
      <c r="C386" s="835"/>
      <c r="D386" s="835"/>
      <c r="E386" s="835"/>
      <c r="F386" s="835"/>
      <c r="G386" s="835"/>
      <c r="H386" s="835"/>
      <c r="I386" s="835"/>
      <c r="J386" s="835"/>
      <c r="K386" s="835"/>
      <c r="L386" s="835"/>
      <c r="M386" s="835"/>
      <c r="N386" s="835"/>
      <c r="O386" s="835"/>
      <c r="P386" s="835"/>
      <c r="Q386" s="835"/>
      <c r="R386" s="835"/>
      <c r="S386" s="835"/>
      <c r="T386" s="835"/>
      <c r="U386" s="835">
        <v>4666</v>
      </c>
      <c r="V386" s="835"/>
      <c r="W386" s="835"/>
      <c r="X386" s="835"/>
      <c r="Y386" s="835"/>
      <c r="Z386" s="835"/>
      <c r="AA386" s="835"/>
      <c r="AB386" s="835"/>
      <c r="AC386" s="835"/>
      <c r="AD386" s="835"/>
      <c r="AE386" s="835"/>
      <c r="AF386" s="835"/>
    </row>
    <row r="387" spans="2:32">
      <c r="B387" s="835">
        <v>1342</v>
      </c>
      <c r="C387" s="835"/>
      <c r="D387" s="835"/>
      <c r="E387" s="835"/>
      <c r="F387" s="835"/>
      <c r="G387" s="835"/>
      <c r="H387" s="835"/>
      <c r="I387" s="835">
        <v>3796</v>
      </c>
      <c r="J387" s="835"/>
      <c r="K387" s="835"/>
      <c r="L387" s="835"/>
      <c r="M387" s="835"/>
      <c r="N387" s="835">
        <v>4283</v>
      </c>
      <c r="O387" s="835"/>
      <c r="P387" s="835"/>
      <c r="Q387" s="835"/>
      <c r="R387" s="835"/>
      <c r="S387" s="835"/>
      <c r="T387" s="835"/>
      <c r="U387" s="835">
        <v>4169</v>
      </c>
      <c r="V387" s="835"/>
      <c r="W387" s="835"/>
      <c r="X387" s="835"/>
      <c r="Y387" s="835"/>
      <c r="Z387" s="835"/>
      <c r="AA387" s="835"/>
      <c r="AB387" s="835"/>
      <c r="AC387" s="835"/>
      <c r="AD387" s="835"/>
      <c r="AE387" s="835"/>
      <c r="AF387" s="835"/>
    </row>
    <row r="388" spans="2:32">
      <c r="B388" s="835">
        <v>1576</v>
      </c>
      <c r="C388" s="835"/>
      <c r="D388" s="835"/>
      <c r="E388" s="835"/>
      <c r="F388" s="835"/>
      <c r="G388" s="835"/>
      <c r="H388" s="835"/>
      <c r="I388" s="835"/>
      <c r="J388" s="835"/>
      <c r="K388" s="835"/>
      <c r="L388" s="835"/>
      <c r="M388" s="835"/>
      <c r="N388" s="835"/>
      <c r="O388" s="835">
        <v>5798</v>
      </c>
      <c r="P388" s="835"/>
      <c r="Q388" s="835"/>
      <c r="R388" s="835"/>
      <c r="S388" s="835"/>
      <c r="T388" s="835"/>
      <c r="U388" s="835"/>
      <c r="V388" s="835"/>
      <c r="W388" s="835"/>
      <c r="X388" s="835"/>
      <c r="Y388" s="835"/>
      <c r="Z388" s="835"/>
      <c r="AA388" s="835"/>
      <c r="AB388" s="835"/>
      <c r="AC388" s="835"/>
      <c r="AD388" s="835"/>
      <c r="AE388" s="835"/>
      <c r="AF388" s="835"/>
    </row>
    <row r="389" spans="2:32">
      <c r="B389" s="837" t="s">
        <v>271</v>
      </c>
      <c r="C389" s="835"/>
      <c r="D389" s="835"/>
      <c r="E389" s="835"/>
      <c r="F389" s="835"/>
      <c r="G389" s="835"/>
      <c r="H389" s="835"/>
      <c r="I389" s="835"/>
      <c r="J389" s="835"/>
      <c r="K389" s="835"/>
      <c r="L389" s="835"/>
      <c r="M389" s="835"/>
      <c r="N389" s="835"/>
      <c r="O389" s="835"/>
      <c r="P389" s="835"/>
      <c r="Q389" s="835"/>
      <c r="R389" s="835"/>
      <c r="S389" s="835"/>
      <c r="T389" s="835"/>
      <c r="U389" s="835"/>
      <c r="V389" s="835"/>
      <c r="W389" s="835"/>
      <c r="X389" s="835"/>
      <c r="Y389" s="835"/>
      <c r="Z389" s="835"/>
      <c r="AA389" s="835"/>
      <c r="AB389" s="835"/>
      <c r="AC389" s="835"/>
      <c r="AD389" s="835"/>
      <c r="AE389" s="835"/>
      <c r="AF389" s="835"/>
    </row>
    <row r="390" spans="2:32">
      <c r="B390" s="835">
        <v>1442</v>
      </c>
      <c r="C390" s="835"/>
      <c r="D390" s="835"/>
      <c r="E390" s="835"/>
      <c r="F390" s="835">
        <v>5584</v>
      </c>
      <c r="G390" s="835"/>
      <c r="H390" s="835"/>
      <c r="I390" s="835"/>
      <c r="J390" s="835"/>
      <c r="K390" s="835"/>
      <c r="L390" s="835"/>
      <c r="M390" s="835">
        <v>5603.5</v>
      </c>
      <c r="N390" s="835"/>
      <c r="O390" s="835"/>
      <c r="P390" s="835"/>
      <c r="Q390" s="835"/>
      <c r="R390" s="835"/>
      <c r="S390" s="835"/>
      <c r="T390" s="835"/>
      <c r="U390" s="835"/>
      <c r="V390" s="835"/>
      <c r="W390" s="835"/>
      <c r="X390" s="835"/>
      <c r="Y390" s="835"/>
      <c r="Z390" s="835"/>
      <c r="AA390" s="835"/>
      <c r="AB390" s="835"/>
      <c r="AC390" s="835"/>
      <c r="AD390" s="835"/>
      <c r="AE390" s="835"/>
      <c r="AF390" s="83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1FB18-7B5A-4C82-B4C1-B4E9FB57B8CB}">
  <sheetPr codeName="Sheet7">
    <pageSetUpPr fitToPage="true"/>
  </sheetPr>
  <dimension ref="B1:CS5"/>
  <sheetViews>
    <sheetView showGridLines="false" zoomScaleNormal="100" workbookViewId="0"/>
  </sheetViews>
  <sheetFormatPr defaultColWidth="8.7265625" defaultRowHeight="13"/>
  <cols>
    <col customWidth="true" max="1" min="1" style="1" width="2.54296875"/>
    <col customWidth="true" max="2" min="2" style="1" width="23.54296875"/>
    <col customWidth="true" max="3" min="3" style="1" width="29.1796875"/>
    <col customWidth="true" max="4" min="4" style="51" width="9.08984375"/>
    <col customWidth="true" max="5" min="5" style="30" width="9.7265625"/>
    <col customWidth="true" max="6" min="6" style="2" width="8.453125"/>
    <col customWidth="true" max="7" min="7" style="3" width="8.453125"/>
    <col customWidth="true" max="8" min="8" style="4" width="8.1796875"/>
    <col customWidth="true" max="10" min="9" style="4" width="8"/>
    <col customWidth="true" max="11" min="11" style="51" width="12.6328125"/>
    <col customWidth="true" max="12" min="12" style="51" width="11.54296875"/>
    <col customWidth="true" max="13" min="13" style="5" width="9.26953125"/>
    <col customWidth="true" max="14" min="14" style="6" width="9.26953125"/>
    <col customWidth="true" max="15" min="15" style="5" width="9.26953125"/>
    <col customWidth="true" max="16" min="16" style="6" width="9.26953125"/>
    <col customWidth="true" max="17" min="17" style="5" width="9.26953125"/>
    <col customWidth="true" max="18" min="18" style="6" width="9.26953125"/>
    <col customWidth="true" max="19" min="19" style="5" width="9.26953125"/>
    <col customWidth="true" max="20" min="20" style="6" width="9.26953125"/>
    <col customWidth="true" max="21" min="21" style="5" width="9.26953125"/>
    <col customWidth="true" max="24" min="22" style="6" width="9.26953125"/>
    <col customWidth="true" max="25" min="25" style="5" width="9.26953125"/>
    <col customWidth="true" max="26" min="26" style="6" width="9.26953125"/>
    <col customWidth="true" max="27" min="27" style="5" width="9.26953125"/>
    <col customWidth="true" max="28" min="28" style="6" width="9.26953125"/>
    <col customWidth="true" max="29" min="29" style="5" width="9.26953125"/>
    <col customWidth="true" max="30" min="30" style="6" width="9.26953125"/>
    <col customWidth="true" max="31" min="31" style="5" width="9.26953125"/>
    <col customWidth="true" max="32" min="32" style="6" width="9.26953125"/>
    <col customWidth="true" max="33" min="33" style="5" width="9.26953125"/>
    <col customWidth="true" max="34" min="34" style="6" width="9.26953125"/>
    <col customWidth="true" max="35" min="35" style="5" width="9.26953125"/>
    <col customWidth="true" max="38" min="36" style="6" width="9.26953125"/>
    <col customWidth="true" max="39" min="39" style="5" width="9.26953125"/>
    <col customWidth="true" max="40" min="40" style="6" width="9.26953125"/>
    <col customWidth="true" max="41" min="41" style="5" width="9.1796875"/>
    <col customWidth="true" max="42" min="42" style="6" width="9.1796875"/>
    <col customWidth="true" max="43" min="43" style="5" width="9.1796875"/>
    <col customWidth="true" max="44" min="44" style="6" width="9.1796875"/>
    <col customWidth="true" max="45" min="45" style="5" width="9.1796875"/>
    <col customWidth="true" max="46" min="46" style="6" width="9.1796875"/>
    <col customWidth="true" max="47" min="47" style="5" width="9.1796875"/>
    <col customWidth="true" max="48" min="48" style="6" width="9.1796875"/>
    <col customWidth="true" max="49" min="49" style="5" width="9.1796875"/>
    <col customWidth="true" max="52" min="50" style="6" width="9.1796875"/>
    <col customWidth="true" max="53" min="53" style="5" width="9.1796875"/>
    <col customWidth="true" max="54" min="54" style="6" width="9.1796875"/>
    <col customWidth="true" max="55" min="55" style="5" width="9.1796875"/>
    <col customWidth="true" max="56" min="56" style="6" width="9.1796875"/>
    <col customWidth="true" max="57" min="57" style="5" width="9.1796875"/>
    <col customWidth="true" max="58" min="58" style="6" width="9.1796875"/>
    <col customWidth="true" max="59" min="59" style="5" width="9.1796875"/>
    <col customWidth="true" max="60" min="60" style="6" width="9.1796875"/>
    <col customWidth="true" max="61" min="61" style="5" width="9.1796875"/>
    <col customWidth="true" max="62" min="62" style="6" width="9.1796875"/>
    <col customWidth="true" max="63" min="63" style="5" width="9.1796875"/>
    <col customWidth="true" max="66" min="64" style="6" width="9.1796875"/>
    <col customWidth="true" max="67" min="67" style="5" width="9.1796875"/>
    <col customWidth="true" max="68" min="68" style="6" width="9.1796875"/>
    <col customWidth="true" max="69" min="69" style="5" width="9.1796875"/>
    <col customWidth="true" max="70" min="70" style="6" width="9.1796875"/>
    <col customWidth="true" max="71" min="71" style="5" width="9.1796875"/>
    <col customWidth="true" max="72" min="72" style="6" width="9.1796875"/>
    <col customWidth="true" max="73" min="73" style="5" width="9.1796875"/>
    <col customWidth="true" max="74" min="74" style="6" width="9.1796875"/>
    <col customWidth="true" max="75" min="75" style="5" width="9.1796875"/>
    <col customWidth="true" max="76" min="76" style="6" width="9.1796875"/>
    <col customWidth="true" max="77" min="77" style="5" width="9.1796875"/>
    <col customWidth="true" max="80" min="78" style="6" width="9.1796875"/>
    <col customWidth="true" max="81" min="81" style="5" width="9.1796875"/>
    <col customWidth="true" max="82" min="82" style="6" width="9.1796875"/>
    <col customWidth="true" max="83" min="83" style="5" width="9.1796875"/>
    <col customWidth="true" max="84" min="84" style="6" width="9.1796875"/>
    <col customWidth="true" max="85" min="85" style="5" width="9.1796875"/>
    <col customWidth="true" max="86" min="86" style="6" width="9.1796875"/>
    <col customWidth="true" max="87" min="87" style="5" width="9.1796875"/>
    <col customWidth="true" max="88" min="88" style="6" width="9.1796875"/>
    <col customWidth="true" max="89" min="89" style="5" width="9.1796875"/>
    <col customWidth="true" max="90" min="90" style="6" width="9.1796875"/>
    <col customWidth="true" max="91" min="91" style="5" width="9.1796875"/>
    <col customWidth="true" max="94" min="92" style="6" width="9.1796875"/>
    <col customWidth="true" max="95" min="95" style="5" width="9.1796875"/>
    <col customWidth="true" max="96" min="96" style="6" width="9.1796875"/>
    <col max="16384" min="97" style="1" width="8.7265625"/>
  </cols>
  <sheetData>
    <row r="1" spans="2:97" ht="8" customHeight="true" thickBot="true"/>
    <row r="2" spans="2:97" s="7" customFormat="true" ht="24" customHeight="true">
      <c r="B2" s="706" t="s">
        <v>10</v>
      </c>
      <c r="C2" s="56"/>
      <c r="D2" s="509"/>
      <c r="E2" s="510"/>
      <c r="F2" s="56"/>
      <c r="G2" s="56"/>
      <c r="H2" s="56"/>
      <c r="I2" s="56"/>
      <c r="J2" s="511"/>
      <c r="K2" s="509"/>
      <c r="L2" s="509"/>
      <c r="M2" s="792" t="s">
        <v>945</v>
      </c>
      <c r="N2" s="793"/>
      <c r="O2" s="793"/>
      <c r="P2" s="793"/>
      <c r="Q2" s="793"/>
      <c r="R2" s="793"/>
      <c r="S2" s="793"/>
      <c r="T2" s="793"/>
      <c r="U2" s="793"/>
      <c r="V2" s="793"/>
      <c r="W2" s="793"/>
      <c r="X2" s="793"/>
      <c r="Y2" s="793"/>
      <c r="Z2" s="789"/>
      <c r="AA2" s="789" t="s">
        <v>946</v>
      </c>
      <c r="AB2" s="790"/>
      <c r="AC2" s="790"/>
      <c r="AD2" s="790"/>
      <c r="AE2" s="790"/>
      <c r="AF2" s="790"/>
      <c r="AG2" s="790"/>
      <c r="AH2" s="790"/>
      <c r="AI2" s="790"/>
      <c r="AJ2" s="790"/>
      <c r="AK2" s="790"/>
      <c r="AL2" s="790"/>
      <c r="AM2" s="790"/>
      <c r="AN2" s="791"/>
      <c r="AO2" s="794" t="s">
        <v>972</v>
      </c>
      <c r="AP2" s="790"/>
      <c r="AQ2" s="790"/>
      <c r="AR2" s="790"/>
      <c r="AS2" s="790"/>
      <c r="AT2" s="790"/>
      <c r="AU2" s="790"/>
      <c r="AV2" s="790"/>
      <c r="AW2" s="790"/>
      <c r="AX2" s="790"/>
      <c r="AY2" s="790"/>
      <c r="AZ2" s="790"/>
      <c r="BA2" s="790"/>
      <c r="BB2" s="790"/>
      <c r="BC2" s="789" t="s">
        <v>976</v>
      </c>
      <c r="BD2" s="790"/>
      <c r="BE2" s="790"/>
      <c r="BF2" s="790"/>
      <c r="BG2" s="790"/>
      <c r="BH2" s="790"/>
      <c r="BI2" s="790"/>
      <c r="BJ2" s="790"/>
      <c r="BK2" s="790"/>
      <c r="BL2" s="790"/>
      <c r="BM2" s="790"/>
      <c r="BN2" s="790"/>
      <c r="BO2" s="790"/>
      <c r="BP2" s="791"/>
      <c r="BQ2" s="794" t="s">
        <v>971</v>
      </c>
      <c r="BR2" s="790"/>
      <c r="BS2" s="790"/>
      <c r="BT2" s="790"/>
      <c r="BU2" s="790"/>
      <c r="BV2" s="790"/>
      <c r="BW2" s="790"/>
      <c r="BX2" s="790"/>
      <c r="BY2" s="790"/>
      <c r="BZ2" s="790"/>
      <c r="CA2" s="790"/>
      <c r="CB2" s="790"/>
      <c r="CC2" s="790"/>
      <c r="CD2" s="790"/>
      <c r="CE2" s="789" t="s">
        <v>977</v>
      </c>
      <c r="CF2" s="790"/>
      <c r="CG2" s="790"/>
      <c r="CH2" s="790"/>
      <c r="CI2" s="790"/>
      <c r="CJ2" s="790"/>
      <c r="CK2" s="790"/>
      <c r="CL2" s="790"/>
      <c r="CM2" s="790"/>
      <c r="CN2" s="790"/>
      <c r="CO2" s="790"/>
      <c r="CP2" s="790"/>
      <c r="CQ2" s="790"/>
      <c r="CR2" s="791"/>
    </row>
    <row r="3" spans="2:97">
      <c r="B3" s="512" t="s">
        <v>11</v>
      </c>
      <c r="C3" s="513" t="s">
        <v>22</v>
      </c>
      <c r="D3" s="514" t="s">
        <v>12</v>
      </c>
      <c r="E3" s="515" t="s">
        <v>293</v>
      </c>
      <c r="F3" s="516" t="s">
        <v>5</v>
      </c>
      <c r="G3" s="517" t="s">
        <v>2</v>
      </c>
      <c r="H3" s="517" t="s">
        <v>3</v>
      </c>
      <c r="I3" s="517" t="s">
        <v>4</v>
      </c>
      <c r="J3" s="518" t="s">
        <v>592</v>
      </c>
      <c r="K3" s="514" t="s">
        <v>745</v>
      </c>
      <c r="L3" s="514" t="s">
        <v>374</v>
      </c>
      <c r="M3" s="532" t="s">
        <v>13</v>
      </c>
      <c r="N3" s="539" t="s">
        <v>923</v>
      </c>
      <c r="O3" s="528" t="s">
        <v>269</v>
      </c>
      <c r="P3" s="540" t="s">
        <v>924</v>
      </c>
      <c r="Q3" s="529" t="s">
        <v>270</v>
      </c>
      <c r="R3" s="541" t="s">
        <v>925</v>
      </c>
      <c r="S3" s="530" t="s">
        <v>271</v>
      </c>
      <c r="T3" s="542" t="s">
        <v>926</v>
      </c>
      <c r="U3" s="531" t="s">
        <v>598</v>
      </c>
      <c r="V3" s="543" t="s">
        <v>927</v>
      </c>
      <c r="W3" s="547" t="s">
        <v>613</v>
      </c>
      <c r="X3" s="547" t="s">
        <v>978</v>
      </c>
      <c r="Y3" s="534" t="s">
        <v>243</v>
      </c>
      <c r="Z3" s="537" t="s">
        <v>244</v>
      </c>
      <c r="AA3" s="527" t="s">
        <v>570</v>
      </c>
      <c r="AB3" s="539" t="s">
        <v>938</v>
      </c>
      <c r="AC3" s="528" t="s">
        <v>569</v>
      </c>
      <c r="AD3" s="540" t="s">
        <v>937</v>
      </c>
      <c r="AE3" s="529" t="s">
        <v>568</v>
      </c>
      <c r="AF3" s="541" t="s">
        <v>936</v>
      </c>
      <c r="AG3" s="530" t="s">
        <v>567</v>
      </c>
      <c r="AH3" s="542" t="s">
        <v>935</v>
      </c>
      <c r="AI3" s="531" t="s">
        <v>614</v>
      </c>
      <c r="AJ3" s="543" t="s">
        <v>934</v>
      </c>
      <c r="AK3" s="547" t="s">
        <v>983</v>
      </c>
      <c r="AL3" s="547" t="s">
        <v>984</v>
      </c>
      <c r="AM3" s="534" t="s">
        <v>566</v>
      </c>
      <c r="AN3" s="535" t="s">
        <v>565</v>
      </c>
      <c r="AO3" s="532" t="s">
        <v>570</v>
      </c>
      <c r="AP3" s="539" t="s">
        <v>938</v>
      </c>
      <c r="AQ3" s="528" t="s">
        <v>569</v>
      </c>
      <c r="AR3" s="540" t="s">
        <v>937</v>
      </c>
      <c r="AS3" s="529" t="s">
        <v>568</v>
      </c>
      <c r="AT3" s="541" t="s">
        <v>936</v>
      </c>
      <c r="AU3" s="530" t="s">
        <v>567</v>
      </c>
      <c r="AV3" s="542" t="s">
        <v>935</v>
      </c>
      <c r="AW3" s="531" t="s">
        <v>614</v>
      </c>
      <c r="AX3" s="543" t="s">
        <v>934</v>
      </c>
      <c r="AY3" s="547" t="s">
        <v>983</v>
      </c>
      <c r="AZ3" s="547" t="s">
        <v>984</v>
      </c>
      <c r="BA3" s="534" t="s">
        <v>566</v>
      </c>
      <c r="BB3" s="537" t="s">
        <v>565</v>
      </c>
      <c r="BC3" s="527" t="s">
        <v>570</v>
      </c>
      <c r="BD3" s="539" t="s">
        <v>938</v>
      </c>
      <c r="BE3" s="528" t="s">
        <v>569</v>
      </c>
      <c r="BF3" s="540" t="s">
        <v>937</v>
      </c>
      <c r="BG3" s="529" t="s">
        <v>568</v>
      </c>
      <c r="BH3" s="541" t="s">
        <v>936</v>
      </c>
      <c r="BI3" s="530" t="s">
        <v>567</v>
      </c>
      <c r="BJ3" s="542" t="s">
        <v>935</v>
      </c>
      <c r="BK3" s="531" t="s">
        <v>614</v>
      </c>
      <c r="BL3" s="543" t="s">
        <v>934</v>
      </c>
      <c r="BM3" s="547" t="s">
        <v>983</v>
      </c>
      <c r="BN3" s="547" t="s">
        <v>984</v>
      </c>
      <c r="BO3" s="534" t="s">
        <v>566</v>
      </c>
      <c r="BP3" s="535" t="s">
        <v>565</v>
      </c>
      <c r="BQ3" s="532" t="s">
        <v>570</v>
      </c>
      <c r="BR3" s="539" t="s">
        <v>938</v>
      </c>
      <c r="BS3" s="528" t="s">
        <v>569</v>
      </c>
      <c r="BT3" s="540" t="s">
        <v>937</v>
      </c>
      <c r="BU3" s="529" t="s">
        <v>568</v>
      </c>
      <c r="BV3" s="541" t="s">
        <v>936</v>
      </c>
      <c r="BW3" s="530" t="s">
        <v>567</v>
      </c>
      <c r="BX3" s="542" t="s">
        <v>935</v>
      </c>
      <c r="BY3" s="531" t="s">
        <v>614</v>
      </c>
      <c r="BZ3" s="543" t="s">
        <v>934</v>
      </c>
      <c r="CA3" s="547" t="s">
        <v>983</v>
      </c>
      <c r="CB3" s="547" t="s">
        <v>984</v>
      </c>
      <c r="CC3" s="534" t="s">
        <v>566</v>
      </c>
      <c r="CD3" s="537" t="s">
        <v>565</v>
      </c>
      <c r="CE3" s="527" t="s">
        <v>570</v>
      </c>
      <c r="CF3" s="539" t="s">
        <v>938</v>
      </c>
      <c r="CG3" s="528" t="s">
        <v>569</v>
      </c>
      <c r="CH3" s="540" t="s">
        <v>937</v>
      </c>
      <c r="CI3" s="529" t="s">
        <v>568</v>
      </c>
      <c r="CJ3" s="541" t="s">
        <v>936</v>
      </c>
      <c r="CK3" s="530" t="s">
        <v>567</v>
      </c>
      <c r="CL3" s="542" t="s">
        <v>935</v>
      </c>
      <c r="CM3" s="531" t="s">
        <v>614</v>
      </c>
      <c r="CN3" s="543" t="s">
        <v>934</v>
      </c>
      <c r="CO3" s="547" t="s">
        <v>983</v>
      </c>
      <c r="CP3" s="547" t="s">
        <v>984</v>
      </c>
      <c r="CQ3" s="534" t="s">
        <v>566</v>
      </c>
      <c r="CR3" s="768" t="s">
        <v>565</v>
      </c>
      <c r="CS3" s="766"/>
    </row>
    <row r="4" spans="2:97" s="80" customFormat="true">
      <c r="B4" s="618" t="s">
        <v>1214</v>
      </c>
      <c r="C4" s="619" t="s">
        <v>1215</v>
      </c>
      <c r="D4" s="620" t="s">
        <v>14</v>
      </c>
      <c r="E4" s="621" t="s">
        <v>14</v>
      </c>
      <c r="F4" s="622">
        <v>0.4653164787335438</v>
      </c>
      <c r="G4" s="623">
        <v>1955</v>
      </c>
      <c r="H4" s="623">
        <v>330</v>
      </c>
      <c r="I4" s="623">
        <v>3</v>
      </c>
      <c r="J4" s="624">
        <v>588</v>
      </c>
      <c r="K4" s="620">
        <v>1</v>
      </c>
      <c r="L4" s="620">
        <v>0.0030303030303030303</v>
      </c>
      <c r="M4" s="625"/>
      <c r="N4" s="626"/>
      <c r="O4" s="627">
        <v>1085.5</v>
      </c>
      <c r="P4" s="628">
        <v>1.8460884353741496</v>
      </c>
      <c r="Q4" s="627"/>
      <c r="R4" s="628"/>
      <c r="S4" s="627"/>
      <c r="T4" s="628"/>
      <c r="U4" s="627"/>
      <c r="V4" s="628"/>
      <c r="W4" s="627"/>
      <c r="X4" s="628"/>
      <c r="Y4" s="627">
        <v>1085.5</v>
      </c>
      <c r="Z4" s="628">
        <v>1.8460884353741496</v>
      </c>
      <c r="AA4" s="627"/>
      <c r="AB4" s="626"/>
      <c r="AC4" s="627">
        <v>1085.5</v>
      </c>
      <c r="AD4" s="628">
        <v>1.8460884353741496</v>
      </c>
      <c r="AE4" s="627"/>
      <c r="AF4" s="628"/>
      <c r="AG4" s="627"/>
      <c r="AH4" s="628"/>
      <c r="AI4" s="627"/>
      <c r="AJ4" s="628"/>
      <c r="AK4" s="627"/>
      <c r="AL4" s="628"/>
      <c r="AM4" s="627">
        <v>1085.5</v>
      </c>
      <c r="AN4" s="629">
        <v>1.8460884353741496</v>
      </c>
      <c r="AO4" s="625"/>
      <c r="AP4" s="626"/>
      <c r="AQ4" s="627">
        <v>1085.5</v>
      </c>
      <c r="AR4" s="628">
        <v>1.8460884353741496</v>
      </c>
      <c r="AS4" s="627"/>
      <c r="AT4" s="628"/>
      <c r="AU4" s="627"/>
      <c r="AV4" s="628"/>
      <c r="AW4" s="627"/>
      <c r="AX4" s="628"/>
      <c r="AY4" s="627"/>
      <c r="AZ4" s="628"/>
      <c r="BA4" s="627">
        <v>1085.5</v>
      </c>
      <c r="BB4" s="628">
        <v>1.8460884353741496</v>
      </c>
      <c r="BC4" s="627"/>
      <c r="BD4" s="626"/>
      <c r="BE4" s="627">
        <v>1085.5</v>
      </c>
      <c r="BF4" s="628">
        <v>1.8460884353741496</v>
      </c>
      <c r="BG4" s="627"/>
      <c r="BH4" s="628"/>
      <c r="BI4" s="627"/>
      <c r="BJ4" s="628"/>
      <c r="BK4" s="627"/>
      <c r="BL4" s="628"/>
      <c r="BM4" s="627"/>
      <c r="BN4" s="628"/>
      <c r="BO4" s="627">
        <v>1085.5</v>
      </c>
      <c r="BP4" s="629">
        <v>1.8460884353741496</v>
      </c>
      <c r="BQ4" s="625"/>
      <c r="BR4" s="626"/>
      <c r="BS4" s="627">
        <v>1085.5</v>
      </c>
      <c r="BT4" s="628">
        <v>1.8460884353741496</v>
      </c>
      <c r="BU4" s="627"/>
      <c r="BV4" s="628"/>
      <c r="BW4" s="627"/>
      <c r="BX4" s="628"/>
      <c r="BY4" s="627"/>
      <c r="BZ4" s="628"/>
      <c r="CA4" s="627"/>
      <c r="CB4" s="628"/>
      <c r="CC4" s="627">
        <v>1085.5</v>
      </c>
      <c r="CD4" s="628">
        <v>1.8460884353741496</v>
      </c>
      <c r="CE4" s="627"/>
      <c r="CF4" s="626"/>
      <c r="CG4" s="627">
        <v>1085.5</v>
      </c>
      <c r="CH4" s="628">
        <v>1.8460884353741496</v>
      </c>
      <c r="CI4" s="627"/>
      <c r="CJ4" s="628"/>
      <c r="CK4" s="627"/>
      <c r="CL4" s="628"/>
      <c r="CM4" s="627"/>
      <c r="CN4" s="628"/>
      <c r="CO4" s="627"/>
      <c r="CP4" s="628"/>
      <c r="CQ4" s="627">
        <v>1085.5</v>
      </c>
      <c r="CR4" s="629">
        <v>1.8460884353741496</v>
      </c>
      <c r="CS4" s="767"/>
    </row>
    <row r="5" spans="2:97" s="80" customFormat="true">
      <c r="B5" s="519" t="s">
        <v>1216</v>
      </c>
      <c r="C5" s="520" t="s">
        <v>1223</v>
      </c>
      <c r="D5" s="521">
        <v>0.9256880658760098</v>
      </c>
      <c r="E5" s="522">
        <v>0.18377752837220593</v>
      </c>
      <c r="F5" s="523">
        <v>0.4940851264947577</v>
      </c>
      <c r="G5" s="524">
        <v>1971</v>
      </c>
      <c r="H5" s="524">
        <v>296</v>
      </c>
      <c r="I5" s="524">
        <v>3</v>
      </c>
      <c r="J5" s="525">
        <v>851</v>
      </c>
      <c r="K5" s="521">
        <v>1</v>
      </c>
      <c r="L5" s="521">
        <v>0</v>
      </c>
      <c r="M5" s="545"/>
      <c r="N5" s="526"/>
      <c r="O5" s="546"/>
      <c r="P5" s="536"/>
      <c r="Q5" s="546"/>
      <c r="R5" s="536"/>
      <c r="S5" s="546"/>
      <c r="T5" s="536"/>
      <c r="U5" s="546"/>
      <c r="V5" s="536"/>
      <c r="W5" s="546"/>
      <c r="X5" s="536"/>
      <c r="Y5" s="546"/>
      <c r="Z5" s="536"/>
      <c r="AA5" s="546"/>
      <c r="AB5" s="526"/>
      <c r="AC5" s="546"/>
      <c r="AD5" s="536"/>
      <c r="AE5" s="546"/>
      <c r="AF5" s="536"/>
      <c r="AG5" s="546"/>
      <c r="AH5" s="536"/>
      <c r="AI5" s="546"/>
      <c r="AJ5" s="536"/>
      <c r="AK5" s="546"/>
      <c r="AL5" s="536"/>
      <c r="AM5" s="546"/>
      <c r="AN5" s="533"/>
      <c r="AO5" s="545"/>
      <c r="AP5" s="526"/>
      <c r="AQ5" s="546"/>
      <c r="AR5" s="536"/>
      <c r="AS5" s="546"/>
      <c r="AT5" s="536"/>
      <c r="AU5" s="546"/>
      <c r="AV5" s="536"/>
      <c r="AW5" s="546"/>
      <c r="AX5" s="536"/>
      <c r="AY5" s="546"/>
      <c r="AZ5" s="536"/>
      <c r="BA5" s="546"/>
      <c r="BB5" s="536"/>
      <c r="BC5" s="546"/>
      <c r="BD5" s="526"/>
      <c r="BE5" s="546"/>
      <c r="BF5" s="536"/>
      <c r="BG5" s="546"/>
      <c r="BH5" s="536"/>
      <c r="BI5" s="546"/>
      <c r="BJ5" s="536"/>
      <c r="BK5" s="546"/>
      <c r="BL5" s="536"/>
      <c r="BM5" s="546"/>
      <c r="BN5" s="536"/>
      <c r="BO5" s="546"/>
      <c r="BP5" s="533"/>
      <c r="BQ5" s="545"/>
      <c r="BR5" s="526"/>
      <c r="BS5" s="546"/>
      <c r="BT5" s="536"/>
      <c r="BU5" s="546"/>
      <c r="BV5" s="536"/>
      <c r="BW5" s="546"/>
      <c r="BX5" s="536"/>
      <c r="BY5" s="546"/>
      <c r="BZ5" s="536"/>
      <c r="CA5" s="546"/>
      <c r="CB5" s="536"/>
      <c r="CC5" s="546"/>
      <c r="CD5" s="536"/>
      <c r="CE5" s="546"/>
      <c r="CF5" s="526"/>
      <c r="CG5" s="546"/>
      <c r="CH5" s="536"/>
      <c r="CI5" s="546"/>
      <c r="CJ5" s="536"/>
      <c r="CK5" s="546"/>
      <c r="CL5" s="536"/>
      <c r="CM5" s="546"/>
      <c r="CN5" s="536"/>
      <c r="CO5" s="546"/>
      <c r="CP5" s="536"/>
      <c r="CQ5" s="546"/>
      <c r="CR5" s="533"/>
      <c r="CS5" s="767"/>
    </row>
    <row r="6">
      <c r="B6" s="519" t="s">
        <v>1217</v>
      </c>
      <c r="C6" s="520" t="s">
        <v>1224</v>
      </c>
      <c r="D6" s="521">
        <v>0.8328647268360818</v>
      </c>
      <c r="E6" s="522">
        <v>0.19578743609883928</v>
      </c>
      <c r="F6" s="523">
        <v>0.6082442072270371</v>
      </c>
      <c r="G6" s="524">
        <v>1966</v>
      </c>
      <c r="H6" s="524">
        <v>465</v>
      </c>
      <c r="I6" s="524">
        <v>3</v>
      </c>
      <c r="J6" s="525">
        <v>864.3576642335767</v>
      </c>
      <c r="K6" s="521">
        <v>0.9720430107526882</v>
      </c>
      <c r="L6" s="521">
        <v>0.06451612903225806</v>
      </c>
      <c r="M6" s="545"/>
      <c r="N6" s="526"/>
      <c r="O6" s="546">
        <v>1324.375</v>
      </c>
      <c r="P6" s="536">
        <v>1.7541265680855287</v>
      </c>
      <c r="Q6" s="546">
        <v>1344.6</v>
      </c>
      <c r="R6" s="536">
        <v>1.3790769230769222</v>
      </c>
      <c r="S6" s="546"/>
      <c r="T6" s="536"/>
      <c r="U6" s="546"/>
      <c r="V6" s="536"/>
      <c r="W6" s="546"/>
      <c r="X6" s="536"/>
      <c r="Y6" s="546">
        <v>1333.2456140350878</v>
      </c>
      <c r="Z6" s="536">
        <v>1.564037127744963</v>
      </c>
      <c r="AA6" s="546"/>
      <c r="AB6" s="526"/>
      <c r="AC6" s="546">
        <v>1324.375</v>
      </c>
      <c r="AD6" s="536">
        <v>1.7541265680855287</v>
      </c>
      <c r="AE6" s="546">
        <v>1344.6</v>
      </c>
      <c r="AF6" s="536">
        <v>1.3790769230769222</v>
      </c>
      <c r="AG6" s="546"/>
      <c r="AH6" s="536"/>
      <c r="AI6" s="546"/>
      <c r="AJ6" s="536"/>
      <c r="AK6" s="546"/>
      <c r="AL6" s="536"/>
      <c r="AM6" s="546">
        <v>1333.2456140350878</v>
      </c>
      <c r="AN6" s="533">
        <v>1.564037127744963</v>
      </c>
      <c r="AO6" s="545"/>
      <c r="AP6" s="526"/>
      <c r="AQ6" s="546">
        <v>1331.25</v>
      </c>
      <c r="AR6" s="536">
        <v>1.7509888454918574</v>
      </c>
      <c r="AS6" s="546">
        <v>1360.9375</v>
      </c>
      <c r="AT6" s="536">
        <v>1.395833333333333</v>
      </c>
      <c r="AU6" s="546"/>
      <c r="AV6" s="536"/>
      <c r="AW6" s="546"/>
      <c r="AX6" s="536"/>
      <c r="AY6" s="546"/>
      <c r="AZ6" s="536"/>
      <c r="BA6" s="546">
        <v>1345.2205882352941</v>
      </c>
      <c r="BB6" s="536">
        <v>1.5601548642379588</v>
      </c>
      <c r="BC6" s="546"/>
      <c r="BD6" s="526"/>
      <c r="BE6" s="546">
        <v>1331.25</v>
      </c>
      <c r="BF6" s="536">
        <v>1.7509888454918574</v>
      </c>
      <c r="BG6" s="546">
        <v>1360.9375</v>
      </c>
      <c r="BH6" s="536">
        <v>1.395833333333333</v>
      </c>
      <c r="BI6" s="546"/>
      <c r="BJ6" s="536"/>
      <c r="BK6" s="546"/>
      <c r="BL6" s="536"/>
      <c r="BM6" s="546"/>
      <c r="BN6" s="536"/>
      <c r="BO6" s="546">
        <v>1345.2205882352941</v>
      </c>
      <c r="BP6" s="533">
        <v>1.5601548642379588</v>
      </c>
      <c r="BQ6" s="545"/>
      <c r="BR6" s="526"/>
      <c r="BS6" s="546">
        <v>1336.5853658536585</v>
      </c>
      <c r="BT6" s="536">
        <v>1.756197262919273</v>
      </c>
      <c r="BU6" s="546">
        <v>1365.921052631579</v>
      </c>
      <c r="BV6" s="536">
        <v>1.4009446693657217</v>
      </c>
      <c r="BW6" s="546"/>
      <c r="BX6" s="536"/>
      <c r="BY6" s="546"/>
      <c r="BZ6" s="536"/>
      <c r="CA6" s="546"/>
      <c r="CB6" s="536"/>
      <c r="CC6" s="546">
        <v>1350.6962025316457</v>
      </c>
      <c r="CD6" s="536">
        <v>1.5617041828879197</v>
      </c>
      <c r="CE6" s="546"/>
      <c r="CF6" s="526"/>
      <c r="CG6" s="546">
        <v>1336.5853658536585</v>
      </c>
      <c r="CH6" s="536">
        <v>1.756197262919273</v>
      </c>
      <c r="CI6" s="546">
        <v>1365.921052631579</v>
      </c>
      <c r="CJ6" s="536">
        <v>1.4009446693657217</v>
      </c>
      <c r="CK6" s="546"/>
      <c r="CL6" s="536"/>
      <c r="CM6" s="546"/>
      <c r="CN6" s="536"/>
      <c r="CO6" s="546"/>
      <c r="CP6" s="536"/>
      <c r="CQ6" s="546">
        <v>1350.6962025316457</v>
      </c>
      <c r="CR6" s="533">
        <v>1.5617041828879197</v>
      </c>
    </row>
    <row r="7">
      <c r="B7" s="519" t="s">
        <v>1218</v>
      </c>
      <c r="C7" s="520" t="s">
        <v>1225</v>
      </c>
      <c r="D7" s="521">
        <v>0.8672145564035251</v>
      </c>
      <c r="E7" s="522">
        <v>0.8044302131126401</v>
      </c>
      <c r="F7" s="523">
        <v>0.3655716050500687</v>
      </c>
      <c r="G7" s="524">
        <v>1972</v>
      </c>
      <c r="H7" s="524">
        <v>228</v>
      </c>
      <c r="I7" s="524">
        <v>3</v>
      </c>
      <c r="J7" s="525">
        <v>600</v>
      </c>
      <c r="K7" s="521">
        <v>1</v>
      </c>
      <c r="L7" s="521">
        <v>0</v>
      </c>
      <c r="M7" s="545"/>
      <c r="N7" s="526"/>
      <c r="O7" s="546">
        <v>1117.5</v>
      </c>
      <c r="P7" s="536">
        <v>1.8624999999999998</v>
      </c>
      <c r="Q7" s="546"/>
      <c r="R7" s="536"/>
      <c r="S7" s="546"/>
      <c r="T7" s="536"/>
      <c r="U7" s="546"/>
      <c r="V7" s="536"/>
      <c r="W7" s="546"/>
      <c r="X7" s="536"/>
      <c r="Y7" s="546">
        <v>1117.5</v>
      </c>
      <c r="Z7" s="536">
        <v>1.8625</v>
      </c>
      <c r="AA7" s="546"/>
      <c r="AB7" s="526"/>
      <c r="AC7" s="546">
        <v>1117.5</v>
      </c>
      <c r="AD7" s="536">
        <v>1.8624999999999998</v>
      </c>
      <c r="AE7" s="546"/>
      <c r="AF7" s="536"/>
      <c r="AG7" s="546"/>
      <c r="AH7" s="536"/>
      <c r="AI7" s="546"/>
      <c r="AJ7" s="536"/>
      <c r="AK7" s="546"/>
      <c r="AL7" s="536"/>
      <c r="AM7" s="546">
        <v>1117.5</v>
      </c>
      <c r="AN7" s="533">
        <v>1.8625</v>
      </c>
      <c r="AO7" s="545"/>
      <c r="AP7" s="526"/>
      <c r="AQ7" s="546">
        <v>1117.5</v>
      </c>
      <c r="AR7" s="536">
        <v>1.8624999999999998</v>
      </c>
      <c r="AS7" s="546"/>
      <c r="AT7" s="536"/>
      <c r="AU7" s="546"/>
      <c r="AV7" s="536"/>
      <c r="AW7" s="546"/>
      <c r="AX7" s="536"/>
      <c r="AY7" s="546"/>
      <c r="AZ7" s="536"/>
      <c r="BA7" s="546">
        <v>1117.5</v>
      </c>
      <c r="BB7" s="536">
        <v>1.8625</v>
      </c>
      <c r="BC7" s="546"/>
      <c r="BD7" s="526"/>
      <c r="BE7" s="546">
        <v>1117.5</v>
      </c>
      <c r="BF7" s="536">
        <v>1.8624999999999998</v>
      </c>
      <c r="BG7" s="546"/>
      <c r="BH7" s="536"/>
      <c r="BI7" s="546"/>
      <c r="BJ7" s="536"/>
      <c r="BK7" s="546"/>
      <c r="BL7" s="536"/>
      <c r="BM7" s="546"/>
      <c r="BN7" s="536"/>
      <c r="BO7" s="546">
        <v>1117.5</v>
      </c>
      <c r="BP7" s="533">
        <v>1.8625</v>
      </c>
      <c r="BQ7" s="545"/>
      <c r="BR7" s="526"/>
      <c r="BS7" s="546">
        <v>1117.5</v>
      </c>
      <c r="BT7" s="536">
        <v>1.8624999999999998</v>
      </c>
      <c r="BU7" s="546"/>
      <c r="BV7" s="536"/>
      <c r="BW7" s="546"/>
      <c r="BX7" s="536"/>
      <c r="BY7" s="546"/>
      <c r="BZ7" s="536"/>
      <c r="CA7" s="546"/>
      <c r="CB7" s="536"/>
      <c r="CC7" s="546">
        <v>1117.5</v>
      </c>
      <c r="CD7" s="536">
        <v>1.8625</v>
      </c>
      <c r="CE7" s="546"/>
      <c r="CF7" s="526"/>
      <c r="CG7" s="546">
        <v>1117.5</v>
      </c>
      <c r="CH7" s="536">
        <v>1.8624999999999998</v>
      </c>
      <c r="CI7" s="546"/>
      <c r="CJ7" s="536"/>
      <c r="CK7" s="546"/>
      <c r="CL7" s="536"/>
      <c r="CM7" s="546"/>
      <c r="CN7" s="536"/>
      <c r="CO7" s="546"/>
      <c r="CP7" s="536"/>
      <c r="CQ7" s="546">
        <v>1117.5</v>
      </c>
      <c r="CR7" s="533">
        <v>1.8625</v>
      </c>
    </row>
    <row r="8">
      <c r="B8" s="519" t="s">
        <v>1219</v>
      </c>
      <c r="C8" s="520" t="s">
        <v>1226</v>
      </c>
      <c r="D8" s="521">
        <v>0.8313343835015788</v>
      </c>
      <c r="E8" s="522">
        <v>0.8073302782237614</v>
      </c>
      <c r="F8" s="523">
        <v>0.5479294928557187</v>
      </c>
      <c r="G8" s="524">
        <v>1967</v>
      </c>
      <c r="H8" s="524">
        <v>544</v>
      </c>
      <c r="I8" s="524">
        <v>2</v>
      </c>
      <c r="J8" s="525">
        <v>777.4279069767442</v>
      </c>
      <c r="K8" s="521">
        <v>0.9595588235294118</v>
      </c>
      <c r="L8" s="521">
        <v>0.042279411764705885</v>
      </c>
      <c r="M8" s="545"/>
      <c r="N8" s="526"/>
      <c r="O8" s="546">
        <v>1300</v>
      </c>
      <c r="P8" s="536">
        <v>2.290829082908291</v>
      </c>
      <c r="Q8" s="546">
        <v>1601.5625</v>
      </c>
      <c r="R8" s="536">
        <v>1.9206912631483102</v>
      </c>
      <c r="S8" s="546">
        <v>1800</v>
      </c>
      <c r="T8" s="536">
        <v>1.7786561264822134</v>
      </c>
      <c r="U8" s="546"/>
      <c r="V8" s="536"/>
      <c r="W8" s="546"/>
      <c r="X8" s="536"/>
      <c r="Y8" s="546">
        <v>1591.3461538461538</v>
      </c>
      <c r="Z8" s="536">
        <v>1.9248214742620549</v>
      </c>
      <c r="AA8" s="546"/>
      <c r="AB8" s="526"/>
      <c r="AC8" s="546">
        <v>1300</v>
      </c>
      <c r="AD8" s="536">
        <v>2.290829082908291</v>
      </c>
      <c r="AE8" s="546">
        <v>1601.5625</v>
      </c>
      <c r="AF8" s="536">
        <v>1.9206912631483102</v>
      </c>
      <c r="AG8" s="546">
        <v>1800</v>
      </c>
      <c r="AH8" s="536">
        <v>1.7786561264822134</v>
      </c>
      <c r="AI8" s="546"/>
      <c r="AJ8" s="536"/>
      <c r="AK8" s="546"/>
      <c r="AL8" s="536"/>
      <c r="AM8" s="546">
        <v>1591.3461538461538</v>
      </c>
      <c r="AN8" s="533">
        <v>1.9248214742620549</v>
      </c>
      <c r="AO8" s="545"/>
      <c r="AP8" s="526"/>
      <c r="AQ8" s="546">
        <v>1300</v>
      </c>
      <c r="AR8" s="536">
        <v>2.272627262726273</v>
      </c>
      <c r="AS8" s="546">
        <v>1601.2820512820513</v>
      </c>
      <c r="AT8" s="536">
        <v>1.9190575251099584</v>
      </c>
      <c r="AU8" s="546">
        <v>1800</v>
      </c>
      <c r="AV8" s="536">
        <v>1.7786561264822136</v>
      </c>
      <c r="AW8" s="546"/>
      <c r="AX8" s="536"/>
      <c r="AY8" s="546"/>
      <c r="AZ8" s="536"/>
      <c r="BA8" s="546">
        <v>1581.7460317460318</v>
      </c>
      <c r="BB8" s="536">
        <v>1.9303037346970402</v>
      </c>
      <c r="BC8" s="546"/>
      <c r="BD8" s="526"/>
      <c r="BE8" s="546">
        <v>1300</v>
      </c>
      <c r="BF8" s="536">
        <v>2.272627262726273</v>
      </c>
      <c r="BG8" s="546">
        <v>1601.2820512820513</v>
      </c>
      <c r="BH8" s="536">
        <v>1.9190575251099584</v>
      </c>
      <c r="BI8" s="546">
        <v>1800</v>
      </c>
      <c r="BJ8" s="536">
        <v>1.7786561264822136</v>
      </c>
      <c r="BK8" s="546"/>
      <c r="BL8" s="536"/>
      <c r="BM8" s="546"/>
      <c r="BN8" s="536"/>
      <c r="BO8" s="546">
        <v>1581.7460317460318</v>
      </c>
      <c r="BP8" s="533">
        <v>1.9303037346970402</v>
      </c>
      <c r="BQ8" s="545"/>
      <c r="BR8" s="526"/>
      <c r="BS8" s="546">
        <v>1300.8152173913043</v>
      </c>
      <c r="BT8" s="536">
        <v>2.292570017871356</v>
      </c>
      <c r="BU8" s="546">
        <v>1600.909090909091</v>
      </c>
      <c r="BV8" s="536">
        <v>1.9289113881880802</v>
      </c>
      <c r="BW8" s="546">
        <v>1806.578947368421</v>
      </c>
      <c r="BX8" s="536">
        <v>1.7851570626170183</v>
      </c>
      <c r="BY8" s="546"/>
      <c r="BZ8" s="536"/>
      <c r="CA8" s="546"/>
      <c r="CB8" s="536"/>
      <c r="CC8" s="546">
        <v>1539.5348837209303</v>
      </c>
      <c r="CD8" s="536">
        <v>1.9802927961614627</v>
      </c>
      <c r="CE8" s="546"/>
      <c r="CF8" s="526"/>
      <c r="CG8" s="546">
        <v>1300.8152173913043</v>
      </c>
      <c r="CH8" s="536">
        <v>2.292570017871356</v>
      </c>
      <c r="CI8" s="546">
        <v>1600.909090909091</v>
      </c>
      <c r="CJ8" s="536">
        <v>1.9289113881880802</v>
      </c>
      <c r="CK8" s="546">
        <v>1806.578947368421</v>
      </c>
      <c r="CL8" s="536">
        <v>1.7851570626170183</v>
      </c>
      <c r="CM8" s="546"/>
      <c r="CN8" s="536"/>
      <c r="CO8" s="546"/>
      <c r="CP8" s="536"/>
      <c r="CQ8" s="546">
        <v>1539.5348837209303</v>
      </c>
      <c r="CR8" s="533">
        <v>1.9802927961614627</v>
      </c>
    </row>
    <row r="9">
      <c r="B9" s="519" t="s">
        <v>1220</v>
      </c>
      <c r="C9" s="520" t="s">
        <v>1227</v>
      </c>
      <c r="D9" s="521">
        <v>0.798395322838041</v>
      </c>
      <c r="E9" s="522">
        <v>0.5663843371838101</v>
      </c>
      <c r="F9" s="523">
        <v>0.5803640102253235</v>
      </c>
      <c r="G9" s="524">
        <v>1961</v>
      </c>
      <c r="H9" s="524">
        <v>254</v>
      </c>
      <c r="I9" s="524">
        <v>6</v>
      </c>
      <c r="J9" s="525">
        <v>1083.286956521739</v>
      </c>
      <c r="K9" s="521">
        <v>0.9566929133858267</v>
      </c>
      <c r="L9" s="521">
        <v>0.06299212598425197</v>
      </c>
      <c r="M9" s="545">
        <v>1436</v>
      </c>
      <c r="N9" s="526">
        <v>2.942622950819672</v>
      </c>
      <c r="O9" s="546">
        <v>1651</v>
      </c>
      <c r="P9" s="536">
        <v>1.782937365010799</v>
      </c>
      <c r="Q9" s="546">
        <v>1896.6666666666667</v>
      </c>
      <c r="R9" s="536">
        <v>1.4708319134663632</v>
      </c>
      <c r="S9" s="546"/>
      <c r="T9" s="536"/>
      <c r="U9" s="546"/>
      <c r="V9" s="536"/>
      <c r="W9" s="546"/>
      <c r="X9" s="536"/>
      <c r="Y9" s="546">
        <v>1769.8260869565217</v>
      </c>
      <c r="Z9" s="536">
        <v>1.6148048238654396</v>
      </c>
      <c r="AA9" s="546">
        <v>1436</v>
      </c>
      <c r="AB9" s="526">
        <v>2.942622950819672</v>
      </c>
      <c r="AC9" s="546">
        <v>1651</v>
      </c>
      <c r="AD9" s="536">
        <v>1.782937365010799</v>
      </c>
      <c r="AE9" s="546">
        <v>1896.6666666666667</v>
      </c>
      <c r="AF9" s="536">
        <v>1.4708319134663632</v>
      </c>
      <c r="AG9" s="546"/>
      <c r="AH9" s="536"/>
      <c r="AI9" s="546"/>
      <c r="AJ9" s="536"/>
      <c r="AK9" s="546"/>
      <c r="AL9" s="536"/>
      <c r="AM9" s="546">
        <v>1769.8260869565217</v>
      </c>
      <c r="AN9" s="533">
        <v>1.6148048238654396</v>
      </c>
      <c r="AO9" s="545">
        <v>1436</v>
      </c>
      <c r="AP9" s="526">
        <v>2.942622950819672</v>
      </c>
      <c r="AQ9" s="546">
        <v>1651</v>
      </c>
      <c r="AR9" s="536">
        <v>1.782937365010799</v>
      </c>
      <c r="AS9" s="546">
        <v>1864.7857142857142</v>
      </c>
      <c r="AT9" s="536">
        <v>1.449448562883133</v>
      </c>
      <c r="AU9" s="546"/>
      <c r="AV9" s="536"/>
      <c r="AW9" s="546"/>
      <c r="AX9" s="536"/>
      <c r="AY9" s="546"/>
      <c r="AZ9" s="536"/>
      <c r="BA9" s="546">
        <v>1762.12</v>
      </c>
      <c r="BB9" s="536">
        <v>1.5876099178319159</v>
      </c>
      <c r="BC9" s="546">
        <v>1436</v>
      </c>
      <c r="BD9" s="526">
        <v>2.942622950819672</v>
      </c>
      <c r="BE9" s="546">
        <v>1651</v>
      </c>
      <c r="BF9" s="536">
        <v>1.782937365010799</v>
      </c>
      <c r="BG9" s="546">
        <v>1864.7857142857142</v>
      </c>
      <c r="BH9" s="536">
        <v>1.449448562883133</v>
      </c>
      <c r="BI9" s="546"/>
      <c r="BJ9" s="536"/>
      <c r="BK9" s="546"/>
      <c r="BL9" s="536"/>
      <c r="BM9" s="546"/>
      <c r="BN9" s="536"/>
      <c r="BO9" s="546">
        <v>1762.12</v>
      </c>
      <c r="BP9" s="533">
        <v>1.5876099178319159</v>
      </c>
      <c r="BQ9" s="545">
        <v>1278</v>
      </c>
      <c r="BR9" s="526">
        <v>2.6188524590163933</v>
      </c>
      <c r="BS9" s="546">
        <v>1650.6923076923076</v>
      </c>
      <c r="BT9" s="536">
        <v>1.78260508390098</v>
      </c>
      <c r="BU9" s="546">
        <v>1843.0625</v>
      </c>
      <c r="BV9" s="536">
        <v>1.4482100411556547</v>
      </c>
      <c r="BW9" s="546"/>
      <c r="BX9" s="536"/>
      <c r="BY9" s="546"/>
      <c r="BZ9" s="536"/>
      <c r="CA9" s="546"/>
      <c r="CB9" s="536"/>
      <c r="CC9" s="546">
        <v>1725.9354838709678</v>
      </c>
      <c r="CD9" s="536">
        <v>1.6036927134849983</v>
      </c>
      <c r="CE9" s="546">
        <v>1278</v>
      </c>
      <c r="CF9" s="526">
        <v>2.6188524590163933</v>
      </c>
      <c r="CG9" s="546">
        <v>1650.6923076923076</v>
      </c>
      <c r="CH9" s="536">
        <v>1.78260508390098</v>
      </c>
      <c r="CI9" s="546">
        <v>1843.0625</v>
      </c>
      <c r="CJ9" s="536">
        <v>1.4482100411556547</v>
      </c>
      <c r="CK9" s="546"/>
      <c r="CL9" s="536"/>
      <c r="CM9" s="546"/>
      <c r="CN9" s="536"/>
      <c r="CO9" s="546"/>
      <c r="CP9" s="536"/>
      <c r="CQ9" s="546">
        <v>1725.9354838709678</v>
      </c>
      <c r="CR9" s="533">
        <v>1.6036927134849983</v>
      </c>
    </row>
    <row r="10">
      <c r="B10" s="519" t="s">
        <v>1221</v>
      </c>
      <c r="C10" s="520" t="s">
        <v>1228</v>
      </c>
      <c r="D10" s="521">
        <v>0.8216224132309924</v>
      </c>
      <c r="E10" s="522">
        <v>0.8262557804380845</v>
      </c>
      <c r="F10" s="523">
        <v>0.596881851890144</v>
      </c>
      <c r="G10" s="524">
        <v>1948</v>
      </c>
      <c r="H10" s="524">
        <v>515</v>
      </c>
      <c r="I10" s="524">
        <v>3</v>
      </c>
      <c r="J10" s="525">
        <v>681.7543859649123</v>
      </c>
      <c r="K10" s="521">
        <v>0.9805825242718447</v>
      </c>
      <c r="L10" s="521">
        <v>0.027184466019417475</v>
      </c>
      <c r="M10" s="545"/>
      <c r="N10" s="526"/>
      <c r="O10" s="546">
        <v>1264.2307692307693</v>
      </c>
      <c r="P10" s="536">
        <v>2.106410256410257</v>
      </c>
      <c r="Q10" s="546">
        <v>1425</v>
      </c>
      <c r="R10" s="536">
        <v>1.8999999999999995</v>
      </c>
      <c r="S10" s="546"/>
      <c r="T10" s="536"/>
      <c r="U10" s="546"/>
      <c r="V10" s="536"/>
      <c r="W10" s="546"/>
      <c r="X10" s="536"/>
      <c r="Y10" s="546">
        <v>1350.357142857143</v>
      </c>
      <c r="Z10" s="536">
        <v>1.9816561844863732</v>
      </c>
      <c r="AA10" s="546"/>
      <c r="AB10" s="526"/>
      <c r="AC10" s="546">
        <v>1264.2307692307693</v>
      </c>
      <c r="AD10" s="536">
        <v>2.106410256410257</v>
      </c>
      <c r="AE10" s="546">
        <v>1425</v>
      </c>
      <c r="AF10" s="536">
        <v>1.8999999999999995</v>
      </c>
      <c r="AG10" s="546"/>
      <c r="AH10" s="536"/>
      <c r="AI10" s="546"/>
      <c r="AJ10" s="536"/>
      <c r="AK10" s="546"/>
      <c r="AL10" s="536"/>
      <c r="AM10" s="546">
        <v>1350.357142857143</v>
      </c>
      <c r="AN10" s="533">
        <v>1.9816561844863732</v>
      </c>
      <c r="AO10" s="545"/>
      <c r="AP10" s="526"/>
      <c r="AQ10" s="546">
        <v>1261.5625</v>
      </c>
      <c r="AR10" s="536">
        <v>2.1020833333333333</v>
      </c>
      <c r="AS10" s="546">
        <v>1434.2105263157894</v>
      </c>
      <c r="AT10" s="536">
        <v>1.9122807017543857</v>
      </c>
      <c r="AU10" s="546"/>
      <c r="AV10" s="536"/>
      <c r="AW10" s="546"/>
      <c r="AX10" s="536"/>
      <c r="AY10" s="546"/>
      <c r="AZ10" s="536"/>
      <c r="BA10" s="546">
        <v>1355.2857142857142</v>
      </c>
      <c r="BB10" s="536">
        <v>1.9863902847571189</v>
      </c>
      <c r="BC10" s="546"/>
      <c r="BD10" s="526"/>
      <c r="BE10" s="546">
        <v>1261.5625</v>
      </c>
      <c r="BF10" s="536">
        <v>2.1020833333333333</v>
      </c>
      <c r="BG10" s="546">
        <v>1434.2105263157894</v>
      </c>
      <c r="BH10" s="536">
        <v>1.9122807017543857</v>
      </c>
      <c r="BI10" s="546"/>
      <c r="BJ10" s="536"/>
      <c r="BK10" s="546"/>
      <c r="BL10" s="536"/>
      <c r="BM10" s="546"/>
      <c r="BN10" s="536"/>
      <c r="BO10" s="546">
        <v>1355.2857142857142</v>
      </c>
      <c r="BP10" s="533">
        <v>1.9863902847571189</v>
      </c>
      <c r="BQ10" s="545"/>
      <c r="BR10" s="526"/>
      <c r="BS10" s="546">
        <v>1258.409090909091</v>
      </c>
      <c r="BT10" s="536">
        <v>2.0817541162150035</v>
      </c>
      <c r="BU10" s="546">
        <v>1424</v>
      </c>
      <c r="BV10" s="536">
        <v>1.8986666666666665</v>
      </c>
      <c r="BW10" s="546"/>
      <c r="BX10" s="536"/>
      <c r="BY10" s="546"/>
      <c r="BZ10" s="536"/>
      <c r="CA10" s="546"/>
      <c r="CB10" s="536"/>
      <c r="CC10" s="546">
        <v>1346.4893617021276</v>
      </c>
      <c r="CD10" s="536">
        <v>1.9724170172978026</v>
      </c>
      <c r="CE10" s="546"/>
      <c r="CF10" s="526"/>
      <c r="CG10" s="546">
        <v>1258.409090909091</v>
      </c>
      <c r="CH10" s="536">
        <v>2.0817541162150035</v>
      </c>
      <c r="CI10" s="546">
        <v>1424</v>
      </c>
      <c r="CJ10" s="536">
        <v>1.8986666666666665</v>
      </c>
      <c r="CK10" s="546"/>
      <c r="CL10" s="536"/>
      <c r="CM10" s="546"/>
      <c r="CN10" s="536"/>
      <c r="CO10" s="546"/>
      <c r="CP10" s="536"/>
      <c r="CQ10" s="546">
        <v>1346.4893617021276</v>
      </c>
      <c r="CR10" s="533">
        <v>1.9724170172978026</v>
      </c>
    </row>
    <row r="11">
      <c r="B11" s="519" t="s">
        <v>1222</v>
      </c>
      <c r="C11" s="520" t="s">
        <v>1229</v>
      </c>
      <c r="D11" s="521">
        <v>0.7445937484195325</v>
      </c>
      <c r="E11" s="522">
        <v>0.4494793486004556</v>
      </c>
      <c r="F11" s="523">
        <v>0.5504325770970546</v>
      </c>
      <c r="G11" s="524">
        <v>1964</v>
      </c>
      <c r="H11" s="524">
        <v>168</v>
      </c>
      <c r="I11" s="524">
        <v>3</v>
      </c>
      <c r="J11" s="525">
        <v>619.4949494949495</v>
      </c>
      <c r="K11" s="521">
        <v>0.9702380952380952</v>
      </c>
      <c r="L11" s="521">
        <v>0.041666666666666664</v>
      </c>
      <c r="M11" s="545"/>
      <c r="N11" s="526"/>
      <c r="O11" s="546">
        <v>1259</v>
      </c>
      <c r="P11" s="536">
        <v>2.289090909090909</v>
      </c>
      <c r="Q11" s="546">
        <v>1434.3125</v>
      </c>
      <c r="R11" s="536">
        <v>2.276686507936508</v>
      </c>
      <c r="S11" s="546"/>
      <c r="T11" s="536"/>
      <c r="U11" s="546"/>
      <c r="V11" s="536"/>
      <c r="W11" s="546"/>
      <c r="X11" s="536"/>
      <c r="Y11" s="546">
        <v>1424</v>
      </c>
      <c r="Z11" s="536">
        <v>2.2773283160865474</v>
      </c>
      <c r="AA11" s="546"/>
      <c r="AB11" s="526"/>
      <c r="AC11" s="546">
        <v>1259</v>
      </c>
      <c r="AD11" s="536">
        <v>2.289090909090909</v>
      </c>
      <c r="AE11" s="546">
        <v>1322.0625</v>
      </c>
      <c r="AF11" s="536">
        <v>2.098511904761905</v>
      </c>
      <c r="AG11" s="546"/>
      <c r="AH11" s="536"/>
      <c r="AI11" s="546"/>
      <c r="AJ11" s="536"/>
      <c r="AK11" s="546"/>
      <c r="AL11" s="536"/>
      <c r="AM11" s="546">
        <v>1318.3529411764705</v>
      </c>
      <c r="AN11" s="533">
        <v>2.1083725305738477</v>
      </c>
      <c r="AO11" s="545"/>
      <c r="AP11" s="526"/>
      <c r="AQ11" s="546">
        <v>1322.3333333333333</v>
      </c>
      <c r="AR11" s="536">
        <v>2.4042424242424243</v>
      </c>
      <c r="AS11" s="546">
        <v>1414.4545454545455</v>
      </c>
      <c r="AT11" s="536">
        <v>2.2451659451659447</v>
      </c>
      <c r="AU11" s="546"/>
      <c r="AV11" s="536"/>
      <c r="AW11" s="546"/>
      <c r="AX11" s="536"/>
      <c r="AY11" s="546"/>
      <c r="AZ11" s="536"/>
      <c r="BA11" s="546">
        <v>1403.4</v>
      </c>
      <c r="BB11" s="536">
        <v>2.262088974854932</v>
      </c>
      <c r="BC11" s="546"/>
      <c r="BD11" s="526"/>
      <c r="BE11" s="546">
        <v>1283.3333333333333</v>
      </c>
      <c r="BF11" s="536">
        <v>2.3333333333333335</v>
      </c>
      <c r="BG11" s="546">
        <v>1317.6363636363637</v>
      </c>
      <c r="BH11" s="536">
        <v>2.0914862914862913</v>
      </c>
      <c r="BI11" s="546"/>
      <c r="BJ11" s="536"/>
      <c r="BK11" s="546"/>
      <c r="BL11" s="536"/>
      <c r="BM11" s="546"/>
      <c r="BN11" s="536"/>
      <c r="BO11" s="546">
        <v>1313.52</v>
      </c>
      <c r="BP11" s="533">
        <v>2.1172147001934234</v>
      </c>
      <c r="BQ11" s="545"/>
      <c r="BR11" s="526"/>
      <c r="BS11" s="546">
        <v>1322.3333333333333</v>
      </c>
      <c r="BT11" s="536">
        <v>2.4042424242424243</v>
      </c>
      <c r="BU11" s="546">
        <v>1416.7586206896551</v>
      </c>
      <c r="BV11" s="536">
        <v>2.2488232074438965</v>
      </c>
      <c r="BW11" s="546"/>
      <c r="BX11" s="536"/>
      <c r="BY11" s="546"/>
      <c r="BZ11" s="536"/>
      <c r="CA11" s="546"/>
      <c r="CB11" s="536"/>
      <c r="CC11" s="546">
        <v>1407.90625</v>
      </c>
      <c r="CD11" s="536">
        <v>2.2616967871485945</v>
      </c>
      <c r="CE11" s="546"/>
      <c r="CF11" s="526"/>
      <c r="CG11" s="546">
        <v>1283.3333333333333</v>
      </c>
      <c r="CH11" s="536">
        <v>2.3333333333333335</v>
      </c>
      <c r="CI11" s="546">
        <v>1343.3103448275863</v>
      </c>
      <c r="CJ11" s="536">
        <v>2.13223864258347</v>
      </c>
      <c r="CK11" s="546"/>
      <c r="CL11" s="536"/>
      <c r="CM11" s="546"/>
      <c r="CN11" s="536"/>
      <c r="CO11" s="546"/>
      <c r="CP11" s="536"/>
      <c r="CQ11" s="546">
        <v>1337.6875</v>
      </c>
      <c r="CR11" s="533">
        <v>2.148895582329317</v>
      </c>
    </row>
  </sheetData>
  <mergeCells count="6">
    <mergeCell ref="CE2:CR2"/>
    <mergeCell ref="M2:Z2"/>
    <mergeCell ref="AA2:AN2"/>
    <mergeCell ref="AO2:BB2"/>
    <mergeCell ref="BC2:BP2"/>
    <mergeCell ref="BQ2:CD2"/>
  </mergeCells>
  <phoneticPr fontId="36" type="noConversion"/>
  <pageMargins left="0.25" right="0.25" top="0.75" bottom="0.75" header="0.3" footer="0.3"/>
  <pageSetup fitToHeight="0" r:id="rId1" orientation="landscape" scale="22"/>
  <headerFooter>
    <oddHeader>&amp;L&amp;"-,Bold"&amp;K4438CAMarket Analysis Report&amp;R&amp;"-,Bold"&amp;K4438CAAs of: &amp;D</oddHeader>
    <oddFooter>&amp;L&amp;"-,Bold"&amp;K4438CAHelloData.ai</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7BE9D-D406-45D0-9C23-D46CD47CC508}">
  <sheetPr codeName="Sheet8">
    <pageSetUpPr fitToPage="true"/>
  </sheetPr>
  <dimension ref="B1:AA107"/>
  <sheetViews>
    <sheetView showGridLines="false" zoomScaleNormal="100" workbookViewId="0"/>
  </sheetViews>
  <sheetFormatPr defaultColWidth="8.7265625" defaultRowHeight="13" outlineLevelCol="1"/>
  <cols>
    <col customWidth="true" max="1" min="1" style="1" width="2.6328125"/>
    <col customWidth="true" max="2" min="2" style="1" width="22"/>
    <col customWidth="true" max="3" min="3" style="3" width="14.54296875"/>
    <col customWidth="true" max="4" min="4" style="3" width="8.90625"/>
    <col customWidth="true" max="6" min="5" style="3" width="6.6328125"/>
    <col customWidth="true" max="7" min="7" style="51" width="16.36328125"/>
    <col customWidth="true" max="8" min="8" style="30" width="16.36328125"/>
    <col customWidth="true" max="9" min="9" style="2" width="16.36328125"/>
    <col customWidth="true" max="16" min="10" style="3" width="16.36328125"/>
    <col customWidth="true" hidden="true" max="26" min="17" outlineLevel="1" style="3" width="16.90625"/>
    <col collapsed="true" max="27" min="27" style="1" width="8.7265625"/>
    <col max="16384" min="28" style="1" width="8.7265625"/>
  </cols>
  <sheetData>
    <row r="1" spans="2:26" ht="8" customHeight="true" thickBot="true"/>
    <row r="2" spans="2:26" s="588" customFormat="true" ht="42" customHeight="true" thickBot="true">
      <c r="B2" s="592" t="s">
        <v>21</v>
      </c>
      <c r="C2" s="593" t="s">
        <v>1214</v>
      </c>
      <c r="D2" s="593" t="s">
        <v>823</v>
      </c>
      <c r="E2" s="594" t="s">
        <v>836</v>
      </c>
      <c r="F2" s="595" t="s">
        <v>837</v>
      </c>
      <c r="G2" s="596" t="s">
        <v>1216</v>
      </c>
      <c r="H2" s="596" t="s">
        <v>1217</v>
      </c>
      <c r="I2" s="596" t="s">
        <v>1218</v>
      </c>
      <c r="J2" s="596" t="s">
        <v>1219</v>
      </c>
      <c r="K2" s="596" t="s">
        <v>1220</v>
      </c>
      <c r="L2" s="596" t="s">
        <v>1221</v>
      </c>
      <c r="M2" s="596" t="s">
        <v>1222</v>
      </c>
      <c r="N2" s="599"/>
      <c r="O2" s="599"/>
      <c r="P2" s="600"/>
      <c r="Q2" s="591"/>
      <c r="R2" s="589"/>
      <c r="S2" s="589"/>
      <c r="T2" s="589"/>
      <c r="U2" s="589"/>
      <c r="V2" s="589"/>
      <c r="W2" s="589"/>
      <c r="X2" s="589"/>
      <c r="Y2" s="589"/>
      <c r="Z2" s="590"/>
    </row>
    <row r="3" spans="2:26" s="392" customFormat="true" ht="25" customHeight="true">
      <c r="B3" s="485" t="s">
        <v>773</v>
      </c>
      <c r="C3" s="486" t="s">
        <v>1230</v>
      </c>
      <c r="D3" s="487"/>
      <c r="E3" s="488"/>
      <c r="F3" s="489"/>
      <c r="G3" s="489" t="s">
        <v>1231</v>
      </c>
      <c r="H3" s="489" t="s">
        <v>1232</v>
      </c>
      <c r="I3" s="489" t="s">
        <v>1233</v>
      </c>
      <c r="J3" s="489" t="s">
        <v>1234</v>
      </c>
      <c r="K3" s="489" t="s">
        <v>1235</v>
      </c>
      <c r="L3" s="489" t="s">
        <v>1236</v>
      </c>
      <c r="M3" s="489" t="s">
        <v>1237</v>
      </c>
      <c r="N3" s="492"/>
      <c r="O3" s="492"/>
      <c r="P3" s="492"/>
      <c r="Q3" s="492"/>
      <c r="R3" s="492"/>
      <c r="S3" s="492"/>
      <c r="T3" s="492"/>
      <c r="U3" s="492"/>
      <c r="V3" s="492"/>
      <c r="W3" s="492"/>
      <c r="X3" s="492"/>
      <c r="Y3" s="492"/>
      <c r="Z3" s="492"/>
    </row>
    <row r="4" spans="2:26" s="392" customFormat="true" ht="25" customHeight="true">
      <c r="B4" s="485" t="s">
        <v>774</v>
      </c>
      <c r="C4" s="496"/>
      <c r="D4" s="493"/>
      <c r="E4" s="494"/>
      <c r="F4" s="495"/>
      <c r="G4" s="496"/>
      <c r="H4" s="496" t="s">
        <v>1238</v>
      </c>
      <c r="I4" s="496" t="s">
        <v>1239</v>
      </c>
      <c r="J4" s="496" t="s">
        <v>1240</v>
      </c>
      <c r="K4" s="496" t="s">
        <v>1241</v>
      </c>
      <c r="L4" s="496" t="s">
        <v>1242</v>
      </c>
      <c r="M4" s="496" t="s">
        <v>1243</v>
      </c>
      <c r="N4" s="497"/>
      <c r="O4" s="497"/>
      <c r="P4" s="497"/>
      <c r="Q4" s="497"/>
      <c r="R4" s="497"/>
      <c r="S4" s="497"/>
      <c r="T4" s="497"/>
      <c r="U4" s="497"/>
      <c r="V4" s="497"/>
      <c r="W4" s="497"/>
      <c r="X4" s="497"/>
      <c r="Y4" s="497"/>
      <c r="Z4" s="497"/>
    </row>
    <row r="5" spans="2:26" s="313" customFormat="true">
      <c r="B5" s="498" t="s">
        <v>775</v>
      </c>
      <c r="C5" s="357" t="s">
        <v>14</v>
      </c>
      <c r="D5" s="380" t="str">
        <f ca="true">IFERROR(AVERAGE(INDIRECT("G"&amp;ROW()&amp;":Z"&amp;ROW())),"")</f>
      </c>
      <c r="E5" s="499" t="s">
        <v>14</v>
      </c>
      <c r="F5" s="499"/>
      <c r="G5" s="393">
        <v>0.18377752837220593</v>
      </c>
      <c r="H5" s="393">
        <v>0.19578743609883928</v>
      </c>
      <c r="I5" s="393">
        <v>0.8044302131126401</v>
      </c>
      <c r="J5" s="393">
        <v>0.8073302782237614</v>
      </c>
      <c r="K5" s="393">
        <v>0.5663843371838101</v>
      </c>
      <c r="L5" s="393">
        <v>0.8262557804380845</v>
      </c>
      <c r="M5" s="393">
        <v>0.4494793486004556</v>
      </c>
      <c r="N5" s="30"/>
      <c r="O5" s="30"/>
      <c r="P5" s="30"/>
      <c r="Q5" s="30"/>
      <c r="R5" s="30"/>
      <c r="S5" s="30"/>
      <c r="T5" s="30"/>
      <c r="U5" s="30"/>
      <c r="V5" s="30"/>
      <c r="W5" s="30"/>
      <c r="X5" s="30"/>
      <c r="Y5" s="30"/>
      <c r="Z5" s="30"/>
    </row>
    <row r="6" spans="2:26" s="314" customFormat="true">
      <c r="B6" s="500" t="s">
        <v>12</v>
      </c>
      <c r="C6" s="358" t="s">
        <v>14</v>
      </c>
      <c r="D6" s="381"/>
      <c r="E6" s="499" t="s">
        <v>14</v>
      </c>
      <c r="F6" s="499"/>
      <c r="G6" s="394">
        <v>0.9256880658760098</v>
      </c>
      <c r="H6" s="394">
        <v>0.8328647268360818</v>
      </c>
      <c r="I6" s="394">
        <v>0.8672145564035251</v>
      </c>
      <c r="J6" s="394">
        <v>0.8313343835015788</v>
      </c>
      <c r="K6" s="394">
        <v>0.798395322838041</v>
      </c>
      <c r="L6" s="394">
        <v>0.8216224132309924</v>
      </c>
      <c r="M6" s="394">
        <v>0.7445937484195325</v>
      </c>
      <c r="N6" s="2"/>
      <c r="O6" s="2"/>
      <c r="P6" s="2"/>
      <c r="Q6" s="2"/>
      <c r="R6" s="2"/>
      <c r="S6" s="2"/>
      <c r="T6" s="2"/>
      <c r="U6" s="2"/>
      <c r="V6" s="2"/>
      <c r="W6" s="2"/>
      <c r="X6" s="2"/>
      <c r="Y6" s="2"/>
      <c r="Z6" s="2"/>
    </row>
    <row r="7" spans="2:26">
      <c r="B7" s="412" t="s">
        <v>776</v>
      </c>
      <c r="C7" s="359">
        <v>1955</v>
      </c>
      <c r="D7" s="382"/>
      <c r="E7" s="389"/>
      <c r="F7" s="320"/>
      <c r="G7" s="395">
        <v>1971</v>
      </c>
      <c r="H7" s="395">
        <v>1966</v>
      </c>
      <c r="I7" s="395">
        <v>1972</v>
      </c>
      <c r="J7" s="395">
        <v>1967</v>
      </c>
      <c r="K7" s="395">
        <v>1961</v>
      </c>
      <c r="L7" s="395">
        <v>1948</v>
      </c>
      <c r="M7" s="395">
        <v>1964</v>
      </c>
    </row>
    <row r="8" spans="2:26" s="315" customFormat="true">
      <c r="B8" s="413" t="s">
        <v>3</v>
      </c>
      <c r="C8" s="360">
        <v>330</v>
      </c>
      <c r="D8" s="383" t="str">
        <f ca="true">IFERROR(AVERAGE(INDIRECT("G"&amp;ROW()&amp;":Z"&amp;ROW())),"")</f>
      </c>
      <c r="E8" s="389"/>
      <c r="F8" s="320"/>
      <c r="G8" s="396">
        <v>296</v>
      </c>
      <c r="H8" s="396">
        <v>465</v>
      </c>
      <c r="I8" s="396">
        <v>228</v>
      </c>
      <c r="J8" s="396">
        <v>544</v>
      </c>
      <c r="K8" s="396">
        <v>254</v>
      </c>
      <c r="L8" s="396">
        <v>515</v>
      </c>
      <c r="M8" s="396">
        <v>168</v>
      </c>
      <c r="N8" s="4"/>
      <c r="O8" s="4"/>
      <c r="P8" s="4"/>
      <c r="Q8" s="4"/>
      <c r="R8" s="4"/>
      <c r="S8" s="4"/>
      <c r="T8" s="4"/>
      <c r="U8" s="4"/>
      <c r="V8" s="4"/>
      <c r="W8" s="4"/>
      <c r="X8" s="4"/>
      <c r="Y8" s="4"/>
      <c r="Z8" s="4"/>
    </row>
    <row r="9" spans="2:26" s="316" customFormat="true">
      <c r="B9" s="414" t="s">
        <v>777</v>
      </c>
      <c r="C9" s="361">
        <v>1</v>
      </c>
      <c r="D9" s="384" t="str">
        <f ca="true">IFERROR(AVERAGE(INDIRECT("G"&amp;ROW()&amp;":Z"&amp;ROW())),"")</f>
      </c>
      <c r="E9" s="388" t="str">
        <f ca="true">IF(C9&gt;0,IFERROR((C9-D9),""),"")</f>
      </c>
      <c r="F9" s="320" t="str">
        <f ca="true">IFERROR(E9/D9,"")</f>
      </c>
      <c r="G9" s="397">
        <v>1</v>
      </c>
      <c r="H9" s="397">
        <v>0.9720430107526882</v>
      </c>
      <c r="I9" s="397">
        <v>1</v>
      </c>
      <c r="J9" s="397">
        <v>0.9595588235294118</v>
      </c>
      <c r="K9" s="397">
        <v>0.9566929133858267</v>
      </c>
      <c r="L9" s="397">
        <v>0.9805825242718447</v>
      </c>
      <c r="M9" s="397">
        <v>0.9702380952380952</v>
      </c>
      <c r="N9" s="51"/>
      <c r="O9" s="51"/>
      <c r="P9" s="51"/>
      <c r="Q9" s="51"/>
      <c r="R9" s="51"/>
      <c r="S9" s="51"/>
      <c r="T9" s="51"/>
      <c r="U9" s="51"/>
      <c r="V9" s="51"/>
      <c r="W9" s="51"/>
      <c r="X9" s="51"/>
      <c r="Y9" s="51"/>
      <c r="Z9" s="51"/>
    </row>
    <row r="10" spans="2:26" s="316" customFormat="true">
      <c r="B10" s="414" t="s">
        <v>778</v>
      </c>
      <c r="C10" s="361">
        <v>0.0030303030303030303</v>
      </c>
      <c r="D10" s="384" t="str">
        <f ca="true">IFERROR(AVERAGE(INDIRECT("G"&amp;ROW()&amp;":Z"&amp;ROW())),"")</f>
      </c>
      <c r="E10" s="388" t="str">
        <f ca="true">IF(C10&gt;0,IFERROR((C10-D10),""),"")</f>
      </c>
      <c r="F10" s="320" t="str">
        <f ca="true">IFERROR(E10/D10,"")</f>
      </c>
      <c r="G10" s="397">
        <v>0</v>
      </c>
      <c r="H10" s="397">
        <v>0.06451612903225806</v>
      </c>
      <c r="I10" s="397">
        <v>0</v>
      </c>
      <c r="J10" s="397">
        <v>0.042279411764705885</v>
      </c>
      <c r="K10" s="397">
        <v>0.06299212598425197</v>
      </c>
      <c r="L10" s="397">
        <v>0.027184466019417475</v>
      </c>
      <c r="M10" s="397">
        <v>0.041666666666666664</v>
      </c>
      <c r="N10" s="51"/>
      <c r="O10" s="51"/>
      <c r="P10" s="51"/>
      <c r="Q10" s="51"/>
      <c r="R10" s="51"/>
      <c r="S10" s="51"/>
      <c r="T10" s="51"/>
      <c r="U10" s="51"/>
      <c r="V10" s="51"/>
      <c r="W10" s="51"/>
      <c r="X10" s="51"/>
      <c r="Y10" s="51"/>
      <c r="Z10" s="51"/>
    </row>
    <row r="11" spans="2:26" s="51" customFormat="true">
      <c r="B11" s="414" t="s">
        <v>5</v>
      </c>
      <c r="C11" s="362">
        <v>0.4653164787335438</v>
      </c>
      <c r="D11" s="384" t="str">
        <f ca="true">IFERROR(AVERAGE(INDIRECT("G"&amp;ROW()&amp;":Z"&amp;ROW())),"")</f>
      </c>
      <c r="E11" s="388" t="str">
        <f ca="true">IF(C11&gt;0,IFERROR((C11-D11),""),"")</f>
      </c>
      <c r="F11" s="320" t="str">
        <f ca="true">IFERROR(E11/D11,"")</f>
      </c>
      <c r="G11" s="397">
        <v>0.4940851264947577</v>
      </c>
      <c r="H11" s="397">
        <v>0.6082442072270371</v>
      </c>
      <c r="I11" s="397">
        <v>0.3655716050500687</v>
      </c>
      <c r="J11" s="397">
        <v>0.5479294928557187</v>
      </c>
      <c r="K11" s="397">
        <v>0.5803640102253235</v>
      </c>
      <c r="L11" s="397">
        <v>0.596881851890144</v>
      </c>
      <c r="M11" s="397">
        <v>0.5504325770970546</v>
      </c>
    </row>
    <row r="12" spans="2:26">
      <c r="B12" s="415" t="s">
        <v>974</v>
      </c>
      <c r="C12" s="363"/>
      <c r="D12" s="363"/>
      <c r="E12" s="347"/>
      <c r="F12" s="321"/>
      <c r="G12" s="398"/>
      <c r="H12" s="344"/>
      <c r="I12" s="304"/>
      <c r="J12" s="304"/>
      <c r="K12" s="304"/>
      <c r="L12" s="304"/>
      <c r="M12" s="304"/>
      <c r="N12" s="304"/>
      <c r="O12" s="304"/>
      <c r="P12" s="304"/>
      <c r="Q12" s="304"/>
      <c r="R12" s="304"/>
      <c r="S12" s="304"/>
      <c r="T12" s="304"/>
      <c r="U12" s="304"/>
      <c r="V12" s="304"/>
      <c r="W12" s="304"/>
      <c r="X12" s="304"/>
      <c r="Y12" s="304"/>
      <c r="Z12" s="304"/>
    </row>
    <row r="13" spans="2:26" s="139" customFormat="true">
      <c r="B13" s="416" t="s">
        <v>781</v>
      </c>
      <c r="C13" s="364">
        <v>1085.5</v>
      </c>
      <c r="D13" s="385" t="str">
        <f ca="true">IFERROR(AVERAGE(INDIRECT("G"&amp;ROW()&amp;":Z"&amp;ROW())),"")</f>
      </c>
      <c r="E13" s="377" t="str">
        <f ca="true">IF(C13&gt;0,IFERROR((C13-D13),""),"")</f>
      </c>
      <c r="F13" s="320" t="str">
        <f ca="true">IFERROR(E13/D13,"")</f>
      </c>
      <c r="G13" s="399"/>
      <c r="H13" s="399">
        <v>1333.2456140350878</v>
      </c>
      <c r="I13" s="399">
        <v>1117.5</v>
      </c>
      <c r="J13" s="399">
        <v>1591.3461538461538</v>
      </c>
      <c r="K13" s="399">
        <v>1769.8260869565217</v>
      </c>
      <c r="L13" s="399">
        <v>1350.357142857143</v>
      </c>
      <c r="M13" s="399">
        <v>1424</v>
      </c>
      <c r="N13" s="5"/>
      <c r="O13" s="5"/>
      <c r="P13" s="5"/>
      <c r="Q13" s="5"/>
      <c r="R13" s="5"/>
      <c r="S13" s="5"/>
      <c r="T13" s="5"/>
      <c r="U13" s="5"/>
      <c r="V13" s="5"/>
      <c r="W13" s="5"/>
      <c r="X13" s="5"/>
      <c r="Y13" s="5"/>
      <c r="Z13" s="5"/>
    </row>
    <row r="14" spans="2:26" s="139" customFormat="true">
      <c r="B14" s="416" t="s">
        <v>782</v>
      </c>
      <c r="C14" s="364">
        <v>1085.5</v>
      </c>
      <c r="D14" s="385" t="str">
        <f ca="true">IFERROR(AVERAGE(INDIRECT("G"&amp;ROW()&amp;":Z"&amp;ROW())),"")</f>
      </c>
      <c r="E14" s="377" t="str">
        <f ca="true">IF(C14&gt;0,IFERROR((C14-D14),""),"")</f>
      </c>
      <c r="F14" s="320" t="str">
        <f ca="true">IFERROR(E14/D14,"")</f>
      </c>
      <c r="G14" s="399"/>
      <c r="H14" s="399">
        <v>1345.2205882352941</v>
      </c>
      <c r="I14" s="399">
        <v>1117.5</v>
      </c>
      <c r="J14" s="399">
        <v>1581.7460317460318</v>
      </c>
      <c r="K14" s="399">
        <v>1762.12</v>
      </c>
      <c r="L14" s="399">
        <v>1355.2857142857142</v>
      </c>
      <c r="M14" s="399">
        <v>1403.4</v>
      </c>
      <c r="N14" s="5"/>
      <c r="O14" s="5"/>
      <c r="P14" s="5"/>
      <c r="Q14" s="5"/>
      <c r="R14" s="5"/>
      <c r="S14" s="5"/>
      <c r="T14" s="5"/>
      <c r="U14" s="5"/>
      <c r="V14" s="5"/>
      <c r="W14" s="5"/>
      <c r="X14" s="5"/>
      <c r="Y14" s="5"/>
      <c r="Z14" s="5"/>
    </row>
    <row r="15" spans="2:26" s="139" customFormat="true">
      <c r="B15" s="416" t="s">
        <v>783</v>
      </c>
      <c r="C15" s="364">
        <v>1085.5</v>
      </c>
      <c r="D15" s="385" t="str">
        <f ca="true">IFERROR(AVERAGE(INDIRECT("G"&amp;ROW()&amp;":Z"&amp;ROW())),"")</f>
      </c>
      <c r="E15" s="377" t="str">
        <f ca="true">IF(C15&gt;0,IFERROR((C15-D15),""),"")</f>
      </c>
      <c r="F15" s="320" t="str">
        <f ca="true">IFERROR(E15/D15,"")</f>
      </c>
      <c r="G15" s="399"/>
      <c r="H15" s="399">
        <v>1350.6962025316457</v>
      </c>
      <c r="I15" s="399">
        <v>1117.5</v>
      </c>
      <c r="J15" s="399">
        <v>1539.5348837209303</v>
      </c>
      <c r="K15" s="399">
        <v>1725.9354838709678</v>
      </c>
      <c r="L15" s="399">
        <v>1346.4893617021276</v>
      </c>
      <c r="M15" s="399">
        <v>1407.90625</v>
      </c>
      <c r="N15" s="5"/>
      <c r="O15" s="5"/>
      <c r="P15" s="5"/>
      <c r="Q15" s="5"/>
      <c r="R15" s="5"/>
      <c r="S15" s="5"/>
      <c r="T15" s="5"/>
      <c r="U15" s="5"/>
      <c r="V15" s="5"/>
      <c r="W15" s="5"/>
      <c r="X15" s="5"/>
      <c r="Y15" s="5"/>
      <c r="Z15" s="5"/>
    </row>
    <row r="16" spans="2:26">
      <c r="B16" s="415" t="s">
        <v>973</v>
      </c>
      <c r="C16" s="365"/>
      <c r="D16" s="365"/>
      <c r="E16" s="347"/>
      <c r="F16" s="321"/>
      <c r="G16" s="400"/>
      <c r="H16" s="331"/>
      <c r="I16" s="305"/>
      <c r="J16" s="305"/>
      <c r="K16" s="305"/>
      <c r="L16" s="305"/>
      <c r="M16" s="305"/>
      <c r="N16" s="305"/>
      <c r="O16" s="305"/>
      <c r="P16" s="305"/>
      <c r="Q16" s="305"/>
      <c r="R16" s="305"/>
      <c r="S16" s="305"/>
      <c r="T16" s="305"/>
      <c r="U16" s="305"/>
      <c r="V16" s="305"/>
      <c r="W16" s="305"/>
      <c r="X16" s="305"/>
      <c r="Y16" s="305"/>
      <c r="Z16" s="305"/>
    </row>
    <row r="17" spans="2:26" s="139" customFormat="true">
      <c r="B17" s="416" t="s">
        <v>781</v>
      </c>
      <c r="C17" s="364">
        <v>1085.5</v>
      </c>
      <c r="D17" s="385" t="str">
        <f ca="true">IFERROR(AVERAGE(INDIRECT("G"&amp;ROW()&amp;":Z"&amp;ROW())),"")</f>
      </c>
      <c r="E17" s="377" t="str">
        <f ca="true">IF(C17&gt;0,IFERROR((C17-D17),""),"")</f>
      </c>
      <c r="F17" s="320" t="str">
        <f ca="true">IFERROR(E17/D17,"")</f>
      </c>
      <c r="G17" s="399"/>
      <c r="H17" s="399">
        <v>1333.2456140350878</v>
      </c>
      <c r="I17" s="399">
        <v>1117.5</v>
      </c>
      <c r="J17" s="399">
        <v>1591.3461538461538</v>
      </c>
      <c r="K17" s="399">
        <v>1769.8260869565217</v>
      </c>
      <c r="L17" s="399">
        <v>1350.357142857143</v>
      </c>
      <c r="M17" s="399">
        <v>1318.3529411764705</v>
      </c>
      <c r="N17" s="5"/>
      <c r="O17" s="5"/>
      <c r="P17" s="5"/>
      <c r="Q17" s="5"/>
      <c r="R17" s="5"/>
      <c r="S17" s="5"/>
      <c r="T17" s="5"/>
      <c r="U17" s="5"/>
      <c r="V17" s="5"/>
      <c r="W17" s="5"/>
      <c r="X17" s="5"/>
      <c r="Y17" s="5"/>
      <c r="Z17" s="5"/>
    </row>
    <row r="18" spans="2:26" s="139" customFormat="true">
      <c r="B18" s="416" t="s">
        <v>782</v>
      </c>
      <c r="C18" s="364">
        <v>1085.5</v>
      </c>
      <c r="D18" s="385" t="str">
        <f ca="true">IFERROR(AVERAGE(INDIRECT("G"&amp;ROW()&amp;":Z"&amp;ROW())),"")</f>
      </c>
      <c r="E18" s="377" t="str">
        <f ca="true">IF(C18&gt;0,IFERROR((C18-D18),""),"")</f>
      </c>
      <c r="F18" s="320" t="str">
        <f ca="true">IFERROR(E18/D18,"")</f>
      </c>
      <c r="G18" s="399"/>
      <c r="H18" s="399">
        <v>1345.2205882352941</v>
      </c>
      <c r="I18" s="399">
        <v>1117.5</v>
      </c>
      <c r="J18" s="399">
        <v>1581.7460317460318</v>
      </c>
      <c r="K18" s="399">
        <v>1762.12</v>
      </c>
      <c r="L18" s="399">
        <v>1355.2857142857142</v>
      </c>
      <c r="M18" s="399">
        <v>1313.52</v>
      </c>
      <c r="N18" s="5"/>
      <c r="O18" s="5"/>
      <c r="P18" s="5"/>
      <c r="Q18" s="5"/>
      <c r="R18" s="5"/>
      <c r="S18" s="5"/>
      <c r="T18" s="5"/>
      <c r="U18" s="5"/>
      <c r="V18" s="5"/>
      <c r="W18" s="5"/>
      <c r="X18" s="5"/>
      <c r="Y18" s="5"/>
      <c r="Z18" s="5"/>
    </row>
    <row r="19" spans="2:26" s="139" customFormat="true">
      <c r="B19" s="416" t="s">
        <v>783</v>
      </c>
      <c r="C19" s="364">
        <v>1085.5</v>
      </c>
      <c r="D19" s="385" t="str">
        <f ca="true">IFERROR(AVERAGE(INDIRECT("G"&amp;ROW()&amp;":Z"&amp;ROW())),"")</f>
      </c>
      <c r="E19" s="377" t="str">
        <f ca="true">IF(C19&gt;0,IFERROR((C19-D19),""),"")</f>
      </c>
      <c r="F19" s="320" t="str">
        <f ca="true">IFERROR(E19/D19,"")</f>
      </c>
      <c r="G19" s="399"/>
      <c r="H19" s="399">
        <v>1350.6962025316457</v>
      </c>
      <c r="I19" s="399">
        <v>1117.5</v>
      </c>
      <c r="J19" s="399">
        <v>1539.5348837209303</v>
      </c>
      <c r="K19" s="399">
        <v>1725.9354838709678</v>
      </c>
      <c r="L19" s="399">
        <v>1346.4893617021276</v>
      </c>
      <c r="M19" s="399">
        <v>1337.6875</v>
      </c>
      <c r="N19" s="5"/>
      <c r="O19" s="5"/>
      <c r="P19" s="5"/>
      <c r="Q19" s="5"/>
      <c r="R19" s="5"/>
      <c r="S19" s="5"/>
      <c r="T19" s="5"/>
      <c r="U19" s="5"/>
      <c r="V19" s="5"/>
      <c r="W19" s="5"/>
      <c r="X19" s="5"/>
      <c r="Y19" s="5"/>
      <c r="Z19" s="5"/>
    </row>
    <row r="20" spans="2:26">
      <c r="B20" s="415" t="s">
        <v>779</v>
      </c>
      <c r="C20" s="365"/>
      <c r="D20" s="365"/>
      <c r="E20" s="347"/>
      <c r="F20" s="321"/>
      <c r="G20" s="400"/>
      <c r="H20" s="331"/>
      <c r="I20" s="305"/>
      <c r="J20" s="305"/>
      <c r="K20" s="305"/>
      <c r="L20" s="305"/>
      <c r="M20" s="305"/>
      <c r="N20" s="305"/>
      <c r="O20" s="305"/>
      <c r="P20" s="305"/>
      <c r="Q20" s="305"/>
      <c r="R20" s="305"/>
      <c r="S20" s="305"/>
      <c r="T20" s="305"/>
      <c r="U20" s="305"/>
      <c r="V20" s="305"/>
      <c r="W20" s="305"/>
      <c r="X20" s="305"/>
      <c r="Y20" s="305"/>
      <c r="Z20" s="305"/>
    </row>
    <row r="21" spans="2:26" s="317" customFormat="true">
      <c r="B21" s="417" t="s">
        <v>781</v>
      </c>
      <c r="C21" s="366">
        <v>1.8460884353741496</v>
      </c>
      <c r="D21" s="386" t="str">
        <f ca="true">IFERROR(AVERAGE(INDIRECT("G"&amp;ROW()&amp;":Z"&amp;ROW())),"")</f>
      </c>
      <c r="E21" s="378" t="str">
        <f ca="true">IF(C21&gt;0,IFERROR((C21-D21),""),"")</f>
      </c>
      <c r="F21" s="320" t="str">
        <f ca="true">IFERROR(E21/D21,"")</f>
      </c>
      <c r="G21" s="401"/>
      <c r="H21" s="401">
        <v>1.564037127744963</v>
      </c>
      <c r="I21" s="401">
        <v>1.8625</v>
      </c>
      <c r="J21" s="401">
        <v>1.9248214742620549</v>
      </c>
      <c r="K21" s="401">
        <v>1.6148048238654396</v>
      </c>
      <c r="L21" s="401">
        <v>1.9816561844863732</v>
      </c>
      <c r="M21" s="401">
        <v>2.2773283160865474</v>
      </c>
      <c r="N21" s="6"/>
      <c r="O21" s="6"/>
      <c r="P21" s="6"/>
      <c r="Q21" s="6"/>
      <c r="R21" s="6"/>
      <c r="S21" s="6"/>
      <c r="T21" s="6"/>
      <c r="U21" s="6"/>
      <c r="V21" s="6"/>
      <c r="W21" s="6"/>
      <c r="X21" s="6"/>
      <c r="Y21" s="6"/>
      <c r="Z21" s="6"/>
    </row>
    <row r="22" spans="2:26" s="317" customFormat="true">
      <c r="B22" s="417" t="s">
        <v>782</v>
      </c>
      <c r="C22" s="366">
        <v>1.8460884353741496</v>
      </c>
      <c r="D22" s="386" t="str">
        <f ca="true">IFERROR(AVERAGE(INDIRECT("G"&amp;ROW()&amp;":Z"&amp;ROW())),"")</f>
      </c>
      <c r="E22" s="378" t="str">
        <f ca="true">IF(C22&gt;0,IFERROR((C22-D22),""),"")</f>
      </c>
      <c r="F22" s="320" t="str">
        <f ca="true">IFERROR(E22/D22,"")</f>
      </c>
      <c r="G22" s="401"/>
      <c r="H22" s="401">
        <v>1.5601548642379588</v>
      </c>
      <c r="I22" s="401">
        <v>1.8625</v>
      </c>
      <c r="J22" s="401">
        <v>1.9303037346970402</v>
      </c>
      <c r="K22" s="401">
        <v>1.5876099178319159</v>
      </c>
      <c r="L22" s="401">
        <v>1.9863902847571189</v>
      </c>
      <c r="M22" s="401">
        <v>2.262088974854932</v>
      </c>
      <c r="N22" s="6"/>
      <c r="O22" s="6"/>
      <c r="P22" s="6"/>
      <c r="Q22" s="6"/>
      <c r="R22" s="6"/>
      <c r="S22" s="6"/>
      <c r="T22" s="6"/>
      <c r="U22" s="6"/>
      <c r="V22" s="6"/>
      <c r="W22" s="6"/>
      <c r="X22" s="6"/>
      <c r="Y22" s="6"/>
      <c r="Z22" s="6"/>
    </row>
    <row r="23" spans="2:26" s="317" customFormat="true">
      <c r="B23" s="417" t="s">
        <v>783</v>
      </c>
      <c r="C23" s="366">
        <v>1.8460884353741496</v>
      </c>
      <c r="D23" s="386" t="str">
        <f ca="true">IFERROR(AVERAGE(INDIRECT("G"&amp;ROW()&amp;":Z"&amp;ROW())),"")</f>
      </c>
      <c r="E23" s="378" t="str">
        <f ca="true">IF(C23&gt;0,IFERROR((C23-D23),""),"")</f>
      </c>
      <c r="F23" s="320" t="str">
        <f ca="true">IFERROR(E23/D23,"")</f>
      </c>
      <c r="G23" s="401"/>
      <c r="H23" s="401">
        <v>1.5617041828879197</v>
      </c>
      <c r="I23" s="401">
        <v>1.8625</v>
      </c>
      <c r="J23" s="401">
        <v>1.9802927961614627</v>
      </c>
      <c r="K23" s="401">
        <v>1.6036927134849983</v>
      </c>
      <c r="L23" s="401">
        <v>1.9724170172978026</v>
      </c>
      <c r="M23" s="401">
        <v>2.2616967871485945</v>
      </c>
      <c r="N23" s="6"/>
      <c r="O23" s="6"/>
      <c r="P23" s="6"/>
      <c r="Q23" s="6"/>
      <c r="R23" s="6"/>
      <c r="S23" s="6"/>
      <c r="T23" s="6"/>
      <c r="U23" s="6"/>
      <c r="V23" s="6"/>
      <c r="W23" s="6"/>
      <c r="X23" s="6"/>
      <c r="Y23" s="6"/>
      <c r="Z23" s="6"/>
    </row>
    <row r="24" spans="2:26">
      <c r="B24" s="415" t="s">
        <v>780</v>
      </c>
      <c r="C24" s="365"/>
      <c r="D24" s="365"/>
      <c r="E24" s="379"/>
      <c r="F24" s="321"/>
      <c r="G24" s="400"/>
      <c r="H24" s="331"/>
      <c r="I24" s="305"/>
      <c r="J24" s="305"/>
      <c r="K24" s="305"/>
      <c r="L24" s="305"/>
      <c r="M24" s="305"/>
      <c r="N24" s="305"/>
      <c r="O24" s="305"/>
      <c r="P24" s="305"/>
      <c r="Q24" s="305"/>
      <c r="R24" s="305"/>
      <c r="S24" s="305"/>
      <c r="T24" s="305"/>
      <c r="U24" s="305"/>
      <c r="V24" s="305"/>
      <c r="W24" s="305"/>
      <c r="X24" s="305"/>
      <c r="Y24" s="305"/>
      <c r="Z24" s="305"/>
    </row>
    <row r="25" spans="2:26" s="317" customFormat="true">
      <c r="B25" s="417" t="s">
        <v>781</v>
      </c>
      <c r="C25" s="366">
        <v>1.8460884353741496</v>
      </c>
      <c r="D25" s="386" t="str">
        <f ca="true">IFERROR(AVERAGE(INDIRECT("G"&amp;ROW()&amp;":Z"&amp;ROW())),"")</f>
      </c>
      <c r="E25" s="378" t="str">
        <f ca="true">IF(C25&gt;0,IFERROR((C25-D25),""),"")</f>
      </c>
      <c r="F25" s="320" t="str">
        <f ca="true">IFERROR(E25/D25,"")</f>
      </c>
      <c r="G25" s="401"/>
      <c r="H25" s="401">
        <v>1.564037127744963</v>
      </c>
      <c r="I25" s="401">
        <v>1.8625</v>
      </c>
      <c r="J25" s="401">
        <v>1.9248214742620549</v>
      </c>
      <c r="K25" s="401">
        <v>1.6148048238654396</v>
      </c>
      <c r="L25" s="401">
        <v>1.9816561844863732</v>
      </c>
      <c r="M25" s="401">
        <v>2.1083725305738477</v>
      </c>
      <c r="N25" s="6"/>
      <c r="O25" s="6"/>
      <c r="P25" s="6"/>
      <c r="Q25" s="6"/>
      <c r="R25" s="6"/>
      <c r="S25" s="6"/>
      <c r="T25" s="6"/>
      <c r="U25" s="6"/>
      <c r="V25" s="6"/>
      <c r="W25" s="6"/>
      <c r="X25" s="6"/>
      <c r="Y25" s="6"/>
      <c r="Z25" s="6"/>
    </row>
    <row r="26" spans="2:26" s="317" customFormat="true">
      <c r="B26" s="417" t="s">
        <v>782</v>
      </c>
      <c r="C26" s="366">
        <v>1.8460884353741496</v>
      </c>
      <c r="D26" s="386" t="str">
        <f ca="true">IFERROR(AVERAGE(INDIRECT("G"&amp;ROW()&amp;":Z"&amp;ROW())),"")</f>
      </c>
      <c r="E26" s="378" t="str">
        <f ca="true">IF(C26&gt;0,IFERROR((C26-D26),""),"")</f>
      </c>
      <c r="F26" s="320" t="str">
        <f ca="true">IFERROR(E26/D26,"")</f>
      </c>
      <c r="G26" s="401"/>
      <c r="H26" s="401">
        <v>1.5601548642379588</v>
      </c>
      <c r="I26" s="401">
        <v>1.8625</v>
      </c>
      <c r="J26" s="401">
        <v>1.9303037346970402</v>
      </c>
      <c r="K26" s="401">
        <v>1.5876099178319159</v>
      </c>
      <c r="L26" s="401">
        <v>1.9863902847571189</v>
      </c>
      <c r="M26" s="401">
        <v>2.1172147001934234</v>
      </c>
      <c r="N26" s="6"/>
      <c r="O26" s="6"/>
      <c r="P26" s="6"/>
      <c r="Q26" s="6"/>
      <c r="R26" s="6"/>
      <c r="S26" s="6"/>
      <c r="T26" s="6"/>
      <c r="U26" s="6"/>
      <c r="V26" s="6"/>
      <c r="W26" s="6"/>
      <c r="X26" s="6"/>
      <c r="Y26" s="6"/>
      <c r="Z26" s="6"/>
    </row>
    <row r="27" spans="2:26" s="317" customFormat="true">
      <c r="B27" s="417" t="s">
        <v>783</v>
      </c>
      <c r="C27" s="366">
        <v>1.8460884353741496</v>
      </c>
      <c r="D27" s="386" t="str">
        <f ca="true">IFERROR(AVERAGE(INDIRECT("G"&amp;ROW()&amp;":Z"&amp;ROW())),"")</f>
      </c>
      <c r="E27" s="378" t="str">
        <f ca="true">IF(C27&gt;0,IFERROR((C27-D27),""),"")</f>
      </c>
      <c r="F27" s="320" t="str">
        <f ca="true">IFERROR(E27/D27,"")</f>
      </c>
      <c r="G27" s="401"/>
      <c r="H27" s="401">
        <v>1.5617041828879197</v>
      </c>
      <c r="I27" s="401">
        <v>1.8625</v>
      </c>
      <c r="J27" s="401">
        <v>1.9802927961614627</v>
      </c>
      <c r="K27" s="401">
        <v>1.6036927134849983</v>
      </c>
      <c r="L27" s="401">
        <v>1.9724170172978026</v>
      </c>
      <c r="M27" s="401">
        <v>2.148895582329317</v>
      </c>
      <c r="N27" s="6"/>
      <c r="O27" s="6"/>
      <c r="P27" s="6"/>
      <c r="Q27" s="6"/>
      <c r="R27" s="6"/>
      <c r="S27" s="6"/>
      <c r="T27" s="6"/>
      <c r="U27" s="6"/>
      <c r="V27" s="6"/>
      <c r="W27" s="6"/>
      <c r="X27" s="6"/>
      <c r="Y27" s="6"/>
      <c r="Z27" s="6"/>
    </row>
    <row r="28" spans="2:26">
      <c r="B28" s="418" t="s">
        <v>826</v>
      </c>
      <c r="C28" s="367"/>
      <c r="D28" s="367"/>
      <c r="E28" s="348"/>
      <c r="F28" s="322"/>
      <c r="G28" s="402"/>
      <c r="H28" s="332"/>
      <c r="I28" s="306"/>
      <c r="J28" s="306"/>
      <c r="K28" s="306"/>
      <c r="L28" s="306"/>
      <c r="M28" s="306"/>
      <c r="N28" s="306"/>
      <c r="O28" s="306"/>
      <c r="P28" s="306"/>
      <c r="Q28" s="306"/>
      <c r="R28" s="306"/>
      <c r="S28" s="306"/>
      <c r="T28" s="306"/>
      <c r="U28" s="306"/>
      <c r="V28" s="306"/>
      <c r="W28" s="306"/>
      <c r="X28" s="306"/>
      <c r="Y28" s="306"/>
      <c r="Z28" s="306"/>
    </row>
    <row r="29" spans="2:26" s="139" customFormat="true">
      <c r="B29" s="416" t="s">
        <v>781</v>
      </c>
      <c r="C29" s="364"/>
      <c r="D29" s="385" t="str">
        <f ca="true">IFERROR(AVERAGE(INDIRECT("G"&amp;ROW()&amp;":Z"&amp;ROW())),"")</f>
      </c>
      <c r="E29" s="377" t="str">
        <f ca="true">IF(C29&gt;0,IFERROR((C29-D29),""),"")</f>
      </c>
      <c r="F29" s="320" t="str">
        <f ca="true">IFERROR(E29/D29,"")</f>
      </c>
      <c r="G29" s="399"/>
      <c r="H29" s="399"/>
      <c r="I29" s="399"/>
      <c r="J29" s="399"/>
      <c r="K29" s="399">
        <v>1436</v>
      </c>
      <c r="L29" s="399"/>
      <c r="M29" s="399"/>
      <c r="N29" s="5"/>
      <c r="O29" s="5"/>
      <c r="P29" s="5"/>
      <c r="Q29" s="5"/>
      <c r="R29" s="5"/>
      <c r="S29" s="5"/>
      <c r="T29" s="5"/>
      <c r="U29" s="5"/>
      <c r="V29" s="5"/>
      <c r="W29" s="5"/>
      <c r="X29" s="5"/>
      <c r="Y29" s="5"/>
      <c r="Z29" s="5"/>
    </row>
    <row r="30" spans="2:26" s="139" customFormat="true">
      <c r="B30" s="416" t="s">
        <v>782</v>
      </c>
      <c r="C30" s="364"/>
      <c r="D30" s="385" t="str">
        <f ca="true">IFERROR(AVERAGE(INDIRECT("G"&amp;ROW()&amp;":Z"&amp;ROW())),"")</f>
      </c>
      <c r="E30" s="377" t="str">
        <f ca="true">IF(C30&gt;0,IFERROR((C30-D30),""),"")</f>
      </c>
      <c r="F30" s="320" t="str">
        <f ca="true">IFERROR(E30/D30,"")</f>
      </c>
      <c r="G30" s="399"/>
      <c r="H30" s="399"/>
      <c r="I30" s="399"/>
      <c r="J30" s="399"/>
      <c r="K30" s="399">
        <v>1436</v>
      </c>
      <c r="L30" s="399"/>
      <c r="M30" s="399"/>
      <c r="N30" s="5"/>
      <c r="O30" s="5"/>
      <c r="P30" s="5"/>
      <c r="Q30" s="5"/>
      <c r="R30" s="5"/>
      <c r="S30" s="5"/>
      <c r="T30" s="5"/>
      <c r="U30" s="5"/>
      <c r="V30" s="5"/>
      <c r="W30" s="5"/>
      <c r="X30" s="5"/>
      <c r="Y30" s="5"/>
      <c r="Z30" s="5"/>
    </row>
    <row r="31" spans="2:26" s="139" customFormat="true">
      <c r="B31" s="416" t="s">
        <v>783</v>
      </c>
      <c r="C31" s="364"/>
      <c r="D31" s="385" t="str">
        <f ca="true">IFERROR(AVERAGE(INDIRECT("G"&amp;ROW()&amp;":Z"&amp;ROW())),"")</f>
      </c>
      <c r="E31" s="377" t="str">
        <f ca="true">IF(C31&gt;0,IFERROR((C31-D31),""),"")</f>
      </c>
      <c r="F31" s="320" t="str">
        <f ca="true">IFERROR(E31/D31,"")</f>
      </c>
      <c r="G31" s="399"/>
      <c r="H31" s="399"/>
      <c r="I31" s="399"/>
      <c r="J31" s="399"/>
      <c r="K31" s="399">
        <v>1278</v>
      </c>
      <c r="L31" s="399"/>
      <c r="M31" s="399"/>
      <c r="N31" s="5"/>
      <c r="O31" s="5"/>
      <c r="P31" s="5"/>
      <c r="Q31" s="5"/>
      <c r="R31" s="5"/>
      <c r="S31" s="5"/>
      <c r="T31" s="5"/>
      <c r="U31" s="5"/>
      <c r="V31" s="5"/>
      <c r="W31" s="5"/>
      <c r="X31" s="5"/>
      <c r="Y31" s="5"/>
      <c r="Z31" s="5"/>
    </row>
    <row r="32" spans="2:26">
      <c r="B32" s="418" t="s">
        <v>827</v>
      </c>
      <c r="C32" s="367"/>
      <c r="D32" s="367"/>
      <c r="E32" s="348"/>
      <c r="F32" s="322"/>
      <c r="G32" s="402"/>
      <c r="H32" s="332"/>
      <c r="I32" s="306"/>
      <c r="J32" s="306"/>
      <c r="K32" s="306"/>
      <c r="L32" s="306"/>
      <c r="M32" s="306"/>
      <c r="N32" s="306"/>
      <c r="O32" s="306"/>
      <c r="P32" s="306"/>
      <c r="Q32" s="306"/>
      <c r="R32" s="306"/>
      <c r="S32" s="306"/>
      <c r="T32" s="306"/>
      <c r="U32" s="306"/>
      <c r="V32" s="306"/>
      <c r="W32" s="306"/>
      <c r="X32" s="306"/>
      <c r="Y32" s="306"/>
      <c r="Z32" s="306"/>
    </row>
    <row r="33" spans="2:26" s="139" customFormat="true">
      <c r="B33" s="416" t="s">
        <v>781</v>
      </c>
      <c r="C33" s="364"/>
      <c r="D33" s="385" t="str">
        <f ca="true">IFERROR(AVERAGE(INDIRECT("G"&amp;ROW()&amp;":Z"&amp;ROW())),"")</f>
      </c>
      <c r="E33" s="377" t="str">
        <f ca="true">IF(C33&gt;0,IFERROR((C33-D33),""),"")</f>
      </c>
      <c r="F33" s="320" t="str">
        <f ca="true">IFERROR(E33/D33,"")</f>
      </c>
      <c r="G33" s="399"/>
      <c r="H33" s="399"/>
      <c r="I33" s="399"/>
      <c r="J33" s="399"/>
      <c r="K33" s="399">
        <v>1436</v>
      </c>
      <c r="L33" s="399"/>
      <c r="M33" s="399"/>
      <c r="N33" s="5"/>
      <c r="O33" s="5"/>
      <c r="P33" s="5"/>
      <c r="Q33" s="5"/>
      <c r="R33" s="5"/>
      <c r="S33" s="5"/>
      <c r="T33" s="5"/>
      <c r="U33" s="5"/>
      <c r="V33" s="5"/>
      <c r="W33" s="5"/>
      <c r="X33" s="5"/>
      <c r="Y33" s="5"/>
      <c r="Z33" s="5"/>
    </row>
    <row r="34" spans="2:26" s="139" customFormat="true">
      <c r="B34" s="416" t="s">
        <v>782</v>
      </c>
      <c r="C34" s="364"/>
      <c r="D34" s="385" t="str">
        <f ca="true">IFERROR(AVERAGE(INDIRECT("G"&amp;ROW()&amp;":Z"&amp;ROW())),"")</f>
      </c>
      <c r="E34" s="377" t="str">
        <f ca="true">IF(C34&gt;0,IFERROR((C34-D34),""),"")</f>
      </c>
      <c r="F34" s="320" t="str">
        <f ca="true">IFERROR(E34/D34,"")</f>
      </c>
      <c r="G34" s="399"/>
      <c r="H34" s="399"/>
      <c r="I34" s="399"/>
      <c r="J34" s="399"/>
      <c r="K34" s="399">
        <v>1436</v>
      </c>
      <c r="L34" s="399"/>
      <c r="M34" s="399"/>
      <c r="N34" s="5"/>
      <c r="O34" s="5"/>
      <c r="P34" s="5"/>
      <c r="Q34" s="5"/>
      <c r="R34" s="5"/>
      <c r="S34" s="5"/>
      <c r="T34" s="5"/>
      <c r="U34" s="5"/>
      <c r="V34" s="5"/>
      <c r="W34" s="5"/>
      <c r="X34" s="5"/>
      <c r="Y34" s="5"/>
      <c r="Z34" s="5"/>
    </row>
    <row r="35" spans="2:26" s="139" customFormat="true">
      <c r="B35" s="416" t="s">
        <v>783</v>
      </c>
      <c r="C35" s="364"/>
      <c r="D35" s="385" t="str">
        <f ca="true">IFERROR(AVERAGE(INDIRECT("G"&amp;ROW()&amp;":Z"&amp;ROW())),"")</f>
      </c>
      <c r="E35" s="377" t="str">
        <f ca="true">IF(C35&gt;0,IFERROR((C35-D35),""),"")</f>
      </c>
      <c r="F35" s="320" t="str">
        <f ca="true">IFERROR(E35/D35,"")</f>
      </c>
      <c r="G35" s="399"/>
      <c r="H35" s="399"/>
      <c r="I35" s="399"/>
      <c r="J35" s="399"/>
      <c r="K35" s="399">
        <v>1278</v>
      </c>
      <c r="L35" s="399"/>
      <c r="M35" s="399"/>
      <c r="N35" s="5"/>
      <c r="O35" s="5"/>
      <c r="P35" s="5"/>
      <c r="Q35" s="5"/>
      <c r="R35" s="5"/>
      <c r="S35" s="5"/>
      <c r="T35" s="5"/>
      <c r="U35" s="5"/>
      <c r="V35" s="5"/>
      <c r="W35" s="5"/>
      <c r="X35" s="5"/>
      <c r="Y35" s="5"/>
      <c r="Z35" s="5"/>
    </row>
    <row r="36" spans="2:26" s="139" customFormat="true">
      <c r="B36" s="418" t="s">
        <v>858</v>
      </c>
      <c r="C36" s="367"/>
      <c r="D36" s="367"/>
      <c r="E36" s="348"/>
      <c r="F36" s="322"/>
      <c r="G36" s="402"/>
      <c r="H36" s="332"/>
      <c r="I36" s="306"/>
      <c r="J36" s="306"/>
      <c r="K36" s="306"/>
      <c r="L36" s="306"/>
      <c r="M36" s="306"/>
      <c r="N36" s="306"/>
      <c r="O36" s="306"/>
      <c r="P36" s="306"/>
      <c r="Q36" s="306"/>
      <c r="R36" s="306"/>
      <c r="S36" s="306"/>
      <c r="T36" s="306"/>
      <c r="U36" s="306"/>
      <c r="V36" s="306"/>
      <c r="W36" s="306"/>
      <c r="X36" s="306"/>
      <c r="Y36" s="306"/>
      <c r="Z36" s="306"/>
    </row>
    <row r="37" spans="2:26" s="317" customFormat="true">
      <c r="B37" s="417" t="s">
        <v>781</v>
      </c>
      <c r="C37" s="366"/>
      <c r="D37" s="386" t="str">
        <f ca="true">IFERROR(AVERAGE(INDIRECT("G"&amp;ROW()&amp;":Z"&amp;ROW())),"")</f>
      </c>
      <c r="E37" s="378" t="str">
        <f ca="true">IF(C37&gt;0,IFERROR((C37-D37),""),"")</f>
      </c>
      <c r="F37" s="320" t="str">
        <f ca="true">IFERROR(E37/D37,"")</f>
      </c>
      <c r="G37" s="401"/>
      <c r="H37" s="401"/>
      <c r="I37" s="401"/>
      <c r="J37" s="401"/>
      <c r="K37" s="401">
        <v>2.942622950819672</v>
      </c>
      <c r="L37" s="401"/>
      <c r="M37" s="401"/>
      <c r="N37" s="6"/>
      <c r="O37" s="6"/>
      <c r="P37" s="6"/>
      <c r="Q37" s="6"/>
      <c r="R37" s="6"/>
      <c r="S37" s="6"/>
      <c r="T37" s="6"/>
      <c r="U37" s="6"/>
      <c r="V37" s="6"/>
      <c r="W37" s="6"/>
      <c r="X37" s="6"/>
      <c r="Y37" s="6"/>
      <c r="Z37" s="6"/>
    </row>
    <row r="38" spans="2:26" s="317" customFormat="true">
      <c r="B38" s="417" t="s">
        <v>782</v>
      </c>
      <c r="C38" s="366"/>
      <c r="D38" s="386" t="str">
        <f ca="true">IFERROR(AVERAGE(INDIRECT("G"&amp;ROW()&amp;":Z"&amp;ROW())),"")</f>
      </c>
      <c r="E38" s="378" t="str">
        <f ca="true">IF(C38&gt;0,IFERROR((C38-D38),""),"")</f>
      </c>
      <c r="F38" s="320" t="str">
        <f ca="true">IFERROR(E38/D38,"")</f>
      </c>
      <c r="G38" s="401"/>
      <c r="H38" s="401"/>
      <c r="I38" s="401"/>
      <c r="J38" s="401"/>
      <c r="K38" s="401">
        <v>2.942622950819672</v>
      </c>
      <c r="L38" s="401"/>
      <c r="M38" s="401"/>
      <c r="N38" s="6"/>
      <c r="O38" s="6"/>
      <c r="P38" s="6"/>
      <c r="Q38" s="6"/>
      <c r="R38" s="6"/>
      <c r="S38" s="6"/>
      <c r="T38" s="6"/>
      <c r="U38" s="6"/>
      <c r="V38" s="6"/>
      <c r="W38" s="6"/>
      <c r="X38" s="6"/>
      <c r="Y38" s="6"/>
      <c r="Z38" s="6"/>
    </row>
    <row r="39" spans="2:26" s="317" customFormat="true">
      <c r="B39" s="417" t="s">
        <v>783</v>
      </c>
      <c r="C39" s="366"/>
      <c r="D39" s="386" t="str">
        <f ca="true">IFERROR(AVERAGE(INDIRECT("G"&amp;ROW()&amp;":Z"&amp;ROW())),"")</f>
      </c>
      <c r="E39" s="378" t="str">
        <f ca="true">IF(C39&gt;0,IFERROR((C39-D39),""),"")</f>
      </c>
      <c r="F39" s="320" t="str">
        <f ca="true">IFERROR(E39/D39,"")</f>
      </c>
      <c r="G39" s="401"/>
      <c r="H39" s="401"/>
      <c r="I39" s="401"/>
      <c r="J39" s="401"/>
      <c r="K39" s="401">
        <v>2.6188524590163933</v>
      </c>
      <c r="L39" s="401"/>
      <c r="M39" s="401"/>
      <c r="N39" s="6"/>
      <c r="O39" s="6"/>
      <c r="P39" s="6"/>
      <c r="Q39" s="6"/>
      <c r="R39" s="6"/>
      <c r="S39" s="6"/>
      <c r="T39" s="6"/>
      <c r="U39" s="6"/>
      <c r="V39" s="6"/>
      <c r="W39" s="6"/>
      <c r="X39" s="6"/>
      <c r="Y39" s="6"/>
      <c r="Z39" s="6"/>
    </row>
    <row r="40" spans="2:26" s="139" customFormat="true">
      <c r="B40" s="418" t="s">
        <v>859</v>
      </c>
      <c r="C40" s="367"/>
      <c r="D40" s="367"/>
      <c r="E40" s="348"/>
      <c r="F40" s="322"/>
      <c r="G40" s="402"/>
      <c r="H40" s="332"/>
      <c r="I40" s="306"/>
      <c r="J40" s="306"/>
      <c r="K40" s="306"/>
      <c r="L40" s="306"/>
      <c r="M40" s="306"/>
      <c r="N40" s="306"/>
      <c r="O40" s="306"/>
      <c r="P40" s="306"/>
      <c r="Q40" s="306"/>
      <c r="R40" s="306"/>
      <c r="S40" s="306"/>
      <c r="T40" s="306"/>
      <c r="U40" s="306"/>
      <c r="V40" s="306"/>
      <c r="W40" s="306"/>
      <c r="X40" s="306"/>
      <c r="Y40" s="306"/>
      <c r="Z40" s="306"/>
    </row>
    <row r="41" spans="2:26" s="317" customFormat="true">
      <c r="B41" s="417" t="s">
        <v>781</v>
      </c>
      <c r="C41" s="366"/>
      <c r="D41" s="386" t="str">
        <f ca="true">IFERROR(AVERAGE(INDIRECT("G"&amp;ROW()&amp;":Z"&amp;ROW())),"")</f>
      </c>
      <c r="E41" s="378" t="str">
        <f ca="true">IF(C41&gt;0,IFERROR((C41-D41),""),"")</f>
      </c>
      <c r="F41" s="320" t="str">
        <f ca="true">IFERROR(E41/D41,"")</f>
      </c>
      <c r="G41" s="401"/>
      <c r="H41" s="401"/>
      <c r="I41" s="401"/>
      <c r="J41" s="401"/>
      <c r="K41" s="401">
        <v>2.942622950819672</v>
      </c>
      <c r="L41" s="401"/>
      <c r="M41" s="401"/>
      <c r="N41" s="6"/>
      <c r="O41" s="6"/>
      <c r="P41" s="6"/>
      <c r="Q41" s="6"/>
      <c r="R41" s="6"/>
      <c r="S41" s="6"/>
      <c r="T41" s="6"/>
      <c r="U41" s="6"/>
      <c r="V41" s="6"/>
      <c r="W41" s="6"/>
      <c r="X41" s="6"/>
      <c r="Y41" s="6"/>
      <c r="Z41" s="6"/>
    </row>
    <row r="42" spans="2:26" s="317" customFormat="true">
      <c r="B42" s="417" t="s">
        <v>782</v>
      </c>
      <c r="C42" s="366"/>
      <c r="D42" s="386" t="str">
        <f ca="true">IFERROR(AVERAGE(INDIRECT("G"&amp;ROW()&amp;":Z"&amp;ROW())),"")</f>
      </c>
      <c r="E42" s="378" t="str">
        <f ca="true">IF(C42&gt;0,IFERROR((C42-D42),""),"")</f>
      </c>
      <c r="F42" s="320" t="str">
        <f ca="true">IFERROR(E42/D42,"")</f>
      </c>
      <c r="G42" s="401"/>
      <c r="H42" s="401"/>
      <c r="I42" s="401"/>
      <c r="J42" s="401"/>
      <c r="K42" s="401">
        <v>2.942622950819672</v>
      </c>
      <c r="L42" s="401"/>
      <c r="M42" s="401"/>
      <c r="N42" s="6"/>
      <c r="O42" s="6"/>
      <c r="P42" s="6"/>
      <c r="Q42" s="6"/>
      <c r="R42" s="6"/>
      <c r="S42" s="6"/>
      <c r="T42" s="6"/>
      <c r="U42" s="6"/>
      <c r="V42" s="6"/>
      <c r="W42" s="6"/>
      <c r="X42" s="6"/>
      <c r="Y42" s="6"/>
      <c r="Z42" s="6"/>
    </row>
    <row r="43" spans="2:26" s="317" customFormat="true">
      <c r="B43" s="417" t="s">
        <v>783</v>
      </c>
      <c r="C43" s="366"/>
      <c r="D43" s="386" t="str">
        <f ca="true">IFERROR(AVERAGE(INDIRECT("G"&amp;ROW()&amp;":Z"&amp;ROW())),"")</f>
      </c>
      <c r="E43" s="378" t="str">
        <f ca="true">IF(C43&gt;0,IFERROR((C43-D43),""),"")</f>
      </c>
      <c r="F43" s="320" t="str">
        <f ca="true">IFERROR(E43/D43,"")</f>
      </c>
      <c r="G43" s="401"/>
      <c r="H43" s="401"/>
      <c r="I43" s="401"/>
      <c r="J43" s="401"/>
      <c r="K43" s="401">
        <v>2.6188524590163933</v>
      </c>
      <c r="L43" s="401"/>
      <c r="M43" s="401"/>
      <c r="N43" s="6"/>
      <c r="O43" s="6"/>
      <c r="P43" s="6"/>
      <c r="Q43" s="6"/>
      <c r="R43" s="6"/>
      <c r="S43" s="6"/>
      <c r="T43" s="6"/>
      <c r="U43" s="6"/>
      <c r="V43" s="6"/>
      <c r="W43" s="6"/>
      <c r="X43" s="6"/>
      <c r="Y43" s="6"/>
      <c r="Z43" s="6"/>
    </row>
    <row r="44" spans="2:26">
      <c r="B44" s="419" t="s">
        <v>828</v>
      </c>
      <c r="C44" s="368"/>
      <c r="D44" s="368"/>
      <c r="E44" s="349"/>
      <c r="F44" s="323"/>
      <c r="G44" s="403"/>
      <c r="H44" s="333"/>
      <c r="I44" s="307"/>
      <c r="J44" s="307"/>
      <c r="K44" s="307"/>
      <c r="L44" s="307"/>
      <c r="M44" s="307"/>
      <c r="N44" s="307"/>
      <c r="O44" s="307"/>
      <c r="P44" s="307"/>
      <c r="Q44" s="307"/>
      <c r="R44" s="307"/>
      <c r="S44" s="307"/>
      <c r="T44" s="307"/>
      <c r="U44" s="307"/>
      <c r="V44" s="307"/>
      <c r="W44" s="307"/>
      <c r="X44" s="307"/>
      <c r="Y44" s="307"/>
      <c r="Z44" s="307"/>
    </row>
    <row r="45" spans="2:26" s="139" customFormat="true">
      <c r="B45" s="416" t="s">
        <v>781</v>
      </c>
      <c r="C45" s="364">
        <v>1085.5</v>
      </c>
      <c r="D45" s="385" t="str">
        <f ca="true">IFERROR(AVERAGE(INDIRECT("G"&amp;ROW()&amp;":Z"&amp;ROW())),"")</f>
      </c>
      <c r="E45" s="377" t="str">
        <f ca="true">IF(C45&gt;0,IFERROR((C45-D45),""),"")</f>
      </c>
      <c r="F45" s="320" t="str">
        <f ca="true">IFERROR(E45/D45,"")</f>
      </c>
      <c r="G45" s="399"/>
      <c r="H45" s="399">
        <v>1324.375</v>
      </c>
      <c r="I45" s="399">
        <v>1117.5</v>
      </c>
      <c r="J45" s="399">
        <v>1300</v>
      </c>
      <c r="K45" s="399">
        <v>1651</v>
      </c>
      <c r="L45" s="399">
        <v>1264.2307692307693</v>
      </c>
      <c r="M45" s="399">
        <v>1259</v>
      </c>
      <c r="N45" s="5"/>
      <c r="O45" s="5"/>
      <c r="P45" s="5"/>
      <c r="Q45" s="5"/>
      <c r="R45" s="5"/>
      <c r="S45" s="5"/>
      <c r="T45" s="5"/>
      <c r="U45" s="5"/>
      <c r="V45" s="5"/>
      <c r="W45" s="5"/>
      <c r="X45" s="5"/>
      <c r="Y45" s="5"/>
      <c r="Z45" s="5"/>
    </row>
    <row r="46" spans="2:26" s="139" customFormat="true">
      <c r="B46" s="416" t="s">
        <v>782</v>
      </c>
      <c r="C46" s="364">
        <v>1085.5</v>
      </c>
      <c r="D46" s="385" t="str">
        <f ca="true">IFERROR(AVERAGE(INDIRECT("G"&amp;ROW()&amp;":Z"&amp;ROW())),"")</f>
      </c>
      <c r="E46" s="377" t="str">
        <f ca="true">IF(C46&gt;0,IFERROR((C46-D46),""),"")</f>
      </c>
      <c r="F46" s="320" t="str">
        <f ca="true">IFERROR(E46/D46,"")</f>
      </c>
      <c r="G46" s="399"/>
      <c r="H46" s="399">
        <v>1331.25</v>
      </c>
      <c r="I46" s="399">
        <v>1117.5</v>
      </c>
      <c r="J46" s="399">
        <v>1300</v>
      </c>
      <c r="K46" s="399">
        <v>1651</v>
      </c>
      <c r="L46" s="399">
        <v>1261.5625</v>
      </c>
      <c r="M46" s="399">
        <v>1322.3333333333333</v>
      </c>
      <c r="N46" s="5"/>
      <c r="O46" s="5"/>
      <c r="P46" s="5"/>
      <c r="Q46" s="5"/>
      <c r="R46" s="5"/>
      <c r="S46" s="5"/>
      <c r="T46" s="5"/>
      <c r="U46" s="5"/>
      <c r="V46" s="5"/>
      <c r="W46" s="5"/>
      <c r="X46" s="5"/>
      <c r="Y46" s="5"/>
      <c r="Z46" s="5"/>
    </row>
    <row r="47" spans="2:26" s="139" customFormat="true">
      <c r="B47" s="416" t="s">
        <v>783</v>
      </c>
      <c r="C47" s="364">
        <v>1085.5</v>
      </c>
      <c r="D47" s="385" t="str">
        <f ca="true">IFERROR(AVERAGE(INDIRECT("G"&amp;ROW()&amp;":Z"&amp;ROW())),"")</f>
      </c>
      <c r="E47" s="377" t="str">
        <f ca="true">IF(C47&gt;0,IFERROR((C47-D47),""),"")</f>
      </c>
      <c r="F47" s="320" t="str">
        <f ca="true">IFERROR(E47/D47,"")</f>
      </c>
      <c r="G47" s="399"/>
      <c r="H47" s="399">
        <v>1336.5853658536585</v>
      </c>
      <c r="I47" s="399">
        <v>1117.5</v>
      </c>
      <c r="J47" s="399">
        <v>1300.8152173913043</v>
      </c>
      <c r="K47" s="399">
        <v>1650.6923076923076</v>
      </c>
      <c r="L47" s="399">
        <v>1258.409090909091</v>
      </c>
      <c r="M47" s="399">
        <v>1322.3333333333333</v>
      </c>
      <c r="N47" s="5"/>
      <c r="O47" s="5"/>
      <c r="P47" s="5"/>
      <c r="Q47" s="5"/>
      <c r="R47" s="5"/>
      <c r="S47" s="5"/>
      <c r="T47" s="5"/>
      <c r="U47" s="5"/>
      <c r="V47" s="5"/>
      <c r="W47" s="5"/>
      <c r="X47" s="5"/>
      <c r="Y47" s="5"/>
      <c r="Z47" s="5"/>
    </row>
    <row r="48" spans="2:26">
      <c r="B48" s="419" t="s">
        <v>829</v>
      </c>
      <c r="C48" s="369"/>
      <c r="D48" s="369"/>
      <c r="E48" s="350"/>
      <c r="F48" s="324"/>
      <c r="G48" s="404"/>
      <c r="H48" s="334"/>
      <c r="I48" s="308"/>
      <c r="J48" s="308"/>
      <c r="K48" s="308"/>
      <c r="L48" s="308"/>
      <c r="M48" s="308"/>
      <c r="N48" s="308"/>
      <c r="O48" s="308"/>
      <c r="P48" s="308"/>
      <c r="Q48" s="308"/>
      <c r="R48" s="308"/>
      <c r="S48" s="308"/>
      <c r="T48" s="308"/>
      <c r="U48" s="308"/>
      <c r="V48" s="308"/>
      <c r="W48" s="308"/>
      <c r="X48" s="308"/>
      <c r="Y48" s="308"/>
      <c r="Z48" s="308"/>
    </row>
    <row r="49" spans="2:26" s="139" customFormat="true">
      <c r="B49" s="416" t="s">
        <v>781</v>
      </c>
      <c r="C49" s="364">
        <v>1085.5</v>
      </c>
      <c r="D49" s="385" t="str">
        <f ca="true">IFERROR(AVERAGE(INDIRECT("G"&amp;ROW()&amp;":Z"&amp;ROW())),"")</f>
      </c>
      <c r="E49" s="377" t="str">
        <f ca="true">IF(C49&gt;0,IFERROR((C49-D49),""),"")</f>
      </c>
      <c r="F49" s="320" t="str">
        <f ca="true">IFERROR(E49/D49,"")</f>
      </c>
      <c r="G49" s="399"/>
      <c r="H49" s="399">
        <v>1324.375</v>
      </c>
      <c r="I49" s="399">
        <v>1117.5</v>
      </c>
      <c r="J49" s="399">
        <v>1300</v>
      </c>
      <c r="K49" s="399">
        <v>1651</v>
      </c>
      <c r="L49" s="399">
        <v>1264.2307692307693</v>
      </c>
      <c r="M49" s="399">
        <v>1259</v>
      </c>
      <c r="N49" s="5"/>
      <c r="O49" s="5"/>
      <c r="P49" s="5"/>
      <c r="Q49" s="5"/>
      <c r="R49" s="5"/>
      <c r="S49" s="5"/>
      <c r="T49" s="5"/>
      <c r="U49" s="5"/>
      <c r="V49" s="5"/>
      <c r="W49" s="5"/>
      <c r="X49" s="5"/>
      <c r="Y49" s="5"/>
      <c r="Z49" s="5"/>
    </row>
    <row r="50" spans="2:26" s="139" customFormat="true">
      <c r="B50" s="416" t="s">
        <v>782</v>
      </c>
      <c r="C50" s="364">
        <v>1085.5</v>
      </c>
      <c r="D50" s="385" t="str">
        <f ca="true">IFERROR(AVERAGE(INDIRECT("G"&amp;ROW()&amp;":Z"&amp;ROW())),"")</f>
      </c>
      <c r="E50" s="377" t="str">
        <f ca="true">IF(C50&gt;0,IFERROR((C50-D50),""),"")</f>
      </c>
      <c r="F50" s="320" t="str">
        <f ca="true">IFERROR(E50/D50,"")</f>
      </c>
      <c r="G50" s="399"/>
      <c r="H50" s="399">
        <v>1331.25</v>
      </c>
      <c r="I50" s="399">
        <v>1117.5</v>
      </c>
      <c r="J50" s="399">
        <v>1300</v>
      </c>
      <c r="K50" s="399">
        <v>1651</v>
      </c>
      <c r="L50" s="399">
        <v>1261.5625</v>
      </c>
      <c r="M50" s="399">
        <v>1283.3333333333333</v>
      </c>
      <c r="N50" s="5"/>
      <c r="O50" s="5"/>
      <c r="P50" s="5"/>
      <c r="Q50" s="5"/>
      <c r="R50" s="5"/>
      <c r="S50" s="5"/>
      <c r="T50" s="5"/>
      <c r="U50" s="5"/>
      <c r="V50" s="5"/>
      <c r="W50" s="5"/>
      <c r="X50" s="5"/>
      <c r="Y50" s="5"/>
      <c r="Z50" s="5"/>
    </row>
    <row r="51" spans="2:26" s="139" customFormat="true">
      <c r="B51" s="416" t="s">
        <v>783</v>
      </c>
      <c r="C51" s="364">
        <v>1085.5</v>
      </c>
      <c r="D51" s="385" t="str">
        <f ca="true">IFERROR(AVERAGE(INDIRECT("G"&amp;ROW()&amp;":Z"&amp;ROW())),"")</f>
      </c>
      <c r="E51" s="377" t="str">
        <f ca="true">IF(C51&gt;0,IFERROR((C51-D51),""),"")</f>
      </c>
      <c r="F51" s="320" t="str">
        <f ca="true">IFERROR(E51/D51,"")</f>
      </c>
      <c r="G51" s="399"/>
      <c r="H51" s="399">
        <v>1336.5853658536585</v>
      </c>
      <c r="I51" s="399">
        <v>1117.5</v>
      </c>
      <c r="J51" s="399">
        <v>1300.8152173913043</v>
      </c>
      <c r="K51" s="399">
        <v>1650.6923076923076</v>
      </c>
      <c r="L51" s="399">
        <v>1258.409090909091</v>
      </c>
      <c r="M51" s="399">
        <v>1283.3333333333333</v>
      </c>
      <c r="N51" s="5"/>
      <c r="O51" s="5"/>
      <c r="P51" s="5"/>
      <c r="Q51" s="5"/>
      <c r="R51" s="5"/>
      <c r="S51" s="5"/>
      <c r="T51" s="5"/>
      <c r="U51" s="5"/>
      <c r="V51" s="5"/>
      <c r="W51" s="5"/>
      <c r="X51" s="5"/>
      <c r="Y51" s="5"/>
      <c r="Z51" s="5"/>
    </row>
    <row r="52" spans="2:26" s="139" customFormat="true">
      <c r="B52" s="419" t="s">
        <v>872</v>
      </c>
      <c r="C52" s="368"/>
      <c r="D52" s="368"/>
      <c r="E52" s="349"/>
      <c r="F52" s="323"/>
      <c r="G52" s="403"/>
      <c r="H52" s="333"/>
      <c r="I52" s="307"/>
      <c r="J52" s="307"/>
      <c r="K52" s="307"/>
      <c r="L52" s="307"/>
      <c r="M52" s="307"/>
      <c r="N52" s="307"/>
      <c r="O52" s="307"/>
      <c r="P52" s="307"/>
      <c r="Q52" s="307"/>
      <c r="R52" s="307"/>
      <c r="S52" s="307"/>
      <c r="T52" s="307"/>
      <c r="U52" s="307"/>
      <c r="V52" s="307"/>
      <c r="W52" s="307"/>
      <c r="X52" s="307"/>
      <c r="Y52" s="307"/>
      <c r="Z52" s="307"/>
    </row>
    <row r="53" spans="2:26" s="139" customFormat="true">
      <c r="B53" s="417" t="s">
        <v>781</v>
      </c>
      <c r="C53" s="366">
        <v>1.8460884353741496</v>
      </c>
      <c r="D53" s="386" t="str">
        <f ca="true">IFERROR(AVERAGE(INDIRECT("G"&amp;ROW()&amp;":Z"&amp;ROW())),"")</f>
      </c>
      <c r="E53" s="378" t="str">
        <f ca="true">IF(C53&gt;0,IFERROR((C53-D53),""),"")</f>
      </c>
      <c r="F53" s="320" t="str">
        <f ca="true">IFERROR(E53/D53,"")</f>
      </c>
      <c r="G53" s="401"/>
      <c r="H53" s="401">
        <v>1.7541265680855287</v>
      </c>
      <c r="I53" s="401">
        <v>1.8624999999999998</v>
      </c>
      <c r="J53" s="401">
        <v>2.290829082908291</v>
      </c>
      <c r="K53" s="401">
        <v>1.782937365010799</v>
      </c>
      <c r="L53" s="401">
        <v>2.106410256410257</v>
      </c>
      <c r="M53" s="401">
        <v>2.289090909090909</v>
      </c>
      <c r="N53" s="6"/>
      <c r="O53" s="6"/>
      <c r="P53" s="6"/>
      <c r="Q53" s="6"/>
      <c r="R53" s="6"/>
      <c r="S53" s="6"/>
      <c r="T53" s="6"/>
      <c r="U53" s="6"/>
      <c r="V53" s="6"/>
      <c r="W53" s="6"/>
      <c r="X53" s="6"/>
      <c r="Y53" s="6"/>
      <c r="Z53" s="6"/>
    </row>
    <row r="54" spans="2:26" s="139" customFormat="true">
      <c r="B54" s="417" t="s">
        <v>782</v>
      </c>
      <c r="C54" s="366">
        <v>1.8460884353741496</v>
      </c>
      <c r="D54" s="386" t="str">
        <f ca="true">IFERROR(AVERAGE(INDIRECT("G"&amp;ROW()&amp;":Z"&amp;ROW())),"")</f>
      </c>
      <c r="E54" s="378" t="str">
        <f ca="true">IF(C54&gt;0,IFERROR((C54-D54),""),"")</f>
      </c>
      <c r="F54" s="320" t="str">
        <f ca="true">IFERROR(E54/D54,"")</f>
      </c>
      <c r="G54" s="401"/>
      <c r="H54" s="401">
        <v>1.7509888454918574</v>
      </c>
      <c r="I54" s="401">
        <v>1.8624999999999998</v>
      </c>
      <c r="J54" s="401">
        <v>2.272627262726273</v>
      </c>
      <c r="K54" s="401">
        <v>1.782937365010799</v>
      </c>
      <c r="L54" s="401">
        <v>2.1020833333333333</v>
      </c>
      <c r="M54" s="401">
        <v>2.4042424242424243</v>
      </c>
      <c r="N54" s="6"/>
      <c r="O54" s="6"/>
      <c r="P54" s="6"/>
      <c r="Q54" s="6"/>
      <c r="R54" s="6"/>
      <c r="S54" s="6"/>
      <c r="T54" s="6"/>
      <c r="U54" s="6"/>
      <c r="V54" s="6"/>
      <c r="W54" s="6"/>
      <c r="X54" s="6"/>
      <c r="Y54" s="6"/>
      <c r="Z54" s="6"/>
    </row>
    <row r="55" spans="2:26" s="139" customFormat="true">
      <c r="B55" s="417" t="s">
        <v>783</v>
      </c>
      <c r="C55" s="366">
        <v>1.8460884353741496</v>
      </c>
      <c r="D55" s="386" t="str">
        <f ca="true">IFERROR(AVERAGE(INDIRECT("G"&amp;ROW()&amp;":Z"&amp;ROW())),"")</f>
      </c>
      <c r="E55" s="378" t="str">
        <f ca="true">IF(C55&gt;0,IFERROR((C55-D55),""),"")</f>
      </c>
      <c r="F55" s="320" t="str">
        <f ca="true">IFERROR(E55/D55,"")</f>
      </c>
      <c r="G55" s="401"/>
      <c r="H55" s="401">
        <v>1.756197262919273</v>
      </c>
      <c r="I55" s="401">
        <v>1.8624999999999998</v>
      </c>
      <c r="J55" s="401">
        <v>2.292570017871356</v>
      </c>
      <c r="K55" s="401">
        <v>1.78260508390098</v>
      </c>
      <c r="L55" s="401">
        <v>2.0817541162150035</v>
      </c>
      <c r="M55" s="401">
        <v>2.4042424242424243</v>
      </c>
      <c r="N55" s="6"/>
      <c r="O55" s="6"/>
      <c r="P55" s="6"/>
      <c r="Q55" s="6"/>
      <c r="R55" s="6"/>
      <c r="S55" s="6"/>
      <c r="T55" s="6"/>
      <c r="U55" s="6"/>
      <c r="V55" s="6"/>
      <c r="W55" s="6"/>
      <c r="X55" s="6"/>
      <c r="Y55" s="6"/>
      <c r="Z55" s="6"/>
    </row>
    <row r="56" spans="2:26" s="139" customFormat="true">
      <c r="B56" s="419" t="s">
        <v>873</v>
      </c>
      <c r="C56" s="368"/>
      <c r="D56" s="368"/>
      <c r="E56" s="349"/>
      <c r="F56" s="323"/>
      <c r="G56" s="403"/>
      <c r="H56" s="333"/>
      <c r="I56" s="307"/>
      <c r="J56" s="307"/>
      <c r="K56" s="307"/>
      <c r="L56" s="307"/>
      <c r="M56" s="307"/>
      <c r="N56" s="307"/>
      <c r="O56" s="307"/>
      <c r="P56" s="307"/>
      <c r="Q56" s="307"/>
      <c r="R56" s="307"/>
      <c r="S56" s="307"/>
      <c r="T56" s="307"/>
      <c r="U56" s="307"/>
      <c r="V56" s="307"/>
      <c r="W56" s="307"/>
      <c r="X56" s="307"/>
      <c r="Y56" s="307"/>
      <c r="Z56" s="307"/>
    </row>
    <row r="57" spans="2:26" s="139" customFormat="true">
      <c r="B57" s="417" t="s">
        <v>781</v>
      </c>
      <c r="C57" s="366">
        <v>1.8460884353741496</v>
      </c>
      <c r="D57" s="386" t="str">
        <f ca="true">IFERROR(AVERAGE(INDIRECT("G"&amp;ROW()&amp;":Z"&amp;ROW())),"")</f>
      </c>
      <c r="E57" s="378" t="str">
        <f ca="true">IF(C57&gt;0,IFERROR((C57-D57),""),"")</f>
      </c>
      <c r="F57" s="320" t="str">
        <f ca="true">IFERROR(E57/D57,"")</f>
      </c>
      <c r="G57" s="401"/>
      <c r="H57" s="401">
        <v>1.7541265680855287</v>
      </c>
      <c r="I57" s="401">
        <v>1.8624999999999998</v>
      </c>
      <c r="J57" s="401">
        <v>2.290829082908291</v>
      </c>
      <c r="K57" s="401">
        <v>1.782937365010799</v>
      </c>
      <c r="L57" s="401">
        <v>2.106410256410257</v>
      </c>
      <c r="M57" s="401">
        <v>2.289090909090909</v>
      </c>
      <c r="N57" s="6"/>
      <c r="O57" s="6"/>
      <c r="P57" s="6"/>
      <c r="Q57" s="6"/>
      <c r="R57" s="6"/>
      <c r="S57" s="6"/>
      <c r="T57" s="6"/>
      <c r="U57" s="6"/>
      <c r="V57" s="6"/>
      <c r="W57" s="6"/>
      <c r="X57" s="6"/>
      <c r="Y57" s="6"/>
      <c r="Z57" s="6"/>
    </row>
    <row r="58" spans="2:26" s="139" customFormat="true">
      <c r="B58" s="417" t="s">
        <v>782</v>
      </c>
      <c r="C58" s="366">
        <v>1.8460884353741496</v>
      </c>
      <c r="D58" s="386" t="str">
        <f ca="true">IFERROR(AVERAGE(INDIRECT("G"&amp;ROW()&amp;":Z"&amp;ROW())),"")</f>
      </c>
      <c r="E58" s="378" t="str">
        <f ca="true">IF(C58&gt;0,IFERROR((C58-D58),""),"")</f>
      </c>
      <c r="F58" s="320" t="str">
        <f ca="true">IFERROR(E58/D58,"")</f>
      </c>
      <c r="G58" s="401"/>
      <c r="H58" s="401">
        <v>1.7509888454918574</v>
      </c>
      <c r="I58" s="401">
        <v>1.8624999999999998</v>
      </c>
      <c r="J58" s="401">
        <v>2.272627262726273</v>
      </c>
      <c r="K58" s="401">
        <v>1.782937365010799</v>
      </c>
      <c r="L58" s="401">
        <v>2.1020833333333333</v>
      </c>
      <c r="M58" s="401">
        <v>2.3333333333333335</v>
      </c>
      <c r="N58" s="6"/>
      <c r="O58" s="6"/>
      <c r="P58" s="6"/>
      <c r="Q58" s="6"/>
      <c r="R58" s="6"/>
      <c r="S58" s="6"/>
      <c r="T58" s="6"/>
      <c r="U58" s="6"/>
      <c r="V58" s="6"/>
      <c r="W58" s="6"/>
      <c r="X58" s="6"/>
      <c r="Y58" s="6"/>
      <c r="Z58" s="6"/>
    </row>
    <row r="59" spans="2:26" s="139" customFormat="true">
      <c r="B59" s="417" t="s">
        <v>783</v>
      </c>
      <c r="C59" s="366">
        <v>1.8460884353741496</v>
      </c>
      <c r="D59" s="386" t="str">
        <f ca="true">IFERROR(AVERAGE(INDIRECT("G"&amp;ROW()&amp;":Z"&amp;ROW())),"")</f>
      </c>
      <c r="E59" s="378" t="str">
        <f ca="true">IF(C59&gt;0,IFERROR((C59-D59),""),"")</f>
      </c>
      <c r="F59" s="320" t="str">
        <f ca="true">IFERROR(E59/D59,"")</f>
      </c>
      <c r="G59" s="401"/>
      <c r="H59" s="401">
        <v>1.756197262919273</v>
      </c>
      <c r="I59" s="401">
        <v>1.8624999999999998</v>
      </c>
      <c r="J59" s="401">
        <v>2.292570017871356</v>
      </c>
      <c r="K59" s="401">
        <v>1.78260508390098</v>
      </c>
      <c r="L59" s="401">
        <v>2.0817541162150035</v>
      </c>
      <c r="M59" s="401">
        <v>2.3333333333333335</v>
      </c>
      <c r="N59" s="6"/>
      <c r="O59" s="6"/>
      <c r="P59" s="6"/>
      <c r="Q59" s="6"/>
      <c r="R59" s="6"/>
      <c r="S59" s="6"/>
      <c r="T59" s="6"/>
      <c r="U59" s="6"/>
      <c r="V59" s="6"/>
      <c r="W59" s="6"/>
      <c r="X59" s="6"/>
      <c r="Y59" s="6"/>
      <c r="Z59" s="6"/>
    </row>
    <row r="60" spans="2:26">
      <c r="B60" s="420" t="s">
        <v>830</v>
      </c>
      <c r="C60" s="370"/>
      <c r="D60" s="370"/>
      <c r="E60" s="351"/>
      <c r="F60" s="325"/>
      <c r="G60" s="405"/>
      <c r="H60" s="335"/>
      <c r="I60" s="309"/>
      <c r="J60" s="309"/>
      <c r="K60" s="309"/>
      <c r="L60" s="309"/>
      <c r="M60" s="309"/>
      <c r="N60" s="309"/>
      <c r="O60" s="309"/>
      <c r="P60" s="309"/>
      <c r="Q60" s="309"/>
      <c r="R60" s="309"/>
      <c r="S60" s="309"/>
      <c r="T60" s="309"/>
      <c r="U60" s="309"/>
      <c r="V60" s="309"/>
      <c r="W60" s="309"/>
      <c r="X60" s="309"/>
      <c r="Y60" s="309"/>
      <c r="Z60" s="309"/>
    </row>
    <row r="61" spans="2:26" s="139" customFormat="true">
      <c r="B61" s="416" t="s">
        <v>781</v>
      </c>
      <c r="C61" s="364"/>
      <c r="D61" s="385" t="str">
        <f ca="true">IFERROR(AVERAGE(INDIRECT("G"&amp;ROW()&amp;":Z"&amp;ROW())),"")</f>
      </c>
      <c r="E61" s="377" t="str">
        <f ca="true">IF(C61&gt;0,IFERROR((C61-D61),""),"")</f>
      </c>
      <c r="F61" s="320" t="str">
        <f ca="true">IFERROR(E61/D61,"")</f>
      </c>
      <c r="G61" s="399"/>
      <c r="H61" s="399">
        <v>1344.6</v>
      </c>
      <c r="I61" s="399"/>
      <c r="J61" s="399">
        <v>1601.5625</v>
      </c>
      <c r="K61" s="399">
        <v>1896.6666666666667</v>
      </c>
      <c r="L61" s="399">
        <v>1425</v>
      </c>
      <c r="M61" s="399">
        <v>1434.3125</v>
      </c>
      <c r="N61" s="5"/>
      <c r="O61" s="5"/>
      <c r="P61" s="5"/>
      <c r="Q61" s="5"/>
      <c r="R61" s="5"/>
      <c r="S61" s="5"/>
      <c r="T61" s="5"/>
      <c r="U61" s="5"/>
      <c r="V61" s="5"/>
      <c r="W61" s="5"/>
      <c r="X61" s="5"/>
      <c r="Y61" s="5"/>
      <c r="Z61" s="5"/>
    </row>
    <row r="62" spans="2:26" s="139" customFormat="true">
      <c r="B62" s="416" t="s">
        <v>782</v>
      </c>
      <c r="C62" s="364"/>
      <c r="D62" s="385" t="str">
        <f ca="true">IFERROR(AVERAGE(INDIRECT("G"&amp;ROW()&amp;":Z"&amp;ROW())),"")</f>
      </c>
      <c r="E62" s="377" t="str">
        <f ca="true">IF(C62&gt;0,IFERROR((C62-D62),""),"")</f>
      </c>
      <c r="F62" s="320" t="str">
        <f ca="true">IFERROR(E62/D62,"")</f>
      </c>
      <c r="G62" s="399"/>
      <c r="H62" s="399">
        <v>1360.9375</v>
      </c>
      <c r="I62" s="399"/>
      <c r="J62" s="399">
        <v>1601.2820512820513</v>
      </c>
      <c r="K62" s="399">
        <v>1864.7857142857142</v>
      </c>
      <c r="L62" s="399">
        <v>1434.2105263157894</v>
      </c>
      <c r="M62" s="399">
        <v>1414.4545454545455</v>
      </c>
      <c r="N62" s="5"/>
      <c r="O62" s="5"/>
      <c r="P62" s="5"/>
      <c r="Q62" s="5"/>
      <c r="R62" s="5"/>
      <c r="S62" s="5"/>
      <c r="T62" s="5"/>
      <c r="U62" s="5"/>
      <c r="V62" s="5"/>
      <c r="W62" s="5"/>
      <c r="X62" s="5"/>
      <c r="Y62" s="5"/>
      <c r="Z62" s="5"/>
    </row>
    <row r="63" spans="2:26" s="139" customFormat="true">
      <c r="B63" s="416" t="s">
        <v>783</v>
      </c>
      <c r="C63" s="364"/>
      <c r="D63" s="385" t="str">
        <f ca="true">IFERROR(AVERAGE(INDIRECT("G"&amp;ROW()&amp;":Z"&amp;ROW())),"")</f>
      </c>
      <c r="E63" s="377" t="str">
        <f ca="true">IF(C63&gt;0,IFERROR((C63-D63),""),"")</f>
      </c>
      <c r="F63" s="320" t="str">
        <f ca="true">IFERROR(E63/D63,"")</f>
      </c>
      <c r="G63" s="399"/>
      <c r="H63" s="399">
        <v>1365.921052631579</v>
      </c>
      <c r="I63" s="399"/>
      <c r="J63" s="399">
        <v>1600.909090909091</v>
      </c>
      <c r="K63" s="399">
        <v>1843.0625</v>
      </c>
      <c r="L63" s="399">
        <v>1424</v>
      </c>
      <c r="M63" s="399">
        <v>1416.7586206896551</v>
      </c>
      <c r="N63" s="5"/>
      <c r="O63" s="5"/>
      <c r="P63" s="5"/>
      <c r="Q63" s="5"/>
      <c r="R63" s="5"/>
      <c r="S63" s="5"/>
      <c r="T63" s="5"/>
      <c r="U63" s="5"/>
      <c r="V63" s="5"/>
      <c r="W63" s="5"/>
      <c r="X63" s="5"/>
      <c r="Y63" s="5"/>
      <c r="Z63" s="5"/>
    </row>
    <row r="64" spans="2:26">
      <c r="B64" s="420" t="s">
        <v>831</v>
      </c>
      <c r="C64" s="371"/>
      <c r="D64" s="371"/>
      <c r="E64" s="352"/>
      <c r="F64" s="326"/>
      <c r="G64" s="406"/>
      <c r="H64" s="336"/>
      <c r="I64" s="310"/>
      <c r="J64" s="310"/>
      <c r="K64" s="310"/>
      <c r="L64" s="310"/>
      <c r="M64" s="310"/>
      <c r="N64" s="310"/>
      <c r="O64" s="310"/>
      <c r="P64" s="310"/>
      <c r="Q64" s="310"/>
      <c r="R64" s="310"/>
      <c r="S64" s="310"/>
      <c r="T64" s="310"/>
      <c r="U64" s="310"/>
      <c r="V64" s="310"/>
      <c r="W64" s="310"/>
      <c r="X64" s="310"/>
      <c r="Y64" s="310"/>
      <c r="Z64" s="310"/>
    </row>
    <row r="65" spans="2:26" s="139" customFormat="true">
      <c r="B65" s="416" t="s">
        <v>781</v>
      </c>
      <c r="C65" s="364"/>
      <c r="D65" s="385" t="str">
        <f ca="true">IFERROR(AVERAGE(INDIRECT("G"&amp;ROW()&amp;":Z"&amp;ROW())),"")</f>
      </c>
      <c r="E65" s="377" t="str">
        <f ca="true">IF(C65&gt;0,IFERROR((C65-D65),""),"")</f>
      </c>
      <c r="F65" s="320" t="str">
        <f ca="true">IFERROR(E65/D65,"")</f>
      </c>
      <c r="G65" s="399"/>
      <c r="H65" s="399">
        <v>1344.6</v>
      </c>
      <c r="I65" s="399"/>
      <c r="J65" s="399">
        <v>1601.5625</v>
      </c>
      <c r="K65" s="399">
        <v>1896.6666666666667</v>
      </c>
      <c r="L65" s="399">
        <v>1425</v>
      </c>
      <c r="M65" s="399">
        <v>1322.0625</v>
      </c>
      <c r="N65" s="5"/>
      <c r="O65" s="5"/>
      <c r="P65" s="5"/>
      <c r="Q65" s="5"/>
      <c r="R65" s="5"/>
      <c r="S65" s="5"/>
      <c r="T65" s="5"/>
      <c r="U65" s="5"/>
      <c r="V65" s="5"/>
      <c r="W65" s="5"/>
      <c r="X65" s="5"/>
      <c r="Y65" s="5"/>
      <c r="Z65" s="5"/>
    </row>
    <row r="66" spans="2:26" s="139" customFormat="true">
      <c r="B66" s="416" t="s">
        <v>782</v>
      </c>
      <c r="C66" s="364"/>
      <c r="D66" s="385" t="str">
        <f ca="true">IFERROR(AVERAGE(INDIRECT("G"&amp;ROW()&amp;":Z"&amp;ROW())),"")</f>
      </c>
      <c r="E66" s="377" t="str">
        <f ca="true">IF(C66&gt;0,IFERROR((C66-D66),""),"")</f>
      </c>
      <c r="F66" s="320" t="str">
        <f ca="true">IFERROR(E66/D66,"")</f>
      </c>
      <c r="G66" s="399"/>
      <c r="H66" s="399">
        <v>1360.9375</v>
      </c>
      <c r="I66" s="399"/>
      <c r="J66" s="399">
        <v>1601.2820512820513</v>
      </c>
      <c r="K66" s="399">
        <v>1864.7857142857142</v>
      </c>
      <c r="L66" s="399">
        <v>1434.2105263157894</v>
      </c>
      <c r="M66" s="399">
        <v>1317.6363636363637</v>
      </c>
      <c r="N66" s="5"/>
      <c r="O66" s="5"/>
      <c r="P66" s="5"/>
      <c r="Q66" s="5"/>
      <c r="R66" s="5"/>
      <c r="S66" s="5"/>
      <c r="T66" s="5"/>
      <c r="U66" s="5"/>
      <c r="V66" s="5"/>
      <c r="W66" s="5"/>
      <c r="X66" s="5"/>
      <c r="Y66" s="5"/>
      <c r="Z66" s="5"/>
    </row>
    <row r="67" spans="2:26" s="139" customFormat="true">
      <c r="B67" s="416" t="s">
        <v>783</v>
      </c>
      <c r="C67" s="364"/>
      <c r="D67" s="385" t="str">
        <f ca="true">IFERROR(AVERAGE(INDIRECT("G"&amp;ROW()&amp;":Z"&amp;ROW())),"")</f>
      </c>
      <c r="E67" s="377" t="str">
        <f ca="true">IF(C67&gt;0,IFERROR((C67-D67),""),"")</f>
      </c>
      <c r="F67" s="320" t="str">
        <f ca="true">IFERROR(E67/D67,"")</f>
      </c>
      <c r="G67" s="399"/>
      <c r="H67" s="399">
        <v>1365.921052631579</v>
      </c>
      <c r="I67" s="399"/>
      <c r="J67" s="399">
        <v>1600.909090909091</v>
      </c>
      <c r="K67" s="399">
        <v>1843.0625</v>
      </c>
      <c r="L67" s="399">
        <v>1424</v>
      </c>
      <c r="M67" s="399">
        <v>1343.3103448275863</v>
      </c>
      <c r="N67" s="5"/>
      <c r="O67" s="5"/>
      <c r="P67" s="5"/>
      <c r="Q67" s="5"/>
      <c r="R67" s="5"/>
      <c r="S67" s="5"/>
      <c r="T67" s="5"/>
      <c r="U67" s="5"/>
      <c r="V67" s="5"/>
      <c r="W67" s="5"/>
      <c r="X67" s="5"/>
      <c r="Y67" s="5"/>
      <c r="Z67" s="5"/>
    </row>
    <row r="68" spans="2:26" s="139" customFormat="true">
      <c r="B68" s="420" t="s">
        <v>886</v>
      </c>
      <c r="C68" s="370"/>
      <c r="D68" s="370"/>
      <c r="E68" s="351"/>
      <c r="F68" s="325"/>
      <c r="G68" s="405"/>
      <c r="H68" s="335"/>
      <c r="I68" s="309"/>
      <c r="J68" s="309"/>
      <c r="K68" s="309"/>
      <c r="L68" s="309"/>
      <c r="M68" s="309"/>
      <c r="N68" s="309"/>
      <c r="O68" s="309"/>
      <c r="P68" s="309"/>
      <c r="Q68" s="309"/>
      <c r="R68" s="309"/>
      <c r="S68" s="309"/>
      <c r="T68" s="309"/>
      <c r="U68" s="309"/>
      <c r="V68" s="309"/>
      <c r="W68" s="309"/>
      <c r="X68" s="309"/>
      <c r="Y68" s="309"/>
      <c r="Z68" s="309"/>
    </row>
    <row r="69" spans="2:26" s="139" customFormat="true">
      <c r="B69" s="417" t="s">
        <v>781</v>
      </c>
      <c r="C69" s="366"/>
      <c r="D69" s="386" t="str">
        <f ca="true">IFERROR(AVERAGE(INDIRECT("G"&amp;ROW()&amp;":Z"&amp;ROW())),"")</f>
      </c>
      <c r="E69" s="378" t="str">
        <f ca="true">IF(C69&gt;0,IFERROR((C69-D69),""),"")</f>
      </c>
      <c r="F69" s="320" t="str">
        <f ca="true">IFERROR(E69/D69,"")</f>
      </c>
      <c r="G69" s="401"/>
      <c r="H69" s="401">
        <v>1.3790769230769222</v>
      </c>
      <c r="I69" s="401"/>
      <c r="J69" s="401">
        <v>1.9206912631483102</v>
      </c>
      <c r="K69" s="401">
        <v>1.4708319134663632</v>
      </c>
      <c r="L69" s="401">
        <v>1.8999999999999995</v>
      </c>
      <c r="M69" s="401">
        <v>2.276686507936508</v>
      </c>
      <c r="N69" s="6"/>
      <c r="O69" s="6"/>
      <c r="P69" s="6"/>
      <c r="Q69" s="6"/>
      <c r="R69" s="6"/>
      <c r="S69" s="6"/>
      <c r="T69" s="6"/>
      <c r="U69" s="6"/>
      <c r="V69" s="6"/>
      <c r="W69" s="6"/>
      <c r="X69" s="6"/>
      <c r="Y69" s="6"/>
      <c r="Z69" s="6"/>
    </row>
    <row r="70" spans="2:26" s="139" customFormat="true">
      <c r="B70" s="417" t="s">
        <v>782</v>
      </c>
      <c r="C70" s="366"/>
      <c r="D70" s="386" t="str">
        <f ca="true">IFERROR(AVERAGE(INDIRECT("G"&amp;ROW()&amp;":Z"&amp;ROW())),"")</f>
      </c>
      <c r="E70" s="378" t="str">
        <f ca="true">IF(C70&gt;0,IFERROR((C70-D70),""),"")</f>
      </c>
      <c r="F70" s="320" t="str">
        <f ca="true">IFERROR(E70/D70,"")</f>
      </c>
      <c r="G70" s="401"/>
      <c r="H70" s="401">
        <v>1.395833333333333</v>
      </c>
      <c r="I70" s="401"/>
      <c r="J70" s="401">
        <v>1.9190575251099584</v>
      </c>
      <c r="K70" s="401">
        <v>1.449448562883133</v>
      </c>
      <c r="L70" s="401">
        <v>1.9122807017543857</v>
      </c>
      <c r="M70" s="401">
        <v>2.2451659451659447</v>
      </c>
      <c r="N70" s="6"/>
      <c r="O70" s="6"/>
      <c r="P70" s="6"/>
      <c r="Q70" s="6"/>
      <c r="R70" s="6"/>
      <c r="S70" s="6"/>
      <c r="T70" s="6"/>
      <c r="U70" s="6"/>
      <c r="V70" s="6"/>
      <c r="W70" s="6"/>
      <c r="X70" s="6"/>
      <c r="Y70" s="6"/>
      <c r="Z70" s="6"/>
    </row>
    <row r="71" spans="2:26" s="139" customFormat="true">
      <c r="B71" s="417" t="s">
        <v>783</v>
      </c>
      <c r="C71" s="366"/>
      <c r="D71" s="386" t="str">
        <f ca="true">IFERROR(AVERAGE(INDIRECT("G"&amp;ROW()&amp;":Z"&amp;ROW())),"")</f>
      </c>
      <c r="E71" s="378" t="str">
        <f ca="true">IF(C71&gt;0,IFERROR((C71-D71),""),"")</f>
      </c>
      <c r="F71" s="320" t="str">
        <f ca="true">IFERROR(E71/D71,"")</f>
      </c>
      <c r="G71" s="401"/>
      <c r="H71" s="401">
        <v>1.4009446693657217</v>
      </c>
      <c r="I71" s="401"/>
      <c r="J71" s="401">
        <v>1.9289113881880802</v>
      </c>
      <c r="K71" s="401">
        <v>1.4482100411556547</v>
      </c>
      <c r="L71" s="401">
        <v>1.8986666666666665</v>
      </c>
      <c r="M71" s="401">
        <v>2.2488232074438965</v>
      </c>
      <c r="N71" s="6"/>
      <c r="O71" s="6"/>
      <c r="P71" s="6"/>
      <c r="Q71" s="6"/>
      <c r="R71" s="6"/>
      <c r="S71" s="6"/>
      <c r="T71" s="6"/>
      <c r="U71" s="6"/>
      <c r="V71" s="6"/>
      <c r="W71" s="6"/>
      <c r="X71" s="6"/>
      <c r="Y71" s="6"/>
      <c r="Z71" s="6"/>
    </row>
    <row r="72" spans="2:26" s="139" customFormat="true">
      <c r="B72" s="420" t="s">
        <v>887</v>
      </c>
      <c r="C72" s="370"/>
      <c r="D72" s="370"/>
      <c r="E72" s="351"/>
      <c r="F72" s="325"/>
      <c r="G72" s="405"/>
      <c r="H72" s="335"/>
      <c r="I72" s="309"/>
      <c r="J72" s="309"/>
      <c r="K72" s="309"/>
      <c r="L72" s="309"/>
      <c r="M72" s="309"/>
      <c r="N72" s="309"/>
      <c r="O72" s="309"/>
      <c r="P72" s="309"/>
      <c r="Q72" s="309"/>
      <c r="R72" s="309"/>
      <c r="S72" s="309"/>
      <c r="T72" s="309"/>
      <c r="U72" s="309"/>
      <c r="V72" s="309"/>
      <c r="W72" s="309"/>
      <c r="X72" s="309"/>
      <c r="Y72" s="309"/>
      <c r="Z72" s="309"/>
    </row>
    <row r="73" spans="2:26" s="139" customFormat="true">
      <c r="B73" s="417" t="s">
        <v>781</v>
      </c>
      <c r="C73" s="366"/>
      <c r="D73" s="386" t="str">
        <f ca="true">IFERROR(AVERAGE(INDIRECT("G"&amp;ROW()&amp;":Z"&amp;ROW())),"")</f>
      </c>
      <c r="E73" s="378" t="str">
        <f ca="true">IF(C73&gt;0,IFERROR((C73-D73),""),"")</f>
      </c>
      <c r="F73" s="320" t="str">
        <f ca="true">IFERROR(E73/D73,"")</f>
      </c>
      <c r="G73" s="401"/>
      <c r="H73" s="401">
        <v>1.3790769230769222</v>
      </c>
      <c r="I73" s="401"/>
      <c r="J73" s="401">
        <v>1.9206912631483102</v>
      </c>
      <c r="K73" s="401">
        <v>1.4708319134663632</v>
      </c>
      <c r="L73" s="401">
        <v>1.8999999999999995</v>
      </c>
      <c r="M73" s="401">
        <v>2.098511904761905</v>
      </c>
      <c r="N73" s="6"/>
      <c r="O73" s="6"/>
      <c r="P73" s="6"/>
      <c r="Q73" s="6"/>
      <c r="R73" s="6"/>
      <c r="S73" s="6"/>
      <c r="T73" s="6"/>
      <c r="U73" s="6"/>
      <c r="V73" s="6"/>
      <c r="W73" s="6"/>
      <c r="X73" s="6"/>
      <c r="Y73" s="6"/>
      <c r="Z73" s="6"/>
    </row>
    <row r="74" spans="2:26" s="139" customFormat="true">
      <c r="B74" s="417" t="s">
        <v>782</v>
      </c>
      <c r="C74" s="366"/>
      <c r="D74" s="386" t="str">
        <f ca="true">IFERROR(AVERAGE(INDIRECT("G"&amp;ROW()&amp;":Z"&amp;ROW())),"")</f>
      </c>
      <c r="E74" s="378" t="str">
        <f ca="true">IF(C74&gt;0,IFERROR((C74-D74),""),"")</f>
      </c>
      <c r="F74" s="320" t="str">
        <f ca="true">IFERROR(E74/D74,"")</f>
      </c>
      <c r="G74" s="401"/>
      <c r="H74" s="401">
        <v>1.395833333333333</v>
      </c>
      <c r="I74" s="401"/>
      <c r="J74" s="401">
        <v>1.9190575251099584</v>
      </c>
      <c r="K74" s="401">
        <v>1.449448562883133</v>
      </c>
      <c r="L74" s="401">
        <v>1.9122807017543857</v>
      </c>
      <c r="M74" s="401">
        <v>2.0914862914862913</v>
      </c>
      <c r="N74" s="6"/>
      <c r="O74" s="6"/>
      <c r="P74" s="6"/>
      <c r="Q74" s="6"/>
      <c r="R74" s="6"/>
      <c r="S74" s="6"/>
      <c r="T74" s="6"/>
      <c r="U74" s="6"/>
      <c r="V74" s="6"/>
      <c r="W74" s="6"/>
      <c r="X74" s="6"/>
      <c r="Y74" s="6"/>
      <c r="Z74" s="6"/>
    </row>
    <row r="75" spans="2:26" s="139" customFormat="true">
      <c r="B75" s="417" t="s">
        <v>783</v>
      </c>
      <c r="C75" s="366"/>
      <c r="D75" s="386" t="str">
        <f ca="true">IFERROR(AVERAGE(INDIRECT("G"&amp;ROW()&amp;":Z"&amp;ROW())),"")</f>
      </c>
      <c r="E75" s="378" t="str">
        <f ca="true">IF(C75&gt;0,IFERROR((C75-D75),""),"")</f>
      </c>
      <c r="F75" s="320" t="str">
        <f ca="true">IFERROR(E75/D75,"")</f>
      </c>
      <c r="G75" s="401"/>
      <c r="H75" s="401">
        <v>1.4009446693657217</v>
      </c>
      <c r="I75" s="401"/>
      <c r="J75" s="401">
        <v>1.9289113881880802</v>
      </c>
      <c r="K75" s="401">
        <v>1.4482100411556547</v>
      </c>
      <c r="L75" s="401">
        <v>1.8986666666666665</v>
      </c>
      <c r="M75" s="401">
        <v>2.13223864258347</v>
      </c>
      <c r="N75" s="6"/>
      <c r="O75" s="6"/>
      <c r="P75" s="6"/>
      <c r="Q75" s="6"/>
      <c r="R75" s="6"/>
      <c r="S75" s="6"/>
      <c r="T75" s="6"/>
      <c r="U75" s="6"/>
      <c r="V75" s="6"/>
      <c r="W75" s="6"/>
      <c r="X75" s="6"/>
      <c r="Y75" s="6"/>
      <c r="Z75" s="6"/>
    </row>
    <row r="76" spans="2:26">
      <c r="B76" s="421" t="s">
        <v>832</v>
      </c>
      <c r="C76" s="372"/>
      <c r="D76" s="372"/>
      <c r="E76" s="353"/>
      <c r="F76" s="327"/>
      <c r="G76" s="407"/>
      <c r="H76" s="337"/>
      <c r="I76" s="318"/>
      <c r="J76" s="318"/>
      <c r="K76" s="318"/>
      <c r="L76" s="318"/>
      <c r="M76" s="318"/>
      <c r="N76" s="318"/>
      <c r="O76" s="318"/>
      <c r="P76" s="318"/>
      <c r="Q76" s="318"/>
      <c r="R76" s="318"/>
      <c r="S76" s="318"/>
      <c r="T76" s="318"/>
      <c r="U76" s="318"/>
      <c r="V76" s="318"/>
      <c r="W76" s="318"/>
      <c r="X76" s="318"/>
      <c r="Y76" s="318"/>
      <c r="Z76" s="318"/>
    </row>
    <row r="77" spans="2:26" s="139" customFormat="true">
      <c r="B77" s="416" t="s">
        <v>781</v>
      </c>
      <c r="C77" s="364"/>
      <c r="D77" s="385" t="str">
        <f ca="true">IFERROR(AVERAGE(INDIRECT("G"&amp;ROW()&amp;":Z"&amp;ROW())),"")</f>
      </c>
      <c r="E77" s="377" t="str">
        <f ca="true">IF(C77&gt;0,IFERROR((C77-D77),""),"")</f>
      </c>
      <c r="F77" s="320" t="str">
        <f ca="true">IFERROR(E77/D77,"")</f>
      </c>
      <c r="G77" s="399"/>
      <c r="H77" s="399"/>
      <c r="I77" s="399"/>
      <c r="J77" s="399">
        <v>1800</v>
      </c>
      <c r="K77" s="399"/>
      <c r="L77" s="399"/>
      <c r="M77" s="399"/>
      <c r="N77" s="5"/>
      <c r="O77" s="5"/>
      <c r="P77" s="5"/>
      <c r="Q77" s="5"/>
      <c r="R77" s="5"/>
      <c r="S77" s="5"/>
      <c r="T77" s="5"/>
      <c r="U77" s="5"/>
      <c r="V77" s="5"/>
      <c r="W77" s="5"/>
      <c r="X77" s="5"/>
      <c r="Y77" s="5"/>
      <c r="Z77" s="5"/>
    </row>
    <row r="78" spans="2:26" s="139" customFormat="true">
      <c r="B78" s="416" t="s">
        <v>782</v>
      </c>
      <c r="C78" s="364"/>
      <c r="D78" s="385" t="str">
        <f ca="true">IFERROR(AVERAGE(INDIRECT("G"&amp;ROW()&amp;":Z"&amp;ROW())),"")</f>
      </c>
      <c r="E78" s="377" t="str">
        <f ca="true">IF(C78&gt;0,IFERROR((C78-D78),""),"")</f>
      </c>
      <c r="F78" s="320" t="str">
        <f ca="true">IFERROR(E78/D78,"")</f>
      </c>
      <c r="G78" s="399"/>
      <c r="H78" s="399"/>
      <c r="I78" s="399"/>
      <c r="J78" s="399">
        <v>1800</v>
      </c>
      <c r="K78" s="399"/>
      <c r="L78" s="399"/>
      <c r="M78" s="399"/>
      <c r="N78" s="5"/>
      <c r="O78" s="5"/>
      <c r="P78" s="5"/>
      <c r="Q78" s="5"/>
      <c r="R78" s="5"/>
      <c r="S78" s="5"/>
      <c r="T78" s="5"/>
      <c r="U78" s="5"/>
      <c r="V78" s="5"/>
      <c r="W78" s="5"/>
      <c r="X78" s="5"/>
      <c r="Y78" s="5"/>
      <c r="Z78" s="5"/>
    </row>
    <row r="79" spans="2:26" s="139" customFormat="true">
      <c r="B79" s="416" t="s">
        <v>783</v>
      </c>
      <c r="C79" s="364"/>
      <c r="D79" s="385" t="str">
        <f ca="true">IFERROR(AVERAGE(INDIRECT("G"&amp;ROW()&amp;":Z"&amp;ROW())),"")</f>
      </c>
      <c r="E79" s="377" t="str">
        <f ca="true">IF(C79&gt;0,IFERROR((C79-D79),""),"")</f>
      </c>
      <c r="F79" s="320" t="str">
        <f ca="true">IFERROR(E79/D79,"")</f>
      </c>
      <c r="G79" s="399"/>
      <c r="H79" s="399"/>
      <c r="I79" s="399"/>
      <c r="J79" s="399">
        <v>1806.578947368421</v>
      </c>
      <c r="K79" s="399"/>
      <c r="L79" s="399"/>
      <c r="M79" s="399"/>
      <c r="N79" s="5"/>
      <c r="O79" s="5"/>
      <c r="P79" s="5"/>
      <c r="Q79" s="5"/>
      <c r="R79" s="5"/>
      <c r="S79" s="5"/>
      <c r="T79" s="5"/>
      <c r="U79" s="5"/>
      <c r="V79" s="5"/>
      <c r="W79" s="5"/>
      <c r="X79" s="5"/>
      <c r="Y79" s="5"/>
      <c r="Z79" s="5"/>
    </row>
    <row r="80" spans="2:26">
      <c r="B80" s="421" t="s">
        <v>833</v>
      </c>
      <c r="C80" s="373"/>
      <c r="D80" s="373"/>
      <c r="E80" s="354"/>
      <c r="F80" s="328"/>
      <c r="G80" s="408"/>
      <c r="H80" s="338"/>
      <c r="I80" s="319"/>
      <c r="J80" s="319"/>
      <c r="K80" s="319"/>
      <c r="L80" s="319"/>
      <c r="M80" s="319"/>
      <c r="N80" s="319"/>
      <c r="O80" s="319"/>
      <c r="P80" s="319"/>
      <c r="Q80" s="319"/>
      <c r="R80" s="319"/>
      <c r="S80" s="319"/>
      <c r="T80" s="319"/>
      <c r="U80" s="319"/>
      <c r="V80" s="319"/>
      <c r="W80" s="319"/>
      <c r="X80" s="319"/>
      <c r="Y80" s="319"/>
      <c r="Z80" s="319"/>
    </row>
    <row r="81" spans="2:26" s="139" customFormat="true">
      <c r="B81" s="416" t="s">
        <v>781</v>
      </c>
      <c r="C81" s="364"/>
      <c r="D81" s="385" t="str">
        <f ca="true">IFERROR(AVERAGE(INDIRECT("G"&amp;ROW()&amp;":Z"&amp;ROW())),"")</f>
      </c>
      <c r="E81" s="377" t="str">
        <f ca="true">IF(C81&gt;0,IFERROR((C81-D81),""),"")</f>
      </c>
      <c r="F81" s="320" t="str">
        <f ca="true">IFERROR(E81/D81,"")</f>
      </c>
      <c r="G81" s="399"/>
      <c r="H81" s="399"/>
      <c r="I81" s="399"/>
      <c r="J81" s="399">
        <v>1800</v>
      </c>
      <c r="K81" s="399"/>
      <c r="L81" s="399"/>
      <c r="M81" s="399"/>
      <c r="N81" s="5"/>
      <c r="O81" s="5"/>
      <c r="P81" s="5"/>
      <c r="Q81" s="5"/>
      <c r="R81" s="5"/>
      <c r="S81" s="5"/>
      <c r="T81" s="5"/>
      <c r="U81" s="5"/>
      <c r="V81" s="5"/>
      <c r="W81" s="5"/>
      <c r="X81" s="5"/>
      <c r="Y81" s="5"/>
      <c r="Z81" s="5"/>
    </row>
    <row r="82" spans="2:26" s="139" customFormat="true">
      <c r="B82" s="416" t="s">
        <v>782</v>
      </c>
      <c r="C82" s="364"/>
      <c r="D82" s="385" t="str">
        <f ca="true">IFERROR(AVERAGE(INDIRECT("G"&amp;ROW()&amp;":Z"&amp;ROW())),"")</f>
      </c>
      <c r="E82" s="377" t="str">
        <f ca="true">IF(C82&gt;0,IFERROR((C82-D82),""),"")</f>
      </c>
      <c r="F82" s="320" t="str">
        <f ca="true">IFERROR(E82/D82,"")</f>
      </c>
      <c r="G82" s="399"/>
      <c r="H82" s="399"/>
      <c r="I82" s="399"/>
      <c r="J82" s="399">
        <v>1800</v>
      </c>
      <c r="K82" s="399"/>
      <c r="L82" s="399"/>
      <c r="M82" s="399"/>
      <c r="N82" s="5"/>
      <c r="O82" s="5"/>
      <c r="P82" s="5"/>
      <c r="Q82" s="5"/>
      <c r="R82" s="5"/>
      <c r="S82" s="5"/>
      <c r="T82" s="5"/>
      <c r="U82" s="5"/>
      <c r="V82" s="5"/>
      <c r="W82" s="5"/>
      <c r="X82" s="5"/>
      <c r="Y82" s="5"/>
      <c r="Z82" s="5"/>
    </row>
    <row r="83" spans="2:26" s="139" customFormat="true">
      <c r="B83" s="416" t="s">
        <v>783</v>
      </c>
      <c r="C83" s="364"/>
      <c r="D83" s="385" t="str">
        <f ca="true">IFERROR(AVERAGE(INDIRECT("G"&amp;ROW()&amp;":Z"&amp;ROW())),"")</f>
      </c>
      <c r="E83" s="377" t="str">
        <f ca="true">IF(C83&gt;0,IFERROR((C83-D83),""),"")</f>
      </c>
      <c r="F83" s="320" t="str">
        <f ca="true">IFERROR(E83/D83,"")</f>
      </c>
      <c r="G83" s="399"/>
      <c r="H83" s="399"/>
      <c r="I83" s="399"/>
      <c r="J83" s="399">
        <v>1806.578947368421</v>
      </c>
      <c r="K83" s="399"/>
      <c r="L83" s="399"/>
      <c r="M83" s="399"/>
      <c r="N83" s="5"/>
      <c r="O83" s="5"/>
      <c r="P83" s="5"/>
      <c r="Q83" s="5"/>
      <c r="R83" s="5"/>
      <c r="S83" s="5"/>
      <c r="T83" s="5"/>
      <c r="U83" s="5"/>
      <c r="V83" s="5"/>
      <c r="W83" s="5"/>
      <c r="X83" s="5"/>
      <c r="Y83" s="5"/>
      <c r="Z83" s="5"/>
    </row>
    <row r="84" spans="2:26" s="139" customFormat="true">
      <c r="B84" s="421" t="s">
        <v>900</v>
      </c>
      <c r="C84" s="373"/>
      <c r="D84" s="373"/>
      <c r="E84" s="354"/>
      <c r="F84" s="328"/>
      <c r="G84" s="408"/>
      <c r="H84" s="338"/>
      <c r="I84" s="319"/>
      <c r="J84" s="319"/>
      <c r="K84" s="319"/>
      <c r="L84" s="319"/>
      <c r="M84" s="319"/>
      <c r="N84" s="319"/>
      <c r="O84" s="319"/>
      <c r="P84" s="319"/>
      <c r="Q84" s="319"/>
      <c r="R84" s="319"/>
      <c r="S84" s="319"/>
      <c r="T84" s="319"/>
      <c r="U84" s="319"/>
      <c r="V84" s="319"/>
      <c r="W84" s="319"/>
      <c r="X84" s="319"/>
      <c r="Y84" s="319"/>
      <c r="Z84" s="319"/>
    </row>
    <row r="85" spans="2:26" s="139" customFormat="true">
      <c r="B85" s="417" t="s">
        <v>781</v>
      </c>
      <c r="C85" s="366"/>
      <c r="D85" s="386" t="str">
        <f ca="true">IFERROR(AVERAGE(INDIRECT("G"&amp;ROW()&amp;":Z"&amp;ROW())),"")</f>
      </c>
      <c r="E85" s="378" t="str">
        <f ca="true">IF(C85&gt;0,IFERROR((C85-D85),""),"")</f>
      </c>
      <c r="F85" s="320" t="str">
        <f ca="true">IFERROR(E85/D85,"")</f>
      </c>
      <c r="G85" s="401"/>
      <c r="H85" s="401"/>
      <c r="I85" s="401"/>
      <c r="J85" s="401">
        <v>1.7786561264822134</v>
      </c>
      <c r="K85" s="401"/>
      <c r="L85" s="401"/>
      <c r="M85" s="401"/>
      <c r="N85" s="6"/>
      <c r="O85" s="6"/>
      <c r="P85" s="6"/>
      <c r="Q85" s="6"/>
      <c r="R85" s="6"/>
      <c r="S85" s="6"/>
      <c r="T85" s="6"/>
      <c r="U85" s="6"/>
      <c r="V85" s="6"/>
      <c r="W85" s="6"/>
      <c r="X85" s="6"/>
      <c r="Y85" s="6"/>
      <c r="Z85" s="6"/>
    </row>
    <row r="86" spans="2:26" s="139" customFormat="true">
      <c r="B86" s="417" t="s">
        <v>782</v>
      </c>
      <c r="C86" s="366"/>
      <c r="D86" s="386" t="str">
        <f ca="true">IFERROR(AVERAGE(INDIRECT("G"&amp;ROW()&amp;":Z"&amp;ROW())),"")</f>
      </c>
      <c r="E86" s="378" t="str">
        <f ca="true">IF(C86&gt;0,IFERROR((C86-D86),""),"")</f>
      </c>
      <c r="F86" s="320" t="str">
        <f ca="true">IFERROR(E86/D86,"")</f>
      </c>
      <c r="G86" s="401"/>
      <c r="H86" s="401"/>
      <c r="I86" s="401"/>
      <c r="J86" s="401">
        <v>1.7786561264822136</v>
      </c>
      <c r="K86" s="401"/>
      <c r="L86" s="401"/>
      <c r="M86" s="401"/>
      <c r="N86" s="6"/>
      <c r="O86" s="6"/>
      <c r="P86" s="6"/>
      <c r="Q86" s="6"/>
      <c r="R86" s="6"/>
      <c r="S86" s="6"/>
      <c r="T86" s="6"/>
      <c r="U86" s="6"/>
      <c r="V86" s="6"/>
      <c r="W86" s="6"/>
      <c r="X86" s="6"/>
      <c r="Y86" s="6"/>
      <c r="Z86" s="6"/>
    </row>
    <row r="87" spans="2:26" s="139" customFormat="true">
      <c r="B87" s="417" t="s">
        <v>783</v>
      </c>
      <c r="C87" s="366"/>
      <c r="D87" s="386" t="str">
        <f ca="true">IFERROR(AVERAGE(INDIRECT("G"&amp;ROW()&amp;":Z"&amp;ROW())),"")</f>
      </c>
      <c r="E87" s="378" t="str">
        <f ca="true">IF(C87&gt;0,IFERROR((C87-D87),""),"")</f>
      </c>
      <c r="F87" s="320" t="str">
        <f ca="true">IFERROR(E87/D87,"")</f>
      </c>
      <c r="G87" s="401"/>
      <c r="H87" s="401"/>
      <c r="I87" s="401"/>
      <c r="J87" s="401">
        <v>1.7851570626170183</v>
      </c>
      <c r="K87" s="401"/>
      <c r="L87" s="401"/>
      <c r="M87" s="401"/>
      <c r="N87" s="6"/>
      <c r="O87" s="6"/>
      <c r="P87" s="6"/>
      <c r="Q87" s="6"/>
      <c r="R87" s="6"/>
      <c r="S87" s="6"/>
      <c r="T87" s="6"/>
      <c r="U87" s="6"/>
      <c r="V87" s="6"/>
      <c r="W87" s="6"/>
      <c r="X87" s="6"/>
      <c r="Y87" s="6"/>
      <c r="Z87" s="6"/>
    </row>
    <row r="88" spans="2:26" s="139" customFormat="true">
      <c r="B88" s="421" t="s">
        <v>901</v>
      </c>
      <c r="C88" s="373"/>
      <c r="D88" s="373"/>
      <c r="E88" s="354"/>
      <c r="F88" s="328"/>
      <c r="G88" s="408"/>
      <c r="H88" s="338"/>
      <c r="I88" s="319"/>
      <c r="J88" s="319"/>
      <c r="K88" s="319"/>
      <c r="L88" s="319"/>
      <c r="M88" s="319"/>
      <c r="N88" s="319"/>
      <c r="O88" s="319"/>
      <c r="P88" s="319"/>
      <c r="Q88" s="319"/>
      <c r="R88" s="319"/>
      <c r="S88" s="319"/>
      <c r="T88" s="319"/>
      <c r="U88" s="319"/>
      <c r="V88" s="319"/>
      <c r="W88" s="319"/>
      <c r="X88" s="319"/>
      <c r="Y88" s="319"/>
      <c r="Z88" s="319"/>
    </row>
    <row r="89" spans="2:26" s="139" customFormat="true">
      <c r="B89" s="417" t="s">
        <v>781</v>
      </c>
      <c r="C89" s="366"/>
      <c r="D89" s="386" t="str">
        <f ca="true">IFERROR(AVERAGE(INDIRECT("G"&amp;ROW()&amp;":Z"&amp;ROW())),"")</f>
      </c>
      <c r="E89" s="378" t="str">
        <f ca="true">IF(C89&gt;0,IFERROR((C89-D89),""),"")</f>
      </c>
      <c r="F89" s="320" t="str">
        <f ca="true">IFERROR(E89/D89,"")</f>
      </c>
      <c r="G89" s="401"/>
      <c r="H89" s="401"/>
      <c r="I89" s="401"/>
      <c r="J89" s="401">
        <v>1.7786561264822134</v>
      </c>
      <c r="K89" s="401"/>
      <c r="L89" s="401"/>
      <c r="M89" s="401"/>
      <c r="N89" s="6"/>
      <c r="O89" s="6"/>
      <c r="P89" s="6"/>
      <c r="Q89" s="6"/>
      <c r="R89" s="6"/>
      <c r="S89" s="6"/>
      <c r="T89" s="6"/>
      <c r="U89" s="6"/>
      <c r="V89" s="6"/>
      <c r="W89" s="6"/>
      <c r="X89" s="6"/>
      <c r="Y89" s="6"/>
      <c r="Z89" s="6"/>
    </row>
    <row r="90" spans="2:26" s="139" customFormat="true">
      <c r="B90" s="417" t="s">
        <v>782</v>
      </c>
      <c r="C90" s="366"/>
      <c r="D90" s="386" t="str">
        <f ca="true">IFERROR(AVERAGE(INDIRECT("G"&amp;ROW()&amp;":Z"&amp;ROW())),"")</f>
      </c>
      <c r="E90" s="378" t="str">
        <f ca="true">IF(C90&gt;0,IFERROR((C90-D90),""),"")</f>
      </c>
      <c r="F90" s="320" t="str">
        <f ca="true">IFERROR(E90/D90,"")</f>
      </c>
      <c r="G90" s="401"/>
      <c r="H90" s="401"/>
      <c r="I90" s="401"/>
      <c r="J90" s="401">
        <v>1.7786561264822136</v>
      </c>
      <c r="K90" s="401"/>
      <c r="L90" s="401"/>
      <c r="M90" s="401"/>
      <c r="N90" s="6"/>
      <c r="O90" s="6"/>
      <c r="P90" s="6"/>
      <c r="Q90" s="6"/>
      <c r="R90" s="6"/>
      <c r="S90" s="6"/>
      <c r="T90" s="6"/>
      <c r="U90" s="6"/>
      <c r="V90" s="6"/>
      <c r="W90" s="6"/>
      <c r="X90" s="6"/>
      <c r="Y90" s="6"/>
      <c r="Z90" s="6"/>
    </row>
    <row r="91" spans="2:26" s="139" customFormat="true">
      <c r="B91" s="417" t="s">
        <v>783</v>
      </c>
      <c r="C91" s="366"/>
      <c r="D91" s="386" t="str">
        <f ca="true">IFERROR(AVERAGE(INDIRECT("G"&amp;ROW()&amp;":Z"&amp;ROW())),"")</f>
      </c>
      <c r="E91" s="378" t="str">
        <f ca="true">IF(C91&gt;0,IFERROR((C91-D91),""),"")</f>
      </c>
      <c r="F91" s="320" t="str">
        <f ca="true">IFERROR(E91/D91,"")</f>
      </c>
      <c r="G91" s="401"/>
      <c r="H91" s="401"/>
      <c r="I91" s="401"/>
      <c r="J91" s="401">
        <v>1.7851570626170183</v>
      </c>
      <c r="K91" s="401"/>
      <c r="L91" s="401"/>
      <c r="M91" s="401"/>
      <c r="N91" s="6"/>
      <c r="O91" s="6"/>
      <c r="P91" s="6"/>
      <c r="Q91" s="6"/>
      <c r="R91" s="6"/>
      <c r="S91" s="6"/>
      <c r="T91" s="6"/>
      <c r="U91" s="6"/>
      <c r="V91" s="6"/>
      <c r="W91" s="6"/>
      <c r="X91" s="6"/>
      <c r="Y91" s="6"/>
      <c r="Z91" s="6"/>
    </row>
    <row r="92" spans="2:26">
      <c r="B92" s="422" t="s">
        <v>834</v>
      </c>
      <c r="C92" s="374"/>
      <c r="D92" s="374"/>
      <c r="E92" s="355"/>
      <c r="F92" s="329"/>
      <c r="G92" s="409"/>
      <c r="H92" s="339"/>
      <c r="I92" s="311"/>
      <c r="J92" s="311"/>
      <c r="K92" s="311"/>
      <c r="L92" s="311"/>
      <c r="M92" s="311"/>
      <c r="N92" s="311"/>
      <c r="O92" s="311"/>
      <c r="P92" s="311"/>
      <c r="Q92" s="311"/>
      <c r="R92" s="311"/>
      <c r="S92" s="311"/>
      <c r="T92" s="311"/>
      <c r="U92" s="311"/>
      <c r="V92" s="311"/>
      <c r="W92" s="311"/>
      <c r="X92" s="311"/>
      <c r="Y92" s="311"/>
      <c r="Z92" s="311"/>
    </row>
    <row r="93" spans="2:26" s="139" customFormat="true">
      <c r="B93" s="416" t="s">
        <v>781</v>
      </c>
      <c r="C93" s="364"/>
      <c r="D93" s="385" t="str">
        <f ca="true">IFERROR(AVERAGE(INDIRECT("G"&amp;ROW()&amp;":Z"&amp;ROW())),"")</f>
      </c>
      <c r="E93" s="377" t="str">
        <f ca="true">IF(C93&gt;0,IFERROR((C93-D93),""),"")</f>
      </c>
      <c r="F93" s="320" t="str">
        <f ca="true">IFERROR(E93/D93,"")</f>
      </c>
      <c r="G93" s="399"/>
      <c r="H93" s="399"/>
      <c r="I93" s="399"/>
      <c r="J93" s="399"/>
      <c r="K93" s="399"/>
      <c r="L93" s="399"/>
      <c r="M93" s="399"/>
      <c r="N93" s="5"/>
      <c r="O93" s="5"/>
      <c r="P93" s="5"/>
      <c r="Q93" s="5"/>
      <c r="R93" s="5"/>
      <c r="S93" s="5"/>
      <c r="T93" s="5"/>
      <c r="U93" s="5"/>
      <c r="V93" s="5"/>
      <c r="W93" s="5"/>
      <c r="X93" s="5"/>
      <c r="Y93" s="5"/>
      <c r="Z93" s="5"/>
    </row>
    <row r="94" spans="2:26" s="139" customFormat="true">
      <c r="B94" s="416" t="s">
        <v>782</v>
      </c>
      <c r="C94" s="364"/>
      <c r="D94" s="385" t="str">
        <f ca="true">IFERROR(AVERAGE(INDIRECT("G"&amp;ROW()&amp;":Z"&amp;ROW())),"")</f>
      </c>
      <c r="E94" s="377" t="str">
        <f ca="true">IF(C94&gt;0,IFERROR((C94-D94),""),"")</f>
      </c>
      <c r="F94" s="320" t="str">
        <f ca="true">IFERROR(E94/D94,"")</f>
      </c>
      <c r="G94" s="399"/>
      <c r="H94" s="399"/>
      <c r="I94" s="399"/>
      <c r="J94" s="399"/>
      <c r="K94" s="399"/>
      <c r="L94" s="399"/>
      <c r="M94" s="399"/>
      <c r="N94" s="5"/>
      <c r="O94" s="5"/>
      <c r="P94" s="5"/>
      <c r="Q94" s="5"/>
      <c r="R94" s="5"/>
      <c r="S94" s="5"/>
      <c r="T94" s="5"/>
      <c r="U94" s="5"/>
      <c r="V94" s="5"/>
      <c r="W94" s="5"/>
      <c r="X94" s="5"/>
      <c r="Y94" s="5"/>
      <c r="Z94" s="5"/>
    </row>
    <row r="95" spans="2:26" s="139" customFormat="true">
      <c r="B95" s="416" t="s">
        <v>783</v>
      </c>
      <c r="C95" s="364"/>
      <c r="D95" s="385" t="str">
        <f ca="true">IFERROR(AVERAGE(INDIRECT("G"&amp;ROW()&amp;":Z"&amp;ROW())),"")</f>
      </c>
      <c r="E95" s="377" t="str">
        <f ca="true">IF(C95&gt;0,IFERROR((C95-D95),""),"")</f>
      </c>
      <c r="F95" s="320" t="str">
        <f ca="true">IFERROR(E95/D95,"")</f>
      </c>
      <c r="G95" s="399"/>
      <c r="H95" s="399"/>
      <c r="I95" s="399"/>
      <c r="J95" s="399"/>
      <c r="K95" s="399"/>
      <c r="L95" s="399"/>
      <c r="M95" s="399"/>
      <c r="N95" s="5"/>
      <c r="O95" s="5"/>
      <c r="P95" s="5"/>
      <c r="Q95" s="5"/>
      <c r="R95" s="5"/>
      <c r="S95" s="5"/>
      <c r="T95" s="5"/>
      <c r="U95" s="5"/>
      <c r="V95" s="5"/>
      <c r="W95" s="5"/>
      <c r="X95" s="5"/>
      <c r="Y95" s="5"/>
      <c r="Z95" s="5"/>
    </row>
    <row r="96" spans="2:26">
      <c r="B96" s="422" t="s">
        <v>835</v>
      </c>
      <c r="C96" s="375"/>
      <c r="D96" s="375"/>
      <c r="E96" s="356"/>
      <c r="F96" s="330"/>
      <c r="G96" s="410"/>
      <c r="H96" s="340"/>
      <c r="I96" s="312"/>
      <c r="J96" s="312"/>
      <c r="K96" s="312"/>
      <c r="L96" s="312"/>
      <c r="M96" s="312"/>
      <c r="N96" s="312"/>
      <c r="O96" s="312"/>
      <c r="P96" s="312"/>
      <c r="Q96" s="312"/>
      <c r="R96" s="312"/>
      <c r="S96" s="312"/>
      <c r="T96" s="312"/>
      <c r="U96" s="312"/>
      <c r="V96" s="312"/>
      <c r="W96" s="312"/>
      <c r="X96" s="312"/>
      <c r="Y96" s="312"/>
      <c r="Z96" s="312"/>
    </row>
    <row r="97" spans="2:26" s="139" customFormat="true">
      <c r="B97" s="416" t="s">
        <v>781</v>
      </c>
      <c r="C97" s="364"/>
      <c r="D97" s="385" t="str">
        <f ca="true">IFERROR(AVERAGE(INDIRECT("G"&amp;ROW()&amp;":Z"&amp;ROW())),"")</f>
      </c>
      <c r="E97" s="377" t="str">
        <f ca="true">IF(C97&gt;0,IFERROR((C97-D97),""),"")</f>
      </c>
      <c r="F97" s="320" t="str">
        <f ca="true">IFERROR(E97/D97,"")</f>
      </c>
      <c r="G97" s="399"/>
      <c r="H97" s="399"/>
      <c r="I97" s="399"/>
      <c r="J97" s="399"/>
      <c r="K97" s="399"/>
      <c r="L97" s="399"/>
      <c r="M97" s="399"/>
      <c r="N97" s="5"/>
      <c r="O97" s="5"/>
      <c r="P97" s="5"/>
      <c r="Q97" s="5"/>
      <c r="R97" s="5"/>
      <c r="S97" s="5"/>
      <c r="T97" s="5"/>
      <c r="U97" s="5"/>
      <c r="V97" s="5"/>
      <c r="W97" s="5"/>
      <c r="X97" s="5"/>
      <c r="Y97" s="5"/>
      <c r="Z97" s="5"/>
    </row>
    <row r="98" spans="2:26" s="139" customFormat="true">
      <c r="B98" s="416" t="s">
        <v>782</v>
      </c>
      <c r="C98" s="364"/>
      <c r="D98" s="385" t="str">
        <f ca="true">IFERROR(AVERAGE(INDIRECT("G"&amp;ROW()&amp;":Z"&amp;ROW())),"")</f>
      </c>
      <c r="E98" s="377" t="str">
        <f ca="true">IF(C98&gt;0,IFERROR((C98-D98),""),"")</f>
      </c>
      <c r="F98" s="320" t="str">
        <f ca="true">IFERROR(E98/D98,"")</f>
      </c>
      <c r="G98" s="399"/>
      <c r="H98" s="399"/>
      <c r="I98" s="399"/>
      <c r="J98" s="399"/>
      <c r="K98" s="399"/>
      <c r="L98" s="399"/>
      <c r="M98" s="399"/>
      <c r="N98" s="5"/>
      <c r="O98" s="5"/>
      <c r="P98" s="5"/>
      <c r="Q98" s="5"/>
      <c r="R98" s="5"/>
      <c r="S98" s="5"/>
      <c r="T98" s="5"/>
      <c r="U98" s="5"/>
      <c r="V98" s="5"/>
      <c r="W98" s="5"/>
      <c r="X98" s="5"/>
      <c r="Y98" s="5"/>
      <c r="Z98" s="5"/>
    </row>
    <row r="99" spans="2:26" s="139" customFormat="true" ht="13.5" thickBot="true">
      <c r="B99" s="423" t="s">
        <v>783</v>
      </c>
      <c r="C99" s="376"/>
      <c r="D99" s="387" t="str">
        <f ca="true">IFERROR(AVERAGE(INDIRECT("G"&amp;ROW()&amp;":Z"&amp;ROW())),"")</f>
      </c>
      <c r="E99" s="482" t="str">
        <f ca="true">IF(C99&gt;0,IFERROR((C99-D99),""),"")</f>
      </c>
      <c r="F99" s="483" t="str">
        <f ca="true">IFERROR(E99/D99,"")</f>
      </c>
      <c r="G99" s="411"/>
      <c r="H99" s="411"/>
      <c r="I99" s="411"/>
      <c r="J99" s="411"/>
      <c r="K99" s="411"/>
      <c r="L99" s="411"/>
      <c r="M99" s="411"/>
      <c r="N99" s="117"/>
      <c r="O99" s="117"/>
      <c r="P99" s="117"/>
      <c r="Q99" s="117"/>
      <c r="R99" s="117"/>
      <c r="S99" s="117"/>
      <c r="T99" s="117"/>
      <c r="U99" s="117"/>
      <c r="V99" s="117"/>
      <c r="W99" s="117"/>
      <c r="X99" s="117"/>
      <c r="Y99" s="117"/>
      <c r="Z99" s="117"/>
    </row>
    <row r="100" spans="2:26">
      <c r="B100" s="422" t="s">
        <v>914</v>
      </c>
      <c r="C100" s="374"/>
      <c r="D100" s="374"/>
      <c r="E100" s="355"/>
      <c r="F100" s="329"/>
      <c r="G100" s="409"/>
      <c r="H100" s="339"/>
      <c r="I100" s="311"/>
      <c r="J100" s="311"/>
      <c r="K100" s="311"/>
      <c r="L100" s="311"/>
      <c r="M100" s="311"/>
      <c r="N100" s="311"/>
      <c r="O100" s="311"/>
      <c r="P100" s="311"/>
      <c r="Q100" s="311"/>
      <c r="R100" s="311"/>
      <c r="S100" s="311"/>
      <c r="T100" s="311"/>
      <c r="U100" s="311"/>
      <c r="V100" s="311"/>
      <c r="W100" s="311"/>
      <c r="X100" s="311"/>
      <c r="Y100" s="311"/>
      <c r="Z100" s="311"/>
    </row>
    <row r="101" spans="2:26">
      <c r="B101" s="416" t="s">
        <v>781</v>
      </c>
      <c r="C101" s="364"/>
      <c r="D101" s="385" t="str">
        <f ca="true">IFERROR(AVERAGE(INDIRECT("G"&amp;ROW()&amp;":Z"&amp;ROW())),"")</f>
      </c>
      <c r="E101" s="377" t="str">
        <f ca="true">IF(C101&gt;0,IFERROR((C101-D101),""),"")</f>
      </c>
      <c r="F101" s="320" t="str">
        <f ca="true">IFERROR(E101/D101,"")</f>
      </c>
      <c r="G101" s="399"/>
      <c r="H101" s="399"/>
      <c r="I101" s="399"/>
      <c r="J101" s="399"/>
      <c r="K101" s="399"/>
      <c r="L101" s="399"/>
      <c r="M101" s="399"/>
      <c r="N101" s="5"/>
      <c r="O101" s="5"/>
      <c r="P101" s="5"/>
      <c r="Q101" s="5"/>
      <c r="R101" s="5"/>
      <c r="S101" s="5"/>
      <c r="T101" s="5"/>
      <c r="U101" s="5"/>
      <c r="V101" s="5"/>
      <c r="W101" s="5"/>
      <c r="X101" s="5"/>
      <c r="Y101" s="5"/>
      <c r="Z101" s="5"/>
    </row>
    <row r="102" spans="2:26">
      <c r="B102" s="416" t="s">
        <v>782</v>
      </c>
      <c r="C102" s="364"/>
      <c r="D102" s="385" t="str">
        <f ca="true">IFERROR(AVERAGE(INDIRECT("G"&amp;ROW()&amp;":Z"&amp;ROW())),"")</f>
      </c>
      <c r="E102" s="377" t="str">
        <f ca="true">IF(C102&gt;0,IFERROR((C102-D102),""),"")</f>
      </c>
      <c r="F102" s="320" t="str">
        <f ca="true">IFERROR(E102/D102,"")</f>
      </c>
      <c r="G102" s="399"/>
      <c r="H102" s="399"/>
      <c r="I102" s="399"/>
      <c r="J102" s="399"/>
      <c r="K102" s="399"/>
      <c r="L102" s="399"/>
      <c r="M102" s="399"/>
      <c r="N102" s="5"/>
      <c r="O102" s="5"/>
      <c r="P102" s="5"/>
      <c r="Q102" s="5"/>
      <c r="R102" s="5"/>
      <c r="S102" s="5"/>
      <c r="T102" s="5"/>
      <c r="U102" s="5"/>
      <c r="V102" s="5"/>
      <c r="W102" s="5"/>
      <c r="X102" s="5"/>
      <c r="Y102" s="5"/>
      <c r="Z102" s="5"/>
    </row>
    <row r="103" spans="2:26">
      <c r="B103" s="416" t="s">
        <v>783</v>
      </c>
      <c r="C103" s="364"/>
      <c r="D103" s="385" t="str">
        <f ca="true">IFERROR(AVERAGE(INDIRECT("G"&amp;ROW()&amp;":Z"&amp;ROW())),"")</f>
      </c>
      <c r="E103" s="377" t="str">
        <f ca="true">IF(C103&gt;0,IFERROR((C103-D103),""),"")</f>
      </c>
      <c r="F103" s="320" t="str">
        <f ca="true">IFERROR(E103/D103,"")</f>
      </c>
      <c r="G103" s="399"/>
      <c r="H103" s="399"/>
      <c r="I103" s="399"/>
      <c r="J103" s="399"/>
      <c r="K103" s="399"/>
      <c r="L103" s="399"/>
      <c r="M103" s="399"/>
      <c r="N103" s="5"/>
      <c r="O103" s="5"/>
      <c r="P103" s="5"/>
      <c r="Q103" s="5"/>
      <c r="R103" s="5"/>
      <c r="S103" s="5"/>
      <c r="T103" s="5"/>
      <c r="U103" s="5"/>
      <c r="V103" s="5"/>
      <c r="W103" s="5"/>
      <c r="X103" s="5"/>
      <c r="Y103" s="5"/>
      <c r="Z103" s="5"/>
    </row>
    <row r="104" spans="2:26">
      <c r="B104" s="422" t="s">
        <v>915</v>
      </c>
      <c r="C104" s="375"/>
      <c r="D104" s="375"/>
      <c r="E104" s="356"/>
      <c r="F104" s="330"/>
      <c r="G104" s="410"/>
      <c r="H104" s="340"/>
      <c r="I104" s="312"/>
      <c r="J104" s="312"/>
      <c r="K104" s="312"/>
      <c r="L104" s="312"/>
      <c r="M104" s="312"/>
      <c r="N104" s="312"/>
      <c r="O104" s="312"/>
      <c r="P104" s="312"/>
      <c r="Q104" s="312"/>
      <c r="R104" s="312"/>
      <c r="S104" s="312"/>
      <c r="T104" s="312"/>
      <c r="U104" s="312"/>
      <c r="V104" s="312"/>
      <c r="W104" s="312"/>
      <c r="X104" s="312"/>
      <c r="Y104" s="312"/>
      <c r="Z104" s="312"/>
    </row>
    <row r="105" spans="2:26">
      <c r="B105" s="416" t="s">
        <v>781</v>
      </c>
      <c r="C105" s="364"/>
      <c r="D105" s="385" t="str">
        <f ca="true">IFERROR(AVERAGE(INDIRECT("G"&amp;ROW()&amp;":Z"&amp;ROW())),"")</f>
      </c>
      <c r="E105" s="377" t="str">
        <f ca="true">IF(C105&gt;0,IFERROR((C105-D105),""),"")</f>
      </c>
      <c r="F105" s="320" t="str">
        <f ca="true">IFERROR(E105/D105,"")</f>
      </c>
      <c r="G105" s="399"/>
      <c r="H105" s="399"/>
      <c r="I105" s="399"/>
      <c r="J105" s="399"/>
      <c r="K105" s="399"/>
      <c r="L105" s="399"/>
      <c r="M105" s="399"/>
      <c r="N105" s="5"/>
      <c r="O105" s="5"/>
      <c r="P105" s="5"/>
      <c r="Q105" s="5"/>
      <c r="R105" s="5"/>
      <c r="S105" s="5"/>
      <c r="T105" s="5"/>
      <c r="U105" s="5"/>
      <c r="V105" s="5"/>
      <c r="W105" s="5"/>
      <c r="X105" s="5"/>
      <c r="Y105" s="5"/>
      <c r="Z105" s="5"/>
    </row>
    <row r="106" spans="2:26">
      <c r="B106" s="416" t="s">
        <v>782</v>
      </c>
      <c r="C106" s="364"/>
      <c r="D106" s="385" t="str">
        <f ca="true">IFERROR(AVERAGE(INDIRECT("G"&amp;ROW()&amp;":Z"&amp;ROW())),"")</f>
      </c>
      <c r="E106" s="377" t="str">
        <f ca="true">IF(C106&gt;0,IFERROR((C106-D106),""),"")</f>
      </c>
      <c r="F106" s="320" t="str">
        <f ca="true">IFERROR(E106/D106,"")</f>
      </c>
      <c r="G106" s="399"/>
      <c r="H106" s="399"/>
      <c r="I106" s="399"/>
      <c r="J106" s="399"/>
      <c r="K106" s="399"/>
      <c r="L106" s="399"/>
      <c r="M106" s="399"/>
      <c r="N106" s="5"/>
      <c r="O106" s="5"/>
      <c r="P106" s="5"/>
      <c r="Q106" s="5"/>
      <c r="R106" s="5"/>
      <c r="S106" s="5"/>
      <c r="T106" s="5"/>
      <c r="U106" s="5"/>
      <c r="V106" s="5"/>
      <c r="W106" s="5"/>
      <c r="X106" s="5"/>
      <c r="Y106" s="5"/>
      <c r="Z106" s="5"/>
    </row>
    <row r="107" spans="2:26" ht="13.5" thickBot="true">
      <c r="B107" s="423" t="s">
        <v>783</v>
      </c>
      <c r="C107" s="376"/>
      <c r="D107" s="387" t="str">
        <f ca="true">IFERROR(AVERAGE(INDIRECT("G"&amp;ROW()&amp;":Z"&amp;ROW())),"")</f>
      </c>
      <c r="E107" s="482" t="str">
        <f ca="true">IF(C107&gt;0,IFERROR((C107-D107),""),"")</f>
      </c>
      <c r="F107" s="483" t="str">
        <f ca="true">IFERROR(E107/D107,"")</f>
      </c>
      <c r="G107" s="411"/>
      <c r="H107" s="411"/>
      <c r="I107" s="411"/>
      <c r="J107" s="411"/>
      <c r="K107" s="411"/>
      <c r="L107" s="411"/>
      <c r="M107" s="411"/>
      <c r="N107" s="117"/>
      <c r="O107" s="117"/>
      <c r="P107" s="117"/>
      <c r="Q107" s="117"/>
      <c r="R107" s="117"/>
      <c r="S107" s="117"/>
      <c r="T107" s="117"/>
      <c r="U107" s="117"/>
      <c r="V107" s="117"/>
      <c r="W107" s="117"/>
      <c r="X107" s="117"/>
      <c r="Y107" s="117"/>
      <c r="Z107" s="117"/>
    </row>
  </sheetData>
  <conditionalFormatting sqref="E3:F107">
    <cfRule type="cellIs" dxfId="10" priority="1" operator="lessThan">
      <formula>0</formula>
    </cfRule>
    <cfRule type="cellIs" dxfId="9" priority="2" operator="greaterThan">
      <formula>0</formula>
    </cfRule>
  </conditionalFormatting>
  <pageMargins left="0.25" right="0.25" top="0.75" bottom="0.75" header="0.3" footer="0.3"/>
  <pageSetup fitToHeight="0" r:id="rId1" orientation="landscape" scale="22"/>
  <headerFooter>
    <oddHeader>&amp;L&amp;"-,Bold"&amp;K4438CAMarket Analysis Report&amp;R&amp;"-,Bold"&amp;K4438CAAs of: &amp;D</oddHeader>
    <oddFooter>&amp;L&amp;"-,Bold"&amp;K4438CAHelloData.ai</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79677-5DEB-4B26-8B91-8096A6DEFAB4}">
  <sheetPr codeName="Sheet9">
    <pageSetUpPr fitToPage="true"/>
  </sheetPr>
  <dimension ref="B1:T4"/>
  <sheetViews>
    <sheetView showGridLines="false" zoomScaleNormal="100" workbookViewId="0"/>
  </sheetViews>
  <sheetFormatPr defaultColWidth="8.7265625" defaultRowHeight="13"/>
  <cols>
    <col customWidth="true" max="1" min="1" style="1" width="2.54296875"/>
    <col customWidth="true" max="3" min="2" style="24" width="30.54296875"/>
    <col customWidth="true" max="4" min="4" style="1" width="17.54296875"/>
    <col customWidth="true" max="6" min="5" style="24" width="7.54296875"/>
    <col customWidth="true" max="8" min="7" style="3" width="4.90625"/>
    <col customWidth="true" max="9" min="9" style="3" width="11.7265625"/>
    <col customWidth="true" max="10" min="10" style="3" width="9"/>
    <col customWidth="true" max="11" min="11" style="107" width="10.1796875"/>
    <col customWidth="true" max="12" min="12" style="107" width="14.453125"/>
    <col customWidth="true" max="13" min="13" style="3" width="14.453125"/>
    <col customWidth="true" max="14" min="14" style="3" width="11.1796875"/>
    <col customWidth="true" max="15" min="15" style="5" width="17.453125"/>
    <col customWidth="true" max="16" min="16" style="5" width="13.36328125"/>
    <col bestFit="true" customWidth="true" max="17" min="17" style="1" width="17.54296875"/>
    <col customWidth="true" max="18" min="18" style="1" width="18.54296875"/>
    <col customWidth="true" max="20" min="19" style="24" width="31.81640625"/>
    <col max="16384" min="21" style="1" width="8.7265625"/>
  </cols>
  <sheetData>
    <row r="1" spans="2:20" ht="8" customHeight="true">
      <c r="B1" s="29"/>
      <c r="C1" s="29"/>
      <c r="D1" s="8"/>
      <c r="E1" s="10"/>
      <c r="F1" s="10"/>
      <c r="G1" s="10"/>
      <c r="H1" s="10"/>
      <c r="I1" s="10"/>
      <c r="J1" s="10"/>
      <c r="K1" s="104"/>
      <c r="L1" s="104"/>
      <c r="M1" s="10"/>
      <c r="N1" s="10"/>
      <c r="O1" s="11"/>
      <c r="P1" s="85"/>
      <c r="Q1" s="11"/>
      <c r="R1" s="85"/>
      <c r="S1" s="29"/>
      <c r="T1" s="29"/>
    </row>
    <row r="2" spans="2:20" s="7" customFormat="true" ht="24" customHeight="true">
      <c r="B2" s="704" t="s">
        <v>594</v>
      </c>
      <c r="C2" s="40"/>
      <c r="D2" s="41"/>
      <c r="E2" s="41"/>
      <c r="F2" s="41"/>
      <c r="G2" s="41"/>
      <c r="H2" s="41"/>
      <c r="I2" s="41"/>
      <c r="J2" s="41"/>
      <c r="K2" s="105"/>
      <c r="L2" s="105"/>
      <c r="M2" s="41"/>
      <c r="N2" s="41"/>
      <c r="O2" s="86"/>
      <c r="P2" s="41"/>
      <c r="S2" s="709"/>
      <c r="T2" s="538" t="s">
        <v>975</v>
      </c>
    </row>
    <row r="3" spans="2:20">
      <c r="B3" s="42" t="s">
        <v>21</v>
      </c>
      <c r="C3" s="42" t="s">
        <v>22</v>
      </c>
      <c r="D3" s="42" t="s">
        <v>268</v>
      </c>
      <c r="E3" s="43" t="s">
        <v>272</v>
      </c>
      <c r="F3" s="43" t="s">
        <v>291</v>
      </c>
      <c r="G3" s="43" t="s">
        <v>25</v>
      </c>
      <c r="H3" s="43" t="s">
        <v>26</v>
      </c>
      <c r="I3" s="43" t="s">
        <v>1063</v>
      </c>
      <c r="J3" s="43" t="s">
        <v>28</v>
      </c>
      <c r="K3" s="106" t="s">
        <v>27</v>
      </c>
      <c r="L3" s="106" t="s">
        <v>599</v>
      </c>
      <c r="M3" s="43" t="s">
        <v>295</v>
      </c>
      <c r="N3" s="43" t="s">
        <v>289</v>
      </c>
      <c r="O3" s="43" t="s">
        <v>290</v>
      </c>
      <c r="P3" s="44" t="s">
        <v>588</v>
      </c>
      <c r="Q3" s="43" t="s">
        <v>572</v>
      </c>
      <c r="R3" s="44" t="s">
        <v>582</v>
      </c>
      <c r="S3" s="108" t="s">
        <v>1035</v>
      </c>
      <c r="T3" s="108" t="s">
        <v>1036</v>
      </c>
    </row>
    <row r="4" spans="2:20">
      <c r="B4" s="29" t="s">
        <v>1216</v>
      </c>
      <c r="C4" s="29" t="s">
        <v>1244</v>
      </c>
      <c r="D4" s="8" t="s">
        <v>1252</v>
      </c>
      <c r="E4" s="10"/>
      <c r="F4" s="10"/>
      <c r="G4" s="10">
        <v>1</v>
      </c>
      <c r="H4" s="10">
        <v>1</v>
      </c>
      <c r="I4" s="10"/>
      <c r="J4" s="10">
        <v>741</v>
      </c>
      <c r="K4" s="104">
        <v>45246</v>
      </c>
      <c r="L4" s="104">
        <v>45661</v>
      </c>
      <c r="M4" s="10" t="b">
        <v>0</v>
      </c>
      <c r="N4" s="10">
        <v>416</v>
      </c>
      <c r="O4" s="11">
        <v>1150</v>
      </c>
      <c r="P4" s="85">
        <v>1.5519568151147098</v>
      </c>
      <c r="Q4" s="11">
        <v>1150</v>
      </c>
      <c r="R4" s="85">
        <v>1.5519568151147098</v>
      </c>
      <c r="S4" s="29" t="s">
        <v>2719</v>
      </c>
      <c r="T4" s="29" t="s">
        <v>2719</v>
      </c>
    </row>
    <row r="5">
      <c r="B5" s="29" t="s">
        <v>1216</v>
      </c>
      <c r="C5" s="29" t="s">
        <v>1244</v>
      </c>
      <c r="D5" s="8" t="s">
        <v>1253</v>
      </c>
      <c r="E5" s="10"/>
      <c r="F5" s="10"/>
      <c r="G5" s="10">
        <v>1</v>
      </c>
      <c r="H5" s="10">
        <v>1</v>
      </c>
      <c r="I5" s="10"/>
      <c r="J5" s="10">
        <v>852</v>
      </c>
      <c r="K5" s="104">
        <v>45246</v>
      </c>
      <c r="L5" s="104">
        <v>45661</v>
      </c>
      <c r="M5" s="10" t="b">
        <v>0</v>
      </c>
      <c r="N5" s="10">
        <v>416</v>
      </c>
      <c r="O5" s="11">
        <v>1256</v>
      </c>
      <c r="P5" s="85">
        <v>1.4741784037558685</v>
      </c>
      <c r="Q5" s="11">
        <v>1256</v>
      </c>
      <c r="R5" s="85">
        <v>1.4741784037558685</v>
      </c>
      <c r="S5" s="29" t="s">
        <v>2719</v>
      </c>
      <c r="T5" s="29" t="s">
        <v>2788</v>
      </c>
    </row>
    <row r="6">
      <c r="B6" s="29" t="s">
        <v>1216</v>
      </c>
      <c r="C6" s="29" t="s">
        <v>1244</v>
      </c>
      <c r="D6" s="8" t="s">
        <v>1254</v>
      </c>
      <c r="E6" s="10"/>
      <c r="F6" s="10"/>
      <c r="G6" s="10">
        <v>2</v>
      </c>
      <c r="H6" s="10">
        <v>1</v>
      </c>
      <c r="I6" s="10"/>
      <c r="J6" s="10">
        <v>960</v>
      </c>
      <c r="K6" s="104">
        <v>45246</v>
      </c>
      <c r="L6" s="104">
        <v>45661</v>
      </c>
      <c r="M6" s="10" t="b">
        <v>0</v>
      </c>
      <c r="N6" s="10">
        <v>416</v>
      </c>
      <c r="O6" s="11">
        <v>1329</v>
      </c>
      <c r="P6" s="85">
        <v>1.384375</v>
      </c>
      <c r="Q6" s="11">
        <v>1329</v>
      </c>
      <c r="R6" s="85">
        <v>1.384375</v>
      </c>
      <c r="S6" s="29" t="s">
        <v>2719</v>
      </c>
      <c r="T6" s="29" t="s">
        <v>2719</v>
      </c>
    </row>
    <row r="7">
      <c r="B7" s="29" t="s">
        <v>1217</v>
      </c>
      <c r="C7" s="29" t="s">
        <v>1245</v>
      </c>
      <c r="D7" s="8" t="s">
        <v>1255</v>
      </c>
      <c r="E7" s="10" t="s">
        <v>1318</v>
      </c>
      <c r="F7" s="10">
        <v>2</v>
      </c>
      <c r="G7" s="10">
        <v>1</v>
      </c>
      <c r="H7" s="10">
        <v>1</v>
      </c>
      <c r="I7" s="10"/>
      <c r="J7" s="10">
        <v>728</v>
      </c>
      <c r="K7" s="104">
        <v>45416</v>
      </c>
      <c r="L7" s="104">
        <v>45441</v>
      </c>
      <c r="M7" s="10" t="b">
        <v>0</v>
      </c>
      <c r="N7" s="10">
        <v>26</v>
      </c>
      <c r="O7" s="11">
        <v>1150</v>
      </c>
      <c r="P7" s="85">
        <v>1.5796703296703296</v>
      </c>
      <c r="Q7" s="11">
        <v>1150</v>
      </c>
      <c r="R7" s="85">
        <v>1.5796703296703296</v>
      </c>
      <c r="S7" s="29" t="s">
        <v>2720</v>
      </c>
      <c r="T7" s="29" t="s">
        <v>2789</v>
      </c>
    </row>
    <row r="8">
      <c r="B8" s="29" t="s">
        <v>1217</v>
      </c>
      <c r="C8" s="29" t="s">
        <v>1245</v>
      </c>
      <c r="D8" s="8" t="s">
        <v>1255</v>
      </c>
      <c r="E8" s="10" t="s">
        <v>1319</v>
      </c>
      <c r="F8" s="10">
        <v>2</v>
      </c>
      <c r="G8" s="10">
        <v>1</v>
      </c>
      <c r="H8" s="10">
        <v>1</v>
      </c>
      <c r="I8" s="10"/>
      <c r="J8" s="10">
        <v>728</v>
      </c>
      <c r="K8" s="104">
        <v>45442</v>
      </c>
      <c r="L8" s="104">
        <v>45447</v>
      </c>
      <c r="M8" s="10" t="b">
        <v>0</v>
      </c>
      <c r="N8" s="10">
        <v>6</v>
      </c>
      <c r="O8" s="11">
        <v>1165</v>
      </c>
      <c r="P8" s="85">
        <v>1.6002747252747254</v>
      </c>
      <c r="Q8" s="11">
        <v>1165</v>
      </c>
      <c r="R8" s="85">
        <v>1.6002747252747254</v>
      </c>
      <c r="S8" s="29" t="s">
        <v>2721</v>
      </c>
      <c r="T8" s="29" t="s">
        <v>2789</v>
      </c>
    </row>
    <row r="9">
      <c r="B9" s="29" t="s">
        <v>1217</v>
      </c>
      <c r="C9" s="29" t="s">
        <v>1245</v>
      </c>
      <c r="D9" s="8" t="s">
        <v>1255</v>
      </c>
      <c r="E9" s="10" t="s">
        <v>1320</v>
      </c>
      <c r="F9" s="10">
        <v>1</v>
      </c>
      <c r="G9" s="10">
        <v>1</v>
      </c>
      <c r="H9" s="10">
        <v>1</v>
      </c>
      <c r="I9" s="10"/>
      <c r="J9" s="10">
        <v>728</v>
      </c>
      <c r="K9" s="104">
        <v>45523</v>
      </c>
      <c r="L9" s="104">
        <v>45609</v>
      </c>
      <c r="M9" s="10" t="b">
        <v>0</v>
      </c>
      <c r="N9" s="10">
        <v>87</v>
      </c>
      <c r="O9" s="11">
        <v>1195</v>
      </c>
      <c r="P9" s="85">
        <v>1.6414835164835164</v>
      </c>
      <c r="Q9" s="11">
        <v>1195</v>
      </c>
      <c r="R9" s="85">
        <v>1.6414835164835164</v>
      </c>
      <c r="S9" s="29" t="s">
        <v>2722</v>
      </c>
      <c r="T9" s="29" t="s">
        <v>2789</v>
      </c>
    </row>
    <row r="10">
      <c r="B10" s="29" t="s">
        <v>1217</v>
      </c>
      <c r="C10" s="29" t="s">
        <v>1245</v>
      </c>
      <c r="D10" s="8" t="s">
        <v>1255</v>
      </c>
      <c r="E10" s="10" t="s">
        <v>1321</v>
      </c>
      <c r="F10" s="10">
        <v>4</v>
      </c>
      <c r="G10" s="10">
        <v>1</v>
      </c>
      <c r="H10" s="10">
        <v>1</v>
      </c>
      <c r="I10" s="10"/>
      <c r="J10" s="10">
        <v>728</v>
      </c>
      <c r="K10" s="104">
        <v>45435</v>
      </c>
      <c r="L10" s="104">
        <v>45586</v>
      </c>
      <c r="M10" s="10" t="b">
        <v>0</v>
      </c>
      <c r="N10" s="10">
        <v>152</v>
      </c>
      <c r="O10" s="11">
        <v>1195</v>
      </c>
      <c r="P10" s="85">
        <v>1.6414835164835164</v>
      </c>
      <c r="Q10" s="11">
        <v>1195</v>
      </c>
      <c r="R10" s="85">
        <v>1.6414835164835164</v>
      </c>
      <c r="S10" s="29" t="s">
        <v>2723</v>
      </c>
      <c r="T10" s="29" t="s">
        <v>2789</v>
      </c>
    </row>
    <row r="11">
      <c r="B11" s="29" t="s">
        <v>1217</v>
      </c>
      <c r="C11" s="29" t="s">
        <v>1245</v>
      </c>
      <c r="D11" s="8" t="s">
        <v>1255</v>
      </c>
      <c r="E11" s="10" t="s">
        <v>1322</v>
      </c>
      <c r="F11" s="10">
        <v>1</v>
      </c>
      <c r="G11" s="10">
        <v>1</v>
      </c>
      <c r="H11" s="10">
        <v>1</v>
      </c>
      <c r="I11" s="10"/>
      <c r="J11" s="10">
        <v>728</v>
      </c>
      <c r="K11" s="104">
        <v>45451</v>
      </c>
      <c r="L11" s="104">
        <v>45548</v>
      </c>
      <c r="M11" s="10" t="b">
        <v>0</v>
      </c>
      <c r="N11" s="10">
        <v>98</v>
      </c>
      <c r="O11" s="11">
        <v>1195</v>
      </c>
      <c r="P11" s="85">
        <v>1.6414835164835164</v>
      </c>
      <c r="Q11" s="11">
        <v>1160</v>
      </c>
      <c r="R11" s="85">
        <v>1.5934065934065933</v>
      </c>
      <c r="S11" s="29" t="s">
        <v>2720</v>
      </c>
      <c r="T11" s="29" t="s">
        <v>2789</v>
      </c>
    </row>
    <row r="12">
      <c r="B12" s="29" t="s">
        <v>1217</v>
      </c>
      <c r="C12" s="29" t="s">
        <v>1245</v>
      </c>
      <c r="D12" s="8" t="s">
        <v>1255</v>
      </c>
      <c r="E12" s="10" t="s">
        <v>1323</v>
      </c>
      <c r="F12" s="10">
        <v>1</v>
      </c>
      <c r="G12" s="10">
        <v>1</v>
      </c>
      <c r="H12" s="10">
        <v>1</v>
      </c>
      <c r="I12" s="10"/>
      <c r="J12" s="10">
        <v>728</v>
      </c>
      <c r="K12" s="104">
        <v>45673</v>
      </c>
      <c r="L12" s="104">
        <v>45680</v>
      </c>
      <c r="M12" s="10" t="b">
        <v>0</v>
      </c>
      <c r="N12" s="10">
        <v>8</v>
      </c>
      <c r="O12" s="11">
        <v>1205</v>
      </c>
      <c r="P12" s="85">
        <v>1.6552197802197801</v>
      </c>
      <c r="Q12" s="11">
        <v>1205</v>
      </c>
      <c r="R12" s="85">
        <v>1.6552197802197801</v>
      </c>
      <c r="S12" s="29" t="s">
        <v>2720</v>
      </c>
      <c r="T12" s="29" t="s">
        <v>2789</v>
      </c>
    </row>
    <row r="13">
      <c r="B13" s="29" t="s">
        <v>1217</v>
      </c>
      <c r="C13" s="29" t="s">
        <v>1245</v>
      </c>
      <c r="D13" s="8" t="s">
        <v>1255</v>
      </c>
      <c r="E13" s="10" t="s">
        <v>1324</v>
      </c>
      <c r="F13" s="10">
        <v>1</v>
      </c>
      <c r="G13" s="10">
        <v>1</v>
      </c>
      <c r="H13" s="10">
        <v>1</v>
      </c>
      <c r="I13" s="10"/>
      <c r="J13" s="10">
        <v>728</v>
      </c>
      <c r="K13" s="104">
        <v>45527</v>
      </c>
      <c r="L13" s="104">
        <v>45610</v>
      </c>
      <c r="M13" s="10" t="b">
        <v>0</v>
      </c>
      <c r="N13" s="10">
        <v>84</v>
      </c>
      <c r="O13" s="11">
        <v>1230</v>
      </c>
      <c r="P13" s="85">
        <v>1.6895604395604396</v>
      </c>
      <c r="Q13" s="11">
        <v>1107</v>
      </c>
      <c r="R13" s="85">
        <v>1.5206043956043955</v>
      </c>
      <c r="S13" s="29" t="s">
        <v>2724</v>
      </c>
      <c r="T13" s="29" t="s">
        <v>2789</v>
      </c>
    </row>
    <row r="14">
      <c r="B14" s="29" t="s">
        <v>1217</v>
      </c>
      <c r="C14" s="29" t="s">
        <v>1245</v>
      </c>
      <c r="D14" s="8" t="s">
        <v>1255</v>
      </c>
      <c r="E14" s="10" t="s">
        <v>1325</v>
      </c>
      <c r="F14" s="10">
        <v>3</v>
      </c>
      <c r="G14" s="10">
        <v>1</v>
      </c>
      <c r="H14" s="10">
        <v>1</v>
      </c>
      <c r="I14" s="10"/>
      <c r="J14" s="10">
        <v>728</v>
      </c>
      <c r="K14" s="104">
        <v>45679</v>
      </c>
      <c r="L14" s="104">
        <v>45765</v>
      </c>
      <c r="M14" s="10" t="b">
        <v>0</v>
      </c>
      <c r="N14" s="10">
        <v>87</v>
      </c>
      <c r="O14" s="11">
        <v>1230</v>
      </c>
      <c r="P14" s="85">
        <v>1.6895604395604396</v>
      </c>
      <c r="Q14" s="11">
        <v>1230</v>
      </c>
      <c r="R14" s="85">
        <v>1.6895604395604396</v>
      </c>
      <c r="S14" s="29" t="s">
        <v>2725</v>
      </c>
      <c r="T14" s="29" t="s">
        <v>2789</v>
      </c>
    </row>
    <row r="15">
      <c r="B15" s="29" t="s">
        <v>1217</v>
      </c>
      <c r="C15" s="29" t="s">
        <v>1245</v>
      </c>
      <c r="D15" s="8" t="s">
        <v>1255</v>
      </c>
      <c r="E15" s="10" t="s">
        <v>1326</v>
      </c>
      <c r="F15" s="10">
        <v>1</v>
      </c>
      <c r="G15" s="10">
        <v>1</v>
      </c>
      <c r="H15" s="10">
        <v>1</v>
      </c>
      <c r="I15" s="10"/>
      <c r="J15" s="10">
        <v>728</v>
      </c>
      <c r="K15" s="104">
        <v>45608</v>
      </c>
      <c r="L15" s="104">
        <v>45619</v>
      </c>
      <c r="M15" s="10" t="b">
        <v>0</v>
      </c>
      <c r="N15" s="10">
        <v>12</v>
      </c>
      <c r="O15" s="11">
        <v>1240</v>
      </c>
      <c r="P15" s="85">
        <v>1.7032967032967032</v>
      </c>
      <c r="Q15" s="11">
        <v>1240</v>
      </c>
      <c r="R15" s="85">
        <v>1.7032967032967032</v>
      </c>
      <c r="S15" s="29" t="s">
        <v>2726</v>
      </c>
      <c r="T15" s="29" t="s">
        <v>2789</v>
      </c>
    </row>
    <row r="16">
      <c r="B16" s="29" t="s">
        <v>1217</v>
      </c>
      <c r="C16" s="29" t="s">
        <v>1245</v>
      </c>
      <c r="D16" s="8" t="s">
        <v>1255</v>
      </c>
      <c r="E16" s="10" t="s">
        <v>1327</v>
      </c>
      <c r="F16" s="10">
        <v>1</v>
      </c>
      <c r="G16" s="10">
        <v>1</v>
      </c>
      <c r="H16" s="10">
        <v>1</v>
      </c>
      <c r="I16" s="10"/>
      <c r="J16" s="10">
        <v>728</v>
      </c>
      <c r="K16" s="104">
        <v>45755</v>
      </c>
      <c r="L16" s="104">
        <v>45771</v>
      </c>
      <c r="M16" s="10" t="b">
        <v>0</v>
      </c>
      <c r="N16" s="10">
        <v>17</v>
      </c>
      <c r="O16" s="11">
        <v>1240</v>
      </c>
      <c r="P16" s="85">
        <v>1.7032967032967032</v>
      </c>
      <c r="Q16" s="11">
        <v>1240</v>
      </c>
      <c r="R16" s="85">
        <v>1.7032967032967032</v>
      </c>
      <c r="S16" s="29" t="s">
        <v>2727</v>
      </c>
      <c r="T16" s="29" t="s">
        <v>2789</v>
      </c>
    </row>
    <row r="17">
      <c r="B17" s="29" t="s">
        <v>1217</v>
      </c>
      <c r="C17" s="29" t="s">
        <v>1245</v>
      </c>
      <c r="D17" s="8" t="s">
        <v>1255</v>
      </c>
      <c r="E17" s="10" t="s">
        <v>1328</v>
      </c>
      <c r="F17" s="10">
        <v>1</v>
      </c>
      <c r="G17" s="10">
        <v>1</v>
      </c>
      <c r="H17" s="10">
        <v>1</v>
      </c>
      <c r="I17" s="10"/>
      <c r="J17" s="10">
        <v>728</v>
      </c>
      <c r="K17" s="104">
        <v>45493</v>
      </c>
      <c r="L17" s="104">
        <v>45618</v>
      </c>
      <c r="M17" s="10" t="b">
        <v>0</v>
      </c>
      <c r="N17" s="10">
        <v>126</v>
      </c>
      <c r="O17" s="11">
        <v>1245</v>
      </c>
      <c r="P17" s="85">
        <v>1.710164835164835</v>
      </c>
      <c r="Q17" s="11">
        <v>1120</v>
      </c>
      <c r="R17" s="85">
        <v>1.5384615384615385</v>
      </c>
      <c r="S17" s="29" t="s">
        <v>2728</v>
      </c>
      <c r="T17" s="29" t="s">
        <v>2789</v>
      </c>
    </row>
    <row r="18">
      <c r="B18" s="29" t="s">
        <v>1217</v>
      </c>
      <c r="C18" s="29" t="s">
        <v>1245</v>
      </c>
      <c r="D18" s="8" t="s">
        <v>1255</v>
      </c>
      <c r="E18" s="10" t="s">
        <v>1329</v>
      </c>
      <c r="F18" s="10">
        <v>4</v>
      </c>
      <c r="G18" s="10">
        <v>1</v>
      </c>
      <c r="H18" s="10">
        <v>1</v>
      </c>
      <c r="I18" s="10"/>
      <c r="J18" s="10">
        <v>728</v>
      </c>
      <c r="K18" s="104">
        <v>45730</v>
      </c>
      <c r="L18" s="104">
        <v>45766</v>
      </c>
      <c r="M18" s="10" t="b">
        <v>0</v>
      </c>
      <c r="N18" s="10">
        <v>37</v>
      </c>
      <c r="O18" s="11">
        <v>1260</v>
      </c>
      <c r="P18" s="85">
        <v>1.7307692307692308</v>
      </c>
      <c r="Q18" s="11">
        <v>1260</v>
      </c>
      <c r="R18" s="85">
        <v>1.7307692307692308</v>
      </c>
      <c r="S18" s="29" t="s">
        <v>2726</v>
      </c>
      <c r="T18" s="29" t="s">
        <v>2789</v>
      </c>
    </row>
    <row r="19">
      <c r="B19" s="29" t="s">
        <v>1217</v>
      </c>
      <c r="C19" s="29" t="s">
        <v>1245</v>
      </c>
      <c r="D19" s="8" t="s">
        <v>1255</v>
      </c>
      <c r="E19" s="10" t="s">
        <v>1330</v>
      </c>
      <c r="F19" s="10">
        <v>2</v>
      </c>
      <c r="G19" s="10">
        <v>1</v>
      </c>
      <c r="H19" s="10">
        <v>1</v>
      </c>
      <c r="I19" s="10"/>
      <c r="J19" s="10">
        <v>728</v>
      </c>
      <c r="K19" s="104">
        <v>45523</v>
      </c>
      <c r="L19" s="104">
        <v>45637</v>
      </c>
      <c r="M19" s="10" t="b">
        <v>0</v>
      </c>
      <c r="N19" s="10">
        <v>115</v>
      </c>
      <c r="O19" s="11">
        <v>1260</v>
      </c>
      <c r="P19" s="85">
        <v>1.7307692307692308</v>
      </c>
      <c r="Q19" s="11">
        <v>1260</v>
      </c>
      <c r="R19" s="85">
        <v>1.7307692307692308</v>
      </c>
      <c r="S19" s="29" t="s">
        <v>2728</v>
      </c>
      <c r="T19" s="29" t="s">
        <v>2789</v>
      </c>
    </row>
    <row r="20">
      <c r="B20" s="29" t="s">
        <v>1217</v>
      </c>
      <c r="C20" s="29" t="s">
        <v>1245</v>
      </c>
      <c r="D20" s="8" t="s">
        <v>1255</v>
      </c>
      <c r="E20" s="10" t="s">
        <v>1331</v>
      </c>
      <c r="F20" s="10">
        <v>3</v>
      </c>
      <c r="G20" s="10">
        <v>1</v>
      </c>
      <c r="H20" s="10">
        <v>1</v>
      </c>
      <c r="I20" s="10"/>
      <c r="J20" s="10">
        <v>728</v>
      </c>
      <c r="K20" s="104">
        <v>45635</v>
      </c>
      <c r="L20" s="104">
        <v>45666</v>
      </c>
      <c r="M20" s="10" t="b">
        <v>0</v>
      </c>
      <c r="N20" s="10">
        <v>32</v>
      </c>
      <c r="O20" s="11">
        <v>1260</v>
      </c>
      <c r="P20" s="85">
        <v>1.7307692307692308</v>
      </c>
      <c r="Q20" s="11">
        <v>1260</v>
      </c>
      <c r="R20" s="85">
        <v>1.7307692307692308</v>
      </c>
      <c r="S20" s="29" t="s">
        <v>2725</v>
      </c>
      <c r="T20" s="29" t="s">
        <v>2789</v>
      </c>
    </row>
    <row r="21">
      <c r="B21" s="29" t="s">
        <v>1217</v>
      </c>
      <c r="C21" s="29" t="s">
        <v>1245</v>
      </c>
      <c r="D21" s="8" t="s">
        <v>1255</v>
      </c>
      <c r="E21" s="10" t="s">
        <v>1332</v>
      </c>
      <c r="F21" s="10">
        <v>1</v>
      </c>
      <c r="G21" s="10">
        <v>1</v>
      </c>
      <c r="H21" s="10">
        <v>1</v>
      </c>
      <c r="I21" s="10"/>
      <c r="J21" s="10">
        <v>728</v>
      </c>
      <c r="K21" s="104">
        <v>45730</v>
      </c>
      <c r="L21" s="104">
        <v>45782</v>
      </c>
      <c r="M21" s="10" t="b">
        <v>0</v>
      </c>
      <c r="N21" s="10">
        <v>53</v>
      </c>
      <c r="O21" s="11">
        <v>1265</v>
      </c>
      <c r="P21" s="85">
        <v>1.7376373626373627</v>
      </c>
      <c r="Q21" s="11">
        <v>1265</v>
      </c>
      <c r="R21" s="85">
        <v>1.7376373626373627</v>
      </c>
      <c r="S21" s="29" t="s">
        <v>2729</v>
      </c>
      <c r="T21" s="29" t="s">
        <v>2789</v>
      </c>
    </row>
    <row r="22">
      <c r="B22" s="29" t="s">
        <v>1217</v>
      </c>
      <c r="C22" s="29" t="s">
        <v>1245</v>
      </c>
      <c r="D22" s="8" t="s">
        <v>1255</v>
      </c>
      <c r="E22" s="10" t="s">
        <v>1333</v>
      </c>
      <c r="F22" s="10">
        <v>1</v>
      </c>
      <c r="G22" s="10">
        <v>1</v>
      </c>
      <c r="H22" s="10">
        <v>1</v>
      </c>
      <c r="I22" s="10"/>
      <c r="J22" s="10">
        <v>728</v>
      </c>
      <c r="K22" s="104">
        <v>45416</v>
      </c>
      <c r="L22" s="104">
        <v>45426</v>
      </c>
      <c r="M22" s="10" t="b">
        <v>0</v>
      </c>
      <c r="N22" s="10">
        <v>11</v>
      </c>
      <c r="O22" s="11">
        <v>1265</v>
      </c>
      <c r="P22" s="85">
        <v>1.7376373626373627</v>
      </c>
      <c r="Q22" s="11">
        <v>1265</v>
      </c>
      <c r="R22" s="85">
        <v>1.7376373626373627</v>
      </c>
      <c r="S22" s="29" t="s">
        <v>2724</v>
      </c>
      <c r="T22" s="29" t="s">
        <v>2789</v>
      </c>
    </row>
    <row r="23">
      <c r="B23" s="29" t="s">
        <v>1217</v>
      </c>
      <c r="C23" s="29" t="s">
        <v>1245</v>
      </c>
      <c r="D23" s="8" t="s">
        <v>1255</v>
      </c>
      <c r="E23" s="10" t="s">
        <v>1334</v>
      </c>
      <c r="F23" s="10">
        <v>3</v>
      </c>
      <c r="G23" s="10">
        <v>1</v>
      </c>
      <c r="H23" s="10">
        <v>1</v>
      </c>
      <c r="I23" s="10"/>
      <c r="J23" s="10">
        <v>728</v>
      </c>
      <c r="K23" s="104">
        <v>45389</v>
      </c>
      <c r="L23" s="104">
        <v>45461</v>
      </c>
      <c r="M23" s="10" t="b">
        <v>0</v>
      </c>
      <c r="N23" s="10">
        <v>73</v>
      </c>
      <c r="O23" s="11">
        <v>1265</v>
      </c>
      <c r="P23" s="85">
        <v>1.7376373626373627</v>
      </c>
      <c r="Q23" s="11">
        <v>1265</v>
      </c>
      <c r="R23" s="85">
        <v>1.7376373626373627</v>
      </c>
      <c r="S23" s="29" t="s">
        <v>2730</v>
      </c>
      <c r="T23" s="29" t="s">
        <v>2789</v>
      </c>
    </row>
    <row r="24">
      <c r="B24" s="29" t="s">
        <v>1217</v>
      </c>
      <c r="C24" s="29" t="s">
        <v>1245</v>
      </c>
      <c r="D24" s="8" t="s">
        <v>1255</v>
      </c>
      <c r="E24" s="10" t="s">
        <v>1335</v>
      </c>
      <c r="F24" s="10">
        <v>1</v>
      </c>
      <c r="G24" s="10">
        <v>1</v>
      </c>
      <c r="H24" s="10">
        <v>1</v>
      </c>
      <c r="I24" s="10"/>
      <c r="J24" s="10">
        <v>728</v>
      </c>
      <c r="K24" s="104">
        <v>45750</v>
      </c>
      <c r="L24" s="104">
        <v>45771</v>
      </c>
      <c r="M24" s="10" t="b">
        <v>0</v>
      </c>
      <c r="N24" s="10">
        <v>22</v>
      </c>
      <c r="O24" s="11">
        <v>1270</v>
      </c>
      <c r="P24" s="85">
        <v>1.7445054945054945</v>
      </c>
      <c r="Q24" s="11">
        <v>1270</v>
      </c>
      <c r="R24" s="85">
        <v>1.7445054945054945</v>
      </c>
      <c r="S24" s="29" t="s">
        <v>2731</v>
      </c>
      <c r="T24" s="29" t="s">
        <v>2789</v>
      </c>
    </row>
    <row r="25">
      <c r="B25" s="29" t="s">
        <v>1217</v>
      </c>
      <c r="C25" s="29" t="s">
        <v>1245</v>
      </c>
      <c r="D25" s="8" t="s">
        <v>1255</v>
      </c>
      <c r="E25" s="10" t="s">
        <v>1336</v>
      </c>
      <c r="F25" s="10">
        <v>2</v>
      </c>
      <c r="G25" s="10">
        <v>1</v>
      </c>
      <c r="H25" s="10">
        <v>1</v>
      </c>
      <c r="I25" s="10"/>
      <c r="J25" s="10">
        <v>728</v>
      </c>
      <c r="K25" s="104">
        <v>45392</v>
      </c>
      <c r="L25" s="104">
        <v>45447</v>
      </c>
      <c r="M25" s="10" t="b">
        <v>0</v>
      </c>
      <c r="N25" s="10">
        <v>56</v>
      </c>
      <c r="O25" s="11">
        <v>1270</v>
      </c>
      <c r="P25" s="85">
        <v>1.7445054945054945</v>
      </c>
      <c r="Q25" s="11">
        <v>1270</v>
      </c>
      <c r="R25" s="85">
        <v>1.7445054945054945</v>
      </c>
      <c r="S25" s="29" t="s">
        <v>2722</v>
      </c>
      <c r="T25" s="29" t="s">
        <v>2789</v>
      </c>
    </row>
    <row r="26">
      <c r="B26" s="29" t="s">
        <v>1217</v>
      </c>
      <c r="C26" s="29" t="s">
        <v>1245</v>
      </c>
      <c r="D26" s="8" t="s">
        <v>1255</v>
      </c>
      <c r="E26" s="10" t="s">
        <v>1337</v>
      </c>
      <c r="F26" s="10">
        <v>4</v>
      </c>
      <c r="G26" s="10">
        <v>1</v>
      </c>
      <c r="H26" s="10">
        <v>1</v>
      </c>
      <c r="I26" s="10"/>
      <c r="J26" s="10">
        <v>728</v>
      </c>
      <c r="K26" s="104">
        <v>45414</v>
      </c>
      <c r="L26" s="104">
        <v>45433</v>
      </c>
      <c r="M26" s="10" t="b">
        <v>0</v>
      </c>
      <c r="N26" s="10">
        <v>20</v>
      </c>
      <c r="O26" s="11">
        <v>1270</v>
      </c>
      <c r="P26" s="85">
        <v>1.7445054945054945</v>
      </c>
      <c r="Q26" s="11">
        <v>1270</v>
      </c>
      <c r="R26" s="85">
        <v>1.7445054945054945</v>
      </c>
      <c r="S26" s="29" t="s">
        <v>2723</v>
      </c>
      <c r="T26" s="29" t="s">
        <v>2789</v>
      </c>
    </row>
    <row r="27">
      <c r="B27" s="29" t="s">
        <v>1217</v>
      </c>
      <c r="C27" s="29" t="s">
        <v>1245</v>
      </c>
      <c r="D27" s="8" t="s">
        <v>1255</v>
      </c>
      <c r="E27" s="10" t="s">
        <v>1338</v>
      </c>
      <c r="F27" s="10">
        <v>4</v>
      </c>
      <c r="G27" s="10">
        <v>1</v>
      </c>
      <c r="H27" s="10">
        <v>1</v>
      </c>
      <c r="I27" s="10"/>
      <c r="J27" s="10">
        <v>728</v>
      </c>
      <c r="K27" s="104">
        <v>45540</v>
      </c>
      <c r="L27" s="104">
        <v>45641</v>
      </c>
      <c r="M27" s="10" t="b">
        <v>0</v>
      </c>
      <c r="N27" s="10">
        <v>102</v>
      </c>
      <c r="O27" s="11">
        <v>1270</v>
      </c>
      <c r="P27" s="85">
        <v>1.7445054945054945</v>
      </c>
      <c r="Q27" s="11">
        <v>1270</v>
      </c>
      <c r="R27" s="85">
        <v>1.7445054945054945</v>
      </c>
      <c r="S27" s="29" t="s">
        <v>2732</v>
      </c>
      <c r="T27" s="29" t="s">
        <v>2789</v>
      </c>
    </row>
    <row r="28">
      <c r="B28" s="29" t="s">
        <v>1217</v>
      </c>
      <c r="C28" s="29" t="s">
        <v>1245</v>
      </c>
      <c r="D28" s="8" t="s">
        <v>1255</v>
      </c>
      <c r="E28" s="10" t="s">
        <v>1339</v>
      </c>
      <c r="F28" s="10">
        <v>4</v>
      </c>
      <c r="G28" s="10">
        <v>1</v>
      </c>
      <c r="H28" s="10">
        <v>1</v>
      </c>
      <c r="I28" s="10"/>
      <c r="J28" s="10">
        <v>728</v>
      </c>
      <c r="K28" s="104">
        <v>45519</v>
      </c>
      <c r="L28" s="104">
        <v>45589</v>
      </c>
      <c r="M28" s="10" t="b">
        <v>0</v>
      </c>
      <c r="N28" s="10">
        <v>71</v>
      </c>
      <c r="O28" s="11">
        <v>1270</v>
      </c>
      <c r="P28" s="85">
        <v>1.7445054945054945</v>
      </c>
      <c r="Q28" s="11">
        <v>1270</v>
      </c>
      <c r="R28" s="85">
        <v>1.7445054945054945</v>
      </c>
      <c r="S28" s="29" t="s">
        <v>2733</v>
      </c>
      <c r="T28" s="29" t="s">
        <v>2790</v>
      </c>
    </row>
    <row r="29">
      <c r="B29" s="29" t="s">
        <v>1217</v>
      </c>
      <c r="C29" s="29" t="s">
        <v>1245</v>
      </c>
      <c r="D29" s="8" t="s">
        <v>1255</v>
      </c>
      <c r="E29" s="10" t="s">
        <v>1340</v>
      </c>
      <c r="F29" s="10">
        <v>3</v>
      </c>
      <c r="G29" s="10">
        <v>1</v>
      </c>
      <c r="H29" s="10">
        <v>1</v>
      </c>
      <c r="I29" s="10"/>
      <c r="J29" s="10">
        <v>728</v>
      </c>
      <c r="K29" s="104">
        <v>45412</v>
      </c>
      <c r="L29" s="104">
        <v>45467</v>
      </c>
      <c r="M29" s="10" t="b">
        <v>0</v>
      </c>
      <c r="N29" s="10">
        <v>56</v>
      </c>
      <c r="O29" s="11">
        <v>1275</v>
      </c>
      <c r="P29" s="85">
        <v>1.7513736263736264</v>
      </c>
      <c r="Q29" s="11">
        <v>1275</v>
      </c>
      <c r="R29" s="85">
        <v>1.7513736263736264</v>
      </c>
      <c r="S29" s="29" t="s">
        <v>2730</v>
      </c>
      <c r="T29" s="29" t="s">
        <v>2789</v>
      </c>
    </row>
    <row r="30">
      <c r="B30" s="29" t="s">
        <v>1217</v>
      </c>
      <c r="C30" s="29" t="s">
        <v>1245</v>
      </c>
      <c r="D30" s="8" t="s">
        <v>1255</v>
      </c>
      <c r="E30" s="10" t="s">
        <v>1341</v>
      </c>
      <c r="F30" s="10">
        <v>3</v>
      </c>
      <c r="G30" s="10">
        <v>1</v>
      </c>
      <c r="H30" s="10">
        <v>1</v>
      </c>
      <c r="I30" s="10"/>
      <c r="J30" s="10">
        <v>728</v>
      </c>
      <c r="K30" s="104">
        <v>45441</v>
      </c>
      <c r="L30" s="104">
        <v>45470</v>
      </c>
      <c r="M30" s="10" t="b">
        <v>0</v>
      </c>
      <c r="N30" s="10">
        <v>30</v>
      </c>
      <c r="O30" s="11">
        <v>1275</v>
      </c>
      <c r="P30" s="85">
        <v>1.7513736263736264</v>
      </c>
      <c r="Q30" s="11">
        <v>1275</v>
      </c>
      <c r="R30" s="85">
        <v>1.7513736263736264</v>
      </c>
      <c r="S30" s="29" t="s">
        <v>2730</v>
      </c>
      <c r="T30" s="29" t="s">
        <v>2789</v>
      </c>
    </row>
    <row r="31">
      <c r="B31" s="29" t="s">
        <v>1217</v>
      </c>
      <c r="C31" s="29" t="s">
        <v>1245</v>
      </c>
      <c r="D31" s="8" t="s">
        <v>1255</v>
      </c>
      <c r="E31" s="10" t="s">
        <v>1342</v>
      </c>
      <c r="F31" s="10">
        <v>4</v>
      </c>
      <c r="G31" s="10">
        <v>1</v>
      </c>
      <c r="H31" s="10">
        <v>1</v>
      </c>
      <c r="I31" s="10"/>
      <c r="J31" s="10">
        <v>728</v>
      </c>
      <c r="K31" s="104">
        <v>45674</v>
      </c>
      <c r="L31" s="104">
        <v>45763</v>
      </c>
      <c r="M31" s="10" t="b">
        <v>0</v>
      </c>
      <c r="N31" s="10">
        <v>90</v>
      </c>
      <c r="O31" s="11">
        <v>1275</v>
      </c>
      <c r="P31" s="85">
        <v>1.7513736263736264</v>
      </c>
      <c r="Q31" s="11">
        <v>1275</v>
      </c>
      <c r="R31" s="85">
        <v>1.7513736263736264</v>
      </c>
      <c r="S31" s="29" t="s">
        <v>2734</v>
      </c>
      <c r="T31" s="29" t="s">
        <v>2791</v>
      </c>
    </row>
    <row r="32">
      <c r="B32" s="29" t="s">
        <v>1217</v>
      </c>
      <c r="C32" s="29" t="s">
        <v>1245</v>
      </c>
      <c r="D32" s="8" t="s">
        <v>1255</v>
      </c>
      <c r="E32" s="10" t="s">
        <v>1343</v>
      </c>
      <c r="F32" s="10">
        <v>1</v>
      </c>
      <c r="G32" s="10">
        <v>1</v>
      </c>
      <c r="H32" s="10">
        <v>1</v>
      </c>
      <c r="I32" s="10"/>
      <c r="J32" s="10">
        <v>728</v>
      </c>
      <c r="K32" s="104"/>
      <c r="L32" s="104">
        <v>45435</v>
      </c>
      <c r="M32" s="10" t="b">
        <v>0</v>
      </c>
      <c r="N32" s="10"/>
      <c r="O32" s="11">
        <v>1280</v>
      </c>
      <c r="P32" s="85">
        <v>1.7582417582417582</v>
      </c>
      <c r="Q32" s="11">
        <v>1280</v>
      </c>
      <c r="R32" s="85">
        <v>1.7582417582417582</v>
      </c>
      <c r="S32" s="29" t="s">
        <v>2735</v>
      </c>
      <c r="T32" s="29" t="s">
        <v>2790</v>
      </c>
    </row>
    <row r="33">
      <c r="B33" s="29" t="s">
        <v>1217</v>
      </c>
      <c r="C33" s="29" t="s">
        <v>1245</v>
      </c>
      <c r="D33" s="8" t="s">
        <v>1255</v>
      </c>
      <c r="E33" s="10" t="s">
        <v>1344</v>
      </c>
      <c r="F33" s="10">
        <v>2</v>
      </c>
      <c r="G33" s="10">
        <v>1</v>
      </c>
      <c r="H33" s="10">
        <v>1</v>
      </c>
      <c r="I33" s="10"/>
      <c r="J33" s="10">
        <v>728</v>
      </c>
      <c r="K33" s="104">
        <v>45418</v>
      </c>
      <c r="L33" s="104">
        <v>45449</v>
      </c>
      <c r="M33" s="10" t="b">
        <v>0</v>
      </c>
      <c r="N33" s="10">
        <v>32</v>
      </c>
      <c r="O33" s="11">
        <v>1285</v>
      </c>
      <c r="P33" s="85">
        <v>1.76510989010989</v>
      </c>
      <c r="Q33" s="11">
        <v>1285</v>
      </c>
      <c r="R33" s="85">
        <v>1.76510989010989</v>
      </c>
      <c r="S33" s="29" t="s">
        <v>2722</v>
      </c>
      <c r="T33" s="29" t="s">
        <v>2789</v>
      </c>
    </row>
    <row r="34">
      <c r="B34" s="29" t="s">
        <v>1217</v>
      </c>
      <c r="C34" s="29" t="s">
        <v>1245</v>
      </c>
      <c r="D34" s="8" t="s">
        <v>1255</v>
      </c>
      <c r="E34" s="10" t="s">
        <v>1345</v>
      </c>
      <c r="F34" s="10">
        <v>2</v>
      </c>
      <c r="G34" s="10">
        <v>1</v>
      </c>
      <c r="H34" s="10">
        <v>1</v>
      </c>
      <c r="I34" s="10"/>
      <c r="J34" s="10">
        <v>728</v>
      </c>
      <c r="K34" s="104">
        <v>45511</v>
      </c>
      <c r="L34" s="104">
        <v>45612</v>
      </c>
      <c r="M34" s="10" t="b">
        <v>0</v>
      </c>
      <c r="N34" s="10">
        <v>102</v>
      </c>
      <c r="O34" s="11">
        <v>1285</v>
      </c>
      <c r="P34" s="85">
        <v>1.76510989010989</v>
      </c>
      <c r="Q34" s="11">
        <v>1156</v>
      </c>
      <c r="R34" s="85">
        <v>1.5879120879120878</v>
      </c>
      <c r="S34" s="29" t="s">
        <v>2736</v>
      </c>
      <c r="T34" s="29" t="s">
        <v>2790</v>
      </c>
    </row>
    <row r="35">
      <c r="B35" s="29" t="s">
        <v>1217</v>
      </c>
      <c r="C35" s="29" t="s">
        <v>1245</v>
      </c>
      <c r="D35" s="8" t="s">
        <v>1255</v>
      </c>
      <c r="E35" s="10" t="s">
        <v>1346</v>
      </c>
      <c r="F35" s="10">
        <v>1</v>
      </c>
      <c r="G35" s="10">
        <v>1</v>
      </c>
      <c r="H35" s="10">
        <v>1</v>
      </c>
      <c r="I35" s="10"/>
      <c r="J35" s="10">
        <v>728</v>
      </c>
      <c r="K35" s="104">
        <v>45777</v>
      </c>
      <c r="L35" s="104">
        <v>45780</v>
      </c>
      <c r="M35" s="10" t="b">
        <v>0</v>
      </c>
      <c r="N35" s="10">
        <v>4</v>
      </c>
      <c r="O35" s="11">
        <v>1295</v>
      </c>
      <c r="P35" s="85">
        <v>1.7788461538461537</v>
      </c>
      <c r="Q35" s="11">
        <v>1295</v>
      </c>
      <c r="R35" s="85">
        <v>1.7788461538461537</v>
      </c>
      <c r="S35" s="29" t="s">
        <v>2734</v>
      </c>
      <c r="T35" s="29" t="s">
        <v>2791</v>
      </c>
    </row>
    <row r="36">
      <c r="B36" s="29" t="s">
        <v>1217</v>
      </c>
      <c r="C36" s="29" t="s">
        <v>1245</v>
      </c>
      <c r="D36" s="8" t="s">
        <v>1255</v>
      </c>
      <c r="E36" s="10" t="s">
        <v>1347</v>
      </c>
      <c r="F36" s="10">
        <v>1</v>
      </c>
      <c r="G36" s="10">
        <v>1</v>
      </c>
      <c r="H36" s="10">
        <v>1</v>
      </c>
      <c r="I36" s="10"/>
      <c r="J36" s="10">
        <v>728</v>
      </c>
      <c r="K36" s="104">
        <v>45631</v>
      </c>
      <c r="L36" s="104">
        <v>45757</v>
      </c>
      <c r="M36" s="10" t="b">
        <v>0</v>
      </c>
      <c r="N36" s="10">
        <v>127</v>
      </c>
      <c r="O36" s="11">
        <v>1295</v>
      </c>
      <c r="P36" s="85">
        <v>1.7788461538461537</v>
      </c>
      <c r="Q36" s="11">
        <v>1295</v>
      </c>
      <c r="R36" s="85">
        <v>1.7788461538461537</v>
      </c>
      <c r="S36" s="29" t="s">
        <v>2725</v>
      </c>
      <c r="T36" s="29" t="s">
        <v>2789</v>
      </c>
    </row>
    <row r="37">
      <c r="B37" s="29" t="s">
        <v>1217</v>
      </c>
      <c r="C37" s="29" t="s">
        <v>1245</v>
      </c>
      <c r="D37" s="8" t="s">
        <v>1255</v>
      </c>
      <c r="E37" s="10" t="s">
        <v>1348</v>
      </c>
      <c r="F37" s="10">
        <v>4</v>
      </c>
      <c r="G37" s="10">
        <v>1</v>
      </c>
      <c r="H37" s="10">
        <v>1</v>
      </c>
      <c r="I37" s="10"/>
      <c r="J37" s="10">
        <v>728</v>
      </c>
      <c r="K37" s="104">
        <v>45645</v>
      </c>
      <c r="L37" s="104">
        <v>45784</v>
      </c>
      <c r="M37" s="10" t="b">
        <v>0</v>
      </c>
      <c r="N37" s="10">
        <v>140</v>
      </c>
      <c r="O37" s="11">
        <v>1295</v>
      </c>
      <c r="P37" s="85">
        <v>1.7788461538461537</v>
      </c>
      <c r="Q37" s="11">
        <v>1295</v>
      </c>
      <c r="R37" s="85">
        <v>1.7788461538461537</v>
      </c>
      <c r="S37" s="29" t="s">
        <v>2737</v>
      </c>
      <c r="T37" s="29" t="s">
        <v>2789</v>
      </c>
    </row>
    <row r="38">
      <c r="B38" s="29" t="s">
        <v>1217</v>
      </c>
      <c r="C38" s="29" t="s">
        <v>1245</v>
      </c>
      <c r="D38" s="8" t="s">
        <v>1255</v>
      </c>
      <c r="E38" s="10" t="s">
        <v>1349</v>
      </c>
      <c r="F38" s="10">
        <v>4</v>
      </c>
      <c r="G38" s="10">
        <v>1</v>
      </c>
      <c r="H38" s="10">
        <v>1</v>
      </c>
      <c r="I38" s="10"/>
      <c r="J38" s="10">
        <v>728</v>
      </c>
      <c r="K38" s="104">
        <v>45777</v>
      </c>
      <c r="L38" s="104"/>
      <c r="M38" s="10" t="b">
        <v>1</v>
      </c>
      <c r="N38" s="10"/>
      <c r="O38" s="11">
        <v>1300</v>
      </c>
      <c r="P38" s="85">
        <v>1.7857142857142858</v>
      </c>
      <c r="Q38" s="11">
        <v>1300</v>
      </c>
      <c r="R38" s="85">
        <v>1.7857142857142858</v>
      </c>
      <c r="S38" s="29" t="s">
        <v>2728</v>
      </c>
      <c r="T38" s="29" t="s">
        <v>2789</v>
      </c>
    </row>
    <row r="39">
      <c r="B39" s="29" t="s">
        <v>1217</v>
      </c>
      <c r="C39" s="29" t="s">
        <v>1245</v>
      </c>
      <c r="D39" s="8" t="s">
        <v>1255</v>
      </c>
      <c r="E39" s="10" t="s">
        <v>1350</v>
      </c>
      <c r="F39" s="10">
        <v>4</v>
      </c>
      <c r="G39" s="10">
        <v>1</v>
      </c>
      <c r="H39" s="10">
        <v>1</v>
      </c>
      <c r="I39" s="10"/>
      <c r="J39" s="10">
        <v>728</v>
      </c>
      <c r="K39" s="104">
        <v>45769</v>
      </c>
      <c r="L39" s="104">
        <v>45784</v>
      </c>
      <c r="M39" s="10" t="b">
        <v>0</v>
      </c>
      <c r="N39" s="10">
        <v>16</v>
      </c>
      <c r="O39" s="11">
        <v>1305</v>
      </c>
      <c r="P39" s="85">
        <v>1.7925824175824177</v>
      </c>
      <c r="Q39" s="11">
        <v>1305</v>
      </c>
      <c r="R39" s="85">
        <v>1.7925824175824177</v>
      </c>
      <c r="S39" s="29" t="s">
        <v>2738</v>
      </c>
      <c r="T39" s="29" t="s">
        <v>2791</v>
      </c>
    </row>
    <row r="40">
      <c r="B40" s="29" t="s">
        <v>1217</v>
      </c>
      <c r="C40" s="29" t="s">
        <v>1245</v>
      </c>
      <c r="D40" s="8" t="s">
        <v>1255</v>
      </c>
      <c r="E40" s="10" t="s">
        <v>1351</v>
      </c>
      <c r="F40" s="10">
        <v>1</v>
      </c>
      <c r="G40" s="10">
        <v>1</v>
      </c>
      <c r="H40" s="10">
        <v>1</v>
      </c>
      <c r="I40" s="10"/>
      <c r="J40" s="10">
        <v>728</v>
      </c>
      <c r="K40" s="104">
        <v>45441</v>
      </c>
      <c r="L40" s="104">
        <v>45629</v>
      </c>
      <c r="M40" s="10" t="b">
        <v>0</v>
      </c>
      <c r="N40" s="10">
        <v>189</v>
      </c>
      <c r="O40" s="11">
        <v>1305</v>
      </c>
      <c r="P40" s="85">
        <v>1.7925824175824177</v>
      </c>
      <c r="Q40" s="11">
        <v>1305</v>
      </c>
      <c r="R40" s="85">
        <v>1.7925824175824177</v>
      </c>
      <c r="S40" s="29" t="s">
        <v>2739</v>
      </c>
      <c r="T40" s="29" t="s">
        <v>2790</v>
      </c>
    </row>
    <row r="41">
      <c r="B41" s="29" t="s">
        <v>1217</v>
      </c>
      <c r="C41" s="29" t="s">
        <v>1245</v>
      </c>
      <c r="D41" s="8" t="s">
        <v>1255</v>
      </c>
      <c r="E41" s="10" t="s">
        <v>1352</v>
      </c>
      <c r="F41" s="10">
        <v>4</v>
      </c>
      <c r="G41" s="10">
        <v>1</v>
      </c>
      <c r="H41" s="10">
        <v>1</v>
      </c>
      <c r="I41" s="10"/>
      <c r="J41" s="10">
        <v>728</v>
      </c>
      <c r="K41" s="104">
        <v>45750</v>
      </c>
      <c r="L41" s="104"/>
      <c r="M41" s="10" t="b">
        <v>1</v>
      </c>
      <c r="N41" s="10"/>
      <c r="O41" s="11">
        <v>1305</v>
      </c>
      <c r="P41" s="85">
        <v>1.7925824175824177</v>
      </c>
      <c r="Q41" s="11">
        <v>1305</v>
      </c>
      <c r="R41" s="85">
        <v>1.7925824175824177</v>
      </c>
      <c r="S41" s="29" t="s">
        <v>2728</v>
      </c>
      <c r="T41" s="29" t="s">
        <v>2789</v>
      </c>
    </row>
    <row r="42">
      <c r="B42" s="29" t="s">
        <v>1217</v>
      </c>
      <c r="C42" s="29" t="s">
        <v>1245</v>
      </c>
      <c r="D42" s="8" t="s">
        <v>1255</v>
      </c>
      <c r="E42" s="10" t="s">
        <v>1353</v>
      </c>
      <c r="F42" s="10">
        <v>3</v>
      </c>
      <c r="G42" s="10">
        <v>1</v>
      </c>
      <c r="H42" s="10">
        <v>1</v>
      </c>
      <c r="I42" s="10"/>
      <c r="J42" s="10">
        <v>728</v>
      </c>
      <c r="K42" s="104">
        <v>45371</v>
      </c>
      <c r="L42" s="104">
        <v>45453</v>
      </c>
      <c r="M42" s="10" t="b">
        <v>0</v>
      </c>
      <c r="N42" s="10">
        <v>83</v>
      </c>
      <c r="O42" s="11">
        <v>1310</v>
      </c>
      <c r="P42" s="85">
        <v>1.7994505494505495</v>
      </c>
      <c r="Q42" s="11">
        <v>1310</v>
      </c>
      <c r="R42" s="85">
        <v>1.7994505494505495</v>
      </c>
      <c r="S42" s="29" t="s">
        <v>2739</v>
      </c>
      <c r="T42" s="29" t="s">
        <v>2790</v>
      </c>
    </row>
    <row r="43">
      <c r="B43" s="29" t="s">
        <v>1217</v>
      </c>
      <c r="C43" s="29" t="s">
        <v>1245</v>
      </c>
      <c r="D43" s="8" t="s">
        <v>1255</v>
      </c>
      <c r="E43" s="10" t="s">
        <v>1354</v>
      </c>
      <c r="F43" s="10">
        <v>4</v>
      </c>
      <c r="G43" s="10">
        <v>1</v>
      </c>
      <c r="H43" s="10">
        <v>1</v>
      </c>
      <c r="I43" s="10"/>
      <c r="J43" s="10">
        <v>728</v>
      </c>
      <c r="K43" s="104">
        <v>45755</v>
      </c>
      <c r="L43" s="104"/>
      <c r="M43" s="10" t="b">
        <v>1</v>
      </c>
      <c r="N43" s="10"/>
      <c r="O43" s="11">
        <v>1310</v>
      </c>
      <c r="P43" s="85">
        <v>1.7994505494505495</v>
      </c>
      <c r="Q43" s="11">
        <v>1310</v>
      </c>
      <c r="R43" s="85">
        <v>1.7994505494505495</v>
      </c>
      <c r="S43" s="29" t="s">
        <v>2734</v>
      </c>
      <c r="T43" s="29" t="s">
        <v>2791</v>
      </c>
    </row>
    <row r="44">
      <c r="B44" s="29" t="s">
        <v>1217</v>
      </c>
      <c r="C44" s="29" t="s">
        <v>1245</v>
      </c>
      <c r="D44" s="8" t="s">
        <v>1255</v>
      </c>
      <c r="E44" s="10" t="s">
        <v>1355</v>
      </c>
      <c r="F44" s="10">
        <v>2</v>
      </c>
      <c r="G44" s="10">
        <v>1</v>
      </c>
      <c r="H44" s="10">
        <v>1</v>
      </c>
      <c r="I44" s="10"/>
      <c r="J44" s="10">
        <v>728</v>
      </c>
      <c r="K44" s="104">
        <v>45394</v>
      </c>
      <c r="L44" s="104">
        <v>45441</v>
      </c>
      <c r="M44" s="10" t="b">
        <v>0</v>
      </c>
      <c r="N44" s="10">
        <v>48</v>
      </c>
      <c r="O44" s="11">
        <v>1320</v>
      </c>
      <c r="P44" s="85">
        <v>1.8131868131868132</v>
      </c>
      <c r="Q44" s="11">
        <v>1320</v>
      </c>
      <c r="R44" s="85">
        <v>1.8131868131868132</v>
      </c>
      <c r="S44" s="29" t="s">
        <v>2736</v>
      </c>
      <c r="T44" s="29" t="s">
        <v>2790</v>
      </c>
    </row>
    <row r="45">
      <c r="B45" s="29" t="s">
        <v>1217</v>
      </c>
      <c r="C45" s="29" t="s">
        <v>1245</v>
      </c>
      <c r="D45" s="8" t="s">
        <v>1255</v>
      </c>
      <c r="E45" s="10" t="s">
        <v>1356</v>
      </c>
      <c r="F45" s="10">
        <v>1</v>
      </c>
      <c r="G45" s="10">
        <v>1</v>
      </c>
      <c r="H45" s="10">
        <v>1</v>
      </c>
      <c r="I45" s="10"/>
      <c r="J45" s="10">
        <v>728</v>
      </c>
      <c r="K45" s="104">
        <v>45474</v>
      </c>
      <c r="L45" s="104">
        <v>45483</v>
      </c>
      <c r="M45" s="10" t="b">
        <v>0</v>
      </c>
      <c r="N45" s="10">
        <v>10</v>
      </c>
      <c r="O45" s="11">
        <v>1320</v>
      </c>
      <c r="P45" s="85">
        <v>1.8131868131868132</v>
      </c>
      <c r="Q45" s="11">
        <v>1320</v>
      </c>
      <c r="R45" s="85">
        <v>1.8131868131868132</v>
      </c>
      <c r="S45" s="29" t="s">
        <v>2722</v>
      </c>
      <c r="T45" s="29" t="s">
        <v>2789</v>
      </c>
    </row>
    <row r="46">
      <c r="B46" s="29" t="s">
        <v>1217</v>
      </c>
      <c r="C46" s="29" t="s">
        <v>1245</v>
      </c>
      <c r="D46" s="8" t="s">
        <v>1255</v>
      </c>
      <c r="E46" s="10" t="s">
        <v>1357</v>
      </c>
      <c r="F46" s="10">
        <v>1</v>
      </c>
      <c r="G46" s="10">
        <v>1</v>
      </c>
      <c r="H46" s="10">
        <v>1</v>
      </c>
      <c r="I46" s="10"/>
      <c r="J46" s="10">
        <v>728</v>
      </c>
      <c r="K46" s="104">
        <v>45468</v>
      </c>
      <c r="L46" s="104">
        <v>45737</v>
      </c>
      <c r="M46" s="10" t="b">
        <v>0</v>
      </c>
      <c r="N46" s="10">
        <v>270</v>
      </c>
      <c r="O46" s="11">
        <v>1320</v>
      </c>
      <c r="P46" s="85">
        <v>1.8131868131868132</v>
      </c>
      <c r="Q46" s="11">
        <v>1320</v>
      </c>
      <c r="R46" s="85">
        <v>1.8131868131868132</v>
      </c>
      <c r="S46" s="29" t="s">
        <v>2725</v>
      </c>
      <c r="T46" s="29" t="s">
        <v>2789</v>
      </c>
    </row>
    <row r="47">
      <c r="B47" s="29" t="s">
        <v>1217</v>
      </c>
      <c r="C47" s="29" t="s">
        <v>1245</v>
      </c>
      <c r="D47" s="8" t="s">
        <v>1255</v>
      </c>
      <c r="E47" s="10" t="s">
        <v>1358</v>
      </c>
      <c r="F47" s="10">
        <v>2</v>
      </c>
      <c r="G47" s="10">
        <v>1</v>
      </c>
      <c r="H47" s="10">
        <v>1</v>
      </c>
      <c r="I47" s="10"/>
      <c r="J47" s="10">
        <v>728</v>
      </c>
      <c r="K47" s="104">
        <v>45715</v>
      </c>
      <c r="L47" s="104"/>
      <c r="M47" s="10" t="b">
        <v>1</v>
      </c>
      <c r="N47" s="10"/>
      <c r="O47" s="11">
        <v>1320</v>
      </c>
      <c r="P47" s="85">
        <v>1.8131868131868132</v>
      </c>
      <c r="Q47" s="11">
        <v>1320</v>
      </c>
      <c r="R47" s="85">
        <v>1.8131868131868132</v>
      </c>
      <c r="S47" s="29" t="s">
        <v>2734</v>
      </c>
      <c r="T47" s="29" t="s">
        <v>2791</v>
      </c>
    </row>
    <row r="48">
      <c r="B48" s="29" t="s">
        <v>1217</v>
      </c>
      <c r="C48" s="29" t="s">
        <v>1245</v>
      </c>
      <c r="D48" s="8" t="s">
        <v>1255</v>
      </c>
      <c r="E48" s="10" t="s">
        <v>1359</v>
      </c>
      <c r="F48" s="10">
        <v>1</v>
      </c>
      <c r="G48" s="10">
        <v>1</v>
      </c>
      <c r="H48" s="10">
        <v>1</v>
      </c>
      <c r="I48" s="10"/>
      <c r="J48" s="10">
        <v>728</v>
      </c>
      <c r="K48" s="104">
        <v>45696</v>
      </c>
      <c r="L48" s="104"/>
      <c r="M48" s="10" t="b">
        <v>1</v>
      </c>
      <c r="N48" s="10"/>
      <c r="O48" s="11">
        <v>1320</v>
      </c>
      <c r="P48" s="85">
        <v>1.8131868131868132</v>
      </c>
      <c r="Q48" s="11">
        <v>1320</v>
      </c>
      <c r="R48" s="85">
        <v>1.8131868131868132</v>
      </c>
      <c r="S48" s="29" t="s">
        <v>2734</v>
      </c>
      <c r="T48" s="29" t="s">
        <v>2791</v>
      </c>
    </row>
    <row r="49">
      <c r="B49" s="29" t="s">
        <v>1217</v>
      </c>
      <c r="C49" s="29" t="s">
        <v>1245</v>
      </c>
      <c r="D49" s="8" t="s">
        <v>1255</v>
      </c>
      <c r="E49" s="10" t="s">
        <v>1360</v>
      </c>
      <c r="F49" s="10">
        <v>3</v>
      </c>
      <c r="G49" s="10">
        <v>1</v>
      </c>
      <c r="H49" s="10">
        <v>1</v>
      </c>
      <c r="I49" s="10"/>
      <c r="J49" s="10">
        <v>728</v>
      </c>
      <c r="K49" s="104">
        <v>45729</v>
      </c>
      <c r="L49" s="104"/>
      <c r="M49" s="10" t="b">
        <v>1</v>
      </c>
      <c r="N49" s="10"/>
      <c r="O49" s="11">
        <v>1325</v>
      </c>
      <c r="P49" s="85">
        <v>1.820054945054945</v>
      </c>
      <c r="Q49" s="11">
        <v>1325</v>
      </c>
      <c r="R49" s="85">
        <v>1.820054945054945</v>
      </c>
      <c r="S49" s="29" t="s">
        <v>2739</v>
      </c>
      <c r="T49" s="29" t="s">
        <v>2790</v>
      </c>
    </row>
    <row r="50">
      <c r="B50" s="29" t="s">
        <v>1217</v>
      </c>
      <c r="C50" s="29" t="s">
        <v>1245</v>
      </c>
      <c r="D50" s="8" t="s">
        <v>1255</v>
      </c>
      <c r="E50" s="10" t="s">
        <v>1361</v>
      </c>
      <c r="F50" s="10">
        <v>1</v>
      </c>
      <c r="G50" s="10">
        <v>1</v>
      </c>
      <c r="H50" s="10">
        <v>1</v>
      </c>
      <c r="I50" s="10"/>
      <c r="J50" s="10">
        <v>728</v>
      </c>
      <c r="K50" s="104">
        <v>45371</v>
      </c>
      <c r="L50" s="104">
        <v>45436</v>
      </c>
      <c r="M50" s="10" t="b">
        <v>0</v>
      </c>
      <c r="N50" s="10">
        <v>66</v>
      </c>
      <c r="O50" s="11">
        <v>1325</v>
      </c>
      <c r="P50" s="85">
        <v>1.820054945054945</v>
      </c>
      <c r="Q50" s="11">
        <v>1325</v>
      </c>
      <c r="R50" s="85">
        <v>1.820054945054945</v>
      </c>
      <c r="S50" s="29" t="s">
        <v>2736</v>
      </c>
      <c r="T50" s="29" t="s">
        <v>2790</v>
      </c>
    </row>
    <row r="51">
      <c r="B51" s="29" t="s">
        <v>1217</v>
      </c>
      <c r="C51" s="29" t="s">
        <v>1245</v>
      </c>
      <c r="D51" s="8" t="s">
        <v>1255</v>
      </c>
      <c r="E51" s="10" t="s">
        <v>1362</v>
      </c>
      <c r="F51" s="10">
        <v>2</v>
      </c>
      <c r="G51" s="10">
        <v>1</v>
      </c>
      <c r="H51" s="10">
        <v>1</v>
      </c>
      <c r="I51" s="10"/>
      <c r="J51" s="10">
        <v>728</v>
      </c>
      <c r="K51" s="104">
        <v>45712</v>
      </c>
      <c r="L51" s="104">
        <v>45764</v>
      </c>
      <c r="M51" s="10" t="b">
        <v>0</v>
      </c>
      <c r="N51" s="10">
        <v>53</v>
      </c>
      <c r="O51" s="11">
        <v>1325</v>
      </c>
      <c r="P51" s="85">
        <v>1.820054945054945</v>
      </c>
      <c r="Q51" s="11">
        <v>1325</v>
      </c>
      <c r="R51" s="85">
        <v>1.820054945054945</v>
      </c>
      <c r="S51" s="29" t="s">
        <v>2735</v>
      </c>
      <c r="T51" s="29" t="s">
        <v>2790</v>
      </c>
    </row>
    <row r="52">
      <c r="B52" s="29" t="s">
        <v>1217</v>
      </c>
      <c r="C52" s="29" t="s">
        <v>1245</v>
      </c>
      <c r="D52" s="8" t="s">
        <v>1255</v>
      </c>
      <c r="E52" s="10" t="s">
        <v>1363</v>
      </c>
      <c r="F52" s="10">
        <v>1</v>
      </c>
      <c r="G52" s="10">
        <v>1</v>
      </c>
      <c r="H52" s="10">
        <v>1</v>
      </c>
      <c r="I52" s="10"/>
      <c r="J52" s="10">
        <v>728</v>
      </c>
      <c r="K52" s="104">
        <v>45722</v>
      </c>
      <c r="L52" s="104"/>
      <c r="M52" s="10" t="b">
        <v>1</v>
      </c>
      <c r="N52" s="10"/>
      <c r="O52" s="11">
        <v>1330</v>
      </c>
      <c r="P52" s="85">
        <v>1.8269230769230769</v>
      </c>
      <c r="Q52" s="11">
        <v>1330</v>
      </c>
      <c r="R52" s="85">
        <v>1.8269230769230769</v>
      </c>
      <c r="S52" s="29" t="s">
        <v>2725</v>
      </c>
      <c r="T52" s="29" t="s">
        <v>2789</v>
      </c>
    </row>
    <row r="53">
      <c r="B53" s="29" t="s">
        <v>1217</v>
      </c>
      <c r="C53" s="29" t="s">
        <v>1245</v>
      </c>
      <c r="D53" s="8" t="s">
        <v>1255</v>
      </c>
      <c r="E53" s="10" t="s">
        <v>1364</v>
      </c>
      <c r="F53" s="10">
        <v>4</v>
      </c>
      <c r="G53" s="10">
        <v>1</v>
      </c>
      <c r="H53" s="10">
        <v>1</v>
      </c>
      <c r="I53" s="10"/>
      <c r="J53" s="10">
        <v>728</v>
      </c>
      <c r="K53" s="104">
        <v>45336</v>
      </c>
      <c r="L53" s="104">
        <v>45449</v>
      </c>
      <c r="M53" s="10" t="b">
        <v>0</v>
      </c>
      <c r="N53" s="10">
        <v>114</v>
      </c>
      <c r="O53" s="11">
        <v>1345</v>
      </c>
      <c r="P53" s="85">
        <v>1.8475274725274726</v>
      </c>
      <c r="Q53" s="11">
        <v>1345</v>
      </c>
      <c r="R53" s="85">
        <v>1.8475274725274726</v>
      </c>
      <c r="S53" s="29" t="s">
        <v>2736</v>
      </c>
      <c r="T53" s="29" t="s">
        <v>2790</v>
      </c>
    </row>
    <row r="54">
      <c r="B54" s="29" t="s">
        <v>1217</v>
      </c>
      <c r="C54" s="29" t="s">
        <v>1245</v>
      </c>
      <c r="D54" s="8" t="s">
        <v>1255</v>
      </c>
      <c r="E54" s="10" t="s">
        <v>1365</v>
      </c>
      <c r="F54" s="10">
        <v>3</v>
      </c>
      <c r="G54" s="10">
        <v>1</v>
      </c>
      <c r="H54" s="10">
        <v>1</v>
      </c>
      <c r="I54" s="10"/>
      <c r="J54" s="10">
        <v>728</v>
      </c>
      <c r="K54" s="104">
        <v>45395</v>
      </c>
      <c r="L54" s="104">
        <v>45494</v>
      </c>
      <c r="M54" s="10" t="b">
        <v>0</v>
      </c>
      <c r="N54" s="10">
        <v>100</v>
      </c>
      <c r="O54" s="11">
        <v>1345</v>
      </c>
      <c r="P54" s="85">
        <v>1.8475274725274726</v>
      </c>
      <c r="Q54" s="11">
        <v>1345</v>
      </c>
      <c r="R54" s="85">
        <v>1.8475274725274726</v>
      </c>
      <c r="S54" s="29" t="s">
        <v>2739</v>
      </c>
      <c r="T54" s="29" t="s">
        <v>2790</v>
      </c>
    </row>
    <row r="55">
      <c r="B55" s="29" t="s">
        <v>1217</v>
      </c>
      <c r="C55" s="29" t="s">
        <v>1245</v>
      </c>
      <c r="D55" s="8" t="s">
        <v>1255</v>
      </c>
      <c r="E55" s="10" t="s">
        <v>1366</v>
      </c>
      <c r="F55" s="10">
        <v>1</v>
      </c>
      <c r="G55" s="10">
        <v>1</v>
      </c>
      <c r="H55" s="10">
        <v>1</v>
      </c>
      <c r="I55" s="10"/>
      <c r="J55" s="10">
        <v>728</v>
      </c>
      <c r="K55" s="104">
        <v>45577</v>
      </c>
      <c r="L55" s="104">
        <v>45707</v>
      </c>
      <c r="M55" s="10" t="b">
        <v>0</v>
      </c>
      <c r="N55" s="10">
        <v>131</v>
      </c>
      <c r="O55" s="11">
        <v>1345</v>
      </c>
      <c r="P55" s="85">
        <v>1.8475274725274726</v>
      </c>
      <c r="Q55" s="11">
        <v>1345</v>
      </c>
      <c r="R55" s="85">
        <v>1.8475274725274726</v>
      </c>
      <c r="S55" s="29" t="s">
        <v>2728</v>
      </c>
      <c r="T55" s="29" t="s">
        <v>2789</v>
      </c>
    </row>
    <row r="56">
      <c r="B56" s="29" t="s">
        <v>1217</v>
      </c>
      <c r="C56" s="29" t="s">
        <v>1245</v>
      </c>
      <c r="D56" s="8" t="s">
        <v>1255</v>
      </c>
      <c r="E56" s="10" t="s">
        <v>1367</v>
      </c>
      <c r="F56" s="10">
        <v>1</v>
      </c>
      <c r="G56" s="10">
        <v>1</v>
      </c>
      <c r="H56" s="10">
        <v>1</v>
      </c>
      <c r="I56" s="10"/>
      <c r="J56" s="10">
        <v>728</v>
      </c>
      <c r="K56" s="104">
        <v>45681</v>
      </c>
      <c r="L56" s="104">
        <v>45719</v>
      </c>
      <c r="M56" s="10" t="b">
        <v>0</v>
      </c>
      <c r="N56" s="10">
        <v>39</v>
      </c>
      <c r="O56" s="11">
        <v>1345</v>
      </c>
      <c r="P56" s="85">
        <v>1.8475274725274726</v>
      </c>
      <c r="Q56" s="11">
        <v>1345</v>
      </c>
      <c r="R56" s="85">
        <v>1.8475274725274726</v>
      </c>
      <c r="S56" s="29" t="s">
        <v>2740</v>
      </c>
      <c r="T56" s="29" t="s">
        <v>2789</v>
      </c>
    </row>
    <row r="57">
      <c r="B57" s="29" t="s">
        <v>1217</v>
      </c>
      <c r="C57" s="29" t="s">
        <v>1245</v>
      </c>
      <c r="D57" s="8" t="s">
        <v>1255</v>
      </c>
      <c r="E57" s="10" t="s">
        <v>1368</v>
      </c>
      <c r="F57" s="10">
        <v>2</v>
      </c>
      <c r="G57" s="10">
        <v>1</v>
      </c>
      <c r="H57" s="10">
        <v>1</v>
      </c>
      <c r="I57" s="10"/>
      <c r="J57" s="10">
        <v>728</v>
      </c>
      <c r="K57" s="104">
        <v>45773</v>
      </c>
      <c r="L57" s="104">
        <v>45776</v>
      </c>
      <c r="M57" s="10" t="b">
        <v>0</v>
      </c>
      <c r="N57" s="10">
        <v>4</v>
      </c>
      <c r="O57" s="11">
        <v>1350</v>
      </c>
      <c r="P57" s="85">
        <v>1.8543956043956045</v>
      </c>
      <c r="Q57" s="11">
        <v>1350</v>
      </c>
      <c r="R57" s="85">
        <v>1.8543956043956045</v>
      </c>
      <c r="S57" s="29" t="s">
        <v>2741</v>
      </c>
      <c r="T57" s="29" t="s">
        <v>2792</v>
      </c>
    </row>
    <row r="58">
      <c r="B58" s="29" t="s">
        <v>1217</v>
      </c>
      <c r="C58" s="29" t="s">
        <v>1245</v>
      </c>
      <c r="D58" s="8" t="s">
        <v>1255</v>
      </c>
      <c r="E58" s="10" t="s">
        <v>1369</v>
      </c>
      <c r="F58" s="10">
        <v>1</v>
      </c>
      <c r="G58" s="10">
        <v>1</v>
      </c>
      <c r="H58" s="10">
        <v>1</v>
      </c>
      <c r="I58" s="10"/>
      <c r="J58" s="10">
        <v>728</v>
      </c>
      <c r="K58" s="104">
        <v>45379</v>
      </c>
      <c r="L58" s="104">
        <v>45450</v>
      </c>
      <c r="M58" s="10" t="b">
        <v>0</v>
      </c>
      <c r="N58" s="10">
        <v>72</v>
      </c>
      <c r="O58" s="11">
        <v>1350</v>
      </c>
      <c r="P58" s="85">
        <v>1.8543956043956045</v>
      </c>
      <c r="Q58" s="11">
        <v>1350</v>
      </c>
      <c r="R58" s="85">
        <v>1.8543956043956045</v>
      </c>
      <c r="S58" s="29" t="s">
        <v>2736</v>
      </c>
      <c r="T58" s="29" t="s">
        <v>2790</v>
      </c>
    </row>
    <row r="59">
      <c r="B59" s="29" t="s">
        <v>1217</v>
      </c>
      <c r="C59" s="29" t="s">
        <v>1245</v>
      </c>
      <c r="D59" s="8" t="s">
        <v>1255</v>
      </c>
      <c r="E59" s="10" t="s">
        <v>1370</v>
      </c>
      <c r="F59" s="10">
        <v>1</v>
      </c>
      <c r="G59" s="10">
        <v>1</v>
      </c>
      <c r="H59" s="10">
        <v>1</v>
      </c>
      <c r="I59" s="10"/>
      <c r="J59" s="10">
        <v>728</v>
      </c>
      <c r="K59" s="104">
        <v>45784</v>
      </c>
      <c r="L59" s="104"/>
      <c r="M59" s="10" t="b">
        <v>1</v>
      </c>
      <c r="N59" s="10"/>
      <c r="O59" s="11">
        <v>1355</v>
      </c>
      <c r="P59" s="85">
        <v>1.8612637362637363</v>
      </c>
      <c r="Q59" s="11">
        <v>1355</v>
      </c>
      <c r="R59" s="85">
        <v>1.8612637362637363</v>
      </c>
      <c r="S59" s="29" t="s">
        <v>2736</v>
      </c>
      <c r="T59" s="29" t="s">
        <v>2790</v>
      </c>
    </row>
    <row r="60">
      <c r="B60" s="29" t="s">
        <v>1217</v>
      </c>
      <c r="C60" s="29" t="s">
        <v>1245</v>
      </c>
      <c r="D60" s="8" t="s">
        <v>1255</v>
      </c>
      <c r="E60" s="10" t="s">
        <v>1371</v>
      </c>
      <c r="F60" s="10">
        <v>4</v>
      </c>
      <c r="G60" s="10">
        <v>1</v>
      </c>
      <c r="H60" s="10">
        <v>1</v>
      </c>
      <c r="I60" s="10"/>
      <c r="J60" s="10">
        <v>728</v>
      </c>
      <c r="K60" s="104">
        <v>45763</v>
      </c>
      <c r="L60" s="104">
        <v>45784</v>
      </c>
      <c r="M60" s="10" t="b">
        <v>0</v>
      </c>
      <c r="N60" s="10">
        <v>22</v>
      </c>
      <c r="O60" s="11">
        <v>1355</v>
      </c>
      <c r="P60" s="85">
        <v>1.8612637362637363</v>
      </c>
      <c r="Q60" s="11">
        <v>1355</v>
      </c>
      <c r="R60" s="85">
        <v>1.8612637362637363</v>
      </c>
      <c r="S60" s="29" t="s">
        <v>2736</v>
      </c>
      <c r="T60" s="29" t="s">
        <v>2790</v>
      </c>
    </row>
    <row r="61">
      <c r="B61" s="29" t="s">
        <v>1217</v>
      </c>
      <c r="C61" s="29" t="s">
        <v>1245</v>
      </c>
      <c r="D61" s="8" t="s">
        <v>1255</v>
      </c>
      <c r="E61" s="10" t="s">
        <v>1372</v>
      </c>
      <c r="F61" s="10">
        <v>1</v>
      </c>
      <c r="G61" s="10">
        <v>1</v>
      </c>
      <c r="H61" s="10">
        <v>1</v>
      </c>
      <c r="I61" s="10"/>
      <c r="J61" s="10">
        <v>728</v>
      </c>
      <c r="K61" s="104">
        <v>45647</v>
      </c>
      <c r="L61" s="104"/>
      <c r="M61" s="10" t="b">
        <v>1</v>
      </c>
      <c r="N61" s="10"/>
      <c r="O61" s="11">
        <v>1360</v>
      </c>
      <c r="P61" s="85">
        <v>1.8681318681318682</v>
      </c>
      <c r="Q61" s="11">
        <v>1360</v>
      </c>
      <c r="R61" s="85">
        <v>1.8681318681318682</v>
      </c>
      <c r="S61" s="29" t="s">
        <v>2742</v>
      </c>
      <c r="T61" s="29" t="s">
        <v>2790</v>
      </c>
    </row>
    <row r="62">
      <c r="B62" s="29" t="s">
        <v>1217</v>
      </c>
      <c r="C62" s="29" t="s">
        <v>1245</v>
      </c>
      <c r="D62" s="8" t="s">
        <v>1255</v>
      </c>
      <c r="E62" s="10" t="s">
        <v>1373</v>
      </c>
      <c r="F62" s="10">
        <v>4</v>
      </c>
      <c r="G62" s="10">
        <v>1</v>
      </c>
      <c r="H62" s="10">
        <v>1</v>
      </c>
      <c r="I62" s="10"/>
      <c r="J62" s="10">
        <v>728</v>
      </c>
      <c r="K62" s="104">
        <v>45462</v>
      </c>
      <c r="L62" s="104">
        <v>45463</v>
      </c>
      <c r="M62" s="10" t="b">
        <v>0</v>
      </c>
      <c r="N62" s="10">
        <v>2</v>
      </c>
      <c r="O62" s="11">
        <v>1360</v>
      </c>
      <c r="P62" s="85">
        <v>1.8681318681318682</v>
      </c>
      <c r="Q62" s="11">
        <v>1360</v>
      </c>
      <c r="R62" s="85">
        <v>1.8681318681318682</v>
      </c>
      <c r="S62" s="29" t="s">
        <v>2735</v>
      </c>
      <c r="T62" s="29" t="s">
        <v>2790</v>
      </c>
    </row>
    <row r="63">
      <c r="B63" s="29" t="s">
        <v>1217</v>
      </c>
      <c r="C63" s="29" t="s">
        <v>1245</v>
      </c>
      <c r="D63" s="8" t="s">
        <v>1255</v>
      </c>
      <c r="E63" s="10" t="s">
        <v>1374</v>
      </c>
      <c r="F63" s="10">
        <v>1</v>
      </c>
      <c r="G63" s="10">
        <v>1</v>
      </c>
      <c r="H63" s="10">
        <v>1</v>
      </c>
      <c r="I63" s="10"/>
      <c r="J63" s="10">
        <v>728</v>
      </c>
      <c r="K63" s="104">
        <v>45702</v>
      </c>
      <c r="L63" s="104">
        <v>45781</v>
      </c>
      <c r="M63" s="10" t="b">
        <v>0</v>
      </c>
      <c r="N63" s="10">
        <v>80</v>
      </c>
      <c r="O63" s="11">
        <v>1360</v>
      </c>
      <c r="P63" s="85">
        <v>1.8681318681318682</v>
      </c>
      <c r="Q63" s="11">
        <v>1360</v>
      </c>
      <c r="R63" s="85">
        <v>1.8681318681318682</v>
      </c>
      <c r="S63" s="29" t="s">
        <v>2743</v>
      </c>
      <c r="T63" s="29" t="s">
        <v>2792</v>
      </c>
    </row>
    <row r="64">
      <c r="B64" s="29" t="s">
        <v>1217</v>
      </c>
      <c r="C64" s="29" t="s">
        <v>1245</v>
      </c>
      <c r="D64" s="8" t="s">
        <v>1255</v>
      </c>
      <c r="E64" s="10" t="s">
        <v>1375</v>
      </c>
      <c r="F64" s="10">
        <v>2</v>
      </c>
      <c r="G64" s="10">
        <v>1</v>
      </c>
      <c r="H64" s="10">
        <v>1</v>
      </c>
      <c r="I64" s="10"/>
      <c r="J64" s="10">
        <v>728</v>
      </c>
      <c r="K64" s="104">
        <v>45395</v>
      </c>
      <c r="L64" s="104">
        <v>45464</v>
      </c>
      <c r="M64" s="10" t="b">
        <v>0</v>
      </c>
      <c r="N64" s="10">
        <v>70</v>
      </c>
      <c r="O64" s="11">
        <v>1365</v>
      </c>
      <c r="P64" s="85">
        <v>1.875</v>
      </c>
      <c r="Q64" s="11">
        <v>1365</v>
      </c>
      <c r="R64" s="85">
        <v>1.875</v>
      </c>
      <c r="S64" s="29" t="s">
        <v>2735</v>
      </c>
      <c r="T64" s="29" t="s">
        <v>2790</v>
      </c>
    </row>
    <row r="65">
      <c r="B65" s="29" t="s">
        <v>1217</v>
      </c>
      <c r="C65" s="29" t="s">
        <v>1245</v>
      </c>
      <c r="D65" s="8" t="s">
        <v>1255</v>
      </c>
      <c r="E65" s="10" t="s">
        <v>1376</v>
      </c>
      <c r="F65" s="10">
        <v>1</v>
      </c>
      <c r="G65" s="10">
        <v>1</v>
      </c>
      <c r="H65" s="10">
        <v>1</v>
      </c>
      <c r="I65" s="10"/>
      <c r="J65" s="10">
        <v>728</v>
      </c>
      <c r="K65" s="104">
        <v>45610</v>
      </c>
      <c r="L65" s="104">
        <v>45707</v>
      </c>
      <c r="M65" s="10" t="b">
        <v>0</v>
      </c>
      <c r="N65" s="10">
        <v>98</v>
      </c>
      <c r="O65" s="11">
        <v>1370</v>
      </c>
      <c r="P65" s="85">
        <v>1.8818681318681318</v>
      </c>
      <c r="Q65" s="11">
        <v>1370</v>
      </c>
      <c r="R65" s="85">
        <v>1.8818681318681318</v>
      </c>
      <c r="S65" s="29" t="s">
        <v>2725</v>
      </c>
      <c r="T65" s="29" t="s">
        <v>2789</v>
      </c>
    </row>
    <row r="66">
      <c r="B66" s="29" t="s">
        <v>1217</v>
      </c>
      <c r="C66" s="29" t="s">
        <v>1245</v>
      </c>
      <c r="D66" s="8" t="s">
        <v>1255</v>
      </c>
      <c r="E66" s="10" t="s">
        <v>1377</v>
      </c>
      <c r="F66" s="10">
        <v>4</v>
      </c>
      <c r="G66" s="10">
        <v>1</v>
      </c>
      <c r="H66" s="10">
        <v>1</v>
      </c>
      <c r="I66" s="10"/>
      <c r="J66" s="10">
        <v>728</v>
      </c>
      <c r="K66" s="104">
        <v>45414</v>
      </c>
      <c r="L66" s="104">
        <v>45491</v>
      </c>
      <c r="M66" s="10" t="b">
        <v>0</v>
      </c>
      <c r="N66" s="10">
        <v>78</v>
      </c>
      <c r="O66" s="11">
        <v>1375</v>
      </c>
      <c r="P66" s="85">
        <v>1.8887362637362637</v>
      </c>
      <c r="Q66" s="11">
        <v>1375</v>
      </c>
      <c r="R66" s="85">
        <v>1.8887362637362637</v>
      </c>
      <c r="S66" s="29" t="s">
        <v>2736</v>
      </c>
      <c r="T66" s="29" t="s">
        <v>2790</v>
      </c>
    </row>
    <row r="67">
      <c r="B67" s="29" t="s">
        <v>1217</v>
      </c>
      <c r="C67" s="29" t="s">
        <v>1245</v>
      </c>
      <c r="D67" s="8" t="s">
        <v>1255</v>
      </c>
      <c r="E67" s="10" t="s">
        <v>1378</v>
      </c>
      <c r="F67" s="10">
        <v>1</v>
      </c>
      <c r="G67" s="10">
        <v>1</v>
      </c>
      <c r="H67" s="10">
        <v>1</v>
      </c>
      <c r="I67" s="10"/>
      <c r="J67" s="10">
        <v>728</v>
      </c>
      <c r="K67" s="104">
        <v>45371</v>
      </c>
      <c r="L67" s="104">
        <v>45452</v>
      </c>
      <c r="M67" s="10" t="b">
        <v>0</v>
      </c>
      <c r="N67" s="10">
        <v>82</v>
      </c>
      <c r="O67" s="11">
        <v>1385</v>
      </c>
      <c r="P67" s="85">
        <v>1.9024725274725274</v>
      </c>
      <c r="Q67" s="11">
        <v>1385</v>
      </c>
      <c r="R67" s="85">
        <v>1.9024725274725274</v>
      </c>
      <c r="S67" s="29" t="s">
        <v>2744</v>
      </c>
      <c r="T67" s="29" t="s">
        <v>2790</v>
      </c>
    </row>
    <row r="68">
      <c r="B68" s="29" t="s">
        <v>1217</v>
      </c>
      <c r="C68" s="29" t="s">
        <v>1245</v>
      </c>
      <c r="D68" s="8" t="s">
        <v>1255</v>
      </c>
      <c r="E68" s="10" t="s">
        <v>1379</v>
      </c>
      <c r="F68" s="10">
        <v>4</v>
      </c>
      <c r="G68" s="10">
        <v>1</v>
      </c>
      <c r="H68" s="10">
        <v>1</v>
      </c>
      <c r="I68" s="10"/>
      <c r="J68" s="10">
        <v>728</v>
      </c>
      <c r="K68" s="104">
        <v>45435</v>
      </c>
      <c r="L68" s="104">
        <v>45483</v>
      </c>
      <c r="M68" s="10" t="b">
        <v>0</v>
      </c>
      <c r="N68" s="10">
        <v>49</v>
      </c>
      <c r="O68" s="11">
        <v>1385</v>
      </c>
      <c r="P68" s="85">
        <v>1.9024725274725274</v>
      </c>
      <c r="Q68" s="11">
        <v>1310</v>
      </c>
      <c r="R68" s="85">
        <v>1.7994505494505495</v>
      </c>
      <c r="S68" s="29" t="s">
        <v>2735</v>
      </c>
      <c r="T68" s="29" t="s">
        <v>2790</v>
      </c>
    </row>
    <row r="69">
      <c r="B69" s="29" t="s">
        <v>1217</v>
      </c>
      <c r="C69" s="29" t="s">
        <v>1245</v>
      </c>
      <c r="D69" s="8" t="s">
        <v>1255</v>
      </c>
      <c r="E69" s="10" t="s">
        <v>1380</v>
      </c>
      <c r="F69" s="10">
        <v>1</v>
      </c>
      <c r="G69" s="10">
        <v>1</v>
      </c>
      <c r="H69" s="10">
        <v>1</v>
      </c>
      <c r="I69" s="10"/>
      <c r="J69" s="10">
        <v>728</v>
      </c>
      <c r="K69" s="104">
        <v>45422</v>
      </c>
      <c r="L69" s="104">
        <v>45484</v>
      </c>
      <c r="M69" s="10" t="b">
        <v>0</v>
      </c>
      <c r="N69" s="10">
        <v>63</v>
      </c>
      <c r="O69" s="11">
        <v>1390</v>
      </c>
      <c r="P69" s="85">
        <v>1.9093406593406594</v>
      </c>
      <c r="Q69" s="11">
        <v>1390</v>
      </c>
      <c r="R69" s="85">
        <v>1.9093406593406594</v>
      </c>
      <c r="S69" s="29" t="s">
        <v>2735</v>
      </c>
      <c r="T69" s="29" t="s">
        <v>2790</v>
      </c>
    </row>
    <row r="70">
      <c r="B70" s="29" t="s">
        <v>1217</v>
      </c>
      <c r="C70" s="29" t="s">
        <v>1245</v>
      </c>
      <c r="D70" s="8" t="s">
        <v>1255</v>
      </c>
      <c r="E70" s="10" t="s">
        <v>1381</v>
      </c>
      <c r="F70" s="10">
        <v>2</v>
      </c>
      <c r="G70" s="10">
        <v>1</v>
      </c>
      <c r="H70" s="10">
        <v>1</v>
      </c>
      <c r="I70" s="10"/>
      <c r="J70" s="10">
        <v>728</v>
      </c>
      <c r="K70" s="104">
        <v>45371</v>
      </c>
      <c r="L70" s="104">
        <v>45467</v>
      </c>
      <c r="M70" s="10" t="b">
        <v>0</v>
      </c>
      <c r="N70" s="10">
        <v>97</v>
      </c>
      <c r="O70" s="11">
        <v>1410</v>
      </c>
      <c r="P70" s="85">
        <v>1.9368131868131868</v>
      </c>
      <c r="Q70" s="11">
        <v>1410</v>
      </c>
      <c r="R70" s="85">
        <v>1.9368131868131868</v>
      </c>
      <c r="S70" s="29" t="s">
        <v>2745</v>
      </c>
      <c r="T70" s="29" t="s">
        <v>2790</v>
      </c>
    </row>
    <row r="71">
      <c r="B71" s="29" t="s">
        <v>1217</v>
      </c>
      <c r="C71" s="29" t="s">
        <v>1245</v>
      </c>
      <c r="D71" s="8" t="s">
        <v>1255</v>
      </c>
      <c r="E71" s="10" t="s">
        <v>1382</v>
      </c>
      <c r="F71" s="10">
        <v>1</v>
      </c>
      <c r="G71" s="10">
        <v>1</v>
      </c>
      <c r="H71" s="10">
        <v>1</v>
      </c>
      <c r="I71" s="10"/>
      <c r="J71" s="10">
        <v>728</v>
      </c>
      <c r="K71" s="104">
        <v>45381</v>
      </c>
      <c r="L71" s="104">
        <v>45398</v>
      </c>
      <c r="M71" s="10" t="b">
        <v>0</v>
      </c>
      <c r="N71" s="10">
        <v>18</v>
      </c>
      <c r="O71" s="11">
        <v>1100</v>
      </c>
      <c r="P71" s="85">
        <v>1.510989010989011</v>
      </c>
      <c r="Q71" s="11">
        <v>1100</v>
      </c>
      <c r="R71" s="85">
        <v>1.510989010989011</v>
      </c>
      <c r="S71" s="29" t="s">
        <v>2719</v>
      </c>
      <c r="T71" s="29" t="s">
        <v>2719</v>
      </c>
    </row>
    <row r="72">
      <c r="B72" s="29" t="s">
        <v>1217</v>
      </c>
      <c r="C72" s="29" t="s">
        <v>1245</v>
      </c>
      <c r="D72" s="8" t="s">
        <v>1256</v>
      </c>
      <c r="E72" s="10" t="s">
        <v>1383</v>
      </c>
      <c r="F72" s="10">
        <v>2</v>
      </c>
      <c r="G72" s="10">
        <v>1</v>
      </c>
      <c r="H72" s="10">
        <v>1</v>
      </c>
      <c r="I72" s="10"/>
      <c r="J72" s="10">
        <v>728</v>
      </c>
      <c r="K72" s="104">
        <v>45337</v>
      </c>
      <c r="L72" s="104">
        <v>45341</v>
      </c>
      <c r="M72" s="10" t="b">
        <v>0</v>
      </c>
      <c r="N72" s="10">
        <v>5</v>
      </c>
      <c r="O72" s="11">
        <v>1110</v>
      </c>
      <c r="P72" s="85">
        <v>1.5247252747252746</v>
      </c>
      <c r="Q72" s="11">
        <v>1110</v>
      </c>
      <c r="R72" s="85">
        <v>1.5247252747252746</v>
      </c>
      <c r="S72" s="29" t="s">
        <v>2719</v>
      </c>
      <c r="T72" s="29" t="s">
        <v>2719</v>
      </c>
    </row>
    <row r="73">
      <c r="B73" s="29" t="s">
        <v>1217</v>
      </c>
      <c r="C73" s="29" t="s">
        <v>1245</v>
      </c>
      <c r="D73" s="8" t="s">
        <v>1255</v>
      </c>
      <c r="E73" s="10" t="s">
        <v>1384</v>
      </c>
      <c r="F73" s="10">
        <v>2</v>
      </c>
      <c r="G73" s="10">
        <v>1</v>
      </c>
      <c r="H73" s="10">
        <v>1</v>
      </c>
      <c r="I73" s="10"/>
      <c r="J73" s="10">
        <v>728</v>
      </c>
      <c r="K73" s="104">
        <v>45398</v>
      </c>
      <c r="L73" s="104">
        <v>45399</v>
      </c>
      <c r="M73" s="10" t="b">
        <v>0</v>
      </c>
      <c r="N73" s="10">
        <v>2</v>
      </c>
      <c r="O73" s="11">
        <v>1110</v>
      </c>
      <c r="P73" s="85">
        <v>1.5247252747252746</v>
      </c>
      <c r="Q73" s="11">
        <v>1110</v>
      </c>
      <c r="R73" s="85">
        <v>1.5247252747252746</v>
      </c>
      <c r="S73" s="29" t="s">
        <v>2719</v>
      </c>
      <c r="T73" s="29" t="s">
        <v>2719</v>
      </c>
    </row>
    <row r="74">
      <c r="B74" s="29" t="s">
        <v>1217</v>
      </c>
      <c r="C74" s="29" t="s">
        <v>1245</v>
      </c>
      <c r="D74" s="8" t="s">
        <v>1255</v>
      </c>
      <c r="E74" s="10" t="s">
        <v>1385</v>
      </c>
      <c r="F74" s="10">
        <v>2</v>
      </c>
      <c r="G74" s="10">
        <v>1</v>
      </c>
      <c r="H74" s="10">
        <v>1</v>
      </c>
      <c r="I74" s="10"/>
      <c r="J74" s="10">
        <v>728</v>
      </c>
      <c r="K74" s="104">
        <v>45373</v>
      </c>
      <c r="L74" s="104">
        <v>45375</v>
      </c>
      <c r="M74" s="10" t="b">
        <v>0</v>
      </c>
      <c r="N74" s="10">
        <v>3</v>
      </c>
      <c r="O74" s="11">
        <v>1170</v>
      </c>
      <c r="P74" s="85">
        <v>1.6071428571428572</v>
      </c>
      <c r="Q74" s="11">
        <v>1087</v>
      </c>
      <c r="R74" s="85">
        <v>1.4931318681318682</v>
      </c>
      <c r="S74" s="29" t="s">
        <v>2719</v>
      </c>
      <c r="T74" s="29" t="s">
        <v>2719</v>
      </c>
    </row>
    <row r="75">
      <c r="B75" s="29" t="s">
        <v>1217</v>
      </c>
      <c r="C75" s="29" t="s">
        <v>1245</v>
      </c>
      <c r="D75" s="8" t="s">
        <v>1255</v>
      </c>
      <c r="E75" s="10" t="s">
        <v>1386</v>
      </c>
      <c r="F75" s="10">
        <v>1</v>
      </c>
      <c r="G75" s="10">
        <v>1</v>
      </c>
      <c r="H75" s="10">
        <v>1</v>
      </c>
      <c r="I75" s="10"/>
      <c r="J75" s="10">
        <v>728</v>
      </c>
      <c r="K75" s="104">
        <v>45343</v>
      </c>
      <c r="L75" s="104">
        <v>45375</v>
      </c>
      <c r="M75" s="10" t="b">
        <v>0</v>
      </c>
      <c r="N75" s="10">
        <v>33</v>
      </c>
      <c r="O75" s="11">
        <v>1185</v>
      </c>
      <c r="P75" s="85">
        <v>1.6277472527472527</v>
      </c>
      <c r="Q75" s="11">
        <v>1185</v>
      </c>
      <c r="R75" s="85">
        <v>1.6277472527472527</v>
      </c>
      <c r="S75" s="29" t="s">
        <v>2719</v>
      </c>
      <c r="T75" s="29" t="s">
        <v>2719</v>
      </c>
    </row>
    <row r="76">
      <c r="B76" s="29" t="s">
        <v>1217</v>
      </c>
      <c r="C76" s="29" t="s">
        <v>1245</v>
      </c>
      <c r="D76" s="8" t="s">
        <v>1255</v>
      </c>
      <c r="E76" s="10" t="s">
        <v>1387</v>
      </c>
      <c r="F76" s="10">
        <v>1</v>
      </c>
      <c r="G76" s="10">
        <v>1</v>
      </c>
      <c r="H76" s="10">
        <v>1</v>
      </c>
      <c r="I76" s="10"/>
      <c r="J76" s="10">
        <v>728</v>
      </c>
      <c r="K76" s="104">
        <v>45337</v>
      </c>
      <c r="L76" s="104">
        <v>45384</v>
      </c>
      <c r="M76" s="10" t="b">
        <v>0</v>
      </c>
      <c r="N76" s="10">
        <v>48</v>
      </c>
      <c r="O76" s="11">
        <v>1200</v>
      </c>
      <c r="P76" s="85">
        <v>1.6483516483516483</v>
      </c>
      <c r="Q76" s="11">
        <v>1200</v>
      </c>
      <c r="R76" s="85">
        <v>1.6483516483516483</v>
      </c>
      <c r="S76" s="29" t="s">
        <v>2719</v>
      </c>
      <c r="T76" s="29" t="s">
        <v>2719</v>
      </c>
    </row>
    <row r="77">
      <c r="B77" s="29" t="s">
        <v>1217</v>
      </c>
      <c r="C77" s="29" t="s">
        <v>1245</v>
      </c>
      <c r="D77" s="8" t="s">
        <v>1255</v>
      </c>
      <c r="E77" s="10" t="s">
        <v>1388</v>
      </c>
      <c r="F77" s="10">
        <v>1</v>
      </c>
      <c r="G77" s="10">
        <v>1</v>
      </c>
      <c r="H77" s="10">
        <v>1</v>
      </c>
      <c r="I77" s="10"/>
      <c r="J77" s="10">
        <v>728</v>
      </c>
      <c r="K77" s="104">
        <v>45303</v>
      </c>
      <c r="L77" s="104">
        <v>45398</v>
      </c>
      <c r="M77" s="10" t="b">
        <v>0</v>
      </c>
      <c r="N77" s="10">
        <v>96</v>
      </c>
      <c r="O77" s="11">
        <v>1210</v>
      </c>
      <c r="P77" s="85">
        <v>1.6620879120879122</v>
      </c>
      <c r="Q77" s="11">
        <v>1210</v>
      </c>
      <c r="R77" s="85">
        <v>1.6620879120879122</v>
      </c>
      <c r="S77" s="29" t="s">
        <v>2719</v>
      </c>
      <c r="T77" s="29" t="s">
        <v>2719</v>
      </c>
    </row>
    <row r="78">
      <c r="B78" s="29" t="s">
        <v>1217</v>
      </c>
      <c r="C78" s="29" t="s">
        <v>1245</v>
      </c>
      <c r="D78" s="8" t="s">
        <v>1256</v>
      </c>
      <c r="E78" s="10" t="s">
        <v>1389</v>
      </c>
      <c r="F78" s="10">
        <v>1</v>
      </c>
      <c r="G78" s="10">
        <v>1</v>
      </c>
      <c r="H78" s="10">
        <v>1</v>
      </c>
      <c r="I78" s="10"/>
      <c r="J78" s="10">
        <v>728</v>
      </c>
      <c r="K78" s="104">
        <v>45295</v>
      </c>
      <c r="L78" s="104">
        <v>45325</v>
      </c>
      <c r="M78" s="10" t="b">
        <v>0</v>
      </c>
      <c r="N78" s="10">
        <v>31</v>
      </c>
      <c r="O78" s="11">
        <v>1215</v>
      </c>
      <c r="P78" s="85">
        <v>1.668956043956044</v>
      </c>
      <c r="Q78" s="11">
        <v>1215</v>
      </c>
      <c r="R78" s="85">
        <v>1.668956043956044</v>
      </c>
      <c r="S78" s="29" t="s">
        <v>2719</v>
      </c>
      <c r="T78" s="29" t="s">
        <v>2719</v>
      </c>
    </row>
    <row r="79">
      <c r="B79" s="29" t="s">
        <v>1217</v>
      </c>
      <c r="C79" s="29" t="s">
        <v>1245</v>
      </c>
      <c r="D79" s="8" t="s">
        <v>1256</v>
      </c>
      <c r="E79" s="10" t="s">
        <v>1390</v>
      </c>
      <c r="F79" s="10">
        <v>3</v>
      </c>
      <c r="G79" s="10">
        <v>1</v>
      </c>
      <c r="H79" s="10">
        <v>1</v>
      </c>
      <c r="I79" s="10"/>
      <c r="J79" s="10">
        <v>728</v>
      </c>
      <c r="K79" s="104">
        <v>45268</v>
      </c>
      <c r="L79" s="104">
        <v>45358</v>
      </c>
      <c r="M79" s="10" t="b">
        <v>0</v>
      </c>
      <c r="N79" s="10">
        <v>91</v>
      </c>
      <c r="O79" s="11">
        <v>1215</v>
      </c>
      <c r="P79" s="85">
        <v>1.668956043956044</v>
      </c>
      <c r="Q79" s="11">
        <v>1215</v>
      </c>
      <c r="R79" s="85">
        <v>1.668956043956044</v>
      </c>
      <c r="S79" s="29" t="s">
        <v>2719</v>
      </c>
      <c r="T79" s="29" t="s">
        <v>2719</v>
      </c>
    </row>
    <row r="80">
      <c r="B80" s="29" t="s">
        <v>1217</v>
      </c>
      <c r="C80" s="29" t="s">
        <v>1245</v>
      </c>
      <c r="D80" s="8" t="s">
        <v>1255</v>
      </c>
      <c r="E80" s="10" t="s">
        <v>1391</v>
      </c>
      <c r="F80" s="10">
        <v>1</v>
      </c>
      <c r="G80" s="10">
        <v>1</v>
      </c>
      <c r="H80" s="10">
        <v>1</v>
      </c>
      <c r="I80" s="10"/>
      <c r="J80" s="10">
        <v>728</v>
      </c>
      <c r="K80" s="104">
        <v>45356</v>
      </c>
      <c r="L80" s="104">
        <v>45394</v>
      </c>
      <c r="M80" s="10" t="b">
        <v>0</v>
      </c>
      <c r="N80" s="10">
        <v>39</v>
      </c>
      <c r="O80" s="11">
        <v>1215</v>
      </c>
      <c r="P80" s="85">
        <v>1.668956043956044</v>
      </c>
      <c r="Q80" s="11">
        <v>1215</v>
      </c>
      <c r="R80" s="85">
        <v>1.668956043956044</v>
      </c>
      <c r="S80" s="29" t="s">
        <v>2719</v>
      </c>
      <c r="T80" s="29" t="s">
        <v>2719</v>
      </c>
    </row>
    <row r="81">
      <c r="B81" s="29" t="s">
        <v>1217</v>
      </c>
      <c r="C81" s="29" t="s">
        <v>1245</v>
      </c>
      <c r="D81" s="8" t="s">
        <v>1255</v>
      </c>
      <c r="E81" s="10" t="s">
        <v>1392</v>
      </c>
      <c r="F81" s="10">
        <v>1</v>
      </c>
      <c r="G81" s="10">
        <v>1</v>
      </c>
      <c r="H81" s="10">
        <v>1</v>
      </c>
      <c r="I81" s="10"/>
      <c r="J81" s="10">
        <v>728</v>
      </c>
      <c r="K81" s="104">
        <v>45132</v>
      </c>
      <c r="L81" s="104">
        <v>45384</v>
      </c>
      <c r="M81" s="10" t="b">
        <v>0</v>
      </c>
      <c r="N81" s="10">
        <v>253</v>
      </c>
      <c r="O81" s="11">
        <v>1215</v>
      </c>
      <c r="P81" s="85">
        <v>1.668956043956044</v>
      </c>
      <c r="Q81" s="11">
        <v>1132</v>
      </c>
      <c r="R81" s="85">
        <v>1.554945054945055</v>
      </c>
      <c r="S81" s="29" t="s">
        <v>2719</v>
      </c>
      <c r="T81" s="29" t="s">
        <v>2719</v>
      </c>
    </row>
    <row r="82">
      <c r="B82" s="29" t="s">
        <v>1217</v>
      </c>
      <c r="C82" s="29" t="s">
        <v>1245</v>
      </c>
      <c r="D82" s="8" t="s">
        <v>1256</v>
      </c>
      <c r="E82" s="10" t="s">
        <v>1393</v>
      </c>
      <c r="F82" s="10">
        <v>4</v>
      </c>
      <c r="G82" s="10">
        <v>1</v>
      </c>
      <c r="H82" s="10">
        <v>1</v>
      </c>
      <c r="I82" s="10"/>
      <c r="J82" s="10">
        <v>728</v>
      </c>
      <c r="K82" s="104">
        <v>45163</v>
      </c>
      <c r="L82" s="104">
        <v>45212</v>
      </c>
      <c r="M82" s="10" t="b">
        <v>0</v>
      </c>
      <c r="N82" s="10">
        <v>50</v>
      </c>
      <c r="O82" s="11">
        <v>1220</v>
      </c>
      <c r="P82" s="85">
        <v>1.6758241758241759</v>
      </c>
      <c r="Q82" s="11">
        <v>1220</v>
      </c>
      <c r="R82" s="85">
        <v>1.6758241758241759</v>
      </c>
      <c r="S82" s="29" t="s">
        <v>2719</v>
      </c>
      <c r="T82" s="29" t="s">
        <v>2719</v>
      </c>
    </row>
    <row r="83">
      <c r="B83" s="29" t="s">
        <v>1217</v>
      </c>
      <c r="C83" s="29" t="s">
        <v>1245</v>
      </c>
      <c r="D83" s="8" t="s">
        <v>1255</v>
      </c>
      <c r="E83" s="10" t="s">
        <v>1394</v>
      </c>
      <c r="F83" s="10">
        <v>3</v>
      </c>
      <c r="G83" s="10">
        <v>1</v>
      </c>
      <c r="H83" s="10">
        <v>1</v>
      </c>
      <c r="I83" s="10"/>
      <c r="J83" s="10">
        <v>728</v>
      </c>
      <c r="K83" s="104">
        <v>45371</v>
      </c>
      <c r="L83" s="104">
        <v>45387</v>
      </c>
      <c r="M83" s="10" t="b">
        <v>0</v>
      </c>
      <c r="N83" s="10">
        <v>17</v>
      </c>
      <c r="O83" s="11">
        <v>1225</v>
      </c>
      <c r="P83" s="85">
        <v>1.6826923076923077</v>
      </c>
      <c r="Q83" s="11">
        <v>1142</v>
      </c>
      <c r="R83" s="85">
        <v>1.5686813186813187</v>
      </c>
      <c r="S83" s="29" t="s">
        <v>2719</v>
      </c>
      <c r="T83" s="29" t="s">
        <v>2719</v>
      </c>
    </row>
    <row r="84">
      <c r="B84" s="29" t="s">
        <v>1217</v>
      </c>
      <c r="C84" s="29" t="s">
        <v>1245</v>
      </c>
      <c r="D84" s="8" t="s">
        <v>1255</v>
      </c>
      <c r="E84" s="10" t="s">
        <v>1395</v>
      </c>
      <c r="F84" s="10">
        <v>2</v>
      </c>
      <c r="G84" s="10">
        <v>1</v>
      </c>
      <c r="H84" s="10">
        <v>1</v>
      </c>
      <c r="I84" s="10"/>
      <c r="J84" s="10">
        <v>728</v>
      </c>
      <c r="K84" s="104">
        <v>45161</v>
      </c>
      <c r="L84" s="104">
        <v>45206</v>
      </c>
      <c r="M84" s="10" t="b">
        <v>0</v>
      </c>
      <c r="N84" s="10">
        <v>46</v>
      </c>
      <c r="O84" s="11">
        <v>1225</v>
      </c>
      <c r="P84" s="85">
        <v>1.6826923076923077</v>
      </c>
      <c r="Q84" s="11">
        <v>1123</v>
      </c>
      <c r="R84" s="85">
        <v>1.5425824175824177</v>
      </c>
      <c r="S84" s="29" t="s">
        <v>2719</v>
      </c>
      <c r="T84" s="29" t="s">
        <v>2719</v>
      </c>
    </row>
    <row r="85">
      <c r="B85" s="29" t="s">
        <v>1217</v>
      </c>
      <c r="C85" s="29" t="s">
        <v>1245</v>
      </c>
      <c r="D85" s="8" t="s">
        <v>1256</v>
      </c>
      <c r="E85" s="10" t="s">
        <v>1396</v>
      </c>
      <c r="F85" s="10">
        <v>4</v>
      </c>
      <c r="G85" s="10">
        <v>1</v>
      </c>
      <c r="H85" s="10">
        <v>1</v>
      </c>
      <c r="I85" s="10"/>
      <c r="J85" s="10">
        <v>728</v>
      </c>
      <c r="K85" s="104">
        <v>45213</v>
      </c>
      <c r="L85" s="104">
        <v>45235</v>
      </c>
      <c r="M85" s="10" t="b">
        <v>0</v>
      </c>
      <c r="N85" s="10">
        <v>23</v>
      </c>
      <c r="O85" s="11">
        <v>1225</v>
      </c>
      <c r="P85" s="85">
        <v>1.6826923076923077</v>
      </c>
      <c r="Q85" s="11">
        <v>1225</v>
      </c>
      <c r="R85" s="85">
        <v>1.6826923076923077</v>
      </c>
      <c r="S85" s="29" t="s">
        <v>2719</v>
      </c>
      <c r="T85" s="29" t="s">
        <v>2719</v>
      </c>
    </row>
    <row r="86">
      <c r="B86" s="29" t="s">
        <v>1217</v>
      </c>
      <c r="C86" s="29" t="s">
        <v>1245</v>
      </c>
      <c r="D86" s="8" t="s">
        <v>1255</v>
      </c>
      <c r="E86" s="10" t="s">
        <v>1397</v>
      </c>
      <c r="F86" s="10">
        <v>1</v>
      </c>
      <c r="G86" s="10">
        <v>1</v>
      </c>
      <c r="H86" s="10">
        <v>1</v>
      </c>
      <c r="I86" s="10"/>
      <c r="J86" s="10">
        <v>728</v>
      </c>
      <c r="K86" s="104">
        <v>45203</v>
      </c>
      <c r="L86" s="104">
        <v>45210</v>
      </c>
      <c r="M86" s="10" t="b">
        <v>0</v>
      </c>
      <c r="N86" s="10">
        <v>8</v>
      </c>
      <c r="O86" s="11">
        <v>1230</v>
      </c>
      <c r="P86" s="85">
        <v>1.6895604395604396</v>
      </c>
      <c r="Q86" s="11">
        <v>1128</v>
      </c>
      <c r="R86" s="85">
        <v>1.5494505494505495</v>
      </c>
      <c r="S86" s="29" t="s">
        <v>2719</v>
      </c>
      <c r="T86" s="29" t="s">
        <v>2719</v>
      </c>
    </row>
    <row r="87">
      <c r="B87" s="29" t="s">
        <v>1217</v>
      </c>
      <c r="C87" s="29" t="s">
        <v>1245</v>
      </c>
      <c r="D87" s="8" t="s">
        <v>1255</v>
      </c>
      <c r="E87" s="10" t="s">
        <v>1398</v>
      </c>
      <c r="F87" s="10">
        <v>2</v>
      </c>
      <c r="G87" s="10">
        <v>1</v>
      </c>
      <c r="H87" s="10">
        <v>1</v>
      </c>
      <c r="I87" s="10"/>
      <c r="J87" s="10">
        <v>728</v>
      </c>
      <c r="K87" s="104"/>
      <c r="L87" s="104">
        <v>45097</v>
      </c>
      <c r="M87" s="10" t="b">
        <v>0</v>
      </c>
      <c r="N87" s="10"/>
      <c r="O87" s="11">
        <v>1235</v>
      </c>
      <c r="P87" s="85">
        <v>1.6964285714285714</v>
      </c>
      <c r="Q87" s="11">
        <v>1235</v>
      </c>
      <c r="R87" s="85">
        <v>1.6964285714285714</v>
      </c>
      <c r="S87" s="29" t="s">
        <v>2719</v>
      </c>
      <c r="T87" s="29" t="s">
        <v>2719</v>
      </c>
    </row>
    <row r="88">
      <c r="B88" s="29" t="s">
        <v>1217</v>
      </c>
      <c r="C88" s="29" t="s">
        <v>1245</v>
      </c>
      <c r="D88" s="8" t="s">
        <v>1255</v>
      </c>
      <c r="E88" s="10" t="s">
        <v>1399</v>
      </c>
      <c r="F88" s="10">
        <v>4</v>
      </c>
      <c r="G88" s="10">
        <v>1</v>
      </c>
      <c r="H88" s="10">
        <v>1</v>
      </c>
      <c r="I88" s="10"/>
      <c r="J88" s="10">
        <v>728</v>
      </c>
      <c r="K88" s="104"/>
      <c r="L88" s="104">
        <v>45101</v>
      </c>
      <c r="M88" s="10" t="b">
        <v>0</v>
      </c>
      <c r="N88" s="10"/>
      <c r="O88" s="11">
        <v>1235</v>
      </c>
      <c r="P88" s="85">
        <v>1.6964285714285714</v>
      </c>
      <c r="Q88" s="11">
        <v>1235</v>
      </c>
      <c r="R88" s="85">
        <v>1.6964285714285714</v>
      </c>
      <c r="S88" s="29" t="s">
        <v>2719</v>
      </c>
      <c r="T88" s="29" t="s">
        <v>2719</v>
      </c>
    </row>
    <row r="89">
      <c r="B89" s="29" t="s">
        <v>1217</v>
      </c>
      <c r="C89" s="29" t="s">
        <v>1245</v>
      </c>
      <c r="D89" s="8" t="s">
        <v>1255</v>
      </c>
      <c r="E89" s="10" t="s">
        <v>1400</v>
      </c>
      <c r="F89" s="10">
        <v>1</v>
      </c>
      <c r="G89" s="10">
        <v>1</v>
      </c>
      <c r="H89" s="10">
        <v>1</v>
      </c>
      <c r="I89" s="10"/>
      <c r="J89" s="10">
        <v>728</v>
      </c>
      <c r="K89" s="104">
        <v>45385</v>
      </c>
      <c r="L89" s="104">
        <v>45388</v>
      </c>
      <c r="M89" s="10" t="b">
        <v>0</v>
      </c>
      <c r="N89" s="10">
        <v>4</v>
      </c>
      <c r="O89" s="11">
        <v>1240</v>
      </c>
      <c r="P89" s="85">
        <v>1.7032967032967032</v>
      </c>
      <c r="Q89" s="11">
        <v>1240</v>
      </c>
      <c r="R89" s="85">
        <v>1.7032967032967032</v>
      </c>
      <c r="S89" s="29" t="s">
        <v>2719</v>
      </c>
      <c r="T89" s="29" t="s">
        <v>2719</v>
      </c>
    </row>
    <row r="90">
      <c r="B90" s="29" t="s">
        <v>1217</v>
      </c>
      <c r="C90" s="29" t="s">
        <v>1245</v>
      </c>
      <c r="D90" s="8" t="s">
        <v>1256</v>
      </c>
      <c r="E90" s="10" t="s">
        <v>1401</v>
      </c>
      <c r="F90" s="10">
        <v>2</v>
      </c>
      <c r="G90" s="10">
        <v>1</v>
      </c>
      <c r="H90" s="10">
        <v>1</v>
      </c>
      <c r="I90" s="10"/>
      <c r="J90" s="10">
        <v>728</v>
      </c>
      <c r="K90" s="104">
        <v>45259</v>
      </c>
      <c r="L90" s="104">
        <v>45303</v>
      </c>
      <c r="M90" s="10" t="b">
        <v>0</v>
      </c>
      <c r="N90" s="10">
        <v>45</v>
      </c>
      <c r="O90" s="11">
        <v>1240</v>
      </c>
      <c r="P90" s="85">
        <v>1.7032967032967032</v>
      </c>
      <c r="Q90" s="11">
        <v>1240</v>
      </c>
      <c r="R90" s="85">
        <v>1.7032967032967032</v>
      </c>
      <c r="S90" s="29" t="s">
        <v>2719</v>
      </c>
      <c r="T90" s="29" t="s">
        <v>2719</v>
      </c>
    </row>
    <row r="91">
      <c r="B91" s="29" t="s">
        <v>1217</v>
      </c>
      <c r="C91" s="29" t="s">
        <v>1245</v>
      </c>
      <c r="D91" s="8" t="s">
        <v>1255</v>
      </c>
      <c r="E91" s="10" t="s">
        <v>1402</v>
      </c>
      <c r="F91" s="10">
        <v>2</v>
      </c>
      <c r="G91" s="10">
        <v>1</v>
      </c>
      <c r="H91" s="10">
        <v>1</v>
      </c>
      <c r="I91" s="10"/>
      <c r="J91" s="10">
        <v>728</v>
      </c>
      <c r="K91" s="104"/>
      <c r="L91" s="104">
        <v>45097</v>
      </c>
      <c r="M91" s="10" t="b">
        <v>0</v>
      </c>
      <c r="N91" s="10"/>
      <c r="O91" s="11">
        <v>1240</v>
      </c>
      <c r="P91" s="85">
        <v>1.7032967032967032</v>
      </c>
      <c r="Q91" s="11">
        <v>1240</v>
      </c>
      <c r="R91" s="85">
        <v>1.7032967032967032</v>
      </c>
      <c r="S91" s="29" t="s">
        <v>2719</v>
      </c>
      <c r="T91" s="29" t="s">
        <v>2719</v>
      </c>
    </row>
    <row r="92">
      <c r="B92" s="29" t="s">
        <v>1217</v>
      </c>
      <c r="C92" s="29" t="s">
        <v>1245</v>
      </c>
      <c r="D92" s="8" t="s">
        <v>1256</v>
      </c>
      <c r="E92" s="10" t="s">
        <v>1403</v>
      </c>
      <c r="F92" s="10">
        <v>4</v>
      </c>
      <c r="G92" s="10">
        <v>1</v>
      </c>
      <c r="H92" s="10">
        <v>1</v>
      </c>
      <c r="I92" s="10"/>
      <c r="J92" s="10">
        <v>728</v>
      </c>
      <c r="K92" s="104">
        <v>45277</v>
      </c>
      <c r="L92" s="104">
        <v>45357</v>
      </c>
      <c r="M92" s="10" t="b">
        <v>0</v>
      </c>
      <c r="N92" s="10">
        <v>81</v>
      </c>
      <c r="O92" s="11">
        <v>1245</v>
      </c>
      <c r="P92" s="85">
        <v>1.710164835164835</v>
      </c>
      <c r="Q92" s="11">
        <v>1245</v>
      </c>
      <c r="R92" s="85">
        <v>1.710164835164835</v>
      </c>
      <c r="S92" s="29" t="s">
        <v>2719</v>
      </c>
      <c r="T92" s="29" t="s">
        <v>2719</v>
      </c>
    </row>
    <row r="93">
      <c r="B93" s="29" t="s">
        <v>1217</v>
      </c>
      <c r="C93" s="29" t="s">
        <v>1245</v>
      </c>
      <c r="D93" s="8" t="s">
        <v>1255</v>
      </c>
      <c r="E93" s="10" t="s">
        <v>1404</v>
      </c>
      <c r="F93" s="10">
        <v>1</v>
      </c>
      <c r="G93" s="10">
        <v>1</v>
      </c>
      <c r="H93" s="10">
        <v>1</v>
      </c>
      <c r="I93" s="10"/>
      <c r="J93" s="10">
        <v>728</v>
      </c>
      <c r="K93" s="104">
        <v>45324</v>
      </c>
      <c r="L93" s="104">
        <v>45394</v>
      </c>
      <c r="M93" s="10" t="b">
        <v>0</v>
      </c>
      <c r="N93" s="10">
        <v>71</v>
      </c>
      <c r="O93" s="11">
        <v>1255</v>
      </c>
      <c r="P93" s="85">
        <v>1.723901098901099</v>
      </c>
      <c r="Q93" s="11">
        <v>1255</v>
      </c>
      <c r="R93" s="85">
        <v>1.723901098901099</v>
      </c>
      <c r="S93" s="29" t="s">
        <v>2719</v>
      </c>
      <c r="T93" s="29" t="s">
        <v>2719</v>
      </c>
    </row>
    <row r="94">
      <c r="B94" s="29" t="s">
        <v>1217</v>
      </c>
      <c r="C94" s="29" t="s">
        <v>1245</v>
      </c>
      <c r="D94" s="8" t="s">
        <v>1255</v>
      </c>
      <c r="E94" s="10" t="s">
        <v>1405</v>
      </c>
      <c r="F94" s="10">
        <v>3</v>
      </c>
      <c r="G94" s="10">
        <v>1</v>
      </c>
      <c r="H94" s="10">
        <v>1</v>
      </c>
      <c r="I94" s="10"/>
      <c r="J94" s="10">
        <v>728</v>
      </c>
      <c r="K94" s="104">
        <v>45099</v>
      </c>
      <c r="L94" s="104">
        <v>45122</v>
      </c>
      <c r="M94" s="10" t="b">
        <v>0</v>
      </c>
      <c r="N94" s="10">
        <v>24</v>
      </c>
      <c r="O94" s="11">
        <v>1255</v>
      </c>
      <c r="P94" s="85">
        <v>1.723901098901099</v>
      </c>
      <c r="Q94" s="11">
        <v>1255</v>
      </c>
      <c r="R94" s="85">
        <v>1.723901098901099</v>
      </c>
      <c r="S94" s="29" t="s">
        <v>2719</v>
      </c>
      <c r="T94" s="29" t="s">
        <v>2719</v>
      </c>
    </row>
    <row r="95">
      <c r="B95" s="29" t="s">
        <v>1217</v>
      </c>
      <c r="C95" s="29" t="s">
        <v>1245</v>
      </c>
      <c r="D95" s="8" t="s">
        <v>1255</v>
      </c>
      <c r="E95" s="10" t="s">
        <v>1406</v>
      </c>
      <c r="F95" s="10">
        <v>4</v>
      </c>
      <c r="G95" s="10">
        <v>1</v>
      </c>
      <c r="H95" s="10">
        <v>1</v>
      </c>
      <c r="I95" s="10"/>
      <c r="J95" s="10">
        <v>728</v>
      </c>
      <c r="K95" s="104">
        <v>45154</v>
      </c>
      <c r="L95" s="104">
        <v>45182</v>
      </c>
      <c r="M95" s="10" t="b">
        <v>0</v>
      </c>
      <c r="N95" s="10">
        <v>29</v>
      </c>
      <c r="O95" s="11">
        <v>1260</v>
      </c>
      <c r="P95" s="85">
        <v>1.7307692307692308</v>
      </c>
      <c r="Q95" s="11">
        <v>1155</v>
      </c>
      <c r="R95" s="85">
        <v>1.5865384615384615</v>
      </c>
      <c r="S95" s="29" t="s">
        <v>2719</v>
      </c>
      <c r="T95" s="29" t="s">
        <v>2719</v>
      </c>
    </row>
    <row r="96">
      <c r="B96" s="29" t="s">
        <v>1217</v>
      </c>
      <c r="C96" s="29" t="s">
        <v>1245</v>
      </c>
      <c r="D96" s="8" t="s">
        <v>1255</v>
      </c>
      <c r="E96" s="10" t="s">
        <v>1407</v>
      </c>
      <c r="F96" s="10">
        <v>1</v>
      </c>
      <c r="G96" s="10">
        <v>1</v>
      </c>
      <c r="H96" s="10">
        <v>1</v>
      </c>
      <c r="I96" s="10"/>
      <c r="J96" s="10">
        <v>728</v>
      </c>
      <c r="K96" s="104">
        <v>45399</v>
      </c>
      <c r="L96" s="104">
        <v>45409</v>
      </c>
      <c r="M96" s="10" t="b">
        <v>0</v>
      </c>
      <c r="N96" s="10">
        <v>11</v>
      </c>
      <c r="O96" s="11">
        <v>1270</v>
      </c>
      <c r="P96" s="85">
        <v>1.7445054945054945</v>
      </c>
      <c r="Q96" s="11">
        <v>1270</v>
      </c>
      <c r="R96" s="85">
        <v>1.7445054945054945</v>
      </c>
      <c r="S96" s="29" t="s">
        <v>2719</v>
      </c>
      <c r="T96" s="29" t="s">
        <v>2719</v>
      </c>
    </row>
    <row r="97">
      <c r="B97" s="29" t="s">
        <v>1217</v>
      </c>
      <c r="C97" s="29" t="s">
        <v>1245</v>
      </c>
      <c r="D97" s="8" t="s">
        <v>1255</v>
      </c>
      <c r="E97" s="10" t="s">
        <v>1408</v>
      </c>
      <c r="F97" s="10">
        <v>4</v>
      </c>
      <c r="G97" s="10">
        <v>1</v>
      </c>
      <c r="H97" s="10">
        <v>1</v>
      </c>
      <c r="I97" s="10"/>
      <c r="J97" s="10">
        <v>728</v>
      </c>
      <c r="K97" s="104">
        <v>45245</v>
      </c>
      <c r="L97" s="104">
        <v>45417</v>
      </c>
      <c r="M97" s="10" t="b">
        <v>0</v>
      </c>
      <c r="N97" s="10">
        <v>173</v>
      </c>
      <c r="O97" s="11">
        <v>1275</v>
      </c>
      <c r="P97" s="85">
        <v>1.7513736263736264</v>
      </c>
      <c r="Q97" s="11">
        <v>1275</v>
      </c>
      <c r="R97" s="85">
        <v>1.7513736263736264</v>
      </c>
      <c r="S97" s="29" t="s">
        <v>2719</v>
      </c>
      <c r="T97" s="29" t="s">
        <v>2719</v>
      </c>
    </row>
    <row r="98">
      <c r="B98" s="29" t="s">
        <v>1217</v>
      </c>
      <c r="C98" s="29" t="s">
        <v>1245</v>
      </c>
      <c r="D98" s="8" t="s">
        <v>1255</v>
      </c>
      <c r="E98" s="10" t="s">
        <v>1409</v>
      </c>
      <c r="F98" s="10">
        <v>4</v>
      </c>
      <c r="G98" s="10">
        <v>1</v>
      </c>
      <c r="H98" s="10">
        <v>1</v>
      </c>
      <c r="I98" s="10"/>
      <c r="J98" s="10">
        <v>728</v>
      </c>
      <c r="K98" s="104">
        <v>45386</v>
      </c>
      <c r="L98" s="104">
        <v>45400</v>
      </c>
      <c r="M98" s="10" t="b">
        <v>0</v>
      </c>
      <c r="N98" s="10">
        <v>15</v>
      </c>
      <c r="O98" s="11">
        <v>1280</v>
      </c>
      <c r="P98" s="85">
        <v>1.7582417582417582</v>
      </c>
      <c r="Q98" s="11">
        <v>1280</v>
      </c>
      <c r="R98" s="85">
        <v>1.7582417582417582</v>
      </c>
      <c r="S98" s="29" t="s">
        <v>2719</v>
      </c>
      <c r="T98" s="29" t="s">
        <v>2719</v>
      </c>
    </row>
    <row r="99">
      <c r="B99" s="29" t="s">
        <v>1217</v>
      </c>
      <c r="C99" s="29" t="s">
        <v>1245</v>
      </c>
      <c r="D99" s="8" t="s">
        <v>1255</v>
      </c>
      <c r="E99" s="10" t="s">
        <v>1410</v>
      </c>
      <c r="F99" s="10">
        <v>2</v>
      </c>
      <c r="G99" s="10">
        <v>1</v>
      </c>
      <c r="H99" s="10">
        <v>1</v>
      </c>
      <c r="I99" s="10"/>
      <c r="J99" s="10">
        <v>728</v>
      </c>
      <c r="K99" s="104">
        <v>45371</v>
      </c>
      <c r="L99" s="104">
        <v>45384</v>
      </c>
      <c r="M99" s="10" t="b">
        <v>0</v>
      </c>
      <c r="N99" s="10">
        <v>14</v>
      </c>
      <c r="O99" s="11">
        <v>1295</v>
      </c>
      <c r="P99" s="85">
        <v>1.7788461538461537</v>
      </c>
      <c r="Q99" s="11">
        <v>1212</v>
      </c>
      <c r="R99" s="85">
        <v>1.664835164835165</v>
      </c>
      <c r="S99" s="29" t="s">
        <v>2719</v>
      </c>
      <c r="T99" s="29" t="s">
        <v>2719</v>
      </c>
    </row>
    <row r="100">
      <c r="B100" s="29" t="s">
        <v>1217</v>
      </c>
      <c r="C100" s="29" t="s">
        <v>1245</v>
      </c>
      <c r="D100" s="8" t="s">
        <v>1255</v>
      </c>
      <c r="E100" s="10" t="s">
        <v>1411</v>
      </c>
      <c r="F100" s="10">
        <v>3</v>
      </c>
      <c r="G100" s="10">
        <v>1</v>
      </c>
      <c r="H100" s="10">
        <v>1</v>
      </c>
      <c r="I100" s="10"/>
      <c r="J100" s="10">
        <v>728</v>
      </c>
      <c r="K100" s="104"/>
      <c r="L100" s="104">
        <v>45108</v>
      </c>
      <c r="M100" s="10" t="b">
        <v>0</v>
      </c>
      <c r="N100" s="10"/>
      <c r="O100" s="11">
        <v>1305</v>
      </c>
      <c r="P100" s="85">
        <v>1.7925824175824177</v>
      </c>
      <c r="Q100" s="11">
        <v>1305</v>
      </c>
      <c r="R100" s="85">
        <v>1.7925824175824177</v>
      </c>
      <c r="S100" s="29" t="s">
        <v>2719</v>
      </c>
      <c r="T100" s="29" t="s">
        <v>2719</v>
      </c>
    </row>
    <row r="101">
      <c r="B101" s="29" t="s">
        <v>1217</v>
      </c>
      <c r="C101" s="29" t="s">
        <v>1245</v>
      </c>
      <c r="D101" s="8" t="s">
        <v>1256</v>
      </c>
      <c r="E101" s="10" t="s">
        <v>1412</v>
      </c>
      <c r="F101" s="10">
        <v>2</v>
      </c>
      <c r="G101" s="10">
        <v>1</v>
      </c>
      <c r="H101" s="10">
        <v>1</v>
      </c>
      <c r="I101" s="10"/>
      <c r="J101" s="10">
        <v>728</v>
      </c>
      <c r="K101" s="104">
        <v>45186</v>
      </c>
      <c r="L101" s="104">
        <v>45275</v>
      </c>
      <c r="M101" s="10" t="b">
        <v>0</v>
      </c>
      <c r="N101" s="10">
        <v>90</v>
      </c>
      <c r="O101" s="11">
        <v>1310</v>
      </c>
      <c r="P101" s="85">
        <v>1.7994505494505495</v>
      </c>
      <c r="Q101" s="11">
        <v>1310</v>
      </c>
      <c r="R101" s="85">
        <v>1.7994505494505495</v>
      </c>
      <c r="S101" s="29" t="s">
        <v>2719</v>
      </c>
      <c r="T101" s="29" t="s">
        <v>2719</v>
      </c>
    </row>
    <row r="102">
      <c r="B102" s="29" t="s">
        <v>1217</v>
      </c>
      <c r="C102" s="29" t="s">
        <v>1245</v>
      </c>
      <c r="D102" s="8" t="s">
        <v>1255</v>
      </c>
      <c r="E102" s="10" t="s">
        <v>1413</v>
      </c>
      <c r="F102" s="10">
        <v>4</v>
      </c>
      <c r="G102" s="10">
        <v>1</v>
      </c>
      <c r="H102" s="10">
        <v>1</v>
      </c>
      <c r="I102" s="10"/>
      <c r="J102" s="10">
        <v>728</v>
      </c>
      <c r="K102" s="104"/>
      <c r="L102" s="104">
        <v>45190</v>
      </c>
      <c r="M102" s="10" t="b">
        <v>0</v>
      </c>
      <c r="N102" s="10"/>
      <c r="O102" s="11">
        <v>1335</v>
      </c>
      <c r="P102" s="85">
        <v>1.8337912087912087</v>
      </c>
      <c r="Q102" s="11">
        <v>1224</v>
      </c>
      <c r="R102" s="85">
        <v>1.6813186813186813</v>
      </c>
      <c r="S102" s="29" t="s">
        <v>2719</v>
      </c>
      <c r="T102" s="29" t="s">
        <v>2719</v>
      </c>
    </row>
    <row r="103">
      <c r="B103" s="29" t="s">
        <v>1217</v>
      </c>
      <c r="C103" s="29" t="s">
        <v>1245</v>
      </c>
      <c r="D103" s="8" t="s">
        <v>1255</v>
      </c>
      <c r="E103" s="10" t="s">
        <v>1414</v>
      </c>
      <c r="F103" s="10">
        <v>1</v>
      </c>
      <c r="G103" s="10">
        <v>1</v>
      </c>
      <c r="H103" s="10">
        <v>1</v>
      </c>
      <c r="I103" s="10"/>
      <c r="J103" s="10">
        <v>728</v>
      </c>
      <c r="K103" s="104"/>
      <c r="L103" s="104">
        <v>45109</v>
      </c>
      <c r="M103" s="10" t="b">
        <v>0</v>
      </c>
      <c r="N103" s="10"/>
      <c r="O103" s="11">
        <v>1340</v>
      </c>
      <c r="P103" s="85">
        <v>1.8406593406593406</v>
      </c>
      <c r="Q103" s="11">
        <v>1340</v>
      </c>
      <c r="R103" s="85">
        <v>1.8406593406593406</v>
      </c>
      <c r="S103" s="29" t="s">
        <v>2719</v>
      </c>
      <c r="T103" s="29" t="s">
        <v>2719</v>
      </c>
    </row>
    <row r="104">
      <c r="B104" s="29" t="s">
        <v>1217</v>
      </c>
      <c r="C104" s="29" t="s">
        <v>1245</v>
      </c>
      <c r="D104" s="8" t="s">
        <v>1255</v>
      </c>
      <c r="E104" s="10" t="s">
        <v>1415</v>
      </c>
      <c r="F104" s="10">
        <v>1</v>
      </c>
      <c r="G104" s="10">
        <v>1</v>
      </c>
      <c r="H104" s="10">
        <v>1</v>
      </c>
      <c r="I104" s="10"/>
      <c r="J104" s="10">
        <v>728</v>
      </c>
      <c r="K104" s="104">
        <v>45371</v>
      </c>
      <c r="L104" s="104">
        <v>45401</v>
      </c>
      <c r="M104" s="10" t="b">
        <v>0</v>
      </c>
      <c r="N104" s="10">
        <v>31</v>
      </c>
      <c r="O104" s="11">
        <v>1350</v>
      </c>
      <c r="P104" s="85">
        <v>1.8543956043956045</v>
      </c>
      <c r="Q104" s="11">
        <v>1350</v>
      </c>
      <c r="R104" s="85">
        <v>1.8543956043956045</v>
      </c>
      <c r="S104" s="29" t="s">
        <v>2719</v>
      </c>
      <c r="T104" s="29" t="s">
        <v>2719</v>
      </c>
    </row>
    <row r="105">
      <c r="B105" s="29" t="s">
        <v>1217</v>
      </c>
      <c r="C105" s="29" t="s">
        <v>1245</v>
      </c>
      <c r="D105" s="8" t="s">
        <v>1255</v>
      </c>
      <c r="E105" s="10" t="s">
        <v>1416</v>
      </c>
      <c r="F105" s="10">
        <v>2</v>
      </c>
      <c r="G105" s="10">
        <v>1</v>
      </c>
      <c r="H105" s="10">
        <v>1</v>
      </c>
      <c r="I105" s="10"/>
      <c r="J105" s="10">
        <v>820</v>
      </c>
      <c r="K105" s="104">
        <v>45454</v>
      </c>
      <c r="L105" s="104">
        <v>45569</v>
      </c>
      <c r="M105" s="10" t="b">
        <v>0</v>
      </c>
      <c r="N105" s="10">
        <v>116</v>
      </c>
      <c r="O105" s="11">
        <v>1310</v>
      </c>
      <c r="P105" s="85">
        <v>1.5975609756097562</v>
      </c>
      <c r="Q105" s="11">
        <v>1310</v>
      </c>
      <c r="R105" s="85">
        <v>1.5975609756097562</v>
      </c>
      <c r="S105" s="29" t="s">
        <v>2746</v>
      </c>
      <c r="T105" s="29" t="s">
        <v>2793</v>
      </c>
    </row>
    <row r="106">
      <c r="B106" s="29" t="s">
        <v>1217</v>
      </c>
      <c r="C106" s="29" t="s">
        <v>1245</v>
      </c>
      <c r="D106" s="8" t="s">
        <v>1257</v>
      </c>
      <c r="E106" s="10" t="s">
        <v>1417</v>
      </c>
      <c r="F106" s="10">
        <v>3</v>
      </c>
      <c r="G106" s="10">
        <v>1</v>
      </c>
      <c r="H106" s="10">
        <v>1</v>
      </c>
      <c r="I106" s="10"/>
      <c r="J106" s="10">
        <v>830</v>
      </c>
      <c r="K106" s="104">
        <v>45671</v>
      </c>
      <c r="L106" s="104">
        <v>45693</v>
      </c>
      <c r="M106" s="10" t="b">
        <v>0</v>
      </c>
      <c r="N106" s="10">
        <v>23</v>
      </c>
      <c r="O106" s="11">
        <v>1250</v>
      </c>
      <c r="P106" s="85">
        <v>1.5060240963855422</v>
      </c>
      <c r="Q106" s="11">
        <v>1250</v>
      </c>
      <c r="R106" s="85">
        <v>1.5060240963855422</v>
      </c>
      <c r="S106" s="29" t="s">
        <v>2720</v>
      </c>
      <c r="T106" s="29" t="s">
        <v>2794</v>
      </c>
    </row>
    <row r="107">
      <c r="B107" s="29" t="s">
        <v>1217</v>
      </c>
      <c r="C107" s="29" t="s">
        <v>1245</v>
      </c>
      <c r="D107" s="8" t="s">
        <v>1257</v>
      </c>
      <c r="E107" s="10" t="s">
        <v>1418</v>
      </c>
      <c r="F107" s="10">
        <v>3</v>
      </c>
      <c r="G107" s="10">
        <v>1</v>
      </c>
      <c r="H107" s="10">
        <v>1</v>
      </c>
      <c r="I107" s="10"/>
      <c r="J107" s="10">
        <v>830</v>
      </c>
      <c r="K107" s="104">
        <v>45519</v>
      </c>
      <c r="L107" s="104">
        <v>45552</v>
      </c>
      <c r="M107" s="10" t="b">
        <v>0</v>
      </c>
      <c r="N107" s="10">
        <v>34</v>
      </c>
      <c r="O107" s="11">
        <v>1265</v>
      </c>
      <c r="P107" s="85">
        <v>1.5240963855421688</v>
      </c>
      <c r="Q107" s="11">
        <v>1233</v>
      </c>
      <c r="R107" s="85">
        <v>1.4855421686746988</v>
      </c>
      <c r="S107" s="29" t="s">
        <v>2722</v>
      </c>
      <c r="T107" s="29" t="s">
        <v>2794</v>
      </c>
    </row>
    <row r="108">
      <c r="B108" s="29" t="s">
        <v>1217</v>
      </c>
      <c r="C108" s="29" t="s">
        <v>1245</v>
      </c>
      <c r="D108" s="8" t="s">
        <v>1257</v>
      </c>
      <c r="E108" s="10" t="s">
        <v>1419</v>
      </c>
      <c r="F108" s="10">
        <v>3</v>
      </c>
      <c r="G108" s="10">
        <v>1</v>
      </c>
      <c r="H108" s="10">
        <v>1</v>
      </c>
      <c r="I108" s="10"/>
      <c r="J108" s="10">
        <v>830</v>
      </c>
      <c r="K108" s="104">
        <v>45720</v>
      </c>
      <c r="L108" s="104">
        <v>45724</v>
      </c>
      <c r="M108" s="10" t="b">
        <v>0</v>
      </c>
      <c r="N108" s="10">
        <v>5</v>
      </c>
      <c r="O108" s="11">
        <v>1280</v>
      </c>
      <c r="P108" s="85">
        <v>1.5421686746987953</v>
      </c>
      <c r="Q108" s="11">
        <v>1280</v>
      </c>
      <c r="R108" s="85">
        <v>1.5421686746987953</v>
      </c>
      <c r="S108" s="29" t="s">
        <v>2721</v>
      </c>
      <c r="T108" s="29" t="s">
        <v>2794</v>
      </c>
    </row>
    <row r="109">
      <c r="B109" s="29" t="s">
        <v>1217</v>
      </c>
      <c r="C109" s="29" t="s">
        <v>1245</v>
      </c>
      <c r="D109" s="8" t="s">
        <v>1257</v>
      </c>
      <c r="E109" s="10" t="s">
        <v>1420</v>
      </c>
      <c r="F109" s="10">
        <v>3</v>
      </c>
      <c r="G109" s="10">
        <v>1</v>
      </c>
      <c r="H109" s="10">
        <v>1</v>
      </c>
      <c r="I109" s="10"/>
      <c r="J109" s="10">
        <v>830</v>
      </c>
      <c r="K109" s="104">
        <v>45184</v>
      </c>
      <c r="L109" s="104">
        <v>45498</v>
      </c>
      <c r="M109" s="10" t="b">
        <v>0</v>
      </c>
      <c r="N109" s="10">
        <v>315</v>
      </c>
      <c r="O109" s="11">
        <v>1280</v>
      </c>
      <c r="P109" s="85">
        <v>1.5421686746987953</v>
      </c>
      <c r="Q109" s="11">
        <v>1280</v>
      </c>
      <c r="R109" s="85">
        <v>1.5421686746987953</v>
      </c>
      <c r="S109" s="29" t="s">
        <v>2723</v>
      </c>
      <c r="T109" s="29" t="s">
        <v>2794</v>
      </c>
    </row>
    <row r="110">
      <c r="B110" s="29" t="s">
        <v>1217</v>
      </c>
      <c r="C110" s="29" t="s">
        <v>1245</v>
      </c>
      <c r="D110" s="8" t="s">
        <v>1257</v>
      </c>
      <c r="E110" s="10" t="s">
        <v>1421</v>
      </c>
      <c r="F110" s="10">
        <v>2</v>
      </c>
      <c r="G110" s="10">
        <v>1</v>
      </c>
      <c r="H110" s="10">
        <v>1</v>
      </c>
      <c r="I110" s="10"/>
      <c r="J110" s="10">
        <v>830</v>
      </c>
      <c r="K110" s="104">
        <v>45602</v>
      </c>
      <c r="L110" s="104">
        <v>45782</v>
      </c>
      <c r="M110" s="10" t="b">
        <v>0</v>
      </c>
      <c r="N110" s="10">
        <v>181</v>
      </c>
      <c r="O110" s="11">
        <v>1285</v>
      </c>
      <c r="P110" s="85">
        <v>1.5481927710843373</v>
      </c>
      <c r="Q110" s="11">
        <v>1285</v>
      </c>
      <c r="R110" s="85">
        <v>1.5481927710843373</v>
      </c>
      <c r="S110" s="29" t="s">
        <v>2747</v>
      </c>
      <c r="T110" s="29" t="s">
        <v>2794</v>
      </c>
    </row>
    <row r="111">
      <c r="B111" s="29" t="s">
        <v>1217</v>
      </c>
      <c r="C111" s="29" t="s">
        <v>1245</v>
      </c>
      <c r="D111" s="8" t="s">
        <v>1257</v>
      </c>
      <c r="E111" s="10" t="s">
        <v>1422</v>
      </c>
      <c r="F111" s="10">
        <v>3</v>
      </c>
      <c r="G111" s="10">
        <v>1</v>
      </c>
      <c r="H111" s="10">
        <v>1</v>
      </c>
      <c r="I111" s="10"/>
      <c r="J111" s="10">
        <v>830</v>
      </c>
      <c r="K111" s="104">
        <v>45392</v>
      </c>
      <c r="L111" s="104">
        <v>45493</v>
      </c>
      <c r="M111" s="10" t="b">
        <v>0</v>
      </c>
      <c r="N111" s="10">
        <v>102</v>
      </c>
      <c r="O111" s="11">
        <v>1300</v>
      </c>
      <c r="P111" s="85">
        <v>1.5662650602409638</v>
      </c>
      <c r="Q111" s="11">
        <v>1300</v>
      </c>
      <c r="R111" s="85">
        <v>1.5662650602409638</v>
      </c>
      <c r="S111" s="29" t="s">
        <v>2722</v>
      </c>
      <c r="T111" s="29" t="s">
        <v>2794</v>
      </c>
    </row>
    <row r="112">
      <c r="B112" s="29" t="s">
        <v>1217</v>
      </c>
      <c r="C112" s="29" t="s">
        <v>1245</v>
      </c>
      <c r="D112" s="8" t="s">
        <v>1257</v>
      </c>
      <c r="E112" s="10" t="s">
        <v>1423</v>
      </c>
      <c r="F112" s="10">
        <v>3</v>
      </c>
      <c r="G112" s="10">
        <v>1</v>
      </c>
      <c r="H112" s="10">
        <v>1</v>
      </c>
      <c r="I112" s="10"/>
      <c r="J112" s="10">
        <v>830</v>
      </c>
      <c r="K112" s="104">
        <v>45399</v>
      </c>
      <c r="L112" s="104">
        <v>45481</v>
      </c>
      <c r="M112" s="10" t="b">
        <v>0</v>
      </c>
      <c r="N112" s="10">
        <v>83</v>
      </c>
      <c r="O112" s="11">
        <v>1300</v>
      </c>
      <c r="P112" s="85">
        <v>1.5662650602409638</v>
      </c>
      <c r="Q112" s="11">
        <v>1300</v>
      </c>
      <c r="R112" s="85">
        <v>1.5662650602409638</v>
      </c>
      <c r="S112" s="29" t="s">
        <v>2722</v>
      </c>
      <c r="T112" s="29" t="s">
        <v>2794</v>
      </c>
    </row>
    <row r="113">
      <c r="B113" s="29" t="s">
        <v>1217</v>
      </c>
      <c r="C113" s="29" t="s">
        <v>1245</v>
      </c>
      <c r="D113" s="8" t="s">
        <v>1257</v>
      </c>
      <c r="E113" s="10" t="s">
        <v>1424</v>
      </c>
      <c r="F113" s="10">
        <v>3</v>
      </c>
      <c r="G113" s="10">
        <v>1</v>
      </c>
      <c r="H113" s="10">
        <v>1</v>
      </c>
      <c r="I113" s="10"/>
      <c r="J113" s="10">
        <v>830</v>
      </c>
      <c r="K113" s="104">
        <v>45451</v>
      </c>
      <c r="L113" s="104">
        <v>45474</v>
      </c>
      <c r="M113" s="10" t="b">
        <v>0</v>
      </c>
      <c r="N113" s="10">
        <v>24</v>
      </c>
      <c r="O113" s="11">
        <v>1300</v>
      </c>
      <c r="P113" s="85">
        <v>1.5662650602409638</v>
      </c>
      <c r="Q113" s="11">
        <v>1300</v>
      </c>
      <c r="R113" s="85">
        <v>1.5662650602409638</v>
      </c>
      <c r="S113" s="29" t="s">
        <v>2722</v>
      </c>
      <c r="T113" s="29" t="s">
        <v>2794</v>
      </c>
    </row>
    <row r="114">
      <c r="B114" s="29" t="s">
        <v>1217</v>
      </c>
      <c r="C114" s="29" t="s">
        <v>1245</v>
      </c>
      <c r="D114" s="8" t="s">
        <v>1257</v>
      </c>
      <c r="E114" s="10" t="s">
        <v>1425</v>
      </c>
      <c r="F114" s="10">
        <v>3</v>
      </c>
      <c r="G114" s="10">
        <v>1</v>
      </c>
      <c r="H114" s="10">
        <v>1</v>
      </c>
      <c r="I114" s="10"/>
      <c r="J114" s="10">
        <v>830</v>
      </c>
      <c r="K114" s="104">
        <v>45406</v>
      </c>
      <c r="L114" s="104">
        <v>45467</v>
      </c>
      <c r="M114" s="10" t="b">
        <v>0</v>
      </c>
      <c r="N114" s="10">
        <v>62</v>
      </c>
      <c r="O114" s="11">
        <v>1305</v>
      </c>
      <c r="P114" s="85">
        <v>1.572289156626506</v>
      </c>
      <c r="Q114" s="11">
        <v>1305</v>
      </c>
      <c r="R114" s="85">
        <v>1.572289156626506</v>
      </c>
      <c r="S114" s="29" t="s">
        <v>2722</v>
      </c>
      <c r="T114" s="29" t="s">
        <v>2794</v>
      </c>
    </row>
    <row r="115">
      <c r="B115" s="29" t="s">
        <v>1217</v>
      </c>
      <c r="C115" s="29" t="s">
        <v>1245</v>
      </c>
      <c r="D115" s="8" t="s">
        <v>1257</v>
      </c>
      <c r="E115" s="10" t="s">
        <v>1426</v>
      </c>
      <c r="F115" s="10">
        <v>2</v>
      </c>
      <c r="G115" s="10">
        <v>1</v>
      </c>
      <c r="H115" s="10">
        <v>1</v>
      </c>
      <c r="I115" s="10"/>
      <c r="J115" s="10">
        <v>830</v>
      </c>
      <c r="K115" s="104">
        <v>45418</v>
      </c>
      <c r="L115" s="104">
        <v>45498</v>
      </c>
      <c r="M115" s="10" t="b">
        <v>0</v>
      </c>
      <c r="N115" s="10">
        <v>81</v>
      </c>
      <c r="O115" s="11">
        <v>1305</v>
      </c>
      <c r="P115" s="85">
        <v>1.572289156626506</v>
      </c>
      <c r="Q115" s="11">
        <v>1305</v>
      </c>
      <c r="R115" s="85">
        <v>1.572289156626506</v>
      </c>
      <c r="S115" s="29" t="s">
        <v>2730</v>
      </c>
      <c r="T115" s="29" t="s">
        <v>2794</v>
      </c>
    </row>
    <row r="116">
      <c r="B116" s="29" t="s">
        <v>1217</v>
      </c>
      <c r="C116" s="29" t="s">
        <v>1245</v>
      </c>
      <c r="D116" s="8" t="s">
        <v>1257</v>
      </c>
      <c r="E116" s="10" t="s">
        <v>1427</v>
      </c>
      <c r="F116" s="10">
        <v>3</v>
      </c>
      <c r="G116" s="10">
        <v>1</v>
      </c>
      <c r="H116" s="10">
        <v>1</v>
      </c>
      <c r="I116" s="10"/>
      <c r="J116" s="10">
        <v>830</v>
      </c>
      <c r="K116" s="104">
        <v>45455</v>
      </c>
      <c r="L116" s="104">
        <v>45470</v>
      </c>
      <c r="M116" s="10" t="b">
        <v>0</v>
      </c>
      <c r="N116" s="10">
        <v>16</v>
      </c>
      <c r="O116" s="11">
        <v>1305</v>
      </c>
      <c r="P116" s="85">
        <v>1.572289156626506</v>
      </c>
      <c r="Q116" s="11">
        <v>1305</v>
      </c>
      <c r="R116" s="85">
        <v>1.572289156626506</v>
      </c>
      <c r="S116" s="29" t="s">
        <v>2723</v>
      </c>
      <c r="T116" s="29" t="s">
        <v>2794</v>
      </c>
    </row>
    <row r="117">
      <c r="B117" s="29" t="s">
        <v>1217</v>
      </c>
      <c r="C117" s="29" t="s">
        <v>1245</v>
      </c>
      <c r="D117" s="8" t="s">
        <v>1257</v>
      </c>
      <c r="E117" s="10" t="s">
        <v>1428</v>
      </c>
      <c r="F117" s="10">
        <v>2</v>
      </c>
      <c r="G117" s="10">
        <v>1</v>
      </c>
      <c r="H117" s="10">
        <v>1</v>
      </c>
      <c r="I117" s="10"/>
      <c r="J117" s="10">
        <v>830</v>
      </c>
      <c r="K117" s="104">
        <v>45451</v>
      </c>
      <c r="L117" s="104">
        <v>45611</v>
      </c>
      <c r="M117" s="10" t="b">
        <v>0</v>
      </c>
      <c r="N117" s="10">
        <v>161</v>
      </c>
      <c r="O117" s="11">
        <v>1305</v>
      </c>
      <c r="P117" s="85">
        <v>1.572289156626506</v>
      </c>
      <c r="Q117" s="11">
        <v>1218</v>
      </c>
      <c r="R117" s="85">
        <v>1.4674698795180723</v>
      </c>
      <c r="S117" s="29" t="s">
        <v>2748</v>
      </c>
      <c r="T117" s="29" t="s">
        <v>2794</v>
      </c>
    </row>
    <row r="118">
      <c r="B118" s="29" t="s">
        <v>1217</v>
      </c>
      <c r="C118" s="29" t="s">
        <v>1245</v>
      </c>
      <c r="D118" s="8" t="s">
        <v>1257</v>
      </c>
      <c r="E118" s="10" t="s">
        <v>1429</v>
      </c>
      <c r="F118" s="10">
        <v>2</v>
      </c>
      <c r="G118" s="10">
        <v>1</v>
      </c>
      <c r="H118" s="10">
        <v>1</v>
      </c>
      <c r="I118" s="10"/>
      <c r="J118" s="10">
        <v>830</v>
      </c>
      <c r="K118" s="104">
        <v>45467</v>
      </c>
      <c r="L118" s="104">
        <v>45614</v>
      </c>
      <c r="M118" s="10" t="b">
        <v>0</v>
      </c>
      <c r="N118" s="10">
        <v>148</v>
      </c>
      <c r="O118" s="11">
        <v>1310</v>
      </c>
      <c r="P118" s="85">
        <v>1.5783132530120483</v>
      </c>
      <c r="Q118" s="11">
        <v>1223</v>
      </c>
      <c r="R118" s="85">
        <v>1.4734939759036145</v>
      </c>
      <c r="S118" s="29" t="s">
        <v>2730</v>
      </c>
      <c r="T118" s="29" t="s">
        <v>2794</v>
      </c>
    </row>
    <row r="119">
      <c r="B119" s="29" t="s">
        <v>1217</v>
      </c>
      <c r="C119" s="29" t="s">
        <v>1245</v>
      </c>
      <c r="D119" s="8" t="s">
        <v>1257</v>
      </c>
      <c r="E119" s="10" t="s">
        <v>1430</v>
      </c>
      <c r="F119" s="10">
        <v>3</v>
      </c>
      <c r="G119" s="10">
        <v>1</v>
      </c>
      <c r="H119" s="10">
        <v>1</v>
      </c>
      <c r="I119" s="10"/>
      <c r="J119" s="10">
        <v>830</v>
      </c>
      <c r="K119" s="104">
        <v>45712</v>
      </c>
      <c r="L119" s="104">
        <v>45782</v>
      </c>
      <c r="M119" s="10" t="b">
        <v>0</v>
      </c>
      <c r="N119" s="10">
        <v>71</v>
      </c>
      <c r="O119" s="11">
        <v>1320</v>
      </c>
      <c r="P119" s="85">
        <v>1.5903614457831325</v>
      </c>
      <c r="Q119" s="11">
        <v>1320</v>
      </c>
      <c r="R119" s="85">
        <v>1.5903614457831325</v>
      </c>
      <c r="S119" s="29" t="s">
        <v>2726</v>
      </c>
      <c r="T119" s="29" t="s">
        <v>2794</v>
      </c>
    </row>
    <row r="120">
      <c r="B120" s="29" t="s">
        <v>1217</v>
      </c>
      <c r="C120" s="29" t="s">
        <v>1245</v>
      </c>
      <c r="D120" s="8" t="s">
        <v>1257</v>
      </c>
      <c r="E120" s="10" t="s">
        <v>1431</v>
      </c>
      <c r="F120" s="10">
        <v>3</v>
      </c>
      <c r="G120" s="10">
        <v>1</v>
      </c>
      <c r="H120" s="10">
        <v>1</v>
      </c>
      <c r="I120" s="10"/>
      <c r="J120" s="10">
        <v>830</v>
      </c>
      <c r="K120" s="104">
        <v>45610</v>
      </c>
      <c r="L120" s="104">
        <v>45661</v>
      </c>
      <c r="M120" s="10" t="b">
        <v>0</v>
      </c>
      <c r="N120" s="10">
        <v>52</v>
      </c>
      <c r="O120" s="11">
        <v>1330</v>
      </c>
      <c r="P120" s="85">
        <v>1.6024096385542168</v>
      </c>
      <c r="Q120" s="11">
        <v>1330</v>
      </c>
      <c r="R120" s="85">
        <v>1.6024096385542168</v>
      </c>
      <c r="S120" s="29" t="s">
        <v>2728</v>
      </c>
      <c r="T120" s="29" t="s">
        <v>2794</v>
      </c>
    </row>
    <row r="121">
      <c r="B121" s="29" t="s">
        <v>1217</v>
      </c>
      <c r="C121" s="29" t="s">
        <v>1245</v>
      </c>
      <c r="D121" s="8" t="s">
        <v>1257</v>
      </c>
      <c r="E121" s="10" t="s">
        <v>1432</v>
      </c>
      <c r="F121" s="10">
        <v>3</v>
      </c>
      <c r="G121" s="10">
        <v>1</v>
      </c>
      <c r="H121" s="10">
        <v>1</v>
      </c>
      <c r="I121" s="10"/>
      <c r="J121" s="10">
        <v>830</v>
      </c>
      <c r="K121" s="104">
        <v>45358</v>
      </c>
      <c r="L121" s="104">
        <v>45561</v>
      </c>
      <c r="M121" s="10" t="b">
        <v>0</v>
      </c>
      <c r="N121" s="10">
        <v>204</v>
      </c>
      <c r="O121" s="11">
        <v>1335</v>
      </c>
      <c r="P121" s="85">
        <v>1.608433734939759</v>
      </c>
      <c r="Q121" s="11">
        <v>1306</v>
      </c>
      <c r="R121" s="85">
        <v>1.5734939759036144</v>
      </c>
      <c r="S121" s="29" t="s">
        <v>2745</v>
      </c>
      <c r="T121" s="29" t="s">
        <v>2795</v>
      </c>
    </row>
    <row r="122">
      <c r="B122" s="29" t="s">
        <v>1217</v>
      </c>
      <c r="C122" s="29" t="s">
        <v>1245</v>
      </c>
      <c r="D122" s="8" t="s">
        <v>1257</v>
      </c>
      <c r="E122" s="10" t="s">
        <v>1433</v>
      </c>
      <c r="F122" s="10">
        <v>3</v>
      </c>
      <c r="G122" s="10">
        <v>1</v>
      </c>
      <c r="H122" s="10">
        <v>1</v>
      </c>
      <c r="I122" s="10"/>
      <c r="J122" s="10">
        <v>830</v>
      </c>
      <c r="K122" s="104">
        <v>45630</v>
      </c>
      <c r="L122" s="104">
        <v>45672</v>
      </c>
      <c r="M122" s="10" t="b">
        <v>0</v>
      </c>
      <c r="N122" s="10">
        <v>43</v>
      </c>
      <c r="O122" s="11">
        <v>1340</v>
      </c>
      <c r="P122" s="85">
        <v>1.6144578313253013</v>
      </c>
      <c r="Q122" s="11">
        <v>1340</v>
      </c>
      <c r="R122" s="85">
        <v>1.6144578313253013</v>
      </c>
      <c r="S122" s="29" t="s">
        <v>2728</v>
      </c>
      <c r="T122" s="29" t="s">
        <v>2794</v>
      </c>
    </row>
    <row r="123">
      <c r="B123" s="29" t="s">
        <v>1217</v>
      </c>
      <c r="C123" s="29" t="s">
        <v>1245</v>
      </c>
      <c r="D123" s="8" t="s">
        <v>1257</v>
      </c>
      <c r="E123" s="10" t="s">
        <v>1434</v>
      </c>
      <c r="F123" s="10">
        <v>2</v>
      </c>
      <c r="G123" s="10">
        <v>1</v>
      </c>
      <c r="H123" s="10">
        <v>1</v>
      </c>
      <c r="I123" s="10"/>
      <c r="J123" s="10">
        <v>830</v>
      </c>
      <c r="K123" s="104">
        <v>45749</v>
      </c>
      <c r="L123" s="104"/>
      <c r="M123" s="10" t="b">
        <v>1</v>
      </c>
      <c r="N123" s="10"/>
      <c r="O123" s="11">
        <v>1360</v>
      </c>
      <c r="P123" s="85">
        <v>1.6385542168674698</v>
      </c>
      <c r="Q123" s="11">
        <v>1360</v>
      </c>
      <c r="R123" s="85">
        <v>1.6385542168674698</v>
      </c>
      <c r="S123" s="29" t="s">
        <v>2725</v>
      </c>
      <c r="T123" s="29" t="s">
        <v>2794</v>
      </c>
    </row>
    <row r="124">
      <c r="B124" s="29" t="s">
        <v>1217</v>
      </c>
      <c r="C124" s="29" t="s">
        <v>1245</v>
      </c>
      <c r="D124" s="8" t="s">
        <v>1257</v>
      </c>
      <c r="E124" s="10" t="s">
        <v>1435</v>
      </c>
      <c r="F124" s="10">
        <v>2</v>
      </c>
      <c r="G124" s="10">
        <v>1</v>
      </c>
      <c r="H124" s="10">
        <v>1</v>
      </c>
      <c r="I124" s="10"/>
      <c r="J124" s="10">
        <v>830</v>
      </c>
      <c r="K124" s="104">
        <v>45722</v>
      </c>
      <c r="L124" s="104">
        <v>45766</v>
      </c>
      <c r="M124" s="10" t="b">
        <v>0</v>
      </c>
      <c r="N124" s="10">
        <v>45</v>
      </c>
      <c r="O124" s="11">
        <v>1365</v>
      </c>
      <c r="P124" s="85">
        <v>1.644578313253012</v>
      </c>
      <c r="Q124" s="11">
        <v>1365</v>
      </c>
      <c r="R124" s="85">
        <v>1.644578313253012</v>
      </c>
      <c r="S124" s="29" t="s">
        <v>2725</v>
      </c>
      <c r="T124" s="29" t="s">
        <v>2794</v>
      </c>
    </row>
    <row r="125">
      <c r="B125" s="29" t="s">
        <v>1217</v>
      </c>
      <c r="C125" s="29" t="s">
        <v>1245</v>
      </c>
      <c r="D125" s="8" t="s">
        <v>1257</v>
      </c>
      <c r="E125" s="10" t="s">
        <v>1436</v>
      </c>
      <c r="F125" s="10">
        <v>2</v>
      </c>
      <c r="G125" s="10">
        <v>1</v>
      </c>
      <c r="H125" s="10">
        <v>1</v>
      </c>
      <c r="I125" s="10"/>
      <c r="J125" s="10">
        <v>830</v>
      </c>
      <c r="K125" s="104">
        <v>45519</v>
      </c>
      <c r="L125" s="104">
        <v>45671</v>
      </c>
      <c r="M125" s="10" t="b">
        <v>0</v>
      </c>
      <c r="N125" s="10">
        <v>153</v>
      </c>
      <c r="O125" s="11">
        <v>1365</v>
      </c>
      <c r="P125" s="85">
        <v>1.644578313253012</v>
      </c>
      <c r="Q125" s="11">
        <v>1365</v>
      </c>
      <c r="R125" s="85">
        <v>1.644578313253012</v>
      </c>
      <c r="S125" s="29" t="s">
        <v>2739</v>
      </c>
      <c r="T125" s="29" t="s">
        <v>2795</v>
      </c>
    </row>
    <row r="126">
      <c r="B126" s="29" t="s">
        <v>1217</v>
      </c>
      <c r="C126" s="29" t="s">
        <v>1245</v>
      </c>
      <c r="D126" s="8" t="s">
        <v>1257</v>
      </c>
      <c r="E126" s="10" t="s">
        <v>1437</v>
      </c>
      <c r="F126" s="10">
        <v>3</v>
      </c>
      <c r="G126" s="10">
        <v>1</v>
      </c>
      <c r="H126" s="10">
        <v>1</v>
      </c>
      <c r="I126" s="10"/>
      <c r="J126" s="10">
        <v>830</v>
      </c>
      <c r="K126" s="104">
        <v>45771</v>
      </c>
      <c r="L126" s="104"/>
      <c r="M126" s="10" t="b">
        <v>1</v>
      </c>
      <c r="N126" s="10"/>
      <c r="O126" s="11">
        <v>1385</v>
      </c>
      <c r="P126" s="85">
        <v>1.6686746987951808</v>
      </c>
      <c r="Q126" s="11">
        <v>1385</v>
      </c>
      <c r="R126" s="85">
        <v>1.6686746987951808</v>
      </c>
      <c r="S126" s="29" t="s">
        <v>2736</v>
      </c>
      <c r="T126" s="29" t="s">
        <v>2795</v>
      </c>
    </row>
    <row r="127">
      <c r="B127" s="29" t="s">
        <v>1217</v>
      </c>
      <c r="C127" s="29" t="s">
        <v>1245</v>
      </c>
      <c r="D127" s="8" t="s">
        <v>1257</v>
      </c>
      <c r="E127" s="10" t="s">
        <v>1438</v>
      </c>
      <c r="F127" s="10">
        <v>3</v>
      </c>
      <c r="G127" s="10">
        <v>1</v>
      </c>
      <c r="H127" s="10">
        <v>1</v>
      </c>
      <c r="I127" s="10"/>
      <c r="J127" s="10">
        <v>830</v>
      </c>
      <c r="K127" s="104">
        <v>45762</v>
      </c>
      <c r="L127" s="104"/>
      <c r="M127" s="10" t="b">
        <v>1</v>
      </c>
      <c r="N127" s="10"/>
      <c r="O127" s="11">
        <v>1390</v>
      </c>
      <c r="P127" s="85">
        <v>1.6746987951807228</v>
      </c>
      <c r="Q127" s="11">
        <v>1390</v>
      </c>
      <c r="R127" s="85">
        <v>1.6746987951807228</v>
      </c>
      <c r="S127" s="29" t="s">
        <v>2736</v>
      </c>
      <c r="T127" s="29" t="s">
        <v>2795</v>
      </c>
    </row>
    <row r="128">
      <c r="B128" s="29" t="s">
        <v>1217</v>
      </c>
      <c r="C128" s="29" t="s">
        <v>1245</v>
      </c>
      <c r="D128" s="8" t="s">
        <v>1257</v>
      </c>
      <c r="E128" s="10" t="s">
        <v>1439</v>
      </c>
      <c r="F128" s="10">
        <v>2</v>
      </c>
      <c r="G128" s="10">
        <v>1</v>
      </c>
      <c r="H128" s="10">
        <v>1</v>
      </c>
      <c r="I128" s="10"/>
      <c r="J128" s="10">
        <v>830</v>
      </c>
      <c r="K128" s="104">
        <v>45565</v>
      </c>
      <c r="L128" s="104">
        <v>45679</v>
      </c>
      <c r="M128" s="10" t="b">
        <v>0</v>
      </c>
      <c r="N128" s="10">
        <v>115</v>
      </c>
      <c r="O128" s="11">
        <v>1390</v>
      </c>
      <c r="P128" s="85">
        <v>1.6746987951807228</v>
      </c>
      <c r="Q128" s="11">
        <v>1390</v>
      </c>
      <c r="R128" s="85">
        <v>1.6746987951807228</v>
      </c>
      <c r="S128" s="29" t="s">
        <v>2725</v>
      </c>
      <c r="T128" s="29" t="s">
        <v>2794</v>
      </c>
    </row>
    <row r="129">
      <c r="B129" s="29" t="s">
        <v>1217</v>
      </c>
      <c r="C129" s="29" t="s">
        <v>1245</v>
      </c>
      <c r="D129" s="8" t="s">
        <v>1257</v>
      </c>
      <c r="E129" s="10" t="s">
        <v>1440</v>
      </c>
      <c r="F129" s="10">
        <v>2</v>
      </c>
      <c r="G129" s="10">
        <v>1</v>
      </c>
      <c r="H129" s="10">
        <v>1</v>
      </c>
      <c r="I129" s="10"/>
      <c r="J129" s="10">
        <v>830</v>
      </c>
      <c r="K129" s="104">
        <v>45722</v>
      </c>
      <c r="L129" s="104">
        <v>45738</v>
      </c>
      <c r="M129" s="10" t="b">
        <v>0</v>
      </c>
      <c r="N129" s="10">
        <v>17</v>
      </c>
      <c r="O129" s="11">
        <v>1395</v>
      </c>
      <c r="P129" s="85">
        <v>1.680722891566265</v>
      </c>
      <c r="Q129" s="11">
        <v>1395</v>
      </c>
      <c r="R129" s="85">
        <v>1.680722891566265</v>
      </c>
      <c r="S129" s="29" t="s">
        <v>2725</v>
      </c>
      <c r="T129" s="29" t="s">
        <v>2794</v>
      </c>
    </row>
    <row r="130">
      <c r="B130" s="29" t="s">
        <v>1217</v>
      </c>
      <c r="C130" s="29" t="s">
        <v>1245</v>
      </c>
      <c r="D130" s="8" t="s">
        <v>1257</v>
      </c>
      <c r="E130" s="10" t="s">
        <v>1441</v>
      </c>
      <c r="F130" s="10">
        <v>3</v>
      </c>
      <c r="G130" s="10">
        <v>1</v>
      </c>
      <c r="H130" s="10">
        <v>1</v>
      </c>
      <c r="I130" s="10"/>
      <c r="J130" s="10">
        <v>830</v>
      </c>
      <c r="K130" s="104">
        <v>45751</v>
      </c>
      <c r="L130" s="104">
        <v>45759</v>
      </c>
      <c r="M130" s="10" t="b">
        <v>0</v>
      </c>
      <c r="N130" s="10">
        <v>9</v>
      </c>
      <c r="O130" s="11">
        <v>1400</v>
      </c>
      <c r="P130" s="85">
        <v>1.6867469879518073</v>
      </c>
      <c r="Q130" s="11">
        <v>1400</v>
      </c>
      <c r="R130" s="85">
        <v>1.6867469879518073</v>
      </c>
      <c r="S130" s="29" t="s">
        <v>2735</v>
      </c>
      <c r="T130" s="29" t="s">
        <v>2795</v>
      </c>
    </row>
    <row r="131">
      <c r="B131" s="29" t="s">
        <v>1217</v>
      </c>
      <c r="C131" s="29" t="s">
        <v>1245</v>
      </c>
      <c r="D131" s="8" t="s">
        <v>1257</v>
      </c>
      <c r="E131" s="10" t="s">
        <v>1442</v>
      </c>
      <c r="F131" s="10">
        <v>3</v>
      </c>
      <c r="G131" s="10">
        <v>1</v>
      </c>
      <c r="H131" s="10">
        <v>1</v>
      </c>
      <c r="I131" s="10"/>
      <c r="J131" s="10">
        <v>830</v>
      </c>
      <c r="K131" s="104">
        <v>45709</v>
      </c>
      <c r="L131" s="104">
        <v>45729</v>
      </c>
      <c r="M131" s="10" t="b">
        <v>0</v>
      </c>
      <c r="N131" s="10">
        <v>21</v>
      </c>
      <c r="O131" s="11">
        <v>1400</v>
      </c>
      <c r="P131" s="85">
        <v>1.6867469879518073</v>
      </c>
      <c r="Q131" s="11">
        <v>1400</v>
      </c>
      <c r="R131" s="85">
        <v>1.6867469879518073</v>
      </c>
      <c r="S131" s="29" t="s">
        <v>2726</v>
      </c>
      <c r="T131" s="29" t="s">
        <v>2794</v>
      </c>
    </row>
    <row r="132">
      <c r="B132" s="29" t="s">
        <v>1217</v>
      </c>
      <c r="C132" s="29" t="s">
        <v>1245</v>
      </c>
      <c r="D132" s="8" t="s">
        <v>1257</v>
      </c>
      <c r="E132" s="10" t="s">
        <v>1443</v>
      </c>
      <c r="F132" s="10">
        <v>3</v>
      </c>
      <c r="G132" s="10">
        <v>1</v>
      </c>
      <c r="H132" s="10">
        <v>1</v>
      </c>
      <c r="I132" s="10"/>
      <c r="J132" s="10">
        <v>830</v>
      </c>
      <c r="K132" s="104">
        <v>45371</v>
      </c>
      <c r="L132" s="104">
        <v>45435</v>
      </c>
      <c r="M132" s="10" t="b">
        <v>0</v>
      </c>
      <c r="N132" s="10">
        <v>65</v>
      </c>
      <c r="O132" s="11">
        <v>1405</v>
      </c>
      <c r="P132" s="85">
        <v>1.6927710843373494</v>
      </c>
      <c r="Q132" s="11">
        <v>1405</v>
      </c>
      <c r="R132" s="85">
        <v>1.6927710843373494</v>
      </c>
      <c r="S132" s="29" t="s">
        <v>2735</v>
      </c>
      <c r="T132" s="29" t="s">
        <v>2795</v>
      </c>
    </row>
    <row r="133">
      <c r="B133" s="29" t="s">
        <v>1217</v>
      </c>
      <c r="C133" s="29" t="s">
        <v>1245</v>
      </c>
      <c r="D133" s="8" t="s">
        <v>1257</v>
      </c>
      <c r="E133" s="10" t="s">
        <v>1444</v>
      </c>
      <c r="F133" s="10">
        <v>3</v>
      </c>
      <c r="G133" s="10">
        <v>1</v>
      </c>
      <c r="H133" s="10">
        <v>1</v>
      </c>
      <c r="I133" s="10"/>
      <c r="J133" s="10">
        <v>830</v>
      </c>
      <c r="K133" s="104">
        <v>45769</v>
      </c>
      <c r="L133" s="104"/>
      <c r="M133" s="10" t="b">
        <v>1</v>
      </c>
      <c r="N133" s="10"/>
      <c r="O133" s="11">
        <v>1410</v>
      </c>
      <c r="P133" s="85">
        <v>1.6987951807228916</v>
      </c>
      <c r="Q133" s="11">
        <v>1410</v>
      </c>
      <c r="R133" s="85">
        <v>1.6987951807228916</v>
      </c>
      <c r="S133" s="29" t="s">
        <v>2741</v>
      </c>
      <c r="T133" s="29" t="s">
        <v>2796</v>
      </c>
    </row>
    <row r="134">
      <c r="B134" s="29" t="s">
        <v>1217</v>
      </c>
      <c r="C134" s="29" t="s">
        <v>1245</v>
      </c>
      <c r="D134" s="8" t="s">
        <v>1257</v>
      </c>
      <c r="E134" s="10" t="s">
        <v>1445</v>
      </c>
      <c r="F134" s="10">
        <v>2</v>
      </c>
      <c r="G134" s="10">
        <v>1</v>
      </c>
      <c r="H134" s="10">
        <v>1</v>
      </c>
      <c r="I134" s="10"/>
      <c r="J134" s="10">
        <v>830</v>
      </c>
      <c r="K134" s="104">
        <v>45757</v>
      </c>
      <c r="L134" s="104"/>
      <c r="M134" s="10" t="b">
        <v>1</v>
      </c>
      <c r="N134" s="10"/>
      <c r="O134" s="11">
        <v>1420</v>
      </c>
      <c r="P134" s="85">
        <v>1.7108433734939759</v>
      </c>
      <c r="Q134" s="11">
        <v>1420</v>
      </c>
      <c r="R134" s="85">
        <v>1.7108433734939759</v>
      </c>
      <c r="S134" s="29" t="s">
        <v>2749</v>
      </c>
      <c r="T134" s="29" t="s">
        <v>2795</v>
      </c>
    </row>
    <row r="135">
      <c r="B135" s="29" t="s">
        <v>1217</v>
      </c>
      <c r="C135" s="29" t="s">
        <v>1245</v>
      </c>
      <c r="D135" s="8" t="s">
        <v>1257</v>
      </c>
      <c r="E135" s="10" t="s">
        <v>1446</v>
      </c>
      <c r="F135" s="10">
        <v>2</v>
      </c>
      <c r="G135" s="10">
        <v>1</v>
      </c>
      <c r="H135" s="10">
        <v>1</v>
      </c>
      <c r="I135" s="10"/>
      <c r="J135" s="10">
        <v>830</v>
      </c>
      <c r="K135" s="104">
        <v>45693</v>
      </c>
      <c r="L135" s="104">
        <v>45726</v>
      </c>
      <c r="M135" s="10" t="b">
        <v>0</v>
      </c>
      <c r="N135" s="10">
        <v>34</v>
      </c>
      <c r="O135" s="11">
        <v>1430</v>
      </c>
      <c r="P135" s="85">
        <v>1.7228915662650603</v>
      </c>
      <c r="Q135" s="11">
        <v>1430</v>
      </c>
      <c r="R135" s="85">
        <v>1.7228915662650603</v>
      </c>
      <c r="S135" s="29" t="s">
        <v>2725</v>
      </c>
      <c r="T135" s="29" t="s">
        <v>2794</v>
      </c>
    </row>
    <row r="136">
      <c r="B136" s="29" t="s">
        <v>1217</v>
      </c>
      <c r="C136" s="29" t="s">
        <v>1245</v>
      </c>
      <c r="D136" s="8" t="s">
        <v>1257</v>
      </c>
      <c r="E136" s="10" t="s">
        <v>1447</v>
      </c>
      <c r="F136" s="10">
        <v>2</v>
      </c>
      <c r="G136" s="10">
        <v>1</v>
      </c>
      <c r="H136" s="10">
        <v>1</v>
      </c>
      <c r="I136" s="10"/>
      <c r="J136" s="10">
        <v>830</v>
      </c>
      <c r="K136" s="104">
        <v>45691</v>
      </c>
      <c r="L136" s="104">
        <v>45708</v>
      </c>
      <c r="M136" s="10" t="b">
        <v>0</v>
      </c>
      <c r="N136" s="10">
        <v>18</v>
      </c>
      <c r="O136" s="11">
        <v>1535</v>
      </c>
      <c r="P136" s="85">
        <v>1.8493975903614457</v>
      </c>
      <c r="Q136" s="11">
        <v>1535</v>
      </c>
      <c r="R136" s="85">
        <v>1.8493975903614457</v>
      </c>
      <c r="S136" s="29" t="s">
        <v>2739</v>
      </c>
      <c r="T136" s="29" t="s">
        <v>2795</v>
      </c>
    </row>
    <row r="137">
      <c r="B137" s="29" t="s">
        <v>1217</v>
      </c>
      <c r="C137" s="29" t="s">
        <v>1245</v>
      </c>
      <c r="D137" s="8" t="s">
        <v>1257</v>
      </c>
      <c r="E137" s="10" t="s">
        <v>1448</v>
      </c>
      <c r="F137" s="10">
        <v>2</v>
      </c>
      <c r="G137" s="10">
        <v>1</v>
      </c>
      <c r="H137" s="10">
        <v>1</v>
      </c>
      <c r="I137" s="10"/>
      <c r="J137" s="10">
        <v>830</v>
      </c>
      <c r="K137" s="104">
        <v>45379</v>
      </c>
      <c r="L137" s="104">
        <v>45388</v>
      </c>
      <c r="M137" s="10" t="b">
        <v>0</v>
      </c>
      <c r="N137" s="10">
        <v>10</v>
      </c>
      <c r="O137" s="11">
        <v>1185</v>
      </c>
      <c r="P137" s="85">
        <v>1.427710843373494</v>
      </c>
      <c r="Q137" s="11">
        <v>1185</v>
      </c>
      <c r="R137" s="85">
        <v>1.427710843373494</v>
      </c>
      <c r="S137" s="29" t="s">
        <v>2719</v>
      </c>
      <c r="T137" s="29" t="s">
        <v>2788</v>
      </c>
    </row>
    <row r="138">
      <c r="B138" s="29" t="s">
        <v>1217</v>
      </c>
      <c r="C138" s="29" t="s">
        <v>1245</v>
      </c>
      <c r="D138" s="8" t="s">
        <v>1257</v>
      </c>
      <c r="E138" s="10" t="s">
        <v>1449</v>
      </c>
      <c r="F138" s="10">
        <v>3</v>
      </c>
      <c r="G138" s="10">
        <v>1</v>
      </c>
      <c r="H138" s="10">
        <v>1</v>
      </c>
      <c r="I138" s="10"/>
      <c r="J138" s="10">
        <v>830</v>
      </c>
      <c r="K138" s="104">
        <v>45330</v>
      </c>
      <c r="L138" s="104">
        <v>45373</v>
      </c>
      <c r="M138" s="10" t="b">
        <v>0</v>
      </c>
      <c r="N138" s="10">
        <v>44</v>
      </c>
      <c r="O138" s="11">
        <v>1265</v>
      </c>
      <c r="P138" s="85">
        <v>1.5240963855421688</v>
      </c>
      <c r="Q138" s="11">
        <v>1182</v>
      </c>
      <c r="R138" s="85">
        <v>1.4240963855421687</v>
      </c>
      <c r="S138" s="29" t="s">
        <v>2719</v>
      </c>
      <c r="T138" s="29" t="s">
        <v>2788</v>
      </c>
    </row>
    <row r="139">
      <c r="B139" s="29" t="s">
        <v>1217</v>
      </c>
      <c r="C139" s="29" t="s">
        <v>1245</v>
      </c>
      <c r="D139" s="8" t="s">
        <v>1258</v>
      </c>
      <c r="E139" s="10" t="s">
        <v>1450</v>
      </c>
      <c r="F139" s="10">
        <v>2</v>
      </c>
      <c r="G139" s="10">
        <v>1</v>
      </c>
      <c r="H139" s="10">
        <v>1</v>
      </c>
      <c r="I139" s="10"/>
      <c r="J139" s="10">
        <v>830</v>
      </c>
      <c r="K139" s="104">
        <v>45157</v>
      </c>
      <c r="L139" s="104">
        <v>45163</v>
      </c>
      <c r="M139" s="10" t="b">
        <v>0</v>
      </c>
      <c r="N139" s="10">
        <v>7</v>
      </c>
      <c r="O139" s="11">
        <v>1275</v>
      </c>
      <c r="P139" s="85">
        <v>1.536144578313253</v>
      </c>
      <c r="Q139" s="11">
        <v>1169</v>
      </c>
      <c r="R139" s="85">
        <v>1.408433734939759</v>
      </c>
      <c r="S139" s="29" t="s">
        <v>2719</v>
      </c>
      <c r="T139" s="29" t="s">
        <v>2788</v>
      </c>
    </row>
    <row r="140">
      <c r="B140" s="29" t="s">
        <v>1217</v>
      </c>
      <c r="C140" s="29" t="s">
        <v>1245</v>
      </c>
      <c r="D140" s="8" t="s">
        <v>1257</v>
      </c>
      <c r="E140" s="10" t="s">
        <v>1451</v>
      </c>
      <c r="F140" s="10">
        <v>3</v>
      </c>
      <c r="G140" s="10">
        <v>1</v>
      </c>
      <c r="H140" s="10">
        <v>1</v>
      </c>
      <c r="I140" s="10"/>
      <c r="J140" s="10">
        <v>830</v>
      </c>
      <c r="K140" s="104">
        <v>45217</v>
      </c>
      <c r="L140" s="104">
        <v>45385</v>
      </c>
      <c r="M140" s="10" t="b">
        <v>0</v>
      </c>
      <c r="N140" s="10">
        <v>169</v>
      </c>
      <c r="O140" s="11">
        <v>1280</v>
      </c>
      <c r="P140" s="85">
        <v>1.5421686746987953</v>
      </c>
      <c r="Q140" s="11">
        <v>1197</v>
      </c>
      <c r="R140" s="85">
        <v>1.4421686746987952</v>
      </c>
      <c r="S140" s="29" t="s">
        <v>2719</v>
      </c>
      <c r="T140" s="29" t="s">
        <v>2788</v>
      </c>
    </row>
    <row r="141">
      <c r="B141" s="29" t="s">
        <v>1217</v>
      </c>
      <c r="C141" s="29" t="s">
        <v>1245</v>
      </c>
      <c r="D141" s="8" t="s">
        <v>1258</v>
      </c>
      <c r="E141" s="10" t="s">
        <v>1452</v>
      </c>
      <c r="F141" s="10">
        <v>2</v>
      </c>
      <c r="G141" s="10">
        <v>1</v>
      </c>
      <c r="H141" s="10">
        <v>1</v>
      </c>
      <c r="I141" s="10"/>
      <c r="J141" s="10">
        <v>830</v>
      </c>
      <c r="K141" s="104">
        <v>45157</v>
      </c>
      <c r="L141" s="104">
        <v>45189</v>
      </c>
      <c r="M141" s="10" t="b">
        <v>0</v>
      </c>
      <c r="N141" s="10">
        <v>33</v>
      </c>
      <c r="O141" s="11">
        <v>1290</v>
      </c>
      <c r="P141" s="85">
        <v>1.5542168674698795</v>
      </c>
      <c r="Q141" s="11">
        <v>1182</v>
      </c>
      <c r="R141" s="85">
        <v>1.4240963855421687</v>
      </c>
      <c r="S141" s="29" t="s">
        <v>2719</v>
      </c>
      <c r="T141" s="29" t="s">
        <v>2788</v>
      </c>
    </row>
    <row r="142">
      <c r="B142" s="29" t="s">
        <v>1217</v>
      </c>
      <c r="C142" s="29" t="s">
        <v>1245</v>
      </c>
      <c r="D142" s="8" t="s">
        <v>1257</v>
      </c>
      <c r="E142" s="10" t="s">
        <v>1453</v>
      </c>
      <c r="F142" s="10">
        <v>2</v>
      </c>
      <c r="G142" s="10">
        <v>1</v>
      </c>
      <c r="H142" s="10">
        <v>1</v>
      </c>
      <c r="I142" s="10"/>
      <c r="J142" s="10">
        <v>830</v>
      </c>
      <c r="K142" s="104">
        <v>45310</v>
      </c>
      <c r="L142" s="104">
        <v>45360</v>
      </c>
      <c r="M142" s="10" t="b">
        <v>0</v>
      </c>
      <c r="N142" s="10">
        <v>51</v>
      </c>
      <c r="O142" s="11">
        <v>1290</v>
      </c>
      <c r="P142" s="85">
        <v>1.5542168674698795</v>
      </c>
      <c r="Q142" s="11">
        <v>1290</v>
      </c>
      <c r="R142" s="85">
        <v>1.5542168674698795</v>
      </c>
      <c r="S142" s="29" t="s">
        <v>2719</v>
      </c>
      <c r="T142" s="29" t="s">
        <v>2788</v>
      </c>
    </row>
    <row r="143">
      <c r="B143" s="29" t="s">
        <v>1217</v>
      </c>
      <c r="C143" s="29" t="s">
        <v>1245</v>
      </c>
      <c r="D143" s="8" t="s">
        <v>1258</v>
      </c>
      <c r="E143" s="10" t="s">
        <v>1454</v>
      </c>
      <c r="F143" s="10">
        <v>3</v>
      </c>
      <c r="G143" s="10">
        <v>1</v>
      </c>
      <c r="H143" s="10">
        <v>1</v>
      </c>
      <c r="I143" s="10"/>
      <c r="J143" s="10">
        <v>830</v>
      </c>
      <c r="K143" s="104"/>
      <c r="L143" s="104">
        <v>45203</v>
      </c>
      <c r="M143" s="10" t="b">
        <v>0</v>
      </c>
      <c r="N143" s="10"/>
      <c r="O143" s="11">
        <v>1330</v>
      </c>
      <c r="P143" s="85">
        <v>1.6024096385542168</v>
      </c>
      <c r="Q143" s="11">
        <v>1219</v>
      </c>
      <c r="R143" s="85">
        <v>1.4686746987951806</v>
      </c>
      <c r="S143" s="29" t="s">
        <v>2719</v>
      </c>
      <c r="T143" s="29" t="s">
        <v>2788</v>
      </c>
    </row>
    <row r="144">
      <c r="B144" s="29" t="s">
        <v>1217</v>
      </c>
      <c r="C144" s="29" t="s">
        <v>1245</v>
      </c>
      <c r="D144" s="8" t="s">
        <v>1257</v>
      </c>
      <c r="E144" s="10" t="s">
        <v>1455</v>
      </c>
      <c r="F144" s="10">
        <v>2</v>
      </c>
      <c r="G144" s="10">
        <v>1</v>
      </c>
      <c r="H144" s="10">
        <v>1</v>
      </c>
      <c r="I144" s="10"/>
      <c r="J144" s="10">
        <v>830</v>
      </c>
      <c r="K144" s="104">
        <v>45283</v>
      </c>
      <c r="L144" s="104">
        <v>45373</v>
      </c>
      <c r="M144" s="10" t="b">
        <v>0</v>
      </c>
      <c r="N144" s="10">
        <v>91</v>
      </c>
      <c r="O144" s="11">
        <v>1380</v>
      </c>
      <c r="P144" s="85">
        <v>1.6626506024096386</v>
      </c>
      <c r="Q144" s="11">
        <v>1380</v>
      </c>
      <c r="R144" s="85">
        <v>1.6626506024096386</v>
      </c>
      <c r="S144" s="29" t="s">
        <v>2719</v>
      </c>
      <c r="T144" s="29" t="s">
        <v>2788</v>
      </c>
    </row>
    <row r="145">
      <c r="B145" s="29" t="s">
        <v>1217</v>
      </c>
      <c r="C145" s="29" t="s">
        <v>1245</v>
      </c>
      <c r="D145" s="8" t="s">
        <v>1257</v>
      </c>
      <c r="E145" s="10" t="s">
        <v>1456</v>
      </c>
      <c r="F145" s="10">
        <v>2</v>
      </c>
      <c r="G145" s="10">
        <v>1</v>
      </c>
      <c r="H145" s="10">
        <v>1</v>
      </c>
      <c r="I145" s="10"/>
      <c r="J145" s="10">
        <v>830</v>
      </c>
      <c r="K145" s="104">
        <v>45360</v>
      </c>
      <c r="L145" s="104">
        <v>45385</v>
      </c>
      <c r="M145" s="10" t="b">
        <v>0</v>
      </c>
      <c r="N145" s="10">
        <v>26</v>
      </c>
      <c r="O145" s="11">
        <v>1395</v>
      </c>
      <c r="P145" s="85">
        <v>1.680722891566265</v>
      </c>
      <c r="Q145" s="11">
        <v>1395</v>
      </c>
      <c r="R145" s="85">
        <v>1.680722891566265</v>
      </c>
      <c r="S145" s="29" t="s">
        <v>2719</v>
      </c>
      <c r="T145" s="29" t="s">
        <v>2788</v>
      </c>
    </row>
    <row r="146">
      <c r="B146" s="29" t="s">
        <v>1217</v>
      </c>
      <c r="C146" s="29" t="s">
        <v>1245</v>
      </c>
      <c r="D146" s="8" t="s">
        <v>1257</v>
      </c>
      <c r="E146" s="10" t="s">
        <v>1457</v>
      </c>
      <c r="F146" s="10">
        <v>3</v>
      </c>
      <c r="G146" s="10">
        <v>1</v>
      </c>
      <c r="H146" s="10">
        <v>1</v>
      </c>
      <c r="I146" s="10"/>
      <c r="J146" s="10">
        <v>830</v>
      </c>
      <c r="K146" s="104">
        <v>45358</v>
      </c>
      <c r="L146" s="104">
        <v>45416</v>
      </c>
      <c r="M146" s="10" t="b">
        <v>0</v>
      </c>
      <c r="N146" s="10">
        <v>59</v>
      </c>
      <c r="O146" s="11">
        <v>1395</v>
      </c>
      <c r="P146" s="85">
        <v>1.680722891566265</v>
      </c>
      <c r="Q146" s="11">
        <v>1395</v>
      </c>
      <c r="R146" s="85">
        <v>1.680722891566265</v>
      </c>
      <c r="S146" s="29" t="s">
        <v>2719</v>
      </c>
      <c r="T146" s="29" t="s">
        <v>2788</v>
      </c>
    </row>
    <row r="147">
      <c r="B147" s="29" t="s">
        <v>1217</v>
      </c>
      <c r="C147" s="29" t="s">
        <v>1245</v>
      </c>
      <c r="D147" s="8" t="s">
        <v>1258</v>
      </c>
      <c r="E147" s="10" t="s">
        <v>1458</v>
      </c>
      <c r="F147" s="10">
        <v>3</v>
      </c>
      <c r="G147" s="10">
        <v>1</v>
      </c>
      <c r="H147" s="10">
        <v>1</v>
      </c>
      <c r="I147" s="10"/>
      <c r="J147" s="10">
        <v>830</v>
      </c>
      <c r="K147" s="104"/>
      <c r="L147" s="104">
        <v>45127</v>
      </c>
      <c r="M147" s="10" t="b">
        <v>0</v>
      </c>
      <c r="N147" s="10"/>
      <c r="O147" s="11">
        <v>1415</v>
      </c>
      <c r="P147" s="85">
        <v>1.7048192771084338</v>
      </c>
      <c r="Q147" s="11">
        <v>1297</v>
      </c>
      <c r="R147" s="85">
        <v>1.5626506024096385</v>
      </c>
      <c r="S147" s="29" t="s">
        <v>2719</v>
      </c>
      <c r="T147" s="29" t="s">
        <v>2788</v>
      </c>
    </row>
    <row r="148">
      <c r="B148" s="29" t="s">
        <v>1217</v>
      </c>
      <c r="C148" s="29" t="s">
        <v>1245</v>
      </c>
      <c r="D148" s="8" t="s">
        <v>1259</v>
      </c>
      <c r="E148" s="10" t="s">
        <v>1459</v>
      </c>
      <c r="F148" s="10">
        <v>2</v>
      </c>
      <c r="G148" s="10">
        <v>2</v>
      </c>
      <c r="H148" s="10">
        <v>1</v>
      </c>
      <c r="I148" s="10"/>
      <c r="J148" s="10">
        <v>975</v>
      </c>
      <c r="K148" s="104">
        <v>45504</v>
      </c>
      <c r="L148" s="104">
        <v>45512</v>
      </c>
      <c r="M148" s="10" t="b">
        <v>0</v>
      </c>
      <c r="N148" s="10">
        <v>9</v>
      </c>
      <c r="O148" s="11">
        <v>1190</v>
      </c>
      <c r="P148" s="85">
        <v>1.2205128205128206</v>
      </c>
      <c r="Q148" s="11">
        <v>1161</v>
      </c>
      <c r="R148" s="85">
        <v>1.1907692307692308</v>
      </c>
      <c r="S148" s="29" t="s">
        <v>2750</v>
      </c>
      <c r="T148" s="29" t="s">
        <v>2789</v>
      </c>
    </row>
    <row r="149">
      <c r="B149" s="29" t="s">
        <v>1217</v>
      </c>
      <c r="C149" s="29" t="s">
        <v>1245</v>
      </c>
      <c r="D149" s="8" t="s">
        <v>1259</v>
      </c>
      <c r="E149" s="10" t="s">
        <v>1460</v>
      </c>
      <c r="F149" s="10">
        <v>2</v>
      </c>
      <c r="G149" s="10">
        <v>2</v>
      </c>
      <c r="H149" s="10">
        <v>1</v>
      </c>
      <c r="I149" s="10"/>
      <c r="J149" s="10">
        <v>975</v>
      </c>
      <c r="K149" s="104">
        <v>45451</v>
      </c>
      <c r="L149" s="104">
        <v>45559</v>
      </c>
      <c r="M149" s="10" t="b">
        <v>0</v>
      </c>
      <c r="N149" s="10">
        <v>109</v>
      </c>
      <c r="O149" s="11">
        <v>1220</v>
      </c>
      <c r="P149" s="85">
        <v>1.2512820512820513</v>
      </c>
      <c r="Q149" s="11">
        <v>1198</v>
      </c>
      <c r="R149" s="85">
        <v>1.2287179487179487</v>
      </c>
      <c r="S149" s="29" t="s">
        <v>2720</v>
      </c>
      <c r="T149" s="29" t="s">
        <v>2789</v>
      </c>
    </row>
    <row r="150">
      <c r="B150" s="29" t="s">
        <v>1217</v>
      </c>
      <c r="C150" s="29" t="s">
        <v>1245</v>
      </c>
      <c r="D150" s="8" t="s">
        <v>1259</v>
      </c>
      <c r="E150" s="10" t="s">
        <v>1461</v>
      </c>
      <c r="F150" s="10">
        <v>2</v>
      </c>
      <c r="G150" s="10">
        <v>2</v>
      </c>
      <c r="H150" s="10">
        <v>1</v>
      </c>
      <c r="I150" s="10"/>
      <c r="J150" s="10">
        <v>975</v>
      </c>
      <c r="K150" s="104">
        <v>45784</v>
      </c>
      <c r="L150" s="104"/>
      <c r="M150" s="10" t="b">
        <v>1</v>
      </c>
      <c r="N150" s="10"/>
      <c r="O150" s="11">
        <v>1230</v>
      </c>
      <c r="P150" s="85">
        <v>1.2615384615384615</v>
      </c>
      <c r="Q150" s="11">
        <v>1230</v>
      </c>
      <c r="R150" s="85">
        <v>1.2615384615384615</v>
      </c>
      <c r="S150" s="29" t="s">
        <v>2721</v>
      </c>
      <c r="T150" s="29" t="s">
        <v>2789</v>
      </c>
    </row>
    <row r="151">
      <c r="B151" s="29" t="s">
        <v>1217</v>
      </c>
      <c r="C151" s="29" t="s">
        <v>1245</v>
      </c>
      <c r="D151" s="8" t="s">
        <v>1259</v>
      </c>
      <c r="E151" s="10" t="s">
        <v>1462</v>
      </c>
      <c r="F151" s="10">
        <v>2</v>
      </c>
      <c r="G151" s="10">
        <v>2</v>
      </c>
      <c r="H151" s="10">
        <v>1</v>
      </c>
      <c r="I151" s="10"/>
      <c r="J151" s="10">
        <v>975</v>
      </c>
      <c r="K151" s="104">
        <v>45266</v>
      </c>
      <c r="L151" s="104">
        <v>45424</v>
      </c>
      <c r="M151" s="10" t="b">
        <v>0</v>
      </c>
      <c r="N151" s="10">
        <v>159</v>
      </c>
      <c r="O151" s="11">
        <v>1277</v>
      </c>
      <c r="P151" s="85">
        <v>1.3097435897435898</v>
      </c>
      <c r="Q151" s="11">
        <v>1277</v>
      </c>
      <c r="R151" s="85">
        <v>1.3097435897435898</v>
      </c>
      <c r="S151" s="29" t="s">
        <v>2720</v>
      </c>
      <c r="T151" s="29" t="s">
        <v>2789</v>
      </c>
    </row>
    <row r="152">
      <c r="B152" s="29" t="s">
        <v>1217</v>
      </c>
      <c r="C152" s="29" t="s">
        <v>1245</v>
      </c>
      <c r="D152" s="8" t="s">
        <v>1259</v>
      </c>
      <c r="E152" s="10" t="s">
        <v>1463</v>
      </c>
      <c r="F152" s="10">
        <v>2</v>
      </c>
      <c r="G152" s="10">
        <v>2</v>
      </c>
      <c r="H152" s="10">
        <v>1</v>
      </c>
      <c r="I152" s="10"/>
      <c r="J152" s="10">
        <v>975</v>
      </c>
      <c r="K152" s="104">
        <v>45441</v>
      </c>
      <c r="L152" s="104">
        <v>45532</v>
      </c>
      <c r="M152" s="10" t="b">
        <v>0</v>
      </c>
      <c r="N152" s="10">
        <v>92</v>
      </c>
      <c r="O152" s="11">
        <v>1280</v>
      </c>
      <c r="P152" s="85">
        <v>1.3128205128205128</v>
      </c>
      <c r="Q152" s="11">
        <v>1248</v>
      </c>
      <c r="R152" s="85">
        <v>1.28</v>
      </c>
      <c r="S152" s="29" t="s">
        <v>2723</v>
      </c>
      <c r="T152" s="29" t="s">
        <v>2789</v>
      </c>
    </row>
    <row r="153">
      <c r="B153" s="29" t="s">
        <v>1217</v>
      </c>
      <c r="C153" s="29" t="s">
        <v>1245</v>
      </c>
      <c r="D153" s="8" t="s">
        <v>1259</v>
      </c>
      <c r="E153" s="10" t="s">
        <v>1464</v>
      </c>
      <c r="F153" s="10">
        <v>2</v>
      </c>
      <c r="G153" s="10">
        <v>2</v>
      </c>
      <c r="H153" s="10">
        <v>1</v>
      </c>
      <c r="I153" s="10"/>
      <c r="J153" s="10">
        <v>975</v>
      </c>
      <c r="K153" s="104">
        <v>45498</v>
      </c>
      <c r="L153" s="104">
        <v>45533</v>
      </c>
      <c r="M153" s="10" t="b">
        <v>0</v>
      </c>
      <c r="N153" s="10">
        <v>36</v>
      </c>
      <c r="O153" s="11">
        <v>1280</v>
      </c>
      <c r="P153" s="85">
        <v>1.3128205128205128</v>
      </c>
      <c r="Q153" s="11">
        <v>1251</v>
      </c>
      <c r="R153" s="85">
        <v>1.283076923076923</v>
      </c>
      <c r="S153" s="29" t="s">
        <v>2723</v>
      </c>
      <c r="T153" s="29" t="s">
        <v>2789</v>
      </c>
    </row>
    <row r="154">
      <c r="B154" s="29" t="s">
        <v>1217</v>
      </c>
      <c r="C154" s="29" t="s">
        <v>1245</v>
      </c>
      <c r="D154" s="8" t="s">
        <v>1259</v>
      </c>
      <c r="E154" s="10" t="s">
        <v>1465</v>
      </c>
      <c r="F154" s="10">
        <v>2</v>
      </c>
      <c r="G154" s="10">
        <v>2</v>
      </c>
      <c r="H154" s="10">
        <v>1</v>
      </c>
      <c r="I154" s="10"/>
      <c r="J154" s="10">
        <v>975</v>
      </c>
      <c r="K154" s="104">
        <v>45392</v>
      </c>
      <c r="L154" s="104">
        <v>45528</v>
      </c>
      <c r="M154" s="10" t="b">
        <v>0</v>
      </c>
      <c r="N154" s="10">
        <v>137</v>
      </c>
      <c r="O154" s="11">
        <v>1290</v>
      </c>
      <c r="P154" s="85">
        <v>1.323076923076923</v>
      </c>
      <c r="Q154" s="11">
        <v>1261</v>
      </c>
      <c r="R154" s="85">
        <v>1.2933333333333332</v>
      </c>
      <c r="S154" s="29" t="s">
        <v>2723</v>
      </c>
      <c r="T154" s="29" t="s">
        <v>2789</v>
      </c>
    </row>
    <row r="155">
      <c r="B155" s="29" t="s">
        <v>1217</v>
      </c>
      <c r="C155" s="29" t="s">
        <v>1245</v>
      </c>
      <c r="D155" s="8" t="s">
        <v>1259</v>
      </c>
      <c r="E155" s="10" t="s">
        <v>1466</v>
      </c>
      <c r="F155" s="10">
        <v>1</v>
      </c>
      <c r="G155" s="10">
        <v>2</v>
      </c>
      <c r="H155" s="10">
        <v>1</v>
      </c>
      <c r="I155" s="10"/>
      <c r="J155" s="10">
        <v>975</v>
      </c>
      <c r="K155" s="104">
        <v>45453</v>
      </c>
      <c r="L155" s="104">
        <v>45454</v>
      </c>
      <c r="M155" s="10" t="b">
        <v>0</v>
      </c>
      <c r="N155" s="10">
        <v>2</v>
      </c>
      <c r="O155" s="11">
        <v>1295</v>
      </c>
      <c r="P155" s="85">
        <v>1.3282051282051281</v>
      </c>
      <c r="Q155" s="11">
        <v>1295</v>
      </c>
      <c r="R155" s="85">
        <v>1.3282051282051281</v>
      </c>
      <c r="S155" s="29" t="s">
        <v>2722</v>
      </c>
      <c r="T155" s="29" t="s">
        <v>2789</v>
      </c>
    </row>
    <row r="156">
      <c r="B156" s="29" t="s">
        <v>1217</v>
      </c>
      <c r="C156" s="29" t="s">
        <v>1245</v>
      </c>
      <c r="D156" s="8" t="s">
        <v>1259</v>
      </c>
      <c r="E156" s="10" t="s">
        <v>1467</v>
      </c>
      <c r="F156" s="10">
        <v>2</v>
      </c>
      <c r="G156" s="10">
        <v>2</v>
      </c>
      <c r="H156" s="10">
        <v>1</v>
      </c>
      <c r="I156" s="10"/>
      <c r="J156" s="10">
        <v>975</v>
      </c>
      <c r="K156" s="104">
        <v>45661</v>
      </c>
      <c r="L156" s="104"/>
      <c r="M156" s="10" t="b">
        <v>1</v>
      </c>
      <c r="N156" s="10"/>
      <c r="O156" s="11">
        <v>1300</v>
      </c>
      <c r="P156" s="85">
        <v>1.3333333333333333</v>
      </c>
      <c r="Q156" s="11">
        <v>1300</v>
      </c>
      <c r="R156" s="85">
        <v>1.3333333333333333</v>
      </c>
      <c r="S156" s="29" t="s">
        <v>2726</v>
      </c>
      <c r="T156" s="29" t="s">
        <v>2789</v>
      </c>
    </row>
    <row r="157">
      <c r="B157" s="29" t="s">
        <v>1217</v>
      </c>
      <c r="C157" s="29" t="s">
        <v>1245</v>
      </c>
      <c r="D157" s="8" t="s">
        <v>1259</v>
      </c>
      <c r="E157" s="10" t="s">
        <v>1468</v>
      </c>
      <c r="F157" s="10">
        <v>1</v>
      </c>
      <c r="G157" s="10">
        <v>2</v>
      </c>
      <c r="H157" s="10">
        <v>1</v>
      </c>
      <c r="I157" s="10"/>
      <c r="J157" s="10">
        <v>975</v>
      </c>
      <c r="K157" s="104">
        <v>45554</v>
      </c>
      <c r="L157" s="104">
        <v>45556</v>
      </c>
      <c r="M157" s="10" t="b">
        <v>0</v>
      </c>
      <c r="N157" s="10">
        <v>3</v>
      </c>
      <c r="O157" s="11">
        <v>1300</v>
      </c>
      <c r="P157" s="85">
        <v>1.3333333333333333</v>
      </c>
      <c r="Q157" s="11">
        <v>1278</v>
      </c>
      <c r="R157" s="85">
        <v>1.3107692307692307</v>
      </c>
      <c r="S157" s="29" t="s">
        <v>2722</v>
      </c>
      <c r="T157" s="29" t="s">
        <v>2789</v>
      </c>
    </row>
    <row r="158">
      <c r="B158" s="29" t="s">
        <v>1217</v>
      </c>
      <c r="C158" s="29" t="s">
        <v>1245</v>
      </c>
      <c r="D158" s="8" t="s">
        <v>1259</v>
      </c>
      <c r="E158" s="10" t="s">
        <v>1469</v>
      </c>
      <c r="F158" s="10">
        <v>1</v>
      </c>
      <c r="G158" s="10">
        <v>2</v>
      </c>
      <c r="H158" s="10">
        <v>1</v>
      </c>
      <c r="I158" s="10"/>
      <c r="J158" s="10">
        <v>975</v>
      </c>
      <c r="K158" s="104">
        <v>45273</v>
      </c>
      <c r="L158" s="104">
        <v>45525</v>
      </c>
      <c r="M158" s="10" t="b">
        <v>0</v>
      </c>
      <c r="N158" s="10">
        <v>253</v>
      </c>
      <c r="O158" s="11">
        <v>1300</v>
      </c>
      <c r="P158" s="85">
        <v>1.3333333333333333</v>
      </c>
      <c r="Q158" s="11">
        <v>1271</v>
      </c>
      <c r="R158" s="85">
        <v>1.3035897435897437</v>
      </c>
      <c r="S158" s="29" t="s">
        <v>2730</v>
      </c>
      <c r="T158" s="29" t="s">
        <v>2789</v>
      </c>
    </row>
    <row r="159">
      <c r="B159" s="29" t="s">
        <v>1217</v>
      </c>
      <c r="C159" s="29" t="s">
        <v>1245</v>
      </c>
      <c r="D159" s="8" t="s">
        <v>1259</v>
      </c>
      <c r="E159" s="10" t="s">
        <v>1470</v>
      </c>
      <c r="F159" s="10">
        <v>1</v>
      </c>
      <c r="G159" s="10">
        <v>2</v>
      </c>
      <c r="H159" s="10">
        <v>1</v>
      </c>
      <c r="I159" s="10"/>
      <c r="J159" s="10">
        <v>975</v>
      </c>
      <c r="K159" s="104">
        <v>45751</v>
      </c>
      <c r="L159" s="104">
        <v>45769</v>
      </c>
      <c r="M159" s="10" t="b">
        <v>0</v>
      </c>
      <c r="N159" s="10">
        <v>19</v>
      </c>
      <c r="O159" s="11">
        <v>1305</v>
      </c>
      <c r="P159" s="85">
        <v>1.3384615384615384</v>
      </c>
      <c r="Q159" s="11">
        <v>1305</v>
      </c>
      <c r="R159" s="85">
        <v>1.3384615384615384</v>
      </c>
      <c r="S159" s="29" t="s">
        <v>2725</v>
      </c>
      <c r="T159" s="29" t="s">
        <v>2789</v>
      </c>
    </row>
    <row r="160">
      <c r="B160" s="29" t="s">
        <v>1217</v>
      </c>
      <c r="C160" s="29" t="s">
        <v>1245</v>
      </c>
      <c r="D160" s="8" t="s">
        <v>1259</v>
      </c>
      <c r="E160" s="10" t="s">
        <v>1471</v>
      </c>
      <c r="F160" s="10">
        <v>2</v>
      </c>
      <c r="G160" s="10">
        <v>2</v>
      </c>
      <c r="H160" s="10">
        <v>1</v>
      </c>
      <c r="I160" s="10"/>
      <c r="J160" s="10">
        <v>975</v>
      </c>
      <c r="K160" s="104">
        <v>45661</v>
      </c>
      <c r="L160" s="104"/>
      <c r="M160" s="10" t="b">
        <v>1</v>
      </c>
      <c r="N160" s="10"/>
      <c r="O160" s="11">
        <v>1305</v>
      </c>
      <c r="P160" s="85">
        <v>1.3384615384615384</v>
      </c>
      <c r="Q160" s="11">
        <v>1305</v>
      </c>
      <c r="R160" s="85">
        <v>1.3384615384615384</v>
      </c>
      <c r="S160" s="29" t="s">
        <v>2732</v>
      </c>
      <c r="T160" s="29" t="s">
        <v>2789</v>
      </c>
    </row>
    <row r="161">
      <c r="B161" s="29" t="s">
        <v>1217</v>
      </c>
      <c r="C161" s="29" t="s">
        <v>1245</v>
      </c>
      <c r="D161" s="8" t="s">
        <v>1259</v>
      </c>
      <c r="E161" s="10" t="s">
        <v>1472</v>
      </c>
      <c r="F161" s="10">
        <v>1</v>
      </c>
      <c r="G161" s="10">
        <v>2</v>
      </c>
      <c r="H161" s="10">
        <v>1</v>
      </c>
      <c r="I161" s="10"/>
      <c r="J161" s="10">
        <v>975</v>
      </c>
      <c r="K161" s="104">
        <v>45557</v>
      </c>
      <c r="L161" s="104"/>
      <c r="M161" s="10" t="b">
        <v>1</v>
      </c>
      <c r="N161" s="10"/>
      <c r="O161" s="11">
        <v>1305</v>
      </c>
      <c r="P161" s="85">
        <v>1.3384615384615384</v>
      </c>
      <c r="Q161" s="11">
        <v>1305</v>
      </c>
      <c r="R161" s="85">
        <v>1.3384615384615384</v>
      </c>
      <c r="S161" s="29" t="s">
        <v>2728</v>
      </c>
      <c r="T161" s="29" t="s">
        <v>2789</v>
      </c>
    </row>
    <row r="162">
      <c r="B162" s="29" t="s">
        <v>1217</v>
      </c>
      <c r="C162" s="29" t="s">
        <v>1245</v>
      </c>
      <c r="D162" s="8" t="s">
        <v>1259</v>
      </c>
      <c r="E162" s="10" t="s">
        <v>1473</v>
      </c>
      <c r="F162" s="10">
        <v>1</v>
      </c>
      <c r="G162" s="10">
        <v>2</v>
      </c>
      <c r="H162" s="10">
        <v>1</v>
      </c>
      <c r="I162" s="10"/>
      <c r="J162" s="10">
        <v>975</v>
      </c>
      <c r="K162" s="104">
        <v>45465</v>
      </c>
      <c r="L162" s="104">
        <v>45479</v>
      </c>
      <c r="M162" s="10" t="b">
        <v>0</v>
      </c>
      <c r="N162" s="10">
        <v>15</v>
      </c>
      <c r="O162" s="11">
        <v>1315</v>
      </c>
      <c r="P162" s="85">
        <v>1.3487179487179488</v>
      </c>
      <c r="Q162" s="11">
        <v>1240</v>
      </c>
      <c r="R162" s="85">
        <v>1.2717948717948717</v>
      </c>
      <c r="S162" s="29" t="s">
        <v>2751</v>
      </c>
      <c r="T162" s="29" t="s">
        <v>2789</v>
      </c>
    </row>
    <row r="163">
      <c r="B163" s="29" t="s">
        <v>1217</v>
      </c>
      <c r="C163" s="29" t="s">
        <v>1245</v>
      </c>
      <c r="D163" s="8" t="s">
        <v>1259</v>
      </c>
      <c r="E163" s="10" t="s">
        <v>1474</v>
      </c>
      <c r="F163" s="10">
        <v>1</v>
      </c>
      <c r="G163" s="10">
        <v>2</v>
      </c>
      <c r="H163" s="10">
        <v>1</v>
      </c>
      <c r="I163" s="10"/>
      <c r="J163" s="10">
        <v>975</v>
      </c>
      <c r="K163" s="104">
        <v>45730</v>
      </c>
      <c r="L163" s="104"/>
      <c r="M163" s="10" t="b">
        <v>1</v>
      </c>
      <c r="N163" s="10"/>
      <c r="O163" s="11">
        <v>1315</v>
      </c>
      <c r="P163" s="85">
        <v>1.3487179487179488</v>
      </c>
      <c r="Q163" s="11">
        <v>1315</v>
      </c>
      <c r="R163" s="85">
        <v>1.3487179487179488</v>
      </c>
      <c r="S163" s="29" t="s">
        <v>2738</v>
      </c>
      <c r="T163" s="29" t="s">
        <v>2791</v>
      </c>
    </row>
    <row r="164">
      <c r="B164" s="29" t="s">
        <v>1217</v>
      </c>
      <c r="C164" s="29" t="s">
        <v>1245</v>
      </c>
      <c r="D164" s="8" t="s">
        <v>1259</v>
      </c>
      <c r="E164" s="10" t="s">
        <v>1475</v>
      </c>
      <c r="F164" s="10">
        <v>2</v>
      </c>
      <c r="G164" s="10">
        <v>2</v>
      </c>
      <c r="H164" s="10">
        <v>1</v>
      </c>
      <c r="I164" s="10"/>
      <c r="J164" s="10">
        <v>975</v>
      </c>
      <c r="K164" s="104">
        <v>45295</v>
      </c>
      <c r="L164" s="104">
        <v>45609</v>
      </c>
      <c r="M164" s="10" t="b">
        <v>0</v>
      </c>
      <c r="N164" s="10">
        <v>315</v>
      </c>
      <c r="O164" s="11">
        <v>1315</v>
      </c>
      <c r="P164" s="85">
        <v>1.3487179487179488</v>
      </c>
      <c r="Q164" s="11">
        <v>1315</v>
      </c>
      <c r="R164" s="85">
        <v>1.3487179487179488</v>
      </c>
      <c r="S164" s="29" t="s">
        <v>2730</v>
      </c>
      <c r="T164" s="29" t="s">
        <v>2789</v>
      </c>
    </row>
    <row r="165">
      <c r="B165" s="29" t="s">
        <v>1217</v>
      </c>
      <c r="C165" s="29" t="s">
        <v>1245</v>
      </c>
      <c r="D165" s="8" t="s">
        <v>1259</v>
      </c>
      <c r="E165" s="10" t="s">
        <v>1476</v>
      </c>
      <c r="F165" s="10">
        <v>2</v>
      </c>
      <c r="G165" s="10">
        <v>2</v>
      </c>
      <c r="H165" s="10">
        <v>1</v>
      </c>
      <c r="I165" s="10"/>
      <c r="J165" s="10">
        <v>975</v>
      </c>
      <c r="K165" s="104">
        <v>45551</v>
      </c>
      <c r="L165" s="104">
        <v>45611</v>
      </c>
      <c r="M165" s="10" t="b">
        <v>0</v>
      </c>
      <c r="N165" s="10">
        <v>61</v>
      </c>
      <c r="O165" s="11">
        <v>1315</v>
      </c>
      <c r="P165" s="85">
        <v>1.3487179487179488</v>
      </c>
      <c r="Q165" s="11">
        <v>1233</v>
      </c>
      <c r="R165" s="85">
        <v>1.2646153846153847</v>
      </c>
      <c r="S165" s="29" t="s">
        <v>2722</v>
      </c>
      <c r="T165" s="29" t="s">
        <v>2789</v>
      </c>
    </row>
    <row r="166">
      <c r="B166" s="29" t="s">
        <v>1217</v>
      </c>
      <c r="C166" s="29" t="s">
        <v>1245</v>
      </c>
      <c r="D166" s="8" t="s">
        <v>1259</v>
      </c>
      <c r="E166" s="10" t="s">
        <v>1477</v>
      </c>
      <c r="F166" s="10">
        <v>2</v>
      </c>
      <c r="G166" s="10">
        <v>2</v>
      </c>
      <c r="H166" s="10">
        <v>1</v>
      </c>
      <c r="I166" s="10"/>
      <c r="J166" s="10">
        <v>975</v>
      </c>
      <c r="K166" s="104">
        <v>45687</v>
      </c>
      <c r="L166" s="104"/>
      <c r="M166" s="10" t="b">
        <v>1</v>
      </c>
      <c r="N166" s="10"/>
      <c r="O166" s="11">
        <v>1320</v>
      </c>
      <c r="P166" s="85">
        <v>1.353846153846154</v>
      </c>
      <c r="Q166" s="11">
        <v>1320</v>
      </c>
      <c r="R166" s="85">
        <v>1.353846153846154</v>
      </c>
      <c r="S166" s="29" t="s">
        <v>2734</v>
      </c>
      <c r="T166" s="29" t="s">
        <v>2791</v>
      </c>
    </row>
    <row r="167">
      <c r="B167" s="29" t="s">
        <v>1217</v>
      </c>
      <c r="C167" s="29" t="s">
        <v>1245</v>
      </c>
      <c r="D167" s="8" t="s">
        <v>1259</v>
      </c>
      <c r="E167" s="10" t="s">
        <v>1478</v>
      </c>
      <c r="F167" s="10">
        <v>1</v>
      </c>
      <c r="G167" s="10">
        <v>2</v>
      </c>
      <c r="H167" s="10">
        <v>1</v>
      </c>
      <c r="I167" s="10"/>
      <c r="J167" s="10">
        <v>975</v>
      </c>
      <c r="K167" s="104">
        <v>45268</v>
      </c>
      <c r="L167" s="104">
        <v>45554</v>
      </c>
      <c r="M167" s="10" t="b">
        <v>0</v>
      </c>
      <c r="N167" s="10">
        <v>287</v>
      </c>
      <c r="O167" s="11">
        <v>1325</v>
      </c>
      <c r="P167" s="85">
        <v>1.358974358974359</v>
      </c>
      <c r="Q167" s="11">
        <v>1298</v>
      </c>
      <c r="R167" s="85">
        <v>1.3312820512820513</v>
      </c>
      <c r="S167" s="29" t="s">
        <v>2730</v>
      </c>
      <c r="T167" s="29" t="s">
        <v>2789</v>
      </c>
    </row>
    <row r="168">
      <c r="B168" s="29" t="s">
        <v>1217</v>
      </c>
      <c r="C168" s="29" t="s">
        <v>1245</v>
      </c>
      <c r="D168" s="8" t="s">
        <v>1259</v>
      </c>
      <c r="E168" s="10" t="s">
        <v>1479</v>
      </c>
      <c r="F168" s="10">
        <v>2</v>
      </c>
      <c r="G168" s="10">
        <v>2</v>
      </c>
      <c r="H168" s="10">
        <v>1</v>
      </c>
      <c r="I168" s="10"/>
      <c r="J168" s="10">
        <v>975</v>
      </c>
      <c r="K168" s="104">
        <v>45745</v>
      </c>
      <c r="L168" s="104"/>
      <c r="M168" s="10" t="b">
        <v>1</v>
      </c>
      <c r="N168" s="10"/>
      <c r="O168" s="11">
        <v>1330</v>
      </c>
      <c r="P168" s="85">
        <v>1.3641025641025641</v>
      </c>
      <c r="Q168" s="11">
        <v>1330</v>
      </c>
      <c r="R168" s="85">
        <v>1.3641025641025641</v>
      </c>
      <c r="S168" s="29" t="s">
        <v>2725</v>
      </c>
      <c r="T168" s="29" t="s">
        <v>2789</v>
      </c>
    </row>
    <row r="169">
      <c r="B169" s="29" t="s">
        <v>1217</v>
      </c>
      <c r="C169" s="29" t="s">
        <v>1245</v>
      </c>
      <c r="D169" s="8" t="s">
        <v>1259</v>
      </c>
      <c r="E169" s="10" t="s">
        <v>1480</v>
      </c>
      <c r="F169" s="10">
        <v>2</v>
      </c>
      <c r="G169" s="10">
        <v>2</v>
      </c>
      <c r="H169" s="10">
        <v>1</v>
      </c>
      <c r="I169" s="10"/>
      <c r="J169" s="10">
        <v>975</v>
      </c>
      <c r="K169" s="104">
        <v>45661</v>
      </c>
      <c r="L169" s="104">
        <v>45779</v>
      </c>
      <c r="M169" s="10" t="b">
        <v>0</v>
      </c>
      <c r="N169" s="10">
        <v>119</v>
      </c>
      <c r="O169" s="11">
        <v>1330</v>
      </c>
      <c r="P169" s="85">
        <v>1.3641025641025641</v>
      </c>
      <c r="Q169" s="11">
        <v>1330</v>
      </c>
      <c r="R169" s="85">
        <v>1.3641025641025641</v>
      </c>
      <c r="S169" s="29" t="s">
        <v>2725</v>
      </c>
      <c r="T169" s="29" t="s">
        <v>2789</v>
      </c>
    </row>
    <row r="170">
      <c r="B170" s="29" t="s">
        <v>1217</v>
      </c>
      <c r="C170" s="29" t="s">
        <v>1245</v>
      </c>
      <c r="D170" s="8" t="s">
        <v>1259</v>
      </c>
      <c r="E170" s="10" t="s">
        <v>1481</v>
      </c>
      <c r="F170" s="10">
        <v>1</v>
      </c>
      <c r="G170" s="10">
        <v>2</v>
      </c>
      <c r="H170" s="10">
        <v>1</v>
      </c>
      <c r="I170" s="10"/>
      <c r="J170" s="10">
        <v>975</v>
      </c>
      <c r="K170" s="104">
        <v>45647</v>
      </c>
      <c r="L170" s="104"/>
      <c r="M170" s="10" t="b">
        <v>1</v>
      </c>
      <c r="N170" s="10"/>
      <c r="O170" s="11">
        <v>1330</v>
      </c>
      <c r="P170" s="85">
        <v>1.3641025641025641</v>
      </c>
      <c r="Q170" s="11">
        <v>1330</v>
      </c>
      <c r="R170" s="85">
        <v>1.3641025641025641</v>
      </c>
      <c r="S170" s="29" t="s">
        <v>2725</v>
      </c>
      <c r="T170" s="29" t="s">
        <v>2789</v>
      </c>
    </row>
    <row r="171">
      <c r="B171" s="29" t="s">
        <v>1217</v>
      </c>
      <c r="C171" s="29" t="s">
        <v>1245</v>
      </c>
      <c r="D171" s="8" t="s">
        <v>1259</v>
      </c>
      <c r="E171" s="10" t="s">
        <v>1482</v>
      </c>
      <c r="F171" s="10">
        <v>2</v>
      </c>
      <c r="G171" s="10">
        <v>2</v>
      </c>
      <c r="H171" s="10">
        <v>1</v>
      </c>
      <c r="I171" s="10"/>
      <c r="J171" s="10">
        <v>975</v>
      </c>
      <c r="K171" s="104">
        <v>45661</v>
      </c>
      <c r="L171" s="104"/>
      <c r="M171" s="10" t="b">
        <v>1</v>
      </c>
      <c r="N171" s="10"/>
      <c r="O171" s="11">
        <v>1330</v>
      </c>
      <c r="P171" s="85">
        <v>1.3641025641025641</v>
      </c>
      <c r="Q171" s="11">
        <v>1330</v>
      </c>
      <c r="R171" s="85">
        <v>1.3641025641025641</v>
      </c>
      <c r="S171" s="29" t="s">
        <v>2725</v>
      </c>
      <c r="T171" s="29" t="s">
        <v>2789</v>
      </c>
    </row>
    <row r="172">
      <c r="B172" s="29" t="s">
        <v>1217</v>
      </c>
      <c r="C172" s="29" t="s">
        <v>1245</v>
      </c>
      <c r="D172" s="8" t="s">
        <v>1259</v>
      </c>
      <c r="E172" s="10" t="s">
        <v>1483</v>
      </c>
      <c r="F172" s="10">
        <v>1</v>
      </c>
      <c r="G172" s="10">
        <v>2</v>
      </c>
      <c r="H172" s="10">
        <v>1</v>
      </c>
      <c r="I172" s="10"/>
      <c r="J172" s="10">
        <v>975</v>
      </c>
      <c r="K172" s="104">
        <v>45395</v>
      </c>
      <c r="L172" s="104">
        <v>45550</v>
      </c>
      <c r="M172" s="10" t="b">
        <v>0</v>
      </c>
      <c r="N172" s="10">
        <v>156</v>
      </c>
      <c r="O172" s="11">
        <v>1330</v>
      </c>
      <c r="P172" s="85">
        <v>1.3641025641025641</v>
      </c>
      <c r="Q172" s="11">
        <v>1301</v>
      </c>
      <c r="R172" s="85">
        <v>1.3343589743589743</v>
      </c>
      <c r="S172" s="29" t="s">
        <v>2730</v>
      </c>
      <c r="T172" s="29" t="s">
        <v>2789</v>
      </c>
    </row>
    <row r="173">
      <c r="B173" s="29" t="s">
        <v>1217</v>
      </c>
      <c r="C173" s="29" t="s">
        <v>1245</v>
      </c>
      <c r="D173" s="8" t="s">
        <v>1259</v>
      </c>
      <c r="E173" s="10" t="s">
        <v>1484</v>
      </c>
      <c r="F173" s="10">
        <v>1</v>
      </c>
      <c r="G173" s="10">
        <v>2</v>
      </c>
      <c r="H173" s="10">
        <v>1</v>
      </c>
      <c r="I173" s="10"/>
      <c r="J173" s="10">
        <v>975</v>
      </c>
      <c r="K173" s="104">
        <v>45595</v>
      </c>
      <c r="L173" s="104">
        <v>45613</v>
      </c>
      <c r="M173" s="10" t="b">
        <v>0</v>
      </c>
      <c r="N173" s="10">
        <v>19</v>
      </c>
      <c r="O173" s="11">
        <v>1330</v>
      </c>
      <c r="P173" s="85">
        <v>1.3641025641025641</v>
      </c>
      <c r="Q173" s="11">
        <v>1330</v>
      </c>
      <c r="R173" s="85">
        <v>1.3641025641025641</v>
      </c>
      <c r="S173" s="29" t="s">
        <v>2723</v>
      </c>
      <c r="T173" s="29" t="s">
        <v>2789</v>
      </c>
    </row>
    <row r="174">
      <c r="B174" s="29" t="s">
        <v>1217</v>
      </c>
      <c r="C174" s="29" t="s">
        <v>1245</v>
      </c>
      <c r="D174" s="8" t="s">
        <v>1259</v>
      </c>
      <c r="E174" s="10" t="s">
        <v>1485</v>
      </c>
      <c r="F174" s="10">
        <v>1</v>
      </c>
      <c r="G174" s="10">
        <v>2</v>
      </c>
      <c r="H174" s="10">
        <v>1</v>
      </c>
      <c r="I174" s="10"/>
      <c r="J174" s="10">
        <v>975</v>
      </c>
      <c r="K174" s="104">
        <v>45722</v>
      </c>
      <c r="L174" s="104">
        <v>45768</v>
      </c>
      <c r="M174" s="10" t="b">
        <v>0</v>
      </c>
      <c r="N174" s="10">
        <v>47</v>
      </c>
      <c r="O174" s="11">
        <v>1335</v>
      </c>
      <c r="P174" s="85">
        <v>1.3692307692307693</v>
      </c>
      <c r="Q174" s="11">
        <v>1335</v>
      </c>
      <c r="R174" s="85">
        <v>1.3692307692307693</v>
      </c>
      <c r="S174" s="29" t="s">
        <v>2726</v>
      </c>
      <c r="T174" s="29" t="s">
        <v>2789</v>
      </c>
    </row>
    <row r="175">
      <c r="B175" s="29" t="s">
        <v>1217</v>
      </c>
      <c r="C175" s="29" t="s">
        <v>1245</v>
      </c>
      <c r="D175" s="8" t="s">
        <v>1259</v>
      </c>
      <c r="E175" s="10" t="s">
        <v>1486</v>
      </c>
      <c r="F175" s="10">
        <v>2</v>
      </c>
      <c r="G175" s="10">
        <v>2</v>
      </c>
      <c r="H175" s="10">
        <v>1</v>
      </c>
      <c r="I175" s="10"/>
      <c r="J175" s="10">
        <v>975</v>
      </c>
      <c r="K175" s="104">
        <v>45506</v>
      </c>
      <c r="L175" s="104">
        <v>45571</v>
      </c>
      <c r="M175" s="10" t="b">
        <v>0</v>
      </c>
      <c r="N175" s="10">
        <v>66</v>
      </c>
      <c r="O175" s="11">
        <v>1335</v>
      </c>
      <c r="P175" s="85">
        <v>1.3692307692307693</v>
      </c>
      <c r="Q175" s="11">
        <v>1335</v>
      </c>
      <c r="R175" s="85">
        <v>1.3692307692307693</v>
      </c>
      <c r="S175" s="29" t="s">
        <v>2723</v>
      </c>
      <c r="T175" s="29" t="s">
        <v>2789</v>
      </c>
    </row>
    <row r="176">
      <c r="B176" s="29" t="s">
        <v>1217</v>
      </c>
      <c r="C176" s="29" t="s">
        <v>1245</v>
      </c>
      <c r="D176" s="8" t="s">
        <v>1259</v>
      </c>
      <c r="E176" s="10" t="s">
        <v>1487</v>
      </c>
      <c r="F176" s="10">
        <v>1</v>
      </c>
      <c r="G176" s="10">
        <v>2</v>
      </c>
      <c r="H176" s="10">
        <v>1</v>
      </c>
      <c r="I176" s="10"/>
      <c r="J176" s="10">
        <v>975</v>
      </c>
      <c r="K176" s="104">
        <v>45565</v>
      </c>
      <c r="L176" s="104">
        <v>45592</v>
      </c>
      <c r="M176" s="10" t="b">
        <v>0</v>
      </c>
      <c r="N176" s="10">
        <v>28</v>
      </c>
      <c r="O176" s="11">
        <v>1335</v>
      </c>
      <c r="P176" s="85">
        <v>1.3692307692307693</v>
      </c>
      <c r="Q176" s="11">
        <v>1335</v>
      </c>
      <c r="R176" s="85">
        <v>1.3692307692307693</v>
      </c>
      <c r="S176" s="29" t="s">
        <v>2723</v>
      </c>
      <c r="T176" s="29" t="s">
        <v>2789</v>
      </c>
    </row>
    <row r="177">
      <c r="B177" s="29" t="s">
        <v>1217</v>
      </c>
      <c r="C177" s="29" t="s">
        <v>1245</v>
      </c>
      <c r="D177" s="8" t="s">
        <v>1259</v>
      </c>
      <c r="E177" s="10" t="s">
        <v>1488</v>
      </c>
      <c r="F177" s="10">
        <v>1</v>
      </c>
      <c r="G177" s="10">
        <v>2</v>
      </c>
      <c r="H177" s="10">
        <v>1</v>
      </c>
      <c r="I177" s="10"/>
      <c r="J177" s="10">
        <v>975</v>
      </c>
      <c r="K177" s="104">
        <v>45586</v>
      </c>
      <c r="L177" s="104">
        <v>45590</v>
      </c>
      <c r="M177" s="10" t="b">
        <v>0</v>
      </c>
      <c r="N177" s="10">
        <v>5</v>
      </c>
      <c r="O177" s="11">
        <v>1335</v>
      </c>
      <c r="P177" s="85">
        <v>1.3692307692307693</v>
      </c>
      <c r="Q177" s="11">
        <v>1335</v>
      </c>
      <c r="R177" s="85">
        <v>1.3692307692307693</v>
      </c>
      <c r="S177" s="29" t="s">
        <v>2722</v>
      </c>
      <c r="T177" s="29" t="s">
        <v>2789</v>
      </c>
    </row>
    <row r="178">
      <c r="B178" s="29" t="s">
        <v>1217</v>
      </c>
      <c r="C178" s="29" t="s">
        <v>1245</v>
      </c>
      <c r="D178" s="8" t="s">
        <v>1259</v>
      </c>
      <c r="E178" s="10" t="s">
        <v>1489</v>
      </c>
      <c r="F178" s="10">
        <v>1</v>
      </c>
      <c r="G178" s="10">
        <v>2</v>
      </c>
      <c r="H178" s="10">
        <v>1</v>
      </c>
      <c r="I178" s="10"/>
      <c r="J178" s="10">
        <v>975</v>
      </c>
      <c r="K178" s="104">
        <v>45356</v>
      </c>
      <c r="L178" s="104">
        <v>45480</v>
      </c>
      <c r="M178" s="10" t="b">
        <v>0</v>
      </c>
      <c r="N178" s="10">
        <v>125</v>
      </c>
      <c r="O178" s="11">
        <v>1340</v>
      </c>
      <c r="P178" s="85">
        <v>1.3743589743589744</v>
      </c>
      <c r="Q178" s="11">
        <v>1278</v>
      </c>
      <c r="R178" s="85">
        <v>1.3107692307692307</v>
      </c>
      <c r="S178" s="29" t="s">
        <v>2722</v>
      </c>
      <c r="T178" s="29" t="s">
        <v>2789</v>
      </c>
    </row>
    <row r="179">
      <c r="B179" s="29" t="s">
        <v>1217</v>
      </c>
      <c r="C179" s="29" t="s">
        <v>1245</v>
      </c>
      <c r="D179" s="8" t="s">
        <v>1259</v>
      </c>
      <c r="E179" s="10" t="s">
        <v>1490</v>
      </c>
      <c r="F179" s="10">
        <v>1</v>
      </c>
      <c r="G179" s="10">
        <v>2</v>
      </c>
      <c r="H179" s="10">
        <v>1</v>
      </c>
      <c r="I179" s="10"/>
      <c r="J179" s="10">
        <v>975</v>
      </c>
      <c r="K179" s="104">
        <v>45743</v>
      </c>
      <c r="L179" s="104"/>
      <c r="M179" s="10" t="b">
        <v>1</v>
      </c>
      <c r="N179" s="10"/>
      <c r="O179" s="11">
        <v>1340</v>
      </c>
      <c r="P179" s="85">
        <v>1.3743589743589744</v>
      </c>
      <c r="Q179" s="11">
        <v>1340</v>
      </c>
      <c r="R179" s="85">
        <v>1.3743589743589744</v>
      </c>
      <c r="S179" s="29" t="s">
        <v>2728</v>
      </c>
      <c r="T179" s="29" t="s">
        <v>2789</v>
      </c>
    </row>
    <row r="180">
      <c r="B180" s="29" t="s">
        <v>1217</v>
      </c>
      <c r="C180" s="29" t="s">
        <v>1245</v>
      </c>
      <c r="D180" s="8" t="s">
        <v>1259</v>
      </c>
      <c r="E180" s="10" t="s">
        <v>1491</v>
      </c>
      <c r="F180" s="10">
        <v>1</v>
      </c>
      <c r="G180" s="10">
        <v>2</v>
      </c>
      <c r="H180" s="10">
        <v>1</v>
      </c>
      <c r="I180" s="10"/>
      <c r="J180" s="10">
        <v>975</v>
      </c>
      <c r="K180" s="104">
        <v>45762</v>
      </c>
      <c r="L180" s="104"/>
      <c r="M180" s="10" t="b">
        <v>1</v>
      </c>
      <c r="N180" s="10"/>
      <c r="O180" s="11">
        <v>1340</v>
      </c>
      <c r="P180" s="85">
        <v>1.3743589743589744</v>
      </c>
      <c r="Q180" s="11">
        <v>1340</v>
      </c>
      <c r="R180" s="85">
        <v>1.3743589743589744</v>
      </c>
      <c r="S180" s="29" t="s">
        <v>2728</v>
      </c>
      <c r="T180" s="29" t="s">
        <v>2789</v>
      </c>
    </row>
    <row r="181">
      <c r="B181" s="29" t="s">
        <v>1217</v>
      </c>
      <c r="C181" s="29" t="s">
        <v>1245</v>
      </c>
      <c r="D181" s="8" t="s">
        <v>1259</v>
      </c>
      <c r="E181" s="10" t="s">
        <v>1492</v>
      </c>
      <c r="F181" s="10">
        <v>1</v>
      </c>
      <c r="G181" s="10">
        <v>2</v>
      </c>
      <c r="H181" s="10">
        <v>1</v>
      </c>
      <c r="I181" s="10"/>
      <c r="J181" s="10">
        <v>975</v>
      </c>
      <c r="K181" s="104">
        <v>45360</v>
      </c>
      <c r="L181" s="104">
        <v>45489</v>
      </c>
      <c r="M181" s="10" t="b">
        <v>0</v>
      </c>
      <c r="N181" s="10">
        <v>130</v>
      </c>
      <c r="O181" s="11">
        <v>1340</v>
      </c>
      <c r="P181" s="85">
        <v>1.3743589743589744</v>
      </c>
      <c r="Q181" s="11">
        <v>1265</v>
      </c>
      <c r="R181" s="85">
        <v>1.2974358974358975</v>
      </c>
      <c r="S181" s="29" t="s">
        <v>2752</v>
      </c>
      <c r="T181" s="29" t="s">
        <v>2789</v>
      </c>
    </row>
    <row r="182">
      <c r="B182" s="29" t="s">
        <v>1217</v>
      </c>
      <c r="C182" s="29" t="s">
        <v>1245</v>
      </c>
      <c r="D182" s="8" t="s">
        <v>1259</v>
      </c>
      <c r="E182" s="10" t="s">
        <v>1493</v>
      </c>
      <c r="F182" s="10">
        <v>2</v>
      </c>
      <c r="G182" s="10">
        <v>2</v>
      </c>
      <c r="H182" s="10">
        <v>1</v>
      </c>
      <c r="I182" s="10"/>
      <c r="J182" s="10">
        <v>975</v>
      </c>
      <c r="K182" s="104">
        <v>45310</v>
      </c>
      <c r="L182" s="104">
        <v>45466</v>
      </c>
      <c r="M182" s="10" t="b">
        <v>0</v>
      </c>
      <c r="N182" s="10">
        <v>157</v>
      </c>
      <c r="O182" s="11">
        <v>1340</v>
      </c>
      <c r="P182" s="85">
        <v>1.3743589743589744</v>
      </c>
      <c r="Q182" s="11">
        <v>1340</v>
      </c>
      <c r="R182" s="85">
        <v>1.3743589743589744</v>
      </c>
      <c r="S182" s="29" t="s">
        <v>2723</v>
      </c>
      <c r="T182" s="29" t="s">
        <v>2789</v>
      </c>
    </row>
    <row r="183">
      <c r="B183" s="29" t="s">
        <v>1217</v>
      </c>
      <c r="C183" s="29" t="s">
        <v>1245</v>
      </c>
      <c r="D183" s="8" t="s">
        <v>1259</v>
      </c>
      <c r="E183" s="10" t="s">
        <v>1494</v>
      </c>
      <c r="F183" s="10">
        <v>1</v>
      </c>
      <c r="G183" s="10">
        <v>2</v>
      </c>
      <c r="H183" s="10">
        <v>1</v>
      </c>
      <c r="I183" s="10"/>
      <c r="J183" s="10">
        <v>975</v>
      </c>
      <c r="K183" s="104">
        <v>45360</v>
      </c>
      <c r="L183" s="104">
        <v>45569</v>
      </c>
      <c r="M183" s="10" t="b">
        <v>0</v>
      </c>
      <c r="N183" s="10">
        <v>210</v>
      </c>
      <c r="O183" s="11">
        <v>1340</v>
      </c>
      <c r="P183" s="85">
        <v>1.3743589743589744</v>
      </c>
      <c r="Q183" s="11">
        <v>1340</v>
      </c>
      <c r="R183" s="85">
        <v>1.3743589743589744</v>
      </c>
      <c r="S183" s="29" t="s">
        <v>2722</v>
      </c>
      <c r="T183" s="29" t="s">
        <v>2789</v>
      </c>
    </row>
    <row r="184">
      <c r="B184" s="29" t="s">
        <v>1217</v>
      </c>
      <c r="C184" s="29" t="s">
        <v>1245</v>
      </c>
      <c r="D184" s="8" t="s">
        <v>1259</v>
      </c>
      <c r="E184" s="10" t="s">
        <v>1495</v>
      </c>
      <c r="F184" s="10">
        <v>2</v>
      </c>
      <c r="G184" s="10">
        <v>2</v>
      </c>
      <c r="H184" s="10">
        <v>1</v>
      </c>
      <c r="I184" s="10"/>
      <c r="J184" s="10">
        <v>975</v>
      </c>
      <c r="K184" s="104">
        <v>45570</v>
      </c>
      <c r="L184" s="104">
        <v>45654</v>
      </c>
      <c r="M184" s="10" t="b">
        <v>0</v>
      </c>
      <c r="N184" s="10">
        <v>85</v>
      </c>
      <c r="O184" s="11">
        <v>1340</v>
      </c>
      <c r="P184" s="85">
        <v>1.3743589743589744</v>
      </c>
      <c r="Q184" s="11">
        <v>1340</v>
      </c>
      <c r="R184" s="85">
        <v>1.3743589743589744</v>
      </c>
      <c r="S184" s="29" t="s">
        <v>2726</v>
      </c>
      <c r="T184" s="29" t="s">
        <v>2789</v>
      </c>
    </row>
    <row r="185">
      <c r="B185" s="29" t="s">
        <v>1217</v>
      </c>
      <c r="C185" s="29" t="s">
        <v>1245</v>
      </c>
      <c r="D185" s="8" t="s">
        <v>1259</v>
      </c>
      <c r="E185" s="10" t="s">
        <v>1496</v>
      </c>
      <c r="F185" s="10">
        <v>1</v>
      </c>
      <c r="G185" s="10">
        <v>2</v>
      </c>
      <c r="H185" s="10">
        <v>1</v>
      </c>
      <c r="I185" s="10"/>
      <c r="J185" s="10">
        <v>975</v>
      </c>
      <c r="K185" s="104">
        <v>45560</v>
      </c>
      <c r="L185" s="104">
        <v>45589</v>
      </c>
      <c r="M185" s="10" t="b">
        <v>0</v>
      </c>
      <c r="N185" s="10">
        <v>30</v>
      </c>
      <c r="O185" s="11">
        <v>1340</v>
      </c>
      <c r="P185" s="85">
        <v>1.3743589743589744</v>
      </c>
      <c r="Q185" s="11">
        <v>1340</v>
      </c>
      <c r="R185" s="85">
        <v>1.3743589743589744</v>
      </c>
      <c r="S185" s="29" t="s">
        <v>2722</v>
      </c>
      <c r="T185" s="29" t="s">
        <v>2789</v>
      </c>
    </row>
    <row r="186">
      <c r="B186" s="29" t="s">
        <v>1217</v>
      </c>
      <c r="C186" s="29" t="s">
        <v>1245</v>
      </c>
      <c r="D186" s="8" t="s">
        <v>1259</v>
      </c>
      <c r="E186" s="10" t="s">
        <v>1497</v>
      </c>
      <c r="F186" s="10">
        <v>2</v>
      </c>
      <c r="G186" s="10">
        <v>2</v>
      </c>
      <c r="H186" s="10">
        <v>1</v>
      </c>
      <c r="I186" s="10"/>
      <c r="J186" s="10">
        <v>975</v>
      </c>
      <c r="K186" s="104">
        <v>45461</v>
      </c>
      <c r="L186" s="104">
        <v>45619</v>
      </c>
      <c r="M186" s="10" t="b">
        <v>0</v>
      </c>
      <c r="N186" s="10">
        <v>159</v>
      </c>
      <c r="O186" s="11">
        <v>1345</v>
      </c>
      <c r="P186" s="85">
        <v>1.3794871794871795</v>
      </c>
      <c r="Q186" s="11">
        <v>1261</v>
      </c>
      <c r="R186" s="85">
        <v>1.2933333333333332</v>
      </c>
      <c r="S186" s="29" t="s">
        <v>2726</v>
      </c>
      <c r="T186" s="29" t="s">
        <v>2789</v>
      </c>
    </row>
    <row r="187">
      <c r="B187" s="29" t="s">
        <v>1217</v>
      </c>
      <c r="C187" s="29" t="s">
        <v>1245</v>
      </c>
      <c r="D187" s="8" t="s">
        <v>1259</v>
      </c>
      <c r="E187" s="10" t="s">
        <v>1498</v>
      </c>
      <c r="F187" s="10">
        <v>1</v>
      </c>
      <c r="G187" s="10">
        <v>2</v>
      </c>
      <c r="H187" s="10">
        <v>1</v>
      </c>
      <c r="I187" s="10"/>
      <c r="J187" s="10">
        <v>975</v>
      </c>
      <c r="K187" s="104">
        <v>45565</v>
      </c>
      <c r="L187" s="104">
        <v>45609</v>
      </c>
      <c r="M187" s="10" t="b">
        <v>0</v>
      </c>
      <c r="N187" s="10">
        <v>45</v>
      </c>
      <c r="O187" s="11">
        <v>1345</v>
      </c>
      <c r="P187" s="85">
        <v>1.3794871794871795</v>
      </c>
      <c r="Q187" s="11">
        <v>1345</v>
      </c>
      <c r="R187" s="85">
        <v>1.3794871794871795</v>
      </c>
      <c r="S187" s="29" t="s">
        <v>2736</v>
      </c>
      <c r="T187" s="29" t="s">
        <v>2790</v>
      </c>
    </row>
    <row r="188">
      <c r="B188" s="29" t="s">
        <v>1217</v>
      </c>
      <c r="C188" s="29" t="s">
        <v>1245</v>
      </c>
      <c r="D188" s="8" t="s">
        <v>1259</v>
      </c>
      <c r="E188" s="10" t="s">
        <v>1499</v>
      </c>
      <c r="F188" s="10">
        <v>1</v>
      </c>
      <c r="G188" s="10">
        <v>2</v>
      </c>
      <c r="H188" s="10">
        <v>1</v>
      </c>
      <c r="I188" s="10"/>
      <c r="J188" s="10">
        <v>975</v>
      </c>
      <c r="K188" s="104">
        <v>45565</v>
      </c>
      <c r="L188" s="104">
        <v>45576</v>
      </c>
      <c r="M188" s="10" t="b">
        <v>0</v>
      </c>
      <c r="N188" s="10">
        <v>12</v>
      </c>
      <c r="O188" s="11">
        <v>1345</v>
      </c>
      <c r="P188" s="85">
        <v>1.3794871794871795</v>
      </c>
      <c r="Q188" s="11">
        <v>1345</v>
      </c>
      <c r="R188" s="85">
        <v>1.3794871794871795</v>
      </c>
      <c r="S188" s="29" t="s">
        <v>2722</v>
      </c>
      <c r="T188" s="29" t="s">
        <v>2789</v>
      </c>
    </row>
    <row r="189">
      <c r="B189" s="29" t="s">
        <v>1217</v>
      </c>
      <c r="C189" s="29" t="s">
        <v>1245</v>
      </c>
      <c r="D189" s="8" t="s">
        <v>1259</v>
      </c>
      <c r="E189" s="10" t="s">
        <v>1500</v>
      </c>
      <c r="F189" s="10">
        <v>1</v>
      </c>
      <c r="G189" s="10">
        <v>2</v>
      </c>
      <c r="H189" s="10">
        <v>1</v>
      </c>
      <c r="I189" s="10"/>
      <c r="J189" s="10">
        <v>975</v>
      </c>
      <c r="K189" s="104">
        <v>45454</v>
      </c>
      <c r="L189" s="104">
        <v>45483</v>
      </c>
      <c r="M189" s="10" t="b">
        <v>0</v>
      </c>
      <c r="N189" s="10">
        <v>30</v>
      </c>
      <c r="O189" s="11">
        <v>1350</v>
      </c>
      <c r="P189" s="85">
        <v>1.3846153846153846</v>
      </c>
      <c r="Q189" s="11">
        <v>1275</v>
      </c>
      <c r="R189" s="85">
        <v>1.3076923076923077</v>
      </c>
      <c r="S189" s="29" t="s">
        <v>2722</v>
      </c>
      <c r="T189" s="29" t="s">
        <v>2789</v>
      </c>
    </row>
    <row r="190">
      <c r="B190" s="29" t="s">
        <v>1217</v>
      </c>
      <c r="C190" s="29" t="s">
        <v>1245</v>
      </c>
      <c r="D190" s="8" t="s">
        <v>1259</v>
      </c>
      <c r="E190" s="10" t="s">
        <v>1501</v>
      </c>
      <c r="F190" s="10">
        <v>1</v>
      </c>
      <c r="G190" s="10">
        <v>2</v>
      </c>
      <c r="H190" s="10">
        <v>1</v>
      </c>
      <c r="I190" s="10"/>
      <c r="J190" s="10">
        <v>975</v>
      </c>
      <c r="K190" s="104">
        <v>45729</v>
      </c>
      <c r="L190" s="104"/>
      <c r="M190" s="10" t="b">
        <v>1</v>
      </c>
      <c r="N190" s="10"/>
      <c r="O190" s="11">
        <v>1350</v>
      </c>
      <c r="P190" s="85">
        <v>1.3846153846153846</v>
      </c>
      <c r="Q190" s="11">
        <v>1350</v>
      </c>
      <c r="R190" s="85">
        <v>1.3846153846153846</v>
      </c>
      <c r="S190" s="29" t="s">
        <v>2753</v>
      </c>
      <c r="T190" s="29" t="s">
        <v>2791</v>
      </c>
    </row>
    <row r="191">
      <c r="B191" s="29" t="s">
        <v>1217</v>
      </c>
      <c r="C191" s="29" t="s">
        <v>1245</v>
      </c>
      <c r="D191" s="8" t="s">
        <v>1259</v>
      </c>
      <c r="E191" s="10" t="s">
        <v>1502</v>
      </c>
      <c r="F191" s="10">
        <v>1</v>
      </c>
      <c r="G191" s="10">
        <v>2</v>
      </c>
      <c r="H191" s="10">
        <v>1</v>
      </c>
      <c r="I191" s="10"/>
      <c r="J191" s="10">
        <v>975</v>
      </c>
      <c r="K191" s="104">
        <v>45751</v>
      </c>
      <c r="L191" s="104">
        <v>45771</v>
      </c>
      <c r="M191" s="10" t="b">
        <v>0</v>
      </c>
      <c r="N191" s="10">
        <v>21</v>
      </c>
      <c r="O191" s="11">
        <v>1355</v>
      </c>
      <c r="P191" s="85">
        <v>1.3897435897435897</v>
      </c>
      <c r="Q191" s="11">
        <v>1355</v>
      </c>
      <c r="R191" s="85">
        <v>1.3897435897435897</v>
      </c>
      <c r="S191" s="29" t="s">
        <v>2754</v>
      </c>
      <c r="T191" s="29" t="s">
        <v>2791</v>
      </c>
    </row>
    <row r="192">
      <c r="B192" s="29" t="s">
        <v>1217</v>
      </c>
      <c r="C192" s="29" t="s">
        <v>1245</v>
      </c>
      <c r="D192" s="8" t="s">
        <v>1259</v>
      </c>
      <c r="E192" s="10" t="s">
        <v>1503</v>
      </c>
      <c r="F192" s="10">
        <v>2</v>
      </c>
      <c r="G192" s="10">
        <v>2</v>
      </c>
      <c r="H192" s="10">
        <v>1</v>
      </c>
      <c r="I192" s="10"/>
      <c r="J192" s="10">
        <v>975</v>
      </c>
      <c r="K192" s="104">
        <v>45330</v>
      </c>
      <c r="L192" s="104">
        <v>45495</v>
      </c>
      <c r="M192" s="10" t="b">
        <v>0</v>
      </c>
      <c r="N192" s="10">
        <v>166</v>
      </c>
      <c r="O192" s="11">
        <v>1355</v>
      </c>
      <c r="P192" s="85">
        <v>1.3897435897435897</v>
      </c>
      <c r="Q192" s="11">
        <v>1355</v>
      </c>
      <c r="R192" s="85">
        <v>1.3897435897435897</v>
      </c>
      <c r="S192" s="29" t="s">
        <v>2722</v>
      </c>
      <c r="T192" s="29" t="s">
        <v>2789</v>
      </c>
    </row>
    <row r="193">
      <c r="B193" s="29" t="s">
        <v>1217</v>
      </c>
      <c r="C193" s="29" t="s">
        <v>1245</v>
      </c>
      <c r="D193" s="8" t="s">
        <v>1259</v>
      </c>
      <c r="E193" s="10" t="s">
        <v>1504</v>
      </c>
      <c r="F193" s="10">
        <v>1</v>
      </c>
      <c r="G193" s="10">
        <v>2</v>
      </c>
      <c r="H193" s="10">
        <v>1</v>
      </c>
      <c r="I193" s="10"/>
      <c r="J193" s="10">
        <v>975</v>
      </c>
      <c r="K193" s="104">
        <v>45275</v>
      </c>
      <c r="L193" s="104">
        <v>45495</v>
      </c>
      <c r="M193" s="10" t="b">
        <v>0</v>
      </c>
      <c r="N193" s="10">
        <v>221</v>
      </c>
      <c r="O193" s="11">
        <v>1355</v>
      </c>
      <c r="P193" s="85">
        <v>1.3897435897435897</v>
      </c>
      <c r="Q193" s="11">
        <v>1355</v>
      </c>
      <c r="R193" s="85">
        <v>1.3897435897435897</v>
      </c>
      <c r="S193" s="29" t="s">
        <v>2722</v>
      </c>
      <c r="T193" s="29" t="s">
        <v>2789</v>
      </c>
    </row>
    <row r="194">
      <c r="B194" s="29" t="s">
        <v>1217</v>
      </c>
      <c r="C194" s="29" t="s">
        <v>1245</v>
      </c>
      <c r="D194" s="8" t="s">
        <v>1259</v>
      </c>
      <c r="E194" s="10" t="s">
        <v>1505</v>
      </c>
      <c r="F194" s="10">
        <v>2</v>
      </c>
      <c r="G194" s="10">
        <v>2</v>
      </c>
      <c r="H194" s="10">
        <v>1</v>
      </c>
      <c r="I194" s="10"/>
      <c r="J194" s="10">
        <v>975</v>
      </c>
      <c r="K194" s="104">
        <v>45722</v>
      </c>
      <c r="L194" s="104">
        <v>45784</v>
      </c>
      <c r="M194" s="10" t="b">
        <v>0</v>
      </c>
      <c r="N194" s="10">
        <v>63</v>
      </c>
      <c r="O194" s="11">
        <v>1355</v>
      </c>
      <c r="P194" s="85">
        <v>1.3897435897435897</v>
      </c>
      <c r="Q194" s="11">
        <v>1355</v>
      </c>
      <c r="R194" s="85">
        <v>1.3897435897435897</v>
      </c>
      <c r="S194" s="29" t="s">
        <v>2734</v>
      </c>
      <c r="T194" s="29" t="s">
        <v>2791</v>
      </c>
    </row>
    <row r="195">
      <c r="B195" s="29" t="s">
        <v>1217</v>
      </c>
      <c r="C195" s="29" t="s">
        <v>1245</v>
      </c>
      <c r="D195" s="8" t="s">
        <v>1259</v>
      </c>
      <c r="E195" s="10" t="s">
        <v>1506</v>
      </c>
      <c r="F195" s="10">
        <v>1</v>
      </c>
      <c r="G195" s="10">
        <v>2</v>
      </c>
      <c r="H195" s="10">
        <v>1</v>
      </c>
      <c r="I195" s="10"/>
      <c r="J195" s="10">
        <v>975</v>
      </c>
      <c r="K195" s="104">
        <v>45356</v>
      </c>
      <c r="L195" s="104">
        <v>45518</v>
      </c>
      <c r="M195" s="10" t="b">
        <v>0</v>
      </c>
      <c r="N195" s="10">
        <v>163</v>
      </c>
      <c r="O195" s="11">
        <v>1355</v>
      </c>
      <c r="P195" s="85">
        <v>1.3897435897435897</v>
      </c>
      <c r="Q195" s="11">
        <v>1323</v>
      </c>
      <c r="R195" s="85">
        <v>1.356923076923077</v>
      </c>
      <c r="S195" s="29" t="s">
        <v>2730</v>
      </c>
      <c r="T195" s="29" t="s">
        <v>2789</v>
      </c>
    </row>
    <row r="196">
      <c r="B196" s="29" t="s">
        <v>1217</v>
      </c>
      <c r="C196" s="29" t="s">
        <v>1245</v>
      </c>
      <c r="D196" s="8" t="s">
        <v>1259</v>
      </c>
      <c r="E196" s="10" t="s">
        <v>1507</v>
      </c>
      <c r="F196" s="10">
        <v>1</v>
      </c>
      <c r="G196" s="10">
        <v>2</v>
      </c>
      <c r="H196" s="10">
        <v>1</v>
      </c>
      <c r="I196" s="10"/>
      <c r="J196" s="10">
        <v>975</v>
      </c>
      <c r="K196" s="104">
        <v>45416</v>
      </c>
      <c r="L196" s="104">
        <v>45467</v>
      </c>
      <c r="M196" s="10" t="b">
        <v>0</v>
      </c>
      <c r="N196" s="10">
        <v>52</v>
      </c>
      <c r="O196" s="11">
        <v>1360</v>
      </c>
      <c r="P196" s="85">
        <v>1.3948717948717948</v>
      </c>
      <c r="Q196" s="11">
        <v>1360</v>
      </c>
      <c r="R196" s="85">
        <v>1.3948717948717948</v>
      </c>
      <c r="S196" s="29" t="s">
        <v>2755</v>
      </c>
      <c r="T196" s="29" t="s">
        <v>2789</v>
      </c>
    </row>
    <row r="197">
      <c r="B197" s="29" t="s">
        <v>1217</v>
      </c>
      <c r="C197" s="29" t="s">
        <v>1245</v>
      </c>
      <c r="D197" s="8" t="s">
        <v>1259</v>
      </c>
      <c r="E197" s="10" t="s">
        <v>1508</v>
      </c>
      <c r="F197" s="10">
        <v>1</v>
      </c>
      <c r="G197" s="10">
        <v>2</v>
      </c>
      <c r="H197" s="10">
        <v>1</v>
      </c>
      <c r="I197" s="10"/>
      <c r="J197" s="10">
        <v>975</v>
      </c>
      <c r="K197" s="104">
        <v>45733</v>
      </c>
      <c r="L197" s="104">
        <v>45773</v>
      </c>
      <c r="M197" s="10" t="b">
        <v>0</v>
      </c>
      <c r="N197" s="10">
        <v>41</v>
      </c>
      <c r="O197" s="11">
        <v>1360</v>
      </c>
      <c r="P197" s="85">
        <v>1.3948717948717948</v>
      </c>
      <c r="Q197" s="11">
        <v>1360</v>
      </c>
      <c r="R197" s="85">
        <v>1.3948717948717948</v>
      </c>
      <c r="S197" s="29" t="s">
        <v>2754</v>
      </c>
      <c r="T197" s="29" t="s">
        <v>2791</v>
      </c>
    </row>
    <row r="198">
      <c r="B198" s="29" t="s">
        <v>1217</v>
      </c>
      <c r="C198" s="29" t="s">
        <v>1245</v>
      </c>
      <c r="D198" s="8" t="s">
        <v>1259</v>
      </c>
      <c r="E198" s="10" t="s">
        <v>1509</v>
      </c>
      <c r="F198" s="10">
        <v>2</v>
      </c>
      <c r="G198" s="10">
        <v>2</v>
      </c>
      <c r="H198" s="10">
        <v>1</v>
      </c>
      <c r="I198" s="10"/>
      <c r="J198" s="10">
        <v>975</v>
      </c>
      <c r="K198" s="104">
        <v>45636</v>
      </c>
      <c r="L198" s="104">
        <v>45674</v>
      </c>
      <c r="M198" s="10" t="b">
        <v>0</v>
      </c>
      <c r="N198" s="10">
        <v>39</v>
      </c>
      <c r="O198" s="11">
        <v>1360</v>
      </c>
      <c r="P198" s="85">
        <v>1.3948717948717948</v>
      </c>
      <c r="Q198" s="11">
        <v>1360</v>
      </c>
      <c r="R198" s="85">
        <v>1.3948717948717948</v>
      </c>
      <c r="S198" s="29" t="s">
        <v>2728</v>
      </c>
      <c r="T198" s="29" t="s">
        <v>2789</v>
      </c>
    </row>
    <row r="199">
      <c r="B199" s="29" t="s">
        <v>1217</v>
      </c>
      <c r="C199" s="29" t="s">
        <v>1245</v>
      </c>
      <c r="D199" s="8" t="s">
        <v>1259</v>
      </c>
      <c r="E199" s="10" t="s">
        <v>1510</v>
      </c>
      <c r="F199" s="10">
        <v>2</v>
      </c>
      <c r="G199" s="10">
        <v>2</v>
      </c>
      <c r="H199" s="10">
        <v>1</v>
      </c>
      <c r="I199" s="10"/>
      <c r="J199" s="10">
        <v>975</v>
      </c>
      <c r="K199" s="104">
        <v>45551</v>
      </c>
      <c r="L199" s="104">
        <v>45669</v>
      </c>
      <c r="M199" s="10" t="b">
        <v>0</v>
      </c>
      <c r="N199" s="10">
        <v>119</v>
      </c>
      <c r="O199" s="11">
        <v>1360</v>
      </c>
      <c r="P199" s="85">
        <v>1.3948717948717948</v>
      </c>
      <c r="Q199" s="11">
        <v>1360</v>
      </c>
      <c r="R199" s="85">
        <v>1.3948717948717948</v>
      </c>
      <c r="S199" s="29" t="s">
        <v>2725</v>
      </c>
      <c r="T199" s="29" t="s">
        <v>2789</v>
      </c>
    </row>
    <row r="200">
      <c r="B200" s="29" t="s">
        <v>1217</v>
      </c>
      <c r="C200" s="29" t="s">
        <v>1245</v>
      </c>
      <c r="D200" s="8" t="s">
        <v>1259</v>
      </c>
      <c r="E200" s="10" t="s">
        <v>1511</v>
      </c>
      <c r="F200" s="10">
        <v>1</v>
      </c>
      <c r="G200" s="10">
        <v>2</v>
      </c>
      <c r="H200" s="10">
        <v>1</v>
      </c>
      <c r="I200" s="10"/>
      <c r="J200" s="10">
        <v>975</v>
      </c>
      <c r="K200" s="104">
        <v>45590</v>
      </c>
      <c r="L200" s="104">
        <v>45672</v>
      </c>
      <c r="M200" s="10" t="b">
        <v>0</v>
      </c>
      <c r="N200" s="10">
        <v>83</v>
      </c>
      <c r="O200" s="11">
        <v>1360</v>
      </c>
      <c r="P200" s="85">
        <v>1.3948717948717948</v>
      </c>
      <c r="Q200" s="11">
        <v>1360</v>
      </c>
      <c r="R200" s="85">
        <v>1.3948717948717948</v>
      </c>
      <c r="S200" s="29" t="s">
        <v>2725</v>
      </c>
      <c r="T200" s="29" t="s">
        <v>2789</v>
      </c>
    </row>
    <row r="201">
      <c r="B201" s="29" t="s">
        <v>1217</v>
      </c>
      <c r="C201" s="29" t="s">
        <v>1245</v>
      </c>
      <c r="D201" s="8" t="s">
        <v>1259</v>
      </c>
      <c r="E201" s="10" t="s">
        <v>1512</v>
      </c>
      <c r="F201" s="10">
        <v>1</v>
      </c>
      <c r="G201" s="10">
        <v>2</v>
      </c>
      <c r="H201" s="10">
        <v>1</v>
      </c>
      <c r="I201" s="10"/>
      <c r="J201" s="10">
        <v>975</v>
      </c>
      <c r="K201" s="104">
        <v>45565</v>
      </c>
      <c r="L201" s="104">
        <v>45670</v>
      </c>
      <c r="M201" s="10" t="b">
        <v>0</v>
      </c>
      <c r="N201" s="10">
        <v>106</v>
      </c>
      <c r="O201" s="11">
        <v>1360</v>
      </c>
      <c r="P201" s="85">
        <v>1.3948717948717948</v>
      </c>
      <c r="Q201" s="11">
        <v>1360</v>
      </c>
      <c r="R201" s="85">
        <v>1.3948717948717948</v>
      </c>
      <c r="S201" s="29" t="s">
        <v>2725</v>
      </c>
      <c r="T201" s="29" t="s">
        <v>2789</v>
      </c>
    </row>
    <row r="202">
      <c r="B202" s="29" t="s">
        <v>1217</v>
      </c>
      <c r="C202" s="29" t="s">
        <v>1245</v>
      </c>
      <c r="D202" s="8" t="s">
        <v>1259</v>
      </c>
      <c r="E202" s="10" t="s">
        <v>1513</v>
      </c>
      <c r="F202" s="10">
        <v>1</v>
      </c>
      <c r="G202" s="10">
        <v>2</v>
      </c>
      <c r="H202" s="10">
        <v>1</v>
      </c>
      <c r="I202" s="10"/>
      <c r="J202" s="10">
        <v>975</v>
      </c>
      <c r="K202" s="104">
        <v>45777</v>
      </c>
      <c r="L202" s="104">
        <v>45784</v>
      </c>
      <c r="M202" s="10" t="b">
        <v>0</v>
      </c>
      <c r="N202" s="10">
        <v>8</v>
      </c>
      <c r="O202" s="11">
        <v>1365</v>
      </c>
      <c r="P202" s="85">
        <v>1.4</v>
      </c>
      <c r="Q202" s="11">
        <v>1365</v>
      </c>
      <c r="R202" s="85">
        <v>1.4</v>
      </c>
      <c r="S202" s="29" t="s">
        <v>2725</v>
      </c>
      <c r="T202" s="29" t="s">
        <v>2789</v>
      </c>
    </row>
    <row r="203">
      <c r="B203" s="29" t="s">
        <v>1217</v>
      </c>
      <c r="C203" s="29" t="s">
        <v>1245</v>
      </c>
      <c r="D203" s="8" t="s">
        <v>1259</v>
      </c>
      <c r="E203" s="10" t="s">
        <v>1514</v>
      </c>
      <c r="F203" s="10">
        <v>1</v>
      </c>
      <c r="G203" s="10">
        <v>2</v>
      </c>
      <c r="H203" s="10">
        <v>1</v>
      </c>
      <c r="I203" s="10"/>
      <c r="J203" s="10">
        <v>975</v>
      </c>
      <c r="K203" s="104">
        <v>45412</v>
      </c>
      <c r="L203" s="104">
        <v>45464</v>
      </c>
      <c r="M203" s="10" t="b">
        <v>0</v>
      </c>
      <c r="N203" s="10">
        <v>53</v>
      </c>
      <c r="O203" s="11">
        <v>1365</v>
      </c>
      <c r="P203" s="85">
        <v>1.4</v>
      </c>
      <c r="Q203" s="11">
        <v>1365</v>
      </c>
      <c r="R203" s="85">
        <v>1.4</v>
      </c>
      <c r="S203" s="29" t="s">
        <v>2730</v>
      </c>
      <c r="T203" s="29" t="s">
        <v>2789</v>
      </c>
    </row>
    <row r="204">
      <c r="B204" s="29" t="s">
        <v>1217</v>
      </c>
      <c r="C204" s="29" t="s">
        <v>1245</v>
      </c>
      <c r="D204" s="8" t="s">
        <v>1259</v>
      </c>
      <c r="E204" s="10" t="s">
        <v>1515</v>
      </c>
      <c r="F204" s="10">
        <v>2</v>
      </c>
      <c r="G204" s="10">
        <v>2</v>
      </c>
      <c r="H204" s="10">
        <v>1</v>
      </c>
      <c r="I204" s="10"/>
      <c r="J204" s="10">
        <v>975</v>
      </c>
      <c r="K204" s="104">
        <v>45778</v>
      </c>
      <c r="L204" s="104"/>
      <c r="M204" s="10" t="b">
        <v>1</v>
      </c>
      <c r="N204" s="10"/>
      <c r="O204" s="11">
        <v>1365</v>
      </c>
      <c r="P204" s="85">
        <v>1.4</v>
      </c>
      <c r="Q204" s="11">
        <v>1365</v>
      </c>
      <c r="R204" s="85">
        <v>1.4</v>
      </c>
      <c r="S204" s="29" t="s">
        <v>2725</v>
      </c>
      <c r="T204" s="29" t="s">
        <v>2789</v>
      </c>
    </row>
    <row r="205">
      <c r="B205" s="29" t="s">
        <v>1217</v>
      </c>
      <c r="C205" s="29" t="s">
        <v>1245</v>
      </c>
      <c r="D205" s="8" t="s">
        <v>1259</v>
      </c>
      <c r="E205" s="10" t="s">
        <v>1516</v>
      </c>
      <c r="F205" s="10">
        <v>1</v>
      </c>
      <c r="G205" s="10">
        <v>2</v>
      </c>
      <c r="H205" s="10">
        <v>1</v>
      </c>
      <c r="I205" s="10"/>
      <c r="J205" s="10">
        <v>975</v>
      </c>
      <c r="K205" s="104">
        <v>45262</v>
      </c>
      <c r="L205" s="104">
        <v>45464</v>
      </c>
      <c r="M205" s="10" t="b">
        <v>0</v>
      </c>
      <c r="N205" s="10">
        <v>203</v>
      </c>
      <c r="O205" s="11">
        <v>1365</v>
      </c>
      <c r="P205" s="85">
        <v>1.4</v>
      </c>
      <c r="Q205" s="11">
        <v>1365</v>
      </c>
      <c r="R205" s="85">
        <v>1.4</v>
      </c>
      <c r="S205" s="29" t="s">
        <v>2756</v>
      </c>
      <c r="T205" s="29" t="s">
        <v>2790</v>
      </c>
    </row>
    <row r="206">
      <c r="B206" s="29" t="s">
        <v>1217</v>
      </c>
      <c r="C206" s="29" t="s">
        <v>1245</v>
      </c>
      <c r="D206" s="8" t="s">
        <v>1259</v>
      </c>
      <c r="E206" s="10" t="s">
        <v>1517</v>
      </c>
      <c r="F206" s="10">
        <v>2</v>
      </c>
      <c r="G206" s="10">
        <v>2</v>
      </c>
      <c r="H206" s="10">
        <v>1</v>
      </c>
      <c r="I206" s="10"/>
      <c r="J206" s="10">
        <v>975</v>
      </c>
      <c r="K206" s="104">
        <v>45434</v>
      </c>
      <c r="L206" s="104">
        <v>45475</v>
      </c>
      <c r="M206" s="10" t="b">
        <v>0</v>
      </c>
      <c r="N206" s="10">
        <v>42</v>
      </c>
      <c r="O206" s="11">
        <v>1370</v>
      </c>
      <c r="P206" s="85">
        <v>1.405128205128205</v>
      </c>
      <c r="Q206" s="11">
        <v>1370</v>
      </c>
      <c r="R206" s="85">
        <v>1.405128205128205</v>
      </c>
      <c r="S206" s="29" t="s">
        <v>2730</v>
      </c>
      <c r="T206" s="29" t="s">
        <v>2789</v>
      </c>
    </row>
    <row r="207">
      <c r="B207" s="29" t="s">
        <v>1217</v>
      </c>
      <c r="C207" s="29" t="s">
        <v>1245</v>
      </c>
      <c r="D207" s="8" t="s">
        <v>1259</v>
      </c>
      <c r="E207" s="10" t="s">
        <v>1518</v>
      </c>
      <c r="F207" s="10">
        <v>2</v>
      </c>
      <c r="G207" s="10">
        <v>2</v>
      </c>
      <c r="H207" s="10">
        <v>1</v>
      </c>
      <c r="I207" s="10"/>
      <c r="J207" s="10">
        <v>975</v>
      </c>
      <c r="K207" s="104">
        <v>45722</v>
      </c>
      <c r="L207" s="104">
        <v>45753</v>
      </c>
      <c r="M207" s="10" t="b">
        <v>0</v>
      </c>
      <c r="N207" s="10">
        <v>32</v>
      </c>
      <c r="O207" s="11">
        <v>1370</v>
      </c>
      <c r="P207" s="85">
        <v>1.405128205128205</v>
      </c>
      <c r="Q207" s="11">
        <v>1370</v>
      </c>
      <c r="R207" s="85">
        <v>1.405128205128205</v>
      </c>
      <c r="S207" s="29" t="s">
        <v>2757</v>
      </c>
      <c r="T207" s="29" t="s">
        <v>2791</v>
      </c>
    </row>
    <row r="208">
      <c r="B208" s="29" t="s">
        <v>1217</v>
      </c>
      <c r="C208" s="29" t="s">
        <v>1245</v>
      </c>
      <c r="D208" s="8" t="s">
        <v>1259</v>
      </c>
      <c r="E208" s="10" t="s">
        <v>1519</v>
      </c>
      <c r="F208" s="10">
        <v>2</v>
      </c>
      <c r="G208" s="10">
        <v>2</v>
      </c>
      <c r="H208" s="10">
        <v>1</v>
      </c>
      <c r="I208" s="10"/>
      <c r="J208" s="10">
        <v>975</v>
      </c>
      <c r="K208" s="104">
        <v>45719</v>
      </c>
      <c r="L208" s="104">
        <v>45722</v>
      </c>
      <c r="M208" s="10" t="b">
        <v>0</v>
      </c>
      <c r="N208" s="10">
        <v>4</v>
      </c>
      <c r="O208" s="11">
        <v>1370</v>
      </c>
      <c r="P208" s="85">
        <v>1.405128205128205</v>
      </c>
      <c r="Q208" s="11">
        <v>1370</v>
      </c>
      <c r="R208" s="85">
        <v>1.405128205128205</v>
      </c>
      <c r="S208" s="29" t="s">
        <v>2726</v>
      </c>
      <c r="T208" s="29" t="s">
        <v>2789</v>
      </c>
    </row>
    <row r="209">
      <c r="B209" s="29" t="s">
        <v>1217</v>
      </c>
      <c r="C209" s="29" t="s">
        <v>1245</v>
      </c>
      <c r="D209" s="8" t="s">
        <v>1259</v>
      </c>
      <c r="E209" s="10" t="s">
        <v>1520</v>
      </c>
      <c r="F209" s="10">
        <v>2</v>
      </c>
      <c r="G209" s="10">
        <v>2</v>
      </c>
      <c r="H209" s="10">
        <v>1</v>
      </c>
      <c r="I209" s="10"/>
      <c r="J209" s="10">
        <v>975</v>
      </c>
      <c r="K209" s="104">
        <v>45645</v>
      </c>
      <c r="L209" s="104">
        <v>45722</v>
      </c>
      <c r="M209" s="10" t="b">
        <v>0</v>
      </c>
      <c r="N209" s="10">
        <v>78</v>
      </c>
      <c r="O209" s="11">
        <v>1370</v>
      </c>
      <c r="P209" s="85">
        <v>1.405128205128205</v>
      </c>
      <c r="Q209" s="11">
        <v>1370</v>
      </c>
      <c r="R209" s="85">
        <v>1.405128205128205</v>
      </c>
      <c r="S209" s="29" t="s">
        <v>2737</v>
      </c>
      <c r="T209" s="29" t="s">
        <v>2789</v>
      </c>
    </row>
    <row r="210">
      <c r="B210" s="29" t="s">
        <v>1217</v>
      </c>
      <c r="C210" s="29" t="s">
        <v>1245</v>
      </c>
      <c r="D210" s="8" t="s">
        <v>1259</v>
      </c>
      <c r="E210" s="10" t="s">
        <v>1521</v>
      </c>
      <c r="F210" s="10">
        <v>2</v>
      </c>
      <c r="G210" s="10">
        <v>2</v>
      </c>
      <c r="H210" s="10">
        <v>1</v>
      </c>
      <c r="I210" s="10"/>
      <c r="J210" s="10">
        <v>975</v>
      </c>
      <c r="K210" s="104">
        <v>45574</v>
      </c>
      <c r="L210" s="104">
        <v>45659</v>
      </c>
      <c r="M210" s="10" t="b">
        <v>0</v>
      </c>
      <c r="N210" s="10">
        <v>86</v>
      </c>
      <c r="O210" s="11">
        <v>1370</v>
      </c>
      <c r="P210" s="85">
        <v>1.405128205128205</v>
      </c>
      <c r="Q210" s="11">
        <v>1370</v>
      </c>
      <c r="R210" s="85">
        <v>1.405128205128205</v>
      </c>
      <c r="S210" s="29" t="s">
        <v>2725</v>
      </c>
      <c r="T210" s="29" t="s">
        <v>2789</v>
      </c>
    </row>
    <row r="211">
      <c r="B211" s="29" t="s">
        <v>1217</v>
      </c>
      <c r="C211" s="29" t="s">
        <v>1245</v>
      </c>
      <c r="D211" s="8" t="s">
        <v>1259</v>
      </c>
      <c r="E211" s="10" t="s">
        <v>1522</v>
      </c>
      <c r="F211" s="10">
        <v>1</v>
      </c>
      <c r="G211" s="10">
        <v>2</v>
      </c>
      <c r="H211" s="10">
        <v>1</v>
      </c>
      <c r="I211" s="10"/>
      <c r="J211" s="10">
        <v>975</v>
      </c>
      <c r="K211" s="104">
        <v>45769</v>
      </c>
      <c r="L211" s="104">
        <v>45776</v>
      </c>
      <c r="M211" s="10" t="b">
        <v>0</v>
      </c>
      <c r="N211" s="10">
        <v>8</v>
      </c>
      <c r="O211" s="11">
        <v>1375</v>
      </c>
      <c r="P211" s="85">
        <v>1.4102564102564104</v>
      </c>
      <c r="Q211" s="11">
        <v>1375</v>
      </c>
      <c r="R211" s="85">
        <v>1.4102564102564104</v>
      </c>
      <c r="S211" s="29" t="s">
        <v>2725</v>
      </c>
      <c r="T211" s="29" t="s">
        <v>2789</v>
      </c>
    </row>
    <row r="212">
      <c r="B212" s="29" t="s">
        <v>1217</v>
      </c>
      <c r="C212" s="29" t="s">
        <v>1245</v>
      </c>
      <c r="D212" s="8" t="s">
        <v>1259</v>
      </c>
      <c r="E212" s="10" t="s">
        <v>1523</v>
      </c>
      <c r="F212" s="10">
        <v>2</v>
      </c>
      <c r="G212" s="10">
        <v>2</v>
      </c>
      <c r="H212" s="10">
        <v>1</v>
      </c>
      <c r="I212" s="10"/>
      <c r="J212" s="10">
        <v>975</v>
      </c>
      <c r="K212" s="104">
        <v>45409</v>
      </c>
      <c r="L212" s="104">
        <v>45505</v>
      </c>
      <c r="M212" s="10" t="b">
        <v>0</v>
      </c>
      <c r="N212" s="10">
        <v>97</v>
      </c>
      <c r="O212" s="11">
        <v>1375</v>
      </c>
      <c r="P212" s="85">
        <v>1.4102564102564104</v>
      </c>
      <c r="Q212" s="11">
        <v>1375</v>
      </c>
      <c r="R212" s="85">
        <v>1.4102564102564104</v>
      </c>
      <c r="S212" s="29" t="s">
        <v>2722</v>
      </c>
      <c r="T212" s="29" t="s">
        <v>2789</v>
      </c>
    </row>
    <row r="213">
      <c r="B213" s="29" t="s">
        <v>1217</v>
      </c>
      <c r="C213" s="29" t="s">
        <v>1245</v>
      </c>
      <c r="D213" s="8" t="s">
        <v>1259</v>
      </c>
      <c r="E213" s="10" t="s">
        <v>1524</v>
      </c>
      <c r="F213" s="10">
        <v>2</v>
      </c>
      <c r="G213" s="10">
        <v>2</v>
      </c>
      <c r="H213" s="10">
        <v>1</v>
      </c>
      <c r="I213" s="10"/>
      <c r="J213" s="10">
        <v>975</v>
      </c>
      <c r="K213" s="104"/>
      <c r="L213" s="104">
        <v>45436</v>
      </c>
      <c r="M213" s="10" t="b">
        <v>0</v>
      </c>
      <c r="N213" s="10"/>
      <c r="O213" s="11">
        <v>1375</v>
      </c>
      <c r="P213" s="85">
        <v>1.4102564102564104</v>
      </c>
      <c r="Q213" s="11">
        <v>1375</v>
      </c>
      <c r="R213" s="85">
        <v>1.4102564102564104</v>
      </c>
      <c r="S213" s="29" t="s">
        <v>2730</v>
      </c>
      <c r="T213" s="29" t="s">
        <v>2789</v>
      </c>
    </row>
    <row r="214">
      <c r="B214" s="29" t="s">
        <v>1217</v>
      </c>
      <c r="C214" s="29" t="s">
        <v>1245</v>
      </c>
      <c r="D214" s="8" t="s">
        <v>1259</v>
      </c>
      <c r="E214" s="10" t="s">
        <v>1525</v>
      </c>
      <c r="F214" s="10">
        <v>1</v>
      </c>
      <c r="G214" s="10">
        <v>2</v>
      </c>
      <c r="H214" s="10">
        <v>1</v>
      </c>
      <c r="I214" s="10"/>
      <c r="J214" s="10">
        <v>975</v>
      </c>
      <c r="K214" s="104">
        <v>45707</v>
      </c>
      <c r="L214" s="104">
        <v>45724</v>
      </c>
      <c r="M214" s="10" t="b">
        <v>0</v>
      </c>
      <c r="N214" s="10">
        <v>18</v>
      </c>
      <c r="O214" s="11">
        <v>1375</v>
      </c>
      <c r="P214" s="85">
        <v>1.4102564102564104</v>
      </c>
      <c r="Q214" s="11">
        <v>1375</v>
      </c>
      <c r="R214" s="85">
        <v>1.4102564102564104</v>
      </c>
      <c r="S214" s="29" t="s">
        <v>2728</v>
      </c>
      <c r="T214" s="29" t="s">
        <v>2789</v>
      </c>
    </row>
    <row r="215">
      <c r="B215" s="29" t="s">
        <v>1217</v>
      </c>
      <c r="C215" s="29" t="s">
        <v>1245</v>
      </c>
      <c r="D215" s="8" t="s">
        <v>1259</v>
      </c>
      <c r="E215" s="10" t="s">
        <v>1526</v>
      </c>
      <c r="F215" s="10">
        <v>2</v>
      </c>
      <c r="G215" s="10">
        <v>2</v>
      </c>
      <c r="H215" s="10">
        <v>1</v>
      </c>
      <c r="I215" s="10"/>
      <c r="J215" s="10">
        <v>975</v>
      </c>
      <c r="K215" s="104">
        <v>45360</v>
      </c>
      <c r="L215" s="104">
        <v>45505</v>
      </c>
      <c r="M215" s="10" t="b">
        <v>0</v>
      </c>
      <c r="N215" s="10">
        <v>146</v>
      </c>
      <c r="O215" s="11">
        <v>1380</v>
      </c>
      <c r="P215" s="85">
        <v>1.4153846153846155</v>
      </c>
      <c r="Q215" s="11">
        <v>1380</v>
      </c>
      <c r="R215" s="85">
        <v>1.4153846153846155</v>
      </c>
      <c r="S215" s="29" t="s">
        <v>2723</v>
      </c>
      <c r="T215" s="29" t="s">
        <v>2789</v>
      </c>
    </row>
    <row r="216">
      <c r="B216" s="29" t="s">
        <v>1217</v>
      </c>
      <c r="C216" s="29" t="s">
        <v>1245</v>
      </c>
      <c r="D216" s="8" t="s">
        <v>1259</v>
      </c>
      <c r="E216" s="10" t="s">
        <v>1527</v>
      </c>
      <c r="F216" s="10">
        <v>1</v>
      </c>
      <c r="G216" s="10">
        <v>2</v>
      </c>
      <c r="H216" s="10">
        <v>1</v>
      </c>
      <c r="I216" s="10"/>
      <c r="J216" s="10">
        <v>975</v>
      </c>
      <c r="K216" s="104">
        <v>45565</v>
      </c>
      <c r="L216" s="104">
        <v>45649</v>
      </c>
      <c r="M216" s="10" t="b">
        <v>0</v>
      </c>
      <c r="N216" s="10">
        <v>85</v>
      </c>
      <c r="O216" s="11">
        <v>1380</v>
      </c>
      <c r="P216" s="85">
        <v>1.4153846153846155</v>
      </c>
      <c r="Q216" s="11">
        <v>1380</v>
      </c>
      <c r="R216" s="85">
        <v>1.4153846153846155</v>
      </c>
      <c r="S216" s="29" t="s">
        <v>2728</v>
      </c>
      <c r="T216" s="29" t="s">
        <v>2789</v>
      </c>
    </row>
    <row r="217">
      <c r="B217" s="29" t="s">
        <v>1217</v>
      </c>
      <c r="C217" s="29" t="s">
        <v>1245</v>
      </c>
      <c r="D217" s="8" t="s">
        <v>1259</v>
      </c>
      <c r="E217" s="10" t="s">
        <v>1528</v>
      </c>
      <c r="F217" s="10">
        <v>2</v>
      </c>
      <c r="G217" s="10">
        <v>2</v>
      </c>
      <c r="H217" s="10">
        <v>1</v>
      </c>
      <c r="I217" s="10"/>
      <c r="J217" s="10">
        <v>975</v>
      </c>
      <c r="K217" s="104">
        <v>45565</v>
      </c>
      <c r="L217" s="104">
        <v>45733</v>
      </c>
      <c r="M217" s="10" t="b">
        <v>0</v>
      </c>
      <c r="N217" s="10">
        <v>169</v>
      </c>
      <c r="O217" s="11">
        <v>1390</v>
      </c>
      <c r="P217" s="85">
        <v>1.4256410256410257</v>
      </c>
      <c r="Q217" s="11">
        <v>1390</v>
      </c>
      <c r="R217" s="85">
        <v>1.4256410256410257</v>
      </c>
      <c r="S217" s="29" t="s">
        <v>2734</v>
      </c>
      <c r="T217" s="29" t="s">
        <v>2791</v>
      </c>
    </row>
    <row r="218">
      <c r="B218" s="29" t="s">
        <v>1217</v>
      </c>
      <c r="C218" s="29" t="s">
        <v>1245</v>
      </c>
      <c r="D218" s="8" t="s">
        <v>1259</v>
      </c>
      <c r="E218" s="10" t="s">
        <v>1529</v>
      </c>
      <c r="F218" s="10">
        <v>2</v>
      </c>
      <c r="G218" s="10">
        <v>2</v>
      </c>
      <c r="H218" s="10">
        <v>1</v>
      </c>
      <c r="I218" s="10"/>
      <c r="J218" s="10">
        <v>975</v>
      </c>
      <c r="K218" s="104">
        <v>45348</v>
      </c>
      <c r="L218" s="104">
        <v>45456</v>
      </c>
      <c r="M218" s="10" t="b">
        <v>0</v>
      </c>
      <c r="N218" s="10">
        <v>109</v>
      </c>
      <c r="O218" s="11">
        <v>1395</v>
      </c>
      <c r="P218" s="85">
        <v>1.4307692307692308</v>
      </c>
      <c r="Q218" s="11">
        <v>1395</v>
      </c>
      <c r="R218" s="85">
        <v>1.4307692307692308</v>
      </c>
      <c r="S218" s="29" t="s">
        <v>2735</v>
      </c>
      <c r="T218" s="29" t="s">
        <v>2790</v>
      </c>
    </row>
    <row r="219">
      <c r="B219" s="29" t="s">
        <v>1217</v>
      </c>
      <c r="C219" s="29" t="s">
        <v>1245</v>
      </c>
      <c r="D219" s="8" t="s">
        <v>1259</v>
      </c>
      <c r="E219" s="10" t="s">
        <v>1530</v>
      </c>
      <c r="F219" s="10">
        <v>2</v>
      </c>
      <c r="G219" s="10">
        <v>2</v>
      </c>
      <c r="H219" s="10">
        <v>1</v>
      </c>
      <c r="I219" s="10"/>
      <c r="J219" s="10">
        <v>975</v>
      </c>
      <c r="K219" s="104">
        <v>45645</v>
      </c>
      <c r="L219" s="104">
        <v>45676</v>
      </c>
      <c r="M219" s="10" t="b">
        <v>0</v>
      </c>
      <c r="N219" s="10">
        <v>32</v>
      </c>
      <c r="O219" s="11">
        <v>1395</v>
      </c>
      <c r="P219" s="85">
        <v>1.4307692307692308</v>
      </c>
      <c r="Q219" s="11">
        <v>1395</v>
      </c>
      <c r="R219" s="85">
        <v>1.4307692307692308</v>
      </c>
      <c r="S219" s="29" t="s">
        <v>2758</v>
      </c>
      <c r="T219" s="29" t="s">
        <v>2790</v>
      </c>
    </row>
    <row r="220">
      <c r="B220" s="29" t="s">
        <v>1217</v>
      </c>
      <c r="C220" s="29" t="s">
        <v>1245</v>
      </c>
      <c r="D220" s="8" t="s">
        <v>1259</v>
      </c>
      <c r="E220" s="10" t="s">
        <v>1531</v>
      </c>
      <c r="F220" s="10">
        <v>1</v>
      </c>
      <c r="G220" s="10">
        <v>2</v>
      </c>
      <c r="H220" s="10">
        <v>1</v>
      </c>
      <c r="I220" s="10"/>
      <c r="J220" s="10">
        <v>975</v>
      </c>
      <c r="K220" s="104">
        <v>45769</v>
      </c>
      <c r="L220" s="104"/>
      <c r="M220" s="10" t="b">
        <v>1</v>
      </c>
      <c r="N220" s="10"/>
      <c r="O220" s="11">
        <v>1400</v>
      </c>
      <c r="P220" s="85">
        <v>1.435897435897436</v>
      </c>
      <c r="Q220" s="11">
        <v>1400</v>
      </c>
      <c r="R220" s="85">
        <v>1.435897435897436</v>
      </c>
      <c r="S220" s="29" t="s">
        <v>2735</v>
      </c>
      <c r="T220" s="29" t="s">
        <v>2790</v>
      </c>
    </row>
    <row r="221">
      <c r="B221" s="29" t="s">
        <v>1217</v>
      </c>
      <c r="C221" s="29" t="s">
        <v>1245</v>
      </c>
      <c r="D221" s="8" t="s">
        <v>1259</v>
      </c>
      <c r="E221" s="10" t="s">
        <v>1532</v>
      </c>
      <c r="F221" s="10">
        <v>2</v>
      </c>
      <c r="G221" s="10">
        <v>2</v>
      </c>
      <c r="H221" s="10">
        <v>1</v>
      </c>
      <c r="I221" s="10"/>
      <c r="J221" s="10">
        <v>975</v>
      </c>
      <c r="K221" s="104">
        <v>45750</v>
      </c>
      <c r="L221" s="104">
        <v>45784</v>
      </c>
      <c r="M221" s="10" t="b">
        <v>0</v>
      </c>
      <c r="N221" s="10">
        <v>35</v>
      </c>
      <c r="O221" s="11">
        <v>1400</v>
      </c>
      <c r="P221" s="85">
        <v>1.435897435897436</v>
      </c>
      <c r="Q221" s="11">
        <v>1400</v>
      </c>
      <c r="R221" s="85">
        <v>1.435897435897436</v>
      </c>
      <c r="S221" s="29" t="s">
        <v>2735</v>
      </c>
      <c r="T221" s="29" t="s">
        <v>2790</v>
      </c>
    </row>
    <row r="222">
      <c r="B222" s="29" t="s">
        <v>1217</v>
      </c>
      <c r="C222" s="29" t="s">
        <v>1245</v>
      </c>
      <c r="D222" s="8" t="s">
        <v>1259</v>
      </c>
      <c r="E222" s="10" t="s">
        <v>1533</v>
      </c>
      <c r="F222" s="10">
        <v>2</v>
      </c>
      <c r="G222" s="10">
        <v>2</v>
      </c>
      <c r="H222" s="10">
        <v>1</v>
      </c>
      <c r="I222" s="10"/>
      <c r="J222" s="10">
        <v>975</v>
      </c>
      <c r="K222" s="104">
        <v>45455</v>
      </c>
      <c r="L222" s="104">
        <v>45543</v>
      </c>
      <c r="M222" s="10" t="b">
        <v>0</v>
      </c>
      <c r="N222" s="10">
        <v>89</v>
      </c>
      <c r="O222" s="11">
        <v>1400</v>
      </c>
      <c r="P222" s="85">
        <v>1.435897435897436</v>
      </c>
      <c r="Q222" s="11">
        <v>1371</v>
      </c>
      <c r="R222" s="85">
        <v>1.406153846153846</v>
      </c>
      <c r="S222" s="29" t="s">
        <v>2759</v>
      </c>
      <c r="T222" s="29" t="s">
        <v>2789</v>
      </c>
    </row>
    <row r="223">
      <c r="B223" s="29" t="s">
        <v>1217</v>
      </c>
      <c r="C223" s="29" t="s">
        <v>1245</v>
      </c>
      <c r="D223" s="8" t="s">
        <v>1259</v>
      </c>
      <c r="E223" s="10" t="s">
        <v>1534</v>
      </c>
      <c r="F223" s="10">
        <v>2</v>
      </c>
      <c r="G223" s="10">
        <v>2</v>
      </c>
      <c r="H223" s="10">
        <v>1</v>
      </c>
      <c r="I223" s="10"/>
      <c r="J223" s="10">
        <v>975</v>
      </c>
      <c r="K223" s="104">
        <v>45631</v>
      </c>
      <c r="L223" s="104">
        <v>45745</v>
      </c>
      <c r="M223" s="10" t="b">
        <v>0</v>
      </c>
      <c r="N223" s="10">
        <v>115</v>
      </c>
      <c r="O223" s="11">
        <v>1400</v>
      </c>
      <c r="P223" s="85">
        <v>1.435897435897436</v>
      </c>
      <c r="Q223" s="11">
        <v>1400</v>
      </c>
      <c r="R223" s="85">
        <v>1.435897435897436</v>
      </c>
      <c r="S223" s="29" t="s">
        <v>2729</v>
      </c>
      <c r="T223" s="29" t="s">
        <v>2789</v>
      </c>
    </row>
    <row r="224">
      <c r="B224" s="29" t="s">
        <v>1217</v>
      </c>
      <c r="C224" s="29" t="s">
        <v>1245</v>
      </c>
      <c r="D224" s="8" t="s">
        <v>1259</v>
      </c>
      <c r="E224" s="10" t="s">
        <v>1535</v>
      </c>
      <c r="F224" s="10">
        <v>1</v>
      </c>
      <c r="G224" s="10">
        <v>2</v>
      </c>
      <c r="H224" s="10">
        <v>1</v>
      </c>
      <c r="I224" s="10"/>
      <c r="J224" s="10">
        <v>975</v>
      </c>
      <c r="K224" s="104">
        <v>45684</v>
      </c>
      <c r="L224" s="104">
        <v>45711</v>
      </c>
      <c r="M224" s="10" t="b">
        <v>0</v>
      </c>
      <c r="N224" s="10">
        <v>28</v>
      </c>
      <c r="O224" s="11">
        <v>1400</v>
      </c>
      <c r="P224" s="85">
        <v>1.435897435897436</v>
      </c>
      <c r="Q224" s="11">
        <v>1400</v>
      </c>
      <c r="R224" s="85">
        <v>1.435897435897436</v>
      </c>
      <c r="S224" s="29" t="s">
        <v>2760</v>
      </c>
      <c r="T224" s="29" t="s">
        <v>2790</v>
      </c>
    </row>
    <row r="225">
      <c r="B225" s="29" t="s">
        <v>1217</v>
      </c>
      <c r="C225" s="29" t="s">
        <v>1245</v>
      </c>
      <c r="D225" s="8" t="s">
        <v>1259</v>
      </c>
      <c r="E225" s="10" t="s">
        <v>1536</v>
      </c>
      <c r="F225" s="10">
        <v>1</v>
      </c>
      <c r="G225" s="10">
        <v>2</v>
      </c>
      <c r="H225" s="10">
        <v>1</v>
      </c>
      <c r="I225" s="10"/>
      <c r="J225" s="10">
        <v>975</v>
      </c>
      <c r="K225" s="104">
        <v>45631</v>
      </c>
      <c r="L225" s="104">
        <v>45681</v>
      </c>
      <c r="M225" s="10" t="b">
        <v>0</v>
      </c>
      <c r="N225" s="10">
        <v>51</v>
      </c>
      <c r="O225" s="11">
        <v>1400</v>
      </c>
      <c r="P225" s="85">
        <v>1.435897435897436</v>
      </c>
      <c r="Q225" s="11">
        <v>1400</v>
      </c>
      <c r="R225" s="85">
        <v>1.435897435897436</v>
      </c>
      <c r="S225" s="29" t="s">
        <v>2728</v>
      </c>
      <c r="T225" s="29" t="s">
        <v>2789</v>
      </c>
    </row>
    <row r="226">
      <c r="B226" s="29" t="s">
        <v>1217</v>
      </c>
      <c r="C226" s="29" t="s">
        <v>1245</v>
      </c>
      <c r="D226" s="8" t="s">
        <v>1259</v>
      </c>
      <c r="E226" s="10" t="s">
        <v>1537</v>
      </c>
      <c r="F226" s="10">
        <v>2</v>
      </c>
      <c r="G226" s="10">
        <v>2</v>
      </c>
      <c r="H226" s="10">
        <v>1</v>
      </c>
      <c r="I226" s="10"/>
      <c r="J226" s="10">
        <v>975</v>
      </c>
      <c r="K226" s="104">
        <v>45356</v>
      </c>
      <c r="L226" s="104">
        <v>45436</v>
      </c>
      <c r="M226" s="10" t="b">
        <v>0</v>
      </c>
      <c r="N226" s="10">
        <v>81</v>
      </c>
      <c r="O226" s="11">
        <v>1402</v>
      </c>
      <c r="P226" s="85">
        <v>1.437948717948718</v>
      </c>
      <c r="Q226" s="11">
        <v>1402</v>
      </c>
      <c r="R226" s="85">
        <v>1.437948717948718</v>
      </c>
      <c r="S226" s="29" t="s">
        <v>2723</v>
      </c>
      <c r="T226" s="29" t="s">
        <v>2789</v>
      </c>
    </row>
    <row r="227">
      <c r="B227" s="29" t="s">
        <v>1217</v>
      </c>
      <c r="C227" s="29" t="s">
        <v>1245</v>
      </c>
      <c r="D227" s="8" t="s">
        <v>1259</v>
      </c>
      <c r="E227" s="10" t="s">
        <v>1538</v>
      </c>
      <c r="F227" s="10">
        <v>1</v>
      </c>
      <c r="G227" s="10">
        <v>2</v>
      </c>
      <c r="H227" s="10">
        <v>1</v>
      </c>
      <c r="I227" s="10"/>
      <c r="J227" s="10">
        <v>975</v>
      </c>
      <c r="K227" s="104">
        <v>45540</v>
      </c>
      <c r="L227" s="104">
        <v>45573</v>
      </c>
      <c r="M227" s="10" t="b">
        <v>0</v>
      </c>
      <c r="N227" s="10">
        <v>34</v>
      </c>
      <c r="O227" s="11">
        <v>1405</v>
      </c>
      <c r="P227" s="85">
        <v>1.441025641025641</v>
      </c>
      <c r="Q227" s="11">
        <v>1405</v>
      </c>
      <c r="R227" s="85">
        <v>1.441025641025641</v>
      </c>
      <c r="S227" s="29" t="s">
        <v>2736</v>
      </c>
      <c r="T227" s="29" t="s">
        <v>2790</v>
      </c>
    </row>
    <row r="228">
      <c r="B228" s="29" t="s">
        <v>1217</v>
      </c>
      <c r="C228" s="29" t="s">
        <v>1245</v>
      </c>
      <c r="D228" s="8" t="s">
        <v>1259</v>
      </c>
      <c r="E228" s="10" t="s">
        <v>1539</v>
      </c>
      <c r="F228" s="10">
        <v>1</v>
      </c>
      <c r="G228" s="10">
        <v>2</v>
      </c>
      <c r="H228" s="10">
        <v>1</v>
      </c>
      <c r="I228" s="10"/>
      <c r="J228" s="10">
        <v>975</v>
      </c>
      <c r="K228" s="104">
        <v>45674</v>
      </c>
      <c r="L228" s="104">
        <v>45687</v>
      </c>
      <c r="M228" s="10" t="b">
        <v>0</v>
      </c>
      <c r="N228" s="10">
        <v>14</v>
      </c>
      <c r="O228" s="11">
        <v>1405</v>
      </c>
      <c r="P228" s="85">
        <v>1.441025641025641</v>
      </c>
      <c r="Q228" s="11">
        <v>1405</v>
      </c>
      <c r="R228" s="85">
        <v>1.441025641025641</v>
      </c>
      <c r="S228" s="29" t="s">
        <v>2728</v>
      </c>
      <c r="T228" s="29" t="s">
        <v>2789</v>
      </c>
    </row>
    <row r="229">
      <c r="B229" s="29" t="s">
        <v>1217</v>
      </c>
      <c r="C229" s="29" t="s">
        <v>1245</v>
      </c>
      <c r="D229" s="8" t="s">
        <v>1259</v>
      </c>
      <c r="E229" s="10" t="s">
        <v>1540</v>
      </c>
      <c r="F229" s="10">
        <v>2</v>
      </c>
      <c r="G229" s="10">
        <v>2</v>
      </c>
      <c r="H229" s="10">
        <v>1</v>
      </c>
      <c r="I229" s="10"/>
      <c r="J229" s="10">
        <v>975</v>
      </c>
      <c r="K229" s="104">
        <v>45645</v>
      </c>
      <c r="L229" s="104">
        <v>45713</v>
      </c>
      <c r="M229" s="10" t="b">
        <v>0</v>
      </c>
      <c r="N229" s="10">
        <v>69</v>
      </c>
      <c r="O229" s="11">
        <v>1405</v>
      </c>
      <c r="P229" s="85">
        <v>1.441025641025641</v>
      </c>
      <c r="Q229" s="11">
        <v>1405</v>
      </c>
      <c r="R229" s="85">
        <v>1.441025641025641</v>
      </c>
      <c r="S229" s="29" t="s">
        <v>2737</v>
      </c>
      <c r="T229" s="29" t="s">
        <v>2789</v>
      </c>
    </row>
    <row r="230">
      <c r="B230" s="29" t="s">
        <v>1217</v>
      </c>
      <c r="C230" s="29" t="s">
        <v>1245</v>
      </c>
      <c r="D230" s="8" t="s">
        <v>1259</v>
      </c>
      <c r="E230" s="10" t="s">
        <v>1541</v>
      </c>
      <c r="F230" s="10">
        <v>2</v>
      </c>
      <c r="G230" s="10">
        <v>2</v>
      </c>
      <c r="H230" s="10">
        <v>1</v>
      </c>
      <c r="I230" s="10"/>
      <c r="J230" s="10">
        <v>975</v>
      </c>
      <c r="K230" s="104">
        <v>45750</v>
      </c>
      <c r="L230" s="104"/>
      <c r="M230" s="10" t="b">
        <v>1</v>
      </c>
      <c r="N230" s="10"/>
      <c r="O230" s="11">
        <v>1410</v>
      </c>
      <c r="P230" s="85">
        <v>1.4461538461538461</v>
      </c>
      <c r="Q230" s="11">
        <v>1410</v>
      </c>
      <c r="R230" s="85">
        <v>1.4461538461538461</v>
      </c>
      <c r="S230" s="29" t="s">
        <v>2741</v>
      </c>
      <c r="T230" s="29" t="s">
        <v>2792</v>
      </c>
    </row>
    <row r="231">
      <c r="B231" s="29" t="s">
        <v>1217</v>
      </c>
      <c r="C231" s="29" t="s">
        <v>1245</v>
      </c>
      <c r="D231" s="8" t="s">
        <v>1259</v>
      </c>
      <c r="E231" s="10" t="s">
        <v>1542</v>
      </c>
      <c r="F231" s="10">
        <v>1</v>
      </c>
      <c r="G231" s="10">
        <v>2</v>
      </c>
      <c r="H231" s="10">
        <v>1</v>
      </c>
      <c r="I231" s="10"/>
      <c r="J231" s="10">
        <v>975</v>
      </c>
      <c r="K231" s="104">
        <v>45441</v>
      </c>
      <c r="L231" s="104">
        <v>45449</v>
      </c>
      <c r="M231" s="10" t="b">
        <v>0</v>
      </c>
      <c r="N231" s="10">
        <v>9</v>
      </c>
      <c r="O231" s="11">
        <v>1414</v>
      </c>
      <c r="P231" s="85">
        <v>1.4502564102564102</v>
      </c>
      <c r="Q231" s="11">
        <v>1414</v>
      </c>
      <c r="R231" s="85">
        <v>1.4502564102564102</v>
      </c>
      <c r="S231" s="29" t="s">
        <v>2723</v>
      </c>
      <c r="T231" s="29" t="s">
        <v>2789</v>
      </c>
    </row>
    <row r="232">
      <c r="B232" s="29" t="s">
        <v>1217</v>
      </c>
      <c r="C232" s="29" t="s">
        <v>1245</v>
      </c>
      <c r="D232" s="8" t="s">
        <v>1259</v>
      </c>
      <c r="E232" s="10" t="s">
        <v>1543</v>
      </c>
      <c r="F232" s="10">
        <v>1</v>
      </c>
      <c r="G232" s="10">
        <v>2</v>
      </c>
      <c r="H232" s="10">
        <v>1</v>
      </c>
      <c r="I232" s="10"/>
      <c r="J232" s="10">
        <v>975</v>
      </c>
      <c r="K232" s="104">
        <v>45432</v>
      </c>
      <c r="L232" s="104">
        <v>45437</v>
      </c>
      <c r="M232" s="10" t="b">
        <v>0</v>
      </c>
      <c r="N232" s="10">
        <v>6</v>
      </c>
      <c r="O232" s="11">
        <v>1419</v>
      </c>
      <c r="P232" s="85">
        <v>1.4553846153846153</v>
      </c>
      <c r="Q232" s="11">
        <v>1419</v>
      </c>
      <c r="R232" s="85">
        <v>1.4553846153846153</v>
      </c>
      <c r="S232" s="29" t="s">
        <v>2761</v>
      </c>
      <c r="T232" s="29" t="s">
        <v>2789</v>
      </c>
    </row>
    <row r="233">
      <c r="B233" s="29" t="s">
        <v>1217</v>
      </c>
      <c r="C233" s="29" t="s">
        <v>1245</v>
      </c>
      <c r="D233" s="8" t="s">
        <v>1259</v>
      </c>
      <c r="E233" s="10" t="s">
        <v>1544</v>
      </c>
      <c r="F233" s="10">
        <v>2</v>
      </c>
      <c r="G233" s="10">
        <v>2</v>
      </c>
      <c r="H233" s="10">
        <v>1</v>
      </c>
      <c r="I233" s="10"/>
      <c r="J233" s="10">
        <v>975</v>
      </c>
      <c r="K233" s="104">
        <v>45348</v>
      </c>
      <c r="L233" s="104">
        <v>45518</v>
      </c>
      <c r="M233" s="10" t="b">
        <v>0</v>
      </c>
      <c r="N233" s="10">
        <v>171</v>
      </c>
      <c r="O233" s="11">
        <v>1420</v>
      </c>
      <c r="P233" s="85">
        <v>1.4564102564102563</v>
      </c>
      <c r="Q233" s="11">
        <v>1388</v>
      </c>
      <c r="R233" s="85">
        <v>1.4235897435897436</v>
      </c>
      <c r="S233" s="29" t="s">
        <v>2762</v>
      </c>
      <c r="T233" s="29" t="s">
        <v>2789</v>
      </c>
    </row>
    <row r="234">
      <c r="B234" s="29" t="s">
        <v>1217</v>
      </c>
      <c r="C234" s="29" t="s">
        <v>1245</v>
      </c>
      <c r="D234" s="8" t="s">
        <v>1259</v>
      </c>
      <c r="E234" s="10" t="s">
        <v>1545</v>
      </c>
      <c r="F234" s="10">
        <v>2</v>
      </c>
      <c r="G234" s="10">
        <v>2</v>
      </c>
      <c r="H234" s="10">
        <v>1</v>
      </c>
      <c r="I234" s="10"/>
      <c r="J234" s="10">
        <v>975</v>
      </c>
      <c r="K234" s="104">
        <v>45561</v>
      </c>
      <c r="L234" s="104">
        <v>45675</v>
      </c>
      <c r="M234" s="10" t="b">
        <v>0</v>
      </c>
      <c r="N234" s="10">
        <v>115</v>
      </c>
      <c r="O234" s="11">
        <v>1420</v>
      </c>
      <c r="P234" s="85">
        <v>1.4564102564102563</v>
      </c>
      <c r="Q234" s="11">
        <v>1420</v>
      </c>
      <c r="R234" s="85">
        <v>1.4564102564102563</v>
      </c>
      <c r="S234" s="29" t="s">
        <v>2739</v>
      </c>
      <c r="T234" s="29" t="s">
        <v>2790</v>
      </c>
    </row>
    <row r="235">
      <c r="B235" s="29" t="s">
        <v>1217</v>
      </c>
      <c r="C235" s="29" t="s">
        <v>1245</v>
      </c>
      <c r="D235" s="8" t="s">
        <v>1259</v>
      </c>
      <c r="E235" s="10" t="s">
        <v>1546</v>
      </c>
      <c r="F235" s="10">
        <v>2</v>
      </c>
      <c r="G235" s="10">
        <v>2</v>
      </c>
      <c r="H235" s="10">
        <v>1</v>
      </c>
      <c r="I235" s="10"/>
      <c r="J235" s="10">
        <v>975</v>
      </c>
      <c r="K235" s="104">
        <v>45337</v>
      </c>
      <c r="L235" s="104">
        <v>45434</v>
      </c>
      <c r="M235" s="10" t="b">
        <v>0</v>
      </c>
      <c r="N235" s="10">
        <v>98</v>
      </c>
      <c r="O235" s="11">
        <v>1425</v>
      </c>
      <c r="P235" s="85">
        <v>1.4615384615384615</v>
      </c>
      <c r="Q235" s="11">
        <v>1425</v>
      </c>
      <c r="R235" s="85">
        <v>1.4615384615384615</v>
      </c>
      <c r="S235" s="29" t="s">
        <v>2763</v>
      </c>
      <c r="T235" s="29" t="s">
        <v>2789</v>
      </c>
    </row>
    <row r="236">
      <c r="B236" s="29" t="s">
        <v>1217</v>
      </c>
      <c r="C236" s="29" t="s">
        <v>1245</v>
      </c>
      <c r="D236" s="8" t="s">
        <v>1259</v>
      </c>
      <c r="E236" s="10" t="s">
        <v>1547</v>
      </c>
      <c r="F236" s="10">
        <v>1</v>
      </c>
      <c r="G236" s="10">
        <v>2</v>
      </c>
      <c r="H236" s="10">
        <v>1</v>
      </c>
      <c r="I236" s="10"/>
      <c r="J236" s="10">
        <v>975</v>
      </c>
      <c r="K236" s="104">
        <v>45661</v>
      </c>
      <c r="L236" s="104">
        <v>45728</v>
      </c>
      <c r="M236" s="10" t="b">
        <v>0</v>
      </c>
      <c r="N236" s="10">
        <v>68</v>
      </c>
      <c r="O236" s="11">
        <v>1425</v>
      </c>
      <c r="P236" s="85">
        <v>1.4615384615384615</v>
      </c>
      <c r="Q236" s="11">
        <v>1425</v>
      </c>
      <c r="R236" s="85">
        <v>1.4615384615384615</v>
      </c>
      <c r="S236" s="29" t="s">
        <v>2725</v>
      </c>
      <c r="T236" s="29" t="s">
        <v>2789</v>
      </c>
    </row>
    <row r="237">
      <c r="B237" s="29" t="s">
        <v>1217</v>
      </c>
      <c r="C237" s="29" t="s">
        <v>1245</v>
      </c>
      <c r="D237" s="8" t="s">
        <v>1259</v>
      </c>
      <c r="E237" s="10" t="s">
        <v>1548</v>
      </c>
      <c r="F237" s="10">
        <v>2</v>
      </c>
      <c r="G237" s="10">
        <v>2</v>
      </c>
      <c r="H237" s="10">
        <v>1</v>
      </c>
      <c r="I237" s="10"/>
      <c r="J237" s="10">
        <v>975</v>
      </c>
      <c r="K237" s="104">
        <v>45595</v>
      </c>
      <c r="L237" s="104">
        <v>45615</v>
      </c>
      <c r="M237" s="10" t="b">
        <v>0</v>
      </c>
      <c r="N237" s="10">
        <v>21</v>
      </c>
      <c r="O237" s="11">
        <v>1430</v>
      </c>
      <c r="P237" s="85">
        <v>1.4666666666666666</v>
      </c>
      <c r="Q237" s="11">
        <v>1430</v>
      </c>
      <c r="R237" s="85">
        <v>1.4666666666666666</v>
      </c>
      <c r="S237" s="29" t="s">
        <v>2764</v>
      </c>
      <c r="T237" s="29" t="s">
        <v>2789</v>
      </c>
    </row>
    <row r="238">
      <c r="B238" s="29" t="s">
        <v>1217</v>
      </c>
      <c r="C238" s="29" t="s">
        <v>1245</v>
      </c>
      <c r="D238" s="8" t="s">
        <v>1259</v>
      </c>
      <c r="E238" s="10" t="s">
        <v>1549</v>
      </c>
      <c r="F238" s="10">
        <v>1</v>
      </c>
      <c r="G238" s="10">
        <v>2</v>
      </c>
      <c r="H238" s="10">
        <v>1</v>
      </c>
      <c r="I238" s="10"/>
      <c r="J238" s="10">
        <v>975</v>
      </c>
      <c r="K238" s="104">
        <v>45645</v>
      </c>
      <c r="L238" s="104">
        <v>45699</v>
      </c>
      <c r="M238" s="10" t="b">
        <v>0</v>
      </c>
      <c r="N238" s="10">
        <v>55</v>
      </c>
      <c r="O238" s="11">
        <v>1435</v>
      </c>
      <c r="P238" s="85">
        <v>1.471794871794872</v>
      </c>
      <c r="Q238" s="11">
        <v>1435</v>
      </c>
      <c r="R238" s="85">
        <v>1.471794871794872</v>
      </c>
      <c r="S238" s="29" t="s">
        <v>2728</v>
      </c>
      <c r="T238" s="29" t="s">
        <v>2789</v>
      </c>
    </row>
    <row r="239">
      <c r="B239" s="29" t="s">
        <v>1217</v>
      </c>
      <c r="C239" s="29" t="s">
        <v>1245</v>
      </c>
      <c r="D239" s="8" t="s">
        <v>1259</v>
      </c>
      <c r="E239" s="10" t="s">
        <v>1550</v>
      </c>
      <c r="F239" s="10">
        <v>2</v>
      </c>
      <c r="G239" s="10">
        <v>2</v>
      </c>
      <c r="H239" s="10">
        <v>1</v>
      </c>
      <c r="I239" s="10"/>
      <c r="J239" s="10">
        <v>975</v>
      </c>
      <c r="K239" s="104">
        <v>45393</v>
      </c>
      <c r="L239" s="104">
        <v>45450</v>
      </c>
      <c r="M239" s="10" t="b">
        <v>0</v>
      </c>
      <c r="N239" s="10">
        <v>58</v>
      </c>
      <c r="O239" s="11">
        <v>1436</v>
      </c>
      <c r="P239" s="85">
        <v>1.4728205128205127</v>
      </c>
      <c r="Q239" s="11">
        <v>1436</v>
      </c>
      <c r="R239" s="85">
        <v>1.4728205128205127</v>
      </c>
      <c r="S239" s="29" t="s">
        <v>2763</v>
      </c>
      <c r="T239" s="29" t="s">
        <v>2789</v>
      </c>
    </row>
    <row r="240">
      <c r="B240" s="29" t="s">
        <v>1217</v>
      </c>
      <c r="C240" s="29" t="s">
        <v>1245</v>
      </c>
      <c r="D240" s="8" t="s">
        <v>1259</v>
      </c>
      <c r="E240" s="10" t="s">
        <v>1551</v>
      </c>
      <c r="F240" s="10">
        <v>2</v>
      </c>
      <c r="G240" s="10">
        <v>2</v>
      </c>
      <c r="H240" s="10">
        <v>1</v>
      </c>
      <c r="I240" s="10"/>
      <c r="J240" s="10">
        <v>975</v>
      </c>
      <c r="K240" s="104">
        <v>45631</v>
      </c>
      <c r="L240" s="104">
        <v>45749</v>
      </c>
      <c r="M240" s="10" t="b">
        <v>0</v>
      </c>
      <c r="N240" s="10">
        <v>119</v>
      </c>
      <c r="O240" s="11">
        <v>1440</v>
      </c>
      <c r="P240" s="85">
        <v>1.476923076923077</v>
      </c>
      <c r="Q240" s="11">
        <v>1440</v>
      </c>
      <c r="R240" s="85">
        <v>1.476923076923077</v>
      </c>
      <c r="S240" s="29" t="s">
        <v>2726</v>
      </c>
      <c r="T240" s="29" t="s">
        <v>2789</v>
      </c>
    </row>
    <row r="241">
      <c r="B241" s="29" t="s">
        <v>1217</v>
      </c>
      <c r="C241" s="29" t="s">
        <v>1245</v>
      </c>
      <c r="D241" s="8" t="s">
        <v>1259</v>
      </c>
      <c r="E241" s="10" t="s">
        <v>1552</v>
      </c>
      <c r="F241" s="10">
        <v>2</v>
      </c>
      <c r="G241" s="10">
        <v>2</v>
      </c>
      <c r="H241" s="10">
        <v>1</v>
      </c>
      <c r="I241" s="10"/>
      <c r="J241" s="10">
        <v>975</v>
      </c>
      <c r="K241" s="104">
        <v>45636</v>
      </c>
      <c r="L241" s="104">
        <v>45729</v>
      </c>
      <c r="M241" s="10" t="b">
        <v>0</v>
      </c>
      <c r="N241" s="10">
        <v>94</v>
      </c>
      <c r="O241" s="11">
        <v>1450</v>
      </c>
      <c r="P241" s="85">
        <v>1.4871794871794872</v>
      </c>
      <c r="Q241" s="11">
        <v>1450</v>
      </c>
      <c r="R241" s="85">
        <v>1.4871794871794872</v>
      </c>
      <c r="S241" s="29" t="s">
        <v>2765</v>
      </c>
      <c r="T241" s="29" t="s">
        <v>2790</v>
      </c>
    </row>
    <row r="242">
      <c r="B242" s="29" t="s">
        <v>1217</v>
      </c>
      <c r="C242" s="29" t="s">
        <v>1245</v>
      </c>
      <c r="D242" s="8" t="s">
        <v>1259</v>
      </c>
      <c r="E242" s="10" t="s">
        <v>1553</v>
      </c>
      <c r="F242" s="10">
        <v>1</v>
      </c>
      <c r="G242" s="10">
        <v>2</v>
      </c>
      <c r="H242" s="10">
        <v>1</v>
      </c>
      <c r="I242" s="10"/>
      <c r="J242" s="10">
        <v>975</v>
      </c>
      <c r="K242" s="104">
        <v>45570</v>
      </c>
      <c r="L242" s="104">
        <v>45737</v>
      </c>
      <c r="M242" s="10" t="b">
        <v>0</v>
      </c>
      <c r="N242" s="10">
        <v>168</v>
      </c>
      <c r="O242" s="11">
        <v>1460</v>
      </c>
      <c r="P242" s="85">
        <v>1.4974358974358974</v>
      </c>
      <c r="Q242" s="11">
        <v>1460</v>
      </c>
      <c r="R242" s="85">
        <v>1.4974358974358974</v>
      </c>
      <c r="S242" s="29" t="s">
        <v>2766</v>
      </c>
      <c r="T242" s="29" t="s">
        <v>2789</v>
      </c>
    </row>
    <row r="243">
      <c r="B243" s="29" t="s">
        <v>1217</v>
      </c>
      <c r="C243" s="29" t="s">
        <v>1245</v>
      </c>
      <c r="D243" s="8" t="s">
        <v>1259</v>
      </c>
      <c r="E243" s="10" t="s">
        <v>1554</v>
      </c>
      <c r="F243" s="10">
        <v>2</v>
      </c>
      <c r="G243" s="10">
        <v>2</v>
      </c>
      <c r="H243" s="10">
        <v>1</v>
      </c>
      <c r="I243" s="10"/>
      <c r="J243" s="10">
        <v>975</v>
      </c>
      <c r="K243" s="104">
        <v>45696</v>
      </c>
      <c r="L243" s="104"/>
      <c r="M243" s="10" t="b">
        <v>1</v>
      </c>
      <c r="N243" s="10"/>
      <c r="O243" s="11">
        <v>1465</v>
      </c>
      <c r="P243" s="85">
        <v>1.5025641025641026</v>
      </c>
      <c r="Q243" s="11">
        <v>1465</v>
      </c>
      <c r="R243" s="85">
        <v>1.5025641025641026</v>
      </c>
      <c r="S243" s="29" t="s">
        <v>2767</v>
      </c>
      <c r="T243" s="29" t="s">
        <v>2790</v>
      </c>
    </row>
    <row r="244">
      <c r="B244" s="29" t="s">
        <v>1217</v>
      </c>
      <c r="C244" s="29" t="s">
        <v>1245</v>
      </c>
      <c r="D244" s="8" t="s">
        <v>1259</v>
      </c>
      <c r="E244" s="10" t="s">
        <v>1555</v>
      </c>
      <c r="F244" s="10">
        <v>1</v>
      </c>
      <c r="G244" s="10">
        <v>2</v>
      </c>
      <c r="H244" s="10">
        <v>1</v>
      </c>
      <c r="I244" s="10"/>
      <c r="J244" s="10">
        <v>975</v>
      </c>
      <c r="K244" s="104">
        <v>45272</v>
      </c>
      <c r="L244" s="104">
        <v>45454</v>
      </c>
      <c r="M244" s="10" t="b">
        <v>0</v>
      </c>
      <c r="N244" s="10">
        <v>183</v>
      </c>
      <c r="O244" s="11">
        <v>1524</v>
      </c>
      <c r="P244" s="85">
        <v>1.563076923076923</v>
      </c>
      <c r="Q244" s="11">
        <v>1524</v>
      </c>
      <c r="R244" s="85">
        <v>1.563076923076923</v>
      </c>
      <c r="S244" s="29" t="s">
        <v>2739</v>
      </c>
      <c r="T244" s="29" t="s">
        <v>2790</v>
      </c>
    </row>
    <row r="245">
      <c r="B245" s="29" t="s">
        <v>1217</v>
      </c>
      <c r="C245" s="29" t="s">
        <v>1245</v>
      </c>
      <c r="D245" s="8" t="s">
        <v>1260</v>
      </c>
      <c r="E245" s="10" t="s">
        <v>1556</v>
      </c>
      <c r="F245" s="10">
        <v>1</v>
      </c>
      <c r="G245" s="10">
        <v>2</v>
      </c>
      <c r="H245" s="10">
        <v>1</v>
      </c>
      <c r="I245" s="10"/>
      <c r="J245" s="10">
        <v>975</v>
      </c>
      <c r="K245" s="104"/>
      <c r="L245" s="104">
        <v>45176</v>
      </c>
      <c r="M245" s="10" t="b">
        <v>0</v>
      </c>
      <c r="N245" s="10"/>
      <c r="O245" s="11">
        <v>1250</v>
      </c>
      <c r="P245" s="85">
        <v>1.2820512820512822</v>
      </c>
      <c r="Q245" s="11">
        <v>1146</v>
      </c>
      <c r="R245" s="85">
        <v>1.1753846153846155</v>
      </c>
      <c r="S245" s="29" t="s">
        <v>2719</v>
      </c>
      <c r="T245" s="29" t="s">
        <v>2719</v>
      </c>
    </row>
    <row r="246">
      <c r="B246" s="29" t="s">
        <v>1217</v>
      </c>
      <c r="C246" s="29" t="s">
        <v>1245</v>
      </c>
      <c r="D246" s="8" t="s">
        <v>1260</v>
      </c>
      <c r="E246" s="10" t="s">
        <v>1557</v>
      </c>
      <c r="F246" s="10">
        <v>2</v>
      </c>
      <c r="G246" s="10">
        <v>2</v>
      </c>
      <c r="H246" s="10">
        <v>1</v>
      </c>
      <c r="I246" s="10"/>
      <c r="J246" s="10">
        <v>975</v>
      </c>
      <c r="K246" s="104">
        <v>45157</v>
      </c>
      <c r="L246" s="104">
        <v>45177</v>
      </c>
      <c r="M246" s="10" t="b">
        <v>0</v>
      </c>
      <c r="N246" s="10">
        <v>21</v>
      </c>
      <c r="O246" s="11">
        <v>1250</v>
      </c>
      <c r="P246" s="85">
        <v>1.2820512820512822</v>
      </c>
      <c r="Q246" s="11">
        <v>1146</v>
      </c>
      <c r="R246" s="85">
        <v>1.1753846153846155</v>
      </c>
      <c r="S246" s="29" t="s">
        <v>2719</v>
      </c>
      <c r="T246" s="29" t="s">
        <v>2719</v>
      </c>
    </row>
    <row r="247">
      <c r="B247" s="29" t="s">
        <v>1217</v>
      </c>
      <c r="C247" s="29" t="s">
        <v>1245</v>
      </c>
      <c r="D247" s="8" t="s">
        <v>1260</v>
      </c>
      <c r="E247" s="10" t="s">
        <v>1558</v>
      </c>
      <c r="F247" s="10">
        <v>1</v>
      </c>
      <c r="G247" s="10">
        <v>2</v>
      </c>
      <c r="H247" s="10">
        <v>1</v>
      </c>
      <c r="I247" s="10"/>
      <c r="J247" s="10">
        <v>975</v>
      </c>
      <c r="K247" s="104">
        <v>45115</v>
      </c>
      <c r="L247" s="104">
        <v>45179</v>
      </c>
      <c r="M247" s="10" t="b">
        <v>0</v>
      </c>
      <c r="N247" s="10">
        <v>65</v>
      </c>
      <c r="O247" s="11">
        <v>1280</v>
      </c>
      <c r="P247" s="85">
        <v>1.3128205128205128</v>
      </c>
      <c r="Q247" s="11">
        <v>1280</v>
      </c>
      <c r="R247" s="85">
        <v>1.3128205128205128</v>
      </c>
      <c r="S247" s="29" t="s">
        <v>2719</v>
      </c>
      <c r="T247" s="29" t="s">
        <v>2719</v>
      </c>
    </row>
    <row r="248">
      <c r="B248" s="29" t="s">
        <v>1217</v>
      </c>
      <c r="C248" s="29" t="s">
        <v>1245</v>
      </c>
      <c r="D248" s="8" t="s">
        <v>1260</v>
      </c>
      <c r="E248" s="10" t="s">
        <v>1559</v>
      </c>
      <c r="F248" s="10">
        <v>1</v>
      </c>
      <c r="G248" s="10">
        <v>2</v>
      </c>
      <c r="H248" s="10">
        <v>1</v>
      </c>
      <c r="I248" s="10"/>
      <c r="J248" s="10">
        <v>975</v>
      </c>
      <c r="K248" s="104"/>
      <c r="L248" s="104">
        <v>45172</v>
      </c>
      <c r="M248" s="10" t="b">
        <v>0</v>
      </c>
      <c r="N248" s="10"/>
      <c r="O248" s="11">
        <v>1285</v>
      </c>
      <c r="P248" s="85">
        <v>1.317948717948718</v>
      </c>
      <c r="Q248" s="11">
        <v>1178</v>
      </c>
      <c r="R248" s="85">
        <v>1.2082051282051283</v>
      </c>
      <c r="S248" s="29" t="s">
        <v>2719</v>
      </c>
      <c r="T248" s="29" t="s">
        <v>2719</v>
      </c>
    </row>
    <row r="249">
      <c r="B249" s="29" t="s">
        <v>1217</v>
      </c>
      <c r="C249" s="29" t="s">
        <v>1245</v>
      </c>
      <c r="D249" s="8" t="s">
        <v>1259</v>
      </c>
      <c r="E249" s="10" t="s">
        <v>1560</v>
      </c>
      <c r="F249" s="10">
        <v>1</v>
      </c>
      <c r="G249" s="10">
        <v>2</v>
      </c>
      <c r="H249" s="10">
        <v>1</v>
      </c>
      <c r="I249" s="10"/>
      <c r="J249" s="10">
        <v>975</v>
      </c>
      <c r="K249" s="104">
        <v>45295</v>
      </c>
      <c r="L249" s="104">
        <v>45342</v>
      </c>
      <c r="M249" s="10" t="b">
        <v>0</v>
      </c>
      <c r="N249" s="10">
        <v>48</v>
      </c>
      <c r="O249" s="11">
        <v>1290</v>
      </c>
      <c r="P249" s="85">
        <v>1.323076923076923</v>
      </c>
      <c r="Q249" s="11">
        <v>1207</v>
      </c>
      <c r="R249" s="85">
        <v>1.2379487179487179</v>
      </c>
      <c r="S249" s="29" t="s">
        <v>2719</v>
      </c>
      <c r="T249" s="29" t="s">
        <v>2719</v>
      </c>
    </row>
    <row r="250">
      <c r="B250" s="29" t="s">
        <v>1217</v>
      </c>
      <c r="C250" s="29" t="s">
        <v>1245</v>
      </c>
      <c r="D250" s="8" t="s">
        <v>1259</v>
      </c>
      <c r="E250" s="10" t="s">
        <v>1561</v>
      </c>
      <c r="F250" s="10">
        <v>2</v>
      </c>
      <c r="G250" s="10">
        <v>2</v>
      </c>
      <c r="H250" s="10">
        <v>1</v>
      </c>
      <c r="I250" s="10"/>
      <c r="J250" s="10">
        <v>975</v>
      </c>
      <c r="K250" s="104">
        <v>45303</v>
      </c>
      <c r="L250" s="104">
        <v>45343</v>
      </c>
      <c r="M250" s="10" t="b">
        <v>0</v>
      </c>
      <c r="N250" s="10">
        <v>41</v>
      </c>
      <c r="O250" s="11">
        <v>1335</v>
      </c>
      <c r="P250" s="85">
        <v>1.3692307692307693</v>
      </c>
      <c r="Q250" s="11">
        <v>1252</v>
      </c>
      <c r="R250" s="85">
        <v>1.284102564102564</v>
      </c>
      <c r="S250" s="29" t="s">
        <v>2719</v>
      </c>
      <c r="T250" s="29" t="s">
        <v>2719</v>
      </c>
    </row>
    <row r="251">
      <c r="B251" s="29" t="s">
        <v>1217</v>
      </c>
      <c r="C251" s="29" t="s">
        <v>1245</v>
      </c>
      <c r="D251" s="8" t="s">
        <v>1260</v>
      </c>
      <c r="E251" s="10" t="s">
        <v>1562</v>
      </c>
      <c r="F251" s="10">
        <v>2</v>
      </c>
      <c r="G251" s="10">
        <v>2</v>
      </c>
      <c r="H251" s="10">
        <v>1</v>
      </c>
      <c r="I251" s="10"/>
      <c r="J251" s="10">
        <v>975</v>
      </c>
      <c r="K251" s="104"/>
      <c r="L251" s="104">
        <v>45100</v>
      </c>
      <c r="M251" s="10" t="b">
        <v>0</v>
      </c>
      <c r="N251" s="10"/>
      <c r="O251" s="11">
        <v>1340</v>
      </c>
      <c r="P251" s="85">
        <v>1.3743589743589744</v>
      </c>
      <c r="Q251" s="11">
        <v>1340</v>
      </c>
      <c r="R251" s="85">
        <v>1.3743589743589744</v>
      </c>
      <c r="S251" s="29" t="s">
        <v>2719</v>
      </c>
      <c r="T251" s="29" t="s">
        <v>2719</v>
      </c>
    </row>
    <row r="252">
      <c r="B252" s="29" t="s">
        <v>1217</v>
      </c>
      <c r="C252" s="29" t="s">
        <v>1245</v>
      </c>
      <c r="D252" s="8" t="s">
        <v>1260</v>
      </c>
      <c r="E252" s="10" t="s">
        <v>1563</v>
      </c>
      <c r="F252" s="10">
        <v>2</v>
      </c>
      <c r="G252" s="10">
        <v>2</v>
      </c>
      <c r="H252" s="10">
        <v>1</v>
      </c>
      <c r="I252" s="10"/>
      <c r="J252" s="10">
        <v>975</v>
      </c>
      <c r="K252" s="104"/>
      <c r="L252" s="104">
        <v>45121</v>
      </c>
      <c r="M252" s="10" t="b">
        <v>0</v>
      </c>
      <c r="N252" s="10"/>
      <c r="O252" s="11">
        <v>1340</v>
      </c>
      <c r="P252" s="85">
        <v>1.3743589743589744</v>
      </c>
      <c r="Q252" s="11">
        <v>1228</v>
      </c>
      <c r="R252" s="85">
        <v>1.2594871794871796</v>
      </c>
      <c r="S252" s="29" t="s">
        <v>2719</v>
      </c>
      <c r="T252" s="29" t="s">
        <v>2719</v>
      </c>
    </row>
    <row r="253">
      <c r="B253" s="29" t="s">
        <v>1217</v>
      </c>
      <c r="C253" s="29" t="s">
        <v>1245</v>
      </c>
      <c r="D253" s="8" t="s">
        <v>1260</v>
      </c>
      <c r="E253" s="10" t="s">
        <v>1564</v>
      </c>
      <c r="F253" s="10">
        <v>2</v>
      </c>
      <c r="G253" s="10">
        <v>2</v>
      </c>
      <c r="H253" s="10">
        <v>1</v>
      </c>
      <c r="I253" s="10"/>
      <c r="J253" s="10">
        <v>975</v>
      </c>
      <c r="K253" s="104"/>
      <c r="L253" s="104">
        <v>45104</v>
      </c>
      <c r="M253" s="10" t="b">
        <v>0</v>
      </c>
      <c r="N253" s="10"/>
      <c r="O253" s="11">
        <v>1345</v>
      </c>
      <c r="P253" s="85">
        <v>1.3794871794871795</v>
      </c>
      <c r="Q253" s="11">
        <v>1345</v>
      </c>
      <c r="R253" s="85">
        <v>1.3794871794871795</v>
      </c>
      <c r="S253" s="29" t="s">
        <v>2719</v>
      </c>
      <c r="T253" s="29" t="s">
        <v>2719</v>
      </c>
    </row>
    <row r="254">
      <c r="B254" s="29" t="s">
        <v>1217</v>
      </c>
      <c r="C254" s="29" t="s">
        <v>1245</v>
      </c>
      <c r="D254" s="8" t="s">
        <v>1260</v>
      </c>
      <c r="E254" s="10" t="s">
        <v>1565</v>
      </c>
      <c r="F254" s="10">
        <v>2</v>
      </c>
      <c r="G254" s="10">
        <v>2</v>
      </c>
      <c r="H254" s="10">
        <v>1</v>
      </c>
      <c r="I254" s="10"/>
      <c r="J254" s="10">
        <v>975</v>
      </c>
      <c r="K254" s="104"/>
      <c r="L254" s="104">
        <v>45118</v>
      </c>
      <c r="M254" s="10" t="b">
        <v>0</v>
      </c>
      <c r="N254" s="10"/>
      <c r="O254" s="11">
        <v>1345</v>
      </c>
      <c r="P254" s="85">
        <v>1.3794871794871795</v>
      </c>
      <c r="Q254" s="11">
        <v>1233</v>
      </c>
      <c r="R254" s="85">
        <v>1.2646153846153847</v>
      </c>
      <c r="S254" s="29" t="s">
        <v>2719</v>
      </c>
      <c r="T254" s="29" t="s">
        <v>2719</v>
      </c>
    </row>
    <row r="255">
      <c r="B255" s="29" t="s">
        <v>1217</v>
      </c>
      <c r="C255" s="29" t="s">
        <v>1245</v>
      </c>
      <c r="D255" s="8" t="s">
        <v>1260</v>
      </c>
      <c r="E255" s="10" t="s">
        <v>1566</v>
      </c>
      <c r="F255" s="10">
        <v>2</v>
      </c>
      <c r="G255" s="10">
        <v>2</v>
      </c>
      <c r="H255" s="10">
        <v>1</v>
      </c>
      <c r="I255" s="10"/>
      <c r="J255" s="10">
        <v>975</v>
      </c>
      <c r="K255" s="104"/>
      <c r="L255" s="104">
        <v>45115</v>
      </c>
      <c r="M255" s="10" t="b">
        <v>0</v>
      </c>
      <c r="N255" s="10"/>
      <c r="O255" s="11">
        <v>1345</v>
      </c>
      <c r="P255" s="85">
        <v>1.3794871794871795</v>
      </c>
      <c r="Q255" s="11">
        <v>1345</v>
      </c>
      <c r="R255" s="85">
        <v>1.3794871794871795</v>
      </c>
      <c r="S255" s="29" t="s">
        <v>2719</v>
      </c>
      <c r="T255" s="29" t="s">
        <v>2719</v>
      </c>
    </row>
    <row r="256">
      <c r="B256" s="29" t="s">
        <v>1217</v>
      </c>
      <c r="C256" s="29" t="s">
        <v>1245</v>
      </c>
      <c r="D256" s="8" t="s">
        <v>1260</v>
      </c>
      <c r="E256" s="10" t="s">
        <v>1567</v>
      </c>
      <c r="F256" s="10">
        <v>1</v>
      </c>
      <c r="G256" s="10">
        <v>2</v>
      </c>
      <c r="H256" s="10">
        <v>1</v>
      </c>
      <c r="I256" s="10"/>
      <c r="J256" s="10">
        <v>975</v>
      </c>
      <c r="K256" s="104">
        <v>45126</v>
      </c>
      <c r="L256" s="104">
        <v>45184</v>
      </c>
      <c r="M256" s="10" t="b">
        <v>0</v>
      </c>
      <c r="N256" s="10">
        <v>59</v>
      </c>
      <c r="O256" s="11">
        <v>1350</v>
      </c>
      <c r="P256" s="85">
        <v>1.3846153846153846</v>
      </c>
      <c r="Q256" s="11">
        <v>1238</v>
      </c>
      <c r="R256" s="85">
        <v>1.2697435897435898</v>
      </c>
      <c r="S256" s="29" t="s">
        <v>2719</v>
      </c>
      <c r="T256" s="29" t="s">
        <v>2719</v>
      </c>
    </row>
    <row r="257">
      <c r="B257" s="29" t="s">
        <v>1217</v>
      </c>
      <c r="C257" s="29" t="s">
        <v>1245</v>
      </c>
      <c r="D257" s="8" t="s">
        <v>1259</v>
      </c>
      <c r="E257" s="10" t="s">
        <v>1568</v>
      </c>
      <c r="F257" s="10">
        <v>1</v>
      </c>
      <c r="G257" s="10">
        <v>2</v>
      </c>
      <c r="H257" s="10">
        <v>1</v>
      </c>
      <c r="I257" s="10"/>
      <c r="J257" s="10">
        <v>975</v>
      </c>
      <c r="K257" s="104">
        <v>45211</v>
      </c>
      <c r="L257" s="104">
        <v>45343</v>
      </c>
      <c r="M257" s="10" t="b">
        <v>0</v>
      </c>
      <c r="N257" s="10">
        <v>133</v>
      </c>
      <c r="O257" s="11">
        <v>1350</v>
      </c>
      <c r="P257" s="85">
        <v>1.3846153846153846</v>
      </c>
      <c r="Q257" s="11">
        <v>1267</v>
      </c>
      <c r="R257" s="85">
        <v>1.2994871794871794</v>
      </c>
      <c r="S257" s="29" t="s">
        <v>2719</v>
      </c>
      <c r="T257" s="29" t="s">
        <v>2719</v>
      </c>
    </row>
    <row r="258">
      <c r="B258" s="29" t="s">
        <v>1217</v>
      </c>
      <c r="C258" s="29" t="s">
        <v>1245</v>
      </c>
      <c r="D258" s="8" t="s">
        <v>1260</v>
      </c>
      <c r="E258" s="10" t="s">
        <v>1569</v>
      </c>
      <c r="F258" s="10">
        <v>1</v>
      </c>
      <c r="G258" s="10">
        <v>2</v>
      </c>
      <c r="H258" s="10">
        <v>1</v>
      </c>
      <c r="I258" s="10"/>
      <c r="J258" s="10">
        <v>975</v>
      </c>
      <c r="K258" s="104">
        <v>45202</v>
      </c>
      <c r="L258" s="104">
        <v>45203</v>
      </c>
      <c r="M258" s="10" t="b">
        <v>0</v>
      </c>
      <c r="N258" s="10">
        <v>2</v>
      </c>
      <c r="O258" s="11">
        <v>1350</v>
      </c>
      <c r="P258" s="85">
        <v>1.3846153846153846</v>
      </c>
      <c r="Q258" s="11">
        <v>1238</v>
      </c>
      <c r="R258" s="85">
        <v>1.2697435897435898</v>
      </c>
      <c r="S258" s="29" t="s">
        <v>2719</v>
      </c>
      <c r="T258" s="29" t="s">
        <v>2719</v>
      </c>
    </row>
    <row r="259">
      <c r="B259" s="29" t="s">
        <v>1217</v>
      </c>
      <c r="C259" s="29" t="s">
        <v>1245</v>
      </c>
      <c r="D259" s="8" t="s">
        <v>1261</v>
      </c>
      <c r="E259" s="10" t="s">
        <v>1570</v>
      </c>
      <c r="F259" s="10">
        <v>2</v>
      </c>
      <c r="G259" s="10">
        <v>2</v>
      </c>
      <c r="H259" s="10">
        <v>1</v>
      </c>
      <c r="I259" s="10"/>
      <c r="J259" s="10">
        <v>975</v>
      </c>
      <c r="K259" s="104">
        <v>45266</v>
      </c>
      <c r="L259" s="104">
        <v>45321</v>
      </c>
      <c r="M259" s="10" t="b">
        <v>0</v>
      </c>
      <c r="N259" s="10">
        <v>56</v>
      </c>
      <c r="O259" s="11">
        <v>1350</v>
      </c>
      <c r="P259" s="85">
        <v>1.3846153846153846</v>
      </c>
      <c r="Q259" s="11">
        <v>1350</v>
      </c>
      <c r="R259" s="85">
        <v>1.3846153846153846</v>
      </c>
      <c r="S259" s="29" t="s">
        <v>2719</v>
      </c>
      <c r="T259" s="29" t="s">
        <v>2719</v>
      </c>
    </row>
    <row r="260">
      <c r="B260" s="29" t="s">
        <v>1217</v>
      </c>
      <c r="C260" s="29" t="s">
        <v>1245</v>
      </c>
      <c r="D260" s="8" t="s">
        <v>1260</v>
      </c>
      <c r="E260" s="10" t="s">
        <v>1571</v>
      </c>
      <c r="F260" s="10">
        <v>2</v>
      </c>
      <c r="G260" s="10">
        <v>2</v>
      </c>
      <c r="H260" s="10">
        <v>1</v>
      </c>
      <c r="I260" s="10"/>
      <c r="J260" s="10">
        <v>975</v>
      </c>
      <c r="K260" s="104"/>
      <c r="L260" s="104">
        <v>45101</v>
      </c>
      <c r="M260" s="10" t="b">
        <v>0</v>
      </c>
      <c r="N260" s="10"/>
      <c r="O260" s="11">
        <v>1370</v>
      </c>
      <c r="P260" s="85">
        <v>1.405128205128205</v>
      </c>
      <c r="Q260" s="11">
        <v>1370</v>
      </c>
      <c r="R260" s="85">
        <v>1.405128205128205</v>
      </c>
      <c r="S260" s="29" t="s">
        <v>2719</v>
      </c>
      <c r="T260" s="29" t="s">
        <v>2719</v>
      </c>
    </row>
    <row r="261">
      <c r="B261" s="29" t="s">
        <v>1217</v>
      </c>
      <c r="C261" s="29" t="s">
        <v>1245</v>
      </c>
      <c r="D261" s="8" t="s">
        <v>1259</v>
      </c>
      <c r="E261" s="10" t="s">
        <v>1572</v>
      </c>
      <c r="F261" s="10">
        <v>1</v>
      </c>
      <c r="G261" s="10">
        <v>2</v>
      </c>
      <c r="H261" s="10">
        <v>1</v>
      </c>
      <c r="I261" s="10"/>
      <c r="J261" s="10">
        <v>975</v>
      </c>
      <c r="K261" s="104">
        <v>45184</v>
      </c>
      <c r="L261" s="104">
        <v>45362</v>
      </c>
      <c r="M261" s="10" t="b">
        <v>0</v>
      </c>
      <c r="N261" s="10">
        <v>179</v>
      </c>
      <c r="O261" s="11">
        <v>1380</v>
      </c>
      <c r="P261" s="85">
        <v>1.4153846153846155</v>
      </c>
      <c r="Q261" s="11">
        <v>1380</v>
      </c>
      <c r="R261" s="85">
        <v>1.4153846153846155</v>
      </c>
      <c r="S261" s="29" t="s">
        <v>2719</v>
      </c>
      <c r="T261" s="29" t="s">
        <v>2719</v>
      </c>
    </row>
    <row r="262">
      <c r="B262" s="29" t="s">
        <v>1217</v>
      </c>
      <c r="C262" s="29" t="s">
        <v>1245</v>
      </c>
      <c r="D262" s="8" t="s">
        <v>1261</v>
      </c>
      <c r="E262" s="10" t="s">
        <v>1573</v>
      </c>
      <c r="F262" s="10">
        <v>2</v>
      </c>
      <c r="G262" s="10">
        <v>2</v>
      </c>
      <c r="H262" s="10">
        <v>1</v>
      </c>
      <c r="I262" s="10"/>
      <c r="J262" s="10">
        <v>975</v>
      </c>
      <c r="K262" s="104"/>
      <c r="L262" s="104">
        <v>45215</v>
      </c>
      <c r="M262" s="10" t="b">
        <v>0</v>
      </c>
      <c r="N262" s="10"/>
      <c r="O262" s="11">
        <v>1380</v>
      </c>
      <c r="P262" s="85">
        <v>1.4153846153846155</v>
      </c>
      <c r="Q262" s="11">
        <v>1380</v>
      </c>
      <c r="R262" s="85">
        <v>1.4153846153846155</v>
      </c>
      <c r="S262" s="29" t="s">
        <v>2719</v>
      </c>
      <c r="T262" s="29" t="s">
        <v>2719</v>
      </c>
    </row>
    <row r="263">
      <c r="B263" s="29" t="s">
        <v>1217</v>
      </c>
      <c r="C263" s="29" t="s">
        <v>1245</v>
      </c>
      <c r="D263" s="8" t="s">
        <v>1259</v>
      </c>
      <c r="E263" s="10" t="s">
        <v>1574</v>
      </c>
      <c r="F263" s="10">
        <v>1</v>
      </c>
      <c r="G263" s="10">
        <v>2</v>
      </c>
      <c r="H263" s="10">
        <v>1</v>
      </c>
      <c r="I263" s="10"/>
      <c r="J263" s="10">
        <v>975</v>
      </c>
      <c r="K263" s="104"/>
      <c r="L263" s="104">
        <v>45338</v>
      </c>
      <c r="M263" s="10" t="b">
        <v>0</v>
      </c>
      <c r="N263" s="10"/>
      <c r="O263" s="11">
        <v>1390</v>
      </c>
      <c r="P263" s="85">
        <v>1.4256410256410257</v>
      </c>
      <c r="Q263" s="11">
        <v>1307</v>
      </c>
      <c r="R263" s="85">
        <v>1.3405128205128205</v>
      </c>
      <c r="S263" s="29" t="s">
        <v>2719</v>
      </c>
      <c r="T263" s="29" t="s">
        <v>2719</v>
      </c>
    </row>
    <row r="264">
      <c r="B264" s="29" t="s">
        <v>1217</v>
      </c>
      <c r="C264" s="29" t="s">
        <v>1245</v>
      </c>
      <c r="D264" s="8" t="s">
        <v>1261</v>
      </c>
      <c r="E264" s="10" t="s">
        <v>1575</v>
      </c>
      <c r="F264" s="10">
        <v>1</v>
      </c>
      <c r="G264" s="10">
        <v>2</v>
      </c>
      <c r="H264" s="10">
        <v>1</v>
      </c>
      <c r="I264" s="10"/>
      <c r="J264" s="10">
        <v>975</v>
      </c>
      <c r="K264" s="104">
        <v>45198</v>
      </c>
      <c r="L264" s="104">
        <v>45217</v>
      </c>
      <c r="M264" s="10" t="b">
        <v>0</v>
      </c>
      <c r="N264" s="10">
        <v>20</v>
      </c>
      <c r="O264" s="11">
        <v>1390</v>
      </c>
      <c r="P264" s="85">
        <v>1.4256410256410257</v>
      </c>
      <c r="Q264" s="11">
        <v>1390</v>
      </c>
      <c r="R264" s="85">
        <v>1.4256410256410257</v>
      </c>
      <c r="S264" s="29" t="s">
        <v>2719</v>
      </c>
      <c r="T264" s="29" t="s">
        <v>2719</v>
      </c>
    </row>
    <row r="265">
      <c r="B265" s="29" t="s">
        <v>1217</v>
      </c>
      <c r="C265" s="29" t="s">
        <v>1245</v>
      </c>
      <c r="D265" s="8" t="s">
        <v>1260</v>
      </c>
      <c r="E265" s="10" t="s">
        <v>1576</v>
      </c>
      <c r="F265" s="10">
        <v>1</v>
      </c>
      <c r="G265" s="10">
        <v>2</v>
      </c>
      <c r="H265" s="10">
        <v>1</v>
      </c>
      <c r="I265" s="10"/>
      <c r="J265" s="10">
        <v>975</v>
      </c>
      <c r="K265" s="104"/>
      <c r="L265" s="104">
        <v>45161</v>
      </c>
      <c r="M265" s="10" t="b">
        <v>0</v>
      </c>
      <c r="N265" s="10"/>
      <c r="O265" s="11">
        <v>1406</v>
      </c>
      <c r="P265" s="85">
        <v>1.442051282051282</v>
      </c>
      <c r="Q265" s="11">
        <v>1406</v>
      </c>
      <c r="R265" s="85">
        <v>1.442051282051282</v>
      </c>
      <c r="S265" s="29" t="s">
        <v>2719</v>
      </c>
      <c r="T265" s="29" t="s">
        <v>2719</v>
      </c>
    </row>
    <row r="266">
      <c r="B266" s="29" t="s">
        <v>1217</v>
      </c>
      <c r="C266" s="29" t="s">
        <v>1245</v>
      </c>
      <c r="D266" s="8" t="s">
        <v>1261</v>
      </c>
      <c r="E266" s="10" t="s">
        <v>1577</v>
      </c>
      <c r="F266" s="10">
        <v>1</v>
      </c>
      <c r="G266" s="10">
        <v>2</v>
      </c>
      <c r="H266" s="10">
        <v>1</v>
      </c>
      <c r="I266" s="10"/>
      <c r="J266" s="10">
        <v>975</v>
      </c>
      <c r="K266" s="104">
        <v>45175</v>
      </c>
      <c r="L266" s="104">
        <v>45260</v>
      </c>
      <c r="M266" s="10" t="b">
        <v>0</v>
      </c>
      <c r="N266" s="10">
        <v>86</v>
      </c>
      <c r="O266" s="11">
        <v>1410</v>
      </c>
      <c r="P266" s="85">
        <v>1.4461538461538461</v>
      </c>
      <c r="Q266" s="11">
        <v>1410</v>
      </c>
      <c r="R266" s="85">
        <v>1.4461538461538461</v>
      </c>
      <c r="S266" s="29" t="s">
        <v>2719</v>
      </c>
      <c r="T266" s="29" t="s">
        <v>2719</v>
      </c>
    </row>
    <row r="267">
      <c r="B267" s="29" t="s">
        <v>1217</v>
      </c>
      <c r="C267" s="29" t="s">
        <v>1245</v>
      </c>
      <c r="D267" s="8" t="s">
        <v>1260</v>
      </c>
      <c r="E267" s="10" t="s">
        <v>1578</v>
      </c>
      <c r="F267" s="10">
        <v>1</v>
      </c>
      <c r="G267" s="10">
        <v>2</v>
      </c>
      <c r="H267" s="10">
        <v>1</v>
      </c>
      <c r="I267" s="10"/>
      <c r="J267" s="10">
        <v>975</v>
      </c>
      <c r="K267" s="104"/>
      <c r="L267" s="104">
        <v>45163</v>
      </c>
      <c r="M267" s="10" t="b">
        <v>0</v>
      </c>
      <c r="N267" s="10"/>
      <c r="O267" s="11">
        <v>1425</v>
      </c>
      <c r="P267" s="85">
        <v>1.4615384615384615</v>
      </c>
      <c r="Q267" s="11">
        <v>1306</v>
      </c>
      <c r="R267" s="85">
        <v>1.3394871794871794</v>
      </c>
      <c r="S267" s="29" t="s">
        <v>2719</v>
      </c>
      <c r="T267" s="29" t="s">
        <v>2719</v>
      </c>
    </row>
    <row r="268">
      <c r="B268" s="29" t="s">
        <v>1217</v>
      </c>
      <c r="C268" s="29" t="s">
        <v>1245</v>
      </c>
      <c r="D268" s="8" t="s">
        <v>1260</v>
      </c>
      <c r="E268" s="10" t="s">
        <v>1579</v>
      </c>
      <c r="F268" s="10">
        <v>1</v>
      </c>
      <c r="G268" s="10">
        <v>2</v>
      </c>
      <c r="H268" s="10">
        <v>1</v>
      </c>
      <c r="I268" s="10"/>
      <c r="J268" s="10">
        <v>975</v>
      </c>
      <c r="K268" s="104"/>
      <c r="L268" s="104">
        <v>45097</v>
      </c>
      <c r="M268" s="10" t="b">
        <v>0</v>
      </c>
      <c r="N268" s="10"/>
      <c r="O268" s="11">
        <v>1430</v>
      </c>
      <c r="P268" s="85">
        <v>1.4666666666666666</v>
      </c>
      <c r="Q268" s="11">
        <v>1430</v>
      </c>
      <c r="R268" s="85">
        <v>1.4666666666666666</v>
      </c>
      <c r="S268" s="29" t="s">
        <v>2719</v>
      </c>
      <c r="T268" s="29" t="s">
        <v>2719</v>
      </c>
    </row>
    <row r="269">
      <c r="B269" s="29" t="s">
        <v>1217</v>
      </c>
      <c r="C269" s="29" t="s">
        <v>1245</v>
      </c>
      <c r="D269" s="8" t="s">
        <v>1259</v>
      </c>
      <c r="E269" s="10" t="s">
        <v>1580</v>
      </c>
      <c r="F269" s="10">
        <v>2</v>
      </c>
      <c r="G269" s="10">
        <v>2</v>
      </c>
      <c r="H269" s="10">
        <v>1</v>
      </c>
      <c r="I269" s="10"/>
      <c r="J269" s="10">
        <v>975</v>
      </c>
      <c r="K269" s="104">
        <v>45372</v>
      </c>
      <c r="L269" s="104">
        <v>45403</v>
      </c>
      <c r="M269" s="10" t="b">
        <v>0</v>
      </c>
      <c r="N269" s="10">
        <v>32</v>
      </c>
      <c r="O269" s="11">
        <v>1446</v>
      </c>
      <c r="P269" s="85">
        <v>1.4830769230769232</v>
      </c>
      <c r="Q269" s="11">
        <v>1446</v>
      </c>
      <c r="R269" s="85">
        <v>1.4830769230769232</v>
      </c>
      <c r="S269" s="29" t="s">
        <v>2719</v>
      </c>
      <c r="T269" s="29" t="s">
        <v>2719</v>
      </c>
    </row>
    <row r="270">
      <c r="B270" s="29" t="s">
        <v>1217</v>
      </c>
      <c r="C270" s="29" t="s">
        <v>1245</v>
      </c>
      <c r="D270" s="8" t="s">
        <v>1259</v>
      </c>
      <c r="E270" s="10" t="s">
        <v>1581</v>
      </c>
      <c r="F270" s="10">
        <v>2</v>
      </c>
      <c r="G270" s="10">
        <v>2</v>
      </c>
      <c r="H270" s="10">
        <v>1</v>
      </c>
      <c r="I270" s="10"/>
      <c r="J270" s="10">
        <v>975</v>
      </c>
      <c r="K270" s="104">
        <v>45184</v>
      </c>
      <c r="L270" s="104">
        <v>45379</v>
      </c>
      <c r="M270" s="10" t="b">
        <v>0</v>
      </c>
      <c r="N270" s="10">
        <v>196</v>
      </c>
      <c r="O270" s="11">
        <v>1446</v>
      </c>
      <c r="P270" s="85">
        <v>1.4830769230769232</v>
      </c>
      <c r="Q270" s="11">
        <v>1363</v>
      </c>
      <c r="R270" s="85">
        <v>1.397948717948718</v>
      </c>
      <c r="S270" s="29" t="s">
        <v>2719</v>
      </c>
      <c r="T270" s="29" t="s">
        <v>2719</v>
      </c>
    </row>
    <row r="271">
      <c r="B271" s="29" t="s">
        <v>1217</v>
      </c>
      <c r="C271" s="29" t="s">
        <v>1245</v>
      </c>
      <c r="D271" s="8" t="s">
        <v>1259</v>
      </c>
      <c r="E271" s="10" t="s">
        <v>1582</v>
      </c>
      <c r="F271" s="10">
        <v>1</v>
      </c>
      <c r="G271" s="10">
        <v>2</v>
      </c>
      <c r="H271" s="10">
        <v>1</v>
      </c>
      <c r="I271" s="10"/>
      <c r="J271" s="10">
        <v>975</v>
      </c>
      <c r="K271" s="104">
        <v>45141</v>
      </c>
      <c r="L271" s="104">
        <v>45376</v>
      </c>
      <c r="M271" s="10" t="b">
        <v>0</v>
      </c>
      <c r="N271" s="10">
        <v>236</v>
      </c>
      <c r="O271" s="11">
        <v>1451</v>
      </c>
      <c r="P271" s="85">
        <v>1.4882051282051283</v>
      </c>
      <c r="Q271" s="11">
        <v>1368</v>
      </c>
      <c r="R271" s="85">
        <v>1.403076923076923</v>
      </c>
      <c r="S271" s="29" t="s">
        <v>2719</v>
      </c>
      <c r="T271" s="29" t="s">
        <v>2719</v>
      </c>
    </row>
    <row r="272">
      <c r="B272" s="29" t="s">
        <v>1217</v>
      </c>
      <c r="C272" s="29" t="s">
        <v>1245</v>
      </c>
      <c r="D272" s="8" t="s">
        <v>1261</v>
      </c>
      <c r="E272" s="10" t="s">
        <v>1583</v>
      </c>
      <c r="F272" s="10">
        <v>2</v>
      </c>
      <c r="G272" s="10">
        <v>2</v>
      </c>
      <c r="H272" s="10">
        <v>1</v>
      </c>
      <c r="I272" s="10"/>
      <c r="J272" s="10">
        <v>975</v>
      </c>
      <c r="K272" s="104">
        <v>45119</v>
      </c>
      <c r="L272" s="104">
        <v>45239</v>
      </c>
      <c r="M272" s="10" t="b">
        <v>0</v>
      </c>
      <c r="N272" s="10">
        <v>121</v>
      </c>
      <c r="O272" s="11">
        <v>1460</v>
      </c>
      <c r="P272" s="85">
        <v>1.4974358974358974</v>
      </c>
      <c r="Q272" s="11">
        <v>1460</v>
      </c>
      <c r="R272" s="85">
        <v>1.4974358974358974</v>
      </c>
      <c r="S272" s="29" t="s">
        <v>2719</v>
      </c>
      <c r="T272" s="29" t="s">
        <v>2719</v>
      </c>
    </row>
    <row r="273">
      <c r="B273" s="29" t="s">
        <v>1217</v>
      </c>
      <c r="C273" s="29" t="s">
        <v>1245</v>
      </c>
      <c r="D273" s="8" t="s">
        <v>1259</v>
      </c>
      <c r="E273" s="10" t="s">
        <v>1584</v>
      </c>
      <c r="F273" s="10">
        <v>2</v>
      </c>
      <c r="G273" s="10">
        <v>2</v>
      </c>
      <c r="H273" s="10">
        <v>1</v>
      </c>
      <c r="I273" s="10"/>
      <c r="J273" s="10">
        <v>975</v>
      </c>
      <c r="K273" s="104">
        <v>45280</v>
      </c>
      <c r="L273" s="104">
        <v>45351</v>
      </c>
      <c r="M273" s="10" t="b">
        <v>0</v>
      </c>
      <c r="N273" s="10">
        <v>72</v>
      </c>
      <c r="O273" s="11">
        <v>1475</v>
      </c>
      <c r="P273" s="85">
        <v>1.5128205128205128</v>
      </c>
      <c r="Q273" s="11">
        <v>1475</v>
      </c>
      <c r="R273" s="85">
        <v>1.5128205128205128</v>
      </c>
      <c r="S273" s="29" t="s">
        <v>2719</v>
      </c>
      <c r="T273" s="29" t="s">
        <v>2719</v>
      </c>
    </row>
    <row r="274">
      <c r="B274" s="29" t="s">
        <v>1217</v>
      </c>
      <c r="C274" s="29" t="s">
        <v>1245</v>
      </c>
      <c r="D274" s="8" t="s">
        <v>1260</v>
      </c>
      <c r="E274" s="10" t="s">
        <v>1585</v>
      </c>
      <c r="F274" s="10">
        <v>1</v>
      </c>
      <c r="G274" s="10">
        <v>2</v>
      </c>
      <c r="H274" s="10">
        <v>1</v>
      </c>
      <c r="I274" s="10"/>
      <c r="J274" s="10">
        <v>975</v>
      </c>
      <c r="K274" s="104"/>
      <c r="L274" s="104">
        <v>45163</v>
      </c>
      <c r="M274" s="10" t="b">
        <v>0</v>
      </c>
      <c r="N274" s="10"/>
      <c r="O274" s="11">
        <v>1484</v>
      </c>
      <c r="P274" s="85">
        <v>1.5220512820512822</v>
      </c>
      <c r="Q274" s="11">
        <v>1360</v>
      </c>
      <c r="R274" s="85">
        <v>1.3948717948717948</v>
      </c>
      <c r="S274" s="29" t="s">
        <v>2719</v>
      </c>
      <c r="T274" s="29" t="s">
        <v>2719</v>
      </c>
    </row>
    <row r="275">
      <c r="B275" s="29" t="s">
        <v>1217</v>
      </c>
      <c r="C275" s="29" t="s">
        <v>1245</v>
      </c>
      <c r="D275" s="8" t="s">
        <v>1260</v>
      </c>
      <c r="E275" s="10" t="s">
        <v>1586</v>
      </c>
      <c r="F275" s="10">
        <v>2</v>
      </c>
      <c r="G275" s="10">
        <v>2</v>
      </c>
      <c r="H275" s="10">
        <v>1</v>
      </c>
      <c r="I275" s="10"/>
      <c r="J275" s="10">
        <v>975</v>
      </c>
      <c r="K275" s="104"/>
      <c r="L275" s="104">
        <v>45154</v>
      </c>
      <c r="M275" s="10" t="b">
        <v>0</v>
      </c>
      <c r="N275" s="10"/>
      <c r="O275" s="11">
        <v>1485</v>
      </c>
      <c r="P275" s="85">
        <v>1.523076923076923</v>
      </c>
      <c r="Q275" s="11">
        <v>1361</v>
      </c>
      <c r="R275" s="85">
        <v>1.3958974358974359</v>
      </c>
      <c r="S275" s="29" t="s">
        <v>2719</v>
      </c>
      <c r="T275" s="29" t="s">
        <v>2719</v>
      </c>
    </row>
    <row r="276">
      <c r="B276" s="29" t="s">
        <v>1217</v>
      </c>
      <c r="C276" s="29" t="s">
        <v>1245</v>
      </c>
      <c r="D276" s="8" t="s">
        <v>1259</v>
      </c>
      <c r="E276" s="10" t="s">
        <v>1587</v>
      </c>
      <c r="F276" s="10">
        <v>1</v>
      </c>
      <c r="G276" s="10">
        <v>2</v>
      </c>
      <c r="H276" s="10">
        <v>1</v>
      </c>
      <c r="I276" s="10"/>
      <c r="J276" s="10">
        <v>975</v>
      </c>
      <c r="K276" s="104"/>
      <c r="L276" s="104">
        <v>45394</v>
      </c>
      <c r="M276" s="10" t="b">
        <v>0</v>
      </c>
      <c r="N276" s="10"/>
      <c r="O276" s="11">
        <v>1511</v>
      </c>
      <c r="P276" s="85">
        <v>1.5497435897435898</v>
      </c>
      <c r="Q276" s="11">
        <v>1511</v>
      </c>
      <c r="R276" s="85">
        <v>1.5497435897435898</v>
      </c>
      <c r="S276" s="29" t="s">
        <v>2719</v>
      </c>
      <c r="T276" s="29" t="s">
        <v>2719</v>
      </c>
    </row>
    <row r="277">
      <c r="B277" s="29" t="s">
        <v>1217</v>
      </c>
      <c r="C277" s="29" t="s">
        <v>1245</v>
      </c>
      <c r="D277" s="8" t="s">
        <v>1259</v>
      </c>
      <c r="E277" s="10" t="s">
        <v>1588</v>
      </c>
      <c r="F277" s="10">
        <v>2</v>
      </c>
      <c r="G277" s="10">
        <v>2</v>
      </c>
      <c r="H277" s="10">
        <v>1</v>
      </c>
      <c r="I277" s="10"/>
      <c r="J277" s="10">
        <v>975</v>
      </c>
      <c r="K277" s="104">
        <v>45365</v>
      </c>
      <c r="L277" s="104">
        <v>45407</v>
      </c>
      <c r="M277" s="10" t="b">
        <v>0</v>
      </c>
      <c r="N277" s="10">
        <v>43</v>
      </c>
      <c r="O277" s="11">
        <v>1513</v>
      </c>
      <c r="P277" s="85">
        <v>1.5517948717948717</v>
      </c>
      <c r="Q277" s="11">
        <v>1513</v>
      </c>
      <c r="R277" s="85">
        <v>1.5517948717948717</v>
      </c>
      <c r="S277" s="29" t="s">
        <v>2719</v>
      </c>
      <c r="T277" s="29" t="s">
        <v>2719</v>
      </c>
    </row>
    <row r="278">
      <c r="B278" s="29" t="s">
        <v>1217</v>
      </c>
      <c r="C278" s="29" t="s">
        <v>1245</v>
      </c>
      <c r="D278" s="8" t="s">
        <v>1262</v>
      </c>
      <c r="E278" s="10" t="s">
        <v>1589</v>
      </c>
      <c r="F278" s="10">
        <v>1</v>
      </c>
      <c r="G278" s="10">
        <v>2</v>
      </c>
      <c r="H278" s="10">
        <v>1</v>
      </c>
      <c r="I278" s="10"/>
      <c r="J278" s="10">
        <v>1020</v>
      </c>
      <c r="K278" s="104">
        <v>45551</v>
      </c>
      <c r="L278" s="104">
        <v>45612</v>
      </c>
      <c r="M278" s="10" t="b">
        <v>0</v>
      </c>
      <c r="N278" s="10">
        <v>62</v>
      </c>
      <c r="O278" s="11">
        <v>1420</v>
      </c>
      <c r="P278" s="85">
        <v>1.392156862745098</v>
      </c>
      <c r="Q278" s="11">
        <v>1331</v>
      </c>
      <c r="R278" s="85">
        <v>1.3049019607843138</v>
      </c>
      <c r="S278" s="29" t="s">
        <v>2739</v>
      </c>
      <c r="T278" s="29" t="s">
        <v>2792</v>
      </c>
    </row>
    <row r="279">
      <c r="B279" s="29" t="s">
        <v>1217</v>
      </c>
      <c r="C279" s="29" t="s">
        <v>1245</v>
      </c>
      <c r="D279" s="8" t="s">
        <v>1262</v>
      </c>
      <c r="E279" s="10" t="s">
        <v>1590</v>
      </c>
      <c r="F279" s="10">
        <v>1</v>
      </c>
      <c r="G279" s="10">
        <v>2</v>
      </c>
      <c r="H279" s="10">
        <v>1</v>
      </c>
      <c r="I279" s="10"/>
      <c r="J279" s="10">
        <v>1020</v>
      </c>
      <c r="K279" s="104">
        <v>45510</v>
      </c>
      <c r="L279" s="104">
        <v>45610</v>
      </c>
      <c r="M279" s="10" t="b">
        <v>0</v>
      </c>
      <c r="N279" s="10">
        <v>101</v>
      </c>
      <c r="O279" s="11">
        <v>1425</v>
      </c>
      <c r="P279" s="85">
        <v>1.3970588235294117</v>
      </c>
      <c r="Q279" s="11">
        <v>1425</v>
      </c>
      <c r="R279" s="85">
        <v>1.3970588235294117</v>
      </c>
      <c r="S279" s="29" t="s">
        <v>2739</v>
      </c>
      <c r="T279" s="29" t="s">
        <v>2792</v>
      </c>
    </row>
    <row r="280">
      <c r="B280" s="29" t="s">
        <v>1217</v>
      </c>
      <c r="C280" s="29" t="s">
        <v>1245</v>
      </c>
      <c r="D280" s="8" t="s">
        <v>1263</v>
      </c>
      <c r="E280" s="10"/>
      <c r="F280" s="10"/>
      <c r="G280" s="10">
        <v>2</v>
      </c>
      <c r="H280" s="10">
        <v>1</v>
      </c>
      <c r="I280" s="10"/>
      <c r="J280" s="10">
        <v>1020</v>
      </c>
      <c r="K280" s="104">
        <v>45184</v>
      </c>
      <c r="L280" s="104">
        <v>45185</v>
      </c>
      <c r="M280" s="10" t="b">
        <v>0</v>
      </c>
      <c r="N280" s="10">
        <v>2</v>
      </c>
      <c r="O280" s="11"/>
      <c r="P280" s="85"/>
      <c r="Q280" s="11"/>
      <c r="R280" s="85"/>
      <c r="S280" s="29" t="s">
        <v>2719</v>
      </c>
      <c r="T280" s="29" t="s">
        <v>2797</v>
      </c>
    </row>
    <row r="281">
      <c r="B281" s="29" t="s">
        <v>1218</v>
      </c>
      <c r="C281" s="29" t="s">
        <v>1246</v>
      </c>
      <c r="D281" s="8" t="s">
        <v>1264</v>
      </c>
      <c r="E281" s="10"/>
      <c r="F281" s="10"/>
      <c r="G281" s="10">
        <v>1</v>
      </c>
      <c r="H281" s="10">
        <v>1</v>
      </c>
      <c r="I281" s="10"/>
      <c r="J281" s="10">
        <v>600</v>
      </c>
      <c r="K281" s="104">
        <v>45497</v>
      </c>
      <c r="L281" s="104"/>
      <c r="M281" s="10" t="b">
        <v>1</v>
      </c>
      <c r="N281" s="10"/>
      <c r="O281" s="11">
        <v>1065</v>
      </c>
      <c r="P281" s="85">
        <v>1.775</v>
      </c>
      <c r="Q281" s="11">
        <v>1065</v>
      </c>
      <c r="R281" s="85">
        <v>1.775</v>
      </c>
      <c r="S281" s="29" t="s">
        <v>2719</v>
      </c>
      <c r="T281" s="29" t="s">
        <v>2719</v>
      </c>
    </row>
    <row r="282">
      <c r="B282" s="29" t="s">
        <v>1218</v>
      </c>
      <c r="C282" s="29" t="s">
        <v>1246</v>
      </c>
      <c r="D282" s="8" t="s">
        <v>1265</v>
      </c>
      <c r="E282" s="10"/>
      <c r="F282" s="10"/>
      <c r="G282" s="10">
        <v>1</v>
      </c>
      <c r="H282" s="10">
        <v>1</v>
      </c>
      <c r="I282" s="10"/>
      <c r="J282" s="10">
        <v>600</v>
      </c>
      <c r="K282" s="104"/>
      <c r="L282" s="104"/>
      <c r="M282" s="10" t="b">
        <v>1</v>
      </c>
      <c r="N282" s="10"/>
      <c r="O282" s="11">
        <v>1170</v>
      </c>
      <c r="P282" s="85">
        <v>1.95</v>
      </c>
      <c r="Q282" s="11">
        <v>1170</v>
      </c>
      <c r="R282" s="85">
        <v>1.95</v>
      </c>
      <c r="S282" s="29" t="s">
        <v>2719</v>
      </c>
      <c r="T282" s="29" t="s">
        <v>2798</v>
      </c>
    </row>
    <row r="283">
      <c r="B283" s="29" t="s">
        <v>1219</v>
      </c>
      <c r="C283" s="29" t="s">
        <v>1247</v>
      </c>
      <c r="D283" s="8" t="s">
        <v>1266</v>
      </c>
      <c r="E283" s="10" t="s">
        <v>1591</v>
      </c>
      <c r="F283" s="10"/>
      <c r="G283" s="10">
        <v>1</v>
      </c>
      <c r="H283" s="10">
        <v>1</v>
      </c>
      <c r="I283" s="10"/>
      <c r="J283" s="10">
        <v>550</v>
      </c>
      <c r="K283" s="104">
        <v>45705</v>
      </c>
      <c r="L283" s="104">
        <v>45708</v>
      </c>
      <c r="M283" s="10" t="b">
        <v>0</v>
      </c>
      <c r="N283" s="10">
        <v>4</v>
      </c>
      <c r="O283" s="11">
        <v>1300</v>
      </c>
      <c r="P283" s="85">
        <v>2.3636363636363638</v>
      </c>
      <c r="Q283" s="11">
        <v>1300</v>
      </c>
      <c r="R283" s="85">
        <v>2.3636363636363638</v>
      </c>
      <c r="S283" s="29" t="s">
        <v>2719</v>
      </c>
      <c r="T283" s="29" t="s">
        <v>2719</v>
      </c>
    </row>
    <row r="284">
      <c r="B284" s="29" t="s">
        <v>1219</v>
      </c>
      <c r="C284" s="29" t="s">
        <v>1247</v>
      </c>
      <c r="D284" s="8" t="s">
        <v>1266</v>
      </c>
      <c r="E284" s="10" t="s">
        <v>1592</v>
      </c>
      <c r="F284" s="10"/>
      <c r="G284" s="10">
        <v>1</v>
      </c>
      <c r="H284" s="10">
        <v>1</v>
      </c>
      <c r="I284" s="10"/>
      <c r="J284" s="10">
        <v>550</v>
      </c>
      <c r="K284" s="104">
        <v>45705</v>
      </c>
      <c r="L284" s="104">
        <v>45708</v>
      </c>
      <c r="M284" s="10" t="b">
        <v>0</v>
      </c>
      <c r="N284" s="10">
        <v>4</v>
      </c>
      <c r="O284" s="11">
        <v>1300</v>
      </c>
      <c r="P284" s="85">
        <v>2.3636363636363638</v>
      </c>
      <c r="Q284" s="11">
        <v>1300</v>
      </c>
      <c r="R284" s="85">
        <v>2.3636363636363638</v>
      </c>
      <c r="S284" s="29" t="s">
        <v>2719</v>
      </c>
      <c r="T284" s="29" t="s">
        <v>2719</v>
      </c>
    </row>
    <row r="285">
      <c r="B285" s="29" t="s">
        <v>1219</v>
      </c>
      <c r="C285" s="29" t="s">
        <v>1247</v>
      </c>
      <c r="D285" s="8" t="s">
        <v>1266</v>
      </c>
      <c r="E285" s="10" t="s">
        <v>1593</v>
      </c>
      <c r="F285" s="10"/>
      <c r="G285" s="10">
        <v>1</v>
      </c>
      <c r="H285" s="10">
        <v>1</v>
      </c>
      <c r="I285" s="10"/>
      <c r="J285" s="10">
        <v>550</v>
      </c>
      <c r="K285" s="104">
        <v>45705</v>
      </c>
      <c r="L285" s="104">
        <v>45708</v>
      </c>
      <c r="M285" s="10" t="b">
        <v>0</v>
      </c>
      <c r="N285" s="10">
        <v>4</v>
      </c>
      <c r="O285" s="11">
        <v>1300</v>
      </c>
      <c r="P285" s="85">
        <v>2.3636363636363638</v>
      </c>
      <c r="Q285" s="11">
        <v>1300</v>
      </c>
      <c r="R285" s="85">
        <v>2.3636363636363638</v>
      </c>
      <c r="S285" s="29" t="s">
        <v>2719</v>
      </c>
      <c r="T285" s="29" t="s">
        <v>2719</v>
      </c>
    </row>
    <row r="286">
      <c r="B286" s="29" t="s">
        <v>1219</v>
      </c>
      <c r="C286" s="29" t="s">
        <v>1247</v>
      </c>
      <c r="D286" s="8" t="s">
        <v>1266</v>
      </c>
      <c r="E286" s="10" t="s">
        <v>1594</v>
      </c>
      <c r="F286" s="10"/>
      <c r="G286" s="10">
        <v>1</v>
      </c>
      <c r="H286" s="10">
        <v>1</v>
      </c>
      <c r="I286" s="10"/>
      <c r="J286" s="10">
        <v>550</v>
      </c>
      <c r="K286" s="104">
        <v>45716</v>
      </c>
      <c r="L286" s="104">
        <v>45720</v>
      </c>
      <c r="M286" s="10" t="b">
        <v>0</v>
      </c>
      <c r="N286" s="10">
        <v>5</v>
      </c>
      <c r="O286" s="11">
        <v>1300</v>
      </c>
      <c r="P286" s="85">
        <v>2.3636363636363638</v>
      </c>
      <c r="Q286" s="11">
        <v>1300</v>
      </c>
      <c r="R286" s="85">
        <v>2.3636363636363638</v>
      </c>
      <c r="S286" s="29" t="s">
        <v>2719</v>
      </c>
      <c r="T286" s="29" t="s">
        <v>2719</v>
      </c>
    </row>
    <row r="287">
      <c r="B287" s="29" t="s">
        <v>1219</v>
      </c>
      <c r="C287" s="29" t="s">
        <v>1247</v>
      </c>
      <c r="D287" s="8" t="s">
        <v>1266</v>
      </c>
      <c r="E287" s="10" t="s">
        <v>1595</v>
      </c>
      <c r="F287" s="10"/>
      <c r="G287" s="10">
        <v>1</v>
      </c>
      <c r="H287" s="10">
        <v>1</v>
      </c>
      <c r="I287" s="10"/>
      <c r="J287" s="10">
        <v>550</v>
      </c>
      <c r="K287" s="104">
        <v>45716</v>
      </c>
      <c r="L287" s="104">
        <v>45720</v>
      </c>
      <c r="M287" s="10" t="b">
        <v>0</v>
      </c>
      <c r="N287" s="10">
        <v>5</v>
      </c>
      <c r="O287" s="11">
        <v>1300</v>
      </c>
      <c r="P287" s="85">
        <v>2.3636363636363638</v>
      </c>
      <c r="Q287" s="11">
        <v>1300</v>
      </c>
      <c r="R287" s="85">
        <v>2.3636363636363638</v>
      </c>
      <c r="S287" s="29" t="s">
        <v>2719</v>
      </c>
      <c r="T287" s="29" t="s">
        <v>2719</v>
      </c>
    </row>
    <row r="288">
      <c r="B288" s="29" t="s">
        <v>1219</v>
      </c>
      <c r="C288" s="29" t="s">
        <v>1247</v>
      </c>
      <c r="D288" s="8" t="s">
        <v>1266</v>
      </c>
      <c r="E288" s="10" t="s">
        <v>1596</v>
      </c>
      <c r="F288" s="10"/>
      <c r="G288" s="10">
        <v>1</v>
      </c>
      <c r="H288" s="10">
        <v>1</v>
      </c>
      <c r="I288" s="10"/>
      <c r="J288" s="10">
        <v>550</v>
      </c>
      <c r="K288" s="104">
        <v>45705</v>
      </c>
      <c r="L288" s="104">
        <v>45758</v>
      </c>
      <c r="M288" s="10" t="b">
        <v>0</v>
      </c>
      <c r="N288" s="10">
        <v>54</v>
      </c>
      <c r="O288" s="11">
        <v>1300</v>
      </c>
      <c r="P288" s="85">
        <v>2.3636363636363638</v>
      </c>
      <c r="Q288" s="11">
        <v>1300</v>
      </c>
      <c r="R288" s="85">
        <v>2.3636363636363638</v>
      </c>
      <c r="S288" s="29" t="s">
        <v>2719</v>
      </c>
      <c r="T288" s="29" t="s">
        <v>2719</v>
      </c>
    </row>
    <row r="289">
      <c r="B289" s="29" t="s">
        <v>1219</v>
      </c>
      <c r="C289" s="29" t="s">
        <v>1247</v>
      </c>
      <c r="D289" s="8" t="s">
        <v>1266</v>
      </c>
      <c r="E289" s="10" t="s">
        <v>1597</v>
      </c>
      <c r="F289" s="10"/>
      <c r="G289" s="10">
        <v>1</v>
      </c>
      <c r="H289" s="10">
        <v>1</v>
      </c>
      <c r="I289" s="10"/>
      <c r="J289" s="10">
        <v>550</v>
      </c>
      <c r="K289" s="104">
        <v>45705</v>
      </c>
      <c r="L289" s="104"/>
      <c r="M289" s="10" t="b">
        <v>1</v>
      </c>
      <c r="N289" s="10"/>
      <c r="O289" s="11">
        <v>1300</v>
      </c>
      <c r="P289" s="85">
        <v>2.3636363636363638</v>
      </c>
      <c r="Q289" s="11">
        <v>1300</v>
      </c>
      <c r="R289" s="85">
        <v>2.3636363636363638</v>
      </c>
      <c r="S289" s="29" t="s">
        <v>2719</v>
      </c>
      <c r="T289" s="29" t="s">
        <v>2719</v>
      </c>
    </row>
    <row r="290">
      <c r="B290" s="29" t="s">
        <v>1219</v>
      </c>
      <c r="C290" s="29" t="s">
        <v>1247</v>
      </c>
      <c r="D290" s="8" t="s">
        <v>1266</v>
      </c>
      <c r="E290" s="10" t="s">
        <v>1598</v>
      </c>
      <c r="F290" s="10"/>
      <c r="G290" s="10">
        <v>1</v>
      </c>
      <c r="H290" s="10">
        <v>1</v>
      </c>
      <c r="I290" s="10"/>
      <c r="J290" s="10">
        <v>550</v>
      </c>
      <c r="K290" s="104">
        <v>45716</v>
      </c>
      <c r="L290" s="104">
        <v>45720</v>
      </c>
      <c r="M290" s="10" t="b">
        <v>0</v>
      </c>
      <c r="N290" s="10">
        <v>5</v>
      </c>
      <c r="O290" s="11">
        <v>1300</v>
      </c>
      <c r="P290" s="85">
        <v>2.3636363636363638</v>
      </c>
      <c r="Q290" s="11">
        <v>1300</v>
      </c>
      <c r="R290" s="85">
        <v>2.3636363636363638</v>
      </c>
      <c r="S290" s="29" t="s">
        <v>2719</v>
      </c>
      <c r="T290" s="29" t="s">
        <v>2719</v>
      </c>
    </row>
    <row r="291">
      <c r="B291" s="29" t="s">
        <v>1219</v>
      </c>
      <c r="C291" s="29" t="s">
        <v>1247</v>
      </c>
      <c r="D291" s="8" t="s">
        <v>1266</v>
      </c>
      <c r="E291" s="10" t="s">
        <v>1599</v>
      </c>
      <c r="F291" s="10"/>
      <c r="G291" s="10">
        <v>1</v>
      </c>
      <c r="H291" s="10">
        <v>1</v>
      </c>
      <c r="I291" s="10"/>
      <c r="J291" s="10">
        <v>550</v>
      </c>
      <c r="K291" s="104">
        <v>45716</v>
      </c>
      <c r="L291" s="104">
        <v>45720</v>
      </c>
      <c r="M291" s="10" t="b">
        <v>0</v>
      </c>
      <c r="N291" s="10">
        <v>5</v>
      </c>
      <c r="O291" s="11">
        <v>1300</v>
      </c>
      <c r="P291" s="85">
        <v>2.3636363636363638</v>
      </c>
      <c r="Q291" s="11">
        <v>1300</v>
      </c>
      <c r="R291" s="85">
        <v>2.3636363636363638</v>
      </c>
      <c r="S291" s="29" t="s">
        <v>2719</v>
      </c>
      <c r="T291" s="29" t="s">
        <v>2719</v>
      </c>
    </row>
    <row r="292">
      <c r="B292" s="29" t="s">
        <v>1219</v>
      </c>
      <c r="C292" s="29" t="s">
        <v>1247</v>
      </c>
      <c r="D292" s="8" t="s">
        <v>1266</v>
      </c>
      <c r="E292" s="10" t="s">
        <v>1600</v>
      </c>
      <c r="F292" s="10"/>
      <c r="G292" s="10">
        <v>1</v>
      </c>
      <c r="H292" s="10">
        <v>1</v>
      </c>
      <c r="I292" s="10"/>
      <c r="J292" s="10">
        <v>550</v>
      </c>
      <c r="K292" s="104">
        <v>45705</v>
      </c>
      <c r="L292" s="104">
        <v>45708</v>
      </c>
      <c r="M292" s="10" t="b">
        <v>0</v>
      </c>
      <c r="N292" s="10">
        <v>4</v>
      </c>
      <c r="O292" s="11">
        <v>1300</v>
      </c>
      <c r="P292" s="85">
        <v>2.3636363636363638</v>
      </c>
      <c r="Q292" s="11">
        <v>1300</v>
      </c>
      <c r="R292" s="85">
        <v>2.3636363636363638</v>
      </c>
      <c r="S292" s="29" t="s">
        <v>2719</v>
      </c>
      <c r="T292" s="29" t="s">
        <v>2719</v>
      </c>
    </row>
    <row r="293">
      <c r="B293" s="29" t="s">
        <v>1219</v>
      </c>
      <c r="C293" s="29" t="s">
        <v>1247</v>
      </c>
      <c r="D293" s="8" t="s">
        <v>1266</v>
      </c>
      <c r="E293" s="10" t="s">
        <v>1601</v>
      </c>
      <c r="F293" s="10"/>
      <c r="G293" s="10">
        <v>1</v>
      </c>
      <c r="H293" s="10">
        <v>1</v>
      </c>
      <c r="I293" s="10"/>
      <c r="J293" s="10">
        <v>550</v>
      </c>
      <c r="K293" s="104">
        <v>45716</v>
      </c>
      <c r="L293" s="104">
        <v>45720</v>
      </c>
      <c r="M293" s="10" t="b">
        <v>0</v>
      </c>
      <c r="N293" s="10">
        <v>5</v>
      </c>
      <c r="O293" s="11">
        <v>1300</v>
      </c>
      <c r="P293" s="85">
        <v>2.3636363636363638</v>
      </c>
      <c r="Q293" s="11">
        <v>1300</v>
      </c>
      <c r="R293" s="85">
        <v>2.3636363636363638</v>
      </c>
      <c r="S293" s="29" t="s">
        <v>2719</v>
      </c>
      <c r="T293" s="29" t="s">
        <v>2719</v>
      </c>
    </row>
    <row r="294">
      <c r="B294" s="29" t="s">
        <v>1219</v>
      </c>
      <c r="C294" s="29" t="s">
        <v>1247</v>
      </c>
      <c r="D294" s="8" t="s">
        <v>1266</v>
      </c>
      <c r="E294" s="10" t="s">
        <v>1602</v>
      </c>
      <c r="F294" s="10"/>
      <c r="G294" s="10">
        <v>1</v>
      </c>
      <c r="H294" s="10">
        <v>1</v>
      </c>
      <c r="I294" s="10"/>
      <c r="J294" s="10">
        <v>550</v>
      </c>
      <c r="K294" s="104">
        <v>45705</v>
      </c>
      <c r="L294" s="104">
        <v>45708</v>
      </c>
      <c r="M294" s="10" t="b">
        <v>0</v>
      </c>
      <c r="N294" s="10">
        <v>4</v>
      </c>
      <c r="O294" s="11">
        <v>1300</v>
      </c>
      <c r="P294" s="85">
        <v>2.3636363636363638</v>
      </c>
      <c r="Q294" s="11">
        <v>1300</v>
      </c>
      <c r="R294" s="85">
        <v>2.3636363636363638</v>
      </c>
      <c r="S294" s="29" t="s">
        <v>2719</v>
      </c>
      <c r="T294" s="29" t="s">
        <v>2719</v>
      </c>
    </row>
    <row r="295">
      <c r="B295" s="29" t="s">
        <v>1219</v>
      </c>
      <c r="C295" s="29" t="s">
        <v>1247</v>
      </c>
      <c r="D295" s="8" t="s">
        <v>1266</v>
      </c>
      <c r="E295" s="10" t="s">
        <v>1603</v>
      </c>
      <c r="F295" s="10"/>
      <c r="G295" s="10">
        <v>1</v>
      </c>
      <c r="H295" s="10">
        <v>1</v>
      </c>
      <c r="I295" s="10"/>
      <c r="J295" s="10">
        <v>550</v>
      </c>
      <c r="K295" s="104">
        <v>45705</v>
      </c>
      <c r="L295" s="104">
        <v>45708</v>
      </c>
      <c r="M295" s="10" t="b">
        <v>0</v>
      </c>
      <c r="N295" s="10">
        <v>4</v>
      </c>
      <c r="O295" s="11">
        <v>1300</v>
      </c>
      <c r="P295" s="85">
        <v>2.3636363636363638</v>
      </c>
      <c r="Q295" s="11">
        <v>1300</v>
      </c>
      <c r="R295" s="85">
        <v>2.3636363636363638</v>
      </c>
      <c r="S295" s="29" t="s">
        <v>2719</v>
      </c>
      <c r="T295" s="29" t="s">
        <v>2719</v>
      </c>
    </row>
    <row r="296">
      <c r="B296" s="29" t="s">
        <v>1219</v>
      </c>
      <c r="C296" s="29" t="s">
        <v>1247</v>
      </c>
      <c r="D296" s="8" t="s">
        <v>1266</v>
      </c>
      <c r="E296" s="10" t="s">
        <v>1604</v>
      </c>
      <c r="F296" s="10"/>
      <c r="G296" s="10">
        <v>1</v>
      </c>
      <c r="H296" s="10">
        <v>1</v>
      </c>
      <c r="I296" s="10"/>
      <c r="J296" s="10">
        <v>550</v>
      </c>
      <c r="K296" s="104">
        <v>45716</v>
      </c>
      <c r="L296" s="104">
        <v>45720</v>
      </c>
      <c r="M296" s="10" t="b">
        <v>0</v>
      </c>
      <c r="N296" s="10">
        <v>5</v>
      </c>
      <c r="O296" s="11">
        <v>1300</v>
      </c>
      <c r="P296" s="85">
        <v>2.3636363636363638</v>
      </c>
      <c r="Q296" s="11">
        <v>1300</v>
      </c>
      <c r="R296" s="85">
        <v>2.3636363636363638</v>
      </c>
      <c r="S296" s="29" t="s">
        <v>2719</v>
      </c>
      <c r="T296" s="29" t="s">
        <v>2719</v>
      </c>
    </row>
    <row r="297">
      <c r="B297" s="29" t="s">
        <v>1219</v>
      </c>
      <c r="C297" s="29" t="s">
        <v>1247</v>
      </c>
      <c r="D297" s="8" t="s">
        <v>1266</v>
      </c>
      <c r="E297" s="10" t="s">
        <v>1605</v>
      </c>
      <c r="F297" s="10"/>
      <c r="G297" s="10">
        <v>1</v>
      </c>
      <c r="H297" s="10">
        <v>1</v>
      </c>
      <c r="I297" s="10"/>
      <c r="J297" s="10">
        <v>550</v>
      </c>
      <c r="K297" s="104">
        <v>45705</v>
      </c>
      <c r="L297" s="104">
        <v>45708</v>
      </c>
      <c r="M297" s="10" t="b">
        <v>0</v>
      </c>
      <c r="N297" s="10">
        <v>4</v>
      </c>
      <c r="O297" s="11">
        <v>1300</v>
      </c>
      <c r="P297" s="85">
        <v>2.3636363636363638</v>
      </c>
      <c r="Q297" s="11">
        <v>1300</v>
      </c>
      <c r="R297" s="85">
        <v>2.3636363636363638</v>
      </c>
      <c r="S297" s="29" t="s">
        <v>2719</v>
      </c>
      <c r="T297" s="29" t="s">
        <v>2719</v>
      </c>
    </row>
    <row r="298">
      <c r="B298" s="29" t="s">
        <v>1219</v>
      </c>
      <c r="C298" s="29" t="s">
        <v>1247</v>
      </c>
      <c r="D298" s="8" t="s">
        <v>1266</v>
      </c>
      <c r="E298" s="10" t="s">
        <v>1606</v>
      </c>
      <c r="F298" s="10"/>
      <c r="G298" s="10">
        <v>1</v>
      </c>
      <c r="H298" s="10">
        <v>1</v>
      </c>
      <c r="I298" s="10"/>
      <c r="J298" s="10">
        <v>550</v>
      </c>
      <c r="K298" s="104">
        <v>45705</v>
      </c>
      <c r="L298" s="104">
        <v>45708</v>
      </c>
      <c r="M298" s="10" t="b">
        <v>0</v>
      </c>
      <c r="N298" s="10">
        <v>4</v>
      </c>
      <c r="O298" s="11">
        <v>1300</v>
      </c>
      <c r="P298" s="85">
        <v>2.3636363636363638</v>
      </c>
      <c r="Q298" s="11">
        <v>1300</v>
      </c>
      <c r="R298" s="85">
        <v>2.3636363636363638</v>
      </c>
      <c r="S298" s="29" t="s">
        <v>2719</v>
      </c>
      <c r="T298" s="29" t="s">
        <v>2719</v>
      </c>
    </row>
    <row r="299">
      <c r="B299" s="29" t="s">
        <v>1219</v>
      </c>
      <c r="C299" s="29" t="s">
        <v>1247</v>
      </c>
      <c r="D299" s="8" t="s">
        <v>1266</v>
      </c>
      <c r="E299" s="10" t="s">
        <v>1607</v>
      </c>
      <c r="F299" s="10"/>
      <c r="G299" s="10">
        <v>1</v>
      </c>
      <c r="H299" s="10">
        <v>1</v>
      </c>
      <c r="I299" s="10"/>
      <c r="J299" s="10">
        <v>550</v>
      </c>
      <c r="K299" s="104">
        <v>45716</v>
      </c>
      <c r="L299" s="104">
        <v>45720</v>
      </c>
      <c r="M299" s="10" t="b">
        <v>0</v>
      </c>
      <c r="N299" s="10">
        <v>5</v>
      </c>
      <c r="O299" s="11">
        <v>1300</v>
      </c>
      <c r="P299" s="85">
        <v>2.3636363636363638</v>
      </c>
      <c r="Q299" s="11">
        <v>1300</v>
      </c>
      <c r="R299" s="85">
        <v>2.3636363636363638</v>
      </c>
      <c r="S299" s="29" t="s">
        <v>2719</v>
      </c>
      <c r="T299" s="29" t="s">
        <v>2719</v>
      </c>
    </row>
    <row r="300">
      <c r="B300" s="29" t="s">
        <v>1219</v>
      </c>
      <c r="C300" s="29" t="s">
        <v>1247</v>
      </c>
      <c r="D300" s="8" t="s">
        <v>1266</v>
      </c>
      <c r="E300" s="10" t="s">
        <v>1608</v>
      </c>
      <c r="F300" s="10"/>
      <c r="G300" s="10">
        <v>1</v>
      </c>
      <c r="H300" s="10">
        <v>1</v>
      </c>
      <c r="I300" s="10"/>
      <c r="J300" s="10">
        <v>550</v>
      </c>
      <c r="K300" s="104">
        <v>45716</v>
      </c>
      <c r="L300" s="104">
        <v>45758</v>
      </c>
      <c r="M300" s="10" t="b">
        <v>0</v>
      </c>
      <c r="N300" s="10">
        <v>43</v>
      </c>
      <c r="O300" s="11">
        <v>1300</v>
      </c>
      <c r="P300" s="85">
        <v>2.3636363636363638</v>
      </c>
      <c r="Q300" s="11">
        <v>1300</v>
      </c>
      <c r="R300" s="85">
        <v>2.3636363636363638</v>
      </c>
      <c r="S300" s="29" t="s">
        <v>2719</v>
      </c>
      <c r="T300" s="29" t="s">
        <v>2719</v>
      </c>
    </row>
    <row r="301">
      <c r="B301" s="29" t="s">
        <v>1219</v>
      </c>
      <c r="C301" s="29" t="s">
        <v>1247</v>
      </c>
      <c r="D301" s="8" t="s">
        <v>1266</v>
      </c>
      <c r="E301" s="10" t="s">
        <v>1609</v>
      </c>
      <c r="F301" s="10"/>
      <c r="G301" s="10">
        <v>1</v>
      </c>
      <c r="H301" s="10">
        <v>1</v>
      </c>
      <c r="I301" s="10"/>
      <c r="J301" s="10">
        <v>550</v>
      </c>
      <c r="K301" s="104">
        <v>45705</v>
      </c>
      <c r="L301" s="104">
        <v>45708</v>
      </c>
      <c r="M301" s="10" t="b">
        <v>0</v>
      </c>
      <c r="N301" s="10">
        <v>4</v>
      </c>
      <c r="O301" s="11">
        <v>1300</v>
      </c>
      <c r="P301" s="85">
        <v>2.3636363636363638</v>
      </c>
      <c r="Q301" s="11">
        <v>1300</v>
      </c>
      <c r="R301" s="85">
        <v>2.3636363636363638</v>
      </c>
      <c r="S301" s="29" t="s">
        <v>2719</v>
      </c>
      <c r="T301" s="29" t="s">
        <v>2719</v>
      </c>
    </row>
    <row r="302">
      <c r="B302" s="29" t="s">
        <v>1219</v>
      </c>
      <c r="C302" s="29" t="s">
        <v>1247</v>
      </c>
      <c r="D302" s="8" t="s">
        <v>1266</v>
      </c>
      <c r="E302" s="10" t="s">
        <v>1610</v>
      </c>
      <c r="F302" s="10"/>
      <c r="G302" s="10">
        <v>1</v>
      </c>
      <c r="H302" s="10">
        <v>1</v>
      </c>
      <c r="I302" s="10"/>
      <c r="J302" s="10">
        <v>550</v>
      </c>
      <c r="K302" s="104">
        <v>45716</v>
      </c>
      <c r="L302" s="104">
        <v>45720</v>
      </c>
      <c r="M302" s="10" t="b">
        <v>0</v>
      </c>
      <c r="N302" s="10">
        <v>5</v>
      </c>
      <c r="O302" s="11">
        <v>1300</v>
      </c>
      <c r="P302" s="85">
        <v>2.3636363636363638</v>
      </c>
      <c r="Q302" s="11">
        <v>1300</v>
      </c>
      <c r="R302" s="85">
        <v>2.3636363636363638</v>
      </c>
      <c r="S302" s="29" t="s">
        <v>2719</v>
      </c>
      <c r="T302" s="29" t="s">
        <v>2719</v>
      </c>
    </row>
    <row r="303">
      <c r="B303" s="29" t="s">
        <v>1219</v>
      </c>
      <c r="C303" s="29" t="s">
        <v>1247</v>
      </c>
      <c r="D303" s="8" t="s">
        <v>1266</v>
      </c>
      <c r="E303" s="10" t="s">
        <v>1611</v>
      </c>
      <c r="F303" s="10"/>
      <c r="G303" s="10">
        <v>1</v>
      </c>
      <c r="H303" s="10">
        <v>1</v>
      </c>
      <c r="I303" s="10"/>
      <c r="J303" s="10">
        <v>550</v>
      </c>
      <c r="K303" s="104">
        <v>45716</v>
      </c>
      <c r="L303" s="104">
        <v>45720</v>
      </c>
      <c r="M303" s="10" t="b">
        <v>0</v>
      </c>
      <c r="N303" s="10">
        <v>5</v>
      </c>
      <c r="O303" s="11">
        <v>1300</v>
      </c>
      <c r="P303" s="85">
        <v>2.3636363636363638</v>
      </c>
      <c r="Q303" s="11">
        <v>1300</v>
      </c>
      <c r="R303" s="85">
        <v>2.3636363636363638</v>
      </c>
      <c r="S303" s="29" t="s">
        <v>2719</v>
      </c>
      <c r="T303" s="29" t="s">
        <v>2719</v>
      </c>
    </row>
    <row r="304">
      <c r="B304" s="29" t="s">
        <v>1219</v>
      </c>
      <c r="C304" s="29" t="s">
        <v>1247</v>
      </c>
      <c r="D304" s="8" t="s">
        <v>1266</v>
      </c>
      <c r="E304" s="10" t="s">
        <v>1612</v>
      </c>
      <c r="F304" s="10"/>
      <c r="G304" s="10">
        <v>1</v>
      </c>
      <c r="H304" s="10">
        <v>1</v>
      </c>
      <c r="I304" s="10"/>
      <c r="J304" s="10">
        <v>550</v>
      </c>
      <c r="K304" s="104">
        <v>45705</v>
      </c>
      <c r="L304" s="104">
        <v>45708</v>
      </c>
      <c r="M304" s="10" t="b">
        <v>0</v>
      </c>
      <c r="N304" s="10">
        <v>4</v>
      </c>
      <c r="O304" s="11">
        <v>1300</v>
      </c>
      <c r="P304" s="85">
        <v>2.3636363636363638</v>
      </c>
      <c r="Q304" s="11">
        <v>1300</v>
      </c>
      <c r="R304" s="85">
        <v>2.3636363636363638</v>
      </c>
      <c r="S304" s="29" t="s">
        <v>2719</v>
      </c>
      <c r="T304" s="29" t="s">
        <v>2719</v>
      </c>
    </row>
    <row r="305">
      <c r="B305" s="29" t="s">
        <v>1219</v>
      </c>
      <c r="C305" s="29" t="s">
        <v>1247</v>
      </c>
      <c r="D305" s="8" t="s">
        <v>1266</v>
      </c>
      <c r="E305" s="10" t="s">
        <v>1613</v>
      </c>
      <c r="F305" s="10"/>
      <c r="G305" s="10">
        <v>1</v>
      </c>
      <c r="H305" s="10">
        <v>1</v>
      </c>
      <c r="I305" s="10"/>
      <c r="J305" s="10">
        <v>550</v>
      </c>
      <c r="K305" s="104">
        <v>45705</v>
      </c>
      <c r="L305" s="104">
        <v>45708</v>
      </c>
      <c r="M305" s="10" t="b">
        <v>0</v>
      </c>
      <c r="N305" s="10">
        <v>4</v>
      </c>
      <c r="O305" s="11">
        <v>1300</v>
      </c>
      <c r="P305" s="85">
        <v>2.3636363636363638</v>
      </c>
      <c r="Q305" s="11">
        <v>1300</v>
      </c>
      <c r="R305" s="85">
        <v>2.3636363636363638</v>
      </c>
      <c r="S305" s="29" t="s">
        <v>2719</v>
      </c>
      <c r="T305" s="29" t="s">
        <v>2719</v>
      </c>
    </row>
    <row r="306">
      <c r="B306" s="29" t="s">
        <v>1219</v>
      </c>
      <c r="C306" s="29" t="s">
        <v>1247</v>
      </c>
      <c r="D306" s="8" t="s">
        <v>1266</v>
      </c>
      <c r="E306" s="10" t="s">
        <v>1614</v>
      </c>
      <c r="F306" s="10"/>
      <c r="G306" s="10">
        <v>1</v>
      </c>
      <c r="H306" s="10">
        <v>1</v>
      </c>
      <c r="I306" s="10"/>
      <c r="J306" s="10">
        <v>550</v>
      </c>
      <c r="K306" s="104">
        <v>45716</v>
      </c>
      <c r="L306" s="104"/>
      <c r="M306" s="10" t="b">
        <v>1</v>
      </c>
      <c r="N306" s="10"/>
      <c r="O306" s="11">
        <v>1300</v>
      </c>
      <c r="P306" s="85">
        <v>2.3636363636363638</v>
      </c>
      <c r="Q306" s="11">
        <v>1300</v>
      </c>
      <c r="R306" s="85">
        <v>2.3636363636363638</v>
      </c>
      <c r="S306" s="29" t="s">
        <v>2719</v>
      </c>
      <c r="T306" s="29" t="s">
        <v>2719</v>
      </c>
    </row>
    <row r="307">
      <c r="B307" s="29" t="s">
        <v>1219</v>
      </c>
      <c r="C307" s="29" t="s">
        <v>1247</v>
      </c>
      <c r="D307" s="8" t="s">
        <v>1266</v>
      </c>
      <c r="E307" s="10" t="s">
        <v>1615</v>
      </c>
      <c r="F307" s="10"/>
      <c r="G307" s="10">
        <v>1</v>
      </c>
      <c r="H307" s="10">
        <v>1</v>
      </c>
      <c r="I307" s="10"/>
      <c r="J307" s="10">
        <v>550</v>
      </c>
      <c r="K307" s="104">
        <v>45705</v>
      </c>
      <c r="L307" s="104">
        <v>45708</v>
      </c>
      <c r="M307" s="10" t="b">
        <v>0</v>
      </c>
      <c r="N307" s="10">
        <v>4</v>
      </c>
      <c r="O307" s="11">
        <v>1300</v>
      </c>
      <c r="P307" s="85">
        <v>2.3636363636363638</v>
      </c>
      <c r="Q307" s="11">
        <v>1300</v>
      </c>
      <c r="R307" s="85">
        <v>2.3636363636363638</v>
      </c>
      <c r="S307" s="29" t="s">
        <v>2719</v>
      </c>
      <c r="T307" s="29" t="s">
        <v>2719</v>
      </c>
    </row>
    <row r="308">
      <c r="B308" s="29" t="s">
        <v>1219</v>
      </c>
      <c r="C308" s="29" t="s">
        <v>1247</v>
      </c>
      <c r="D308" s="8" t="s">
        <v>1266</v>
      </c>
      <c r="E308" s="10" t="s">
        <v>1616</v>
      </c>
      <c r="F308" s="10"/>
      <c r="G308" s="10">
        <v>1</v>
      </c>
      <c r="H308" s="10">
        <v>1</v>
      </c>
      <c r="I308" s="10"/>
      <c r="J308" s="10">
        <v>550</v>
      </c>
      <c r="K308" s="104">
        <v>45716</v>
      </c>
      <c r="L308" s="104">
        <v>45720</v>
      </c>
      <c r="M308" s="10" t="b">
        <v>0</v>
      </c>
      <c r="N308" s="10">
        <v>5</v>
      </c>
      <c r="O308" s="11">
        <v>1300</v>
      </c>
      <c r="P308" s="85">
        <v>2.3636363636363638</v>
      </c>
      <c r="Q308" s="11">
        <v>1300</v>
      </c>
      <c r="R308" s="85">
        <v>2.3636363636363638</v>
      </c>
      <c r="S308" s="29" t="s">
        <v>2719</v>
      </c>
      <c r="T308" s="29" t="s">
        <v>2719</v>
      </c>
    </row>
    <row r="309">
      <c r="B309" s="29" t="s">
        <v>1219</v>
      </c>
      <c r="C309" s="29" t="s">
        <v>1247</v>
      </c>
      <c r="D309" s="8" t="s">
        <v>1266</v>
      </c>
      <c r="E309" s="10" t="s">
        <v>1617</v>
      </c>
      <c r="F309" s="10"/>
      <c r="G309" s="10">
        <v>1</v>
      </c>
      <c r="H309" s="10">
        <v>1</v>
      </c>
      <c r="I309" s="10"/>
      <c r="J309" s="10">
        <v>550</v>
      </c>
      <c r="K309" s="104">
        <v>45705</v>
      </c>
      <c r="L309" s="104">
        <v>45708</v>
      </c>
      <c r="M309" s="10" t="b">
        <v>0</v>
      </c>
      <c r="N309" s="10">
        <v>4</v>
      </c>
      <c r="O309" s="11">
        <v>1300</v>
      </c>
      <c r="P309" s="85">
        <v>2.3636363636363638</v>
      </c>
      <c r="Q309" s="11">
        <v>1300</v>
      </c>
      <c r="R309" s="85">
        <v>2.3636363636363638</v>
      </c>
      <c r="S309" s="29" t="s">
        <v>2719</v>
      </c>
      <c r="T309" s="29" t="s">
        <v>2719</v>
      </c>
    </row>
    <row r="310">
      <c r="B310" s="29" t="s">
        <v>1219</v>
      </c>
      <c r="C310" s="29" t="s">
        <v>1247</v>
      </c>
      <c r="D310" s="8" t="s">
        <v>1266</v>
      </c>
      <c r="E310" s="10" t="s">
        <v>1618</v>
      </c>
      <c r="F310" s="10"/>
      <c r="G310" s="10">
        <v>1</v>
      </c>
      <c r="H310" s="10">
        <v>1</v>
      </c>
      <c r="I310" s="10"/>
      <c r="J310" s="10">
        <v>550</v>
      </c>
      <c r="K310" s="104">
        <v>45705</v>
      </c>
      <c r="L310" s="104">
        <v>45708</v>
      </c>
      <c r="M310" s="10" t="b">
        <v>0</v>
      </c>
      <c r="N310" s="10">
        <v>4</v>
      </c>
      <c r="O310" s="11">
        <v>1300</v>
      </c>
      <c r="P310" s="85">
        <v>2.3636363636363638</v>
      </c>
      <c r="Q310" s="11">
        <v>1300</v>
      </c>
      <c r="R310" s="85">
        <v>2.3636363636363638</v>
      </c>
      <c r="S310" s="29" t="s">
        <v>2719</v>
      </c>
      <c r="T310" s="29" t="s">
        <v>2719</v>
      </c>
    </row>
    <row r="311">
      <c r="B311" s="29" t="s">
        <v>1219</v>
      </c>
      <c r="C311" s="29" t="s">
        <v>1247</v>
      </c>
      <c r="D311" s="8" t="s">
        <v>1266</v>
      </c>
      <c r="E311" s="10" t="s">
        <v>1619</v>
      </c>
      <c r="F311" s="10"/>
      <c r="G311" s="10">
        <v>1</v>
      </c>
      <c r="H311" s="10">
        <v>1</v>
      </c>
      <c r="I311" s="10"/>
      <c r="J311" s="10">
        <v>550</v>
      </c>
      <c r="K311" s="104">
        <v>45716</v>
      </c>
      <c r="L311" s="104">
        <v>45720</v>
      </c>
      <c r="M311" s="10" t="b">
        <v>0</v>
      </c>
      <c r="N311" s="10">
        <v>5</v>
      </c>
      <c r="O311" s="11">
        <v>1300</v>
      </c>
      <c r="P311" s="85">
        <v>2.3636363636363638</v>
      </c>
      <c r="Q311" s="11">
        <v>1300</v>
      </c>
      <c r="R311" s="85">
        <v>2.3636363636363638</v>
      </c>
      <c r="S311" s="29" t="s">
        <v>2719</v>
      </c>
      <c r="T311" s="29" t="s">
        <v>2719</v>
      </c>
    </row>
    <row r="312">
      <c r="B312" s="29" t="s">
        <v>1219</v>
      </c>
      <c r="C312" s="29" t="s">
        <v>1247</v>
      </c>
      <c r="D312" s="8" t="s">
        <v>1266</v>
      </c>
      <c r="E312" s="10" t="s">
        <v>1620</v>
      </c>
      <c r="F312" s="10"/>
      <c r="G312" s="10">
        <v>1</v>
      </c>
      <c r="H312" s="10">
        <v>1</v>
      </c>
      <c r="I312" s="10"/>
      <c r="J312" s="10">
        <v>550</v>
      </c>
      <c r="K312" s="104">
        <v>45716</v>
      </c>
      <c r="L312" s="104">
        <v>45720</v>
      </c>
      <c r="M312" s="10" t="b">
        <v>0</v>
      </c>
      <c r="N312" s="10">
        <v>5</v>
      </c>
      <c r="O312" s="11">
        <v>1300</v>
      </c>
      <c r="P312" s="85">
        <v>2.3636363636363638</v>
      </c>
      <c r="Q312" s="11">
        <v>1300</v>
      </c>
      <c r="R312" s="85">
        <v>2.3636363636363638</v>
      </c>
      <c r="S312" s="29" t="s">
        <v>2719</v>
      </c>
      <c r="T312" s="29" t="s">
        <v>2719</v>
      </c>
    </row>
    <row r="313">
      <c r="B313" s="29" t="s">
        <v>1219</v>
      </c>
      <c r="C313" s="29" t="s">
        <v>1247</v>
      </c>
      <c r="D313" s="8" t="s">
        <v>1266</v>
      </c>
      <c r="E313" s="10" t="s">
        <v>1621</v>
      </c>
      <c r="F313" s="10"/>
      <c r="G313" s="10">
        <v>1</v>
      </c>
      <c r="H313" s="10">
        <v>1</v>
      </c>
      <c r="I313" s="10"/>
      <c r="J313" s="10">
        <v>550</v>
      </c>
      <c r="K313" s="104">
        <v>45705</v>
      </c>
      <c r="L313" s="104">
        <v>45708</v>
      </c>
      <c r="M313" s="10" t="b">
        <v>0</v>
      </c>
      <c r="N313" s="10">
        <v>4</v>
      </c>
      <c r="O313" s="11">
        <v>1300</v>
      </c>
      <c r="P313" s="85">
        <v>2.3636363636363638</v>
      </c>
      <c r="Q313" s="11">
        <v>1300</v>
      </c>
      <c r="R313" s="85">
        <v>2.3636363636363638</v>
      </c>
      <c r="S313" s="29" t="s">
        <v>2719</v>
      </c>
      <c r="T313" s="29" t="s">
        <v>2719</v>
      </c>
    </row>
    <row r="314">
      <c r="B314" s="29" t="s">
        <v>1219</v>
      </c>
      <c r="C314" s="29" t="s">
        <v>1247</v>
      </c>
      <c r="D314" s="8" t="s">
        <v>1266</v>
      </c>
      <c r="E314" s="10" t="s">
        <v>1622</v>
      </c>
      <c r="F314" s="10"/>
      <c r="G314" s="10">
        <v>1</v>
      </c>
      <c r="H314" s="10">
        <v>1</v>
      </c>
      <c r="I314" s="10"/>
      <c r="J314" s="10">
        <v>550</v>
      </c>
      <c r="K314" s="104">
        <v>45705</v>
      </c>
      <c r="L314" s="104">
        <v>45708</v>
      </c>
      <c r="M314" s="10" t="b">
        <v>0</v>
      </c>
      <c r="N314" s="10">
        <v>4</v>
      </c>
      <c r="O314" s="11">
        <v>1300</v>
      </c>
      <c r="P314" s="85">
        <v>2.3636363636363638</v>
      </c>
      <c r="Q314" s="11">
        <v>1300</v>
      </c>
      <c r="R314" s="85">
        <v>2.3636363636363638</v>
      </c>
      <c r="S314" s="29" t="s">
        <v>2719</v>
      </c>
      <c r="T314" s="29" t="s">
        <v>2719</v>
      </c>
    </row>
    <row r="315">
      <c r="B315" s="29" t="s">
        <v>1219</v>
      </c>
      <c r="C315" s="29" t="s">
        <v>1247</v>
      </c>
      <c r="D315" s="8" t="s">
        <v>1266</v>
      </c>
      <c r="E315" s="10" t="s">
        <v>1623</v>
      </c>
      <c r="F315" s="10"/>
      <c r="G315" s="10">
        <v>1</v>
      </c>
      <c r="H315" s="10">
        <v>1</v>
      </c>
      <c r="I315" s="10"/>
      <c r="J315" s="10">
        <v>550</v>
      </c>
      <c r="K315" s="104">
        <v>45716</v>
      </c>
      <c r="L315" s="104">
        <v>45720</v>
      </c>
      <c r="M315" s="10" t="b">
        <v>0</v>
      </c>
      <c r="N315" s="10">
        <v>5</v>
      </c>
      <c r="O315" s="11">
        <v>1300</v>
      </c>
      <c r="P315" s="85">
        <v>2.3636363636363638</v>
      </c>
      <c r="Q315" s="11">
        <v>1300</v>
      </c>
      <c r="R315" s="85">
        <v>2.3636363636363638</v>
      </c>
      <c r="S315" s="29" t="s">
        <v>2719</v>
      </c>
      <c r="T315" s="29" t="s">
        <v>2719</v>
      </c>
    </row>
    <row r="316">
      <c r="B316" s="29" t="s">
        <v>1219</v>
      </c>
      <c r="C316" s="29" t="s">
        <v>1247</v>
      </c>
      <c r="D316" s="8" t="s">
        <v>1266</v>
      </c>
      <c r="E316" s="10" t="s">
        <v>1624</v>
      </c>
      <c r="F316" s="10"/>
      <c r="G316" s="10">
        <v>1</v>
      </c>
      <c r="H316" s="10">
        <v>1</v>
      </c>
      <c r="I316" s="10"/>
      <c r="J316" s="10">
        <v>550</v>
      </c>
      <c r="K316" s="104">
        <v>45716</v>
      </c>
      <c r="L316" s="104">
        <v>45720</v>
      </c>
      <c r="M316" s="10" t="b">
        <v>0</v>
      </c>
      <c r="N316" s="10">
        <v>5</v>
      </c>
      <c r="O316" s="11">
        <v>1300</v>
      </c>
      <c r="P316" s="85">
        <v>2.3636363636363638</v>
      </c>
      <c r="Q316" s="11">
        <v>1300</v>
      </c>
      <c r="R316" s="85">
        <v>2.3636363636363638</v>
      </c>
      <c r="S316" s="29" t="s">
        <v>2719</v>
      </c>
      <c r="T316" s="29" t="s">
        <v>2719</v>
      </c>
    </row>
    <row r="317">
      <c r="B317" s="29" t="s">
        <v>1219</v>
      </c>
      <c r="C317" s="29" t="s">
        <v>1247</v>
      </c>
      <c r="D317" s="8" t="s">
        <v>1266</v>
      </c>
      <c r="E317" s="10" t="s">
        <v>1625</v>
      </c>
      <c r="F317" s="10"/>
      <c r="G317" s="10">
        <v>1</v>
      </c>
      <c r="H317" s="10">
        <v>1</v>
      </c>
      <c r="I317" s="10"/>
      <c r="J317" s="10">
        <v>550</v>
      </c>
      <c r="K317" s="104">
        <v>45705</v>
      </c>
      <c r="L317" s="104">
        <v>45708</v>
      </c>
      <c r="M317" s="10" t="b">
        <v>0</v>
      </c>
      <c r="N317" s="10">
        <v>4</v>
      </c>
      <c r="O317" s="11">
        <v>1300</v>
      </c>
      <c r="P317" s="85">
        <v>2.3636363636363638</v>
      </c>
      <c r="Q317" s="11">
        <v>1300</v>
      </c>
      <c r="R317" s="85">
        <v>2.3636363636363638</v>
      </c>
      <c r="S317" s="29" t="s">
        <v>2719</v>
      </c>
      <c r="T317" s="29" t="s">
        <v>2719</v>
      </c>
    </row>
    <row r="318">
      <c r="B318" s="29" t="s">
        <v>1219</v>
      </c>
      <c r="C318" s="29" t="s">
        <v>1247</v>
      </c>
      <c r="D318" s="8" t="s">
        <v>1266</v>
      </c>
      <c r="E318" s="10" t="s">
        <v>1626</v>
      </c>
      <c r="F318" s="10"/>
      <c r="G318" s="10">
        <v>1</v>
      </c>
      <c r="H318" s="10">
        <v>1</v>
      </c>
      <c r="I318" s="10"/>
      <c r="J318" s="10">
        <v>550</v>
      </c>
      <c r="K318" s="104">
        <v>45705</v>
      </c>
      <c r="L318" s="104">
        <v>45708</v>
      </c>
      <c r="M318" s="10" t="b">
        <v>0</v>
      </c>
      <c r="N318" s="10">
        <v>4</v>
      </c>
      <c r="O318" s="11">
        <v>1300</v>
      </c>
      <c r="P318" s="85">
        <v>2.3636363636363638</v>
      </c>
      <c r="Q318" s="11">
        <v>1300</v>
      </c>
      <c r="R318" s="85">
        <v>2.3636363636363638</v>
      </c>
      <c r="S318" s="29" t="s">
        <v>2719</v>
      </c>
      <c r="T318" s="29" t="s">
        <v>2719</v>
      </c>
    </row>
    <row r="319">
      <c r="B319" s="29" t="s">
        <v>1219</v>
      </c>
      <c r="C319" s="29" t="s">
        <v>1247</v>
      </c>
      <c r="D319" s="8" t="s">
        <v>1266</v>
      </c>
      <c r="E319" s="10" t="s">
        <v>1627</v>
      </c>
      <c r="F319" s="10"/>
      <c r="G319" s="10">
        <v>1</v>
      </c>
      <c r="H319" s="10">
        <v>1</v>
      </c>
      <c r="I319" s="10"/>
      <c r="J319" s="10">
        <v>550</v>
      </c>
      <c r="K319" s="104">
        <v>45716</v>
      </c>
      <c r="L319" s="104">
        <v>45717</v>
      </c>
      <c r="M319" s="10" t="b">
        <v>0</v>
      </c>
      <c r="N319" s="10">
        <v>2</v>
      </c>
      <c r="O319" s="11">
        <v>1300</v>
      </c>
      <c r="P319" s="85">
        <v>2.3636363636363638</v>
      </c>
      <c r="Q319" s="11">
        <v>1300</v>
      </c>
      <c r="R319" s="85">
        <v>2.3636363636363638</v>
      </c>
      <c r="S319" s="29" t="s">
        <v>2719</v>
      </c>
      <c r="T319" s="29" t="s">
        <v>2719</v>
      </c>
    </row>
    <row r="320">
      <c r="B320" s="29" t="s">
        <v>1219</v>
      </c>
      <c r="C320" s="29" t="s">
        <v>1247</v>
      </c>
      <c r="D320" s="8" t="s">
        <v>1266</v>
      </c>
      <c r="E320" s="10" t="s">
        <v>1628</v>
      </c>
      <c r="F320" s="10"/>
      <c r="G320" s="10">
        <v>1</v>
      </c>
      <c r="H320" s="10">
        <v>1</v>
      </c>
      <c r="I320" s="10"/>
      <c r="J320" s="10">
        <v>550</v>
      </c>
      <c r="K320" s="104">
        <v>45705</v>
      </c>
      <c r="L320" s="104">
        <v>45708</v>
      </c>
      <c r="M320" s="10" t="b">
        <v>0</v>
      </c>
      <c r="N320" s="10">
        <v>4</v>
      </c>
      <c r="O320" s="11">
        <v>1300</v>
      </c>
      <c r="P320" s="85">
        <v>2.3636363636363638</v>
      </c>
      <c r="Q320" s="11">
        <v>1300</v>
      </c>
      <c r="R320" s="85">
        <v>2.3636363636363638</v>
      </c>
      <c r="S320" s="29" t="s">
        <v>2719</v>
      </c>
      <c r="T320" s="29" t="s">
        <v>2719</v>
      </c>
    </row>
    <row r="321">
      <c r="B321" s="29" t="s">
        <v>1219</v>
      </c>
      <c r="C321" s="29" t="s">
        <v>1247</v>
      </c>
      <c r="D321" s="8" t="s">
        <v>1266</v>
      </c>
      <c r="E321" s="10" t="s">
        <v>1629</v>
      </c>
      <c r="F321" s="10"/>
      <c r="G321" s="10">
        <v>1</v>
      </c>
      <c r="H321" s="10">
        <v>1</v>
      </c>
      <c r="I321" s="10"/>
      <c r="J321" s="10">
        <v>550</v>
      </c>
      <c r="K321" s="104">
        <v>45716</v>
      </c>
      <c r="L321" s="104">
        <v>45720</v>
      </c>
      <c r="M321" s="10" t="b">
        <v>0</v>
      </c>
      <c r="N321" s="10">
        <v>5</v>
      </c>
      <c r="O321" s="11">
        <v>1300</v>
      </c>
      <c r="P321" s="85">
        <v>2.3636363636363638</v>
      </c>
      <c r="Q321" s="11">
        <v>1300</v>
      </c>
      <c r="R321" s="85">
        <v>2.3636363636363638</v>
      </c>
      <c r="S321" s="29" t="s">
        <v>2719</v>
      </c>
      <c r="T321" s="29" t="s">
        <v>2719</v>
      </c>
    </row>
    <row r="322">
      <c r="B322" s="29" t="s">
        <v>1219</v>
      </c>
      <c r="C322" s="29" t="s">
        <v>1247</v>
      </c>
      <c r="D322" s="8" t="s">
        <v>1266</v>
      </c>
      <c r="E322" s="10" t="s">
        <v>1630</v>
      </c>
      <c r="F322" s="10"/>
      <c r="G322" s="10">
        <v>1</v>
      </c>
      <c r="H322" s="10">
        <v>1</v>
      </c>
      <c r="I322" s="10"/>
      <c r="J322" s="10">
        <v>550</v>
      </c>
      <c r="K322" s="104">
        <v>45705</v>
      </c>
      <c r="L322" s="104">
        <v>45708</v>
      </c>
      <c r="M322" s="10" t="b">
        <v>0</v>
      </c>
      <c r="N322" s="10">
        <v>4</v>
      </c>
      <c r="O322" s="11">
        <v>1300</v>
      </c>
      <c r="P322" s="85">
        <v>2.3636363636363638</v>
      </c>
      <c r="Q322" s="11">
        <v>1300</v>
      </c>
      <c r="R322" s="85">
        <v>2.3636363636363638</v>
      </c>
      <c r="S322" s="29" t="s">
        <v>2719</v>
      </c>
      <c r="T322" s="29" t="s">
        <v>2719</v>
      </c>
    </row>
    <row r="323">
      <c r="B323" s="29" t="s">
        <v>1219</v>
      </c>
      <c r="C323" s="29" t="s">
        <v>1247</v>
      </c>
      <c r="D323" s="8" t="s">
        <v>1266</v>
      </c>
      <c r="E323" s="10" t="s">
        <v>1631</v>
      </c>
      <c r="F323" s="10"/>
      <c r="G323" s="10">
        <v>1</v>
      </c>
      <c r="H323" s="10">
        <v>1</v>
      </c>
      <c r="I323" s="10"/>
      <c r="J323" s="10">
        <v>550</v>
      </c>
      <c r="K323" s="104">
        <v>45705</v>
      </c>
      <c r="L323" s="104">
        <v>45708</v>
      </c>
      <c r="M323" s="10" t="b">
        <v>0</v>
      </c>
      <c r="N323" s="10">
        <v>4</v>
      </c>
      <c r="O323" s="11">
        <v>1300</v>
      </c>
      <c r="P323" s="85">
        <v>2.3636363636363638</v>
      </c>
      <c r="Q323" s="11">
        <v>1300</v>
      </c>
      <c r="R323" s="85">
        <v>2.3636363636363638</v>
      </c>
      <c r="S323" s="29" t="s">
        <v>2719</v>
      </c>
      <c r="T323" s="29" t="s">
        <v>2719</v>
      </c>
    </row>
    <row r="324">
      <c r="B324" s="29" t="s">
        <v>1219</v>
      </c>
      <c r="C324" s="29" t="s">
        <v>1247</v>
      </c>
      <c r="D324" s="8" t="s">
        <v>1266</v>
      </c>
      <c r="E324" s="10" t="s">
        <v>1632</v>
      </c>
      <c r="F324" s="10"/>
      <c r="G324" s="10">
        <v>1</v>
      </c>
      <c r="H324" s="10">
        <v>1</v>
      </c>
      <c r="I324" s="10"/>
      <c r="J324" s="10">
        <v>550</v>
      </c>
      <c r="K324" s="104">
        <v>45705</v>
      </c>
      <c r="L324" s="104">
        <v>45708</v>
      </c>
      <c r="M324" s="10" t="b">
        <v>0</v>
      </c>
      <c r="N324" s="10">
        <v>4</v>
      </c>
      <c r="O324" s="11">
        <v>1300</v>
      </c>
      <c r="P324" s="85">
        <v>2.3636363636363638</v>
      </c>
      <c r="Q324" s="11">
        <v>1300</v>
      </c>
      <c r="R324" s="85">
        <v>2.3636363636363638</v>
      </c>
      <c r="S324" s="29" t="s">
        <v>2719</v>
      </c>
      <c r="T324" s="29" t="s">
        <v>2719</v>
      </c>
    </row>
    <row r="325">
      <c r="B325" s="29" t="s">
        <v>1219</v>
      </c>
      <c r="C325" s="29" t="s">
        <v>1247</v>
      </c>
      <c r="D325" s="8" t="s">
        <v>1266</v>
      </c>
      <c r="E325" s="10" t="s">
        <v>1633</v>
      </c>
      <c r="F325" s="10"/>
      <c r="G325" s="10">
        <v>1</v>
      </c>
      <c r="H325" s="10">
        <v>1</v>
      </c>
      <c r="I325" s="10"/>
      <c r="J325" s="10">
        <v>550</v>
      </c>
      <c r="K325" s="104">
        <v>45716</v>
      </c>
      <c r="L325" s="104">
        <v>45720</v>
      </c>
      <c r="M325" s="10" t="b">
        <v>0</v>
      </c>
      <c r="N325" s="10">
        <v>5</v>
      </c>
      <c r="O325" s="11">
        <v>1300</v>
      </c>
      <c r="P325" s="85">
        <v>2.3636363636363638</v>
      </c>
      <c r="Q325" s="11">
        <v>1300</v>
      </c>
      <c r="R325" s="85">
        <v>2.3636363636363638</v>
      </c>
      <c r="S325" s="29" t="s">
        <v>2719</v>
      </c>
      <c r="T325" s="29" t="s">
        <v>2719</v>
      </c>
    </row>
    <row r="326">
      <c r="B326" s="29" t="s">
        <v>1219</v>
      </c>
      <c r="C326" s="29" t="s">
        <v>1247</v>
      </c>
      <c r="D326" s="8" t="s">
        <v>1266</v>
      </c>
      <c r="E326" s="10" t="s">
        <v>1634</v>
      </c>
      <c r="F326" s="10"/>
      <c r="G326" s="10">
        <v>1</v>
      </c>
      <c r="H326" s="10">
        <v>1</v>
      </c>
      <c r="I326" s="10"/>
      <c r="J326" s="10">
        <v>550</v>
      </c>
      <c r="K326" s="104">
        <v>45716</v>
      </c>
      <c r="L326" s="104">
        <v>45720</v>
      </c>
      <c r="M326" s="10" t="b">
        <v>0</v>
      </c>
      <c r="N326" s="10">
        <v>5</v>
      </c>
      <c r="O326" s="11">
        <v>1300</v>
      </c>
      <c r="P326" s="85">
        <v>2.3636363636363638</v>
      </c>
      <c r="Q326" s="11">
        <v>1300</v>
      </c>
      <c r="R326" s="85">
        <v>2.3636363636363638</v>
      </c>
      <c r="S326" s="29" t="s">
        <v>2719</v>
      </c>
      <c r="T326" s="29" t="s">
        <v>2719</v>
      </c>
    </row>
    <row r="327">
      <c r="B327" s="29" t="s">
        <v>1219</v>
      </c>
      <c r="C327" s="29" t="s">
        <v>1247</v>
      </c>
      <c r="D327" s="8" t="s">
        <v>1266</v>
      </c>
      <c r="E327" s="10" t="s">
        <v>1635</v>
      </c>
      <c r="F327" s="10"/>
      <c r="G327" s="10">
        <v>1</v>
      </c>
      <c r="H327" s="10">
        <v>1</v>
      </c>
      <c r="I327" s="10"/>
      <c r="J327" s="10">
        <v>550</v>
      </c>
      <c r="K327" s="104">
        <v>45716</v>
      </c>
      <c r="L327" s="104">
        <v>45720</v>
      </c>
      <c r="M327" s="10" t="b">
        <v>0</v>
      </c>
      <c r="N327" s="10">
        <v>5</v>
      </c>
      <c r="O327" s="11">
        <v>1300</v>
      </c>
      <c r="P327" s="85">
        <v>2.3636363636363638</v>
      </c>
      <c r="Q327" s="11">
        <v>1300</v>
      </c>
      <c r="R327" s="85">
        <v>2.3636363636363638</v>
      </c>
      <c r="S327" s="29" t="s">
        <v>2719</v>
      </c>
      <c r="T327" s="29" t="s">
        <v>2719</v>
      </c>
    </row>
    <row r="328">
      <c r="B328" s="29" t="s">
        <v>1219</v>
      </c>
      <c r="C328" s="29" t="s">
        <v>1247</v>
      </c>
      <c r="D328" s="8" t="s">
        <v>1266</v>
      </c>
      <c r="E328" s="10" t="s">
        <v>1636</v>
      </c>
      <c r="F328" s="10"/>
      <c r="G328" s="10">
        <v>1</v>
      </c>
      <c r="H328" s="10">
        <v>1</v>
      </c>
      <c r="I328" s="10"/>
      <c r="J328" s="10">
        <v>550</v>
      </c>
      <c r="K328" s="104">
        <v>45716</v>
      </c>
      <c r="L328" s="104">
        <v>45720</v>
      </c>
      <c r="M328" s="10" t="b">
        <v>0</v>
      </c>
      <c r="N328" s="10">
        <v>5</v>
      </c>
      <c r="O328" s="11">
        <v>1300</v>
      </c>
      <c r="P328" s="85">
        <v>2.3636363636363638</v>
      </c>
      <c r="Q328" s="11">
        <v>1300</v>
      </c>
      <c r="R328" s="85">
        <v>2.3636363636363638</v>
      </c>
      <c r="S328" s="29" t="s">
        <v>2719</v>
      </c>
      <c r="T328" s="29" t="s">
        <v>2719</v>
      </c>
    </row>
    <row r="329">
      <c r="B329" s="29" t="s">
        <v>1219</v>
      </c>
      <c r="C329" s="29" t="s">
        <v>1247</v>
      </c>
      <c r="D329" s="8" t="s">
        <v>1266</v>
      </c>
      <c r="E329" s="10" t="s">
        <v>1637</v>
      </c>
      <c r="F329" s="10"/>
      <c r="G329" s="10">
        <v>1</v>
      </c>
      <c r="H329" s="10">
        <v>1</v>
      </c>
      <c r="I329" s="10"/>
      <c r="J329" s="10">
        <v>550</v>
      </c>
      <c r="K329" s="104">
        <v>45716</v>
      </c>
      <c r="L329" s="104">
        <v>45720</v>
      </c>
      <c r="M329" s="10" t="b">
        <v>0</v>
      </c>
      <c r="N329" s="10">
        <v>5</v>
      </c>
      <c r="O329" s="11">
        <v>1300</v>
      </c>
      <c r="P329" s="85">
        <v>2.3636363636363638</v>
      </c>
      <c r="Q329" s="11">
        <v>1300</v>
      </c>
      <c r="R329" s="85">
        <v>2.3636363636363638</v>
      </c>
      <c r="S329" s="29" t="s">
        <v>2719</v>
      </c>
      <c r="T329" s="29" t="s">
        <v>2719</v>
      </c>
    </row>
    <row r="330">
      <c r="B330" s="29" t="s">
        <v>1219</v>
      </c>
      <c r="C330" s="29" t="s">
        <v>1247</v>
      </c>
      <c r="D330" s="8" t="s">
        <v>1266</v>
      </c>
      <c r="E330" s="10" t="s">
        <v>1638</v>
      </c>
      <c r="F330" s="10"/>
      <c r="G330" s="10">
        <v>1</v>
      </c>
      <c r="H330" s="10">
        <v>1</v>
      </c>
      <c r="I330" s="10"/>
      <c r="J330" s="10">
        <v>550</v>
      </c>
      <c r="K330" s="104">
        <v>45716</v>
      </c>
      <c r="L330" s="104">
        <v>45720</v>
      </c>
      <c r="M330" s="10" t="b">
        <v>0</v>
      </c>
      <c r="N330" s="10">
        <v>5</v>
      </c>
      <c r="O330" s="11">
        <v>1300</v>
      </c>
      <c r="P330" s="85">
        <v>2.3636363636363638</v>
      </c>
      <c r="Q330" s="11">
        <v>1300</v>
      </c>
      <c r="R330" s="85">
        <v>2.3636363636363638</v>
      </c>
      <c r="S330" s="29" t="s">
        <v>2719</v>
      </c>
      <c r="T330" s="29" t="s">
        <v>2719</v>
      </c>
    </row>
    <row r="331">
      <c r="B331" s="29" t="s">
        <v>1219</v>
      </c>
      <c r="C331" s="29" t="s">
        <v>1247</v>
      </c>
      <c r="D331" s="8" t="s">
        <v>1266</v>
      </c>
      <c r="E331" s="10" t="s">
        <v>1639</v>
      </c>
      <c r="F331" s="10"/>
      <c r="G331" s="10">
        <v>1</v>
      </c>
      <c r="H331" s="10">
        <v>1</v>
      </c>
      <c r="I331" s="10"/>
      <c r="J331" s="10">
        <v>550</v>
      </c>
      <c r="K331" s="104">
        <v>45716</v>
      </c>
      <c r="L331" s="104">
        <v>45720</v>
      </c>
      <c r="M331" s="10" t="b">
        <v>0</v>
      </c>
      <c r="N331" s="10">
        <v>5</v>
      </c>
      <c r="O331" s="11">
        <v>1300</v>
      </c>
      <c r="P331" s="85">
        <v>2.3636363636363638</v>
      </c>
      <c r="Q331" s="11">
        <v>1300</v>
      </c>
      <c r="R331" s="85">
        <v>2.3636363636363638</v>
      </c>
      <c r="S331" s="29" t="s">
        <v>2719</v>
      </c>
      <c r="T331" s="29" t="s">
        <v>2719</v>
      </c>
    </row>
    <row r="332">
      <c r="B332" s="29" t="s">
        <v>1219</v>
      </c>
      <c r="C332" s="29" t="s">
        <v>1247</v>
      </c>
      <c r="D332" s="8" t="s">
        <v>1266</v>
      </c>
      <c r="E332" s="10" t="s">
        <v>1640</v>
      </c>
      <c r="F332" s="10"/>
      <c r="G332" s="10">
        <v>1</v>
      </c>
      <c r="H332" s="10">
        <v>1</v>
      </c>
      <c r="I332" s="10"/>
      <c r="J332" s="10">
        <v>550</v>
      </c>
      <c r="K332" s="104">
        <v>45716</v>
      </c>
      <c r="L332" s="104">
        <v>45720</v>
      </c>
      <c r="M332" s="10" t="b">
        <v>0</v>
      </c>
      <c r="N332" s="10">
        <v>5</v>
      </c>
      <c r="O332" s="11">
        <v>1300</v>
      </c>
      <c r="P332" s="85">
        <v>2.3636363636363638</v>
      </c>
      <c r="Q332" s="11">
        <v>1300</v>
      </c>
      <c r="R332" s="85">
        <v>2.3636363636363638</v>
      </c>
      <c r="S332" s="29" t="s">
        <v>2719</v>
      </c>
      <c r="T332" s="29" t="s">
        <v>2719</v>
      </c>
    </row>
    <row r="333">
      <c r="B333" s="29" t="s">
        <v>1219</v>
      </c>
      <c r="C333" s="29" t="s">
        <v>1247</v>
      </c>
      <c r="D333" s="8" t="s">
        <v>1266</v>
      </c>
      <c r="E333" s="10" t="s">
        <v>1641</v>
      </c>
      <c r="F333" s="10"/>
      <c r="G333" s="10">
        <v>1</v>
      </c>
      <c r="H333" s="10">
        <v>1</v>
      </c>
      <c r="I333" s="10"/>
      <c r="J333" s="10">
        <v>550</v>
      </c>
      <c r="K333" s="104">
        <v>45705</v>
      </c>
      <c r="L333" s="104">
        <v>45708</v>
      </c>
      <c r="M333" s="10" t="b">
        <v>0</v>
      </c>
      <c r="N333" s="10">
        <v>4</v>
      </c>
      <c r="O333" s="11">
        <v>1300</v>
      </c>
      <c r="P333" s="85">
        <v>2.3636363636363638</v>
      </c>
      <c r="Q333" s="11">
        <v>1300</v>
      </c>
      <c r="R333" s="85">
        <v>2.3636363636363638</v>
      </c>
      <c r="S333" s="29" t="s">
        <v>2719</v>
      </c>
      <c r="T333" s="29" t="s">
        <v>2719</v>
      </c>
    </row>
    <row r="334">
      <c r="B334" s="29" t="s">
        <v>1219</v>
      </c>
      <c r="C334" s="29" t="s">
        <v>1247</v>
      </c>
      <c r="D334" s="8" t="s">
        <v>1266</v>
      </c>
      <c r="E334" s="10" t="s">
        <v>1642</v>
      </c>
      <c r="F334" s="10"/>
      <c r="G334" s="10">
        <v>1</v>
      </c>
      <c r="H334" s="10">
        <v>1</v>
      </c>
      <c r="I334" s="10"/>
      <c r="J334" s="10">
        <v>550</v>
      </c>
      <c r="K334" s="104">
        <v>45705</v>
      </c>
      <c r="L334" s="104">
        <v>45708</v>
      </c>
      <c r="M334" s="10" t="b">
        <v>0</v>
      </c>
      <c r="N334" s="10">
        <v>4</v>
      </c>
      <c r="O334" s="11">
        <v>1300</v>
      </c>
      <c r="P334" s="85">
        <v>2.3636363636363638</v>
      </c>
      <c r="Q334" s="11">
        <v>1300</v>
      </c>
      <c r="R334" s="85">
        <v>2.3636363636363638</v>
      </c>
      <c r="S334" s="29" t="s">
        <v>2719</v>
      </c>
      <c r="T334" s="29" t="s">
        <v>2719</v>
      </c>
    </row>
    <row r="335">
      <c r="B335" s="29" t="s">
        <v>1219</v>
      </c>
      <c r="C335" s="29" t="s">
        <v>1247</v>
      </c>
      <c r="D335" s="8" t="s">
        <v>1266</v>
      </c>
      <c r="E335" s="10" t="s">
        <v>1643</v>
      </c>
      <c r="F335" s="10"/>
      <c r="G335" s="10">
        <v>1</v>
      </c>
      <c r="H335" s="10">
        <v>1</v>
      </c>
      <c r="I335" s="10"/>
      <c r="J335" s="10">
        <v>550</v>
      </c>
      <c r="K335" s="104">
        <v>45716</v>
      </c>
      <c r="L335" s="104">
        <v>45720</v>
      </c>
      <c r="M335" s="10" t="b">
        <v>0</v>
      </c>
      <c r="N335" s="10">
        <v>5</v>
      </c>
      <c r="O335" s="11">
        <v>1300</v>
      </c>
      <c r="P335" s="85">
        <v>2.3636363636363638</v>
      </c>
      <c r="Q335" s="11">
        <v>1300</v>
      </c>
      <c r="R335" s="85">
        <v>2.3636363636363638</v>
      </c>
      <c r="S335" s="29" t="s">
        <v>2719</v>
      </c>
      <c r="T335" s="29" t="s">
        <v>2719</v>
      </c>
    </row>
    <row r="336">
      <c r="B336" s="29" t="s">
        <v>1219</v>
      </c>
      <c r="C336" s="29" t="s">
        <v>1247</v>
      </c>
      <c r="D336" s="8" t="s">
        <v>1266</v>
      </c>
      <c r="E336" s="10" t="s">
        <v>1644</v>
      </c>
      <c r="F336" s="10"/>
      <c r="G336" s="10">
        <v>1</v>
      </c>
      <c r="H336" s="10">
        <v>1</v>
      </c>
      <c r="I336" s="10"/>
      <c r="J336" s="10">
        <v>550</v>
      </c>
      <c r="K336" s="104">
        <v>45716</v>
      </c>
      <c r="L336" s="104"/>
      <c r="M336" s="10" t="b">
        <v>1</v>
      </c>
      <c r="N336" s="10"/>
      <c r="O336" s="11">
        <v>1300</v>
      </c>
      <c r="P336" s="85">
        <v>2.3636363636363638</v>
      </c>
      <c r="Q336" s="11">
        <v>1300</v>
      </c>
      <c r="R336" s="85">
        <v>2.3636363636363638</v>
      </c>
      <c r="S336" s="29" t="s">
        <v>2719</v>
      </c>
      <c r="T336" s="29" t="s">
        <v>2719</v>
      </c>
    </row>
    <row r="337">
      <c r="B337" s="29" t="s">
        <v>1219</v>
      </c>
      <c r="C337" s="29" t="s">
        <v>1247</v>
      </c>
      <c r="D337" s="8" t="s">
        <v>1266</v>
      </c>
      <c r="E337" s="10" t="s">
        <v>1645</v>
      </c>
      <c r="F337" s="10"/>
      <c r="G337" s="10">
        <v>1</v>
      </c>
      <c r="H337" s="10">
        <v>1</v>
      </c>
      <c r="I337" s="10"/>
      <c r="J337" s="10">
        <v>550</v>
      </c>
      <c r="K337" s="104">
        <v>45705</v>
      </c>
      <c r="L337" s="104">
        <v>45708</v>
      </c>
      <c r="M337" s="10" t="b">
        <v>0</v>
      </c>
      <c r="N337" s="10">
        <v>4</v>
      </c>
      <c r="O337" s="11">
        <v>1300</v>
      </c>
      <c r="P337" s="85">
        <v>2.3636363636363638</v>
      </c>
      <c r="Q337" s="11">
        <v>1300</v>
      </c>
      <c r="R337" s="85">
        <v>2.3636363636363638</v>
      </c>
      <c r="S337" s="29" t="s">
        <v>2719</v>
      </c>
      <c r="T337" s="29" t="s">
        <v>2719</v>
      </c>
    </row>
    <row r="338">
      <c r="B338" s="29" t="s">
        <v>1219</v>
      </c>
      <c r="C338" s="29" t="s">
        <v>1247</v>
      </c>
      <c r="D338" s="8" t="s">
        <v>1266</v>
      </c>
      <c r="E338" s="10" t="s">
        <v>1646</v>
      </c>
      <c r="F338" s="10"/>
      <c r="G338" s="10">
        <v>1</v>
      </c>
      <c r="H338" s="10">
        <v>1</v>
      </c>
      <c r="I338" s="10"/>
      <c r="J338" s="10">
        <v>550</v>
      </c>
      <c r="K338" s="104">
        <v>45716</v>
      </c>
      <c r="L338" s="104">
        <v>45720</v>
      </c>
      <c r="M338" s="10" t="b">
        <v>0</v>
      </c>
      <c r="N338" s="10">
        <v>5</v>
      </c>
      <c r="O338" s="11">
        <v>1300</v>
      </c>
      <c r="P338" s="85">
        <v>2.3636363636363638</v>
      </c>
      <c r="Q338" s="11">
        <v>1300</v>
      </c>
      <c r="R338" s="85">
        <v>2.3636363636363638</v>
      </c>
      <c r="S338" s="29" t="s">
        <v>2719</v>
      </c>
      <c r="T338" s="29" t="s">
        <v>2719</v>
      </c>
    </row>
    <row r="339">
      <c r="B339" s="29" t="s">
        <v>1219</v>
      </c>
      <c r="C339" s="29" t="s">
        <v>1247</v>
      </c>
      <c r="D339" s="8" t="s">
        <v>1266</v>
      </c>
      <c r="E339" s="10" t="s">
        <v>1647</v>
      </c>
      <c r="F339" s="10"/>
      <c r="G339" s="10">
        <v>1</v>
      </c>
      <c r="H339" s="10">
        <v>1</v>
      </c>
      <c r="I339" s="10"/>
      <c r="J339" s="10">
        <v>550</v>
      </c>
      <c r="K339" s="104">
        <v>45716</v>
      </c>
      <c r="L339" s="104">
        <v>45720</v>
      </c>
      <c r="M339" s="10" t="b">
        <v>0</v>
      </c>
      <c r="N339" s="10">
        <v>5</v>
      </c>
      <c r="O339" s="11">
        <v>1300</v>
      </c>
      <c r="P339" s="85">
        <v>2.3636363636363638</v>
      </c>
      <c r="Q339" s="11">
        <v>1300</v>
      </c>
      <c r="R339" s="85">
        <v>2.3636363636363638</v>
      </c>
      <c r="S339" s="29" t="s">
        <v>2719</v>
      </c>
      <c r="T339" s="29" t="s">
        <v>2719</v>
      </c>
    </row>
    <row r="340">
      <c r="B340" s="29" t="s">
        <v>1219</v>
      </c>
      <c r="C340" s="29" t="s">
        <v>1247</v>
      </c>
      <c r="D340" s="8" t="s">
        <v>1266</v>
      </c>
      <c r="E340" s="10" t="s">
        <v>1648</v>
      </c>
      <c r="F340" s="10"/>
      <c r="G340" s="10">
        <v>1</v>
      </c>
      <c r="H340" s="10">
        <v>1</v>
      </c>
      <c r="I340" s="10"/>
      <c r="J340" s="10">
        <v>550</v>
      </c>
      <c r="K340" s="104">
        <v>45705</v>
      </c>
      <c r="L340" s="104">
        <v>45708</v>
      </c>
      <c r="M340" s="10" t="b">
        <v>0</v>
      </c>
      <c r="N340" s="10">
        <v>4</v>
      </c>
      <c r="O340" s="11">
        <v>1300</v>
      </c>
      <c r="P340" s="85">
        <v>2.3636363636363638</v>
      </c>
      <c r="Q340" s="11">
        <v>1300</v>
      </c>
      <c r="R340" s="85">
        <v>2.3636363636363638</v>
      </c>
      <c r="S340" s="29" t="s">
        <v>2719</v>
      </c>
      <c r="T340" s="29" t="s">
        <v>2719</v>
      </c>
    </row>
    <row r="341">
      <c r="B341" s="29" t="s">
        <v>1219</v>
      </c>
      <c r="C341" s="29" t="s">
        <v>1247</v>
      </c>
      <c r="D341" s="8" t="s">
        <v>1266</v>
      </c>
      <c r="E341" s="10" t="s">
        <v>1649</v>
      </c>
      <c r="F341" s="10"/>
      <c r="G341" s="10">
        <v>1</v>
      </c>
      <c r="H341" s="10">
        <v>1</v>
      </c>
      <c r="I341" s="10"/>
      <c r="J341" s="10">
        <v>550</v>
      </c>
      <c r="K341" s="104">
        <v>45716</v>
      </c>
      <c r="L341" s="104">
        <v>45720</v>
      </c>
      <c r="M341" s="10" t="b">
        <v>0</v>
      </c>
      <c r="N341" s="10">
        <v>5</v>
      </c>
      <c r="O341" s="11">
        <v>1300</v>
      </c>
      <c r="P341" s="85">
        <v>2.3636363636363638</v>
      </c>
      <c r="Q341" s="11">
        <v>1300</v>
      </c>
      <c r="R341" s="85">
        <v>2.3636363636363638</v>
      </c>
      <c r="S341" s="29" t="s">
        <v>2719</v>
      </c>
      <c r="T341" s="29" t="s">
        <v>2719</v>
      </c>
    </row>
    <row r="342">
      <c r="B342" s="29" t="s">
        <v>1219</v>
      </c>
      <c r="C342" s="29" t="s">
        <v>1247</v>
      </c>
      <c r="D342" s="8" t="s">
        <v>1266</v>
      </c>
      <c r="E342" s="10" t="s">
        <v>1650</v>
      </c>
      <c r="F342" s="10"/>
      <c r="G342" s="10">
        <v>1</v>
      </c>
      <c r="H342" s="10">
        <v>1</v>
      </c>
      <c r="I342" s="10"/>
      <c r="J342" s="10">
        <v>550</v>
      </c>
      <c r="K342" s="104">
        <v>45705</v>
      </c>
      <c r="L342" s="104">
        <v>45708</v>
      </c>
      <c r="M342" s="10" t="b">
        <v>0</v>
      </c>
      <c r="N342" s="10">
        <v>4</v>
      </c>
      <c r="O342" s="11">
        <v>1300</v>
      </c>
      <c r="P342" s="85">
        <v>2.3636363636363638</v>
      </c>
      <c r="Q342" s="11">
        <v>1300</v>
      </c>
      <c r="R342" s="85">
        <v>2.3636363636363638</v>
      </c>
      <c r="S342" s="29" t="s">
        <v>2719</v>
      </c>
      <c r="T342" s="29" t="s">
        <v>2719</v>
      </c>
    </row>
    <row r="343">
      <c r="B343" s="29" t="s">
        <v>1219</v>
      </c>
      <c r="C343" s="29" t="s">
        <v>1247</v>
      </c>
      <c r="D343" s="8" t="s">
        <v>1266</v>
      </c>
      <c r="E343" s="10" t="s">
        <v>1651</v>
      </c>
      <c r="F343" s="10"/>
      <c r="G343" s="10">
        <v>1</v>
      </c>
      <c r="H343" s="10">
        <v>1</v>
      </c>
      <c r="I343" s="10"/>
      <c r="J343" s="10">
        <v>550</v>
      </c>
      <c r="K343" s="104">
        <v>45716</v>
      </c>
      <c r="L343" s="104">
        <v>45720</v>
      </c>
      <c r="M343" s="10" t="b">
        <v>0</v>
      </c>
      <c r="N343" s="10">
        <v>5</v>
      </c>
      <c r="O343" s="11">
        <v>1300</v>
      </c>
      <c r="P343" s="85">
        <v>2.3636363636363638</v>
      </c>
      <c r="Q343" s="11">
        <v>1300</v>
      </c>
      <c r="R343" s="85">
        <v>2.3636363636363638</v>
      </c>
      <c r="S343" s="29" t="s">
        <v>2719</v>
      </c>
      <c r="T343" s="29" t="s">
        <v>2719</v>
      </c>
    </row>
    <row r="344">
      <c r="B344" s="29" t="s">
        <v>1219</v>
      </c>
      <c r="C344" s="29" t="s">
        <v>1247</v>
      </c>
      <c r="D344" s="8" t="s">
        <v>1266</v>
      </c>
      <c r="E344" s="10" t="s">
        <v>1652</v>
      </c>
      <c r="F344" s="10"/>
      <c r="G344" s="10">
        <v>1</v>
      </c>
      <c r="H344" s="10">
        <v>1</v>
      </c>
      <c r="I344" s="10"/>
      <c r="J344" s="10">
        <v>550</v>
      </c>
      <c r="K344" s="104">
        <v>45716</v>
      </c>
      <c r="L344" s="104">
        <v>45720</v>
      </c>
      <c r="M344" s="10" t="b">
        <v>0</v>
      </c>
      <c r="N344" s="10">
        <v>5</v>
      </c>
      <c r="O344" s="11">
        <v>1300</v>
      </c>
      <c r="P344" s="85">
        <v>2.3636363636363638</v>
      </c>
      <c r="Q344" s="11">
        <v>1300</v>
      </c>
      <c r="R344" s="85">
        <v>2.3636363636363638</v>
      </c>
      <c r="S344" s="29" t="s">
        <v>2719</v>
      </c>
      <c r="T344" s="29" t="s">
        <v>2719</v>
      </c>
    </row>
    <row r="345">
      <c r="B345" s="29" t="s">
        <v>1219</v>
      </c>
      <c r="C345" s="29" t="s">
        <v>1247</v>
      </c>
      <c r="D345" s="8" t="s">
        <v>1266</v>
      </c>
      <c r="E345" s="10" t="s">
        <v>1653</v>
      </c>
      <c r="F345" s="10"/>
      <c r="G345" s="10">
        <v>1</v>
      </c>
      <c r="H345" s="10">
        <v>1</v>
      </c>
      <c r="I345" s="10"/>
      <c r="J345" s="10">
        <v>550</v>
      </c>
      <c r="K345" s="104">
        <v>45705</v>
      </c>
      <c r="L345" s="104">
        <v>45708</v>
      </c>
      <c r="M345" s="10" t="b">
        <v>0</v>
      </c>
      <c r="N345" s="10">
        <v>4</v>
      </c>
      <c r="O345" s="11">
        <v>1300</v>
      </c>
      <c r="P345" s="85">
        <v>2.3636363636363638</v>
      </c>
      <c r="Q345" s="11">
        <v>1300</v>
      </c>
      <c r="R345" s="85">
        <v>2.3636363636363638</v>
      </c>
      <c r="S345" s="29" t="s">
        <v>2719</v>
      </c>
      <c r="T345" s="29" t="s">
        <v>2719</v>
      </c>
    </row>
    <row r="346">
      <c r="B346" s="29" t="s">
        <v>1219</v>
      </c>
      <c r="C346" s="29" t="s">
        <v>1247</v>
      </c>
      <c r="D346" s="8" t="s">
        <v>1266</v>
      </c>
      <c r="E346" s="10" t="s">
        <v>1654</v>
      </c>
      <c r="F346" s="10"/>
      <c r="G346" s="10">
        <v>1</v>
      </c>
      <c r="H346" s="10">
        <v>1</v>
      </c>
      <c r="I346" s="10"/>
      <c r="J346" s="10">
        <v>550</v>
      </c>
      <c r="K346" s="104">
        <v>45716</v>
      </c>
      <c r="L346" s="104">
        <v>45720</v>
      </c>
      <c r="M346" s="10" t="b">
        <v>0</v>
      </c>
      <c r="N346" s="10">
        <v>5</v>
      </c>
      <c r="O346" s="11">
        <v>1300</v>
      </c>
      <c r="P346" s="85">
        <v>2.3636363636363638</v>
      </c>
      <c r="Q346" s="11">
        <v>1300</v>
      </c>
      <c r="R346" s="85">
        <v>2.3636363636363638</v>
      </c>
      <c r="S346" s="29" t="s">
        <v>2719</v>
      </c>
      <c r="T346" s="29" t="s">
        <v>2719</v>
      </c>
    </row>
    <row r="347">
      <c r="B347" s="29" t="s">
        <v>1219</v>
      </c>
      <c r="C347" s="29" t="s">
        <v>1247</v>
      </c>
      <c r="D347" s="8" t="s">
        <v>1266</v>
      </c>
      <c r="E347" s="10" t="s">
        <v>1655</v>
      </c>
      <c r="F347" s="10"/>
      <c r="G347" s="10">
        <v>1</v>
      </c>
      <c r="H347" s="10">
        <v>1</v>
      </c>
      <c r="I347" s="10"/>
      <c r="J347" s="10">
        <v>550</v>
      </c>
      <c r="K347" s="104">
        <v>45705</v>
      </c>
      <c r="L347" s="104">
        <v>45708</v>
      </c>
      <c r="M347" s="10" t="b">
        <v>0</v>
      </c>
      <c r="N347" s="10">
        <v>4</v>
      </c>
      <c r="O347" s="11">
        <v>1300</v>
      </c>
      <c r="P347" s="85">
        <v>2.3636363636363638</v>
      </c>
      <c r="Q347" s="11">
        <v>1300</v>
      </c>
      <c r="R347" s="85">
        <v>2.3636363636363638</v>
      </c>
      <c r="S347" s="29" t="s">
        <v>2719</v>
      </c>
      <c r="T347" s="29" t="s">
        <v>2719</v>
      </c>
    </row>
    <row r="348">
      <c r="B348" s="29" t="s">
        <v>1219</v>
      </c>
      <c r="C348" s="29" t="s">
        <v>1247</v>
      </c>
      <c r="D348" s="8" t="s">
        <v>1266</v>
      </c>
      <c r="E348" s="10" t="s">
        <v>1656</v>
      </c>
      <c r="F348" s="10"/>
      <c r="G348" s="10">
        <v>1</v>
      </c>
      <c r="H348" s="10">
        <v>1</v>
      </c>
      <c r="I348" s="10"/>
      <c r="J348" s="10">
        <v>550</v>
      </c>
      <c r="K348" s="104">
        <v>45716</v>
      </c>
      <c r="L348" s="104">
        <v>45720</v>
      </c>
      <c r="M348" s="10" t="b">
        <v>0</v>
      </c>
      <c r="N348" s="10">
        <v>5</v>
      </c>
      <c r="O348" s="11">
        <v>1300</v>
      </c>
      <c r="P348" s="85">
        <v>2.3636363636363638</v>
      </c>
      <c r="Q348" s="11">
        <v>1300</v>
      </c>
      <c r="R348" s="85">
        <v>2.3636363636363638</v>
      </c>
      <c r="S348" s="29" t="s">
        <v>2719</v>
      </c>
      <c r="T348" s="29" t="s">
        <v>2719</v>
      </c>
    </row>
    <row r="349">
      <c r="B349" s="29" t="s">
        <v>1219</v>
      </c>
      <c r="C349" s="29" t="s">
        <v>1247</v>
      </c>
      <c r="D349" s="8" t="s">
        <v>1266</v>
      </c>
      <c r="E349" s="10" t="s">
        <v>1657</v>
      </c>
      <c r="F349" s="10"/>
      <c r="G349" s="10">
        <v>1</v>
      </c>
      <c r="H349" s="10">
        <v>1</v>
      </c>
      <c r="I349" s="10"/>
      <c r="J349" s="10">
        <v>550</v>
      </c>
      <c r="K349" s="104">
        <v>45705</v>
      </c>
      <c r="L349" s="104">
        <v>45708</v>
      </c>
      <c r="M349" s="10" t="b">
        <v>0</v>
      </c>
      <c r="N349" s="10">
        <v>4</v>
      </c>
      <c r="O349" s="11">
        <v>1300</v>
      </c>
      <c r="P349" s="85">
        <v>2.3636363636363638</v>
      </c>
      <c r="Q349" s="11">
        <v>1300</v>
      </c>
      <c r="R349" s="85">
        <v>2.3636363636363638</v>
      </c>
      <c r="S349" s="29" t="s">
        <v>2719</v>
      </c>
      <c r="T349" s="29" t="s">
        <v>2719</v>
      </c>
    </row>
    <row r="350">
      <c r="B350" s="29" t="s">
        <v>1219</v>
      </c>
      <c r="C350" s="29" t="s">
        <v>1247</v>
      </c>
      <c r="D350" s="8" t="s">
        <v>1266</v>
      </c>
      <c r="E350" s="10" t="s">
        <v>1658</v>
      </c>
      <c r="F350" s="10"/>
      <c r="G350" s="10">
        <v>1</v>
      </c>
      <c r="H350" s="10">
        <v>1</v>
      </c>
      <c r="I350" s="10"/>
      <c r="J350" s="10">
        <v>550</v>
      </c>
      <c r="K350" s="104">
        <v>45716</v>
      </c>
      <c r="L350" s="104">
        <v>45720</v>
      </c>
      <c r="M350" s="10" t="b">
        <v>0</v>
      </c>
      <c r="N350" s="10">
        <v>5</v>
      </c>
      <c r="O350" s="11">
        <v>1300</v>
      </c>
      <c r="P350" s="85">
        <v>2.3636363636363638</v>
      </c>
      <c r="Q350" s="11">
        <v>1300</v>
      </c>
      <c r="R350" s="85">
        <v>2.3636363636363638</v>
      </c>
      <c r="S350" s="29" t="s">
        <v>2719</v>
      </c>
      <c r="T350" s="29" t="s">
        <v>2719</v>
      </c>
    </row>
    <row r="351">
      <c r="B351" s="29" t="s">
        <v>1219</v>
      </c>
      <c r="C351" s="29" t="s">
        <v>1247</v>
      </c>
      <c r="D351" s="8" t="s">
        <v>1266</v>
      </c>
      <c r="E351" s="10" t="s">
        <v>1659</v>
      </c>
      <c r="F351" s="10"/>
      <c r="G351" s="10">
        <v>1</v>
      </c>
      <c r="H351" s="10">
        <v>1</v>
      </c>
      <c r="I351" s="10"/>
      <c r="J351" s="10">
        <v>550</v>
      </c>
      <c r="K351" s="104">
        <v>45716</v>
      </c>
      <c r="L351" s="104">
        <v>45720</v>
      </c>
      <c r="M351" s="10" t="b">
        <v>0</v>
      </c>
      <c r="N351" s="10">
        <v>5</v>
      </c>
      <c r="O351" s="11">
        <v>1300</v>
      </c>
      <c r="P351" s="85">
        <v>2.3636363636363638</v>
      </c>
      <c r="Q351" s="11">
        <v>1300</v>
      </c>
      <c r="R351" s="85">
        <v>2.3636363636363638</v>
      </c>
      <c r="S351" s="29" t="s">
        <v>2719</v>
      </c>
      <c r="T351" s="29" t="s">
        <v>2719</v>
      </c>
    </row>
    <row r="352">
      <c r="B352" s="29" t="s">
        <v>1219</v>
      </c>
      <c r="C352" s="29" t="s">
        <v>1247</v>
      </c>
      <c r="D352" s="8" t="s">
        <v>1266</v>
      </c>
      <c r="E352" s="10" t="s">
        <v>1660</v>
      </c>
      <c r="F352" s="10"/>
      <c r="G352" s="10">
        <v>1</v>
      </c>
      <c r="H352" s="10">
        <v>1</v>
      </c>
      <c r="I352" s="10"/>
      <c r="J352" s="10">
        <v>550</v>
      </c>
      <c r="K352" s="104">
        <v>45705</v>
      </c>
      <c r="L352" s="104">
        <v>45708</v>
      </c>
      <c r="M352" s="10" t="b">
        <v>0</v>
      </c>
      <c r="N352" s="10">
        <v>4</v>
      </c>
      <c r="O352" s="11">
        <v>1300</v>
      </c>
      <c r="P352" s="85">
        <v>2.3636363636363638</v>
      </c>
      <c r="Q352" s="11">
        <v>1300</v>
      </c>
      <c r="R352" s="85">
        <v>2.3636363636363638</v>
      </c>
      <c r="S352" s="29" t="s">
        <v>2719</v>
      </c>
      <c r="T352" s="29" t="s">
        <v>2719</v>
      </c>
    </row>
    <row r="353">
      <c r="B353" s="29" t="s">
        <v>1219</v>
      </c>
      <c r="C353" s="29" t="s">
        <v>1247</v>
      </c>
      <c r="D353" s="8" t="s">
        <v>1266</v>
      </c>
      <c r="E353" s="10" t="s">
        <v>1661</v>
      </c>
      <c r="F353" s="10"/>
      <c r="G353" s="10">
        <v>1</v>
      </c>
      <c r="H353" s="10">
        <v>1</v>
      </c>
      <c r="I353" s="10"/>
      <c r="J353" s="10">
        <v>550</v>
      </c>
      <c r="K353" s="104">
        <v>45716</v>
      </c>
      <c r="L353" s="104">
        <v>45720</v>
      </c>
      <c r="M353" s="10" t="b">
        <v>0</v>
      </c>
      <c r="N353" s="10">
        <v>5</v>
      </c>
      <c r="O353" s="11">
        <v>1300</v>
      </c>
      <c r="P353" s="85">
        <v>2.3636363636363638</v>
      </c>
      <c r="Q353" s="11">
        <v>1300</v>
      </c>
      <c r="R353" s="85">
        <v>2.3636363636363638</v>
      </c>
      <c r="S353" s="29" t="s">
        <v>2719</v>
      </c>
      <c r="T353" s="29" t="s">
        <v>2719</v>
      </c>
    </row>
    <row r="354">
      <c r="B354" s="29" t="s">
        <v>1219</v>
      </c>
      <c r="C354" s="29" t="s">
        <v>1247</v>
      </c>
      <c r="D354" s="8" t="s">
        <v>1266</v>
      </c>
      <c r="E354" s="10" t="s">
        <v>1662</v>
      </c>
      <c r="F354" s="10"/>
      <c r="G354" s="10">
        <v>1</v>
      </c>
      <c r="H354" s="10">
        <v>1</v>
      </c>
      <c r="I354" s="10"/>
      <c r="J354" s="10">
        <v>550</v>
      </c>
      <c r="K354" s="104">
        <v>45705</v>
      </c>
      <c r="L354" s="104">
        <v>45708</v>
      </c>
      <c r="M354" s="10" t="b">
        <v>0</v>
      </c>
      <c r="N354" s="10">
        <v>4</v>
      </c>
      <c r="O354" s="11">
        <v>1300</v>
      </c>
      <c r="P354" s="85">
        <v>2.3636363636363638</v>
      </c>
      <c r="Q354" s="11">
        <v>1300</v>
      </c>
      <c r="R354" s="85">
        <v>2.3636363636363638</v>
      </c>
      <c r="S354" s="29" t="s">
        <v>2719</v>
      </c>
      <c r="T354" s="29" t="s">
        <v>2719</v>
      </c>
    </row>
    <row r="355">
      <c r="B355" s="29" t="s">
        <v>1219</v>
      </c>
      <c r="C355" s="29" t="s">
        <v>1247</v>
      </c>
      <c r="D355" s="8" t="s">
        <v>1266</v>
      </c>
      <c r="E355" s="10" t="s">
        <v>1663</v>
      </c>
      <c r="F355" s="10"/>
      <c r="G355" s="10">
        <v>1</v>
      </c>
      <c r="H355" s="10">
        <v>1</v>
      </c>
      <c r="I355" s="10"/>
      <c r="J355" s="10">
        <v>550</v>
      </c>
      <c r="K355" s="104">
        <v>45716</v>
      </c>
      <c r="L355" s="104">
        <v>45720</v>
      </c>
      <c r="M355" s="10" t="b">
        <v>0</v>
      </c>
      <c r="N355" s="10">
        <v>5</v>
      </c>
      <c r="O355" s="11">
        <v>1300</v>
      </c>
      <c r="P355" s="85">
        <v>2.3636363636363638</v>
      </c>
      <c r="Q355" s="11">
        <v>1300</v>
      </c>
      <c r="R355" s="85">
        <v>2.3636363636363638</v>
      </c>
      <c r="S355" s="29" t="s">
        <v>2719</v>
      </c>
      <c r="T355" s="29" t="s">
        <v>2719</v>
      </c>
    </row>
    <row r="356">
      <c r="B356" s="29" t="s">
        <v>1219</v>
      </c>
      <c r="C356" s="29" t="s">
        <v>1247</v>
      </c>
      <c r="D356" s="8" t="s">
        <v>1266</v>
      </c>
      <c r="E356" s="10" t="s">
        <v>1664</v>
      </c>
      <c r="F356" s="10"/>
      <c r="G356" s="10">
        <v>1</v>
      </c>
      <c r="H356" s="10">
        <v>1</v>
      </c>
      <c r="I356" s="10"/>
      <c r="J356" s="10">
        <v>550</v>
      </c>
      <c r="K356" s="104">
        <v>45705</v>
      </c>
      <c r="L356" s="104">
        <v>45708</v>
      </c>
      <c r="M356" s="10" t="b">
        <v>0</v>
      </c>
      <c r="N356" s="10">
        <v>4</v>
      </c>
      <c r="O356" s="11">
        <v>1300</v>
      </c>
      <c r="P356" s="85">
        <v>2.3636363636363638</v>
      </c>
      <c r="Q356" s="11">
        <v>1300</v>
      </c>
      <c r="R356" s="85">
        <v>2.3636363636363638</v>
      </c>
      <c r="S356" s="29" t="s">
        <v>2719</v>
      </c>
      <c r="T356" s="29" t="s">
        <v>2719</v>
      </c>
    </row>
    <row r="357">
      <c r="B357" s="29" t="s">
        <v>1219</v>
      </c>
      <c r="C357" s="29" t="s">
        <v>1247</v>
      </c>
      <c r="D357" s="8" t="s">
        <v>1266</v>
      </c>
      <c r="E357" s="10" t="s">
        <v>1665</v>
      </c>
      <c r="F357" s="10"/>
      <c r="G357" s="10">
        <v>1</v>
      </c>
      <c r="H357" s="10">
        <v>1</v>
      </c>
      <c r="I357" s="10"/>
      <c r="J357" s="10">
        <v>550</v>
      </c>
      <c r="K357" s="104">
        <v>45705</v>
      </c>
      <c r="L357" s="104">
        <v>45708</v>
      </c>
      <c r="M357" s="10" t="b">
        <v>0</v>
      </c>
      <c r="N357" s="10">
        <v>4</v>
      </c>
      <c r="O357" s="11">
        <v>1300</v>
      </c>
      <c r="P357" s="85">
        <v>2.3636363636363638</v>
      </c>
      <c r="Q357" s="11">
        <v>1300</v>
      </c>
      <c r="R357" s="85">
        <v>2.3636363636363638</v>
      </c>
      <c r="S357" s="29" t="s">
        <v>2719</v>
      </c>
      <c r="T357" s="29" t="s">
        <v>2719</v>
      </c>
    </row>
    <row r="358">
      <c r="B358" s="29" t="s">
        <v>1219</v>
      </c>
      <c r="C358" s="29" t="s">
        <v>1247</v>
      </c>
      <c r="D358" s="8" t="s">
        <v>1266</v>
      </c>
      <c r="E358" s="10" t="s">
        <v>1666</v>
      </c>
      <c r="F358" s="10"/>
      <c r="G358" s="10">
        <v>1</v>
      </c>
      <c r="H358" s="10">
        <v>1</v>
      </c>
      <c r="I358" s="10"/>
      <c r="J358" s="10">
        <v>550</v>
      </c>
      <c r="K358" s="104">
        <v>45716</v>
      </c>
      <c r="L358" s="104">
        <v>45720</v>
      </c>
      <c r="M358" s="10" t="b">
        <v>0</v>
      </c>
      <c r="N358" s="10">
        <v>5</v>
      </c>
      <c r="O358" s="11">
        <v>1300</v>
      </c>
      <c r="P358" s="85">
        <v>2.3636363636363638</v>
      </c>
      <c r="Q358" s="11">
        <v>1300</v>
      </c>
      <c r="R358" s="85">
        <v>2.3636363636363638</v>
      </c>
      <c r="S358" s="29" t="s">
        <v>2719</v>
      </c>
      <c r="T358" s="29" t="s">
        <v>2719</v>
      </c>
    </row>
    <row r="359">
      <c r="B359" s="29" t="s">
        <v>1219</v>
      </c>
      <c r="C359" s="29" t="s">
        <v>1247</v>
      </c>
      <c r="D359" s="8" t="s">
        <v>1266</v>
      </c>
      <c r="E359" s="10" t="s">
        <v>1667</v>
      </c>
      <c r="F359" s="10"/>
      <c r="G359" s="10">
        <v>1</v>
      </c>
      <c r="H359" s="10">
        <v>1</v>
      </c>
      <c r="I359" s="10"/>
      <c r="J359" s="10">
        <v>550</v>
      </c>
      <c r="K359" s="104">
        <v>45705</v>
      </c>
      <c r="L359" s="104">
        <v>45772</v>
      </c>
      <c r="M359" s="10" t="b">
        <v>0</v>
      </c>
      <c r="N359" s="10">
        <v>68</v>
      </c>
      <c r="O359" s="11">
        <v>1300</v>
      </c>
      <c r="P359" s="85">
        <v>2.3636363636363638</v>
      </c>
      <c r="Q359" s="11">
        <v>1300</v>
      </c>
      <c r="R359" s="85">
        <v>2.3636363636363638</v>
      </c>
      <c r="S359" s="29" t="s">
        <v>2719</v>
      </c>
      <c r="T359" s="29" t="s">
        <v>2719</v>
      </c>
    </row>
    <row r="360">
      <c r="B360" s="29" t="s">
        <v>1219</v>
      </c>
      <c r="C360" s="29" t="s">
        <v>1247</v>
      </c>
      <c r="D360" s="8" t="s">
        <v>1266</v>
      </c>
      <c r="E360" s="10" t="s">
        <v>1668</v>
      </c>
      <c r="F360" s="10"/>
      <c r="G360" s="10">
        <v>1</v>
      </c>
      <c r="H360" s="10">
        <v>1</v>
      </c>
      <c r="I360" s="10"/>
      <c r="J360" s="10">
        <v>550</v>
      </c>
      <c r="K360" s="104">
        <v>45705</v>
      </c>
      <c r="L360" s="104">
        <v>45708</v>
      </c>
      <c r="M360" s="10" t="b">
        <v>0</v>
      </c>
      <c r="N360" s="10">
        <v>4</v>
      </c>
      <c r="O360" s="11">
        <v>1300</v>
      </c>
      <c r="P360" s="85">
        <v>2.3636363636363638</v>
      </c>
      <c r="Q360" s="11">
        <v>1300</v>
      </c>
      <c r="R360" s="85">
        <v>2.3636363636363638</v>
      </c>
      <c r="S360" s="29" t="s">
        <v>2719</v>
      </c>
      <c r="T360" s="29" t="s">
        <v>2719</v>
      </c>
    </row>
    <row r="361">
      <c r="B361" s="29" t="s">
        <v>1219</v>
      </c>
      <c r="C361" s="29" t="s">
        <v>1247</v>
      </c>
      <c r="D361" s="8" t="s">
        <v>1266</v>
      </c>
      <c r="E361" s="10" t="s">
        <v>1669</v>
      </c>
      <c r="F361" s="10"/>
      <c r="G361" s="10">
        <v>1</v>
      </c>
      <c r="H361" s="10">
        <v>1</v>
      </c>
      <c r="I361" s="10"/>
      <c r="J361" s="10">
        <v>550</v>
      </c>
      <c r="K361" s="104">
        <v>45714</v>
      </c>
      <c r="L361" s="104">
        <v>45731</v>
      </c>
      <c r="M361" s="10" t="b">
        <v>0</v>
      </c>
      <c r="N361" s="10">
        <v>18</v>
      </c>
      <c r="O361" s="11">
        <v>1300</v>
      </c>
      <c r="P361" s="85">
        <v>2.3636363636363638</v>
      </c>
      <c r="Q361" s="11">
        <v>1300</v>
      </c>
      <c r="R361" s="85">
        <v>2.3636363636363638</v>
      </c>
      <c r="S361" s="29" t="s">
        <v>2719</v>
      </c>
      <c r="T361" s="29" t="s">
        <v>2719</v>
      </c>
    </row>
    <row r="362">
      <c r="B362" s="29" t="s">
        <v>1219</v>
      </c>
      <c r="C362" s="29" t="s">
        <v>1247</v>
      </c>
      <c r="D362" s="8" t="s">
        <v>1266</v>
      </c>
      <c r="E362" s="10" t="s">
        <v>1670</v>
      </c>
      <c r="F362" s="10"/>
      <c r="G362" s="10">
        <v>1</v>
      </c>
      <c r="H362" s="10">
        <v>1</v>
      </c>
      <c r="I362" s="10"/>
      <c r="J362" s="10">
        <v>550</v>
      </c>
      <c r="K362" s="104">
        <v>45716</v>
      </c>
      <c r="L362" s="104">
        <v>45720</v>
      </c>
      <c r="M362" s="10" t="b">
        <v>0</v>
      </c>
      <c r="N362" s="10">
        <v>5</v>
      </c>
      <c r="O362" s="11">
        <v>1300</v>
      </c>
      <c r="P362" s="85">
        <v>2.3636363636363638</v>
      </c>
      <c r="Q362" s="11">
        <v>1300</v>
      </c>
      <c r="R362" s="85">
        <v>2.3636363636363638</v>
      </c>
      <c r="S362" s="29" t="s">
        <v>2719</v>
      </c>
      <c r="T362" s="29" t="s">
        <v>2719</v>
      </c>
    </row>
    <row r="363">
      <c r="B363" s="29" t="s">
        <v>1219</v>
      </c>
      <c r="C363" s="29" t="s">
        <v>1247</v>
      </c>
      <c r="D363" s="8" t="s">
        <v>1266</v>
      </c>
      <c r="E363" s="10" t="s">
        <v>1671</v>
      </c>
      <c r="F363" s="10"/>
      <c r="G363" s="10">
        <v>1</v>
      </c>
      <c r="H363" s="10">
        <v>1</v>
      </c>
      <c r="I363" s="10"/>
      <c r="J363" s="10">
        <v>550</v>
      </c>
      <c r="K363" s="104">
        <v>45705</v>
      </c>
      <c r="L363" s="104">
        <v>45708</v>
      </c>
      <c r="M363" s="10" t="b">
        <v>0</v>
      </c>
      <c r="N363" s="10">
        <v>4</v>
      </c>
      <c r="O363" s="11">
        <v>1300</v>
      </c>
      <c r="P363" s="85">
        <v>2.3636363636363638</v>
      </c>
      <c r="Q363" s="11">
        <v>1300</v>
      </c>
      <c r="R363" s="85">
        <v>2.3636363636363638</v>
      </c>
      <c r="S363" s="29" t="s">
        <v>2719</v>
      </c>
      <c r="T363" s="29" t="s">
        <v>2719</v>
      </c>
    </row>
    <row r="364">
      <c r="B364" s="29" t="s">
        <v>1219</v>
      </c>
      <c r="C364" s="29" t="s">
        <v>1247</v>
      </c>
      <c r="D364" s="8" t="s">
        <v>1266</v>
      </c>
      <c r="E364" s="10" t="s">
        <v>1672</v>
      </c>
      <c r="F364" s="10"/>
      <c r="G364" s="10">
        <v>1</v>
      </c>
      <c r="H364" s="10">
        <v>1</v>
      </c>
      <c r="I364" s="10"/>
      <c r="J364" s="10">
        <v>550</v>
      </c>
      <c r="K364" s="104">
        <v>45716</v>
      </c>
      <c r="L364" s="104">
        <v>45720</v>
      </c>
      <c r="M364" s="10" t="b">
        <v>0</v>
      </c>
      <c r="N364" s="10">
        <v>5</v>
      </c>
      <c r="O364" s="11">
        <v>1300</v>
      </c>
      <c r="P364" s="85">
        <v>2.3636363636363638</v>
      </c>
      <c r="Q364" s="11">
        <v>1300</v>
      </c>
      <c r="R364" s="85">
        <v>2.3636363636363638</v>
      </c>
      <c r="S364" s="29" t="s">
        <v>2719</v>
      </c>
      <c r="T364" s="29" t="s">
        <v>2719</v>
      </c>
    </row>
    <row r="365">
      <c r="B365" s="29" t="s">
        <v>1219</v>
      </c>
      <c r="C365" s="29" t="s">
        <v>1247</v>
      </c>
      <c r="D365" s="8" t="s">
        <v>1266</v>
      </c>
      <c r="E365" s="10" t="s">
        <v>1673</v>
      </c>
      <c r="F365" s="10"/>
      <c r="G365" s="10">
        <v>1</v>
      </c>
      <c r="H365" s="10">
        <v>1</v>
      </c>
      <c r="I365" s="10"/>
      <c r="J365" s="10">
        <v>550</v>
      </c>
      <c r="K365" s="104">
        <v>45716</v>
      </c>
      <c r="L365" s="104">
        <v>45720</v>
      </c>
      <c r="M365" s="10" t="b">
        <v>0</v>
      </c>
      <c r="N365" s="10">
        <v>5</v>
      </c>
      <c r="O365" s="11">
        <v>1300</v>
      </c>
      <c r="P365" s="85">
        <v>2.3636363636363638</v>
      </c>
      <c r="Q365" s="11">
        <v>1300</v>
      </c>
      <c r="R365" s="85">
        <v>2.3636363636363638</v>
      </c>
      <c r="S365" s="29" t="s">
        <v>2719</v>
      </c>
      <c r="T365" s="29" t="s">
        <v>2719</v>
      </c>
    </row>
    <row r="366">
      <c r="B366" s="29" t="s">
        <v>1219</v>
      </c>
      <c r="C366" s="29" t="s">
        <v>1247</v>
      </c>
      <c r="D366" s="8" t="s">
        <v>1266</v>
      </c>
      <c r="E366" s="10" t="s">
        <v>1674</v>
      </c>
      <c r="F366" s="10"/>
      <c r="G366" s="10">
        <v>1</v>
      </c>
      <c r="H366" s="10">
        <v>1</v>
      </c>
      <c r="I366" s="10"/>
      <c r="J366" s="10">
        <v>550</v>
      </c>
      <c r="K366" s="104">
        <v>45716</v>
      </c>
      <c r="L366" s="104">
        <v>45720</v>
      </c>
      <c r="M366" s="10" t="b">
        <v>0</v>
      </c>
      <c r="N366" s="10">
        <v>5</v>
      </c>
      <c r="O366" s="11">
        <v>1300</v>
      </c>
      <c r="P366" s="85">
        <v>2.3636363636363638</v>
      </c>
      <c r="Q366" s="11">
        <v>1300</v>
      </c>
      <c r="R366" s="85">
        <v>2.3636363636363638</v>
      </c>
      <c r="S366" s="29" t="s">
        <v>2719</v>
      </c>
      <c r="T366" s="29" t="s">
        <v>2719</v>
      </c>
    </row>
    <row r="367">
      <c r="B367" s="29" t="s">
        <v>1219</v>
      </c>
      <c r="C367" s="29" t="s">
        <v>1247</v>
      </c>
      <c r="D367" s="8" t="s">
        <v>1266</v>
      </c>
      <c r="E367" s="10" t="s">
        <v>1675</v>
      </c>
      <c r="F367" s="10"/>
      <c r="G367" s="10">
        <v>1</v>
      </c>
      <c r="H367" s="10">
        <v>1</v>
      </c>
      <c r="I367" s="10"/>
      <c r="J367" s="10">
        <v>550</v>
      </c>
      <c r="K367" s="104">
        <v>45716</v>
      </c>
      <c r="L367" s="104">
        <v>45720</v>
      </c>
      <c r="M367" s="10" t="b">
        <v>0</v>
      </c>
      <c r="N367" s="10">
        <v>5</v>
      </c>
      <c r="O367" s="11">
        <v>1300</v>
      </c>
      <c r="P367" s="85">
        <v>2.3636363636363638</v>
      </c>
      <c r="Q367" s="11">
        <v>1300</v>
      </c>
      <c r="R367" s="85">
        <v>2.3636363636363638</v>
      </c>
      <c r="S367" s="29" t="s">
        <v>2719</v>
      </c>
      <c r="T367" s="29" t="s">
        <v>2719</v>
      </c>
    </row>
    <row r="368">
      <c r="B368" s="29" t="s">
        <v>1219</v>
      </c>
      <c r="C368" s="29" t="s">
        <v>1247</v>
      </c>
      <c r="D368" s="8" t="s">
        <v>1266</v>
      </c>
      <c r="E368" s="10" t="s">
        <v>1676</v>
      </c>
      <c r="F368" s="10"/>
      <c r="G368" s="10">
        <v>1</v>
      </c>
      <c r="H368" s="10">
        <v>1</v>
      </c>
      <c r="I368" s="10"/>
      <c r="J368" s="10">
        <v>550</v>
      </c>
      <c r="K368" s="104">
        <v>45716</v>
      </c>
      <c r="L368" s="104">
        <v>45720</v>
      </c>
      <c r="M368" s="10" t="b">
        <v>0</v>
      </c>
      <c r="N368" s="10">
        <v>5</v>
      </c>
      <c r="O368" s="11">
        <v>1300</v>
      </c>
      <c r="P368" s="85">
        <v>2.3636363636363638</v>
      </c>
      <c r="Q368" s="11">
        <v>1300</v>
      </c>
      <c r="R368" s="85">
        <v>2.3636363636363638</v>
      </c>
      <c r="S368" s="29" t="s">
        <v>2719</v>
      </c>
      <c r="T368" s="29" t="s">
        <v>2719</v>
      </c>
    </row>
    <row r="369">
      <c r="B369" s="29" t="s">
        <v>1219</v>
      </c>
      <c r="C369" s="29" t="s">
        <v>1247</v>
      </c>
      <c r="D369" s="8" t="s">
        <v>1266</v>
      </c>
      <c r="E369" s="10" t="s">
        <v>1677</v>
      </c>
      <c r="F369" s="10"/>
      <c r="G369" s="10">
        <v>1</v>
      </c>
      <c r="H369" s="10">
        <v>1</v>
      </c>
      <c r="I369" s="10"/>
      <c r="J369" s="10">
        <v>550</v>
      </c>
      <c r="K369" s="104">
        <v>45716</v>
      </c>
      <c r="L369" s="104">
        <v>45720</v>
      </c>
      <c r="M369" s="10" t="b">
        <v>0</v>
      </c>
      <c r="N369" s="10">
        <v>5</v>
      </c>
      <c r="O369" s="11">
        <v>1300</v>
      </c>
      <c r="P369" s="85">
        <v>2.3636363636363638</v>
      </c>
      <c r="Q369" s="11">
        <v>1300</v>
      </c>
      <c r="R369" s="85">
        <v>2.3636363636363638</v>
      </c>
      <c r="S369" s="29" t="s">
        <v>2719</v>
      </c>
      <c r="T369" s="29" t="s">
        <v>2719</v>
      </c>
    </row>
    <row r="370">
      <c r="B370" s="29" t="s">
        <v>1219</v>
      </c>
      <c r="C370" s="29" t="s">
        <v>1247</v>
      </c>
      <c r="D370" s="8" t="s">
        <v>1266</v>
      </c>
      <c r="E370" s="10" t="s">
        <v>1678</v>
      </c>
      <c r="F370" s="10"/>
      <c r="G370" s="10">
        <v>1</v>
      </c>
      <c r="H370" s="10">
        <v>1</v>
      </c>
      <c r="I370" s="10"/>
      <c r="J370" s="10">
        <v>550</v>
      </c>
      <c r="K370" s="104">
        <v>45716</v>
      </c>
      <c r="L370" s="104">
        <v>45720</v>
      </c>
      <c r="M370" s="10" t="b">
        <v>0</v>
      </c>
      <c r="N370" s="10">
        <v>5</v>
      </c>
      <c r="O370" s="11">
        <v>1300</v>
      </c>
      <c r="P370" s="85">
        <v>2.3636363636363638</v>
      </c>
      <c r="Q370" s="11">
        <v>1300</v>
      </c>
      <c r="R370" s="85">
        <v>2.3636363636363638</v>
      </c>
      <c r="S370" s="29" t="s">
        <v>2719</v>
      </c>
      <c r="T370" s="29" t="s">
        <v>2719</v>
      </c>
    </row>
    <row r="371">
      <c r="B371" s="29" t="s">
        <v>1219</v>
      </c>
      <c r="C371" s="29" t="s">
        <v>1247</v>
      </c>
      <c r="D371" s="8" t="s">
        <v>1266</v>
      </c>
      <c r="E371" s="10" t="s">
        <v>1679</v>
      </c>
      <c r="F371" s="10"/>
      <c r="G371" s="10">
        <v>1</v>
      </c>
      <c r="H371" s="10">
        <v>1</v>
      </c>
      <c r="I371" s="10"/>
      <c r="J371" s="10">
        <v>550</v>
      </c>
      <c r="K371" s="104">
        <v>45716</v>
      </c>
      <c r="L371" s="104">
        <v>45720</v>
      </c>
      <c r="M371" s="10" t="b">
        <v>0</v>
      </c>
      <c r="N371" s="10">
        <v>5</v>
      </c>
      <c r="O371" s="11">
        <v>1300</v>
      </c>
      <c r="P371" s="85">
        <v>2.3636363636363638</v>
      </c>
      <c r="Q371" s="11">
        <v>1300</v>
      </c>
      <c r="R371" s="85">
        <v>2.3636363636363638</v>
      </c>
      <c r="S371" s="29" t="s">
        <v>2719</v>
      </c>
      <c r="T371" s="29" t="s">
        <v>2719</v>
      </c>
    </row>
    <row r="372">
      <c r="B372" s="29" t="s">
        <v>1219</v>
      </c>
      <c r="C372" s="29" t="s">
        <v>1247</v>
      </c>
      <c r="D372" s="8" t="s">
        <v>1266</v>
      </c>
      <c r="E372" s="10" t="s">
        <v>1680</v>
      </c>
      <c r="F372" s="10"/>
      <c r="G372" s="10">
        <v>1</v>
      </c>
      <c r="H372" s="10">
        <v>1</v>
      </c>
      <c r="I372" s="10"/>
      <c r="J372" s="10">
        <v>550</v>
      </c>
      <c r="K372" s="104">
        <v>45705</v>
      </c>
      <c r="L372" s="104">
        <v>45708</v>
      </c>
      <c r="M372" s="10" t="b">
        <v>0</v>
      </c>
      <c r="N372" s="10">
        <v>4</v>
      </c>
      <c r="O372" s="11">
        <v>1300</v>
      </c>
      <c r="P372" s="85">
        <v>2.3636363636363638</v>
      </c>
      <c r="Q372" s="11">
        <v>1300</v>
      </c>
      <c r="R372" s="85">
        <v>2.3636363636363638</v>
      </c>
      <c r="S372" s="29" t="s">
        <v>2719</v>
      </c>
      <c r="T372" s="29" t="s">
        <v>2719</v>
      </c>
    </row>
    <row r="373">
      <c r="B373" s="29" t="s">
        <v>1219</v>
      </c>
      <c r="C373" s="29" t="s">
        <v>1247</v>
      </c>
      <c r="D373" s="8" t="s">
        <v>1266</v>
      </c>
      <c r="E373" s="10" t="s">
        <v>1681</v>
      </c>
      <c r="F373" s="10"/>
      <c r="G373" s="10">
        <v>1</v>
      </c>
      <c r="H373" s="10">
        <v>1</v>
      </c>
      <c r="I373" s="10"/>
      <c r="J373" s="10">
        <v>550</v>
      </c>
      <c r="K373" s="104">
        <v>45705</v>
      </c>
      <c r="L373" s="104">
        <v>45708</v>
      </c>
      <c r="M373" s="10" t="b">
        <v>0</v>
      </c>
      <c r="N373" s="10">
        <v>4</v>
      </c>
      <c r="O373" s="11">
        <v>1300</v>
      </c>
      <c r="P373" s="85">
        <v>2.3636363636363638</v>
      </c>
      <c r="Q373" s="11">
        <v>1300</v>
      </c>
      <c r="R373" s="85">
        <v>2.3636363636363638</v>
      </c>
      <c r="S373" s="29" t="s">
        <v>2719</v>
      </c>
      <c r="T373" s="29" t="s">
        <v>2719</v>
      </c>
    </row>
    <row r="374">
      <c r="B374" s="29" t="s">
        <v>1219</v>
      </c>
      <c r="C374" s="29" t="s">
        <v>1247</v>
      </c>
      <c r="D374" s="8" t="s">
        <v>1266</v>
      </c>
      <c r="E374" s="10" t="s">
        <v>1682</v>
      </c>
      <c r="F374" s="10"/>
      <c r="G374" s="10">
        <v>1</v>
      </c>
      <c r="H374" s="10">
        <v>1</v>
      </c>
      <c r="I374" s="10"/>
      <c r="J374" s="10">
        <v>550</v>
      </c>
      <c r="K374" s="104">
        <v>45705</v>
      </c>
      <c r="L374" s="104">
        <v>45708</v>
      </c>
      <c r="M374" s="10" t="b">
        <v>0</v>
      </c>
      <c r="N374" s="10">
        <v>4</v>
      </c>
      <c r="O374" s="11">
        <v>1300</v>
      </c>
      <c r="P374" s="85">
        <v>2.3636363636363638</v>
      </c>
      <c r="Q374" s="11">
        <v>1300</v>
      </c>
      <c r="R374" s="85">
        <v>2.3636363636363638</v>
      </c>
      <c r="S374" s="29" t="s">
        <v>2719</v>
      </c>
      <c r="T374" s="29" t="s">
        <v>2719</v>
      </c>
    </row>
    <row r="375">
      <c r="B375" s="29" t="s">
        <v>1219</v>
      </c>
      <c r="C375" s="29" t="s">
        <v>1247</v>
      </c>
      <c r="D375" s="8" t="s">
        <v>1266</v>
      </c>
      <c r="E375" s="10" t="s">
        <v>1683</v>
      </c>
      <c r="F375" s="10"/>
      <c r="G375" s="10">
        <v>1</v>
      </c>
      <c r="H375" s="10">
        <v>1</v>
      </c>
      <c r="I375" s="10"/>
      <c r="J375" s="10">
        <v>550</v>
      </c>
      <c r="K375" s="104">
        <v>45716</v>
      </c>
      <c r="L375" s="104">
        <v>45720</v>
      </c>
      <c r="M375" s="10" t="b">
        <v>0</v>
      </c>
      <c r="N375" s="10">
        <v>5</v>
      </c>
      <c r="O375" s="11">
        <v>1300</v>
      </c>
      <c r="P375" s="85">
        <v>2.3636363636363638</v>
      </c>
      <c r="Q375" s="11">
        <v>1300</v>
      </c>
      <c r="R375" s="85">
        <v>2.3636363636363638</v>
      </c>
      <c r="S375" s="29" t="s">
        <v>2719</v>
      </c>
      <c r="T375" s="29" t="s">
        <v>2719</v>
      </c>
    </row>
    <row r="376">
      <c r="B376" s="29" t="s">
        <v>1219</v>
      </c>
      <c r="C376" s="29" t="s">
        <v>1247</v>
      </c>
      <c r="D376" s="8" t="s">
        <v>1266</v>
      </c>
      <c r="E376" s="10" t="s">
        <v>1684</v>
      </c>
      <c r="F376" s="10"/>
      <c r="G376" s="10">
        <v>1</v>
      </c>
      <c r="H376" s="10">
        <v>1</v>
      </c>
      <c r="I376" s="10"/>
      <c r="J376" s="10">
        <v>550</v>
      </c>
      <c r="K376" s="104">
        <v>45716</v>
      </c>
      <c r="L376" s="104">
        <v>45720</v>
      </c>
      <c r="M376" s="10" t="b">
        <v>0</v>
      </c>
      <c r="N376" s="10">
        <v>5</v>
      </c>
      <c r="O376" s="11">
        <v>1300</v>
      </c>
      <c r="P376" s="85">
        <v>2.3636363636363638</v>
      </c>
      <c r="Q376" s="11">
        <v>1300</v>
      </c>
      <c r="R376" s="85">
        <v>2.3636363636363638</v>
      </c>
      <c r="S376" s="29" t="s">
        <v>2719</v>
      </c>
      <c r="T376" s="29" t="s">
        <v>2719</v>
      </c>
    </row>
    <row r="377">
      <c r="B377" s="29" t="s">
        <v>1219</v>
      </c>
      <c r="C377" s="29" t="s">
        <v>1247</v>
      </c>
      <c r="D377" s="8" t="s">
        <v>1266</v>
      </c>
      <c r="E377" s="10" t="s">
        <v>1685</v>
      </c>
      <c r="F377" s="10"/>
      <c r="G377" s="10">
        <v>1</v>
      </c>
      <c r="H377" s="10">
        <v>1</v>
      </c>
      <c r="I377" s="10"/>
      <c r="J377" s="10">
        <v>550</v>
      </c>
      <c r="K377" s="104">
        <v>45705</v>
      </c>
      <c r="L377" s="104">
        <v>45708</v>
      </c>
      <c r="M377" s="10" t="b">
        <v>0</v>
      </c>
      <c r="N377" s="10">
        <v>4</v>
      </c>
      <c r="O377" s="11">
        <v>1300</v>
      </c>
      <c r="P377" s="85">
        <v>2.3636363636363638</v>
      </c>
      <c r="Q377" s="11">
        <v>1300</v>
      </c>
      <c r="R377" s="85">
        <v>2.3636363636363638</v>
      </c>
      <c r="S377" s="29" t="s">
        <v>2719</v>
      </c>
      <c r="T377" s="29" t="s">
        <v>2719</v>
      </c>
    </row>
    <row r="378">
      <c r="B378" s="29" t="s">
        <v>1219</v>
      </c>
      <c r="C378" s="29" t="s">
        <v>1247</v>
      </c>
      <c r="D378" s="8" t="s">
        <v>1266</v>
      </c>
      <c r="E378" s="10" t="s">
        <v>1686</v>
      </c>
      <c r="F378" s="10"/>
      <c r="G378" s="10">
        <v>1</v>
      </c>
      <c r="H378" s="10">
        <v>1</v>
      </c>
      <c r="I378" s="10"/>
      <c r="J378" s="10">
        <v>550</v>
      </c>
      <c r="K378" s="104">
        <v>45716</v>
      </c>
      <c r="L378" s="104">
        <v>45720</v>
      </c>
      <c r="M378" s="10" t="b">
        <v>0</v>
      </c>
      <c r="N378" s="10">
        <v>5</v>
      </c>
      <c r="O378" s="11">
        <v>1300</v>
      </c>
      <c r="P378" s="85">
        <v>2.3636363636363638</v>
      </c>
      <c r="Q378" s="11">
        <v>1300</v>
      </c>
      <c r="R378" s="85">
        <v>2.3636363636363638</v>
      </c>
      <c r="S378" s="29" t="s">
        <v>2719</v>
      </c>
      <c r="T378" s="29" t="s">
        <v>2719</v>
      </c>
    </row>
    <row r="379">
      <c r="B379" s="29" t="s">
        <v>1219</v>
      </c>
      <c r="C379" s="29" t="s">
        <v>1247</v>
      </c>
      <c r="D379" s="8" t="s">
        <v>1266</v>
      </c>
      <c r="E379" s="10" t="s">
        <v>1687</v>
      </c>
      <c r="F379" s="10"/>
      <c r="G379" s="10">
        <v>1</v>
      </c>
      <c r="H379" s="10">
        <v>1</v>
      </c>
      <c r="I379" s="10"/>
      <c r="J379" s="10">
        <v>550</v>
      </c>
      <c r="K379" s="104">
        <v>45705</v>
      </c>
      <c r="L379" s="104">
        <v>45708</v>
      </c>
      <c r="M379" s="10" t="b">
        <v>0</v>
      </c>
      <c r="N379" s="10">
        <v>4</v>
      </c>
      <c r="O379" s="11">
        <v>1300</v>
      </c>
      <c r="P379" s="85">
        <v>2.3636363636363638</v>
      </c>
      <c r="Q379" s="11">
        <v>1300</v>
      </c>
      <c r="R379" s="85">
        <v>2.3636363636363638</v>
      </c>
      <c r="S379" s="29" t="s">
        <v>2719</v>
      </c>
      <c r="T379" s="29" t="s">
        <v>2719</v>
      </c>
    </row>
    <row r="380">
      <c r="B380" s="29" t="s">
        <v>1219</v>
      </c>
      <c r="C380" s="29" t="s">
        <v>1247</v>
      </c>
      <c r="D380" s="8" t="s">
        <v>1266</v>
      </c>
      <c r="E380" s="10" t="s">
        <v>1688</v>
      </c>
      <c r="F380" s="10"/>
      <c r="G380" s="10">
        <v>1</v>
      </c>
      <c r="H380" s="10">
        <v>1</v>
      </c>
      <c r="I380" s="10"/>
      <c r="J380" s="10">
        <v>550</v>
      </c>
      <c r="K380" s="104">
        <v>45705</v>
      </c>
      <c r="L380" s="104">
        <v>45708</v>
      </c>
      <c r="M380" s="10" t="b">
        <v>0</v>
      </c>
      <c r="N380" s="10">
        <v>4</v>
      </c>
      <c r="O380" s="11">
        <v>1300</v>
      </c>
      <c r="P380" s="85">
        <v>2.3636363636363638</v>
      </c>
      <c r="Q380" s="11">
        <v>1300</v>
      </c>
      <c r="R380" s="85">
        <v>2.3636363636363638</v>
      </c>
      <c r="S380" s="29" t="s">
        <v>2719</v>
      </c>
      <c r="T380" s="29" t="s">
        <v>2719</v>
      </c>
    </row>
    <row r="381">
      <c r="B381" s="29" t="s">
        <v>1219</v>
      </c>
      <c r="C381" s="29" t="s">
        <v>1247</v>
      </c>
      <c r="D381" s="8" t="s">
        <v>1266</v>
      </c>
      <c r="E381" s="10" t="s">
        <v>1689</v>
      </c>
      <c r="F381" s="10"/>
      <c r="G381" s="10">
        <v>1</v>
      </c>
      <c r="H381" s="10">
        <v>1</v>
      </c>
      <c r="I381" s="10"/>
      <c r="J381" s="10">
        <v>550</v>
      </c>
      <c r="K381" s="104">
        <v>45716</v>
      </c>
      <c r="L381" s="104">
        <v>45720</v>
      </c>
      <c r="M381" s="10" t="b">
        <v>0</v>
      </c>
      <c r="N381" s="10">
        <v>5</v>
      </c>
      <c r="O381" s="11">
        <v>1300</v>
      </c>
      <c r="P381" s="85">
        <v>2.3636363636363638</v>
      </c>
      <c r="Q381" s="11">
        <v>1300</v>
      </c>
      <c r="R381" s="85">
        <v>2.3636363636363638</v>
      </c>
      <c r="S381" s="29" t="s">
        <v>2719</v>
      </c>
      <c r="T381" s="29" t="s">
        <v>2719</v>
      </c>
    </row>
    <row r="382">
      <c r="B382" s="29" t="s">
        <v>1219</v>
      </c>
      <c r="C382" s="29" t="s">
        <v>1247</v>
      </c>
      <c r="D382" s="8" t="s">
        <v>1266</v>
      </c>
      <c r="E382" s="10" t="s">
        <v>1690</v>
      </c>
      <c r="F382" s="10"/>
      <c r="G382" s="10">
        <v>1</v>
      </c>
      <c r="H382" s="10">
        <v>1</v>
      </c>
      <c r="I382" s="10"/>
      <c r="J382" s="10">
        <v>550</v>
      </c>
      <c r="K382" s="104">
        <v>45705</v>
      </c>
      <c r="L382" s="104">
        <v>45708</v>
      </c>
      <c r="M382" s="10" t="b">
        <v>0</v>
      </c>
      <c r="N382" s="10">
        <v>4</v>
      </c>
      <c r="O382" s="11">
        <v>1300</v>
      </c>
      <c r="P382" s="85">
        <v>2.3636363636363638</v>
      </c>
      <c r="Q382" s="11">
        <v>1300</v>
      </c>
      <c r="R382" s="85">
        <v>2.3636363636363638</v>
      </c>
      <c r="S382" s="29" t="s">
        <v>2719</v>
      </c>
      <c r="T382" s="29" t="s">
        <v>2719</v>
      </c>
    </row>
    <row r="383">
      <c r="B383" s="29" t="s">
        <v>1219</v>
      </c>
      <c r="C383" s="29" t="s">
        <v>1247</v>
      </c>
      <c r="D383" s="8" t="s">
        <v>1266</v>
      </c>
      <c r="E383" s="10" t="s">
        <v>1691</v>
      </c>
      <c r="F383" s="10"/>
      <c r="G383" s="10">
        <v>1</v>
      </c>
      <c r="H383" s="10">
        <v>1</v>
      </c>
      <c r="I383" s="10"/>
      <c r="J383" s="10">
        <v>550</v>
      </c>
      <c r="K383" s="104">
        <v>45705</v>
      </c>
      <c r="L383" s="104">
        <v>45708</v>
      </c>
      <c r="M383" s="10" t="b">
        <v>0</v>
      </c>
      <c r="N383" s="10">
        <v>4</v>
      </c>
      <c r="O383" s="11">
        <v>1300</v>
      </c>
      <c r="P383" s="85">
        <v>2.3636363636363638</v>
      </c>
      <c r="Q383" s="11">
        <v>1300</v>
      </c>
      <c r="R383" s="85">
        <v>2.3636363636363638</v>
      </c>
      <c r="S383" s="29" t="s">
        <v>2719</v>
      </c>
      <c r="T383" s="29" t="s">
        <v>2719</v>
      </c>
    </row>
    <row r="384">
      <c r="B384" s="29" t="s">
        <v>1219</v>
      </c>
      <c r="C384" s="29" t="s">
        <v>1247</v>
      </c>
      <c r="D384" s="8" t="s">
        <v>1266</v>
      </c>
      <c r="E384" s="10" t="s">
        <v>1692</v>
      </c>
      <c r="F384" s="10"/>
      <c r="G384" s="10">
        <v>1</v>
      </c>
      <c r="H384" s="10">
        <v>1</v>
      </c>
      <c r="I384" s="10"/>
      <c r="J384" s="10">
        <v>550</v>
      </c>
      <c r="K384" s="104">
        <v>45705</v>
      </c>
      <c r="L384" s="104">
        <v>45708</v>
      </c>
      <c r="M384" s="10" t="b">
        <v>0</v>
      </c>
      <c r="N384" s="10">
        <v>4</v>
      </c>
      <c r="O384" s="11">
        <v>1300</v>
      </c>
      <c r="P384" s="85">
        <v>2.3636363636363638</v>
      </c>
      <c r="Q384" s="11">
        <v>1300</v>
      </c>
      <c r="R384" s="85">
        <v>2.3636363636363638</v>
      </c>
      <c r="S384" s="29" t="s">
        <v>2719</v>
      </c>
      <c r="T384" s="29" t="s">
        <v>2719</v>
      </c>
    </row>
    <row r="385">
      <c r="B385" s="29" t="s">
        <v>1219</v>
      </c>
      <c r="C385" s="29" t="s">
        <v>1247</v>
      </c>
      <c r="D385" s="8" t="s">
        <v>1266</v>
      </c>
      <c r="E385" s="10" t="s">
        <v>1693</v>
      </c>
      <c r="F385" s="10"/>
      <c r="G385" s="10">
        <v>1</v>
      </c>
      <c r="H385" s="10">
        <v>1</v>
      </c>
      <c r="I385" s="10"/>
      <c r="J385" s="10">
        <v>550</v>
      </c>
      <c r="K385" s="104">
        <v>45716</v>
      </c>
      <c r="L385" s="104">
        <v>45720</v>
      </c>
      <c r="M385" s="10" t="b">
        <v>0</v>
      </c>
      <c r="N385" s="10">
        <v>5</v>
      </c>
      <c r="O385" s="11">
        <v>1300</v>
      </c>
      <c r="P385" s="85">
        <v>2.3636363636363638</v>
      </c>
      <c r="Q385" s="11">
        <v>1300</v>
      </c>
      <c r="R385" s="85">
        <v>2.3636363636363638</v>
      </c>
      <c r="S385" s="29" t="s">
        <v>2719</v>
      </c>
      <c r="T385" s="29" t="s">
        <v>2719</v>
      </c>
    </row>
    <row r="386">
      <c r="B386" s="29" t="s">
        <v>1219</v>
      </c>
      <c r="C386" s="29" t="s">
        <v>1247</v>
      </c>
      <c r="D386" s="8" t="s">
        <v>1266</v>
      </c>
      <c r="E386" s="10" t="s">
        <v>1694</v>
      </c>
      <c r="F386" s="10"/>
      <c r="G386" s="10">
        <v>1</v>
      </c>
      <c r="H386" s="10">
        <v>1</v>
      </c>
      <c r="I386" s="10"/>
      <c r="J386" s="10">
        <v>550</v>
      </c>
      <c r="K386" s="104">
        <v>45705</v>
      </c>
      <c r="L386" s="104">
        <v>45708</v>
      </c>
      <c r="M386" s="10" t="b">
        <v>0</v>
      </c>
      <c r="N386" s="10">
        <v>4</v>
      </c>
      <c r="O386" s="11">
        <v>1300</v>
      </c>
      <c r="P386" s="85">
        <v>2.3636363636363638</v>
      </c>
      <c r="Q386" s="11">
        <v>1300</v>
      </c>
      <c r="R386" s="85">
        <v>2.3636363636363638</v>
      </c>
      <c r="S386" s="29" t="s">
        <v>2719</v>
      </c>
      <c r="T386" s="29" t="s">
        <v>2719</v>
      </c>
    </row>
    <row r="387">
      <c r="B387" s="29" t="s">
        <v>1219</v>
      </c>
      <c r="C387" s="29" t="s">
        <v>1247</v>
      </c>
      <c r="D387" s="8" t="s">
        <v>1266</v>
      </c>
      <c r="E387" s="10" t="s">
        <v>1695</v>
      </c>
      <c r="F387" s="10"/>
      <c r="G387" s="10">
        <v>1</v>
      </c>
      <c r="H387" s="10">
        <v>1</v>
      </c>
      <c r="I387" s="10"/>
      <c r="J387" s="10">
        <v>550</v>
      </c>
      <c r="K387" s="104">
        <v>45716</v>
      </c>
      <c r="L387" s="104">
        <v>45720</v>
      </c>
      <c r="M387" s="10" t="b">
        <v>0</v>
      </c>
      <c r="N387" s="10">
        <v>5</v>
      </c>
      <c r="O387" s="11">
        <v>1300</v>
      </c>
      <c r="P387" s="85">
        <v>2.3636363636363638</v>
      </c>
      <c r="Q387" s="11">
        <v>1300</v>
      </c>
      <c r="R387" s="85">
        <v>2.3636363636363638</v>
      </c>
      <c r="S387" s="29" t="s">
        <v>2719</v>
      </c>
      <c r="T387" s="29" t="s">
        <v>2719</v>
      </c>
    </row>
    <row r="388">
      <c r="B388" s="29" t="s">
        <v>1219</v>
      </c>
      <c r="C388" s="29" t="s">
        <v>1247</v>
      </c>
      <c r="D388" s="8" t="s">
        <v>1266</v>
      </c>
      <c r="E388" s="10" t="s">
        <v>1696</v>
      </c>
      <c r="F388" s="10"/>
      <c r="G388" s="10">
        <v>1</v>
      </c>
      <c r="H388" s="10">
        <v>1</v>
      </c>
      <c r="I388" s="10"/>
      <c r="J388" s="10">
        <v>550</v>
      </c>
      <c r="K388" s="104">
        <v>45716</v>
      </c>
      <c r="L388" s="104">
        <v>45720</v>
      </c>
      <c r="M388" s="10" t="b">
        <v>0</v>
      </c>
      <c r="N388" s="10">
        <v>5</v>
      </c>
      <c r="O388" s="11">
        <v>1300</v>
      </c>
      <c r="P388" s="85">
        <v>2.3636363636363638</v>
      </c>
      <c r="Q388" s="11">
        <v>1300</v>
      </c>
      <c r="R388" s="85">
        <v>2.3636363636363638</v>
      </c>
      <c r="S388" s="29" t="s">
        <v>2719</v>
      </c>
      <c r="T388" s="29" t="s">
        <v>2719</v>
      </c>
    </row>
    <row r="389">
      <c r="B389" s="29" t="s">
        <v>1219</v>
      </c>
      <c r="C389" s="29" t="s">
        <v>1247</v>
      </c>
      <c r="D389" s="8" t="s">
        <v>1266</v>
      </c>
      <c r="E389" s="10" t="s">
        <v>1697</v>
      </c>
      <c r="F389" s="10"/>
      <c r="G389" s="10">
        <v>1</v>
      </c>
      <c r="H389" s="10">
        <v>1</v>
      </c>
      <c r="I389" s="10"/>
      <c r="J389" s="10">
        <v>550</v>
      </c>
      <c r="K389" s="104">
        <v>45705</v>
      </c>
      <c r="L389" s="104">
        <v>45708</v>
      </c>
      <c r="M389" s="10" t="b">
        <v>0</v>
      </c>
      <c r="N389" s="10">
        <v>4</v>
      </c>
      <c r="O389" s="11">
        <v>1300</v>
      </c>
      <c r="P389" s="85">
        <v>2.3636363636363638</v>
      </c>
      <c r="Q389" s="11">
        <v>1300</v>
      </c>
      <c r="R389" s="85">
        <v>2.3636363636363638</v>
      </c>
      <c r="S389" s="29" t="s">
        <v>2719</v>
      </c>
      <c r="T389" s="29" t="s">
        <v>2719</v>
      </c>
    </row>
    <row r="390">
      <c r="B390" s="29" t="s">
        <v>1219</v>
      </c>
      <c r="C390" s="29" t="s">
        <v>1247</v>
      </c>
      <c r="D390" s="8" t="s">
        <v>1266</v>
      </c>
      <c r="E390" s="10" t="s">
        <v>1698</v>
      </c>
      <c r="F390" s="10"/>
      <c r="G390" s="10">
        <v>1</v>
      </c>
      <c r="H390" s="10">
        <v>1</v>
      </c>
      <c r="I390" s="10"/>
      <c r="J390" s="10">
        <v>550</v>
      </c>
      <c r="K390" s="104">
        <v>45705</v>
      </c>
      <c r="L390" s="104">
        <v>45708</v>
      </c>
      <c r="M390" s="10" t="b">
        <v>0</v>
      </c>
      <c r="N390" s="10">
        <v>4</v>
      </c>
      <c r="O390" s="11">
        <v>1300</v>
      </c>
      <c r="P390" s="85">
        <v>2.3636363636363638</v>
      </c>
      <c r="Q390" s="11">
        <v>1300</v>
      </c>
      <c r="R390" s="85">
        <v>2.3636363636363638</v>
      </c>
      <c r="S390" s="29" t="s">
        <v>2719</v>
      </c>
      <c r="T390" s="29" t="s">
        <v>2719</v>
      </c>
    </row>
    <row r="391">
      <c r="B391" s="29" t="s">
        <v>1219</v>
      </c>
      <c r="C391" s="29" t="s">
        <v>1247</v>
      </c>
      <c r="D391" s="8" t="s">
        <v>1266</v>
      </c>
      <c r="E391" s="10" t="s">
        <v>1699</v>
      </c>
      <c r="F391" s="10"/>
      <c r="G391" s="10">
        <v>1</v>
      </c>
      <c r="H391" s="10">
        <v>1</v>
      </c>
      <c r="I391" s="10"/>
      <c r="J391" s="10">
        <v>550</v>
      </c>
      <c r="K391" s="104">
        <v>45716</v>
      </c>
      <c r="L391" s="104">
        <v>45720</v>
      </c>
      <c r="M391" s="10" t="b">
        <v>0</v>
      </c>
      <c r="N391" s="10">
        <v>5</v>
      </c>
      <c r="O391" s="11">
        <v>1300</v>
      </c>
      <c r="P391" s="85">
        <v>2.3636363636363638</v>
      </c>
      <c r="Q391" s="11">
        <v>1300</v>
      </c>
      <c r="R391" s="85">
        <v>2.3636363636363638</v>
      </c>
      <c r="S391" s="29" t="s">
        <v>2719</v>
      </c>
      <c r="T391" s="29" t="s">
        <v>2719</v>
      </c>
    </row>
    <row r="392">
      <c r="B392" s="29" t="s">
        <v>1219</v>
      </c>
      <c r="C392" s="29" t="s">
        <v>1247</v>
      </c>
      <c r="D392" s="8" t="s">
        <v>1266</v>
      </c>
      <c r="E392" s="10" t="s">
        <v>1700</v>
      </c>
      <c r="F392" s="10"/>
      <c r="G392" s="10">
        <v>1</v>
      </c>
      <c r="H392" s="10">
        <v>1</v>
      </c>
      <c r="I392" s="10"/>
      <c r="J392" s="10">
        <v>550</v>
      </c>
      <c r="K392" s="104">
        <v>45705</v>
      </c>
      <c r="L392" s="104">
        <v>45708</v>
      </c>
      <c r="M392" s="10" t="b">
        <v>0</v>
      </c>
      <c r="N392" s="10">
        <v>4</v>
      </c>
      <c r="O392" s="11">
        <v>1300</v>
      </c>
      <c r="P392" s="85">
        <v>2.3636363636363638</v>
      </c>
      <c r="Q392" s="11">
        <v>1300</v>
      </c>
      <c r="R392" s="85">
        <v>2.3636363636363638</v>
      </c>
      <c r="S392" s="29" t="s">
        <v>2719</v>
      </c>
      <c r="T392" s="29" t="s">
        <v>2719</v>
      </c>
    </row>
    <row r="393">
      <c r="B393" s="29" t="s">
        <v>1219</v>
      </c>
      <c r="C393" s="29" t="s">
        <v>1247</v>
      </c>
      <c r="D393" s="8" t="s">
        <v>1266</v>
      </c>
      <c r="E393" s="10" t="s">
        <v>1701</v>
      </c>
      <c r="F393" s="10"/>
      <c r="G393" s="10">
        <v>1</v>
      </c>
      <c r="H393" s="10">
        <v>1</v>
      </c>
      <c r="I393" s="10"/>
      <c r="J393" s="10">
        <v>550</v>
      </c>
      <c r="K393" s="104">
        <v>45716</v>
      </c>
      <c r="L393" s="104">
        <v>45720</v>
      </c>
      <c r="M393" s="10" t="b">
        <v>0</v>
      </c>
      <c r="N393" s="10">
        <v>5</v>
      </c>
      <c r="O393" s="11">
        <v>1300</v>
      </c>
      <c r="P393" s="85">
        <v>2.3636363636363638</v>
      </c>
      <c r="Q393" s="11">
        <v>1300</v>
      </c>
      <c r="R393" s="85">
        <v>2.3636363636363638</v>
      </c>
      <c r="S393" s="29" t="s">
        <v>2719</v>
      </c>
      <c r="T393" s="29" t="s">
        <v>2719</v>
      </c>
    </row>
    <row r="394">
      <c r="B394" s="29" t="s">
        <v>1219</v>
      </c>
      <c r="C394" s="29" t="s">
        <v>1247</v>
      </c>
      <c r="D394" s="8" t="s">
        <v>1266</v>
      </c>
      <c r="E394" s="10" t="s">
        <v>1702</v>
      </c>
      <c r="F394" s="10"/>
      <c r="G394" s="10">
        <v>1</v>
      </c>
      <c r="H394" s="10">
        <v>1</v>
      </c>
      <c r="I394" s="10"/>
      <c r="J394" s="10">
        <v>550</v>
      </c>
      <c r="K394" s="104">
        <v>45705</v>
      </c>
      <c r="L394" s="104">
        <v>45708</v>
      </c>
      <c r="M394" s="10" t="b">
        <v>0</v>
      </c>
      <c r="N394" s="10">
        <v>4</v>
      </c>
      <c r="O394" s="11">
        <v>1300</v>
      </c>
      <c r="P394" s="85">
        <v>2.3636363636363638</v>
      </c>
      <c r="Q394" s="11">
        <v>1300</v>
      </c>
      <c r="R394" s="85">
        <v>2.3636363636363638</v>
      </c>
      <c r="S394" s="29" t="s">
        <v>2719</v>
      </c>
      <c r="T394" s="29" t="s">
        <v>2719</v>
      </c>
    </row>
    <row r="395">
      <c r="B395" s="29" t="s">
        <v>1219</v>
      </c>
      <c r="C395" s="29" t="s">
        <v>1247</v>
      </c>
      <c r="D395" s="8" t="s">
        <v>1266</v>
      </c>
      <c r="E395" s="10" t="s">
        <v>1703</v>
      </c>
      <c r="F395" s="10"/>
      <c r="G395" s="10">
        <v>1</v>
      </c>
      <c r="H395" s="10">
        <v>1</v>
      </c>
      <c r="I395" s="10"/>
      <c r="J395" s="10">
        <v>550</v>
      </c>
      <c r="K395" s="104">
        <v>45705</v>
      </c>
      <c r="L395" s="104">
        <v>45708</v>
      </c>
      <c r="M395" s="10" t="b">
        <v>0</v>
      </c>
      <c r="N395" s="10">
        <v>4</v>
      </c>
      <c r="O395" s="11">
        <v>1300</v>
      </c>
      <c r="P395" s="85">
        <v>2.3636363636363638</v>
      </c>
      <c r="Q395" s="11">
        <v>1300</v>
      </c>
      <c r="R395" s="85">
        <v>2.3636363636363638</v>
      </c>
      <c r="S395" s="29" t="s">
        <v>2719</v>
      </c>
      <c r="T395" s="29" t="s">
        <v>2719</v>
      </c>
    </row>
    <row r="396">
      <c r="B396" s="29" t="s">
        <v>1219</v>
      </c>
      <c r="C396" s="29" t="s">
        <v>1247</v>
      </c>
      <c r="D396" s="8" t="s">
        <v>1266</v>
      </c>
      <c r="E396" s="10" t="s">
        <v>1704</v>
      </c>
      <c r="F396" s="10"/>
      <c r="G396" s="10">
        <v>1</v>
      </c>
      <c r="H396" s="10">
        <v>1</v>
      </c>
      <c r="I396" s="10"/>
      <c r="J396" s="10">
        <v>550</v>
      </c>
      <c r="K396" s="104">
        <v>45705</v>
      </c>
      <c r="L396" s="104">
        <v>45708</v>
      </c>
      <c r="M396" s="10" t="b">
        <v>0</v>
      </c>
      <c r="N396" s="10">
        <v>4</v>
      </c>
      <c r="O396" s="11">
        <v>1300</v>
      </c>
      <c r="P396" s="85">
        <v>2.3636363636363638</v>
      </c>
      <c r="Q396" s="11">
        <v>1300</v>
      </c>
      <c r="R396" s="85">
        <v>2.3636363636363638</v>
      </c>
      <c r="S396" s="29" t="s">
        <v>2719</v>
      </c>
      <c r="T396" s="29" t="s">
        <v>2719</v>
      </c>
    </row>
    <row r="397">
      <c r="B397" s="29" t="s">
        <v>1219</v>
      </c>
      <c r="C397" s="29" t="s">
        <v>1247</v>
      </c>
      <c r="D397" s="8" t="s">
        <v>1266</v>
      </c>
      <c r="E397" s="10" t="s">
        <v>1705</v>
      </c>
      <c r="F397" s="10"/>
      <c r="G397" s="10">
        <v>1</v>
      </c>
      <c r="H397" s="10">
        <v>1</v>
      </c>
      <c r="I397" s="10"/>
      <c r="J397" s="10">
        <v>550</v>
      </c>
      <c r="K397" s="104">
        <v>45716</v>
      </c>
      <c r="L397" s="104">
        <v>45720</v>
      </c>
      <c r="M397" s="10" t="b">
        <v>0</v>
      </c>
      <c r="N397" s="10">
        <v>5</v>
      </c>
      <c r="O397" s="11">
        <v>1300</v>
      </c>
      <c r="P397" s="85">
        <v>2.3636363636363638</v>
      </c>
      <c r="Q397" s="11">
        <v>1300</v>
      </c>
      <c r="R397" s="85">
        <v>2.3636363636363638</v>
      </c>
      <c r="S397" s="29" t="s">
        <v>2719</v>
      </c>
      <c r="T397" s="29" t="s">
        <v>2719</v>
      </c>
    </row>
    <row r="398">
      <c r="B398" s="29" t="s">
        <v>1219</v>
      </c>
      <c r="C398" s="29" t="s">
        <v>1247</v>
      </c>
      <c r="D398" s="8" t="s">
        <v>1266</v>
      </c>
      <c r="E398" s="10" t="s">
        <v>1706</v>
      </c>
      <c r="F398" s="10"/>
      <c r="G398" s="10">
        <v>1</v>
      </c>
      <c r="H398" s="10">
        <v>1</v>
      </c>
      <c r="I398" s="10"/>
      <c r="J398" s="10">
        <v>550</v>
      </c>
      <c r="K398" s="104">
        <v>45705</v>
      </c>
      <c r="L398" s="104">
        <v>45708</v>
      </c>
      <c r="M398" s="10" t="b">
        <v>0</v>
      </c>
      <c r="N398" s="10">
        <v>4</v>
      </c>
      <c r="O398" s="11">
        <v>1300</v>
      </c>
      <c r="P398" s="85">
        <v>2.3636363636363638</v>
      </c>
      <c r="Q398" s="11">
        <v>1300</v>
      </c>
      <c r="R398" s="85">
        <v>2.3636363636363638</v>
      </c>
      <c r="S398" s="29" t="s">
        <v>2719</v>
      </c>
      <c r="T398" s="29" t="s">
        <v>2719</v>
      </c>
    </row>
    <row r="399">
      <c r="B399" s="29" t="s">
        <v>1219</v>
      </c>
      <c r="C399" s="29" t="s">
        <v>1247</v>
      </c>
      <c r="D399" s="8" t="s">
        <v>1266</v>
      </c>
      <c r="E399" s="10" t="s">
        <v>1707</v>
      </c>
      <c r="F399" s="10"/>
      <c r="G399" s="10">
        <v>1</v>
      </c>
      <c r="H399" s="10">
        <v>1</v>
      </c>
      <c r="I399" s="10"/>
      <c r="J399" s="10">
        <v>550</v>
      </c>
      <c r="K399" s="104">
        <v>45716</v>
      </c>
      <c r="L399" s="104">
        <v>45720</v>
      </c>
      <c r="M399" s="10" t="b">
        <v>0</v>
      </c>
      <c r="N399" s="10">
        <v>5</v>
      </c>
      <c r="O399" s="11">
        <v>1300</v>
      </c>
      <c r="P399" s="85">
        <v>2.3636363636363638</v>
      </c>
      <c r="Q399" s="11">
        <v>1300</v>
      </c>
      <c r="R399" s="85">
        <v>2.3636363636363638</v>
      </c>
      <c r="S399" s="29" t="s">
        <v>2719</v>
      </c>
      <c r="T399" s="29" t="s">
        <v>2719</v>
      </c>
    </row>
    <row r="400">
      <c r="B400" s="29" t="s">
        <v>1219</v>
      </c>
      <c r="C400" s="29" t="s">
        <v>1247</v>
      </c>
      <c r="D400" s="8" t="s">
        <v>1266</v>
      </c>
      <c r="E400" s="10" t="s">
        <v>1708</v>
      </c>
      <c r="F400" s="10"/>
      <c r="G400" s="10">
        <v>1</v>
      </c>
      <c r="H400" s="10">
        <v>1</v>
      </c>
      <c r="I400" s="10"/>
      <c r="J400" s="10">
        <v>550</v>
      </c>
      <c r="K400" s="104">
        <v>45716</v>
      </c>
      <c r="L400" s="104">
        <v>45720</v>
      </c>
      <c r="M400" s="10" t="b">
        <v>0</v>
      </c>
      <c r="N400" s="10">
        <v>5</v>
      </c>
      <c r="O400" s="11">
        <v>1300</v>
      </c>
      <c r="P400" s="85">
        <v>2.3636363636363638</v>
      </c>
      <c r="Q400" s="11">
        <v>1300</v>
      </c>
      <c r="R400" s="85">
        <v>2.3636363636363638</v>
      </c>
      <c r="S400" s="29" t="s">
        <v>2719</v>
      </c>
      <c r="T400" s="29" t="s">
        <v>2719</v>
      </c>
    </row>
    <row r="401">
      <c r="B401" s="29" t="s">
        <v>1219</v>
      </c>
      <c r="C401" s="29" t="s">
        <v>1247</v>
      </c>
      <c r="D401" s="8" t="s">
        <v>1266</v>
      </c>
      <c r="E401" s="10" t="s">
        <v>1709</v>
      </c>
      <c r="F401" s="10"/>
      <c r="G401" s="10">
        <v>1</v>
      </c>
      <c r="H401" s="10">
        <v>1</v>
      </c>
      <c r="I401" s="10"/>
      <c r="J401" s="10">
        <v>550</v>
      </c>
      <c r="K401" s="104">
        <v>45705</v>
      </c>
      <c r="L401" s="104">
        <v>45708</v>
      </c>
      <c r="M401" s="10" t="b">
        <v>0</v>
      </c>
      <c r="N401" s="10">
        <v>4</v>
      </c>
      <c r="O401" s="11">
        <v>1300</v>
      </c>
      <c r="P401" s="85">
        <v>2.3636363636363638</v>
      </c>
      <c r="Q401" s="11">
        <v>1300</v>
      </c>
      <c r="R401" s="85">
        <v>2.3636363636363638</v>
      </c>
      <c r="S401" s="29" t="s">
        <v>2719</v>
      </c>
      <c r="T401" s="29" t="s">
        <v>2719</v>
      </c>
    </row>
    <row r="402">
      <c r="B402" s="29" t="s">
        <v>1219</v>
      </c>
      <c r="C402" s="29" t="s">
        <v>1247</v>
      </c>
      <c r="D402" s="8" t="s">
        <v>1266</v>
      </c>
      <c r="E402" s="10" t="s">
        <v>1710</v>
      </c>
      <c r="F402" s="10"/>
      <c r="G402" s="10">
        <v>1</v>
      </c>
      <c r="H402" s="10">
        <v>1</v>
      </c>
      <c r="I402" s="10"/>
      <c r="J402" s="10">
        <v>550</v>
      </c>
      <c r="K402" s="104">
        <v>45716</v>
      </c>
      <c r="L402" s="104">
        <v>45720</v>
      </c>
      <c r="M402" s="10" t="b">
        <v>0</v>
      </c>
      <c r="N402" s="10">
        <v>5</v>
      </c>
      <c r="O402" s="11">
        <v>1300</v>
      </c>
      <c r="P402" s="85">
        <v>2.3636363636363638</v>
      </c>
      <c r="Q402" s="11">
        <v>1300</v>
      </c>
      <c r="R402" s="85">
        <v>2.3636363636363638</v>
      </c>
      <c r="S402" s="29" t="s">
        <v>2719</v>
      </c>
      <c r="T402" s="29" t="s">
        <v>2719</v>
      </c>
    </row>
    <row r="403">
      <c r="B403" s="29" t="s">
        <v>1219</v>
      </c>
      <c r="C403" s="29" t="s">
        <v>1247</v>
      </c>
      <c r="D403" s="8" t="s">
        <v>1266</v>
      </c>
      <c r="E403" s="10" t="s">
        <v>1711</v>
      </c>
      <c r="F403" s="10"/>
      <c r="G403" s="10">
        <v>1</v>
      </c>
      <c r="H403" s="10">
        <v>1</v>
      </c>
      <c r="I403" s="10"/>
      <c r="J403" s="10">
        <v>550</v>
      </c>
      <c r="K403" s="104">
        <v>45705</v>
      </c>
      <c r="L403" s="104">
        <v>45708</v>
      </c>
      <c r="M403" s="10" t="b">
        <v>0</v>
      </c>
      <c r="N403" s="10">
        <v>4</v>
      </c>
      <c r="O403" s="11">
        <v>1300</v>
      </c>
      <c r="P403" s="85">
        <v>2.3636363636363638</v>
      </c>
      <c r="Q403" s="11">
        <v>1300</v>
      </c>
      <c r="R403" s="85">
        <v>2.3636363636363638</v>
      </c>
      <c r="S403" s="29" t="s">
        <v>2719</v>
      </c>
      <c r="T403" s="29" t="s">
        <v>2719</v>
      </c>
    </row>
    <row r="404">
      <c r="B404" s="29" t="s">
        <v>1219</v>
      </c>
      <c r="C404" s="29" t="s">
        <v>1247</v>
      </c>
      <c r="D404" s="8" t="s">
        <v>1266</v>
      </c>
      <c r="E404" s="10" t="s">
        <v>1712</v>
      </c>
      <c r="F404" s="10"/>
      <c r="G404" s="10">
        <v>1</v>
      </c>
      <c r="H404" s="10">
        <v>1</v>
      </c>
      <c r="I404" s="10"/>
      <c r="J404" s="10">
        <v>550</v>
      </c>
      <c r="K404" s="104">
        <v>45705</v>
      </c>
      <c r="L404" s="104">
        <v>45708</v>
      </c>
      <c r="M404" s="10" t="b">
        <v>0</v>
      </c>
      <c r="N404" s="10">
        <v>4</v>
      </c>
      <c r="O404" s="11">
        <v>1300</v>
      </c>
      <c r="P404" s="85">
        <v>2.3636363636363638</v>
      </c>
      <c r="Q404" s="11">
        <v>1300</v>
      </c>
      <c r="R404" s="85">
        <v>2.3636363636363638</v>
      </c>
      <c r="S404" s="29" t="s">
        <v>2719</v>
      </c>
      <c r="T404" s="29" t="s">
        <v>2719</v>
      </c>
    </row>
    <row r="405">
      <c r="B405" s="29" t="s">
        <v>1219</v>
      </c>
      <c r="C405" s="29" t="s">
        <v>1247</v>
      </c>
      <c r="D405" s="8" t="s">
        <v>1266</v>
      </c>
      <c r="E405" s="10" t="s">
        <v>1713</v>
      </c>
      <c r="F405" s="10"/>
      <c r="G405" s="10">
        <v>1</v>
      </c>
      <c r="H405" s="10">
        <v>1</v>
      </c>
      <c r="I405" s="10"/>
      <c r="J405" s="10">
        <v>550</v>
      </c>
      <c r="K405" s="104">
        <v>45716</v>
      </c>
      <c r="L405" s="104">
        <v>45720</v>
      </c>
      <c r="M405" s="10" t="b">
        <v>0</v>
      </c>
      <c r="N405" s="10">
        <v>5</v>
      </c>
      <c r="O405" s="11">
        <v>1300</v>
      </c>
      <c r="P405" s="85">
        <v>2.3636363636363638</v>
      </c>
      <c r="Q405" s="11">
        <v>1300</v>
      </c>
      <c r="R405" s="85">
        <v>2.3636363636363638</v>
      </c>
      <c r="S405" s="29" t="s">
        <v>2719</v>
      </c>
      <c r="T405" s="29" t="s">
        <v>2719</v>
      </c>
    </row>
    <row r="406">
      <c r="B406" s="29" t="s">
        <v>1219</v>
      </c>
      <c r="C406" s="29" t="s">
        <v>1247</v>
      </c>
      <c r="D406" s="8" t="s">
        <v>1267</v>
      </c>
      <c r="E406" s="10" t="s">
        <v>1714</v>
      </c>
      <c r="F406" s="10"/>
      <c r="G406" s="10">
        <v>1</v>
      </c>
      <c r="H406" s="10">
        <v>1</v>
      </c>
      <c r="I406" s="10"/>
      <c r="J406" s="10">
        <v>606</v>
      </c>
      <c r="K406" s="104">
        <v>45716</v>
      </c>
      <c r="L406" s="104">
        <v>45731</v>
      </c>
      <c r="M406" s="10" t="b">
        <v>0</v>
      </c>
      <c r="N406" s="10">
        <v>16</v>
      </c>
      <c r="O406" s="11">
        <v>1300</v>
      </c>
      <c r="P406" s="85">
        <v>2.145214521452145</v>
      </c>
      <c r="Q406" s="11">
        <v>1300</v>
      </c>
      <c r="R406" s="85">
        <v>2.145214521452145</v>
      </c>
      <c r="S406" s="29" t="s">
        <v>2719</v>
      </c>
      <c r="T406" s="29" t="s">
        <v>2798</v>
      </c>
    </row>
    <row r="407">
      <c r="B407" s="29" t="s">
        <v>1219</v>
      </c>
      <c r="C407" s="29" t="s">
        <v>1247</v>
      </c>
      <c r="D407" s="8" t="s">
        <v>1267</v>
      </c>
      <c r="E407" s="10" t="s">
        <v>1715</v>
      </c>
      <c r="F407" s="10"/>
      <c r="G407" s="10">
        <v>1</v>
      </c>
      <c r="H407" s="10">
        <v>1</v>
      </c>
      <c r="I407" s="10"/>
      <c r="J407" s="10">
        <v>606</v>
      </c>
      <c r="K407" s="104">
        <v>45705</v>
      </c>
      <c r="L407" s="104">
        <v>45708</v>
      </c>
      <c r="M407" s="10" t="b">
        <v>0</v>
      </c>
      <c r="N407" s="10">
        <v>4</v>
      </c>
      <c r="O407" s="11">
        <v>1300</v>
      </c>
      <c r="P407" s="85">
        <v>2.145214521452145</v>
      </c>
      <c r="Q407" s="11">
        <v>1300</v>
      </c>
      <c r="R407" s="85">
        <v>2.145214521452145</v>
      </c>
      <c r="S407" s="29" t="s">
        <v>2719</v>
      </c>
      <c r="T407" s="29" t="s">
        <v>2798</v>
      </c>
    </row>
    <row r="408">
      <c r="B408" s="29" t="s">
        <v>1219</v>
      </c>
      <c r="C408" s="29" t="s">
        <v>1247</v>
      </c>
      <c r="D408" s="8" t="s">
        <v>1267</v>
      </c>
      <c r="E408" s="10" t="s">
        <v>1716</v>
      </c>
      <c r="F408" s="10">
        <v>2</v>
      </c>
      <c r="G408" s="10">
        <v>1</v>
      </c>
      <c r="H408" s="10">
        <v>1</v>
      </c>
      <c r="I408" s="10"/>
      <c r="J408" s="10">
        <v>606</v>
      </c>
      <c r="K408" s="104">
        <v>45705</v>
      </c>
      <c r="L408" s="104">
        <v>45708</v>
      </c>
      <c r="M408" s="10" t="b">
        <v>0</v>
      </c>
      <c r="N408" s="10">
        <v>4</v>
      </c>
      <c r="O408" s="11">
        <v>1300</v>
      </c>
      <c r="P408" s="85">
        <v>2.145214521452145</v>
      </c>
      <c r="Q408" s="11">
        <v>1300</v>
      </c>
      <c r="R408" s="85">
        <v>2.145214521452145</v>
      </c>
      <c r="S408" s="29" t="s">
        <v>2719</v>
      </c>
      <c r="T408" s="29" t="s">
        <v>2798</v>
      </c>
    </row>
    <row r="409">
      <c r="B409" s="29" t="s">
        <v>1219</v>
      </c>
      <c r="C409" s="29" t="s">
        <v>1247</v>
      </c>
      <c r="D409" s="8" t="s">
        <v>1267</v>
      </c>
      <c r="E409" s="10" t="s">
        <v>1717</v>
      </c>
      <c r="F409" s="10">
        <v>2</v>
      </c>
      <c r="G409" s="10">
        <v>1</v>
      </c>
      <c r="H409" s="10">
        <v>1</v>
      </c>
      <c r="I409" s="10"/>
      <c r="J409" s="10">
        <v>606</v>
      </c>
      <c r="K409" s="104">
        <v>45716</v>
      </c>
      <c r="L409" s="104">
        <v>45720</v>
      </c>
      <c r="M409" s="10" t="b">
        <v>0</v>
      </c>
      <c r="N409" s="10">
        <v>5</v>
      </c>
      <c r="O409" s="11">
        <v>1300</v>
      </c>
      <c r="P409" s="85">
        <v>2.145214521452145</v>
      </c>
      <c r="Q409" s="11">
        <v>1300</v>
      </c>
      <c r="R409" s="85">
        <v>2.145214521452145</v>
      </c>
      <c r="S409" s="29" t="s">
        <v>2719</v>
      </c>
      <c r="T409" s="29" t="s">
        <v>2798</v>
      </c>
    </row>
    <row r="410">
      <c r="B410" s="29" t="s">
        <v>1219</v>
      </c>
      <c r="C410" s="29" t="s">
        <v>1247</v>
      </c>
      <c r="D410" s="8" t="s">
        <v>1267</v>
      </c>
      <c r="E410" s="10" t="s">
        <v>1718</v>
      </c>
      <c r="F410" s="10"/>
      <c r="G410" s="10">
        <v>1</v>
      </c>
      <c r="H410" s="10">
        <v>1</v>
      </c>
      <c r="I410" s="10"/>
      <c r="J410" s="10">
        <v>606</v>
      </c>
      <c r="K410" s="104">
        <v>45716</v>
      </c>
      <c r="L410" s="104">
        <v>45722</v>
      </c>
      <c r="M410" s="10" t="b">
        <v>0</v>
      </c>
      <c r="N410" s="10">
        <v>7</v>
      </c>
      <c r="O410" s="11">
        <v>1300</v>
      </c>
      <c r="P410" s="85">
        <v>2.145214521452145</v>
      </c>
      <c r="Q410" s="11">
        <v>1300</v>
      </c>
      <c r="R410" s="85">
        <v>2.145214521452145</v>
      </c>
      <c r="S410" s="29" t="s">
        <v>2719</v>
      </c>
      <c r="T410" s="29" t="s">
        <v>2798</v>
      </c>
    </row>
    <row r="411">
      <c r="B411" s="29" t="s">
        <v>1219</v>
      </c>
      <c r="C411" s="29" t="s">
        <v>1247</v>
      </c>
      <c r="D411" s="8" t="s">
        <v>1267</v>
      </c>
      <c r="E411" s="10" t="s">
        <v>1719</v>
      </c>
      <c r="F411" s="10"/>
      <c r="G411" s="10">
        <v>1</v>
      </c>
      <c r="H411" s="10">
        <v>1</v>
      </c>
      <c r="I411" s="10"/>
      <c r="J411" s="10">
        <v>606</v>
      </c>
      <c r="K411" s="104">
        <v>45705</v>
      </c>
      <c r="L411" s="104">
        <v>45708</v>
      </c>
      <c r="M411" s="10" t="b">
        <v>0</v>
      </c>
      <c r="N411" s="10">
        <v>4</v>
      </c>
      <c r="O411" s="11">
        <v>1300</v>
      </c>
      <c r="P411" s="85">
        <v>2.145214521452145</v>
      </c>
      <c r="Q411" s="11">
        <v>1300</v>
      </c>
      <c r="R411" s="85">
        <v>2.145214521452145</v>
      </c>
      <c r="S411" s="29" t="s">
        <v>2719</v>
      </c>
      <c r="T411" s="29" t="s">
        <v>2798</v>
      </c>
    </row>
    <row r="412">
      <c r="B412" s="29" t="s">
        <v>1219</v>
      </c>
      <c r="C412" s="29" t="s">
        <v>1247</v>
      </c>
      <c r="D412" s="8" t="s">
        <v>1267</v>
      </c>
      <c r="E412" s="10" t="s">
        <v>1720</v>
      </c>
      <c r="F412" s="10"/>
      <c r="G412" s="10">
        <v>1</v>
      </c>
      <c r="H412" s="10">
        <v>1</v>
      </c>
      <c r="I412" s="10"/>
      <c r="J412" s="10">
        <v>606</v>
      </c>
      <c r="K412" s="104">
        <v>45705</v>
      </c>
      <c r="L412" s="104"/>
      <c r="M412" s="10" t="b">
        <v>1</v>
      </c>
      <c r="N412" s="10"/>
      <c r="O412" s="11">
        <v>1300</v>
      </c>
      <c r="P412" s="85">
        <v>2.145214521452145</v>
      </c>
      <c r="Q412" s="11">
        <v>1300</v>
      </c>
      <c r="R412" s="85">
        <v>2.145214521452145</v>
      </c>
      <c r="S412" s="29" t="s">
        <v>2719</v>
      </c>
      <c r="T412" s="29" t="s">
        <v>2798</v>
      </c>
    </row>
    <row r="413">
      <c r="B413" s="29" t="s">
        <v>1219</v>
      </c>
      <c r="C413" s="29" t="s">
        <v>1247</v>
      </c>
      <c r="D413" s="8" t="s">
        <v>1267</v>
      </c>
      <c r="E413" s="10" t="s">
        <v>1721</v>
      </c>
      <c r="F413" s="10">
        <v>2</v>
      </c>
      <c r="G413" s="10">
        <v>1</v>
      </c>
      <c r="H413" s="10">
        <v>1</v>
      </c>
      <c r="I413" s="10"/>
      <c r="J413" s="10">
        <v>606</v>
      </c>
      <c r="K413" s="104">
        <v>45705</v>
      </c>
      <c r="L413" s="104">
        <v>45708</v>
      </c>
      <c r="M413" s="10" t="b">
        <v>0</v>
      </c>
      <c r="N413" s="10">
        <v>4</v>
      </c>
      <c r="O413" s="11">
        <v>1300</v>
      </c>
      <c r="P413" s="85">
        <v>2.145214521452145</v>
      </c>
      <c r="Q413" s="11">
        <v>1300</v>
      </c>
      <c r="R413" s="85">
        <v>2.145214521452145</v>
      </c>
      <c r="S413" s="29" t="s">
        <v>2719</v>
      </c>
      <c r="T413" s="29" t="s">
        <v>2798</v>
      </c>
    </row>
    <row r="414">
      <c r="B414" s="29" t="s">
        <v>1219</v>
      </c>
      <c r="C414" s="29" t="s">
        <v>1247</v>
      </c>
      <c r="D414" s="8" t="s">
        <v>1267</v>
      </c>
      <c r="E414" s="10" t="s">
        <v>1722</v>
      </c>
      <c r="F414" s="10">
        <v>2</v>
      </c>
      <c r="G414" s="10">
        <v>1</v>
      </c>
      <c r="H414" s="10">
        <v>1</v>
      </c>
      <c r="I414" s="10"/>
      <c r="J414" s="10">
        <v>606</v>
      </c>
      <c r="K414" s="104">
        <v>45705</v>
      </c>
      <c r="L414" s="104">
        <v>45708</v>
      </c>
      <c r="M414" s="10" t="b">
        <v>0</v>
      </c>
      <c r="N414" s="10">
        <v>4</v>
      </c>
      <c r="O414" s="11">
        <v>1300</v>
      </c>
      <c r="P414" s="85">
        <v>2.145214521452145</v>
      </c>
      <c r="Q414" s="11">
        <v>1300</v>
      </c>
      <c r="R414" s="85">
        <v>2.145214521452145</v>
      </c>
      <c r="S414" s="29" t="s">
        <v>2719</v>
      </c>
      <c r="T414" s="29" t="s">
        <v>2798</v>
      </c>
    </row>
    <row r="415">
      <c r="B415" s="29" t="s">
        <v>1219</v>
      </c>
      <c r="C415" s="29" t="s">
        <v>1247</v>
      </c>
      <c r="D415" s="8" t="s">
        <v>1267</v>
      </c>
      <c r="E415" s="10" t="s">
        <v>1723</v>
      </c>
      <c r="F415" s="10"/>
      <c r="G415" s="10">
        <v>1</v>
      </c>
      <c r="H415" s="10">
        <v>1</v>
      </c>
      <c r="I415" s="10"/>
      <c r="J415" s="10">
        <v>606</v>
      </c>
      <c r="K415" s="104">
        <v>45705</v>
      </c>
      <c r="L415" s="104">
        <v>45708</v>
      </c>
      <c r="M415" s="10" t="b">
        <v>0</v>
      </c>
      <c r="N415" s="10">
        <v>4</v>
      </c>
      <c r="O415" s="11">
        <v>1300</v>
      </c>
      <c r="P415" s="85">
        <v>2.145214521452145</v>
      </c>
      <c r="Q415" s="11">
        <v>1300</v>
      </c>
      <c r="R415" s="85">
        <v>2.145214521452145</v>
      </c>
      <c r="S415" s="29" t="s">
        <v>2719</v>
      </c>
      <c r="T415" s="29" t="s">
        <v>2798</v>
      </c>
    </row>
    <row r="416">
      <c r="B416" s="29" t="s">
        <v>1219</v>
      </c>
      <c r="C416" s="29" t="s">
        <v>1247</v>
      </c>
      <c r="D416" s="8" t="s">
        <v>1267</v>
      </c>
      <c r="E416" s="10" t="s">
        <v>1724</v>
      </c>
      <c r="F416" s="10"/>
      <c r="G416" s="10">
        <v>1</v>
      </c>
      <c r="H416" s="10">
        <v>1</v>
      </c>
      <c r="I416" s="10"/>
      <c r="J416" s="10">
        <v>606</v>
      </c>
      <c r="K416" s="104">
        <v>45705</v>
      </c>
      <c r="L416" s="104">
        <v>45708</v>
      </c>
      <c r="M416" s="10" t="b">
        <v>0</v>
      </c>
      <c r="N416" s="10">
        <v>4</v>
      </c>
      <c r="O416" s="11">
        <v>1300</v>
      </c>
      <c r="P416" s="85">
        <v>2.145214521452145</v>
      </c>
      <c r="Q416" s="11">
        <v>1300</v>
      </c>
      <c r="R416" s="85">
        <v>2.145214521452145</v>
      </c>
      <c r="S416" s="29" t="s">
        <v>2719</v>
      </c>
      <c r="T416" s="29" t="s">
        <v>2798</v>
      </c>
    </row>
    <row r="417">
      <c r="B417" s="29" t="s">
        <v>1219</v>
      </c>
      <c r="C417" s="29" t="s">
        <v>1247</v>
      </c>
      <c r="D417" s="8" t="s">
        <v>1267</v>
      </c>
      <c r="E417" s="10" t="s">
        <v>1725</v>
      </c>
      <c r="F417" s="10"/>
      <c r="G417" s="10">
        <v>1</v>
      </c>
      <c r="H417" s="10">
        <v>1</v>
      </c>
      <c r="I417" s="10"/>
      <c r="J417" s="10">
        <v>606</v>
      </c>
      <c r="K417" s="104">
        <v>45705</v>
      </c>
      <c r="L417" s="104">
        <v>45708</v>
      </c>
      <c r="M417" s="10" t="b">
        <v>0</v>
      </c>
      <c r="N417" s="10">
        <v>4</v>
      </c>
      <c r="O417" s="11">
        <v>1300</v>
      </c>
      <c r="P417" s="85">
        <v>2.145214521452145</v>
      </c>
      <c r="Q417" s="11">
        <v>1300</v>
      </c>
      <c r="R417" s="85">
        <v>2.145214521452145</v>
      </c>
      <c r="S417" s="29" t="s">
        <v>2719</v>
      </c>
      <c r="T417" s="29" t="s">
        <v>2798</v>
      </c>
    </row>
    <row r="418">
      <c r="B418" s="29" t="s">
        <v>1219</v>
      </c>
      <c r="C418" s="29" t="s">
        <v>1247</v>
      </c>
      <c r="D418" s="8" t="s">
        <v>1267</v>
      </c>
      <c r="E418" s="10" t="s">
        <v>1726</v>
      </c>
      <c r="F418" s="10"/>
      <c r="G418" s="10">
        <v>1</v>
      </c>
      <c r="H418" s="10">
        <v>1</v>
      </c>
      <c r="I418" s="10"/>
      <c r="J418" s="10">
        <v>606</v>
      </c>
      <c r="K418" s="104">
        <v>45705</v>
      </c>
      <c r="L418" s="104">
        <v>45708</v>
      </c>
      <c r="M418" s="10" t="b">
        <v>0</v>
      </c>
      <c r="N418" s="10">
        <v>4</v>
      </c>
      <c r="O418" s="11">
        <v>1300</v>
      </c>
      <c r="P418" s="85">
        <v>2.145214521452145</v>
      </c>
      <c r="Q418" s="11">
        <v>1300</v>
      </c>
      <c r="R418" s="85">
        <v>2.145214521452145</v>
      </c>
      <c r="S418" s="29" t="s">
        <v>2719</v>
      </c>
      <c r="T418" s="29" t="s">
        <v>2798</v>
      </c>
    </row>
    <row r="419">
      <c r="B419" s="29" t="s">
        <v>1219</v>
      </c>
      <c r="C419" s="29" t="s">
        <v>1247</v>
      </c>
      <c r="D419" s="8" t="s">
        <v>1267</v>
      </c>
      <c r="E419" s="10" t="s">
        <v>1727</v>
      </c>
      <c r="F419" s="10"/>
      <c r="G419" s="10">
        <v>1</v>
      </c>
      <c r="H419" s="10">
        <v>1</v>
      </c>
      <c r="I419" s="10"/>
      <c r="J419" s="10">
        <v>606</v>
      </c>
      <c r="K419" s="104">
        <v>45705</v>
      </c>
      <c r="L419" s="104">
        <v>45708</v>
      </c>
      <c r="M419" s="10" t="b">
        <v>0</v>
      </c>
      <c r="N419" s="10">
        <v>4</v>
      </c>
      <c r="O419" s="11">
        <v>1300</v>
      </c>
      <c r="P419" s="85">
        <v>2.145214521452145</v>
      </c>
      <c r="Q419" s="11">
        <v>1300</v>
      </c>
      <c r="R419" s="85">
        <v>2.145214521452145</v>
      </c>
      <c r="S419" s="29" t="s">
        <v>2719</v>
      </c>
      <c r="T419" s="29" t="s">
        <v>2798</v>
      </c>
    </row>
    <row r="420">
      <c r="B420" s="29" t="s">
        <v>1219</v>
      </c>
      <c r="C420" s="29" t="s">
        <v>1247</v>
      </c>
      <c r="D420" s="8" t="s">
        <v>1267</v>
      </c>
      <c r="E420" s="10" t="s">
        <v>1728</v>
      </c>
      <c r="F420" s="10"/>
      <c r="G420" s="10">
        <v>1</v>
      </c>
      <c r="H420" s="10">
        <v>1</v>
      </c>
      <c r="I420" s="10"/>
      <c r="J420" s="10">
        <v>606</v>
      </c>
      <c r="K420" s="104">
        <v>45705</v>
      </c>
      <c r="L420" s="104">
        <v>45708</v>
      </c>
      <c r="M420" s="10" t="b">
        <v>0</v>
      </c>
      <c r="N420" s="10">
        <v>4</v>
      </c>
      <c r="O420" s="11">
        <v>1300</v>
      </c>
      <c r="P420" s="85">
        <v>2.145214521452145</v>
      </c>
      <c r="Q420" s="11">
        <v>1300</v>
      </c>
      <c r="R420" s="85">
        <v>2.145214521452145</v>
      </c>
      <c r="S420" s="29" t="s">
        <v>2719</v>
      </c>
      <c r="T420" s="29" t="s">
        <v>2798</v>
      </c>
    </row>
    <row r="421">
      <c r="B421" s="29" t="s">
        <v>1219</v>
      </c>
      <c r="C421" s="29" t="s">
        <v>1247</v>
      </c>
      <c r="D421" s="8" t="s">
        <v>1267</v>
      </c>
      <c r="E421" s="10" t="s">
        <v>1729</v>
      </c>
      <c r="F421" s="10"/>
      <c r="G421" s="10">
        <v>1</v>
      </c>
      <c r="H421" s="10">
        <v>1</v>
      </c>
      <c r="I421" s="10"/>
      <c r="J421" s="10">
        <v>606</v>
      </c>
      <c r="K421" s="104">
        <v>45716</v>
      </c>
      <c r="L421" s="104">
        <v>45720</v>
      </c>
      <c r="M421" s="10" t="b">
        <v>0</v>
      </c>
      <c r="N421" s="10">
        <v>5</v>
      </c>
      <c r="O421" s="11">
        <v>1300</v>
      </c>
      <c r="P421" s="85">
        <v>2.145214521452145</v>
      </c>
      <c r="Q421" s="11">
        <v>1300</v>
      </c>
      <c r="R421" s="85">
        <v>2.145214521452145</v>
      </c>
      <c r="S421" s="29" t="s">
        <v>2719</v>
      </c>
      <c r="T421" s="29" t="s">
        <v>2798</v>
      </c>
    </row>
    <row r="422">
      <c r="B422" s="29" t="s">
        <v>1219</v>
      </c>
      <c r="C422" s="29" t="s">
        <v>1247</v>
      </c>
      <c r="D422" s="8" t="s">
        <v>1267</v>
      </c>
      <c r="E422" s="10" t="s">
        <v>1730</v>
      </c>
      <c r="F422" s="10"/>
      <c r="G422" s="10">
        <v>1</v>
      </c>
      <c r="H422" s="10">
        <v>1</v>
      </c>
      <c r="I422" s="10"/>
      <c r="J422" s="10">
        <v>606</v>
      </c>
      <c r="K422" s="104">
        <v>45705</v>
      </c>
      <c r="L422" s="104">
        <v>45708</v>
      </c>
      <c r="M422" s="10" t="b">
        <v>0</v>
      </c>
      <c r="N422" s="10">
        <v>4</v>
      </c>
      <c r="O422" s="11">
        <v>1300</v>
      </c>
      <c r="P422" s="85">
        <v>2.145214521452145</v>
      </c>
      <c r="Q422" s="11">
        <v>1300</v>
      </c>
      <c r="R422" s="85">
        <v>2.145214521452145</v>
      </c>
      <c r="S422" s="29" t="s">
        <v>2719</v>
      </c>
      <c r="T422" s="29" t="s">
        <v>2798</v>
      </c>
    </row>
    <row r="423">
      <c r="B423" s="29" t="s">
        <v>1219</v>
      </c>
      <c r="C423" s="29" t="s">
        <v>1247</v>
      </c>
      <c r="D423" s="8" t="s">
        <v>1267</v>
      </c>
      <c r="E423" s="10" t="s">
        <v>1731</v>
      </c>
      <c r="F423" s="10"/>
      <c r="G423" s="10">
        <v>1</v>
      </c>
      <c r="H423" s="10">
        <v>1</v>
      </c>
      <c r="I423" s="10"/>
      <c r="J423" s="10">
        <v>606</v>
      </c>
      <c r="K423" s="104">
        <v>45705</v>
      </c>
      <c r="L423" s="104">
        <v>45708</v>
      </c>
      <c r="M423" s="10" t="b">
        <v>0</v>
      </c>
      <c r="N423" s="10">
        <v>4</v>
      </c>
      <c r="O423" s="11">
        <v>1300</v>
      </c>
      <c r="P423" s="85">
        <v>2.145214521452145</v>
      </c>
      <c r="Q423" s="11">
        <v>1300</v>
      </c>
      <c r="R423" s="85">
        <v>2.145214521452145</v>
      </c>
      <c r="S423" s="29" t="s">
        <v>2719</v>
      </c>
      <c r="T423" s="29" t="s">
        <v>2798</v>
      </c>
    </row>
    <row r="424">
      <c r="B424" s="29" t="s">
        <v>1219</v>
      </c>
      <c r="C424" s="29" t="s">
        <v>1247</v>
      </c>
      <c r="D424" s="8" t="s">
        <v>1267</v>
      </c>
      <c r="E424" s="10" t="s">
        <v>1732</v>
      </c>
      <c r="F424" s="10"/>
      <c r="G424" s="10">
        <v>1</v>
      </c>
      <c r="H424" s="10">
        <v>1</v>
      </c>
      <c r="I424" s="10"/>
      <c r="J424" s="10">
        <v>606</v>
      </c>
      <c r="K424" s="104">
        <v>45716</v>
      </c>
      <c r="L424" s="104">
        <v>45720</v>
      </c>
      <c r="M424" s="10" t="b">
        <v>0</v>
      </c>
      <c r="N424" s="10">
        <v>5</v>
      </c>
      <c r="O424" s="11">
        <v>1300</v>
      </c>
      <c r="P424" s="85">
        <v>2.145214521452145</v>
      </c>
      <c r="Q424" s="11">
        <v>1300</v>
      </c>
      <c r="R424" s="85">
        <v>2.145214521452145</v>
      </c>
      <c r="S424" s="29" t="s">
        <v>2719</v>
      </c>
      <c r="T424" s="29" t="s">
        <v>2798</v>
      </c>
    </row>
    <row r="425">
      <c r="B425" s="29" t="s">
        <v>1219</v>
      </c>
      <c r="C425" s="29" t="s">
        <v>1247</v>
      </c>
      <c r="D425" s="8" t="s">
        <v>1267</v>
      </c>
      <c r="E425" s="10" t="s">
        <v>1733</v>
      </c>
      <c r="F425" s="10"/>
      <c r="G425" s="10">
        <v>1</v>
      </c>
      <c r="H425" s="10">
        <v>1</v>
      </c>
      <c r="I425" s="10"/>
      <c r="J425" s="10">
        <v>606</v>
      </c>
      <c r="K425" s="104">
        <v>45705</v>
      </c>
      <c r="L425" s="104">
        <v>45708</v>
      </c>
      <c r="M425" s="10" t="b">
        <v>0</v>
      </c>
      <c r="N425" s="10">
        <v>4</v>
      </c>
      <c r="O425" s="11">
        <v>1300</v>
      </c>
      <c r="P425" s="85">
        <v>2.145214521452145</v>
      </c>
      <c r="Q425" s="11">
        <v>1300</v>
      </c>
      <c r="R425" s="85">
        <v>2.145214521452145</v>
      </c>
      <c r="S425" s="29" t="s">
        <v>2719</v>
      </c>
      <c r="T425" s="29" t="s">
        <v>2798</v>
      </c>
    </row>
    <row r="426">
      <c r="B426" s="29" t="s">
        <v>1219</v>
      </c>
      <c r="C426" s="29" t="s">
        <v>1247</v>
      </c>
      <c r="D426" s="8" t="s">
        <v>1267</v>
      </c>
      <c r="E426" s="10" t="s">
        <v>1734</v>
      </c>
      <c r="F426" s="10"/>
      <c r="G426" s="10">
        <v>1</v>
      </c>
      <c r="H426" s="10">
        <v>1</v>
      </c>
      <c r="I426" s="10"/>
      <c r="J426" s="10">
        <v>606</v>
      </c>
      <c r="K426" s="104">
        <v>45705</v>
      </c>
      <c r="L426" s="104">
        <v>45708</v>
      </c>
      <c r="M426" s="10" t="b">
        <v>0</v>
      </c>
      <c r="N426" s="10">
        <v>4</v>
      </c>
      <c r="O426" s="11">
        <v>1300</v>
      </c>
      <c r="P426" s="85">
        <v>2.145214521452145</v>
      </c>
      <c r="Q426" s="11">
        <v>1300</v>
      </c>
      <c r="R426" s="85">
        <v>2.145214521452145</v>
      </c>
      <c r="S426" s="29" t="s">
        <v>2719</v>
      </c>
      <c r="T426" s="29" t="s">
        <v>2798</v>
      </c>
    </row>
    <row r="427">
      <c r="B427" s="29" t="s">
        <v>1219</v>
      </c>
      <c r="C427" s="29" t="s">
        <v>1247</v>
      </c>
      <c r="D427" s="8" t="s">
        <v>1267</v>
      </c>
      <c r="E427" s="10" t="s">
        <v>1735</v>
      </c>
      <c r="F427" s="10"/>
      <c r="G427" s="10">
        <v>1</v>
      </c>
      <c r="H427" s="10">
        <v>1</v>
      </c>
      <c r="I427" s="10"/>
      <c r="J427" s="10">
        <v>606</v>
      </c>
      <c r="K427" s="104">
        <v>45705</v>
      </c>
      <c r="L427" s="104">
        <v>45708</v>
      </c>
      <c r="M427" s="10" t="b">
        <v>0</v>
      </c>
      <c r="N427" s="10">
        <v>4</v>
      </c>
      <c r="O427" s="11">
        <v>1300</v>
      </c>
      <c r="P427" s="85">
        <v>2.145214521452145</v>
      </c>
      <c r="Q427" s="11">
        <v>1300</v>
      </c>
      <c r="R427" s="85">
        <v>2.145214521452145</v>
      </c>
      <c r="S427" s="29" t="s">
        <v>2719</v>
      </c>
      <c r="T427" s="29" t="s">
        <v>2798</v>
      </c>
    </row>
    <row r="428">
      <c r="B428" s="29" t="s">
        <v>1219</v>
      </c>
      <c r="C428" s="29" t="s">
        <v>1247</v>
      </c>
      <c r="D428" s="8" t="s">
        <v>1267</v>
      </c>
      <c r="E428" s="10" t="s">
        <v>1736</v>
      </c>
      <c r="F428" s="10"/>
      <c r="G428" s="10">
        <v>1</v>
      </c>
      <c r="H428" s="10">
        <v>1</v>
      </c>
      <c r="I428" s="10"/>
      <c r="J428" s="10">
        <v>606</v>
      </c>
      <c r="K428" s="104">
        <v>45705</v>
      </c>
      <c r="L428" s="104">
        <v>45708</v>
      </c>
      <c r="M428" s="10" t="b">
        <v>0</v>
      </c>
      <c r="N428" s="10">
        <v>4</v>
      </c>
      <c r="O428" s="11">
        <v>1300</v>
      </c>
      <c r="P428" s="85">
        <v>2.145214521452145</v>
      </c>
      <c r="Q428" s="11">
        <v>1300</v>
      </c>
      <c r="R428" s="85">
        <v>2.145214521452145</v>
      </c>
      <c r="S428" s="29" t="s">
        <v>2719</v>
      </c>
      <c r="T428" s="29" t="s">
        <v>2798</v>
      </c>
    </row>
    <row r="429">
      <c r="B429" s="29" t="s">
        <v>1219</v>
      </c>
      <c r="C429" s="29" t="s">
        <v>1247</v>
      </c>
      <c r="D429" s="8" t="s">
        <v>1267</v>
      </c>
      <c r="E429" s="10" t="s">
        <v>1737</v>
      </c>
      <c r="F429" s="10"/>
      <c r="G429" s="10">
        <v>1</v>
      </c>
      <c r="H429" s="10">
        <v>1</v>
      </c>
      <c r="I429" s="10"/>
      <c r="J429" s="10">
        <v>606</v>
      </c>
      <c r="K429" s="104">
        <v>45707</v>
      </c>
      <c r="L429" s="104">
        <v>45710</v>
      </c>
      <c r="M429" s="10" t="b">
        <v>0</v>
      </c>
      <c r="N429" s="10">
        <v>4</v>
      </c>
      <c r="O429" s="11">
        <v>1300</v>
      </c>
      <c r="P429" s="85">
        <v>2.145214521452145</v>
      </c>
      <c r="Q429" s="11">
        <v>1300</v>
      </c>
      <c r="R429" s="85">
        <v>2.145214521452145</v>
      </c>
      <c r="S429" s="29" t="s">
        <v>2719</v>
      </c>
      <c r="T429" s="29" t="s">
        <v>2798</v>
      </c>
    </row>
    <row r="430">
      <c r="B430" s="29" t="s">
        <v>1219</v>
      </c>
      <c r="C430" s="29" t="s">
        <v>1247</v>
      </c>
      <c r="D430" s="8" t="s">
        <v>1267</v>
      </c>
      <c r="E430" s="10" t="s">
        <v>1738</v>
      </c>
      <c r="F430" s="10"/>
      <c r="G430" s="10">
        <v>1</v>
      </c>
      <c r="H430" s="10">
        <v>1</v>
      </c>
      <c r="I430" s="10"/>
      <c r="J430" s="10">
        <v>606</v>
      </c>
      <c r="K430" s="104">
        <v>45705</v>
      </c>
      <c r="L430" s="104">
        <v>45708</v>
      </c>
      <c r="M430" s="10" t="b">
        <v>0</v>
      </c>
      <c r="N430" s="10">
        <v>4</v>
      </c>
      <c r="O430" s="11">
        <v>1300</v>
      </c>
      <c r="P430" s="85">
        <v>2.145214521452145</v>
      </c>
      <c r="Q430" s="11">
        <v>1300</v>
      </c>
      <c r="R430" s="85">
        <v>2.145214521452145</v>
      </c>
      <c r="S430" s="29" t="s">
        <v>2719</v>
      </c>
      <c r="T430" s="29" t="s">
        <v>2798</v>
      </c>
    </row>
    <row r="431">
      <c r="B431" s="29" t="s">
        <v>1219</v>
      </c>
      <c r="C431" s="29" t="s">
        <v>1247</v>
      </c>
      <c r="D431" s="8" t="s">
        <v>1267</v>
      </c>
      <c r="E431" s="10" t="s">
        <v>1739</v>
      </c>
      <c r="F431" s="10"/>
      <c r="G431" s="10">
        <v>1</v>
      </c>
      <c r="H431" s="10">
        <v>1</v>
      </c>
      <c r="I431" s="10"/>
      <c r="J431" s="10">
        <v>606</v>
      </c>
      <c r="K431" s="104">
        <v>45705</v>
      </c>
      <c r="L431" s="104">
        <v>45708</v>
      </c>
      <c r="M431" s="10" t="b">
        <v>0</v>
      </c>
      <c r="N431" s="10">
        <v>4</v>
      </c>
      <c r="O431" s="11">
        <v>1300</v>
      </c>
      <c r="P431" s="85">
        <v>2.145214521452145</v>
      </c>
      <c r="Q431" s="11">
        <v>1300</v>
      </c>
      <c r="R431" s="85">
        <v>2.145214521452145</v>
      </c>
      <c r="S431" s="29" t="s">
        <v>2719</v>
      </c>
      <c r="T431" s="29" t="s">
        <v>2798</v>
      </c>
    </row>
    <row r="432">
      <c r="B432" s="29" t="s">
        <v>1219</v>
      </c>
      <c r="C432" s="29" t="s">
        <v>1247</v>
      </c>
      <c r="D432" s="8" t="s">
        <v>1267</v>
      </c>
      <c r="E432" s="10" t="s">
        <v>1740</v>
      </c>
      <c r="F432" s="10"/>
      <c r="G432" s="10">
        <v>1</v>
      </c>
      <c r="H432" s="10">
        <v>1</v>
      </c>
      <c r="I432" s="10"/>
      <c r="J432" s="10">
        <v>606</v>
      </c>
      <c r="K432" s="104">
        <v>45716</v>
      </c>
      <c r="L432" s="104">
        <v>45720</v>
      </c>
      <c r="M432" s="10" t="b">
        <v>0</v>
      </c>
      <c r="N432" s="10">
        <v>5</v>
      </c>
      <c r="O432" s="11">
        <v>1300</v>
      </c>
      <c r="P432" s="85">
        <v>2.145214521452145</v>
      </c>
      <c r="Q432" s="11">
        <v>1300</v>
      </c>
      <c r="R432" s="85">
        <v>2.145214521452145</v>
      </c>
      <c r="S432" s="29" t="s">
        <v>2719</v>
      </c>
      <c r="T432" s="29" t="s">
        <v>2798</v>
      </c>
    </row>
    <row r="433">
      <c r="B433" s="29" t="s">
        <v>1219</v>
      </c>
      <c r="C433" s="29" t="s">
        <v>1247</v>
      </c>
      <c r="D433" s="8" t="s">
        <v>1267</v>
      </c>
      <c r="E433" s="10" t="s">
        <v>1741</v>
      </c>
      <c r="F433" s="10"/>
      <c r="G433" s="10">
        <v>1</v>
      </c>
      <c r="H433" s="10">
        <v>1</v>
      </c>
      <c r="I433" s="10"/>
      <c r="J433" s="10">
        <v>606</v>
      </c>
      <c r="K433" s="104">
        <v>45705</v>
      </c>
      <c r="L433" s="104">
        <v>45708</v>
      </c>
      <c r="M433" s="10" t="b">
        <v>0</v>
      </c>
      <c r="N433" s="10">
        <v>4</v>
      </c>
      <c r="O433" s="11">
        <v>1300</v>
      </c>
      <c r="P433" s="85">
        <v>2.145214521452145</v>
      </c>
      <c r="Q433" s="11">
        <v>1300</v>
      </c>
      <c r="R433" s="85">
        <v>2.145214521452145</v>
      </c>
      <c r="S433" s="29" t="s">
        <v>2719</v>
      </c>
      <c r="T433" s="29" t="s">
        <v>2798</v>
      </c>
    </row>
    <row r="434">
      <c r="B434" s="29" t="s">
        <v>1219</v>
      </c>
      <c r="C434" s="29" t="s">
        <v>1247</v>
      </c>
      <c r="D434" s="8" t="s">
        <v>1267</v>
      </c>
      <c r="E434" s="10" t="s">
        <v>1742</v>
      </c>
      <c r="F434" s="10"/>
      <c r="G434" s="10">
        <v>1</v>
      </c>
      <c r="H434" s="10">
        <v>1</v>
      </c>
      <c r="I434" s="10"/>
      <c r="J434" s="10">
        <v>606</v>
      </c>
      <c r="K434" s="104">
        <v>45705</v>
      </c>
      <c r="L434" s="104">
        <v>45708</v>
      </c>
      <c r="M434" s="10" t="b">
        <v>0</v>
      </c>
      <c r="N434" s="10">
        <v>4</v>
      </c>
      <c r="O434" s="11">
        <v>1300</v>
      </c>
      <c r="P434" s="85">
        <v>2.145214521452145</v>
      </c>
      <c r="Q434" s="11">
        <v>1300</v>
      </c>
      <c r="R434" s="85">
        <v>2.145214521452145</v>
      </c>
      <c r="S434" s="29" t="s">
        <v>2719</v>
      </c>
      <c r="T434" s="29" t="s">
        <v>2798</v>
      </c>
    </row>
    <row r="435">
      <c r="B435" s="29" t="s">
        <v>1219</v>
      </c>
      <c r="C435" s="29" t="s">
        <v>1247</v>
      </c>
      <c r="D435" s="8" t="s">
        <v>1267</v>
      </c>
      <c r="E435" s="10" t="s">
        <v>1743</v>
      </c>
      <c r="F435" s="10"/>
      <c r="G435" s="10">
        <v>1</v>
      </c>
      <c r="H435" s="10">
        <v>1</v>
      </c>
      <c r="I435" s="10"/>
      <c r="J435" s="10">
        <v>606</v>
      </c>
      <c r="K435" s="104">
        <v>45705</v>
      </c>
      <c r="L435" s="104">
        <v>45708</v>
      </c>
      <c r="M435" s="10" t="b">
        <v>0</v>
      </c>
      <c r="N435" s="10">
        <v>4</v>
      </c>
      <c r="O435" s="11">
        <v>1300</v>
      </c>
      <c r="P435" s="85">
        <v>2.145214521452145</v>
      </c>
      <c r="Q435" s="11">
        <v>1300</v>
      </c>
      <c r="R435" s="85">
        <v>2.145214521452145</v>
      </c>
      <c r="S435" s="29" t="s">
        <v>2719</v>
      </c>
      <c r="T435" s="29" t="s">
        <v>2798</v>
      </c>
    </row>
    <row r="436">
      <c r="B436" s="29" t="s">
        <v>1219</v>
      </c>
      <c r="C436" s="29" t="s">
        <v>1247</v>
      </c>
      <c r="D436" s="8" t="s">
        <v>1267</v>
      </c>
      <c r="E436" s="10" t="s">
        <v>1744</v>
      </c>
      <c r="F436" s="10"/>
      <c r="G436" s="10">
        <v>1</v>
      </c>
      <c r="H436" s="10">
        <v>1</v>
      </c>
      <c r="I436" s="10"/>
      <c r="J436" s="10">
        <v>606</v>
      </c>
      <c r="K436" s="104">
        <v>45707</v>
      </c>
      <c r="L436" s="104">
        <v>45710</v>
      </c>
      <c r="M436" s="10" t="b">
        <v>0</v>
      </c>
      <c r="N436" s="10">
        <v>4</v>
      </c>
      <c r="O436" s="11">
        <v>1300</v>
      </c>
      <c r="P436" s="85">
        <v>2.145214521452145</v>
      </c>
      <c r="Q436" s="11">
        <v>1300</v>
      </c>
      <c r="R436" s="85">
        <v>2.145214521452145</v>
      </c>
      <c r="S436" s="29" t="s">
        <v>2719</v>
      </c>
      <c r="T436" s="29" t="s">
        <v>2798</v>
      </c>
    </row>
    <row r="437">
      <c r="B437" s="29" t="s">
        <v>1219</v>
      </c>
      <c r="C437" s="29" t="s">
        <v>1247</v>
      </c>
      <c r="D437" s="8" t="s">
        <v>1267</v>
      </c>
      <c r="E437" s="10" t="s">
        <v>1745</v>
      </c>
      <c r="F437" s="10"/>
      <c r="G437" s="10">
        <v>1</v>
      </c>
      <c r="H437" s="10">
        <v>1</v>
      </c>
      <c r="I437" s="10"/>
      <c r="J437" s="10">
        <v>606</v>
      </c>
      <c r="K437" s="104">
        <v>45705</v>
      </c>
      <c r="L437" s="104">
        <v>45708</v>
      </c>
      <c r="M437" s="10" t="b">
        <v>0</v>
      </c>
      <c r="N437" s="10">
        <v>4</v>
      </c>
      <c r="O437" s="11">
        <v>1300</v>
      </c>
      <c r="P437" s="85">
        <v>2.145214521452145</v>
      </c>
      <c r="Q437" s="11">
        <v>1300</v>
      </c>
      <c r="R437" s="85">
        <v>2.145214521452145</v>
      </c>
      <c r="S437" s="29" t="s">
        <v>2719</v>
      </c>
      <c r="T437" s="29" t="s">
        <v>2798</v>
      </c>
    </row>
    <row r="438">
      <c r="B438" s="29" t="s">
        <v>1219</v>
      </c>
      <c r="C438" s="29" t="s">
        <v>1247</v>
      </c>
      <c r="D438" s="8" t="s">
        <v>1267</v>
      </c>
      <c r="E438" s="10" t="s">
        <v>1746</v>
      </c>
      <c r="F438" s="10">
        <v>2</v>
      </c>
      <c r="G438" s="10">
        <v>1</v>
      </c>
      <c r="H438" s="10">
        <v>1</v>
      </c>
      <c r="I438" s="10"/>
      <c r="J438" s="10">
        <v>606</v>
      </c>
      <c r="K438" s="104">
        <v>45707</v>
      </c>
      <c r="L438" s="104">
        <v>45710</v>
      </c>
      <c r="M438" s="10" t="b">
        <v>0</v>
      </c>
      <c r="N438" s="10">
        <v>4</v>
      </c>
      <c r="O438" s="11">
        <v>1300</v>
      </c>
      <c r="P438" s="85">
        <v>2.145214521452145</v>
      </c>
      <c r="Q438" s="11">
        <v>1300</v>
      </c>
      <c r="R438" s="85">
        <v>2.145214521452145</v>
      </c>
      <c r="S438" s="29" t="s">
        <v>2719</v>
      </c>
      <c r="T438" s="29" t="s">
        <v>2798</v>
      </c>
    </row>
    <row r="439">
      <c r="B439" s="29" t="s">
        <v>1219</v>
      </c>
      <c r="C439" s="29" t="s">
        <v>1247</v>
      </c>
      <c r="D439" s="8" t="s">
        <v>1267</v>
      </c>
      <c r="E439" s="10" t="s">
        <v>1747</v>
      </c>
      <c r="F439" s="10"/>
      <c r="G439" s="10">
        <v>1</v>
      </c>
      <c r="H439" s="10">
        <v>1</v>
      </c>
      <c r="I439" s="10"/>
      <c r="J439" s="10">
        <v>606</v>
      </c>
      <c r="K439" s="104">
        <v>45705</v>
      </c>
      <c r="L439" s="104">
        <v>45708</v>
      </c>
      <c r="M439" s="10" t="b">
        <v>0</v>
      </c>
      <c r="N439" s="10">
        <v>4</v>
      </c>
      <c r="O439" s="11">
        <v>1300</v>
      </c>
      <c r="P439" s="85">
        <v>2.145214521452145</v>
      </c>
      <c r="Q439" s="11">
        <v>1300</v>
      </c>
      <c r="R439" s="85">
        <v>2.145214521452145</v>
      </c>
      <c r="S439" s="29" t="s">
        <v>2719</v>
      </c>
      <c r="T439" s="29" t="s">
        <v>2798</v>
      </c>
    </row>
    <row r="440">
      <c r="B440" s="29" t="s">
        <v>1219</v>
      </c>
      <c r="C440" s="29" t="s">
        <v>1247</v>
      </c>
      <c r="D440" s="8" t="s">
        <v>1267</v>
      </c>
      <c r="E440" s="10" t="s">
        <v>1748</v>
      </c>
      <c r="F440" s="10"/>
      <c r="G440" s="10">
        <v>1</v>
      </c>
      <c r="H440" s="10">
        <v>1</v>
      </c>
      <c r="I440" s="10"/>
      <c r="J440" s="10">
        <v>606</v>
      </c>
      <c r="K440" s="104">
        <v>45716</v>
      </c>
      <c r="L440" s="104">
        <v>45720</v>
      </c>
      <c r="M440" s="10" t="b">
        <v>0</v>
      </c>
      <c r="N440" s="10">
        <v>5</v>
      </c>
      <c r="O440" s="11">
        <v>1300</v>
      </c>
      <c r="P440" s="85">
        <v>2.145214521452145</v>
      </c>
      <c r="Q440" s="11">
        <v>1300</v>
      </c>
      <c r="R440" s="85">
        <v>2.145214521452145</v>
      </c>
      <c r="S440" s="29" t="s">
        <v>2719</v>
      </c>
      <c r="T440" s="29" t="s">
        <v>2798</v>
      </c>
    </row>
    <row r="441">
      <c r="B441" s="29" t="s">
        <v>1219</v>
      </c>
      <c r="C441" s="29" t="s">
        <v>1247</v>
      </c>
      <c r="D441" s="8" t="s">
        <v>1267</v>
      </c>
      <c r="E441" s="10" t="s">
        <v>1749</v>
      </c>
      <c r="F441" s="10"/>
      <c r="G441" s="10">
        <v>1</v>
      </c>
      <c r="H441" s="10">
        <v>1</v>
      </c>
      <c r="I441" s="10"/>
      <c r="J441" s="10">
        <v>606</v>
      </c>
      <c r="K441" s="104">
        <v>45707</v>
      </c>
      <c r="L441" s="104">
        <v>45710</v>
      </c>
      <c r="M441" s="10" t="b">
        <v>0</v>
      </c>
      <c r="N441" s="10">
        <v>4</v>
      </c>
      <c r="O441" s="11">
        <v>1300</v>
      </c>
      <c r="P441" s="85">
        <v>2.145214521452145</v>
      </c>
      <c r="Q441" s="11">
        <v>1300</v>
      </c>
      <c r="R441" s="85">
        <v>2.145214521452145</v>
      </c>
      <c r="S441" s="29" t="s">
        <v>2719</v>
      </c>
      <c r="T441" s="29" t="s">
        <v>2798</v>
      </c>
    </row>
    <row r="442">
      <c r="B442" s="29" t="s">
        <v>1219</v>
      </c>
      <c r="C442" s="29" t="s">
        <v>1247</v>
      </c>
      <c r="D442" s="8" t="s">
        <v>1267</v>
      </c>
      <c r="E442" s="10" t="s">
        <v>1750</v>
      </c>
      <c r="F442" s="10">
        <v>2</v>
      </c>
      <c r="G442" s="10">
        <v>1</v>
      </c>
      <c r="H442" s="10">
        <v>1</v>
      </c>
      <c r="I442" s="10"/>
      <c r="J442" s="10">
        <v>606</v>
      </c>
      <c r="K442" s="104">
        <v>45707</v>
      </c>
      <c r="L442" s="104">
        <v>45710</v>
      </c>
      <c r="M442" s="10" t="b">
        <v>0</v>
      </c>
      <c r="N442" s="10">
        <v>4</v>
      </c>
      <c r="O442" s="11">
        <v>1300</v>
      </c>
      <c r="P442" s="85">
        <v>2.145214521452145</v>
      </c>
      <c r="Q442" s="11">
        <v>1300</v>
      </c>
      <c r="R442" s="85">
        <v>2.145214521452145</v>
      </c>
      <c r="S442" s="29" t="s">
        <v>2719</v>
      </c>
      <c r="T442" s="29" t="s">
        <v>2798</v>
      </c>
    </row>
    <row r="443">
      <c r="B443" s="29" t="s">
        <v>1219</v>
      </c>
      <c r="C443" s="29" t="s">
        <v>1247</v>
      </c>
      <c r="D443" s="8" t="s">
        <v>1267</v>
      </c>
      <c r="E443" s="10" t="s">
        <v>1751</v>
      </c>
      <c r="F443" s="10">
        <v>2</v>
      </c>
      <c r="G443" s="10">
        <v>1</v>
      </c>
      <c r="H443" s="10">
        <v>1</v>
      </c>
      <c r="I443" s="10"/>
      <c r="J443" s="10">
        <v>606</v>
      </c>
      <c r="K443" s="104">
        <v>45705</v>
      </c>
      <c r="L443" s="104"/>
      <c r="M443" s="10" t="b">
        <v>1</v>
      </c>
      <c r="N443" s="10"/>
      <c r="O443" s="11">
        <v>1300</v>
      </c>
      <c r="P443" s="85">
        <v>2.145214521452145</v>
      </c>
      <c r="Q443" s="11">
        <v>1300</v>
      </c>
      <c r="R443" s="85">
        <v>2.145214521452145</v>
      </c>
      <c r="S443" s="29" t="s">
        <v>2719</v>
      </c>
      <c r="T443" s="29" t="s">
        <v>2798</v>
      </c>
    </row>
    <row r="444">
      <c r="B444" s="29" t="s">
        <v>1219</v>
      </c>
      <c r="C444" s="29" t="s">
        <v>1247</v>
      </c>
      <c r="D444" s="8" t="s">
        <v>1267</v>
      </c>
      <c r="E444" s="10" t="s">
        <v>1752</v>
      </c>
      <c r="F444" s="10"/>
      <c r="G444" s="10">
        <v>1</v>
      </c>
      <c r="H444" s="10">
        <v>1</v>
      </c>
      <c r="I444" s="10"/>
      <c r="J444" s="10">
        <v>606</v>
      </c>
      <c r="K444" s="104">
        <v>45716</v>
      </c>
      <c r="L444" s="104">
        <v>45748</v>
      </c>
      <c r="M444" s="10" t="b">
        <v>0</v>
      </c>
      <c r="N444" s="10">
        <v>33</v>
      </c>
      <c r="O444" s="11">
        <v>1300</v>
      </c>
      <c r="P444" s="85">
        <v>2.145214521452145</v>
      </c>
      <c r="Q444" s="11">
        <v>1300</v>
      </c>
      <c r="R444" s="85">
        <v>2.145214521452145</v>
      </c>
      <c r="S444" s="29" t="s">
        <v>2719</v>
      </c>
      <c r="T444" s="29" t="s">
        <v>2798</v>
      </c>
    </row>
    <row r="445">
      <c r="B445" s="29" t="s">
        <v>1219</v>
      </c>
      <c r="C445" s="29" t="s">
        <v>1247</v>
      </c>
      <c r="D445" s="8" t="s">
        <v>1267</v>
      </c>
      <c r="E445" s="10" t="s">
        <v>1753</v>
      </c>
      <c r="F445" s="10"/>
      <c r="G445" s="10">
        <v>1</v>
      </c>
      <c r="H445" s="10">
        <v>1</v>
      </c>
      <c r="I445" s="10"/>
      <c r="J445" s="10">
        <v>606</v>
      </c>
      <c r="K445" s="104">
        <v>45705</v>
      </c>
      <c r="L445" s="104">
        <v>45708</v>
      </c>
      <c r="M445" s="10" t="b">
        <v>0</v>
      </c>
      <c r="N445" s="10">
        <v>4</v>
      </c>
      <c r="O445" s="11">
        <v>1300</v>
      </c>
      <c r="P445" s="85">
        <v>2.145214521452145</v>
      </c>
      <c r="Q445" s="11">
        <v>1300</v>
      </c>
      <c r="R445" s="85">
        <v>2.145214521452145</v>
      </c>
      <c r="S445" s="29" t="s">
        <v>2719</v>
      </c>
      <c r="T445" s="29" t="s">
        <v>2798</v>
      </c>
    </row>
    <row r="446">
      <c r="B446" s="29" t="s">
        <v>1219</v>
      </c>
      <c r="C446" s="29" t="s">
        <v>1247</v>
      </c>
      <c r="D446" s="8" t="s">
        <v>1267</v>
      </c>
      <c r="E446" s="10" t="s">
        <v>1754</v>
      </c>
      <c r="F446" s="10">
        <v>2</v>
      </c>
      <c r="G446" s="10">
        <v>1</v>
      </c>
      <c r="H446" s="10">
        <v>1</v>
      </c>
      <c r="I446" s="10"/>
      <c r="J446" s="10">
        <v>606</v>
      </c>
      <c r="K446" s="104">
        <v>45705</v>
      </c>
      <c r="L446" s="104">
        <v>45708</v>
      </c>
      <c r="M446" s="10" t="b">
        <v>0</v>
      </c>
      <c r="N446" s="10">
        <v>4</v>
      </c>
      <c r="O446" s="11">
        <v>1300</v>
      </c>
      <c r="P446" s="85">
        <v>2.145214521452145</v>
      </c>
      <c r="Q446" s="11">
        <v>1300</v>
      </c>
      <c r="R446" s="85">
        <v>2.145214521452145</v>
      </c>
      <c r="S446" s="29" t="s">
        <v>2719</v>
      </c>
      <c r="T446" s="29" t="s">
        <v>2798</v>
      </c>
    </row>
    <row r="447">
      <c r="B447" s="29" t="s">
        <v>1219</v>
      </c>
      <c r="C447" s="29" t="s">
        <v>1247</v>
      </c>
      <c r="D447" s="8" t="s">
        <v>1267</v>
      </c>
      <c r="E447" s="10" t="s">
        <v>1755</v>
      </c>
      <c r="F447" s="10"/>
      <c r="G447" s="10">
        <v>1</v>
      </c>
      <c r="H447" s="10">
        <v>1</v>
      </c>
      <c r="I447" s="10"/>
      <c r="J447" s="10">
        <v>606</v>
      </c>
      <c r="K447" s="104">
        <v>45705</v>
      </c>
      <c r="L447" s="104">
        <v>45708</v>
      </c>
      <c r="M447" s="10" t="b">
        <v>0</v>
      </c>
      <c r="N447" s="10">
        <v>4</v>
      </c>
      <c r="O447" s="11">
        <v>1300</v>
      </c>
      <c r="P447" s="85">
        <v>2.145214521452145</v>
      </c>
      <c r="Q447" s="11">
        <v>1300</v>
      </c>
      <c r="R447" s="85">
        <v>2.145214521452145</v>
      </c>
      <c r="S447" s="29" t="s">
        <v>2719</v>
      </c>
      <c r="T447" s="29" t="s">
        <v>2798</v>
      </c>
    </row>
    <row r="448">
      <c r="B448" s="29" t="s">
        <v>1219</v>
      </c>
      <c r="C448" s="29" t="s">
        <v>1247</v>
      </c>
      <c r="D448" s="8" t="s">
        <v>1267</v>
      </c>
      <c r="E448" s="10" t="s">
        <v>1756</v>
      </c>
      <c r="F448" s="10">
        <v>2</v>
      </c>
      <c r="G448" s="10">
        <v>1</v>
      </c>
      <c r="H448" s="10">
        <v>1</v>
      </c>
      <c r="I448" s="10"/>
      <c r="J448" s="10">
        <v>606</v>
      </c>
      <c r="K448" s="104">
        <v>45705</v>
      </c>
      <c r="L448" s="104">
        <v>45708</v>
      </c>
      <c r="M448" s="10" t="b">
        <v>0</v>
      </c>
      <c r="N448" s="10">
        <v>4</v>
      </c>
      <c r="O448" s="11">
        <v>1300</v>
      </c>
      <c r="P448" s="85">
        <v>2.145214521452145</v>
      </c>
      <c r="Q448" s="11">
        <v>1300</v>
      </c>
      <c r="R448" s="85">
        <v>2.145214521452145</v>
      </c>
      <c r="S448" s="29" t="s">
        <v>2719</v>
      </c>
      <c r="T448" s="29" t="s">
        <v>2798</v>
      </c>
    </row>
    <row r="449">
      <c r="B449" s="29" t="s">
        <v>1219</v>
      </c>
      <c r="C449" s="29" t="s">
        <v>1247</v>
      </c>
      <c r="D449" s="8" t="s">
        <v>1267</v>
      </c>
      <c r="E449" s="10" t="s">
        <v>1757</v>
      </c>
      <c r="F449" s="10">
        <v>2</v>
      </c>
      <c r="G449" s="10">
        <v>1</v>
      </c>
      <c r="H449" s="10">
        <v>1</v>
      </c>
      <c r="I449" s="10"/>
      <c r="J449" s="10">
        <v>606</v>
      </c>
      <c r="K449" s="104">
        <v>45705</v>
      </c>
      <c r="L449" s="104">
        <v>45708</v>
      </c>
      <c r="M449" s="10" t="b">
        <v>0</v>
      </c>
      <c r="N449" s="10">
        <v>4</v>
      </c>
      <c r="O449" s="11">
        <v>1300</v>
      </c>
      <c r="P449" s="85">
        <v>2.145214521452145</v>
      </c>
      <c r="Q449" s="11">
        <v>1300</v>
      </c>
      <c r="R449" s="85">
        <v>2.145214521452145</v>
      </c>
      <c r="S449" s="29" t="s">
        <v>2719</v>
      </c>
      <c r="T449" s="29" t="s">
        <v>2798</v>
      </c>
    </row>
    <row r="450">
      <c r="B450" s="29" t="s">
        <v>1219</v>
      </c>
      <c r="C450" s="29" t="s">
        <v>1247</v>
      </c>
      <c r="D450" s="8" t="s">
        <v>1267</v>
      </c>
      <c r="E450" s="10" t="s">
        <v>1758</v>
      </c>
      <c r="F450" s="10">
        <v>2</v>
      </c>
      <c r="G450" s="10">
        <v>1</v>
      </c>
      <c r="H450" s="10">
        <v>1</v>
      </c>
      <c r="I450" s="10"/>
      <c r="J450" s="10">
        <v>606</v>
      </c>
      <c r="K450" s="104">
        <v>45705</v>
      </c>
      <c r="L450" s="104">
        <v>45708</v>
      </c>
      <c r="M450" s="10" t="b">
        <v>0</v>
      </c>
      <c r="N450" s="10">
        <v>4</v>
      </c>
      <c r="O450" s="11">
        <v>1300</v>
      </c>
      <c r="P450" s="85">
        <v>2.145214521452145</v>
      </c>
      <c r="Q450" s="11">
        <v>1300</v>
      </c>
      <c r="R450" s="85">
        <v>2.145214521452145</v>
      </c>
      <c r="S450" s="29" t="s">
        <v>2719</v>
      </c>
      <c r="T450" s="29" t="s">
        <v>2798</v>
      </c>
    </row>
    <row r="451">
      <c r="B451" s="29" t="s">
        <v>1219</v>
      </c>
      <c r="C451" s="29" t="s">
        <v>1247</v>
      </c>
      <c r="D451" s="8" t="s">
        <v>1267</v>
      </c>
      <c r="E451" s="10" t="s">
        <v>1759</v>
      </c>
      <c r="F451" s="10"/>
      <c r="G451" s="10">
        <v>1</v>
      </c>
      <c r="H451" s="10">
        <v>1</v>
      </c>
      <c r="I451" s="10"/>
      <c r="J451" s="10">
        <v>606</v>
      </c>
      <c r="K451" s="104">
        <v>45705</v>
      </c>
      <c r="L451" s="104">
        <v>45708</v>
      </c>
      <c r="M451" s="10" t="b">
        <v>0</v>
      </c>
      <c r="N451" s="10">
        <v>4</v>
      </c>
      <c r="O451" s="11">
        <v>1300</v>
      </c>
      <c r="P451" s="85">
        <v>2.145214521452145</v>
      </c>
      <c r="Q451" s="11">
        <v>1300</v>
      </c>
      <c r="R451" s="85">
        <v>2.145214521452145</v>
      </c>
      <c r="S451" s="29" t="s">
        <v>2719</v>
      </c>
      <c r="T451" s="29" t="s">
        <v>2798</v>
      </c>
    </row>
    <row r="452">
      <c r="B452" s="29" t="s">
        <v>1219</v>
      </c>
      <c r="C452" s="29" t="s">
        <v>1247</v>
      </c>
      <c r="D452" s="8" t="s">
        <v>1267</v>
      </c>
      <c r="E452" s="10" t="s">
        <v>1760</v>
      </c>
      <c r="F452" s="10"/>
      <c r="G452" s="10">
        <v>1</v>
      </c>
      <c r="H452" s="10">
        <v>1</v>
      </c>
      <c r="I452" s="10"/>
      <c r="J452" s="10">
        <v>606</v>
      </c>
      <c r="K452" s="104">
        <v>45705</v>
      </c>
      <c r="L452" s="104">
        <v>45708</v>
      </c>
      <c r="M452" s="10" t="b">
        <v>0</v>
      </c>
      <c r="N452" s="10">
        <v>4</v>
      </c>
      <c r="O452" s="11">
        <v>1300</v>
      </c>
      <c r="P452" s="85">
        <v>2.145214521452145</v>
      </c>
      <c r="Q452" s="11">
        <v>1300</v>
      </c>
      <c r="R452" s="85">
        <v>2.145214521452145</v>
      </c>
      <c r="S452" s="29" t="s">
        <v>2719</v>
      </c>
      <c r="T452" s="29" t="s">
        <v>2798</v>
      </c>
    </row>
    <row r="453">
      <c r="B453" s="29" t="s">
        <v>1219</v>
      </c>
      <c r="C453" s="29" t="s">
        <v>1247</v>
      </c>
      <c r="D453" s="8" t="s">
        <v>1267</v>
      </c>
      <c r="E453" s="10" t="s">
        <v>1761</v>
      </c>
      <c r="F453" s="10"/>
      <c r="G453" s="10">
        <v>1</v>
      </c>
      <c r="H453" s="10">
        <v>1</v>
      </c>
      <c r="I453" s="10"/>
      <c r="J453" s="10">
        <v>606</v>
      </c>
      <c r="K453" s="104">
        <v>45705</v>
      </c>
      <c r="L453" s="104">
        <v>45708</v>
      </c>
      <c r="M453" s="10" t="b">
        <v>0</v>
      </c>
      <c r="N453" s="10">
        <v>4</v>
      </c>
      <c r="O453" s="11">
        <v>1300</v>
      </c>
      <c r="P453" s="85">
        <v>2.145214521452145</v>
      </c>
      <c r="Q453" s="11">
        <v>1300</v>
      </c>
      <c r="R453" s="85">
        <v>2.145214521452145</v>
      </c>
      <c r="S453" s="29" t="s">
        <v>2719</v>
      </c>
      <c r="T453" s="29" t="s">
        <v>2798</v>
      </c>
    </row>
    <row r="454">
      <c r="B454" s="29" t="s">
        <v>1219</v>
      </c>
      <c r="C454" s="29" t="s">
        <v>1247</v>
      </c>
      <c r="D454" s="8" t="s">
        <v>1267</v>
      </c>
      <c r="E454" s="10" t="s">
        <v>1762</v>
      </c>
      <c r="F454" s="10">
        <v>2</v>
      </c>
      <c r="G454" s="10">
        <v>1</v>
      </c>
      <c r="H454" s="10">
        <v>1</v>
      </c>
      <c r="I454" s="10"/>
      <c r="J454" s="10">
        <v>606</v>
      </c>
      <c r="K454" s="104">
        <v>45705</v>
      </c>
      <c r="L454" s="104">
        <v>45708</v>
      </c>
      <c r="M454" s="10" t="b">
        <v>0</v>
      </c>
      <c r="N454" s="10">
        <v>4</v>
      </c>
      <c r="O454" s="11">
        <v>1300</v>
      </c>
      <c r="P454" s="85">
        <v>2.145214521452145</v>
      </c>
      <c r="Q454" s="11">
        <v>1300</v>
      </c>
      <c r="R454" s="85">
        <v>2.145214521452145</v>
      </c>
      <c r="S454" s="29" t="s">
        <v>2719</v>
      </c>
      <c r="T454" s="29" t="s">
        <v>2798</v>
      </c>
    </row>
    <row r="455">
      <c r="B455" s="29" t="s">
        <v>1219</v>
      </c>
      <c r="C455" s="29" t="s">
        <v>1247</v>
      </c>
      <c r="D455" s="8" t="s">
        <v>1267</v>
      </c>
      <c r="E455" s="10" t="s">
        <v>1763</v>
      </c>
      <c r="F455" s="10">
        <v>2</v>
      </c>
      <c r="G455" s="10">
        <v>1</v>
      </c>
      <c r="H455" s="10">
        <v>1</v>
      </c>
      <c r="I455" s="10"/>
      <c r="J455" s="10">
        <v>606</v>
      </c>
      <c r="K455" s="104">
        <v>45705</v>
      </c>
      <c r="L455" s="104">
        <v>45708</v>
      </c>
      <c r="M455" s="10" t="b">
        <v>0</v>
      </c>
      <c r="N455" s="10">
        <v>4</v>
      </c>
      <c r="O455" s="11">
        <v>1300</v>
      </c>
      <c r="P455" s="85">
        <v>2.145214521452145</v>
      </c>
      <c r="Q455" s="11">
        <v>1300</v>
      </c>
      <c r="R455" s="85">
        <v>2.145214521452145</v>
      </c>
      <c r="S455" s="29" t="s">
        <v>2719</v>
      </c>
      <c r="T455" s="29" t="s">
        <v>2798</v>
      </c>
    </row>
    <row r="456">
      <c r="B456" s="29" t="s">
        <v>1219</v>
      </c>
      <c r="C456" s="29" t="s">
        <v>1247</v>
      </c>
      <c r="D456" s="8" t="s">
        <v>1267</v>
      </c>
      <c r="E456" s="10" t="s">
        <v>1764</v>
      </c>
      <c r="F456" s="10">
        <v>2</v>
      </c>
      <c r="G456" s="10">
        <v>1</v>
      </c>
      <c r="H456" s="10">
        <v>1</v>
      </c>
      <c r="I456" s="10"/>
      <c r="J456" s="10">
        <v>606</v>
      </c>
      <c r="K456" s="104">
        <v>45707</v>
      </c>
      <c r="L456" s="104"/>
      <c r="M456" s="10" t="b">
        <v>1</v>
      </c>
      <c r="N456" s="10"/>
      <c r="O456" s="11">
        <v>1300</v>
      </c>
      <c r="P456" s="85">
        <v>2.145214521452145</v>
      </c>
      <c r="Q456" s="11">
        <v>1300</v>
      </c>
      <c r="R456" s="85">
        <v>2.145214521452145</v>
      </c>
      <c r="S456" s="29" t="s">
        <v>2719</v>
      </c>
      <c r="T456" s="29" t="s">
        <v>2798</v>
      </c>
    </row>
    <row r="457">
      <c r="B457" s="29" t="s">
        <v>1219</v>
      </c>
      <c r="C457" s="29" t="s">
        <v>1247</v>
      </c>
      <c r="D457" s="8" t="s">
        <v>1267</v>
      </c>
      <c r="E457" s="10" t="s">
        <v>1765</v>
      </c>
      <c r="F457" s="10">
        <v>2</v>
      </c>
      <c r="G457" s="10">
        <v>1</v>
      </c>
      <c r="H457" s="10">
        <v>1</v>
      </c>
      <c r="I457" s="10"/>
      <c r="J457" s="10">
        <v>606</v>
      </c>
      <c r="K457" s="104">
        <v>45705</v>
      </c>
      <c r="L457" s="104">
        <v>45708</v>
      </c>
      <c r="M457" s="10" t="b">
        <v>0</v>
      </c>
      <c r="N457" s="10">
        <v>4</v>
      </c>
      <c r="O457" s="11">
        <v>1300</v>
      </c>
      <c r="P457" s="85">
        <v>2.145214521452145</v>
      </c>
      <c r="Q457" s="11">
        <v>1300</v>
      </c>
      <c r="R457" s="85">
        <v>2.145214521452145</v>
      </c>
      <c r="S457" s="29" t="s">
        <v>2719</v>
      </c>
      <c r="T457" s="29" t="s">
        <v>2798</v>
      </c>
    </row>
    <row r="458">
      <c r="B458" s="29" t="s">
        <v>1219</v>
      </c>
      <c r="C458" s="29" t="s">
        <v>1247</v>
      </c>
      <c r="D458" s="8" t="s">
        <v>1267</v>
      </c>
      <c r="E458" s="10" t="s">
        <v>1766</v>
      </c>
      <c r="F458" s="10"/>
      <c r="G458" s="10">
        <v>1</v>
      </c>
      <c r="H458" s="10">
        <v>1</v>
      </c>
      <c r="I458" s="10"/>
      <c r="J458" s="10">
        <v>606</v>
      </c>
      <c r="K458" s="104">
        <v>45705</v>
      </c>
      <c r="L458" s="104">
        <v>45708</v>
      </c>
      <c r="M458" s="10" t="b">
        <v>0</v>
      </c>
      <c r="N458" s="10">
        <v>4</v>
      </c>
      <c r="O458" s="11">
        <v>1300</v>
      </c>
      <c r="P458" s="85">
        <v>2.145214521452145</v>
      </c>
      <c r="Q458" s="11">
        <v>1300</v>
      </c>
      <c r="R458" s="85">
        <v>2.145214521452145</v>
      </c>
      <c r="S458" s="29" t="s">
        <v>2719</v>
      </c>
      <c r="T458" s="29" t="s">
        <v>2798</v>
      </c>
    </row>
    <row r="459">
      <c r="B459" s="29" t="s">
        <v>1219</v>
      </c>
      <c r="C459" s="29" t="s">
        <v>1247</v>
      </c>
      <c r="D459" s="8" t="s">
        <v>1267</v>
      </c>
      <c r="E459" s="10" t="s">
        <v>1767</v>
      </c>
      <c r="F459" s="10"/>
      <c r="G459" s="10">
        <v>1</v>
      </c>
      <c r="H459" s="10">
        <v>1</v>
      </c>
      <c r="I459" s="10"/>
      <c r="J459" s="10">
        <v>606</v>
      </c>
      <c r="K459" s="104">
        <v>45705</v>
      </c>
      <c r="L459" s="104">
        <v>45708</v>
      </c>
      <c r="M459" s="10" t="b">
        <v>0</v>
      </c>
      <c r="N459" s="10">
        <v>4</v>
      </c>
      <c r="O459" s="11">
        <v>1300</v>
      </c>
      <c r="P459" s="85">
        <v>2.145214521452145</v>
      </c>
      <c r="Q459" s="11">
        <v>1300</v>
      </c>
      <c r="R459" s="85">
        <v>2.145214521452145</v>
      </c>
      <c r="S459" s="29" t="s">
        <v>2719</v>
      </c>
      <c r="T459" s="29" t="s">
        <v>2798</v>
      </c>
    </row>
    <row r="460">
      <c r="B460" s="29" t="s">
        <v>1219</v>
      </c>
      <c r="C460" s="29" t="s">
        <v>1247</v>
      </c>
      <c r="D460" s="8" t="s">
        <v>1267</v>
      </c>
      <c r="E460" s="10" t="s">
        <v>1768</v>
      </c>
      <c r="F460" s="10">
        <v>2</v>
      </c>
      <c r="G460" s="10">
        <v>1</v>
      </c>
      <c r="H460" s="10">
        <v>1</v>
      </c>
      <c r="I460" s="10"/>
      <c r="J460" s="10">
        <v>606</v>
      </c>
      <c r="K460" s="104">
        <v>45705</v>
      </c>
      <c r="L460" s="104">
        <v>45708</v>
      </c>
      <c r="M460" s="10" t="b">
        <v>0</v>
      </c>
      <c r="N460" s="10">
        <v>4</v>
      </c>
      <c r="O460" s="11">
        <v>1300</v>
      </c>
      <c r="P460" s="85">
        <v>2.145214521452145</v>
      </c>
      <c r="Q460" s="11">
        <v>1300</v>
      </c>
      <c r="R460" s="85">
        <v>2.145214521452145</v>
      </c>
      <c r="S460" s="29" t="s">
        <v>2719</v>
      </c>
      <c r="T460" s="29" t="s">
        <v>2798</v>
      </c>
    </row>
    <row r="461">
      <c r="B461" s="29" t="s">
        <v>1219</v>
      </c>
      <c r="C461" s="29" t="s">
        <v>1247</v>
      </c>
      <c r="D461" s="8" t="s">
        <v>1267</v>
      </c>
      <c r="E461" s="10" t="s">
        <v>1769</v>
      </c>
      <c r="F461" s="10"/>
      <c r="G461" s="10">
        <v>1</v>
      </c>
      <c r="H461" s="10">
        <v>1</v>
      </c>
      <c r="I461" s="10"/>
      <c r="J461" s="10">
        <v>606</v>
      </c>
      <c r="K461" s="104">
        <v>45705</v>
      </c>
      <c r="L461" s="104">
        <v>45708</v>
      </c>
      <c r="M461" s="10" t="b">
        <v>0</v>
      </c>
      <c r="N461" s="10">
        <v>4</v>
      </c>
      <c r="O461" s="11">
        <v>1300</v>
      </c>
      <c r="P461" s="85">
        <v>2.145214521452145</v>
      </c>
      <c r="Q461" s="11">
        <v>1300</v>
      </c>
      <c r="R461" s="85">
        <v>2.145214521452145</v>
      </c>
      <c r="S461" s="29" t="s">
        <v>2719</v>
      </c>
      <c r="T461" s="29" t="s">
        <v>2798</v>
      </c>
    </row>
    <row r="462">
      <c r="B462" s="29" t="s">
        <v>1219</v>
      </c>
      <c r="C462" s="29" t="s">
        <v>1247</v>
      </c>
      <c r="D462" s="8" t="s">
        <v>1267</v>
      </c>
      <c r="E462" s="10" t="s">
        <v>1770</v>
      </c>
      <c r="F462" s="10">
        <v>2</v>
      </c>
      <c r="G462" s="10">
        <v>1</v>
      </c>
      <c r="H462" s="10">
        <v>1</v>
      </c>
      <c r="I462" s="10"/>
      <c r="J462" s="10">
        <v>606</v>
      </c>
      <c r="K462" s="104">
        <v>45705</v>
      </c>
      <c r="L462" s="104">
        <v>45708</v>
      </c>
      <c r="M462" s="10" t="b">
        <v>0</v>
      </c>
      <c r="N462" s="10">
        <v>4</v>
      </c>
      <c r="O462" s="11">
        <v>1300</v>
      </c>
      <c r="P462" s="85">
        <v>2.145214521452145</v>
      </c>
      <c r="Q462" s="11">
        <v>1300</v>
      </c>
      <c r="R462" s="85">
        <v>2.145214521452145</v>
      </c>
      <c r="S462" s="29" t="s">
        <v>2719</v>
      </c>
      <c r="T462" s="29" t="s">
        <v>2798</v>
      </c>
    </row>
    <row r="463">
      <c r="B463" s="29" t="s">
        <v>1219</v>
      </c>
      <c r="C463" s="29" t="s">
        <v>1247</v>
      </c>
      <c r="D463" s="8" t="s">
        <v>1267</v>
      </c>
      <c r="E463" s="10" t="s">
        <v>1771</v>
      </c>
      <c r="F463" s="10">
        <v>2</v>
      </c>
      <c r="G463" s="10">
        <v>1</v>
      </c>
      <c r="H463" s="10">
        <v>1</v>
      </c>
      <c r="I463" s="10"/>
      <c r="J463" s="10">
        <v>606</v>
      </c>
      <c r="K463" s="104">
        <v>45705</v>
      </c>
      <c r="L463" s="104">
        <v>45708</v>
      </c>
      <c r="M463" s="10" t="b">
        <v>0</v>
      </c>
      <c r="N463" s="10">
        <v>4</v>
      </c>
      <c r="O463" s="11">
        <v>1300</v>
      </c>
      <c r="P463" s="85">
        <v>2.145214521452145</v>
      </c>
      <c r="Q463" s="11">
        <v>1300</v>
      </c>
      <c r="R463" s="85">
        <v>2.145214521452145</v>
      </c>
      <c r="S463" s="29" t="s">
        <v>2719</v>
      </c>
      <c r="T463" s="29" t="s">
        <v>2798</v>
      </c>
    </row>
    <row r="464">
      <c r="B464" s="29" t="s">
        <v>1219</v>
      </c>
      <c r="C464" s="29" t="s">
        <v>1247</v>
      </c>
      <c r="D464" s="8" t="s">
        <v>1267</v>
      </c>
      <c r="E464" s="10" t="s">
        <v>1772</v>
      </c>
      <c r="F464" s="10">
        <v>2</v>
      </c>
      <c r="G464" s="10">
        <v>1</v>
      </c>
      <c r="H464" s="10">
        <v>1</v>
      </c>
      <c r="I464" s="10"/>
      <c r="J464" s="10">
        <v>606</v>
      </c>
      <c r="K464" s="104">
        <v>45705</v>
      </c>
      <c r="L464" s="104">
        <v>45710</v>
      </c>
      <c r="M464" s="10" t="b">
        <v>0</v>
      </c>
      <c r="N464" s="10">
        <v>6</v>
      </c>
      <c r="O464" s="11">
        <v>1350</v>
      </c>
      <c r="P464" s="85">
        <v>2.227722772277228</v>
      </c>
      <c r="Q464" s="11">
        <v>1350</v>
      </c>
      <c r="R464" s="85">
        <v>2.227722772277228</v>
      </c>
      <c r="S464" s="29" t="s">
        <v>2719</v>
      </c>
      <c r="T464" s="29" t="s">
        <v>2798</v>
      </c>
    </row>
    <row r="465">
      <c r="B465" s="29" t="s">
        <v>1219</v>
      </c>
      <c r="C465" s="29" t="s">
        <v>1247</v>
      </c>
      <c r="D465" s="8" t="s">
        <v>1267</v>
      </c>
      <c r="E465" s="10" t="s">
        <v>1773</v>
      </c>
      <c r="F465" s="10"/>
      <c r="G465" s="10">
        <v>1</v>
      </c>
      <c r="H465" s="10">
        <v>1</v>
      </c>
      <c r="I465" s="10"/>
      <c r="J465" s="10">
        <v>606</v>
      </c>
      <c r="K465" s="104">
        <v>45707</v>
      </c>
      <c r="L465" s="104">
        <v>45710</v>
      </c>
      <c r="M465" s="10" t="b">
        <v>0</v>
      </c>
      <c r="N465" s="10">
        <v>4</v>
      </c>
      <c r="O465" s="11">
        <v>1350</v>
      </c>
      <c r="P465" s="85">
        <v>2.227722772277228</v>
      </c>
      <c r="Q465" s="11">
        <v>1350</v>
      </c>
      <c r="R465" s="85">
        <v>2.227722772277228</v>
      </c>
      <c r="S465" s="29" t="s">
        <v>2719</v>
      </c>
      <c r="T465" s="29" t="s">
        <v>2798</v>
      </c>
    </row>
    <row r="466">
      <c r="B466" s="29" t="s">
        <v>1219</v>
      </c>
      <c r="C466" s="29" t="s">
        <v>1247</v>
      </c>
      <c r="D466" s="8" t="s">
        <v>1267</v>
      </c>
      <c r="E466" s="10" t="s">
        <v>1774</v>
      </c>
      <c r="F466" s="10">
        <v>2</v>
      </c>
      <c r="G466" s="10">
        <v>1</v>
      </c>
      <c r="H466" s="10">
        <v>1</v>
      </c>
      <c r="I466" s="10"/>
      <c r="J466" s="10">
        <v>606</v>
      </c>
      <c r="K466" s="104">
        <v>45705</v>
      </c>
      <c r="L466" s="104">
        <v>45710</v>
      </c>
      <c r="M466" s="10" t="b">
        <v>0</v>
      </c>
      <c r="N466" s="10">
        <v>6</v>
      </c>
      <c r="O466" s="11">
        <v>1350</v>
      </c>
      <c r="P466" s="85">
        <v>2.227722772277228</v>
      </c>
      <c r="Q466" s="11">
        <v>1350</v>
      </c>
      <c r="R466" s="85">
        <v>2.227722772277228</v>
      </c>
      <c r="S466" s="29" t="s">
        <v>2719</v>
      </c>
      <c r="T466" s="29" t="s">
        <v>2798</v>
      </c>
    </row>
    <row r="467">
      <c r="B467" s="29" t="s">
        <v>1219</v>
      </c>
      <c r="C467" s="29" t="s">
        <v>1247</v>
      </c>
      <c r="D467" s="8" t="s">
        <v>1268</v>
      </c>
      <c r="E467" s="10" t="s">
        <v>1775</v>
      </c>
      <c r="F467" s="10"/>
      <c r="G467" s="10">
        <v>2</v>
      </c>
      <c r="H467" s="10">
        <v>1</v>
      </c>
      <c r="I467" s="10"/>
      <c r="J467" s="10">
        <v>728</v>
      </c>
      <c r="K467" s="104">
        <v>45716</v>
      </c>
      <c r="L467" s="104">
        <v>45720</v>
      </c>
      <c r="M467" s="10" t="b">
        <v>0</v>
      </c>
      <c r="N467" s="10">
        <v>5</v>
      </c>
      <c r="O467" s="11">
        <v>1600</v>
      </c>
      <c r="P467" s="85">
        <v>2.197802197802198</v>
      </c>
      <c r="Q467" s="11">
        <v>1600</v>
      </c>
      <c r="R467" s="85">
        <v>2.197802197802198</v>
      </c>
      <c r="S467" s="29" t="s">
        <v>2719</v>
      </c>
      <c r="T467" s="29" t="s">
        <v>2719</v>
      </c>
    </row>
    <row r="468">
      <c r="B468" s="29" t="s">
        <v>1219</v>
      </c>
      <c r="C468" s="29" t="s">
        <v>1247</v>
      </c>
      <c r="D468" s="8" t="s">
        <v>1268</v>
      </c>
      <c r="E468" s="10" t="s">
        <v>1776</v>
      </c>
      <c r="F468" s="10"/>
      <c r="G468" s="10">
        <v>2</v>
      </c>
      <c r="H468" s="10">
        <v>1</v>
      </c>
      <c r="I468" s="10"/>
      <c r="J468" s="10">
        <v>728</v>
      </c>
      <c r="K468" s="104">
        <v>45707</v>
      </c>
      <c r="L468" s="104">
        <v>45710</v>
      </c>
      <c r="M468" s="10" t="b">
        <v>0</v>
      </c>
      <c r="N468" s="10">
        <v>4</v>
      </c>
      <c r="O468" s="11">
        <v>1600</v>
      </c>
      <c r="P468" s="85">
        <v>2.197802197802198</v>
      </c>
      <c r="Q468" s="11">
        <v>1600</v>
      </c>
      <c r="R468" s="85">
        <v>2.197802197802198</v>
      </c>
      <c r="S468" s="29" t="s">
        <v>2719</v>
      </c>
      <c r="T468" s="29" t="s">
        <v>2719</v>
      </c>
    </row>
    <row r="469">
      <c r="B469" s="29" t="s">
        <v>1219</v>
      </c>
      <c r="C469" s="29" t="s">
        <v>1247</v>
      </c>
      <c r="D469" s="8" t="s">
        <v>1268</v>
      </c>
      <c r="E469" s="10" t="s">
        <v>1777</v>
      </c>
      <c r="F469" s="10"/>
      <c r="G469" s="10">
        <v>2</v>
      </c>
      <c r="H469" s="10">
        <v>1</v>
      </c>
      <c r="I469" s="10"/>
      <c r="J469" s="10">
        <v>728</v>
      </c>
      <c r="K469" s="104">
        <v>45707</v>
      </c>
      <c r="L469" s="104">
        <v>45783</v>
      </c>
      <c r="M469" s="10" t="b">
        <v>0</v>
      </c>
      <c r="N469" s="10">
        <v>77</v>
      </c>
      <c r="O469" s="11">
        <v>1600</v>
      </c>
      <c r="P469" s="85">
        <v>2.197802197802198</v>
      </c>
      <c r="Q469" s="11">
        <v>1600</v>
      </c>
      <c r="R469" s="85">
        <v>2.197802197802198</v>
      </c>
      <c r="S469" s="29" t="s">
        <v>2719</v>
      </c>
      <c r="T469" s="29" t="s">
        <v>2719</v>
      </c>
    </row>
    <row r="470">
      <c r="B470" s="29" t="s">
        <v>1219</v>
      </c>
      <c r="C470" s="29" t="s">
        <v>1247</v>
      </c>
      <c r="D470" s="8" t="s">
        <v>1268</v>
      </c>
      <c r="E470" s="10" t="s">
        <v>1778</v>
      </c>
      <c r="F470" s="10"/>
      <c r="G470" s="10">
        <v>2</v>
      </c>
      <c r="H470" s="10">
        <v>1</v>
      </c>
      <c r="I470" s="10"/>
      <c r="J470" s="10">
        <v>728</v>
      </c>
      <c r="K470" s="104">
        <v>45716</v>
      </c>
      <c r="L470" s="104">
        <v>45720</v>
      </c>
      <c r="M470" s="10" t="b">
        <v>0</v>
      </c>
      <c r="N470" s="10">
        <v>5</v>
      </c>
      <c r="O470" s="11">
        <v>1600</v>
      </c>
      <c r="P470" s="85">
        <v>2.197802197802198</v>
      </c>
      <c r="Q470" s="11">
        <v>1600</v>
      </c>
      <c r="R470" s="85">
        <v>2.197802197802198</v>
      </c>
      <c r="S470" s="29" t="s">
        <v>2719</v>
      </c>
      <c r="T470" s="29" t="s">
        <v>2719</v>
      </c>
    </row>
    <row r="471">
      <c r="B471" s="29" t="s">
        <v>1219</v>
      </c>
      <c r="C471" s="29" t="s">
        <v>1247</v>
      </c>
      <c r="D471" s="8" t="s">
        <v>1268</v>
      </c>
      <c r="E471" s="10" t="s">
        <v>1779</v>
      </c>
      <c r="F471" s="10"/>
      <c r="G471" s="10">
        <v>2</v>
      </c>
      <c r="H471" s="10">
        <v>1</v>
      </c>
      <c r="I471" s="10"/>
      <c r="J471" s="10">
        <v>728</v>
      </c>
      <c r="K471" s="104">
        <v>45707</v>
      </c>
      <c r="L471" s="104">
        <v>45710</v>
      </c>
      <c r="M471" s="10" t="b">
        <v>0</v>
      </c>
      <c r="N471" s="10">
        <v>4</v>
      </c>
      <c r="O471" s="11">
        <v>1600</v>
      </c>
      <c r="P471" s="85">
        <v>2.197802197802198</v>
      </c>
      <c r="Q471" s="11">
        <v>1600</v>
      </c>
      <c r="R471" s="85">
        <v>2.197802197802198</v>
      </c>
      <c r="S471" s="29" t="s">
        <v>2719</v>
      </c>
      <c r="T471" s="29" t="s">
        <v>2719</v>
      </c>
    </row>
    <row r="472">
      <c r="B472" s="29" t="s">
        <v>1219</v>
      </c>
      <c r="C472" s="29" t="s">
        <v>1247</v>
      </c>
      <c r="D472" s="8" t="s">
        <v>1268</v>
      </c>
      <c r="E472" s="10" t="s">
        <v>1780</v>
      </c>
      <c r="F472" s="10"/>
      <c r="G472" s="10">
        <v>2</v>
      </c>
      <c r="H472" s="10">
        <v>1</v>
      </c>
      <c r="I472" s="10"/>
      <c r="J472" s="10">
        <v>728</v>
      </c>
      <c r="K472" s="104">
        <v>45716</v>
      </c>
      <c r="L472" s="104">
        <v>45720</v>
      </c>
      <c r="M472" s="10" t="b">
        <v>0</v>
      </c>
      <c r="N472" s="10">
        <v>5</v>
      </c>
      <c r="O472" s="11">
        <v>1600</v>
      </c>
      <c r="P472" s="85">
        <v>2.197802197802198</v>
      </c>
      <c r="Q472" s="11">
        <v>1600</v>
      </c>
      <c r="R472" s="85">
        <v>2.197802197802198</v>
      </c>
      <c r="S472" s="29" t="s">
        <v>2719</v>
      </c>
      <c r="T472" s="29" t="s">
        <v>2719</v>
      </c>
    </row>
    <row r="473">
      <c r="B473" s="29" t="s">
        <v>1219</v>
      </c>
      <c r="C473" s="29" t="s">
        <v>1247</v>
      </c>
      <c r="D473" s="8" t="s">
        <v>1268</v>
      </c>
      <c r="E473" s="10" t="s">
        <v>1781</v>
      </c>
      <c r="F473" s="10">
        <v>2</v>
      </c>
      <c r="G473" s="10">
        <v>2</v>
      </c>
      <c r="H473" s="10">
        <v>1</v>
      </c>
      <c r="I473" s="10"/>
      <c r="J473" s="10">
        <v>728</v>
      </c>
      <c r="K473" s="104">
        <v>45716</v>
      </c>
      <c r="L473" s="104">
        <v>45720</v>
      </c>
      <c r="M473" s="10" t="b">
        <v>0</v>
      </c>
      <c r="N473" s="10">
        <v>5</v>
      </c>
      <c r="O473" s="11">
        <v>1600</v>
      </c>
      <c r="P473" s="85">
        <v>2.197802197802198</v>
      </c>
      <c r="Q473" s="11">
        <v>1600</v>
      </c>
      <c r="R473" s="85">
        <v>2.197802197802198</v>
      </c>
      <c r="S473" s="29" t="s">
        <v>2719</v>
      </c>
      <c r="T473" s="29" t="s">
        <v>2719</v>
      </c>
    </row>
    <row r="474">
      <c r="B474" s="29" t="s">
        <v>1219</v>
      </c>
      <c r="C474" s="29" t="s">
        <v>1247</v>
      </c>
      <c r="D474" s="8" t="s">
        <v>1268</v>
      </c>
      <c r="E474" s="10" t="s">
        <v>1782</v>
      </c>
      <c r="F474" s="10"/>
      <c r="G474" s="10">
        <v>2</v>
      </c>
      <c r="H474" s="10">
        <v>1</v>
      </c>
      <c r="I474" s="10"/>
      <c r="J474" s="10">
        <v>728</v>
      </c>
      <c r="K474" s="104">
        <v>45716</v>
      </c>
      <c r="L474" s="104">
        <v>45720</v>
      </c>
      <c r="M474" s="10" t="b">
        <v>0</v>
      </c>
      <c r="N474" s="10">
        <v>5</v>
      </c>
      <c r="O474" s="11">
        <v>1600</v>
      </c>
      <c r="P474" s="85">
        <v>2.197802197802198</v>
      </c>
      <c r="Q474" s="11">
        <v>1600</v>
      </c>
      <c r="R474" s="85">
        <v>2.197802197802198</v>
      </c>
      <c r="S474" s="29" t="s">
        <v>2719</v>
      </c>
      <c r="T474" s="29" t="s">
        <v>2719</v>
      </c>
    </row>
    <row r="475">
      <c r="B475" s="29" t="s">
        <v>1219</v>
      </c>
      <c r="C475" s="29" t="s">
        <v>1247</v>
      </c>
      <c r="D475" s="8" t="s">
        <v>1268</v>
      </c>
      <c r="E475" s="10" t="s">
        <v>1783</v>
      </c>
      <c r="F475" s="10">
        <v>2</v>
      </c>
      <c r="G475" s="10">
        <v>2</v>
      </c>
      <c r="H475" s="10">
        <v>1</v>
      </c>
      <c r="I475" s="10"/>
      <c r="J475" s="10">
        <v>728</v>
      </c>
      <c r="K475" s="104">
        <v>45707</v>
      </c>
      <c r="L475" s="104">
        <v>45708</v>
      </c>
      <c r="M475" s="10" t="b">
        <v>0</v>
      </c>
      <c r="N475" s="10">
        <v>2</v>
      </c>
      <c r="O475" s="11">
        <v>1600</v>
      </c>
      <c r="P475" s="85">
        <v>2.197802197802198</v>
      </c>
      <c r="Q475" s="11">
        <v>1600</v>
      </c>
      <c r="R475" s="85">
        <v>2.197802197802198</v>
      </c>
      <c r="S475" s="29" t="s">
        <v>2719</v>
      </c>
      <c r="T475" s="29" t="s">
        <v>2719</v>
      </c>
    </row>
    <row r="476">
      <c r="B476" s="29" t="s">
        <v>1219</v>
      </c>
      <c r="C476" s="29" t="s">
        <v>1247</v>
      </c>
      <c r="D476" s="8" t="s">
        <v>1268</v>
      </c>
      <c r="E476" s="10" t="s">
        <v>1784</v>
      </c>
      <c r="F476" s="10">
        <v>2</v>
      </c>
      <c r="G476" s="10">
        <v>2</v>
      </c>
      <c r="H476" s="10">
        <v>1</v>
      </c>
      <c r="I476" s="10"/>
      <c r="J476" s="10">
        <v>728</v>
      </c>
      <c r="K476" s="104">
        <v>45716</v>
      </c>
      <c r="L476" s="104">
        <v>45717</v>
      </c>
      <c r="M476" s="10" t="b">
        <v>0</v>
      </c>
      <c r="N476" s="10">
        <v>2</v>
      </c>
      <c r="O476" s="11">
        <v>1600</v>
      </c>
      <c r="P476" s="85">
        <v>2.197802197802198</v>
      </c>
      <c r="Q476" s="11">
        <v>1600</v>
      </c>
      <c r="R476" s="85">
        <v>2.197802197802198</v>
      </c>
      <c r="S476" s="29" t="s">
        <v>2719</v>
      </c>
      <c r="T476" s="29" t="s">
        <v>2719</v>
      </c>
    </row>
    <row r="477">
      <c r="B477" s="29" t="s">
        <v>1219</v>
      </c>
      <c r="C477" s="29" t="s">
        <v>1247</v>
      </c>
      <c r="D477" s="8" t="s">
        <v>1268</v>
      </c>
      <c r="E477" s="10" t="s">
        <v>1785</v>
      </c>
      <c r="F477" s="10">
        <v>2</v>
      </c>
      <c r="G477" s="10">
        <v>2</v>
      </c>
      <c r="H477" s="10">
        <v>1</v>
      </c>
      <c r="I477" s="10"/>
      <c r="J477" s="10">
        <v>728</v>
      </c>
      <c r="K477" s="104">
        <v>45714</v>
      </c>
      <c r="L477" s="104">
        <v>45779</v>
      </c>
      <c r="M477" s="10" t="b">
        <v>0</v>
      </c>
      <c r="N477" s="10">
        <v>66</v>
      </c>
      <c r="O477" s="11">
        <v>1600</v>
      </c>
      <c r="P477" s="85">
        <v>2.197802197802198</v>
      </c>
      <c r="Q477" s="11">
        <v>1600</v>
      </c>
      <c r="R477" s="85">
        <v>2.197802197802198</v>
      </c>
      <c r="S477" s="29" t="s">
        <v>2719</v>
      </c>
      <c r="T477" s="29" t="s">
        <v>2719</v>
      </c>
    </row>
    <row r="478">
      <c r="B478" s="29" t="s">
        <v>1219</v>
      </c>
      <c r="C478" s="29" t="s">
        <v>1247</v>
      </c>
      <c r="D478" s="8" t="s">
        <v>1268</v>
      </c>
      <c r="E478" s="10" t="s">
        <v>1786</v>
      </c>
      <c r="F478" s="10">
        <v>2</v>
      </c>
      <c r="G478" s="10">
        <v>2</v>
      </c>
      <c r="H478" s="10">
        <v>1</v>
      </c>
      <c r="I478" s="10"/>
      <c r="J478" s="10">
        <v>728</v>
      </c>
      <c r="K478" s="104">
        <v>45707</v>
      </c>
      <c r="L478" s="104">
        <v>45708</v>
      </c>
      <c r="M478" s="10" t="b">
        <v>0</v>
      </c>
      <c r="N478" s="10">
        <v>2</v>
      </c>
      <c r="O478" s="11">
        <v>1600</v>
      </c>
      <c r="P478" s="85">
        <v>2.197802197802198</v>
      </c>
      <c r="Q478" s="11">
        <v>1600</v>
      </c>
      <c r="R478" s="85">
        <v>2.197802197802198</v>
      </c>
      <c r="S478" s="29" t="s">
        <v>2719</v>
      </c>
      <c r="T478" s="29" t="s">
        <v>2719</v>
      </c>
    </row>
    <row r="479">
      <c r="B479" s="29" t="s">
        <v>1219</v>
      </c>
      <c r="C479" s="29" t="s">
        <v>1247</v>
      </c>
      <c r="D479" s="8" t="s">
        <v>1268</v>
      </c>
      <c r="E479" s="10" t="s">
        <v>1787</v>
      </c>
      <c r="F479" s="10">
        <v>2</v>
      </c>
      <c r="G479" s="10">
        <v>2</v>
      </c>
      <c r="H479" s="10">
        <v>1</v>
      </c>
      <c r="I479" s="10"/>
      <c r="J479" s="10">
        <v>728</v>
      </c>
      <c r="K479" s="104">
        <v>45716</v>
      </c>
      <c r="L479" s="104">
        <v>45720</v>
      </c>
      <c r="M479" s="10" t="b">
        <v>0</v>
      </c>
      <c r="N479" s="10">
        <v>5</v>
      </c>
      <c r="O479" s="11">
        <v>1600</v>
      </c>
      <c r="P479" s="85">
        <v>2.197802197802198</v>
      </c>
      <c r="Q479" s="11">
        <v>1600</v>
      </c>
      <c r="R479" s="85">
        <v>2.197802197802198</v>
      </c>
      <c r="S479" s="29" t="s">
        <v>2719</v>
      </c>
      <c r="T479" s="29" t="s">
        <v>2719</v>
      </c>
    </row>
    <row r="480">
      <c r="B480" s="29" t="s">
        <v>1219</v>
      </c>
      <c r="C480" s="29" t="s">
        <v>1247</v>
      </c>
      <c r="D480" s="8" t="s">
        <v>1268</v>
      </c>
      <c r="E480" s="10" t="s">
        <v>1788</v>
      </c>
      <c r="F480" s="10"/>
      <c r="G480" s="10">
        <v>2</v>
      </c>
      <c r="H480" s="10">
        <v>1</v>
      </c>
      <c r="I480" s="10"/>
      <c r="J480" s="10">
        <v>728</v>
      </c>
      <c r="K480" s="104">
        <v>45716</v>
      </c>
      <c r="L480" s="104">
        <v>45720</v>
      </c>
      <c r="M480" s="10" t="b">
        <v>0</v>
      </c>
      <c r="N480" s="10">
        <v>5</v>
      </c>
      <c r="O480" s="11">
        <v>1600</v>
      </c>
      <c r="P480" s="85">
        <v>2.197802197802198</v>
      </c>
      <c r="Q480" s="11">
        <v>1600</v>
      </c>
      <c r="R480" s="85">
        <v>2.197802197802198</v>
      </c>
      <c r="S480" s="29" t="s">
        <v>2719</v>
      </c>
      <c r="T480" s="29" t="s">
        <v>2719</v>
      </c>
    </row>
    <row r="481">
      <c r="B481" s="29" t="s">
        <v>1219</v>
      </c>
      <c r="C481" s="29" t="s">
        <v>1247</v>
      </c>
      <c r="D481" s="8" t="s">
        <v>1268</v>
      </c>
      <c r="E481" s="10" t="s">
        <v>1789</v>
      </c>
      <c r="F481" s="10">
        <v>2</v>
      </c>
      <c r="G481" s="10">
        <v>2</v>
      </c>
      <c r="H481" s="10">
        <v>1</v>
      </c>
      <c r="I481" s="10"/>
      <c r="J481" s="10">
        <v>728</v>
      </c>
      <c r="K481" s="104">
        <v>45716</v>
      </c>
      <c r="L481" s="104">
        <v>45720</v>
      </c>
      <c r="M481" s="10" t="b">
        <v>0</v>
      </c>
      <c r="N481" s="10">
        <v>5</v>
      </c>
      <c r="O481" s="11">
        <v>1600</v>
      </c>
      <c r="P481" s="85">
        <v>2.197802197802198</v>
      </c>
      <c r="Q481" s="11">
        <v>1600</v>
      </c>
      <c r="R481" s="85">
        <v>2.197802197802198</v>
      </c>
      <c r="S481" s="29" t="s">
        <v>2719</v>
      </c>
      <c r="T481" s="29" t="s">
        <v>2719</v>
      </c>
    </row>
    <row r="482">
      <c r="B482" s="29" t="s">
        <v>1219</v>
      </c>
      <c r="C482" s="29" t="s">
        <v>1247</v>
      </c>
      <c r="D482" s="8" t="s">
        <v>1268</v>
      </c>
      <c r="E482" s="10" t="s">
        <v>1790</v>
      </c>
      <c r="F482" s="10"/>
      <c r="G482" s="10">
        <v>2</v>
      </c>
      <c r="H482" s="10">
        <v>1</v>
      </c>
      <c r="I482" s="10"/>
      <c r="J482" s="10">
        <v>728</v>
      </c>
      <c r="K482" s="104">
        <v>45716</v>
      </c>
      <c r="L482" s="104">
        <v>45720</v>
      </c>
      <c r="M482" s="10" t="b">
        <v>0</v>
      </c>
      <c r="N482" s="10">
        <v>5</v>
      </c>
      <c r="O482" s="11">
        <v>1600</v>
      </c>
      <c r="P482" s="85">
        <v>2.197802197802198</v>
      </c>
      <c r="Q482" s="11">
        <v>1600</v>
      </c>
      <c r="R482" s="85">
        <v>2.197802197802198</v>
      </c>
      <c r="S482" s="29" t="s">
        <v>2719</v>
      </c>
      <c r="T482" s="29" t="s">
        <v>2719</v>
      </c>
    </row>
    <row r="483">
      <c r="B483" s="29" t="s">
        <v>1219</v>
      </c>
      <c r="C483" s="29" t="s">
        <v>1247</v>
      </c>
      <c r="D483" s="8" t="s">
        <v>1268</v>
      </c>
      <c r="E483" s="10" t="s">
        <v>1791</v>
      </c>
      <c r="F483" s="10">
        <v>2</v>
      </c>
      <c r="G483" s="10">
        <v>2</v>
      </c>
      <c r="H483" s="10">
        <v>1</v>
      </c>
      <c r="I483" s="10"/>
      <c r="J483" s="10">
        <v>728</v>
      </c>
      <c r="K483" s="104">
        <v>45716</v>
      </c>
      <c r="L483" s="104">
        <v>45720</v>
      </c>
      <c r="M483" s="10" t="b">
        <v>0</v>
      </c>
      <c r="N483" s="10">
        <v>5</v>
      </c>
      <c r="O483" s="11">
        <v>1600</v>
      </c>
      <c r="P483" s="85">
        <v>2.197802197802198</v>
      </c>
      <c r="Q483" s="11">
        <v>1600</v>
      </c>
      <c r="R483" s="85">
        <v>2.197802197802198</v>
      </c>
      <c r="S483" s="29" t="s">
        <v>2719</v>
      </c>
      <c r="T483" s="29" t="s">
        <v>2719</v>
      </c>
    </row>
    <row r="484">
      <c r="B484" s="29" t="s">
        <v>1219</v>
      </c>
      <c r="C484" s="29" t="s">
        <v>1247</v>
      </c>
      <c r="D484" s="8" t="s">
        <v>1268</v>
      </c>
      <c r="E484" s="10" t="s">
        <v>1792</v>
      </c>
      <c r="F484" s="10"/>
      <c r="G484" s="10">
        <v>2</v>
      </c>
      <c r="H484" s="10">
        <v>1</v>
      </c>
      <c r="I484" s="10"/>
      <c r="J484" s="10">
        <v>728</v>
      </c>
      <c r="K484" s="104">
        <v>45707</v>
      </c>
      <c r="L484" s="104">
        <v>45710</v>
      </c>
      <c r="M484" s="10" t="b">
        <v>0</v>
      </c>
      <c r="N484" s="10">
        <v>4</v>
      </c>
      <c r="O484" s="11">
        <v>1600</v>
      </c>
      <c r="P484" s="85">
        <v>2.197802197802198</v>
      </c>
      <c r="Q484" s="11">
        <v>1600</v>
      </c>
      <c r="R484" s="85">
        <v>2.197802197802198</v>
      </c>
      <c r="S484" s="29" t="s">
        <v>2719</v>
      </c>
      <c r="T484" s="29" t="s">
        <v>2719</v>
      </c>
    </row>
    <row r="485">
      <c r="B485" s="29" t="s">
        <v>1219</v>
      </c>
      <c r="C485" s="29" t="s">
        <v>1247</v>
      </c>
      <c r="D485" s="8" t="s">
        <v>1268</v>
      </c>
      <c r="E485" s="10" t="s">
        <v>1793</v>
      </c>
      <c r="F485" s="10"/>
      <c r="G485" s="10">
        <v>2</v>
      </c>
      <c r="H485" s="10">
        <v>1</v>
      </c>
      <c r="I485" s="10"/>
      <c r="J485" s="10">
        <v>728</v>
      </c>
      <c r="K485" s="104">
        <v>45716</v>
      </c>
      <c r="L485" s="104">
        <v>45720</v>
      </c>
      <c r="M485" s="10" t="b">
        <v>0</v>
      </c>
      <c r="N485" s="10">
        <v>5</v>
      </c>
      <c r="O485" s="11">
        <v>1600</v>
      </c>
      <c r="P485" s="85">
        <v>2.197802197802198</v>
      </c>
      <c r="Q485" s="11">
        <v>1600</v>
      </c>
      <c r="R485" s="85">
        <v>2.197802197802198</v>
      </c>
      <c r="S485" s="29" t="s">
        <v>2719</v>
      </c>
      <c r="T485" s="29" t="s">
        <v>2719</v>
      </c>
    </row>
    <row r="486">
      <c r="B486" s="29" t="s">
        <v>1219</v>
      </c>
      <c r="C486" s="29" t="s">
        <v>1247</v>
      </c>
      <c r="D486" s="8" t="s">
        <v>1268</v>
      </c>
      <c r="E486" s="10" t="s">
        <v>1794</v>
      </c>
      <c r="F486" s="10"/>
      <c r="G486" s="10">
        <v>2</v>
      </c>
      <c r="H486" s="10">
        <v>1</v>
      </c>
      <c r="I486" s="10"/>
      <c r="J486" s="10">
        <v>728</v>
      </c>
      <c r="K486" s="104">
        <v>45707</v>
      </c>
      <c r="L486" s="104">
        <v>45708</v>
      </c>
      <c r="M486" s="10" t="b">
        <v>0</v>
      </c>
      <c r="N486" s="10">
        <v>2</v>
      </c>
      <c r="O486" s="11">
        <v>1600</v>
      </c>
      <c r="P486" s="85">
        <v>2.197802197802198</v>
      </c>
      <c r="Q486" s="11">
        <v>1600</v>
      </c>
      <c r="R486" s="85">
        <v>2.197802197802198</v>
      </c>
      <c r="S486" s="29" t="s">
        <v>2719</v>
      </c>
      <c r="T486" s="29" t="s">
        <v>2719</v>
      </c>
    </row>
    <row r="487">
      <c r="B487" s="29" t="s">
        <v>1219</v>
      </c>
      <c r="C487" s="29" t="s">
        <v>1247</v>
      </c>
      <c r="D487" s="8" t="s">
        <v>1268</v>
      </c>
      <c r="E487" s="10" t="s">
        <v>1795</v>
      </c>
      <c r="F487" s="10"/>
      <c r="G487" s="10">
        <v>2</v>
      </c>
      <c r="H487" s="10">
        <v>1</v>
      </c>
      <c r="I487" s="10"/>
      <c r="J487" s="10">
        <v>728</v>
      </c>
      <c r="K487" s="104">
        <v>45707</v>
      </c>
      <c r="L487" s="104">
        <v>45710</v>
      </c>
      <c r="M487" s="10" t="b">
        <v>0</v>
      </c>
      <c r="N487" s="10">
        <v>4</v>
      </c>
      <c r="O487" s="11">
        <v>1600</v>
      </c>
      <c r="P487" s="85">
        <v>2.197802197802198</v>
      </c>
      <c r="Q487" s="11">
        <v>1600</v>
      </c>
      <c r="R487" s="85">
        <v>2.197802197802198</v>
      </c>
      <c r="S487" s="29" t="s">
        <v>2719</v>
      </c>
      <c r="T487" s="29" t="s">
        <v>2719</v>
      </c>
    </row>
    <row r="488">
      <c r="B488" s="29" t="s">
        <v>1219</v>
      </c>
      <c r="C488" s="29" t="s">
        <v>1247</v>
      </c>
      <c r="D488" s="8" t="s">
        <v>1268</v>
      </c>
      <c r="E488" s="10" t="s">
        <v>1796</v>
      </c>
      <c r="F488" s="10"/>
      <c r="G488" s="10">
        <v>2</v>
      </c>
      <c r="H488" s="10">
        <v>1</v>
      </c>
      <c r="I488" s="10"/>
      <c r="J488" s="10">
        <v>728</v>
      </c>
      <c r="K488" s="104">
        <v>45716</v>
      </c>
      <c r="L488" s="104">
        <v>45720</v>
      </c>
      <c r="M488" s="10" t="b">
        <v>0</v>
      </c>
      <c r="N488" s="10">
        <v>5</v>
      </c>
      <c r="O488" s="11">
        <v>1600</v>
      </c>
      <c r="P488" s="85">
        <v>2.197802197802198</v>
      </c>
      <c r="Q488" s="11">
        <v>1600</v>
      </c>
      <c r="R488" s="85">
        <v>2.197802197802198</v>
      </c>
      <c r="S488" s="29" t="s">
        <v>2719</v>
      </c>
      <c r="T488" s="29" t="s">
        <v>2719</v>
      </c>
    </row>
    <row r="489">
      <c r="B489" s="29" t="s">
        <v>1219</v>
      </c>
      <c r="C489" s="29" t="s">
        <v>1247</v>
      </c>
      <c r="D489" s="8" t="s">
        <v>1268</v>
      </c>
      <c r="E489" s="10" t="s">
        <v>1797</v>
      </c>
      <c r="F489" s="10"/>
      <c r="G489" s="10">
        <v>2</v>
      </c>
      <c r="H489" s="10">
        <v>1</v>
      </c>
      <c r="I489" s="10"/>
      <c r="J489" s="10">
        <v>728</v>
      </c>
      <c r="K489" s="104">
        <v>45707</v>
      </c>
      <c r="L489" s="104">
        <v>45710</v>
      </c>
      <c r="M489" s="10" t="b">
        <v>0</v>
      </c>
      <c r="N489" s="10">
        <v>4</v>
      </c>
      <c r="O489" s="11">
        <v>1650</v>
      </c>
      <c r="P489" s="85">
        <v>2.2664835164835164</v>
      </c>
      <c r="Q489" s="11">
        <v>1650</v>
      </c>
      <c r="R489" s="85">
        <v>2.2664835164835164</v>
      </c>
      <c r="S489" s="29" t="s">
        <v>2719</v>
      </c>
      <c r="T489" s="29" t="s">
        <v>2719</v>
      </c>
    </row>
    <row r="490">
      <c r="B490" s="29" t="s">
        <v>1219</v>
      </c>
      <c r="C490" s="29" t="s">
        <v>1247</v>
      </c>
      <c r="D490" s="8" t="s">
        <v>1269</v>
      </c>
      <c r="E490" s="10" t="s">
        <v>1798</v>
      </c>
      <c r="F490" s="10">
        <v>2</v>
      </c>
      <c r="G490" s="10">
        <v>2</v>
      </c>
      <c r="H490" s="10">
        <v>1</v>
      </c>
      <c r="I490" s="10"/>
      <c r="J490" s="10">
        <v>837</v>
      </c>
      <c r="K490" s="104">
        <v>45705</v>
      </c>
      <c r="L490" s="104">
        <v>45710</v>
      </c>
      <c r="M490" s="10" t="b">
        <v>0</v>
      </c>
      <c r="N490" s="10">
        <v>6</v>
      </c>
      <c r="O490" s="11">
        <v>1600</v>
      </c>
      <c r="P490" s="85">
        <v>1.911589008363202</v>
      </c>
      <c r="Q490" s="11">
        <v>1600</v>
      </c>
      <c r="R490" s="85">
        <v>1.911589008363202</v>
      </c>
      <c r="S490" s="29" t="s">
        <v>2719</v>
      </c>
      <c r="T490" s="29" t="s">
        <v>2798</v>
      </c>
    </row>
    <row r="491">
      <c r="B491" s="29" t="s">
        <v>1219</v>
      </c>
      <c r="C491" s="29" t="s">
        <v>1247</v>
      </c>
      <c r="D491" s="8" t="s">
        <v>1269</v>
      </c>
      <c r="E491" s="10" t="s">
        <v>1799</v>
      </c>
      <c r="F491" s="10">
        <v>2</v>
      </c>
      <c r="G491" s="10">
        <v>2</v>
      </c>
      <c r="H491" s="10">
        <v>1</v>
      </c>
      <c r="I491" s="10"/>
      <c r="J491" s="10">
        <v>837</v>
      </c>
      <c r="K491" s="104">
        <v>45705</v>
      </c>
      <c r="L491" s="104">
        <v>45710</v>
      </c>
      <c r="M491" s="10" t="b">
        <v>0</v>
      </c>
      <c r="N491" s="10">
        <v>6</v>
      </c>
      <c r="O491" s="11">
        <v>1600</v>
      </c>
      <c r="P491" s="85">
        <v>1.911589008363202</v>
      </c>
      <c r="Q491" s="11">
        <v>1600</v>
      </c>
      <c r="R491" s="85">
        <v>1.911589008363202</v>
      </c>
      <c r="S491" s="29" t="s">
        <v>2719</v>
      </c>
      <c r="T491" s="29" t="s">
        <v>2798</v>
      </c>
    </row>
    <row r="492">
      <c r="B492" s="29" t="s">
        <v>1219</v>
      </c>
      <c r="C492" s="29" t="s">
        <v>1247</v>
      </c>
      <c r="D492" s="8" t="s">
        <v>1269</v>
      </c>
      <c r="E492" s="10" t="s">
        <v>1800</v>
      </c>
      <c r="F492" s="10"/>
      <c r="G492" s="10">
        <v>2</v>
      </c>
      <c r="H492" s="10">
        <v>1</v>
      </c>
      <c r="I492" s="10"/>
      <c r="J492" s="10">
        <v>837</v>
      </c>
      <c r="K492" s="104">
        <v>45705</v>
      </c>
      <c r="L492" s="104">
        <v>45710</v>
      </c>
      <c r="M492" s="10" t="b">
        <v>0</v>
      </c>
      <c r="N492" s="10">
        <v>6</v>
      </c>
      <c r="O492" s="11">
        <v>1600</v>
      </c>
      <c r="P492" s="85">
        <v>1.911589008363202</v>
      </c>
      <c r="Q492" s="11">
        <v>1600</v>
      </c>
      <c r="R492" s="85">
        <v>1.911589008363202</v>
      </c>
      <c r="S492" s="29" t="s">
        <v>2719</v>
      </c>
      <c r="T492" s="29" t="s">
        <v>2798</v>
      </c>
    </row>
    <row r="493">
      <c r="B493" s="29" t="s">
        <v>1219</v>
      </c>
      <c r="C493" s="29" t="s">
        <v>1247</v>
      </c>
      <c r="D493" s="8" t="s">
        <v>1269</v>
      </c>
      <c r="E493" s="10" t="s">
        <v>1801</v>
      </c>
      <c r="F493" s="10">
        <v>2</v>
      </c>
      <c r="G493" s="10">
        <v>2</v>
      </c>
      <c r="H493" s="10">
        <v>1</v>
      </c>
      <c r="I493" s="10"/>
      <c r="J493" s="10">
        <v>837</v>
      </c>
      <c r="K493" s="104">
        <v>45705</v>
      </c>
      <c r="L493" s="104">
        <v>45710</v>
      </c>
      <c r="M493" s="10" t="b">
        <v>0</v>
      </c>
      <c r="N493" s="10">
        <v>6</v>
      </c>
      <c r="O493" s="11">
        <v>1600</v>
      </c>
      <c r="P493" s="85">
        <v>1.911589008363202</v>
      </c>
      <c r="Q493" s="11">
        <v>1600</v>
      </c>
      <c r="R493" s="85">
        <v>1.911589008363202</v>
      </c>
      <c r="S493" s="29" t="s">
        <v>2719</v>
      </c>
      <c r="T493" s="29" t="s">
        <v>2798</v>
      </c>
    </row>
    <row r="494">
      <c r="B494" s="29" t="s">
        <v>1219</v>
      </c>
      <c r="C494" s="29" t="s">
        <v>1247</v>
      </c>
      <c r="D494" s="8" t="s">
        <v>1269</v>
      </c>
      <c r="E494" s="10" t="s">
        <v>1802</v>
      </c>
      <c r="F494" s="10">
        <v>2</v>
      </c>
      <c r="G494" s="10">
        <v>2</v>
      </c>
      <c r="H494" s="10">
        <v>1</v>
      </c>
      <c r="I494" s="10"/>
      <c r="J494" s="10">
        <v>837</v>
      </c>
      <c r="K494" s="104">
        <v>45705</v>
      </c>
      <c r="L494" s="104">
        <v>45710</v>
      </c>
      <c r="M494" s="10" t="b">
        <v>0</v>
      </c>
      <c r="N494" s="10">
        <v>6</v>
      </c>
      <c r="O494" s="11">
        <v>1600</v>
      </c>
      <c r="P494" s="85">
        <v>1.911589008363202</v>
      </c>
      <c r="Q494" s="11">
        <v>1600</v>
      </c>
      <c r="R494" s="85">
        <v>1.911589008363202</v>
      </c>
      <c r="S494" s="29" t="s">
        <v>2719</v>
      </c>
      <c r="T494" s="29" t="s">
        <v>2798</v>
      </c>
    </row>
    <row r="495">
      <c r="B495" s="29" t="s">
        <v>1219</v>
      </c>
      <c r="C495" s="29" t="s">
        <v>1247</v>
      </c>
      <c r="D495" s="8" t="s">
        <v>1269</v>
      </c>
      <c r="E495" s="10" t="s">
        <v>1803</v>
      </c>
      <c r="F495" s="10"/>
      <c r="G495" s="10">
        <v>2</v>
      </c>
      <c r="H495" s="10">
        <v>1</v>
      </c>
      <c r="I495" s="10"/>
      <c r="J495" s="10">
        <v>837</v>
      </c>
      <c r="K495" s="104">
        <v>45705</v>
      </c>
      <c r="L495" s="104">
        <v>45710</v>
      </c>
      <c r="M495" s="10" t="b">
        <v>0</v>
      </c>
      <c r="N495" s="10">
        <v>6</v>
      </c>
      <c r="O495" s="11">
        <v>1600</v>
      </c>
      <c r="P495" s="85">
        <v>1.911589008363202</v>
      </c>
      <c r="Q495" s="11">
        <v>1600</v>
      </c>
      <c r="R495" s="85">
        <v>1.911589008363202</v>
      </c>
      <c r="S495" s="29" t="s">
        <v>2719</v>
      </c>
      <c r="T495" s="29" t="s">
        <v>2798</v>
      </c>
    </row>
    <row r="496">
      <c r="B496" s="29" t="s">
        <v>1219</v>
      </c>
      <c r="C496" s="29" t="s">
        <v>1247</v>
      </c>
      <c r="D496" s="8" t="s">
        <v>1269</v>
      </c>
      <c r="E496" s="10" t="s">
        <v>1804</v>
      </c>
      <c r="F496" s="10">
        <v>2</v>
      </c>
      <c r="G496" s="10">
        <v>2</v>
      </c>
      <c r="H496" s="10">
        <v>1</v>
      </c>
      <c r="I496" s="10"/>
      <c r="J496" s="10">
        <v>837</v>
      </c>
      <c r="K496" s="104">
        <v>45705</v>
      </c>
      <c r="L496" s="104">
        <v>45710</v>
      </c>
      <c r="M496" s="10" t="b">
        <v>0</v>
      </c>
      <c r="N496" s="10">
        <v>6</v>
      </c>
      <c r="O496" s="11">
        <v>1600</v>
      </c>
      <c r="P496" s="85">
        <v>1.911589008363202</v>
      </c>
      <c r="Q496" s="11">
        <v>1600</v>
      </c>
      <c r="R496" s="85">
        <v>1.911589008363202</v>
      </c>
      <c r="S496" s="29" t="s">
        <v>2719</v>
      </c>
      <c r="T496" s="29" t="s">
        <v>2798</v>
      </c>
    </row>
    <row r="497">
      <c r="B497" s="29" t="s">
        <v>1219</v>
      </c>
      <c r="C497" s="29" t="s">
        <v>1247</v>
      </c>
      <c r="D497" s="8" t="s">
        <v>1269</v>
      </c>
      <c r="E497" s="10" t="s">
        <v>1805</v>
      </c>
      <c r="F497" s="10"/>
      <c r="G497" s="10">
        <v>2</v>
      </c>
      <c r="H497" s="10">
        <v>1</v>
      </c>
      <c r="I497" s="10"/>
      <c r="J497" s="10">
        <v>837</v>
      </c>
      <c r="K497" s="104">
        <v>45705</v>
      </c>
      <c r="L497" s="104">
        <v>45710</v>
      </c>
      <c r="M497" s="10" t="b">
        <v>0</v>
      </c>
      <c r="N497" s="10">
        <v>6</v>
      </c>
      <c r="O497" s="11">
        <v>1600</v>
      </c>
      <c r="P497" s="85">
        <v>1.911589008363202</v>
      </c>
      <c r="Q497" s="11">
        <v>1600</v>
      </c>
      <c r="R497" s="85">
        <v>1.911589008363202</v>
      </c>
      <c r="S497" s="29" t="s">
        <v>2719</v>
      </c>
      <c r="T497" s="29" t="s">
        <v>2798</v>
      </c>
    </row>
    <row r="498">
      <c r="B498" s="29" t="s">
        <v>1219</v>
      </c>
      <c r="C498" s="29" t="s">
        <v>1247</v>
      </c>
      <c r="D498" s="8" t="s">
        <v>1269</v>
      </c>
      <c r="E498" s="10" t="s">
        <v>1806</v>
      </c>
      <c r="F498" s="10"/>
      <c r="G498" s="10">
        <v>2</v>
      </c>
      <c r="H498" s="10">
        <v>1</v>
      </c>
      <c r="I498" s="10"/>
      <c r="J498" s="10">
        <v>837</v>
      </c>
      <c r="K498" s="104">
        <v>45705</v>
      </c>
      <c r="L498" s="104">
        <v>45710</v>
      </c>
      <c r="M498" s="10" t="b">
        <v>0</v>
      </c>
      <c r="N498" s="10">
        <v>6</v>
      </c>
      <c r="O498" s="11">
        <v>1600</v>
      </c>
      <c r="P498" s="85">
        <v>1.911589008363202</v>
      </c>
      <c r="Q498" s="11">
        <v>1600</v>
      </c>
      <c r="R498" s="85">
        <v>1.911589008363202</v>
      </c>
      <c r="S498" s="29" t="s">
        <v>2719</v>
      </c>
      <c r="T498" s="29" t="s">
        <v>2798</v>
      </c>
    </row>
    <row r="499">
      <c r="B499" s="29" t="s">
        <v>1219</v>
      </c>
      <c r="C499" s="29" t="s">
        <v>1247</v>
      </c>
      <c r="D499" s="8" t="s">
        <v>1269</v>
      </c>
      <c r="E499" s="10" t="s">
        <v>1807</v>
      </c>
      <c r="F499" s="10">
        <v>2</v>
      </c>
      <c r="G499" s="10">
        <v>2</v>
      </c>
      <c r="H499" s="10">
        <v>1</v>
      </c>
      <c r="I499" s="10"/>
      <c r="J499" s="10">
        <v>837</v>
      </c>
      <c r="K499" s="104">
        <v>45705</v>
      </c>
      <c r="L499" s="104">
        <v>45710</v>
      </c>
      <c r="M499" s="10" t="b">
        <v>0</v>
      </c>
      <c r="N499" s="10">
        <v>6</v>
      </c>
      <c r="O499" s="11">
        <v>1600</v>
      </c>
      <c r="P499" s="85">
        <v>1.911589008363202</v>
      </c>
      <c r="Q499" s="11">
        <v>1600</v>
      </c>
      <c r="R499" s="85">
        <v>1.911589008363202</v>
      </c>
      <c r="S499" s="29" t="s">
        <v>2719</v>
      </c>
      <c r="T499" s="29" t="s">
        <v>2798</v>
      </c>
    </row>
    <row r="500">
      <c r="B500" s="29" t="s">
        <v>1219</v>
      </c>
      <c r="C500" s="29" t="s">
        <v>1247</v>
      </c>
      <c r="D500" s="8" t="s">
        <v>1269</v>
      </c>
      <c r="E500" s="10" t="s">
        <v>1808</v>
      </c>
      <c r="F500" s="10"/>
      <c r="G500" s="10">
        <v>2</v>
      </c>
      <c r="H500" s="10">
        <v>1</v>
      </c>
      <c r="I500" s="10"/>
      <c r="J500" s="10">
        <v>837</v>
      </c>
      <c r="K500" s="104">
        <v>45705</v>
      </c>
      <c r="L500" s="104">
        <v>45710</v>
      </c>
      <c r="M500" s="10" t="b">
        <v>0</v>
      </c>
      <c r="N500" s="10">
        <v>6</v>
      </c>
      <c r="O500" s="11">
        <v>1600</v>
      </c>
      <c r="P500" s="85">
        <v>1.911589008363202</v>
      </c>
      <c r="Q500" s="11">
        <v>1600</v>
      </c>
      <c r="R500" s="85">
        <v>1.911589008363202</v>
      </c>
      <c r="S500" s="29" t="s">
        <v>2719</v>
      </c>
      <c r="T500" s="29" t="s">
        <v>2798</v>
      </c>
    </row>
    <row r="501">
      <c r="B501" s="29" t="s">
        <v>1219</v>
      </c>
      <c r="C501" s="29" t="s">
        <v>1247</v>
      </c>
      <c r="D501" s="8" t="s">
        <v>1269</v>
      </c>
      <c r="E501" s="10" t="s">
        <v>1809</v>
      </c>
      <c r="F501" s="10"/>
      <c r="G501" s="10">
        <v>2</v>
      </c>
      <c r="H501" s="10">
        <v>1</v>
      </c>
      <c r="I501" s="10"/>
      <c r="J501" s="10">
        <v>837</v>
      </c>
      <c r="K501" s="104">
        <v>45705</v>
      </c>
      <c r="L501" s="104">
        <v>45710</v>
      </c>
      <c r="M501" s="10" t="b">
        <v>0</v>
      </c>
      <c r="N501" s="10">
        <v>6</v>
      </c>
      <c r="O501" s="11">
        <v>1600</v>
      </c>
      <c r="P501" s="85">
        <v>1.911589008363202</v>
      </c>
      <c r="Q501" s="11">
        <v>1600</v>
      </c>
      <c r="R501" s="85">
        <v>1.911589008363202</v>
      </c>
      <c r="S501" s="29" t="s">
        <v>2719</v>
      </c>
      <c r="T501" s="29" t="s">
        <v>2798</v>
      </c>
    </row>
    <row r="502">
      <c r="B502" s="29" t="s">
        <v>1219</v>
      </c>
      <c r="C502" s="29" t="s">
        <v>1247</v>
      </c>
      <c r="D502" s="8" t="s">
        <v>1269</v>
      </c>
      <c r="E502" s="10" t="s">
        <v>1810</v>
      </c>
      <c r="F502" s="10">
        <v>2</v>
      </c>
      <c r="G502" s="10">
        <v>2</v>
      </c>
      <c r="H502" s="10">
        <v>1</v>
      </c>
      <c r="I502" s="10"/>
      <c r="J502" s="10">
        <v>837</v>
      </c>
      <c r="K502" s="104">
        <v>45705</v>
      </c>
      <c r="L502" s="104">
        <v>45710</v>
      </c>
      <c r="M502" s="10" t="b">
        <v>0</v>
      </c>
      <c r="N502" s="10">
        <v>6</v>
      </c>
      <c r="O502" s="11">
        <v>1600</v>
      </c>
      <c r="P502" s="85">
        <v>1.911589008363202</v>
      </c>
      <c r="Q502" s="11">
        <v>1600</v>
      </c>
      <c r="R502" s="85">
        <v>1.911589008363202</v>
      </c>
      <c r="S502" s="29" t="s">
        <v>2719</v>
      </c>
      <c r="T502" s="29" t="s">
        <v>2798</v>
      </c>
    </row>
    <row r="503">
      <c r="B503" s="29" t="s">
        <v>1219</v>
      </c>
      <c r="C503" s="29" t="s">
        <v>1247</v>
      </c>
      <c r="D503" s="8" t="s">
        <v>1269</v>
      </c>
      <c r="E503" s="10" t="s">
        <v>1811</v>
      </c>
      <c r="F503" s="10">
        <v>2</v>
      </c>
      <c r="G503" s="10">
        <v>2</v>
      </c>
      <c r="H503" s="10">
        <v>1</v>
      </c>
      <c r="I503" s="10"/>
      <c r="J503" s="10">
        <v>837</v>
      </c>
      <c r="K503" s="104">
        <v>45705</v>
      </c>
      <c r="L503" s="104">
        <v>45710</v>
      </c>
      <c r="M503" s="10" t="b">
        <v>0</v>
      </c>
      <c r="N503" s="10">
        <v>6</v>
      </c>
      <c r="O503" s="11">
        <v>1600</v>
      </c>
      <c r="P503" s="85">
        <v>1.911589008363202</v>
      </c>
      <c r="Q503" s="11">
        <v>1600</v>
      </c>
      <c r="R503" s="85">
        <v>1.911589008363202</v>
      </c>
      <c r="S503" s="29" t="s">
        <v>2719</v>
      </c>
      <c r="T503" s="29" t="s">
        <v>2798</v>
      </c>
    </row>
    <row r="504">
      <c r="B504" s="29" t="s">
        <v>1219</v>
      </c>
      <c r="C504" s="29" t="s">
        <v>1247</v>
      </c>
      <c r="D504" s="8" t="s">
        <v>1269</v>
      </c>
      <c r="E504" s="10" t="s">
        <v>1812</v>
      </c>
      <c r="F504" s="10"/>
      <c r="G504" s="10">
        <v>2</v>
      </c>
      <c r="H504" s="10">
        <v>1</v>
      </c>
      <c r="I504" s="10"/>
      <c r="J504" s="10">
        <v>837</v>
      </c>
      <c r="K504" s="104">
        <v>45705</v>
      </c>
      <c r="L504" s="104">
        <v>45710</v>
      </c>
      <c r="M504" s="10" t="b">
        <v>0</v>
      </c>
      <c r="N504" s="10">
        <v>6</v>
      </c>
      <c r="O504" s="11">
        <v>1600</v>
      </c>
      <c r="P504" s="85">
        <v>1.911589008363202</v>
      </c>
      <c r="Q504" s="11">
        <v>1600</v>
      </c>
      <c r="R504" s="85">
        <v>1.911589008363202</v>
      </c>
      <c r="S504" s="29" t="s">
        <v>2719</v>
      </c>
      <c r="T504" s="29" t="s">
        <v>2798</v>
      </c>
    </row>
    <row r="505">
      <c r="B505" s="29" t="s">
        <v>1219</v>
      </c>
      <c r="C505" s="29" t="s">
        <v>1247</v>
      </c>
      <c r="D505" s="8" t="s">
        <v>1269</v>
      </c>
      <c r="E505" s="10" t="s">
        <v>1813</v>
      </c>
      <c r="F505" s="10"/>
      <c r="G505" s="10">
        <v>2</v>
      </c>
      <c r="H505" s="10">
        <v>1</v>
      </c>
      <c r="I505" s="10"/>
      <c r="J505" s="10">
        <v>837</v>
      </c>
      <c r="K505" s="104">
        <v>45705</v>
      </c>
      <c r="L505" s="104">
        <v>45710</v>
      </c>
      <c r="M505" s="10" t="b">
        <v>0</v>
      </c>
      <c r="N505" s="10">
        <v>6</v>
      </c>
      <c r="O505" s="11">
        <v>1600</v>
      </c>
      <c r="P505" s="85">
        <v>1.911589008363202</v>
      </c>
      <c r="Q505" s="11">
        <v>1600</v>
      </c>
      <c r="R505" s="85">
        <v>1.911589008363202</v>
      </c>
      <c r="S505" s="29" t="s">
        <v>2719</v>
      </c>
      <c r="T505" s="29" t="s">
        <v>2798</v>
      </c>
    </row>
    <row r="506">
      <c r="B506" s="29" t="s">
        <v>1219</v>
      </c>
      <c r="C506" s="29" t="s">
        <v>1247</v>
      </c>
      <c r="D506" s="8" t="s">
        <v>1269</v>
      </c>
      <c r="E506" s="10" t="s">
        <v>1814</v>
      </c>
      <c r="F506" s="10">
        <v>2</v>
      </c>
      <c r="G506" s="10">
        <v>2</v>
      </c>
      <c r="H506" s="10">
        <v>1</v>
      </c>
      <c r="I506" s="10"/>
      <c r="J506" s="10">
        <v>837</v>
      </c>
      <c r="K506" s="104">
        <v>45705</v>
      </c>
      <c r="L506" s="104">
        <v>45710</v>
      </c>
      <c r="M506" s="10" t="b">
        <v>0</v>
      </c>
      <c r="N506" s="10">
        <v>6</v>
      </c>
      <c r="O506" s="11">
        <v>1600</v>
      </c>
      <c r="P506" s="85">
        <v>1.911589008363202</v>
      </c>
      <c r="Q506" s="11">
        <v>1600</v>
      </c>
      <c r="R506" s="85">
        <v>1.911589008363202</v>
      </c>
      <c r="S506" s="29" t="s">
        <v>2719</v>
      </c>
      <c r="T506" s="29" t="s">
        <v>2798</v>
      </c>
    </row>
    <row r="507">
      <c r="B507" s="29" t="s">
        <v>1219</v>
      </c>
      <c r="C507" s="29" t="s">
        <v>1247</v>
      </c>
      <c r="D507" s="8" t="s">
        <v>1269</v>
      </c>
      <c r="E507" s="10" t="s">
        <v>1815</v>
      </c>
      <c r="F507" s="10">
        <v>2</v>
      </c>
      <c r="G507" s="10">
        <v>2</v>
      </c>
      <c r="H507" s="10">
        <v>1</v>
      </c>
      <c r="I507" s="10"/>
      <c r="J507" s="10">
        <v>837</v>
      </c>
      <c r="K507" s="104">
        <v>45705</v>
      </c>
      <c r="L507" s="104">
        <v>45710</v>
      </c>
      <c r="M507" s="10" t="b">
        <v>0</v>
      </c>
      <c r="N507" s="10">
        <v>6</v>
      </c>
      <c r="O507" s="11">
        <v>1600</v>
      </c>
      <c r="P507" s="85">
        <v>1.911589008363202</v>
      </c>
      <c r="Q507" s="11">
        <v>1600</v>
      </c>
      <c r="R507" s="85">
        <v>1.911589008363202</v>
      </c>
      <c r="S507" s="29" t="s">
        <v>2719</v>
      </c>
      <c r="T507" s="29" t="s">
        <v>2798</v>
      </c>
    </row>
    <row r="508">
      <c r="B508" s="29" t="s">
        <v>1219</v>
      </c>
      <c r="C508" s="29" t="s">
        <v>1247</v>
      </c>
      <c r="D508" s="8" t="s">
        <v>1269</v>
      </c>
      <c r="E508" s="10" t="s">
        <v>1816</v>
      </c>
      <c r="F508" s="10"/>
      <c r="G508" s="10">
        <v>2</v>
      </c>
      <c r="H508" s="10">
        <v>1</v>
      </c>
      <c r="I508" s="10"/>
      <c r="J508" s="10">
        <v>837</v>
      </c>
      <c r="K508" s="104">
        <v>45705</v>
      </c>
      <c r="L508" s="104">
        <v>45710</v>
      </c>
      <c r="M508" s="10" t="b">
        <v>0</v>
      </c>
      <c r="N508" s="10">
        <v>6</v>
      </c>
      <c r="O508" s="11">
        <v>1600</v>
      </c>
      <c r="P508" s="85">
        <v>1.911589008363202</v>
      </c>
      <c r="Q508" s="11">
        <v>1600</v>
      </c>
      <c r="R508" s="85">
        <v>1.911589008363202</v>
      </c>
      <c r="S508" s="29" t="s">
        <v>2719</v>
      </c>
      <c r="T508" s="29" t="s">
        <v>2798</v>
      </c>
    </row>
    <row r="509">
      <c r="B509" s="29" t="s">
        <v>1219</v>
      </c>
      <c r="C509" s="29" t="s">
        <v>1247</v>
      </c>
      <c r="D509" s="8" t="s">
        <v>1269</v>
      </c>
      <c r="E509" s="10" t="s">
        <v>1817</v>
      </c>
      <c r="F509" s="10">
        <v>2</v>
      </c>
      <c r="G509" s="10">
        <v>2</v>
      </c>
      <c r="H509" s="10">
        <v>1</v>
      </c>
      <c r="I509" s="10"/>
      <c r="J509" s="10">
        <v>837</v>
      </c>
      <c r="K509" s="104">
        <v>45705</v>
      </c>
      <c r="L509" s="104">
        <v>45710</v>
      </c>
      <c r="M509" s="10" t="b">
        <v>0</v>
      </c>
      <c r="N509" s="10">
        <v>6</v>
      </c>
      <c r="O509" s="11">
        <v>1600</v>
      </c>
      <c r="P509" s="85">
        <v>1.911589008363202</v>
      </c>
      <c r="Q509" s="11">
        <v>1600</v>
      </c>
      <c r="R509" s="85">
        <v>1.911589008363202</v>
      </c>
      <c r="S509" s="29" t="s">
        <v>2719</v>
      </c>
      <c r="T509" s="29" t="s">
        <v>2798</v>
      </c>
    </row>
    <row r="510">
      <c r="B510" s="29" t="s">
        <v>1219</v>
      </c>
      <c r="C510" s="29" t="s">
        <v>1247</v>
      </c>
      <c r="D510" s="8" t="s">
        <v>1269</v>
      </c>
      <c r="E510" s="10" t="s">
        <v>1818</v>
      </c>
      <c r="F510" s="10"/>
      <c r="G510" s="10">
        <v>2</v>
      </c>
      <c r="H510" s="10">
        <v>1</v>
      </c>
      <c r="I510" s="10"/>
      <c r="J510" s="10">
        <v>837</v>
      </c>
      <c r="K510" s="104">
        <v>45705</v>
      </c>
      <c r="L510" s="104">
        <v>45710</v>
      </c>
      <c r="M510" s="10" t="b">
        <v>0</v>
      </c>
      <c r="N510" s="10">
        <v>6</v>
      </c>
      <c r="O510" s="11">
        <v>1600</v>
      </c>
      <c r="P510" s="85">
        <v>1.911589008363202</v>
      </c>
      <c r="Q510" s="11">
        <v>1600</v>
      </c>
      <c r="R510" s="85">
        <v>1.911589008363202</v>
      </c>
      <c r="S510" s="29" t="s">
        <v>2719</v>
      </c>
      <c r="T510" s="29" t="s">
        <v>2798</v>
      </c>
    </row>
    <row r="511">
      <c r="B511" s="29" t="s">
        <v>1219</v>
      </c>
      <c r="C511" s="29" t="s">
        <v>1247</v>
      </c>
      <c r="D511" s="8" t="s">
        <v>1269</v>
      </c>
      <c r="E511" s="10" t="s">
        <v>1819</v>
      </c>
      <c r="F511" s="10"/>
      <c r="G511" s="10">
        <v>2</v>
      </c>
      <c r="H511" s="10">
        <v>1</v>
      </c>
      <c r="I511" s="10"/>
      <c r="J511" s="10">
        <v>837</v>
      </c>
      <c r="K511" s="104">
        <v>45705</v>
      </c>
      <c r="L511" s="104">
        <v>45710</v>
      </c>
      <c r="M511" s="10" t="b">
        <v>0</v>
      </c>
      <c r="N511" s="10">
        <v>6</v>
      </c>
      <c r="O511" s="11">
        <v>1600</v>
      </c>
      <c r="P511" s="85">
        <v>1.911589008363202</v>
      </c>
      <c r="Q511" s="11">
        <v>1600</v>
      </c>
      <c r="R511" s="85">
        <v>1.911589008363202</v>
      </c>
      <c r="S511" s="29" t="s">
        <v>2719</v>
      </c>
      <c r="T511" s="29" t="s">
        <v>2798</v>
      </c>
    </row>
    <row r="512">
      <c r="B512" s="29" t="s">
        <v>1219</v>
      </c>
      <c r="C512" s="29" t="s">
        <v>1247</v>
      </c>
      <c r="D512" s="8" t="s">
        <v>1269</v>
      </c>
      <c r="E512" s="10" t="s">
        <v>1820</v>
      </c>
      <c r="F512" s="10">
        <v>2</v>
      </c>
      <c r="G512" s="10">
        <v>2</v>
      </c>
      <c r="H512" s="10">
        <v>1</v>
      </c>
      <c r="I512" s="10"/>
      <c r="J512" s="10">
        <v>837</v>
      </c>
      <c r="K512" s="104">
        <v>45705</v>
      </c>
      <c r="L512" s="104">
        <v>45710</v>
      </c>
      <c r="M512" s="10" t="b">
        <v>0</v>
      </c>
      <c r="N512" s="10">
        <v>6</v>
      </c>
      <c r="O512" s="11">
        <v>1600</v>
      </c>
      <c r="P512" s="85">
        <v>1.911589008363202</v>
      </c>
      <c r="Q512" s="11">
        <v>1600</v>
      </c>
      <c r="R512" s="85">
        <v>1.911589008363202</v>
      </c>
      <c r="S512" s="29" t="s">
        <v>2719</v>
      </c>
      <c r="T512" s="29" t="s">
        <v>2798</v>
      </c>
    </row>
    <row r="513">
      <c r="B513" s="29" t="s">
        <v>1219</v>
      </c>
      <c r="C513" s="29" t="s">
        <v>1247</v>
      </c>
      <c r="D513" s="8" t="s">
        <v>1269</v>
      </c>
      <c r="E513" s="10" t="s">
        <v>1821</v>
      </c>
      <c r="F513" s="10"/>
      <c r="G513" s="10">
        <v>2</v>
      </c>
      <c r="H513" s="10">
        <v>1</v>
      </c>
      <c r="I513" s="10"/>
      <c r="J513" s="10">
        <v>837</v>
      </c>
      <c r="K513" s="104">
        <v>45705</v>
      </c>
      <c r="L513" s="104">
        <v>45710</v>
      </c>
      <c r="M513" s="10" t="b">
        <v>0</v>
      </c>
      <c r="N513" s="10">
        <v>6</v>
      </c>
      <c r="O513" s="11">
        <v>1600</v>
      </c>
      <c r="P513" s="85">
        <v>1.911589008363202</v>
      </c>
      <c r="Q513" s="11">
        <v>1600</v>
      </c>
      <c r="R513" s="85">
        <v>1.911589008363202</v>
      </c>
      <c r="S513" s="29" t="s">
        <v>2719</v>
      </c>
      <c r="T513" s="29" t="s">
        <v>2798</v>
      </c>
    </row>
    <row r="514">
      <c r="B514" s="29" t="s">
        <v>1219</v>
      </c>
      <c r="C514" s="29" t="s">
        <v>1247</v>
      </c>
      <c r="D514" s="8" t="s">
        <v>1269</v>
      </c>
      <c r="E514" s="10" t="s">
        <v>1822</v>
      </c>
      <c r="F514" s="10">
        <v>2</v>
      </c>
      <c r="G514" s="10">
        <v>2</v>
      </c>
      <c r="H514" s="10">
        <v>1</v>
      </c>
      <c r="I514" s="10"/>
      <c r="J514" s="10">
        <v>837</v>
      </c>
      <c r="K514" s="104">
        <v>45705</v>
      </c>
      <c r="L514" s="104">
        <v>45710</v>
      </c>
      <c r="M514" s="10" t="b">
        <v>0</v>
      </c>
      <c r="N514" s="10">
        <v>6</v>
      </c>
      <c r="O514" s="11">
        <v>1600</v>
      </c>
      <c r="P514" s="85">
        <v>1.911589008363202</v>
      </c>
      <c r="Q514" s="11">
        <v>1600</v>
      </c>
      <c r="R514" s="85">
        <v>1.911589008363202</v>
      </c>
      <c r="S514" s="29" t="s">
        <v>2719</v>
      </c>
      <c r="T514" s="29" t="s">
        <v>2798</v>
      </c>
    </row>
    <row r="515">
      <c r="B515" s="29" t="s">
        <v>1219</v>
      </c>
      <c r="C515" s="29" t="s">
        <v>1247</v>
      </c>
      <c r="D515" s="8" t="s">
        <v>1269</v>
      </c>
      <c r="E515" s="10" t="s">
        <v>1823</v>
      </c>
      <c r="F515" s="10"/>
      <c r="G515" s="10">
        <v>2</v>
      </c>
      <c r="H515" s="10">
        <v>1</v>
      </c>
      <c r="I515" s="10"/>
      <c r="J515" s="10">
        <v>837</v>
      </c>
      <c r="K515" s="104">
        <v>45705</v>
      </c>
      <c r="L515" s="104">
        <v>45710</v>
      </c>
      <c r="M515" s="10" t="b">
        <v>0</v>
      </c>
      <c r="N515" s="10">
        <v>6</v>
      </c>
      <c r="O515" s="11">
        <v>1600</v>
      </c>
      <c r="P515" s="85">
        <v>1.911589008363202</v>
      </c>
      <c r="Q515" s="11">
        <v>1600</v>
      </c>
      <c r="R515" s="85">
        <v>1.911589008363202</v>
      </c>
      <c r="S515" s="29" t="s">
        <v>2719</v>
      </c>
      <c r="T515" s="29" t="s">
        <v>2798</v>
      </c>
    </row>
    <row r="516">
      <c r="B516" s="29" t="s">
        <v>1219</v>
      </c>
      <c r="C516" s="29" t="s">
        <v>1247</v>
      </c>
      <c r="D516" s="8" t="s">
        <v>1269</v>
      </c>
      <c r="E516" s="10" t="s">
        <v>1824</v>
      </c>
      <c r="F516" s="10">
        <v>2</v>
      </c>
      <c r="G516" s="10">
        <v>2</v>
      </c>
      <c r="H516" s="10">
        <v>1</v>
      </c>
      <c r="I516" s="10"/>
      <c r="J516" s="10">
        <v>837</v>
      </c>
      <c r="K516" s="104">
        <v>45705</v>
      </c>
      <c r="L516" s="104">
        <v>45710</v>
      </c>
      <c r="M516" s="10" t="b">
        <v>0</v>
      </c>
      <c r="N516" s="10">
        <v>6</v>
      </c>
      <c r="O516" s="11">
        <v>1600</v>
      </c>
      <c r="P516" s="85">
        <v>1.911589008363202</v>
      </c>
      <c r="Q516" s="11">
        <v>1600</v>
      </c>
      <c r="R516" s="85">
        <v>1.911589008363202</v>
      </c>
      <c r="S516" s="29" t="s">
        <v>2719</v>
      </c>
      <c r="T516" s="29" t="s">
        <v>2798</v>
      </c>
    </row>
    <row r="517">
      <c r="B517" s="29" t="s">
        <v>1219</v>
      </c>
      <c r="C517" s="29" t="s">
        <v>1247</v>
      </c>
      <c r="D517" s="8" t="s">
        <v>1269</v>
      </c>
      <c r="E517" s="10" t="s">
        <v>1825</v>
      </c>
      <c r="F517" s="10"/>
      <c r="G517" s="10">
        <v>2</v>
      </c>
      <c r="H517" s="10">
        <v>1</v>
      </c>
      <c r="I517" s="10"/>
      <c r="J517" s="10">
        <v>837</v>
      </c>
      <c r="K517" s="104">
        <v>45705</v>
      </c>
      <c r="L517" s="104">
        <v>45710</v>
      </c>
      <c r="M517" s="10" t="b">
        <v>0</v>
      </c>
      <c r="N517" s="10">
        <v>6</v>
      </c>
      <c r="O517" s="11">
        <v>1600</v>
      </c>
      <c r="P517" s="85">
        <v>1.911589008363202</v>
      </c>
      <c r="Q517" s="11">
        <v>1600</v>
      </c>
      <c r="R517" s="85">
        <v>1.911589008363202</v>
      </c>
      <c r="S517" s="29" t="s">
        <v>2719</v>
      </c>
      <c r="T517" s="29" t="s">
        <v>2798</v>
      </c>
    </row>
    <row r="518">
      <c r="B518" s="29" t="s">
        <v>1219</v>
      </c>
      <c r="C518" s="29" t="s">
        <v>1247</v>
      </c>
      <c r="D518" s="8" t="s">
        <v>1269</v>
      </c>
      <c r="E518" s="10" t="s">
        <v>1826</v>
      </c>
      <c r="F518" s="10">
        <v>2</v>
      </c>
      <c r="G518" s="10">
        <v>2</v>
      </c>
      <c r="H518" s="10">
        <v>1</v>
      </c>
      <c r="I518" s="10"/>
      <c r="J518" s="10">
        <v>837</v>
      </c>
      <c r="K518" s="104">
        <v>45705</v>
      </c>
      <c r="L518" s="104">
        <v>45710</v>
      </c>
      <c r="M518" s="10" t="b">
        <v>0</v>
      </c>
      <c r="N518" s="10">
        <v>6</v>
      </c>
      <c r="O518" s="11">
        <v>1600</v>
      </c>
      <c r="P518" s="85">
        <v>1.911589008363202</v>
      </c>
      <c r="Q518" s="11">
        <v>1600</v>
      </c>
      <c r="R518" s="85">
        <v>1.911589008363202</v>
      </c>
      <c r="S518" s="29" t="s">
        <v>2719</v>
      </c>
      <c r="T518" s="29" t="s">
        <v>2798</v>
      </c>
    </row>
    <row r="519">
      <c r="B519" s="29" t="s">
        <v>1219</v>
      </c>
      <c r="C519" s="29" t="s">
        <v>1247</v>
      </c>
      <c r="D519" s="8" t="s">
        <v>1269</v>
      </c>
      <c r="E519" s="10" t="s">
        <v>1827</v>
      </c>
      <c r="F519" s="10">
        <v>2</v>
      </c>
      <c r="G519" s="10">
        <v>2</v>
      </c>
      <c r="H519" s="10">
        <v>1</v>
      </c>
      <c r="I519" s="10"/>
      <c r="J519" s="10">
        <v>837</v>
      </c>
      <c r="K519" s="104">
        <v>45705</v>
      </c>
      <c r="L519" s="104">
        <v>45710</v>
      </c>
      <c r="M519" s="10" t="b">
        <v>0</v>
      </c>
      <c r="N519" s="10">
        <v>6</v>
      </c>
      <c r="O519" s="11">
        <v>1600</v>
      </c>
      <c r="P519" s="85">
        <v>1.911589008363202</v>
      </c>
      <c r="Q519" s="11">
        <v>1600</v>
      </c>
      <c r="R519" s="85">
        <v>1.911589008363202</v>
      </c>
      <c r="S519" s="29" t="s">
        <v>2719</v>
      </c>
      <c r="T519" s="29" t="s">
        <v>2798</v>
      </c>
    </row>
    <row r="520">
      <c r="B520" s="29" t="s">
        <v>1219</v>
      </c>
      <c r="C520" s="29" t="s">
        <v>1247</v>
      </c>
      <c r="D520" s="8" t="s">
        <v>1269</v>
      </c>
      <c r="E520" s="10" t="s">
        <v>1828</v>
      </c>
      <c r="F520" s="10"/>
      <c r="G520" s="10">
        <v>2</v>
      </c>
      <c r="H520" s="10">
        <v>1</v>
      </c>
      <c r="I520" s="10"/>
      <c r="J520" s="10">
        <v>837</v>
      </c>
      <c r="K520" s="104">
        <v>45705</v>
      </c>
      <c r="L520" s="104">
        <v>45710</v>
      </c>
      <c r="M520" s="10" t="b">
        <v>0</v>
      </c>
      <c r="N520" s="10">
        <v>6</v>
      </c>
      <c r="O520" s="11">
        <v>1600</v>
      </c>
      <c r="P520" s="85">
        <v>1.911589008363202</v>
      </c>
      <c r="Q520" s="11">
        <v>1600</v>
      </c>
      <c r="R520" s="85">
        <v>1.911589008363202</v>
      </c>
      <c r="S520" s="29" t="s">
        <v>2719</v>
      </c>
      <c r="T520" s="29" t="s">
        <v>2798</v>
      </c>
    </row>
    <row r="521">
      <c r="B521" s="29" t="s">
        <v>1219</v>
      </c>
      <c r="C521" s="29" t="s">
        <v>1247</v>
      </c>
      <c r="D521" s="8" t="s">
        <v>1269</v>
      </c>
      <c r="E521" s="10" t="s">
        <v>1829</v>
      </c>
      <c r="F521" s="10"/>
      <c r="G521" s="10">
        <v>2</v>
      </c>
      <c r="H521" s="10">
        <v>1</v>
      </c>
      <c r="I521" s="10"/>
      <c r="J521" s="10">
        <v>837</v>
      </c>
      <c r="K521" s="104">
        <v>45705</v>
      </c>
      <c r="L521" s="104">
        <v>45710</v>
      </c>
      <c r="M521" s="10" t="b">
        <v>0</v>
      </c>
      <c r="N521" s="10">
        <v>6</v>
      </c>
      <c r="O521" s="11">
        <v>1600</v>
      </c>
      <c r="P521" s="85">
        <v>1.911589008363202</v>
      </c>
      <c r="Q521" s="11">
        <v>1600</v>
      </c>
      <c r="R521" s="85">
        <v>1.911589008363202</v>
      </c>
      <c r="S521" s="29" t="s">
        <v>2719</v>
      </c>
      <c r="T521" s="29" t="s">
        <v>2798</v>
      </c>
    </row>
    <row r="522">
      <c r="B522" s="29" t="s">
        <v>1219</v>
      </c>
      <c r="C522" s="29" t="s">
        <v>1247</v>
      </c>
      <c r="D522" s="8" t="s">
        <v>1269</v>
      </c>
      <c r="E522" s="10" t="s">
        <v>1830</v>
      </c>
      <c r="F522" s="10">
        <v>2</v>
      </c>
      <c r="G522" s="10">
        <v>2</v>
      </c>
      <c r="H522" s="10">
        <v>1</v>
      </c>
      <c r="I522" s="10"/>
      <c r="J522" s="10">
        <v>837</v>
      </c>
      <c r="K522" s="104">
        <v>45705</v>
      </c>
      <c r="L522" s="104">
        <v>45710</v>
      </c>
      <c r="M522" s="10" t="b">
        <v>0</v>
      </c>
      <c r="N522" s="10">
        <v>6</v>
      </c>
      <c r="O522" s="11">
        <v>1600</v>
      </c>
      <c r="P522" s="85">
        <v>1.911589008363202</v>
      </c>
      <c r="Q522" s="11">
        <v>1600</v>
      </c>
      <c r="R522" s="85">
        <v>1.911589008363202</v>
      </c>
      <c r="S522" s="29" t="s">
        <v>2719</v>
      </c>
      <c r="T522" s="29" t="s">
        <v>2798</v>
      </c>
    </row>
    <row r="523">
      <c r="B523" s="29" t="s">
        <v>1219</v>
      </c>
      <c r="C523" s="29" t="s">
        <v>1247</v>
      </c>
      <c r="D523" s="8" t="s">
        <v>1269</v>
      </c>
      <c r="E523" s="10" t="s">
        <v>1831</v>
      </c>
      <c r="F523" s="10">
        <v>2</v>
      </c>
      <c r="G523" s="10">
        <v>2</v>
      </c>
      <c r="H523" s="10">
        <v>1</v>
      </c>
      <c r="I523" s="10"/>
      <c r="J523" s="10">
        <v>837</v>
      </c>
      <c r="K523" s="104">
        <v>45709</v>
      </c>
      <c r="L523" s="104">
        <v>45710</v>
      </c>
      <c r="M523" s="10" t="b">
        <v>0</v>
      </c>
      <c r="N523" s="10">
        <v>2</v>
      </c>
      <c r="O523" s="11">
        <v>1600</v>
      </c>
      <c r="P523" s="85">
        <v>1.911589008363202</v>
      </c>
      <c r="Q523" s="11">
        <v>1600</v>
      </c>
      <c r="R523" s="85">
        <v>1.911589008363202</v>
      </c>
      <c r="S523" s="29" t="s">
        <v>2719</v>
      </c>
      <c r="T523" s="29" t="s">
        <v>2798</v>
      </c>
    </row>
    <row r="524">
      <c r="B524" s="29" t="s">
        <v>1219</v>
      </c>
      <c r="C524" s="29" t="s">
        <v>1247</v>
      </c>
      <c r="D524" s="8" t="s">
        <v>1269</v>
      </c>
      <c r="E524" s="10" t="s">
        <v>1832</v>
      </c>
      <c r="F524" s="10"/>
      <c r="G524" s="10">
        <v>2</v>
      </c>
      <c r="H524" s="10">
        <v>1</v>
      </c>
      <c r="I524" s="10"/>
      <c r="J524" s="10">
        <v>837</v>
      </c>
      <c r="K524" s="104">
        <v>45707</v>
      </c>
      <c r="L524" s="104">
        <v>45710</v>
      </c>
      <c r="M524" s="10" t="b">
        <v>0</v>
      </c>
      <c r="N524" s="10">
        <v>4</v>
      </c>
      <c r="O524" s="11">
        <v>1600</v>
      </c>
      <c r="P524" s="85">
        <v>1.911589008363202</v>
      </c>
      <c r="Q524" s="11">
        <v>1600</v>
      </c>
      <c r="R524" s="85">
        <v>1.911589008363202</v>
      </c>
      <c r="S524" s="29" t="s">
        <v>2719</v>
      </c>
      <c r="T524" s="29" t="s">
        <v>2798</v>
      </c>
    </row>
    <row r="525">
      <c r="B525" s="29" t="s">
        <v>1219</v>
      </c>
      <c r="C525" s="29" t="s">
        <v>1247</v>
      </c>
      <c r="D525" s="8" t="s">
        <v>1269</v>
      </c>
      <c r="E525" s="10" t="s">
        <v>1833</v>
      </c>
      <c r="F525" s="10"/>
      <c r="G525" s="10">
        <v>2</v>
      </c>
      <c r="H525" s="10">
        <v>1</v>
      </c>
      <c r="I525" s="10"/>
      <c r="J525" s="10">
        <v>837</v>
      </c>
      <c r="K525" s="104">
        <v>45707</v>
      </c>
      <c r="L525" s="104">
        <v>45710</v>
      </c>
      <c r="M525" s="10" t="b">
        <v>0</v>
      </c>
      <c r="N525" s="10">
        <v>4</v>
      </c>
      <c r="O525" s="11">
        <v>1600</v>
      </c>
      <c r="P525" s="85">
        <v>1.911589008363202</v>
      </c>
      <c r="Q525" s="11">
        <v>1600</v>
      </c>
      <c r="R525" s="85">
        <v>1.911589008363202</v>
      </c>
      <c r="S525" s="29" t="s">
        <v>2719</v>
      </c>
      <c r="T525" s="29" t="s">
        <v>2798</v>
      </c>
    </row>
    <row r="526">
      <c r="B526" s="29" t="s">
        <v>1219</v>
      </c>
      <c r="C526" s="29" t="s">
        <v>1247</v>
      </c>
      <c r="D526" s="8" t="s">
        <v>1269</v>
      </c>
      <c r="E526" s="10" t="s">
        <v>1834</v>
      </c>
      <c r="F526" s="10">
        <v>2</v>
      </c>
      <c r="G526" s="10">
        <v>2</v>
      </c>
      <c r="H526" s="10">
        <v>1</v>
      </c>
      <c r="I526" s="10"/>
      <c r="J526" s="10">
        <v>837</v>
      </c>
      <c r="K526" s="104">
        <v>45707</v>
      </c>
      <c r="L526" s="104">
        <v>45710</v>
      </c>
      <c r="M526" s="10" t="b">
        <v>0</v>
      </c>
      <c r="N526" s="10">
        <v>4</v>
      </c>
      <c r="O526" s="11">
        <v>1600</v>
      </c>
      <c r="P526" s="85">
        <v>1.911589008363202</v>
      </c>
      <c r="Q526" s="11">
        <v>1600</v>
      </c>
      <c r="R526" s="85">
        <v>1.911589008363202</v>
      </c>
      <c r="S526" s="29" t="s">
        <v>2719</v>
      </c>
      <c r="T526" s="29" t="s">
        <v>2798</v>
      </c>
    </row>
    <row r="527">
      <c r="B527" s="29" t="s">
        <v>1219</v>
      </c>
      <c r="C527" s="29" t="s">
        <v>1247</v>
      </c>
      <c r="D527" s="8" t="s">
        <v>1269</v>
      </c>
      <c r="E527" s="10" t="s">
        <v>1835</v>
      </c>
      <c r="F527" s="10"/>
      <c r="G527" s="10">
        <v>2</v>
      </c>
      <c r="H527" s="10">
        <v>1</v>
      </c>
      <c r="I527" s="10"/>
      <c r="J527" s="10">
        <v>837</v>
      </c>
      <c r="K527" s="104">
        <v>45707</v>
      </c>
      <c r="L527" s="104">
        <v>45710</v>
      </c>
      <c r="M527" s="10" t="b">
        <v>0</v>
      </c>
      <c r="N527" s="10">
        <v>4</v>
      </c>
      <c r="O527" s="11">
        <v>1600</v>
      </c>
      <c r="P527" s="85">
        <v>1.911589008363202</v>
      </c>
      <c r="Q527" s="11">
        <v>1600</v>
      </c>
      <c r="R527" s="85">
        <v>1.911589008363202</v>
      </c>
      <c r="S527" s="29" t="s">
        <v>2719</v>
      </c>
      <c r="T527" s="29" t="s">
        <v>2798</v>
      </c>
    </row>
    <row r="528">
      <c r="B528" s="29" t="s">
        <v>1219</v>
      </c>
      <c r="C528" s="29" t="s">
        <v>1247</v>
      </c>
      <c r="D528" s="8" t="s">
        <v>1269</v>
      </c>
      <c r="E528" s="10" t="s">
        <v>1836</v>
      </c>
      <c r="F528" s="10"/>
      <c r="G528" s="10">
        <v>2</v>
      </c>
      <c r="H528" s="10">
        <v>1</v>
      </c>
      <c r="I528" s="10"/>
      <c r="J528" s="10">
        <v>837</v>
      </c>
      <c r="K528" s="104">
        <v>45707</v>
      </c>
      <c r="L528" s="104">
        <v>45710</v>
      </c>
      <c r="M528" s="10" t="b">
        <v>0</v>
      </c>
      <c r="N528" s="10">
        <v>4</v>
      </c>
      <c r="O528" s="11">
        <v>1600</v>
      </c>
      <c r="P528" s="85">
        <v>1.911589008363202</v>
      </c>
      <c r="Q528" s="11">
        <v>1600</v>
      </c>
      <c r="R528" s="85">
        <v>1.911589008363202</v>
      </c>
      <c r="S528" s="29" t="s">
        <v>2719</v>
      </c>
      <c r="T528" s="29" t="s">
        <v>2798</v>
      </c>
    </row>
    <row r="529">
      <c r="B529" s="29" t="s">
        <v>1219</v>
      </c>
      <c r="C529" s="29" t="s">
        <v>1247</v>
      </c>
      <c r="D529" s="8" t="s">
        <v>1269</v>
      </c>
      <c r="E529" s="10" t="s">
        <v>1837</v>
      </c>
      <c r="F529" s="10"/>
      <c r="G529" s="10">
        <v>2</v>
      </c>
      <c r="H529" s="10">
        <v>1</v>
      </c>
      <c r="I529" s="10"/>
      <c r="J529" s="10">
        <v>837</v>
      </c>
      <c r="K529" s="104">
        <v>45707</v>
      </c>
      <c r="L529" s="104">
        <v>45710</v>
      </c>
      <c r="M529" s="10" t="b">
        <v>0</v>
      </c>
      <c r="N529" s="10">
        <v>4</v>
      </c>
      <c r="O529" s="11">
        <v>1600</v>
      </c>
      <c r="P529" s="85">
        <v>1.911589008363202</v>
      </c>
      <c r="Q529" s="11">
        <v>1600</v>
      </c>
      <c r="R529" s="85">
        <v>1.911589008363202</v>
      </c>
      <c r="S529" s="29" t="s">
        <v>2719</v>
      </c>
      <c r="T529" s="29" t="s">
        <v>2798</v>
      </c>
    </row>
    <row r="530">
      <c r="B530" s="29" t="s">
        <v>1219</v>
      </c>
      <c r="C530" s="29" t="s">
        <v>1247</v>
      </c>
      <c r="D530" s="8" t="s">
        <v>1269</v>
      </c>
      <c r="E530" s="10" t="s">
        <v>1838</v>
      </c>
      <c r="F530" s="10"/>
      <c r="G530" s="10">
        <v>2</v>
      </c>
      <c r="H530" s="10">
        <v>1</v>
      </c>
      <c r="I530" s="10"/>
      <c r="J530" s="10">
        <v>837</v>
      </c>
      <c r="K530" s="104">
        <v>45707</v>
      </c>
      <c r="L530" s="104">
        <v>45710</v>
      </c>
      <c r="M530" s="10" t="b">
        <v>0</v>
      </c>
      <c r="N530" s="10">
        <v>4</v>
      </c>
      <c r="O530" s="11">
        <v>1600</v>
      </c>
      <c r="P530" s="85">
        <v>1.911589008363202</v>
      </c>
      <c r="Q530" s="11">
        <v>1600</v>
      </c>
      <c r="R530" s="85">
        <v>1.911589008363202</v>
      </c>
      <c r="S530" s="29" t="s">
        <v>2719</v>
      </c>
      <c r="T530" s="29" t="s">
        <v>2798</v>
      </c>
    </row>
    <row r="531">
      <c r="B531" s="29" t="s">
        <v>1219</v>
      </c>
      <c r="C531" s="29" t="s">
        <v>1247</v>
      </c>
      <c r="D531" s="8" t="s">
        <v>1269</v>
      </c>
      <c r="E531" s="10" t="s">
        <v>1839</v>
      </c>
      <c r="F531" s="10">
        <v>2</v>
      </c>
      <c r="G531" s="10">
        <v>2</v>
      </c>
      <c r="H531" s="10">
        <v>1</v>
      </c>
      <c r="I531" s="10"/>
      <c r="J531" s="10">
        <v>837</v>
      </c>
      <c r="K531" s="104">
        <v>45729</v>
      </c>
      <c r="L531" s="104"/>
      <c r="M531" s="10" t="b">
        <v>1</v>
      </c>
      <c r="N531" s="10"/>
      <c r="O531" s="11">
        <v>1600</v>
      </c>
      <c r="P531" s="85">
        <v>1.911589008363202</v>
      </c>
      <c r="Q531" s="11">
        <v>1600</v>
      </c>
      <c r="R531" s="85">
        <v>1.911589008363202</v>
      </c>
      <c r="S531" s="29" t="s">
        <v>2719</v>
      </c>
      <c r="T531" s="29" t="s">
        <v>2798</v>
      </c>
    </row>
    <row r="532">
      <c r="B532" s="29" t="s">
        <v>1219</v>
      </c>
      <c r="C532" s="29" t="s">
        <v>1247</v>
      </c>
      <c r="D532" s="8" t="s">
        <v>1269</v>
      </c>
      <c r="E532" s="10" t="s">
        <v>1840</v>
      </c>
      <c r="F532" s="10"/>
      <c r="G532" s="10">
        <v>2</v>
      </c>
      <c r="H532" s="10">
        <v>1</v>
      </c>
      <c r="I532" s="10"/>
      <c r="J532" s="10">
        <v>837</v>
      </c>
      <c r="K532" s="104">
        <v>45707</v>
      </c>
      <c r="L532" s="104">
        <v>45710</v>
      </c>
      <c r="M532" s="10" t="b">
        <v>0</v>
      </c>
      <c r="N532" s="10">
        <v>4</v>
      </c>
      <c r="O532" s="11">
        <v>1600</v>
      </c>
      <c r="P532" s="85">
        <v>1.911589008363202</v>
      </c>
      <c r="Q532" s="11">
        <v>1600</v>
      </c>
      <c r="R532" s="85">
        <v>1.911589008363202</v>
      </c>
      <c r="S532" s="29" t="s">
        <v>2719</v>
      </c>
      <c r="T532" s="29" t="s">
        <v>2798</v>
      </c>
    </row>
    <row r="533">
      <c r="B533" s="29" t="s">
        <v>1219</v>
      </c>
      <c r="C533" s="29" t="s">
        <v>1247</v>
      </c>
      <c r="D533" s="8" t="s">
        <v>1269</v>
      </c>
      <c r="E533" s="10" t="s">
        <v>1841</v>
      </c>
      <c r="F533" s="10"/>
      <c r="G533" s="10">
        <v>2</v>
      </c>
      <c r="H533" s="10">
        <v>1</v>
      </c>
      <c r="I533" s="10"/>
      <c r="J533" s="10">
        <v>837</v>
      </c>
      <c r="K533" s="104">
        <v>45707</v>
      </c>
      <c r="L533" s="104">
        <v>45710</v>
      </c>
      <c r="M533" s="10" t="b">
        <v>0</v>
      </c>
      <c r="N533" s="10">
        <v>4</v>
      </c>
      <c r="O533" s="11">
        <v>1600</v>
      </c>
      <c r="P533" s="85">
        <v>1.911589008363202</v>
      </c>
      <c r="Q533" s="11">
        <v>1600</v>
      </c>
      <c r="R533" s="85">
        <v>1.911589008363202</v>
      </c>
      <c r="S533" s="29" t="s">
        <v>2719</v>
      </c>
      <c r="T533" s="29" t="s">
        <v>2798</v>
      </c>
    </row>
    <row r="534">
      <c r="B534" s="29" t="s">
        <v>1219</v>
      </c>
      <c r="C534" s="29" t="s">
        <v>1247</v>
      </c>
      <c r="D534" s="8" t="s">
        <v>1269</v>
      </c>
      <c r="E534" s="10" t="s">
        <v>1842</v>
      </c>
      <c r="F534" s="10"/>
      <c r="G534" s="10">
        <v>2</v>
      </c>
      <c r="H534" s="10">
        <v>1</v>
      </c>
      <c r="I534" s="10"/>
      <c r="J534" s="10">
        <v>837</v>
      </c>
      <c r="K534" s="104">
        <v>45707</v>
      </c>
      <c r="L534" s="104">
        <v>45710</v>
      </c>
      <c r="M534" s="10" t="b">
        <v>0</v>
      </c>
      <c r="N534" s="10">
        <v>4</v>
      </c>
      <c r="O534" s="11">
        <v>1600</v>
      </c>
      <c r="P534" s="85">
        <v>1.911589008363202</v>
      </c>
      <c r="Q534" s="11">
        <v>1600</v>
      </c>
      <c r="R534" s="85">
        <v>1.911589008363202</v>
      </c>
      <c r="S534" s="29" t="s">
        <v>2719</v>
      </c>
      <c r="T534" s="29" t="s">
        <v>2798</v>
      </c>
    </row>
    <row r="535">
      <c r="B535" s="29" t="s">
        <v>1219</v>
      </c>
      <c r="C535" s="29" t="s">
        <v>1247</v>
      </c>
      <c r="D535" s="8" t="s">
        <v>1269</v>
      </c>
      <c r="E535" s="10" t="s">
        <v>1843</v>
      </c>
      <c r="F535" s="10"/>
      <c r="G535" s="10">
        <v>2</v>
      </c>
      <c r="H535" s="10">
        <v>1</v>
      </c>
      <c r="I535" s="10"/>
      <c r="J535" s="10">
        <v>837</v>
      </c>
      <c r="K535" s="104">
        <v>45707</v>
      </c>
      <c r="L535" s="104">
        <v>45710</v>
      </c>
      <c r="M535" s="10" t="b">
        <v>0</v>
      </c>
      <c r="N535" s="10">
        <v>4</v>
      </c>
      <c r="O535" s="11">
        <v>1600</v>
      </c>
      <c r="P535" s="85">
        <v>1.911589008363202</v>
      </c>
      <c r="Q535" s="11">
        <v>1600</v>
      </c>
      <c r="R535" s="85">
        <v>1.911589008363202</v>
      </c>
      <c r="S535" s="29" t="s">
        <v>2719</v>
      </c>
      <c r="T535" s="29" t="s">
        <v>2798</v>
      </c>
    </row>
    <row r="536">
      <c r="B536" s="29" t="s">
        <v>1219</v>
      </c>
      <c r="C536" s="29" t="s">
        <v>1247</v>
      </c>
      <c r="D536" s="8" t="s">
        <v>1269</v>
      </c>
      <c r="E536" s="10" t="s">
        <v>1844</v>
      </c>
      <c r="F536" s="10"/>
      <c r="G536" s="10">
        <v>2</v>
      </c>
      <c r="H536" s="10">
        <v>1</v>
      </c>
      <c r="I536" s="10"/>
      <c r="J536" s="10">
        <v>837</v>
      </c>
      <c r="K536" s="104">
        <v>45707</v>
      </c>
      <c r="L536" s="104">
        <v>45710</v>
      </c>
      <c r="M536" s="10" t="b">
        <v>0</v>
      </c>
      <c r="N536" s="10">
        <v>4</v>
      </c>
      <c r="O536" s="11">
        <v>1600</v>
      </c>
      <c r="P536" s="85">
        <v>1.911589008363202</v>
      </c>
      <c r="Q536" s="11">
        <v>1600</v>
      </c>
      <c r="R536" s="85">
        <v>1.911589008363202</v>
      </c>
      <c r="S536" s="29" t="s">
        <v>2719</v>
      </c>
      <c r="T536" s="29" t="s">
        <v>2798</v>
      </c>
    </row>
    <row r="537">
      <c r="B537" s="29" t="s">
        <v>1219</v>
      </c>
      <c r="C537" s="29" t="s">
        <v>1247</v>
      </c>
      <c r="D537" s="8" t="s">
        <v>1269</v>
      </c>
      <c r="E537" s="10" t="s">
        <v>1845</v>
      </c>
      <c r="F537" s="10"/>
      <c r="G537" s="10">
        <v>2</v>
      </c>
      <c r="H537" s="10">
        <v>1</v>
      </c>
      <c r="I537" s="10"/>
      <c r="J537" s="10">
        <v>837</v>
      </c>
      <c r="K537" s="104">
        <v>45707</v>
      </c>
      <c r="L537" s="104">
        <v>45710</v>
      </c>
      <c r="M537" s="10" t="b">
        <v>0</v>
      </c>
      <c r="N537" s="10">
        <v>4</v>
      </c>
      <c r="O537" s="11">
        <v>1600</v>
      </c>
      <c r="P537" s="85">
        <v>1.911589008363202</v>
      </c>
      <c r="Q537" s="11">
        <v>1600</v>
      </c>
      <c r="R537" s="85">
        <v>1.911589008363202</v>
      </c>
      <c r="S537" s="29" t="s">
        <v>2719</v>
      </c>
      <c r="T537" s="29" t="s">
        <v>2798</v>
      </c>
    </row>
    <row r="538">
      <c r="B538" s="29" t="s">
        <v>1219</v>
      </c>
      <c r="C538" s="29" t="s">
        <v>1247</v>
      </c>
      <c r="D538" s="8" t="s">
        <v>1269</v>
      </c>
      <c r="E538" s="10" t="s">
        <v>1846</v>
      </c>
      <c r="F538" s="10"/>
      <c r="G538" s="10">
        <v>2</v>
      </c>
      <c r="H538" s="10">
        <v>1</v>
      </c>
      <c r="I538" s="10"/>
      <c r="J538" s="10">
        <v>837</v>
      </c>
      <c r="K538" s="104">
        <v>45707</v>
      </c>
      <c r="L538" s="104">
        <v>45710</v>
      </c>
      <c r="M538" s="10" t="b">
        <v>0</v>
      </c>
      <c r="N538" s="10">
        <v>4</v>
      </c>
      <c r="O538" s="11">
        <v>1600</v>
      </c>
      <c r="P538" s="85">
        <v>1.911589008363202</v>
      </c>
      <c r="Q538" s="11">
        <v>1600</v>
      </c>
      <c r="R538" s="85">
        <v>1.911589008363202</v>
      </c>
      <c r="S538" s="29" t="s">
        <v>2719</v>
      </c>
      <c r="T538" s="29" t="s">
        <v>2798</v>
      </c>
    </row>
    <row r="539">
      <c r="B539" s="29" t="s">
        <v>1219</v>
      </c>
      <c r="C539" s="29" t="s">
        <v>1247</v>
      </c>
      <c r="D539" s="8" t="s">
        <v>1269</v>
      </c>
      <c r="E539" s="10" t="s">
        <v>1847</v>
      </c>
      <c r="F539" s="10"/>
      <c r="G539" s="10">
        <v>2</v>
      </c>
      <c r="H539" s="10">
        <v>1</v>
      </c>
      <c r="I539" s="10"/>
      <c r="J539" s="10">
        <v>837</v>
      </c>
      <c r="K539" s="104">
        <v>45707</v>
      </c>
      <c r="L539" s="104">
        <v>45710</v>
      </c>
      <c r="M539" s="10" t="b">
        <v>0</v>
      </c>
      <c r="N539" s="10">
        <v>4</v>
      </c>
      <c r="O539" s="11">
        <v>1600</v>
      </c>
      <c r="P539" s="85">
        <v>1.911589008363202</v>
      </c>
      <c r="Q539" s="11">
        <v>1600</v>
      </c>
      <c r="R539" s="85">
        <v>1.911589008363202</v>
      </c>
      <c r="S539" s="29" t="s">
        <v>2719</v>
      </c>
      <c r="T539" s="29" t="s">
        <v>2798</v>
      </c>
    </row>
    <row r="540">
      <c r="B540" s="29" t="s">
        <v>1219</v>
      </c>
      <c r="C540" s="29" t="s">
        <v>1247</v>
      </c>
      <c r="D540" s="8" t="s">
        <v>1269</v>
      </c>
      <c r="E540" s="10" t="s">
        <v>1848</v>
      </c>
      <c r="F540" s="10"/>
      <c r="G540" s="10">
        <v>2</v>
      </c>
      <c r="H540" s="10">
        <v>1</v>
      </c>
      <c r="I540" s="10"/>
      <c r="J540" s="10">
        <v>837</v>
      </c>
      <c r="K540" s="104">
        <v>45707</v>
      </c>
      <c r="L540" s="104">
        <v>45710</v>
      </c>
      <c r="M540" s="10" t="b">
        <v>0</v>
      </c>
      <c r="N540" s="10">
        <v>4</v>
      </c>
      <c r="O540" s="11">
        <v>1600</v>
      </c>
      <c r="P540" s="85">
        <v>1.911589008363202</v>
      </c>
      <c r="Q540" s="11">
        <v>1600</v>
      </c>
      <c r="R540" s="85">
        <v>1.911589008363202</v>
      </c>
      <c r="S540" s="29" t="s">
        <v>2719</v>
      </c>
      <c r="T540" s="29" t="s">
        <v>2798</v>
      </c>
    </row>
    <row r="541">
      <c r="B541" s="29" t="s">
        <v>1219</v>
      </c>
      <c r="C541" s="29" t="s">
        <v>1247</v>
      </c>
      <c r="D541" s="8" t="s">
        <v>1269</v>
      </c>
      <c r="E541" s="10" t="s">
        <v>1849</v>
      </c>
      <c r="F541" s="10"/>
      <c r="G541" s="10">
        <v>2</v>
      </c>
      <c r="H541" s="10">
        <v>1</v>
      </c>
      <c r="I541" s="10"/>
      <c r="J541" s="10">
        <v>837</v>
      </c>
      <c r="K541" s="104">
        <v>45707</v>
      </c>
      <c r="L541" s="104">
        <v>45710</v>
      </c>
      <c r="M541" s="10" t="b">
        <v>0</v>
      </c>
      <c r="N541" s="10">
        <v>4</v>
      </c>
      <c r="O541" s="11">
        <v>1600</v>
      </c>
      <c r="P541" s="85">
        <v>1.911589008363202</v>
      </c>
      <c r="Q541" s="11">
        <v>1600</v>
      </c>
      <c r="R541" s="85">
        <v>1.911589008363202</v>
      </c>
      <c r="S541" s="29" t="s">
        <v>2719</v>
      </c>
      <c r="T541" s="29" t="s">
        <v>2798</v>
      </c>
    </row>
    <row r="542">
      <c r="B542" s="29" t="s">
        <v>1219</v>
      </c>
      <c r="C542" s="29" t="s">
        <v>1247</v>
      </c>
      <c r="D542" s="8" t="s">
        <v>1269</v>
      </c>
      <c r="E542" s="10" t="s">
        <v>1850</v>
      </c>
      <c r="F542" s="10"/>
      <c r="G542" s="10">
        <v>2</v>
      </c>
      <c r="H542" s="10">
        <v>1</v>
      </c>
      <c r="I542" s="10"/>
      <c r="J542" s="10">
        <v>837</v>
      </c>
      <c r="K542" s="104">
        <v>45707</v>
      </c>
      <c r="L542" s="104">
        <v>45710</v>
      </c>
      <c r="M542" s="10" t="b">
        <v>0</v>
      </c>
      <c r="N542" s="10">
        <v>4</v>
      </c>
      <c r="O542" s="11">
        <v>1600</v>
      </c>
      <c r="P542" s="85">
        <v>1.911589008363202</v>
      </c>
      <c r="Q542" s="11">
        <v>1600</v>
      </c>
      <c r="R542" s="85">
        <v>1.911589008363202</v>
      </c>
      <c r="S542" s="29" t="s">
        <v>2719</v>
      </c>
      <c r="T542" s="29" t="s">
        <v>2798</v>
      </c>
    </row>
    <row r="543">
      <c r="B543" s="29" t="s">
        <v>1219</v>
      </c>
      <c r="C543" s="29" t="s">
        <v>1247</v>
      </c>
      <c r="D543" s="8" t="s">
        <v>1269</v>
      </c>
      <c r="E543" s="10" t="s">
        <v>1851</v>
      </c>
      <c r="F543" s="10"/>
      <c r="G543" s="10">
        <v>2</v>
      </c>
      <c r="H543" s="10">
        <v>1</v>
      </c>
      <c r="I543" s="10"/>
      <c r="J543" s="10">
        <v>837</v>
      </c>
      <c r="K543" s="104">
        <v>45707</v>
      </c>
      <c r="L543" s="104">
        <v>45710</v>
      </c>
      <c r="M543" s="10" t="b">
        <v>0</v>
      </c>
      <c r="N543" s="10">
        <v>4</v>
      </c>
      <c r="O543" s="11">
        <v>1600</v>
      </c>
      <c r="P543" s="85">
        <v>1.911589008363202</v>
      </c>
      <c r="Q543" s="11">
        <v>1600</v>
      </c>
      <c r="R543" s="85">
        <v>1.911589008363202</v>
      </c>
      <c r="S543" s="29" t="s">
        <v>2719</v>
      </c>
      <c r="T543" s="29" t="s">
        <v>2798</v>
      </c>
    </row>
    <row r="544">
      <c r="B544" s="29" t="s">
        <v>1219</v>
      </c>
      <c r="C544" s="29" t="s">
        <v>1247</v>
      </c>
      <c r="D544" s="8" t="s">
        <v>1269</v>
      </c>
      <c r="E544" s="10" t="s">
        <v>1852</v>
      </c>
      <c r="F544" s="10"/>
      <c r="G544" s="10">
        <v>2</v>
      </c>
      <c r="H544" s="10">
        <v>1</v>
      </c>
      <c r="I544" s="10"/>
      <c r="J544" s="10">
        <v>837</v>
      </c>
      <c r="K544" s="104">
        <v>45707</v>
      </c>
      <c r="L544" s="104">
        <v>45710</v>
      </c>
      <c r="M544" s="10" t="b">
        <v>0</v>
      </c>
      <c r="N544" s="10">
        <v>4</v>
      </c>
      <c r="O544" s="11">
        <v>1600</v>
      </c>
      <c r="P544" s="85">
        <v>1.911589008363202</v>
      </c>
      <c r="Q544" s="11">
        <v>1600</v>
      </c>
      <c r="R544" s="85">
        <v>1.911589008363202</v>
      </c>
      <c r="S544" s="29" t="s">
        <v>2719</v>
      </c>
      <c r="T544" s="29" t="s">
        <v>2798</v>
      </c>
    </row>
    <row r="545">
      <c r="B545" s="29" t="s">
        <v>1219</v>
      </c>
      <c r="C545" s="29" t="s">
        <v>1247</v>
      </c>
      <c r="D545" s="8" t="s">
        <v>1269</v>
      </c>
      <c r="E545" s="10" t="s">
        <v>1853</v>
      </c>
      <c r="F545" s="10"/>
      <c r="G545" s="10">
        <v>2</v>
      </c>
      <c r="H545" s="10">
        <v>1</v>
      </c>
      <c r="I545" s="10"/>
      <c r="J545" s="10">
        <v>837</v>
      </c>
      <c r="K545" s="104">
        <v>45707</v>
      </c>
      <c r="L545" s="104">
        <v>45710</v>
      </c>
      <c r="M545" s="10" t="b">
        <v>0</v>
      </c>
      <c r="N545" s="10">
        <v>4</v>
      </c>
      <c r="O545" s="11">
        <v>1600</v>
      </c>
      <c r="P545" s="85">
        <v>1.911589008363202</v>
      </c>
      <c r="Q545" s="11">
        <v>1600</v>
      </c>
      <c r="R545" s="85">
        <v>1.911589008363202</v>
      </c>
      <c r="S545" s="29" t="s">
        <v>2719</v>
      </c>
      <c r="T545" s="29" t="s">
        <v>2798</v>
      </c>
    </row>
    <row r="546">
      <c r="B546" s="29" t="s">
        <v>1219</v>
      </c>
      <c r="C546" s="29" t="s">
        <v>1247</v>
      </c>
      <c r="D546" s="8" t="s">
        <v>1269</v>
      </c>
      <c r="E546" s="10" t="s">
        <v>1854</v>
      </c>
      <c r="F546" s="10"/>
      <c r="G546" s="10">
        <v>2</v>
      </c>
      <c r="H546" s="10">
        <v>1</v>
      </c>
      <c r="I546" s="10"/>
      <c r="J546" s="10">
        <v>837</v>
      </c>
      <c r="K546" s="104">
        <v>45707</v>
      </c>
      <c r="L546" s="104">
        <v>45710</v>
      </c>
      <c r="M546" s="10" t="b">
        <v>0</v>
      </c>
      <c r="N546" s="10">
        <v>4</v>
      </c>
      <c r="O546" s="11">
        <v>1600</v>
      </c>
      <c r="P546" s="85">
        <v>1.911589008363202</v>
      </c>
      <c r="Q546" s="11">
        <v>1600</v>
      </c>
      <c r="R546" s="85">
        <v>1.911589008363202</v>
      </c>
      <c r="S546" s="29" t="s">
        <v>2719</v>
      </c>
      <c r="T546" s="29" t="s">
        <v>2798</v>
      </c>
    </row>
    <row r="547">
      <c r="B547" s="29" t="s">
        <v>1219</v>
      </c>
      <c r="C547" s="29" t="s">
        <v>1247</v>
      </c>
      <c r="D547" s="8" t="s">
        <v>1269</v>
      </c>
      <c r="E547" s="10" t="s">
        <v>1855</v>
      </c>
      <c r="F547" s="10"/>
      <c r="G547" s="10">
        <v>2</v>
      </c>
      <c r="H547" s="10">
        <v>1</v>
      </c>
      <c r="I547" s="10"/>
      <c r="J547" s="10">
        <v>837</v>
      </c>
      <c r="K547" s="104">
        <v>45707</v>
      </c>
      <c r="L547" s="104">
        <v>45710</v>
      </c>
      <c r="M547" s="10" t="b">
        <v>0</v>
      </c>
      <c r="N547" s="10">
        <v>4</v>
      </c>
      <c r="O547" s="11">
        <v>1600</v>
      </c>
      <c r="P547" s="85">
        <v>1.911589008363202</v>
      </c>
      <c r="Q547" s="11">
        <v>1600</v>
      </c>
      <c r="R547" s="85">
        <v>1.911589008363202</v>
      </c>
      <c r="S547" s="29" t="s">
        <v>2719</v>
      </c>
      <c r="T547" s="29" t="s">
        <v>2798</v>
      </c>
    </row>
    <row r="548">
      <c r="B548" s="29" t="s">
        <v>1219</v>
      </c>
      <c r="C548" s="29" t="s">
        <v>1247</v>
      </c>
      <c r="D548" s="8" t="s">
        <v>1269</v>
      </c>
      <c r="E548" s="10" t="s">
        <v>1856</v>
      </c>
      <c r="F548" s="10"/>
      <c r="G548" s="10">
        <v>2</v>
      </c>
      <c r="H548" s="10">
        <v>1</v>
      </c>
      <c r="I548" s="10"/>
      <c r="J548" s="10">
        <v>837</v>
      </c>
      <c r="K548" s="104">
        <v>45707</v>
      </c>
      <c r="L548" s="104">
        <v>45710</v>
      </c>
      <c r="M548" s="10" t="b">
        <v>0</v>
      </c>
      <c r="N548" s="10">
        <v>4</v>
      </c>
      <c r="O548" s="11">
        <v>1600</v>
      </c>
      <c r="P548" s="85">
        <v>1.911589008363202</v>
      </c>
      <c r="Q548" s="11">
        <v>1600</v>
      </c>
      <c r="R548" s="85">
        <v>1.911589008363202</v>
      </c>
      <c r="S548" s="29" t="s">
        <v>2719</v>
      </c>
      <c r="T548" s="29" t="s">
        <v>2798</v>
      </c>
    </row>
    <row r="549">
      <c r="B549" s="29" t="s">
        <v>1219</v>
      </c>
      <c r="C549" s="29" t="s">
        <v>1247</v>
      </c>
      <c r="D549" s="8" t="s">
        <v>1269</v>
      </c>
      <c r="E549" s="10" t="s">
        <v>1857</v>
      </c>
      <c r="F549" s="10">
        <v>2</v>
      </c>
      <c r="G549" s="10">
        <v>2</v>
      </c>
      <c r="H549" s="10">
        <v>1</v>
      </c>
      <c r="I549" s="10"/>
      <c r="J549" s="10">
        <v>837</v>
      </c>
      <c r="K549" s="104">
        <v>45707</v>
      </c>
      <c r="L549" s="104">
        <v>45710</v>
      </c>
      <c r="M549" s="10" t="b">
        <v>0</v>
      </c>
      <c r="N549" s="10">
        <v>4</v>
      </c>
      <c r="O549" s="11">
        <v>1600</v>
      </c>
      <c r="P549" s="85">
        <v>1.911589008363202</v>
      </c>
      <c r="Q549" s="11">
        <v>1600</v>
      </c>
      <c r="R549" s="85">
        <v>1.911589008363202</v>
      </c>
      <c r="S549" s="29" t="s">
        <v>2719</v>
      </c>
      <c r="T549" s="29" t="s">
        <v>2798</v>
      </c>
    </row>
    <row r="550">
      <c r="B550" s="29" t="s">
        <v>1219</v>
      </c>
      <c r="C550" s="29" t="s">
        <v>1247</v>
      </c>
      <c r="D550" s="8" t="s">
        <v>1269</v>
      </c>
      <c r="E550" s="10" t="s">
        <v>1858</v>
      </c>
      <c r="F550" s="10">
        <v>2</v>
      </c>
      <c r="G550" s="10">
        <v>2</v>
      </c>
      <c r="H550" s="10">
        <v>1</v>
      </c>
      <c r="I550" s="10"/>
      <c r="J550" s="10">
        <v>837</v>
      </c>
      <c r="K550" s="104">
        <v>45709</v>
      </c>
      <c r="L550" s="104">
        <v>45710</v>
      </c>
      <c r="M550" s="10" t="b">
        <v>0</v>
      </c>
      <c r="N550" s="10">
        <v>2</v>
      </c>
      <c r="O550" s="11">
        <v>1600</v>
      </c>
      <c r="P550" s="85">
        <v>1.911589008363202</v>
      </c>
      <c r="Q550" s="11">
        <v>1600</v>
      </c>
      <c r="R550" s="85">
        <v>1.911589008363202</v>
      </c>
      <c r="S550" s="29" t="s">
        <v>2719</v>
      </c>
      <c r="T550" s="29" t="s">
        <v>2798</v>
      </c>
    </row>
    <row r="551">
      <c r="B551" s="29" t="s">
        <v>1219</v>
      </c>
      <c r="C551" s="29" t="s">
        <v>1247</v>
      </c>
      <c r="D551" s="8" t="s">
        <v>1269</v>
      </c>
      <c r="E551" s="10" t="s">
        <v>1859</v>
      </c>
      <c r="F551" s="10"/>
      <c r="G551" s="10">
        <v>2</v>
      </c>
      <c r="H551" s="10">
        <v>1</v>
      </c>
      <c r="I551" s="10"/>
      <c r="J551" s="10">
        <v>837</v>
      </c>
      <c r="K551" s="104">
        <v>45707</v>
      </c>
      <c r="L551" s="104">
        <v>45710</v>
      </c>
      <c r="M551" s="10" t="b">
        <v>0</v>
      </c>
      <c r="N551" s="10">
        <v>4</v>
      </c>
      <c r="O551" s="11">
        <v>1600</v>
      </c>
      <c r="P551" s="85">
        <v>1.911589008363202</v>
      </c>
      <c r="Q551" s="11">
        <v>1600</v>
      </c>
      <c r="R551" s="85">
        <v>1.911589008363202</v>
      </c>
      <c r="S551" s="29" t="s">
        <v>2719</v>
      </c>
      <c r="T551" s="29" t="s">
        <v>2798</v>
      </c>
    </row>
    <row r="552">
      <c r="B552" s="29" t="s">
        <v>1219</v>
      </c>
      <c r="C552" s="29" t="s">
        <v>1247</v>
      </c>
      <c r="D552" s="8" t="s">
        <v>1269</v>
      </c>
      <c r="E552" s="10" t="s">
        <v>1860</v>
      </c>
      <c r="F552" s="10">
        <v>2</v>
      </c>
      <c r="G552" s="10">
        <v>2</v>
      </c>
      <c r="H552" s="10">
        <v>1</v>
      </c>
      <c r="I552" s="10"/>
      <c r="J552" s="10">
        <v>837</v>
      </c>
      <c r="K552" s="104">
        <v>45709</v>
      </c>
      <c r="L552" s="104">
        <v>45710</v>
      </c>
      <c r="M552" s="10" t="b">
        <v>0</v>
      </c>
      <c r="N552" s="10">
        <v>2</v>
      </c>
      <c r="O552" s="11">
        <v>1600</v>
      </c>
      <c r="P552" s="85">
        <v>1.911589008363202</v>
      </c>
      <c r="Q552" s="11">
        <v>1600</v>
      </c>
      <c r="R552" s="85">
        <v>1.911589008363202</v>
      </c>
      <c r="S552" s="29" t="s">
        <v>2719</v>
      </c>
      <c r="T552" s="29" t="s">
        <v>2798</v>
      </c>
    </row>
    <row r="553">
      <c r="B553" s="29" t="s">
        <v>1219</v>
      </c>
      <c r="C553" s="29" t="s">
        <v>1247</v>
      </c>
      <c r="D553" s="8" t="s">
        <v>1269</v>
      </c>
      <c r="E553" s="10" t="s">
        <v>1861</v>
      </c>
      <c r="F553" s="10"/>
      <c r="G553" s="10">
        <v>2</v>
      </c>
      <c r="H553" s="10">
        <v>1</v>
      </c>
      <c r="I553" s="10"/>
      <c r="J553" s="10">
        <v>837</v>
      </c>
      <c r="K553" s="104">
        <v>45707</v>
      </c>
      <c r="L553" s="104">
        <v>45710</v>
      </c>
      <c r="M553" s="10" t="b">
        <v>0</v>
      </c>
      <c r="N553" s="10">
        <v>4</v>
      </c>
      <c r="O553" s="11">
        <v>1600</v>
      </c>
      <c r="P553" s="85">
        <v>1.911589008363202</v>
      </c>
      <c r="Q553" s="11">
        <v>1600</v>
      </c>
      <c r="R553" s="85">
        <v>1.911589008363202</v>
      </c>
      <c r="S553" s="29" t="s">
        <v>2719</v>
      </c>
      <c r="T553" s="29" t="s">
        <v>2798</v>
      </c>
    </row>
    <row r="554">
      <c r="B554" s="29" t="s">
        <v>1219</v>
      </c>
      <c r="C554" s="29" t="s">
        <v>1247</v>
      </c>
      <c r="D554" s="8" t="s">
        <v>1269</v>
      </c>
      <c r="E554" s="10" t="s">
        <v>1862</v>
      </c>
      <c r="F554" s="10"/>
      <c r="G554" s="10">
        <v>2</v>
      </c>
      <c r="H554" s="10">
        <v>1</v>
      </c>
      <c r="I554" s="10"/>
      <c r="J554" s="10">
        <v>837</v>
      </c>
      <c r="K554" s="104">
        <v>45707</v>
      </c>
      <c r="L554" s="104">
        <v>45710</v>
      </c>
      <c r="M554" s="10" t="b">
        <v>0</v>
      </c>
      <c r="N554" s="10">
        <v>4</v>
      </c>
      <c r="O554" s="11">
        <v>1600</v>
      </c>
      <c r="P554" s="85">
        <v>1.911589008363202</v>
      </c>
      <c r="Q554" s="11">
        <v>1600</v>
      </c>
      <c r="R554" s="85">
        <v>1.911589008363202</v>
      </c>
      <c r="S554" s="29" t="s">
        <v>2719</v>
      </c>
      <c r="T554" s="29" t="s">
        <v>2798</v>
      </c>
    </row>
    <row r="555">
      <c r="B555" s="29" t="s">
        <v>1219</v>
      </c>
      <c r="C555" s="29" t="s">
        <v>1247</v>
      </c>
      <c r="D555" s="8" t="s">
        <v>1269</v>
      </c>
      <c r="E555" s="10" t="s">
        <v>1863</v>
      </c>
      <c r="F555" s="10"/>
      <c r="G555" s="10">
        <v>2</v>
      </c>
      <c r="H555" s="10">
        <v>1</v>
      </c>
      <c r="I555" s="10"/>
      <c r="J555" s="10">
        <v>837</v>
      </c>
      <c r="K555" s="104">
        <v>45707</v>
      </c>
      <c r="L555" s="104">
        <v>45710</v>
      </c>
      <c r="M555" s="10" t="b">
        <v>0</v>
      </c>
      <c r="N555" s="10">
        <v>4</v>
      </c>
      <c r="O555" s="11">
        <v>1600</v>
      </c>
      <c r="P555" s="85">
        <v>1.911589008363202</v>
      </c>
      <c r="Q555" s="11">
        <v>1600</v>
      </c>
      <c r="R555" s="85">
        <v>1.911589008363202</v>
      </c>
      <c r="S555" s="29" t="s">
        <v>2719</v>
      </c>
      <c r="T555" s="29" t="s">
        <v>2798</v>
      </c>
    </row>
    <row r="556">
      <c r="B556" s="29" t="s">
        <v>1219</v>
      </c>
      <c r="C556" s="29" t="s">
        <v>1247</v>
      </c>
      <c r="D556" s="8" t="s">
        <v>1269</v>
      </c>
      <c r="E556" s="10" t="s">
        <v>1864</v>
      </c>
      <c r="F556" s="10"/>
      <c r="G556" s="10">
        <v>2</v>
      </c>
      <c r="H556" s="10">
        <v>1</v>
      </c>
      <c r="I556" s="10"/>
      <c r="J556" s="10">
        <v>837</v>
      </c>
      <c r="K556" s="104">
        <v>45707</v>
      </c>
      <c r="L556" s="104">
        <v>45710</v>
      </c>
      <c r="M556" s="10" t="b">
        <v>0</v>
      </c>
      <c r="N556" s="10">
        <v>4</v>
      </c>
      <c r="O556" s="11">
        <v>1600</v>
      </c>
      <c r="P556" s="85">
        <v>1.911589008363202</v>
      </c>
      <c r="Q556" s="11">
        <v>1600</v>
      </c>
      <c r="R556" s="85">
        <v>1.911589008363202</v>
      </c>
      <c r="S556" s="29" t="s">
        <v>2719</v>
      </c>
      <c r="T556" s="29" t="s">
        <v>2798</v>
      </c>
    </row>
    <row r="557">
      <c r="B557" s="29" t="s">
        <v>1219</v>
      </c>
      <c r="C557" s="29" t="s">
        <v>1247</v>
      </c>
      <c r="D557" s="8" t="s">
        <v>1269</v>
      </c>
      <c r="E557" s="10" t="s">
        <v>1865</v>
      </c>
      <c r="F557" s="10"/>
      <c r="G557" s="10">
        <v>2</v>
      </c>
      <c r="H557" s="10">
        <v>1</v>
      </c>
      <c r="I557" s="10"/>
      <c r="J557" s="10">
        <v>837</v>
      </c>
      <c r="K557" s="104">
        <v>45707</v>
      </c>
      <c r="L557" s="104">
        <v>45710</v>
      </c>
      <c r="M557" s="10" t="b">
        <v>0</v>
      </c>
      <c r="N557" s="10">
        <v>4</v>
      </c>
      <c r="O557" s="11">
        <v>1600</v>
      </c>
      <c r="P557" s="85">
        <v>1.911589008363202</v>
      </c>
      <c r="Q557" s="11">
        <v>1600</v>
      </c>
      <c r="R557" s="85">
        <v>1.911589008363202</v>
      </c>
      <c r="S557" s="29" t="s">
        <v>2719</v>
      </c>
      <c r="T557" s="29" t="s">
        <v>2798</v>
      </c>
    </row>
    <row r="558">
      <c r="B558" s="29" t="s">
        <v>1219</v>
      </c>
      <c r="C558" s="29" t="s">
        <v>1247</v>
      </c>
      <c r="D558" s="8" t="s">
        <v>1269</v>
      </c>
      <c r="E558" s="10" t="s">
        <v>1866</v>
      </c>
      <c r="F558" s="10"/>
      <c r="G558" s="10">
        <v>2</v>
      </c>
      <c r="H558" s="10">
        <v>1</v>
      </c>
      <c r="I558" s="10"/>
      <c r="J558" s="10">
        <v>837</v>
      </c>
      <c r="K558" s="104">
        <v>45705</v>
      </c>
      <c r="L558" s="104">
        <v>45709</v>
      </c>
      <c r="M558" s="10" t="b">
        <v>0</v>
      </c>
      <c r="N558" s="10">
        <v>5</v>
      </c>
      <c r="O558" s="11">
        <v>1600</v>
      </c>
      <c r="P558" s="85">
        <v>1.911589008363202</v>
      </c>
      <c r="Q558" s="11">
        <v>1600</v>
      </c>
      <c r="R558" s="85">
        <v>1.911589008363202</v>
      </c>
      <c r="S558" s="29" t="s">
        <v>2719</v>
      </c>
      <c r="T558" s="29" t="s">
        <v>2798</v>
      </c>
    </row>
    <row r="559">
      <c r="B559" s="29" t="s">
        <v>1219</v>
      </c>
      <c r="C559" s="29" t="s">
        <v>1247</v>
      </c>
      <c r="D559" s="8" t="s">
        <v>1269</v>
      </c>
      <c r="E559" s="10" t="s">
        <v>1867</v>
      </c>
      <c r="F559" s="10">
        <v>2</v>
      </c>
      <c r="G559" s="10">
        <v>2</v>
      </c>
      <c r="H559" s="10">
        <v>1</v>
      </c>
      <c r="I559" s="10"/>
      <c r="J559" s="10">
        <v>837</v>
      </c>
      <c r="K559" s="104">
        <v>45707</v>
      </c>
      <c r="L559" s="104">
        <v>45709</v>
      </c>
      <c r="M559" s="10" t="b">
        <v>0</v>
      </c>
      <c r="N559" s="10">
        <v>3</v>
      </c>
      <c r="O559" s="11">
        <v>1600</v>
      </c>
      <c r="P559" s="85">
        <v>1.911589008363202</v>
      </c>
      <c r="Q559" s="11">
        <v>1600</v>
      </c>
      <c r="R559" s="85">
        <v>1.911589008363202</v>
      </c>
      <c r="S559" s="29" t="s">
        <v>2719</v>
      </c>
      <c r="T559" s="29" t="s">
        <v>2798</v>
      </c>
    </row>
    <row r="560">
      <c r="B560" s="29" t="s">
        <v>1219</v>
      </c>
      <c r="C560" s="29" t="s">
        <v>1247</v>
      </c>
      <c r="D560" s="8" t="s">
        <v>1269</v>
      </c>
      <c r="E560" s="10" t="s">
        <v>1868</v>
      </c>
      <c r="F560" s="10"/>
      <c r="G560" s="10">
        <v>2</v>
      </c>
      <c r="H560" s="10">
        <v>1</v>
      </c>
      <c r="I560" s="10"/>
      <c r="J560" s="10">
        <v>837</v>
      </c>
      <c r="K560" s="104">
        <v>45707</v>
      </c>
      <c r="L560" s="104">
        <v>45709</v>
      </c>
      <c r="M560" s="10" t="b">
        <v>0</v>
      </c>
      <c r="N560" s="10">
        <v>3</v>
      </c>
      <c r="O560" s="11">
        <v>1600</v>
      </c>
      <c r="P560" s="85">
        <v>1.911589008363202</v>
      </c>
      <c r="Q560" s="11">
        <v>1600</v>
      </c>
      <c r="R560" s="85">
        <v>1.911589008363202</v>
      </c>
      <c r="S560" s="29" t="s">
        <v>2719</v>
      </c>
      <c r="T560" s="29" t="s">
        <v>2798</v>
      </c>
    </row>
    <row r="561">
      <c r="B561" s="29" t="s">
        <v>1219</v>
      </c>
      <c r="C561" s="29" t="s">
        <v>1247</v>
      </c>
      <c r="D561" s="8" t="s">
        <v>1269</v>
      </c>
      <c r="E561" s="10" t="s">
        <v>1869</v>
      </c>
      <c r="F561" s="10">
        <v>2</v>
      </c>
      <c r="G561" s="10">
        <v>2</v>
      </c>
      <c r="H561" s="10">
        <v>1</v>
      </c>
      <c r="I561" s="10"/>
      <c r="J561" s="10">
        <v>837</v>
      </c>
      <c r="K561" s="104">
        <v>45707</v>
      </c>
      <c r="L561" s="104">
        <v>45709</v>
      </c>
      <c r="M561" s="10" t="b">
        <v>0</v>
      </c>
      <c r="N561" s="10">
        <v>3</v>
      </c>
      <c r="O561" s="11">
        <v>1600</v>
      </c>
      <c r="P561" s="85">
        <v>1.911589008363202</v>
      </c>
      <c r="Q561" s="11">
        <v>1600</v>
      </c>
      <c r="R561" s="85">
        <v>1.911589008363202</v>
      </c>
      <c r="S561" s="29" t="s">
        <v>2719</v>
      </c>
      <c r="T561" s="29" t="s">
        <v>2798</v>
      </c>
    </row>
    <row r="562">
      <c r="B562" s="29" t="s">
        <v>1219</v>
      </c>
      <c r="C562" s="29" t="s">
        <v>1247</v>
      </c>
      <c r="D562" s="8" t="s">
        <v>1269</v>
      </c>
      <c r="E562" s="10" t="s">
        <v>1870</v>
      </c>
      <c r="F562" s="10"/>
      <c r="G562" s="10">
        <v>2</v>
      </c>
      <c r="H562" s="10">
        <v>1</v>
      </c>
      <c r="I562" s="10"/>
      <c r="J562" s="10">
        <v>837</v>
      </c>
      <c r="K562" s="104">
        <v>45707</v>
      </c>
      <c r="L562" s="104">
        <v>45709</v>
      </c>
      <c r="M562" s="10" t="b">
        <v>0</v>
      </c>
      <c r="N562" s="10">
        <v>3</v>
      </c>
      <c r="O562" s="11">
        <v>1600</v>
      </c>
      <c r="P562" s="85">
        <v>1.911589008363202</v>
      </c>
      <c r="Q562" s="11">
        <v>1600</v>
      </c>
      <c r="R562" s="85">
        <v>1.911589008363202</v>
      </c>
      <c r="S562" s="29" t="s">
        <v>2719</v>
      </c>
      <c r="T562" s="29" t="s">
        <v>2798</v>
      </c>
    </row>
    <row r="563">
      <c r="B563" s="29" t="s">
        <v>1219</v>
      </c>
      <c r="C563" s="29" t="s">
        <v>1247</v>
      </c>
      <c r="D563" s="8" t="s">
        <v>1269</v>
      </c>
      <c r="E563" s="10" t="s">
        <v>1871</v>
      </c>
      <c r="F563" s="10"/>
      <c r="G563" s="10">
        <v>2</v>
      </c>
      <c r="H563" s="10">
        <v>1</v>
      </c>
      <c r="I563" s="10"/>
      <c r="J563" s="10">
        <v>837</v>
      </c>
      <c r="K563" s="104">
        <v>45707</v>
      </c>
      <c r="L563" s="104">
        <v>45709</v>
      </c>
      <c r="M563" s="10" t="b">
        <v>0</v>
      </c>
      <c r="N563" s="10">
        <v>3</v>
      </c>
      <c r="O563" s="11">
        <v>1600</v>
      </c>
      <c r="P563" s="85">
        <v>1.911589008363202</v>
      </c>
      <c r="Q563" s="11">
        <v>1600</v>
      </c>
      <c r="R563" s="85">
        <v>1.911589008363202</v>
      </c>
      <c r="S563" s="29" t="s">
        <v>2719</v>
      </c>
      <c r="T563" s="29" t="s">
        <v>2798</v>
      </c>
    </row>
    <row r="564">
      <c r="B564" s="29" t="s">
        <v>1219</v>
      </c>
      <c r="C564" s="29" t="s">
        <v>1247</v>
      </c>
      <c r="D564" s="8" t="s">
        <v>1269</v>
      </c>
      <c r="E564" s="10" t="s">
        <v>1872</v>
      </c>
      <c r="F564" s="10"/>
      <c r="G564" s="10">
        <v>2</v>
      </c>
      <c r="H564" s="10">
        <v>1</v>
      </c>
      <c r="I564" s="10"/>
      <c r="J564" s="10">
        <v>837</v>
      </c>
      <c r="K564" s="104">
        <v>45707</v>
      </c>
      <c r="L564" s="104">
        <v>45709</v>
      </c>
      <c r="M564" s="10" t="b">
        <v>0</v>
      </c>
      <c r="N564" s="10">
        <v>3</v>
      </c>
      <c r="O564" s="11">
        <v>1600</v>
      </c>
      <c r="P564" s="85">
        <v>1.911589008363202</v>
      </c>
      <c r="Q564" s="11">
        <v>1600</v>
      </c>
      <c r="R564" s="85">
        <v>1.911589008363202</v>
      </c>
      <c r="S564" s="29" t="s">
        <v>2719</v>
      </c>
      <c r="T564" s="29" t="s">
        <v>2798</v>
      </c>
    </row>
    <row r="565">
      <c r="B565" s="29" t="s">
        <v>1219</v>
      </c>
      <c r="C565" s="29" t="s">
        <v>1247</v>
      </c>
      <c r="D565" s="8" t="s">
        <v>1269</v>
      </c>
      <c r="E565" s="10" t="s">
        <v>1873</v>
      </c>
      <c r="F565" s="10">
        <v>2</v>
      </c>
      <c r="G565" s="10">
        <v>2</v>
      </c>
      <c r="H565" s="10">
        <v>1</v>
      </c>
      <c r="I565" s="10"/>
      <c r="J565" s="10">
        <v>837</v>
      </c>
      <c r="K565" s="104">
        <v>45707</v>
      </c>
      <c r="L565" s="104">
        <v>45709</v>
      </c>
      <c r="M565" s="10" t="b">
        <v>0</v>
      </c>
      <c r="N565" s="10">
        <v>3</v>
      </c>
      <c r="O565" s="11">
        <v>1600</v>
      </c>
      <c r="P565" s="85">
        <v>1.911589008363202</v>
      </c>
      <c r="Q565" s="11">
        <v>1600</v>
      </c>
      <c r="R565" s="85">
        <v>1.911589008363202</v>
      </c>
      <c r="S565" s="29" t="s">
        <v>2719</v>
      </c>
      <c r="T565" s="29" t="s">
        <v>2798</v>
      </c>
    </row>
    <row r="566">
      <c r="B566" s="29" t="s">
        <v>1219</v>
      </c>
      <c r="C566" s="29" t="s">
        <v>1247</v>
      </c>
      <c r="D566" s="8" t="s">
        <v>1269</v>
      </c>
      <c r="E566" s="10" t="s">
        <v>1874</v>
      </c>
      <c r="F566" s="10"/>
      <c r="G566" s="10">
        <v>2</v>
      </c>
      <c r="H566" s="10">
        <v>1</v>
      </c>
      <c r="I566" s="10"/>
      <c r="J566" s="10">
        <v>837</v>
      </c>
      <c r="K566" s="104">
        <v>45707</v>
      </c>
      <c r="L566" s="104">
        <v>45709</v>
      </c>
      <c r="M566" s="10" t="b">
        <v>0</v>
      </c>
      <c r="N566" s="10">
        <v>3</v>
      </c>
      <c r="O566" s="11">
        <v>1600</v>
      </c>
      <c r="P566" s="85">
        <v>1.911589008363202</v>
      </c>
      <c r="Q566" s="11">
        <v>1600</v>
      </c>
      <c r="R566" s="85">
        <v>1.911589008363202</v>
      </c>
      <c r="S566" s="29" t="s">
        <v>2719</v>
      </c>
      <c r="T566" s="29" t="s">
        <v>2798</v>
      </c>
    </row>
    <row r="567">
      <c r="B567" s="29" t="s">
        <v>1219</v>
      </c>
      <c r="C567" s="29" t="s">
        <v>1247</v>
      </c>
      <c r="D567" s="8" t="s">
        <v>1269</v>
      </c>
      <c r="E567" s="10" t="s">
        <v>1875</v>
      </c>
      <c r="F567" s="10">
        <v>2</v>
      </c>
      <c r="G567" s="10">
        <v>2</v>
      </c>
      <c r="H567" s="10">
        <v>1</v>
      </c>
      <c r="I567" s="10"/>
      <c r="J567" s="10">
        <v>837</v>
      </c>
      <c r="K567" s="104">
        <v>45707</v>
      </c>
      <c r="L567" s="104">
        <v>45709</v>
      </c>
      <c r="M567" s="10" t="b">
        <v>0</v>
      </c>
      <c r="N567" s="10">
        <v>3</v>
      </c>
      <c r="O567" s="11">
        <v>1600</v>
      </c>
      <c r="P567" s="85">
        <v>1.911589008363202</v>
      </c>
      <c r="Q567" s="11">
        <v>1600</v>
      </c>
      <c r="R567" s="85">
        <v>1.911589008363202</v>
      </c>
      <c r="S567" s="29" t="s">
        <v>2719</v>
      </c>
      <c r="T567" s="29" t="s">
        <v>2798</v>
      </c>
    </row>
    <row r="568">
      <c r="B568" s="29" t="s">
        <v>1219</v>
      </c>
      <c r="C568" s="29" t="s">
        <v>1247</v>
      </c>
      <c r="D568" s="8" t="s">
        <v>1269</v>
      </c>
      <c r="E568" s="10" t="s">
        <v>1876</v>
      </c>
      <c r="F568" s="10">
        <v>2</v>
      </c>
      <c r="G568" s="10">
        <v>2</v>
      </c>
      <c r="H568" s="10">
        <v>1</v>
      </c>
      <c r="I568" s="10"/>
      <c r="J568" s="10">
        <v>837</v>
      </c>
      <c r="K568" s="104">
        <v>45707</v>
      </c>
      <c r="L568" s="104">
        <v>45709</v>
      </c>
      <c r="M568" s="10" t="b">
        <v>0</v>
      </c>
      <c r="N568" s="10">
        <v>3</v>
      </c>
      <c r="O568" s="11">
        <v>1600</v>
      </c>
      <c r="P568" s="85">
        <v>1.911589008363202</v>
      </c>
      <c r="Q568" s="11">
        <v>1600</v>
      </c>
      <c r="R568" s="85">
        <v>1.911589008363202</v>
      </c>
      <c r="S568" s="29" t="s">
        <v>2719</v>
      </c>
      <c r="T568" s="29" t="s">
        <v>2798</v>
      </c>
    </row>
    <row r="569">
      <c r="B569" s="29" t="s">
        <v>1219</v>
      </c>
      <c r="C569" s="29" t="s">
        <v>1247</v>
      </c>
      <c r="D569" s="8" t="s">
        <v>1269</v>
      </c>
      <c r="E569" s="10" t="s">
        <v>1877</v>
      </c>
      <c r="F569" s="10"/>
      <c r="G569" s="10">
        <v>2</v>
      </c>
      <c r="H569" s="10">
        <v>1</v>
      </c>
      <c r="I569" s="10"/>
      <c r="J569" s="10">
        <v>837</v>
      </c>
      <c r="K569" s="104">
        <v>45707</v>
      </c>
      <c r="L569" s="104">
        <v>45709</v>
      </c>
      <c r="M569" s="10" t="b">
        <v>0</v>
      </c>
      <c r="N569" s="10">
        <v>3</v>
      </c>
      <c r="O569" s="11">
        <v>1600</v>
      </c>
      <c r="P569" s="85">
        <v>1.911589008363202</v>
      </c>
      <c r="Q569" s="11">
        <v>1600</v>
      </c>
      <c r="R569" s="85">
        <v>1.911589008363202</v>
      </c>
      <c r="S569" s="29" t="s">
        <v>2719</v>
      </c>
      <c r="T569" s="29" t="s">
        <v>2798</v>
      </c>
    </row>
    <row r="570">
      <c r="B570" s="29" t="s">
        <v>1219</v>
      </c>
      <c r="C570" s="29" t="s">
        <v>1247</v>
      </c>
      <c r="D570" s="8" t="s">
        <v>1269</v>
      </c>
      <c r="E570" s="10" t="s">
        <v>1878</v>
      </c>
      <c r="F570" s="10"/>
      <c r="G570" s="10">
        <v>2</v>
      </c>
      <c r="H570" s="10">
        <v>1</v>
      </c>
      <c r="I570" s="10"/>
      <c r="J570" s="10">
        <v>837</v>
      </c>
      <c r="K570" s="104">
        <v>45707</v>
      </c>
      <c r="L570" s="104">
        <v>45709</v>
      </c>
      <c r="M570" s="10" t="b">
        <v>0</v>
      </c>
      <c r="N570" s="10">
        <v>3</v>
      </c>
      <c r="O570" s="11">
        <v>1600</v>
      </c>
      <c r="P570" s="85">
        <v>1.911589008363202</v>
      </c>
      <c r="Q570" s="11">
        <v>1600</v>
      </c>
      <c r="R570" s="85">
        <v>1.911589008363202</v>
      </c>
      <c r="S570" s="29" t="s">
        <v>2719</v>
      </c>
      <c r="T570" s="29" t="s">
        <v>2798</v>
      </c>
    </row>
    <row r="571">
      <c r="B571" s="29" t="s">
        <v>1219</v>
      </c>
      <c r="C571" s="29" t="s">
        <v>1247</v>
      </c>
      <c r="D571" s="8" t="s">
        <v>1269</v>
      </c>
      <c r="E571" s="10" t="s">
        <v>1879</v>
      </c>
      <c r="F571" s="10">
        <v>2</v>
      </c>
      <c r="G571" s="10">
        <v>2</v>
      </c>
      <c r="H571" s="10">
        <v>1</v>
      </c>
      <c r="I571" s="10"/>
      <c r="J571" s="10">
        <v>837</v>
      </c>
      <c r="K571" s="104">
        <v>45707</v>
      </c>
      <c r="L571" s="104">
        <v>45709</v>
      </c>
      <c r="M571" s="10" t="b">
        <v>0</v>
      </c>
      <c r="N571" s="10">
        <v>3</v>
      </c>
      <c r="O571" s="11">
        <v>1600</v>
      </c>
      <c r="P571" s="85">
        <v>1.911589008363202</v>
      </c>
      <c r="Q571" s="11">
        <v>1600</v>
      </c>
      <c r="R571" s="85">
        <v>1.911589008363202</v>
      </c>
      <c r="S571" s="29" t="s">
        <v>2719</v>
      </c>
      <c r="T571" s="29" t="s">
        <v>2798</v>
      </c>
    </row>
    <row r="572">
      <c r="B572" s="29" t="s">
        <v>1219</v>
      </c>
      <c r="C572" s="29" t="s">
        <v>1247</v>
      </c>
      <c r="D572" s="8" t="s">
        <v>1269</v>
      </c>
      <c r="E572" s="10" t="s">
        <v>1880</v>
      </c>
      <c r="F572" s="10"/>
      <c r="G572" s="10">
        <v>2</v>
      </c>
      <c r="H572" s="10">
        <v>1</v>
      </c>
      <c r="I572" s="10"/>
      <c r="J572" s="10">
        <v>837</v>
      </c>
      <c r="K572" s="104">
        <v>45707</v>
      </c>
      <c r="L572" s="104">
        <v>45709</v>
      </c>
      <c r="M572" s="10" t="b">
        <v>0</v>
      </c>
      <c r="N572" s="10">
        <v>3</v>
      </c>
      <c r="O572" s="11">
        <v>1600</v>
      </c>
      <c r="P572" s="85">
        <v>1.911589008363202</v>
      </c>
      <c r="Q572" s="11">
        <v>1600</v>
      </c>
      <c r="R572" s="85">
        <v>1.911589008363202</v>
      </c>
      <c r="S572" s="29" t="s">
        <v>2719</v>
      </c>
      <c r="T572" s="29" t="s">
        <v>2798</v>
      </c>
    </row>
    <row r="573">
      <c r="B573" s="29" t="s">
        <v>1219</v>
      </c>
      <c r="C573" s="29" t="s">
        <v>1247</v>
      </c>
      <c r="D573" s="8" t="s">
        <v>1269</v>
      </c>
      <c r="E573" s="10" t="s">
        <v>1881</v>
      </c>
      <c r="F573" s="10"/>
      <c r="G573" s="10">
        <v>2</v>
      </c>
      <c r="H573" s="10">
        <v>1</v>
      </c>
      <c r="I573" s="10"/>
      <c r="J573" s="10">
        <v>837</v>
      </c>
      <c r="K573" s="104">
        <v>45707</v>
      </c>
      <c r="L573" s="104">
        <v>45709</v>
      </c>
      <c r="M573" s="10" t="b">
        <v>0</v>
      </c>
      <c r="N573" s="10">
        <v>3</v>
      </c>
      <c r="O573" s="11">
        <v>1600</v>
      </c>
      <c r="P573" s="85">
        <v>1.911589008363202</v>
      </c>
      <c r="Q573" s="11">
        <v>1600</v>
      </c>
      <c r="R573" s="85">
        <v>1.911589008363202</v>
      </c>
      <c r="S573" s="29" t="s">
        <v>2719</v>
      </c>
      <c r="T573" s="29" t="s">
        <v>2798</v>
      </c>
    </row>
    <row r="574">
      <c r="B574" s="29" t="s">
        <v>1219</v>
      </c>
      <c r="C574" s="29" t="s">
        <v>1247</v>
      </c>
      <c r="D574" s="8" t="s">
        <v>1269</v>
      </c>
      <c r="E574" s="10" t="s">
        <v>1882</v>
      </c>
      <c r="F574" s="10">
        <v>2</v>
      </c>
      <c r="G574" s="10">
        <v>2</v>
      </c>
      <c r="H574" s="10">
        <v>1</v>
      </c>
      <c r="I574" s="10"/>
      <c r="J574" s="10">
        <v>837</v>
      </c>
      <c r="K574" s="104">
        <v>45707</v>
      </c>
      <c r="L574" s="104">
        <v>45709</v>
      </c>
      <c r="M574" s="10" t="b">
        <v>0</v>
      </c>
      <c r="N574" s="10">
        <v>3</v>
      </c>
      <c r="O574" s="11">
        <v>1600</v>
      </c>
      <c r="P574" s="85">
        <v>1.911589008363202</v>
      </c>
      <c r="Q574" s="11">
        <v>1600</v>
      </c>
      <c r="R574" s="85">
        <v>1.911589008363202</v>
      </c>
      <c r="S574" s="29" t="s">
        <v>2719</v>
      </c>
      <c r="T574" s="29" t="s">
        <v>2798</v>
      </c>
    </row>
    <row r="575">
      <c r="B575" s="29" t="s">
        <v>1219</v>
      </c>
      <c r="C575" s="29" t="s">
        <v>1247</v>
      </c>
      <c r="D575" s="8" t="s">
        <v>1269</v>
      </c>
      <c r="E575" s="10" t="s">
        <v>1883</v>
      </c>
      <c r="F575" s="10"/>
      <c r="G575" s="10">
        <v>2</v>
      </c>
      <c r="H575" s="10">
        <v>1</v>
      </c>
      <c r="I575" s="10"/>
      <c r="J575" s="10">
        <v>837</v>
      </c>
      <c r="K575" s="104">
        <v>45705</v>
      </c>
      <c r="L575" s="104">
        <v>45708</v>
      </c>
      <c r="M575" s="10" t="b">
        <v>0</v>
      </c>
      <c r="N575" s="10">
        <v>4</v>
      </c>
      <c r="O575" s="11">
        <v>1600</v>
      </c>
      <c r="P575" s="85">
        <v>1.911589008363202</v>
      </c>
      <c r="Q575" s="11">
        <v>1600</v>
      </c>
      <c r="R575" s="85">
        <v>1.911589008363202</v>
      </c>
      <c r="S575" s="29" t="s">
        <v>2719</v>
      </c>
      <c r="T575" s="29" t="s">
        <v>2798</v>
      </c>
    </row>
    <row r="576">
      <c r="B576" s="29" t="s">
        <v>1219</v>
      </c>
      <c r="C576" s="29" t="s">
        <v>1247</v>
      </c>
      <c r="D576" s="8" t="s">
        <v>1269</v>
      </c>
      <c r="E576" s="10" t="s">
        <v>1884</v>
      </c>
      <c r="F576" s="10"/>
      <c r="G576" s="10">
        <v>2</v>
      </c>
      <c r="H576" s="10">
        <v>1</v>
      </c>
      <c r="I576" s="10"/>
      <c r="J576" s="10">
        <v>837</v>
      </c>
      <c r="K576" s="104">
        <v>45705</v>
      </c>
      <c r="L576" s="104">
        <v>45708</v>
      </c>
      <c r="M576" s="10" t="b">
        <v>0</v>
      </c>
      <c r="N576" s="10">
        <v>4</v>
      </c>
      <c r="O576" s="11">
        <v>1600</v>
      </c>
      <c r="P576" s="85">
        <v>1.911589008363202</v>
      </c>
      <c r="Q576" s="11">
        <v>1600</v>
      </c>
      <c r="R576" s="85">
        <v>1.911589008363202</v>
      </c>
      <c r="S576" s="29" t="s">
        <v>2719</v>
      </c>
      <c r="T576" s="29" t="s">
        <v>2798</v>
      </c>
    </row>
    <row r="577">
      <c r="B577" s="29" t="s">
        <v>1219</v>
      </c>
      <c r="C577" s="29" t="s">
        <v>1247</v>
      </c>
      <c r="D577" s="8" t="s">
        <v>1269</v>
      </c>
      <c r="E577" s="10" t="s">
        <v>1885</v>
      </c>
      <c r="F577" s="10"/>
      <c r="G577" s="10">
        <v>2</v>
      </c>
      <c r="H577" s="10">
        <v>1</v>
      </c>
      <c r="I577" s="10"/>
      <c r="J577" s="10">
        <v>837</v>
      </c>
      <c r="K577" s="104">
        <v>45705</v>
      </c>
      <c r="L577" s="104">
        <v>45708</v>
      </c>
      <c r="M577" s="10" t="b">
        <v>0</v>
      </c>
      <c r="N577" s="10">
        <v>4</v>
      </c>
      <c r="O577" s="11">
        <v>1600</v>
      </c>
      <c r="P577" s="85">
        <v>1.911589008363202</v>
      </c>
      <c r="Q577" s="11">
        <v>1600</v>
      </c>
      <c r="R577" s="85">
        <v>1.911589008363202</v>
      </c>
      <c r="S577" s="29" t="s">
        <v>2719</v>
      </c>
      <c r="T577" s="29" t="s">
        <v>2798</v>
      </c>
    </row>
    <row r="578">
      <c r="B578" s="29" t="s">
        <v>1219</v>
      </c>
      <c r="C578" s="29" t="s">
        <v>1247</v>
      </c>
      <c r="D578" s="8" t="s">
        <v>1269</v>
      </c>
      <c r="E578" s="10" t="s">
        <v>1886</v>
      </c>
      <c r="F578" s="10"/>
      <c r="G578" s="10">
        <v>2</v>
      </c>
      <c r="H578" s="10">
        <v>1</v>
      </c>
      <c r="I578" s="10"/>
      <c r="J578" s="10">
        <v>837</v>
      </c>
      <c r="K578" s="104">
        <v>45705</v>
      </c>
      <c r="L578" s="104">
        <v>45708</v>
      </c>
      <c r="M578" s="10" t="b">
        <v>0</v>
      </c>
      <c r="N578" s="10">
        <v>4</v>
      </c>
      <c r="O578" s="11">
        <v>1600</v>
      </c>
      <c r="P578" s="85">
        <v>1.911589008363202</v>
      </c>
      <c r="Q578" s="11">
        <v>1600</v>
      </c>
      <c r="R578" s="85">
        <v>1.911589008363202</v>
      </c>
      <c r="S578" s="29" t="s">
        <v>2719</v>
      </c>
      <c r="T578" s="29" t="s">
        <v>2798</v>
      </c>
    </row>
    <row r="579">
      <c r="B579" s="29" t="s">
        <v>1219</v>
      </c>
      <c r="C579" s="29" t="s">
        <v>1247</v>
      </c>
      <c r="D579" s="8" t="s">
        <v>1269</v>
      </c>
      <c r="E579" s="10" t="s">
        <v>1887</v>
      </c>
      <c r="F579" s="10"/>
      <c r="G579" s="10">
        <v>2</v>
      </c>
      <c r="H579" s="10">
        <v>1</v>
      </c>
      <c r="I579" s="10"/>
      <c r="J579" s="10">
        <v>837</v>
      </c>
      <c r="K579" s="104">
        <v>45705</v>
      </c>
      <c r="L579" s="104">
        <v>45708</v>
      </c>
      <c r="M579" s="10" t="b">
        <v>0</v>
      </c>
      <c r="N579" s="10">
        <v>4</v>
      </c>
      <c r="O579" s="11">
        <v>1600</v>
      </c>
      <c r="P579" s="85">
        <v>1.911589008363202</v>
      </c>
      <c r="Q579" s="11">
        <v>1600</v>
      </c>
      <c r="R579" s="85">
        <v>1.911589008363202</v>
      </c>
      <c r="S579" s="29" t="s">
        <v>2719</v>
      </c>
      <c r="T579" s="29" t="s">
        <v>2798</v>
      </c>
    </row>
    <row r="580">
      <c r="B580" s="29" t="s">
        <v>1219</v>
      </c>
      <c r="C580" s="29" t="s">
        <v>1247</v>
      </c>
      <c r="D580" s="8" t="s">
        <v>1269</v>
      </c>
      <c r="E580" s="10" t="s">
        <v>1888</v>
      </c>
      <c r="F580" s="10"/>
      <c r="G580" s="10">
        <v>2</v>
      </c>
      <c r="H580" s="10">
        <v>1</v>
      </c>
      <c r="I580" s="10"/>
      <c r="J580" s="10">
        <v>837</v>
      </c>
      <c r="K580" s="104">
        <v>45705</v>
      </c>
      <c r="L580" s="104">
        <v>45708</v>
      </c>
      <c r="M580" s="10" t="b">
        <v>0</v>
      </c>
      <c r="N580" s="10">
        <v>4</v>
      </c>
      <c r="O580" s="11">
        <v>1600</v>
      </c>
      <c r="P580" s="85">
        <v>1.911589008363202</v>
      </c>
      <c r="Q580" s="11">
        <v>1600</v>
      </c>
      <c r="R580" s="85">
        <v>1.911589008363202</v>
      </c>
      <c r="S580" s="29" t="s">
        <v>2719</v>
      </c>
      <c r="T580" s="29" t="s">
        <v>2798</v>
      </c>
    </row>
    <row r="581">
      <c r="B581" s="29" t="s">
        <v>1219</v>
      </c>
      <c r="C581" s="29" t="s">
        <v>1247</v>
      </c>
      <c r="D581" s="8" t="s">
        <v>1269</v>
      </c>
      <c r="E581" s="10" t="s">
        <v>1889</v>
      </c>
      <c r="F581" s="10"/>
      <c r="G581" s="10">
        <v>2</v>
      </c>
      <c r="H581" s="10">
        <v>1</v>
      </c>
      <c r="I581" s="10"/>
      <c r="J581" s="10">
        <v>837</v>
      </c>
      <c r="K581" s="104">
        <v>45705</v>
      </c>
      <c r="L581" s="104">
        <v>45708</v>
      </c>
      <c r="M581" s="10" t="b">
        <v>0</v>
      </c>
      <c r="N581" s="10">
        <v>4</v>
      </c>
      <c r="O581" s="11">
        <v>1600</v>
      </c>
      <c r="P581" s="85">
        <v>1.911589008363202</v>
      </c>
      <c r="Q581" s="11">
        <v>1600</v>
      </c>
      <c r="R581" s="85">
        <v>1.911589008363202</v>
      </c>
      <c r="S581" s="29" t="s">
        <v>2719</v>
      </c>
      <c r="T581" s="29" t="s">
        <v>2798</v>
      </c>
    </row>
    <row r="582">
      <c r="B582" s="29" t="s">
        <v>1219</v>
      </c>
      <c r="C582" s="29" t="s">
        <v>1247</v>
      </c>
      <c r="D582" s="8" t="s">
        <v>1269</v>
      </c>
      <c r="E582" s="10" t="s">
        <v>1890</v>
      </c>
      <c r="F582" s="10"/>
      <c r="G582" s="10">
        <v>2</v>
      </c>
      <c r="H582" s="10">
        <v>1</v>
      </c>
      <c r="I582" s="10"/>
      <c r="J582" s="10">
        <v>837</v>
      </c>
      <c r="K582" s="104">
        <v>45705</v>
      </c>
      <c r="L582" s="104">
        <v>45708</v>
      </c>
      <c r="M582" s="10" t="b">
        <v>0</v>
      </c>
      <c r="N582" s="10">
        <v>4</v>
      </c>
      <c r="O582" s="11">
        <v>1600</v>
      </c>
      <c r="P582" s="85">
        <v>1.911589008363202</v>
      </c>
      <c r="Q582" s="11">
        <v>1600</v>
      </c>
      <c r="R582" s="85">
        <v>1.911589008363202</v>
      </c>
      <c r="S582" s="29" t="s">
        <v>2719</v>
      </c>
      <c r="T582" s="29" t="s">
        <v>2798</v>
      </c>
    </row>
    <row r="583">
      <c r="B583" s="29" t="s">
        <v>1219</v>
      </c>
      <c r="C583" s="29" t="s">
        <v>1247</v>
      </c>
      <c r="D583" s="8" t="s">
        <v>1269</v>
      </c>
      <c r="E583" s="10" t="s">
        <v>1891</v>
      </c>
      <c r="F583" s="10"/>
      <c r="G583" s="10">
        <v>2</v>
      </c>
      <c r="H583" s="10">
        <v>1</v>
      </c>
      <c r="I583" s="10"/>
      <c r="J583" s="10">
        <v>837</v>
      </c>
      <c r="K583" s="104">
        <v>45705</v>
      </c>
      <c r="L583" s="104">
        <v>45708</v>
      </c>
      <c r="M583" s="10" t="b">
        <v>0</v>
      </c>
      <c r="N583" s="10">
        <v>4</v>
      </c>
      <c r="O583" s="11">
        <v>1600</v>
      </c>
      <c r="P583" s="85">
        <v>1.911589008363202</v>
      </c>
      <c r="Q583" s="11">
        <v>1600</v>
      </c>
      <c r="R583" s="85">
        <v>1.911589008363202</v>
      </c>
      <c r="S583" s="29" t="s">
        <v>2719</v>
      </c>
      <c r="T583" s="29" t="s">
        <v>2798</v>
      </c>
    </row>
    <row r="584">
      <c r="B584" s="29" t="s">
        <v>1219</v>
      </c>
      <c r="C584" s="29" t="s">
        <v>1247</v>
      </c>
      <c r="D584" s="8" t="s">
        <v>1269</v>
      </c>
      <c r="E584" s="10" t="s">
        <v>1892</v>
      </c>
      <c r="F584" s="10"/>
      <c r="G584" s="10">
        <v>2</v>
      </c>
      <c r="H584" s="10">
        <v>1</v>
      </c>
      <c r="I584" s="10"/>
      <c r="J584" s="10">
        <v>837</v>
      </c>
      <c r="K584" s="104">
        <v>45705</v>
      </c>
      <c r="L584" s="104">
        <v>45708</v>
      </c>
      <c r="M584" s="10" t="b">
        <v>0</v>
      </c>
      <c r="N584" s="10">
        <v>4</v>
      </c>
      <c r="O584" s="11">
        <v>1600</v>
      </c>
      <c r="P584" s="85">
        <v>1.911589008363202</v>
      </c>
      <c r="Q584" s="11">
        <v>1600</v>
      </c>
      <c r="R584" s="85">
        <v>1.911589008363202</v>
      </c>
      <c r="S584" s="29" t="s">
        <v>2719</v>
      </c>
      <c r="T584" s="29" t="s">
        <v>2798</v>
      </c>
    </row>
    <row r="585">
      <c r="B585" s="29" t="s">
        <v>1219</v>
      </c>
      <c r="C585" s="29" t="s">
        <v>1247</v>
      </c>
      <c r="D585" s="8" t="s">
        <v>1269</v>
      </c>
      <c r="E585" s="10" t="s">
        <v>1893</v>
      </c>
      <c r="F585" s="10"/>
      <c r="G585" s="10">
        <v>2</v>
      </c>
      <c r="H585" s="10">
        <v>1</v>
      </c>
      <c r="I585" s="10"/>
      <c r="J585" s="10">
        <v>837</v>
      </c>
      <c r="K585" s="104">
        <v>45705</v>
      </c>
      <c r="L585" s="104">
        <v>45708</v>
      </c>
      <c r="M585" s="10" t="b">
        <v>0</v>
      </c>
      <c r="N585" s="10">
        <v>4</v>
      </c>
      <c r="O585" s="11">
        <v>1600</v>
      </c>
      <c r="P585" s="85">
        <v>1.911589008363202</v>
      </c>
      <c r="Q585" s="11">
        <v>1600</v>
      </c>
      <c r="R585" s="85">
        <v>1.911589008363202</v>
      </c>
      <c r="S585" s="29" t="s">
        <v>2719</v>
      </c>
      <c r="T585" s="29" t="s">
        <v>2798</v>
      </c>
    </row>
    <row r="586">
      <c r="B586" s="29" t="s">
        <v>1219</v>
      </c>
      <c r="C586" s="29" t="s">
        <v>1247</v>
      </c>
      <c r="D586" s="8" t="s">
        <v>1269</v>
      </c>
      <c r="E586" s="10" t="s">
        <v>1894</v>
      </c>
      <c r="F586" s="10"/>
      <c r="G586" s="10">
        <v>2</v>
      </c>
      <c r="H586" s="10">
        <v>1</v>
      </c>
      <c r="I586" s="10"/>
      <c r="J586" s="10">
        <v>837</v>
      </c>
      <c r="K586" s="104">
        <v>45705</v>
      </c>
      <c r="L586" s="104">
        <v>45708</v>
      </c>
      <c r="M586" s="10" t="b">
        <v>0</v>
      </c>
      <c r="N586" s="10">
        <v>4</v>
      </c>
      <c r="O586" s="11">
        <v>1600</v>
      </c>
      <c r="P586" s="85">
        <v>1.911589008363202</v>
      </c>
      <c r="Q586" s="11">
        <v>1600</v>
      </c>
      <c r="R586" s="85">
        <v>1.911589008363202</v>
      </c>
      <c r="S586" s="29" t="s">
        <v>2719</v>
      </c>
      <c r="T586" s="29" t="s">
        <v>2798</v>
      </c>
    </row>
    <row r="587">
      <c r="B587" s="29" t="s">
        <v>1219</v>
      </c>
      <c r="C587" s="29" t="s">
        <v>1247</v>
      </c>
      <c r="D587" s="8" t="s">
        <v>1269</v>
      </c>
      <c r="E587" s="10" t="s">
        <v>1895</v>
      </c>
      <c r="F587" s="10"/>
      <c r="G587" s="10">
        <v>2</v>
      </c>
      <c r="H587" s="10">
        <v>1</v>
      </c>
      <c r="I587" s="10"/>
      <c r="J587" s="10">
        <v>837</v>
      </c>
      <c r="K587" s="104">
        <v>45705</v>
      </c>
      <c r="L587" s="104">
        <v>45708</v>
      </c>
      <c r="M587" s="10" t="b">
        <v>0</v>
      </c>
      <c r="N587" s="10">
        <v>4</v>
      </c>
      <c r="O587" s="11">
        <v>1600</v>
      </c>
      <c r="P587" s="85">
        <v>1.911589008363202</v>
      </c>
      <c r="Q587" s="11">
        <v>1600</v>
      </c>
      <c r="R587" s="85">
        <v>1.911589008363202</v>
      </c>
      <c r="S587" s="29" t="s">
        <v>2719</v>
      </c>
      <c r="T587" s="29" t="s">
        <v>2798</v>
      </c>
    </row>
    <row r="588">
      <c r="B588" s="29" t="s">
        <v>1219</v>
      </c>
      <c r="C588" s="29" t="s">
        <v>1247</v>
      </c>
      <c r="D588" s="8" t="s">
        <v>1269</v>
      </c>
      <c r="E588" s="10" t="s">
        <v>1896</v>
      </c>
      <c r="F588" s="10"/>
      <c r="G588" s="10">
        <v>2</v>
      </c>
      <c r="H588" s="10">
        <v>1</v>
      </c>
      <c r="I588" s="10"/>
      <c r="J588" s="10">
        <v>837</v>
      </c>
      <c r="K588" s="104">
        <v>45705</v>
      </c>
      <c r="L588" s="104">
        <v>45708</v>
      </c>
      <c r="M588" s="10" t="b">
        <v>0</v>
      </c>
      <c r="N588" s="10">
        <v>4</v>
      </c>
      <c r="O588" s="11">
        <v>1600</v>
      </c>
      <c r="P588" s="85">
        <v>1.911589008363202</v>
      </c>
      <c r="Q588" s="11">
        <v>1600</v>
      </c>
      <c r="R588" s="85">
        <v>1.911589008363202</v>
      </c>
      <c r="S588" s="29" t="s">
        <v>2719</v>
      </c>
      <c r="T588" s="29" t="s">
        <v>2798</v>
      </c>
    </row>
    <row r="589">
      <c r="B589" s="29" t="s">
        <v>1219</v>
      </c>
      <c r="C589" s="29" t="s">
        <v>1247</v>
      </c>
      <c r="D589" s="8" t="s">
        <v>1269</v>
      </c>
      <c r="E589" s="10" t="s">
        <v>1897</v>
      </c>
      <c r="F589" s="10"/>
      <c r="G589" s="10">
        <v>2</v>
      </c>
      <c r="H589" s="10">
        <v>1</v>
      </c>
      <c r="I589" s="10"/>
      <c r="J589" s="10">
        <v>837</v>
      </c>
      <c r="K589" s="104">
        <v>45705</v>
      </c>
      <c r="L589" s="104">
        <v>45708</v>
      </c>
      <c r="M589" s="10" t="b">
        <v>0</v>
      </c>
      <c r="N589" s="10">
        <v>4</v>
      </c>
      <c r="O589" s="11">
        <v>1600</v>
      </c>
      <c r="P589" s="85">
        <v>1.911589008363202</v>
      </c>
      <c r="Q589" s="11">
        <v>1600</v>
      </c>
      <c r="R589" s="85">
        <v>1.911589008363202</v>
      </c>
      <c r="S589" s="29" t="s">
        <v>2719</v>
      </c>
      <c r="T589" s="29" t="s">
        <v>2798</v>
      </c>
    </row>
    <row r="590">
      <c r="B590" s="29" t="s">
        <v>1219</v>
      </c>
      <c r="C590" s="29" t="s">
        <v>1247</v>
      </c>
      <c r="D590" s="8" t="s">
        <v>1269</v>
      </c>
      <c r="E590" s="10" t="s">
        <v>1898</v>
      </c>
      <c r="F590" s="10"/>
      <c r="G590" s="10">
        <v>2</v>
      </c>
      <c r="H590" s="10">
        <v>1</v>
      </c>
      <c r="I590" s="10"/>
      <c r="J590" s="10">
        <v>837</v>
      </c>
      <c r="K590" s="104">
        <v>45705</v>
      </c>
      <c r="L590" s="104">
        <v>45708</v>
      </c>
      <c r="M590" s="10" t="b">
        <v>0</v>
      </c>
      <c r="N590" s="10">
        <v>4</v>
      </c>
      <c r="O590" s="11">
        <v>1600</v>
      </c>
      <c r="P590" s="85">
        <v>1.911589008363202</v>
      </c>
      <c r="Q590" s="11">
        <v>1600</v>
      </c>
      <c r="R590" s="85">
        <v>1.911589008363202</v>
      </c>
      <c r="S590" s="29" t="s">
        <v>2719</v>
      </c>
      <c r="T590" s="29" t="s">
        <v>2798</v>
      </c>
    </row>
    <row r="591">
      <c r="B591" s="29" t="s">
        <v>1219</v>
      </c>
      <c r="C591" s="29" t="s">
        <v>1247</v>
      </c>
      <c r="D591" s="8" t="s">
        <v>1269</v>
      </c>
      <c r="E591" s="10" t="s">
        <v>1899</v>
      </c>
      <c r="F591" s="10"/>
      <c r="G591" s="10">
        <v>2</v>
      </c>
      <c r="H591" s="10">
        <v>1</v>
      </c>
      <c r="I591" s="10"/>
      <c r="J591" s="10">
        <v>837</v>
      </c>
      <c r="K591" s="104">
        <v>45705</v>
      </c>
      <c r="L591" s="104">
        <v>45708</v>
      </c>
      <c r="M591" s="10" t="b">
        <v>0</v>
      </c>
      <c r="N591" s="10">
        <v>4</v>
      </c>
      <c r="O591" s="11">
        <v>1600</v>
      </c>
      <c r="P591" s="85">
        <v>1.911589008363202</v>
      </c>
      <c r="Q591" s="11">
        <v>1600</v>
      </c>
      <c r="R591" s="85">
        <v>1.911589008363202</v>
      </c>
      <c r="S591" s="29" t="s">
        <v>2719</v>
      </c>
      <c r="T591" s="29" t="s">
        <v>2798</v>
      </c>
    </row>
    <row r="592">
      <c r="B592" s="29" t="s">
        <v>1219</v>
      </c>
      <c r="C592" s="29" t="s">
        <v>1247</v>
      </c>
      <c r="D592" s="8" t="s">
        <v>1269</v>
      </c>
      <c r="E592" s="10" t="s">
        <v>1900</v>
      </c>
      <c r="F592" s="10"/>
      <c r="G592" s="10">
        <v>2</v>
      </c>
      <c r="H592" s="10">
        <v>1</v>
      </c>
      <c r="I592" s="10"/>
      <c r="J592" s="10">
        <v>837</v>
      </c>
      <c r="K592" s="104">
        <v>45705</v>
      </c>
      <c r="L592" s="104">
        <v>45708</v>
      </c>
      <c r="M592" s="10" t="b">
        <v>0</v>
      </c>
      <c r="N592" s="10">
        <v>4</v>
      </c>
      <c r="O592" s="11">
        <v>1600</v>
      </c>
      <c r="P592" s="85">
        <v>1.911589008363202</v>
      </c>
      <c r="Q592" s="11">
        <v>1600</v>
      </c>
      <c r="R592" s="85">
        <v>1.911589008363202</v>
      </c>
      <c r="S592" s="29" t="s">
        <v>2719</v>
      </c>
      <c r="T592" s="29" t="s">
        <v>2798</v>
      </c>
    </row>
    <row r="593">
      <c r="B593" s="29" t="s">
        <v>1219</v>
      </c>
      <c r="C593" s="29" t="s">
        <v>1247</v>
      </c>
      <c r="D593" s="8" t="s">
        <v>1269</v>
      </c>
      <c r="E593" s="10" t="s">
        <v>1901</v>
      </c>
      <c r="F593" s="10"/>
      <c r="G593" s="10">
        <v>2</v>
      </c>
      <c r="H593" s="10">
        <v>1</v>
      </c>
      <c r="I593" s="10"/>
      <c r="J593" s="10">
        <v>837</v>
      </c>
      <c r="K593" s="104">
        <v>45705</v>
      </c>
      <c r="L593" s="104">
        <v>45708</v>
      </c>
      <c r="M593" s="10" t="b">
        <v>0</v>
      </c>
      <c r="N593" s="10">
        <v>4</v>
      </c>
      <c r="O593" s="11">
        <v>1600</v>
      </c>
      <c r="P593" s="85">
        <v>1.911589008363202</v>
      </c>
      <c r="Q593" s="11">
        <v>1600</v>
      </c>
      <c r="R593" s="85">
        <v>1.911589008363202</v>
      </c>
      <c r="S593" s="29" t="s">
        <v>2719</v>
      </c>
      <c r="T593" s="29" t="s">
        <v>2798</v>
      </c>
    </row>
    <row r="594">
      <c r="B594" s="29" t="s">
        <v>1219</v>
      </c>
      <c r="C594" s="29" t="s">
        <v>1247</v>
      </c>
      <c r="D594" s="8" t="s">
        <v>1269</v>
      </c>
      <c r="E594" s="10" t="s">
        <v>1902</v>
      </c>
      <c r="F594" s="10"/>
      <c r="G594" s="10">
        <v>2</v>
      </c>
      <c r="H594" s="10">
        <v>1</v>
      </c>
      <c r="I594" s="10"/>
      <c r="J594" s="10">
        <v>837</v>
      </c>
      <c r="K594" s="104">
        <v>45705</v>
      </c>
      <c r="L594" s="104">
        <v>45708</v>
      </c>
      <c r="M594" s="10" t="b">
        <v>0</v>
      </c>
      <c r="N594" s="10">
        <v>4</v>
      </c>
      <c r="O594" s="11">
        <v>1600</v>
      </c>
      <c r="P594" s="85">
        <v>1.911589008363202</v>
      </c>
      <c r="Q594" s="11">
        <v>1600</v>
      </c>
      <c r="R594" s="85">
        <v>1.911589008363202</v>
      </c>
      <c r="S594" s="29" t="s">
        <v>2719</v>
      </c>
      <c r="T594" s="29" t="s">
        <v>2798</v>
      </c>
    </row>
    <row r="595">
      <c r="B595" s="29" t="s">
        <v>1219</v>
      </c>
      <c r="C595" s="29" t="s">
        <v>1247</v>
      </c>
      <c r="D595" s="8" t="s">
        <v>1269</v>
      </c>
      <c r="E595" s="10" t="s">
        <v>1903</v>
      </c>
      <c r="F595" s="10"/>
      <c r="G595" s="10">
        <v>2</v>
      </c>
      <c r="H595" s="10">
        <v>1</v>
      </c>
      <c r="I595" s="10"/>
      <c r="J595" s="10">
        <v>837</v>
      </c>
      <c r="K595" s="104">
        <v>45707</v>
      </c>
      <c r="L595" s="104">
        <v>45710</v>
      </c>
      <c r="M595" s="10" t="b">
        <v>0</v>
      </c>
      <c r="N595" s="10">
        <v>4</v>
      </c>
      <c r="O595" s="11">
        <v>1600</v>
      </c>
      <c r="P595" s="85">
        <v>1.911589008363202</v>
      </c>
      <c r="Q595" s="11">
        <v>1600</v>
      </c>
      <c r="R595" s="85">
        <v>1.911589008363202</v>
      </c>
      <c r="S595" s="29" t="s">
        <v>2719</v>
      </c>
      <c r="T595" s="29" t="s">
        <v>2798</v>
      </c>
    </row>
    <row r="596">
      <c r="B596" s="29" t="s">
        <v>1219</v>
      </c>
      <c r="C596" s="29" t="s">
        <v>1247</v>
      </c>
      <c r="D596" s="8" t="s">
        <v>1269</v>
      </c>
      <c r="E596" s="10" t="s">
        <v>1904</v>
      </c>
      <c r="F596" s="10"/>
      <c r="G596" s="10">
        <v>2</v>
      </c>
      <c r="H596" s="10">
        <v>1</v>
      </c>
      <c r="I596" s="10"/>
      <c r="J596" s="10">
        <v>837</v>
      </c>
      <c r="K596" s="104">
        <v>45716</v>
      </c>
      <c r="L596" s="104"/>
      <c r="M596" s="10" t="b">
        <v>1</v>
      </c>
      <c r="N596" s="10"/>
      <c r="O596" s="11">
        <v>1600</v>
      </c>
      <c r="P596" s="85">
        <v>1.911589008363202</v>
      </c>
      <c r="Q596" s="11">
        <v>1600</v>
      </c>
      <c r="R596" s="85">
        <v>1.911589008363202</v>
      </c>
      <c r="S596" s="29" t="s">
        <v>2719</v>
      </c>
      <c r="T596" s="29" t="s">
        <v>2798</v>
      </c>
    </row>
    <row r="597">
      <c r="B597" s="29" t="s">
        <v>1219</v>
      </c>
      <c r="C597" s="29" t="s">
        <v>1247</v>
      </c>
      <c r="D597" s="8" t="s">
        <v>1269</v>
      </c>
      <c r="E597" s="10" t="s">
        <v>1905</v>
      </c>
      <c r="F597" s="10">
        <v>2</v>
      </c>
      <c r="G597" s="10">
        <v>2</v>
      </c>
      <c r="H597" s="10">
        <v>1</v>
      </c>
      <c r="I597" s="10"/>
      <c r="J597" s="10">
        <v>837</v>
      </c>
      <c r="K597" s="104">
        <v>45714</v>
      </c>
      <c r="L597" s="104"/>
      <c r="M597" s="10" t="b">
        <v>1</v>
      </c>
      <c r="N597" s="10"/>
      <c r="O597" s="11">
        <v>1600</v>
      </c>
      <c r="P597" s="85">
        <v>1.911589008363202</v>
      </c>
      <c r="Q597" s="11">
        <v>1600</v>
      </c>
      <c r="R597" s="85">
        <v>1.911589008363202</v>
      </c>
      <c r="S597" s="29" t="s">
        <v>2719</v>
      </c>
      <c r="T597" s="29" t="s">
        <v>2798</v>
      </c>
    </row>
    <row r="598">
      <c r="B598" s="29" t="s">
        <v>1219</v>
      </c>
      <c r="C598" s="29" t="s">
        <v>1247</v>
      </c>
      <c r="D598" s="8" t="s">
        <v>1269</v>
      </c>
      <c r="E598" s="10" t="s">
        <v>1906</v>
      </c>
      <c r="F598" s="10"/>
      <c r="G598" s="10">
        <v>2</v>
      </c>
      <c r="H598" s="10">
        <v>1</v>
      </c>
      <c r="I598" s="10"/>
      <c r="J598" s="10">
        <v>837</v>
      </c>
      <c r="K598" s="104">
        <v>45716</v>
      </c>
      <c r="L598" s="104"/>
      <c r="M598" s="10" t="b">
        <v>1</v>
      </c>
      <c r="N598" s="10"/>
      <c r="O598" s="11">
        <v>1600</v>
      </c>
      <c r="P598" s="85">
        <v>1.911589008363202</v>
      </c>
      <c r="Q598" s="11">
        <v>1600</v>
      </c>
      <c r="R598" s="85">
        <v>1.911589008363202</v>
      </c>
      <c r="S598" s="29" t="s">
        <v>2719</v>
      </c>
      <c r="T598" s="29" t="s">
        <v>2798</v>
      </c>
    </row>
    <row r="599">
      <c r="B599" s="29" t="s">
        <v>1219</v>
      </c>
      <c r="C599" s="29" t="s">
        <v>1247</v>
      </c>
      <c r="D599" s="8" t="s">
        <v>1269</v>
      </c>
      <c r="E599" s="10" t="s">
        <v>1907</v>
      </c>
      <c r="F599" s="10">
        <v>2</v>
      </c>
      <c r="G599" s="10">
        <v>2</v>
      </c>
      <c r="H599" s="10">
        <v>1</v>
      </c>
      <c r="I599" s="10"/>
      <c r="J599" s="10">
        <v>837</v>
      </c>
      <c r="K599" s="104">
        <v>45716</v>
      </c>
      <c r="L599" s="104"/>
      <c r="M599" s="10" t="b">
        <v>1</v>
      </c>
      <c r="N599" s="10"/>
      <c r="O599" s="11">
        <v>1600</v>
      </c>
      <c r="P599" s="85">
        <v>1.911589008363202</v>
      </c>
      <c r="Q599" s="11">
        <v>1600</v>
      </c>
      <c r="R599" s="85">
        <v>1.911589008363202</v>
      </c>
      <c r="S599" s="29" t="s">
        <v>2719</v>
      </c>
      <c r="T599" s="29" t="s">
        <v>2798</v>
      </c>
    </row>
    <row r="600">
      <c r="B600" s="29" t="s">
        <v>1219</v>
      </c>
      <c r="C600" s="29" t="s">
        <v>1247</v>
      </c>
      <c r="D600" s="8" t="s">
        <v>1269</v>
      </c>
      <c r="E600" s="10" t="s">
        <v>1908</v>
      </c>
      <c r="F600" s="10"/>
      <c r="G600" s="10">
        <v>2</v>
      </c>
      <c r="H600" s="10">
        <v>1</v>
      </c>
      <c r="I600" s="10"/>
      <c r="J600" s="10">
        <v>837</v>
      </c>
      <c r="K600" s="104">
        <v>45707</v>
      </c>
      <c r="L600" s="104"/>
      <c r="M600" s="10" t="b">
        <v>1</v>
      </c>
      <c r="N600" s="10"/>
      <c r="O600" s="11">
        <v>1600</v>
      </c>
      <c r="P600" s="85">
        <v>1.911589008363202</v>
      </c>
      <c r="Q600" s="11">
        <v>1600</v>
      </c>
      <c r="R600" s="85">
        <v>1.911589008363202</v>
      </c>
      <c r="S600" s="29" t="s">
        <v>2719</v>
      </c>
      <c r="T600" s="29" t="s">
        <v>2798</v>
      </c>
    </row>
    <row r="601">
      <c r="B601" s="29" t="s">
        <v>1219</v>
      </c>
      <c r="C601" s="29" t="s">
        <v>1247</v>
      </c>
      <c r="D601" s="8" t="s">
        <v>1269</v>
      </c>
      <c r="E601" s="10" t="s">
        <v>1909</v>
      </c>
      <c r="F601" s="10">
        <v>2</v>
      </c>
      <c r="G601" s="10">
        <v>2</v>
      </c>
      <c r="H601" s="10">
        <v>1</v>
      </c>
      <c r="I601" s="10"/>
      <c r="J601" s="10">
        <v>837</v>
      </c>
      <c r="K601" s="104">
        <v>45740</v>
      </c>
      <c r="L601" s="104"/>
      <c r="M601" s="10" t="b">
        <v>1</v>
      </c>
      <c r="N601" s="10"/>
      <c r="O601" s="11">
        <v>1600</v>
      </c>
      <c r="P601" s="85">
        <v>1.911589008363202</v>
      </c>
      <c r="Q601" s="11">
        <v>1600</v>
      </c>
      <c r="R601" s="85">
        <v>1.911589008363202</v>
      </c>
      <c r="S601" s="29" t="s">
        <v>2719</v>
      </c>
      <c r="T601" s="29" t="s">
        <v>2798</v>
      </c>
    </row>
    <row r="602">
      <c r="B602" s="29" t="s">
        <v>1219</v>
      </c>
      <c r="C602" s="29" t="s">
        <v>1247</v>
      </c>
      <c r="D602" s="8" t="s">
        <v>1269</v>
      </c>
      <c r="E602" s="10" t="s">
        <v>1910</v>
      </c>
      <c r="F602" s="10"/>
      <c r="G602" s="10">
        <v>2</v>
      </c>
      <c r="H602" s="10">
        <v>1</v>
      </c>
      <c r="I602" s="10"/>
      <c r="J602" s="10">
        <v>837</v>
      </c>
      <c r="K602" s="104">
        <v>45716</v>
      </c>
      <c r="L602" s="104"/>
      <c r="M602" s="10" t="b">
        <v>1</v>
      </c>
      <c r="N602" s="10"/>
      <c r="O602" s="11">
        <v>1600</v>
      </c>
      <c r="P602" s="85">
        <v>1.911589008363202</v>
      </c>
      <c r="Q602" s="11">
        <v>1600</v>
      </c>
      <c r="R602" s="85">
        <v>1.911589008363202</v>
      </c>
      <c r="S602" s="29" t="s">
        <v>2719</v>
      </c>
      <c r="T602" s="29" t="s">
        <v>2798</v>
      </c>
    </row>
    <row r="603">
      <c r="B603" s="29" t="s">
        <v>1219</v>
      </c>
      <c r="C603" s="29" t="s">
        <v>1247</v>
      </c>
      <c r="D603" s="8" t="s">
        <v>1269</v>
      </c>
      <c r="E603" s="10" t="s">
        <v>1911</v>
      </c>
      <c r="F603" s="10"/>
      <c r="G603" s="10">
        <v>2</v>
      </c>
      <c r="H603" s="10">
        <v>1</v>
      </c>
      <c r="I603" s="10"/>
      <c r="J603" s="10">
        <v>837</v>
      </c>
      <c r="K603" s="104">
        <v>45707</v>
      </c>
      <c r="L603" s="104"/>
      <c r="M603" s="10" t="b">
        <v>1</v>
      </c>
      <c r="N603" s="10"/>
      <c r="O603" s="11">
        <v>1600</v>
      </c>
      <c r="P603" s="85">
        <v>1.911589008363202</v>
      </c>
      <c r="Q603" s="11">
        <v>1600</v>
      </c>
      <c r="R603" s="85">
        <v>1.911589008363202</v>
      </c>
      <c r="S603" s="29" t="s">
        <v>2719</v>
      </c>
      <c r="T603" s="29" t="s">
        <v>2798</v>
      </c>
    </row>
    <row r="604">
      <c r="B604" s="29" t="s">
        <v>1219</v>
      </c>
      <c r="C604" s="29" t="s">
        <v>1247</v>
      </c>
      <c r="D604" s="8" t="s">
        <v>1269</v>
      </c>
      <c r="E604" s="10" t="s">
        <v>1912</v>
      </c>
      <c r="F604" s="10"/>
      <c r="G604" s="10">
        <v>2</v>
      </c>
      <c r="H604" s="10">
        <v>1</v>
      </c>
      <c r="I604" s="10"/>
      <c r="J604" s="10">
        <v>837</v>
      </c>
      <c r="K604" s="104">
        <v>45714</v>
      </c>
      <c r="L604" s="104"/>
      <c r="M604" s="10" t="b">
        <v>1</v>
      </c>
      <c r="N604" s="10"/>
      <c r="O604" s="11">
        <v>1600</v>
      </c>
      <c r="P604" s="85">
        <v>1.911589008363202</v>
      </c>
      <c r="Q604" s="11">
        <v>1600</v>
      </c>
      <c r="R604" s="85">
        <v>1.911589008363202</v>
      </c>
      <c r="S604" s="29" t="s">
        <v>2719</v>
      </c>
      <c r="T604" s="29" t="s">
        <v>2798</v>
      </c>
    </row>
    <row r="605">
      <c r="B605" s="29" t="s">
        <v>1219</v>
      </c>
      <c r="C605" s="29" t="s">
        <v>1247</v>
      </c>
      <c r="D605" s="8" t="s">
        <v>1269</v>
      </c>
      <c r="E605" s="10" t="s">
        <v>1913</v>
      </c>
      <c r="F605" s="10"/>
      <c r="G605" s="10">
        <v>2</v>
      </c>
      <c r="H605" s="10">
        <v>1</v>
      </c>
      <c r="I605" s="10"/>
      <c r="J605" s="10">
        <v>837</v>
      </c>
      <c r="K605" s="104">
        <v>45716</v>
      </c>
      <c r="L605" s="104"/>
      <c r="M605" s="10" t="b">
        <v>1</v>
      </c>
      <c r="N605" s="10"/>
      <c r="O605" s="11">
        <v>1600</v>
      </c>
      <c r="P605" s="85">
        <v>1.911589008363202</v>
      </c>
      <c r="Q605" s="11">
        <v>1600</v>
      </c>
      <c r="R605" s="85">
        <v>1.911589008363202</v>
      </c>
      <c r="S605" s="29" t="s">
        <v>2719</v>
      </c>
      <c r="T605" s="29" t="s">
        <v>2798</v>
      </c>
    </row>
    <row r="606">
      <c r="B606" s="29" t="s">
        <v>1219</v>
      </c>
      <c r="C606" s="29" t="s">
        <v>1247</v>
      </c>
      <c r="D606" s="8" t="s">
        <v>1269</v>
      </c>
      <c r="E606" s="10" t="s">
        <v>1914</v>
      </c>
      <c r="F606" s="10"/>
      <c r="G606" s="10">
        <v>2</v>
      </c>
      <c r="H606" s="10">
        <v>1</v>
      </c>
      <c r="I606" s="10"/>
      <c r="J606" s="10">
        <v>837</v>
      </c>
      <c r="K606" s="104">
        <v>45720</v>
      </c>
      <c r="L606" s="104"/>
      <c r="M606" s="10" t="b">
        <v>1</v>
      </c>
      <c r="N606" s="10"/>
      <c r="O606" s="11">
        <v>1600</v>
      </c>
      <c r="P606" s="85">
        <v>1.911589008363202</v>
      </c>
      <c r="Q606" s="11">
        <v>1600</v>
      </c>
      <c r="R606" s="85">
        <v>1.911589008363202</v>
      </c>
      <c r="S606" s="29" t="s">
        <v>2719</v>
      </c>
      <c r="T606" s="29" t="s">
        <v>2798</v>
      </c>
    </row>
    <row r="607">
      <c r="B607" s="29" t="s">
        <v>1219</v>
      </c>
      <c r="C607" s="29" t="s">
        <v>1247</v>
      </c>
      <c r="D607" s="8" t="s">
        <v>1269</v>
      </c>
      <c r="E607" s="10" t="s">
        <v>1915</v>
      </c>
      <c r="F607" s="10"/>
      <c r="G607" s="10">
        <v>2</v>
      </c>
      <c r="H607" s="10">
        <v>1</v>
      </c>
      <c r="I607" s="10"/>
      <c r="J607" s="10">
        <v>837</v>
      </c>
      <c r="K607" s="104">
        <v>45716</v>
      </c>
      <c r="L607" s="104"/>
      <c r="M607" s="10" t="b">
        <v>1</v>
      </c>
      <c r="N607" s="10"/>
      <c r="O607" s="11">
        <v>1600</v>
      </c>
      <c r="P607" s="85">
        <v>1.911589008363202</v>
      </c>
      <c r="Q607" s="11">
        <v>1600</v>
      </c>
      <c r="R607" s="85">
        <v>1.911589008363202</v>
      </c>
      <c r="S607" s="29" t="s">
        <v>2719</v>
      </c>
      <c r="T607" s="29" t="s">
        <v>2798</v>
      </c>
    </row>
    <row r="608">
      <c r="B608" s="29" t="s">
        <v>1219</v>
      </c>
      <c r="C608" s="29" t="s">
        <v>1247</v>
      </c>
      <c r="D608" s="8" t="s">
        <v>1269</v>
      </c>
      <c r="E608" s="10" t="s">
        <v>1916</v>
      </c>
      <c r="F608" s="10">
        <v>2</v>
      </c>
      <c r="G608" s="10">
        <v>2</v>
      </c>
      <c r="H608" s="10">
        <v>1</v>
      </c>
      <c r="I608" s="10"/>
      <c r="J608" s="10">
        <v>837</v>
      </c>
      <c r="K608" s="104">
        <v>45707</v>
      </c>
      <c r="L608" s="104"/>
      <c r="M608" s="10" t="b">
        <v>1</v>
      </c>
      <c r="N608" s="10"/>
      <c r="O608" s="11">
        <v>1600</v>
      </c>
      <c r="P608" s="85">
        <v>1.911589008363202</v>
      </c>
      <c r="Q608" s="11">
        <v>1600</v>
      </c>
      <c r="R608" s="85">
        <v>1.911589008363202</v>
      </c>
      <c r="S608" s="29" t="s">
        <v>2719</v>
      </c>
      <c r="T608" s="29" t="s">
        <v>2798</v>
      </c>
    </row>
    <row r="609">
      <c r="B609" s="29" t="s">
        <v>1219</v>
      </c>
      <c r="C609" s="29" t="s">
        <v>1247</v>
      </c>
      <c r="D609" s="8" t="s">
        <v>1269</v>
      </c>
      <c r="E609" s="10" t="s">
        <v>1917</v>
      </c>
      <c r="F609" s="10"/>
      <c r="G609" s="10">
        <v>2</v>
      </c>
      <c r="H609" s="10">
        <v>1</v>
      </c>
      <c r="I609" s="10"/>
      <c r="J609" s="10">
        <v>837</v>
      </c>
      <c r="K609" s="104">
        <v>45716</v>
      </c>
      <c r="L609" s="104">
        <v>45784</v>
      </c>
      <c r="M609" s="10" t="b">
        <v>0</v>
      </c>
      <c r="N609" s="10">
        <v>69</v>
      </c>
      <c r="O609" s="11">
        <v>1600</v>
      </c>
      <c r="P609" s="85">
        <v>1.911589008363202</v>
      </c>
      <c r="Q609" s="11">
        <v>1600</v>
      </c>
      <c r="R609" s="85">
        <v>1.911589008363202</v>
      </c>
      <c r="S609" s="29" t="s">
        <v>2719</v>
      </c>
      <c r="T609" s="29" t="s">
        <v>2798</v>
      </c>
    </row>
    <row r="610">
      <c r="B610" s="29" t="s">
        <v>1219</v>
      </c>
      <c r="C610" s="29" t="s">
        <v>1247</v>
      </c>
      <c r="D610" s="8" t="s">
        <v>1269</v>
      </c>
      <c r="E610" s="10" t="s">
        <v>1918</v>
      </c>
      <c r="F610" s="10"/>
      <c r="G610" s="10">
        <v>2</v>
      </c>
      <c r="H610" s="10">
        <v>1</v>
      </c>
      <c r="I610" s="10"/>
      <c r="J610" s="10">
        <v>837</v>
      </c>
      <c r="K610" s="104">
        <v>45716</v>
      </c>
      <c r="L610" s="104">
        <v>45782</v>
      </c>
      <c r="M610" s="10" t="b">
        <v>0</v>
      </c>
      <c r="N610" s="10">
        <v>67</v>
      </c>
      <c r="O610" s="11">
        <v>1600</v>
      </c>
      <c r="P610" s="85">
        <v>1.911589008363202</v>
      </c>
      <c r="Q610" s="11">
        <v>1600</v>
      </c>
      <c r="R610" s="85">
        <v>1.911589008363202</v>
      </c>
      <c r="S610" s="29" t="s">
        <v>2719</v>
      </c>
      <c r="T610" s="29" t="s">
        <v>2798</v>
      </c>
    </row>
    <row r="611">
      <c r="B611" s="29" t="s">
        <v>1219</v>
      </c>
      <c r="C611" s="29" t="s">
        <v>1247</v>
      </c>
      <c r="D611" s="8" t="s">
        <v>1269</v>
      </c>
      <c r="E611" s="10" t="s">
        <v>1919</v>
      </c>
      <c r="F611" s="10"/>
      <c r="G611" s="10">
        <v>2</v>
      </c>
      <c r="H611" s="10">
        <v>1</v>
      </c>
      <c r="I611" s="10"/>
      <c r="J611" s="10">
        <v>837</v>
      </c>
      <c r="K611" s="104">
        <v>45705</v>
      </c>
      <c r="L611" s="104">
        <v>45780</v>
      </c>
      <c r="M611" s="10" t="b">
        <v>0</v>
      </c>
      <c r="N611" s="10">
        <v>76</v>
      </c>
      <c r="O611" s="11">
        <v>1600</v>
      </c>
      <c r="P611" s="85">
        <v>1.911589008363202</v>
      </c>
      <c r="Q611" s="11">
        <v>1600</v>
      </c>
      <c r="R611" s="85">
        <v>1.911589008363202</v>
      </c>
      <c r="S611" s="29" t="s">
        <v>2719</v>
      </c>
      <c r="T611" s="29" t="s">
        <v>2798</v>
      </c>
    </row>
    <row r="612">
      <c r="B612" s="29" t="s">
        <v>1219</v>
      </c>
      <c r="C612" s="29" t="s">
        <v>1247</v>
      </c>
      <c r="D612" s="8" t="s">
        <v>1269</v>
      </c>
      <c r="E612" s="10" t="s">
        <v>1920</v>
      </c>
      <c r="F612" s="10"/>
      <c r="G612" s="10">
        <v>2</v>
      </c>
      <c r="H612" s="10">
        <v>1</v>
      </c>
      <c r="I612" s="10"/>
      <c r="J612" s="10">
        <v>837</v>
      </c>
      <c r="K612" s="104">
        <v>45707</v>
      </c>
      <c r="L612" s="104">
        <v>45778</v>
      </c>
      <c r="M612" s="10" t="b">
        <v>0</v>
      </c>
      <c r="N612" s="10">
        <v>72</v>
      </c>
      <c r="O612" s="11">
        <v>1600</v>
      </c>
      <c r="P612" s="85">
        <v>1.911589008363202</v>
      </c>
      <c r="Q612" s="11">
        <v>1600</v>
      </c>
      <c r="R612" s="85">
        <v>1.911589008363202</v>
      </c>
      <c r="S612" s="29" t="s">
        <v>2719</v>
      </c>
      <c r="T612" s="29" t="s">
        <v>2798</v>
      </c>
    </row>
    <row r="613">
      <c r="B613" s="29" t="s">
        <v>1219</v>
      </c>
      <c r="C613" s="29" t="s">
        <v>1247</v>
      </c>
      <c r="D613" s="8" t="s">
        <v>1269</v>
      </c>
      <c r="E613" s="10" t="s">
        <v>1921</v>
      </c>
      <c r="F613" s="10"/>
      <c r="G613" s="10">
        <v>2</v>
      </c>
      <c r="H613" s="10">
        <v>1</v>
      </c>
      <c r="I613" s="10"/>
      <c r="J613" s="10">
        <v>837</v>
      </c>
      <c r="K613" s="104">
        <v>45716</v>
      </c>
      <c r="L613" s="104">
        <v>45778</v>
      </c>
      <c r="M613" s="10" t="b">
        <v>0</v>
      </c>
      <c r="N613" s="10">
        <v>63</v>
      </c>
      <c r="O613" s="11">
        <v>1600</v>
      </c>
      <c r="P613" s="85">
        <v>1.911589008363202</v>
      </c>
      <c r="Q613" s="11">
        <v>1600</v>
      </c>
      <c r="R613" s="85">
        <v>1.911589008363202</v>
      </c>
      <c r="S613" s="29" t="s">
        <v>2719</v>
      </c>
      <c r="T613" s="29" t="s">
        <v>2798</v>
      </c>
    </row>
    <row r="614">
      <c r="B614" s="29" t="s">
        <v>1219</v>
      </c>
      <c r="C614" s="29" t="s">
        <v>1247</v>
      </c>
      <c r="D614" s="8" t="s">
        <v>1269</v>
      </c>
      <c r="E614" s="10" t="s">
        <v>1922</v>
      </c>
      <c r="F614" s="10"/>
      <c r="G614" s="10">
        <v>2</v>
      </c>
      <c r="H614" s="10">
        <v>1</v>
      </c>
      <c r="I614" s="10"/>
      <c r="J614" s="10">
        <v>837</v>
      </c>
      <c r="K614" s="104">
        <v>45707</v>
      </c>
      <c r="L614" s="104">
        <v>45776</v>
      </c>
      <c r="M614" s="10" t="b">
        <v>0</v>
      </c>
      <c r="N614" s="10">
        <v>70</v>
      </c>
      <c r="O614" s="11">
        <v>1600</v>
      </c>
      <c r="P614" s="85">
        <v>1.911589008363202</v>
      </c>
      <c r="Q614" s="11">
        <v>1600</v>
      </c>
      <c r="R614" s="85">
        <v>1.911589008363202</v>
      </c>
      <c r="S614" s="29" t="s">
        <v>2719</v>
      </c>
      <c r="T614" s="29" t="s">
        <v>2798</v>
      </c>
    </row>
    <row r="615">
      <c r="B615" s="29" t="s">
        <v>1219</v>
      </c>
      <c r="C615" s="29" t="s">
        <v>1247</v>
      </c>
      <c r="D615" s="8" t="s">
        <v>1269</v>
      </c>
      <c r="E615" s="10" t="s">
        <v>1923</v>
      </c>
      <c r="F615" s="10"/>
      <c r="G615" s="10">
        <v>2</v>
      </c>
      <c r="H615" s="10">
        <v>1</v>
      </c>
      <c r="I615" s="10"/>
      <c r="J615" s="10">
        <v>837</v>
      </c>
      <c r="K615" s="104">
        <v>45714</v>
      </c>
      <c r="L615" s="104">
        <v>45773</v>
      </c>
      <c r="M615" s="10" t="b">
        <v>0</v>
      </c>
      <c r="N615" s="10">
        <v>60</v>
      </c>
      <c r="O615" s="11">
        <v>1600</v>
      </c>
      <c r="P615" s="85">
        <v>1.911589008363202</v>
      </c>
      <c r="Q615" s="11">
        <v>1600</v>
      </c>
      <c r="R615" s="85">
        <v>1.911589008363202</v>
      </c>
      <c r="S615" s="29" t="s">
        <v>2719</v>
      </c>
      <c r="T615" s="29" t="s">
        <v>2798</v>
      </c>
    </row>
    <row r="616">
      <c r="B616" s="29" t="s">
        <v>1219</v>
      </c>
      <c r="C616" s="29" t="s">
        <v>1247</v>
      </c>
      <c r="D616" s="8" t="s">
        <v>1269</v>
      </c>
      <c r="E616" s="10" t="s">
        <v>1924</v>
      </c>
      <c r="F616" s="10"/>
      <c r="G616" s="10">
        <v>2</v>
      </c>
      <c r="H616" s="10">
        <v>1</v>
      </c>
      <c r="I616" s="10"/>
      <c r="J616" s="10">
        <v>837</v>
      </c>
      <c r="K616" s="104">
        <v>45772</v>
      </c>
      <c r="L616" s="104">
        <v>45773</v>
      </c>
      <c r="M616" s="10" t="b">
        <v>0</v>
      </c>
      <c r="N616" s="10">
        <v>2</v>
      </c>
      <c r="O616" s="11">
        <v>1600</v>
      </c>
      <c r="P616" s="85">
        <v>1.911589008363202</v>
      </c>
      <c r="Q616" s="11">
        <v>1600</v>
      </c>
      <c r="R616" s="85">
        <v>1.911589008363202</v>
      </c>
      <c r="S616" s="29" t="s">
        <v>2719</v>
      </c>
      <c r="T616" s="29" t="s">
        <v>2798</v>
      </c>
    </row>
    <row r="617">
      <c r="B617" s="29" t="s">
        <v>1219</v>
      </c>
      <c r="C617" s="29" t="s">
        <v>1247</v>
      </c>
      <c r="D617" s="8" t="s">
        <v>1269</v>
      </c>
      <c r="E617" s="10" t="s">
        <v>1925</v>
      </c>
      <c r="F617" s="10"/>
      <c r="G617" s="10">
        <v>2</v>
      </c>
      <c r="H617" s="10">
        <v>1</v>
      </c>
      <c r="I617" s="10"/>
      <c r="J617" s="10">
        <v>837</v>
      </c>
      <c r="K617" s="104">
        <v>45714</v>
      </c>
      <c r="L617" s="104">
        <v>45773</v>
      </c>
      <c r="M617" s="10" t="b">
        <v>0</v>
      </c>
      <c r="N617" s="10">
        <v>60</v>
      </c>
      <c r="O617" s="11">
        <v>1600</v>
      </c>
      <c r="P617" s="85">
        <v>1.911589008363202</v>
      </c>
      <c r="Q617" s="11">
        <v>1600</v>
      </c>
      <c r="R617" s="85">
        <v>1.911589008363202</v>
      </c>
      <c r="S617" s="29" t="s">
        <v>2719</v>
      </c>
      <c r="T617" s="29" t="s">
        <v>2798</v>
      </c>
    </row>
    <row r="618">
      <c r="B618" s="29" t="s">
        <v>1219</v>
      </c>
      <c r="C618" s="29" t="s">
        <v>1247</v>
      </c>
      <c r="D618" s="8" t="s">
        <v>1269</v>
      </c>
      <c r="E618" s="10" t="s">
        <v>1926</v>
      </c>
      <c r="F618" s="10">
        <v>2</v>
      </c>
      <c r="G618" s="10">
        <v>2</v>
      </c>
      <c r="H618" s="10">
        <v>1</v>
      </c>
      <c r="I618" s="10"/>
      <c r="J618" s="10">
        <v>837</v>
      </c>
      <c r="K618" s="104">
        <v>45756</v>
      </c>
      <c r="L618" s="104">
        <v>45770</v>
      </c>
      <c r="M618" s="10" t="b">
        <v>0</v>
      </c>
      <c r="N618" s="10">
        <v>15</v>
      </c>
      <c r="O618" s="11">
        <v>1600</v>
      </c>
      <c r="P618" s="85">
        <v>1.911589008363202</v>
      </c>
      <c r="Q618" s="11">
        <v>1600</v>
      </c>
      <c r="R618" s="85">
        <v>1.911589008363202</v>
      </c>
      <c r="S618" s="29" t="s">
        <v>2719</v>
      </c>
      <c r="T618" s="29" t="s">
        <v>2798</v>
      </c>
    </row>
    <row r="619">
      <c r="B619" s="29" t="s">
        <v>1219</v>
      </c>
      <c r="C619" s="29" t="s">
        <v>1247</v>
      </c>
      <c r="D619" s="8" t="s">
        <v>1269</v>
      </c>
      <c r="E619" s="10" t="s">
        <v>1927</v>
      </c>
      <c r="F619" s="10">
        <v>2</v>
      </c>
      <c r="G619" s="10">
        <v>2</v>
      </c>
      <c r="H619" s="10">
        <v>1</v>
      </c>
      <c r="I619" s="10"/>
      <c r="J619" s="10">
        <v>837</v>
      </c>
      <c r="K619" s="104">
        <v>45765</v>
      </c>
      <c r="L619" s="104">
        <v>45770</v>
      </c>
      <c r="M619" s="10" t="b">
        <v>0</v>
      </c>
      <c r="N619" s="10">
        <v>6</v>
      </c>
      <c r="O619" s="11">
        <v>1600</v>
      </c>
      <c r="P619" s="85">
        <v>1.911589008363202</v>
      </c>
      <c r="Q619" s="11">
        <v>1600</v>
      </c>
      <c r="R619" s="85">
        <v>1.911589008363202</v>
      </c>
      <c r="S619" s="29" t="s">
        <v>2719</v>
      </c>
      <c r="T619" s="29" t="s">
        <v>2798</v>
      </c>
    </row>
    <row r="620">
      <c r="B620" s="29" t="s">
        <v>1219</v>
      </c>
      <c r="C620" s="29" t="s">
        <v>1247</v>
      </c>
      <c r="D620" s="8" t="s">
        <v>1269</v>
      </c>
      <c r="E620" s="10" t="s">
        <v>1928</v>
      </c>
      <c r="F620" s="10">
        <v>2</v>
      </c>
      <c r="G620" s="10">
        <v>2</v>
      </c>
      <c r="H620" s="10">
        <v>1</v>
      </c>
      <c r="I620" s="10"/>
      <c r="J620" s="10">
        <v>837</v>
      </c>
      <c r="K620" s="104">
        <v>45714</v>
      </c>
      <c r="L620" s="104">
        <v>45768</v>
      </c>
      <c r="M620" s="10" t="b">
        <v>0</v>
      </c>
      <c r="N620" s="10">
        <v>55</v>
      </c>
      <c r="O620" s="11">
        <v>1600</v>
      </c>
      <c r="P620" s="85">
        <v>1.911589008363202</v>
      </c>
      <c r="Q620" s="11">
        <v>1600</v>
      </c>
      <c r="R620" s="85">
        <v>1.911589008363202</v>
      </c>
      <c r="S620" s="29" t="s">
        <v>2719</v>
      </c>
      <c r="T620" s="29" t="s">
        <v>2798</v>
      </c>
    </row>
    <row r="621">
      <c r="B621" s="29" t="s">
        <v>1219</v>
      </c>
      <c r="C621" s="29" t="s">
        <v>1247</v>
      </c>
      <c r="D621" s="8" t="s">
        <v>1269</v>
      </c>
      <c r="E621" s="10" t="s">
        <v>1929</v>
      </c>
      <c r="F621" s="10">
        <v>2</v>
      </c>
      <c r="G621" s="10">
        <v>2</v>
      </c>
      <c r="H621" s="10">
        <v>1</v>
      </c>
      <c r="I621" s="10"/>
      <c r="J621" s="10">
        <v>837</v>
      </c>
      <c r="K621" s="104">
        <v>45714</v>
      </c>
      <c r="L621" s="104">
        <v>45762</v>
      </c>
      <c r="M621" s="10" t="b">
        <v>0</v>
      </c>
      <c r="N621" s="10">
        <v>49</v>
      </c>
      <c r="O621" s="11">
        <v>1600</v>
      </c>
      <c r="P621" s="85">
        <v>1.911589008363202</v>
      </c>
      <c r="Q621" s="11">
        <v>1600</v>
      </c>
      <c r="R621" s="85">
        <v>1.911589008363202</v>
      </c>
      <c r="S621" s="29" t="s">
        <v>2719</v>
      </c>
      <c r="T621" s="29" t="s">
        <v>2798</v>
      </c>
    </row>
    <row r="622">
      <c r="B622" s="29" t="s">
        <v>1219</v>
      </c>
      <c r="C622" s="29" t="s">
        <v>1247</v>
      </c>
      <c r="D622" s="8" t="s">
        <v>1269</v>
      </c>
      <c r="E622" s="10" t="s">
        <v>1930</v>
      </c>
      <c r="F622" s="10"/>
      <c r="G622" s="10">
        <v>2</v>
      </c>
      <c r="H622" s="10">
        <v>1</v>
      </c>
      <c r="I622" s="10"/>
      <c r="J622" s="10">
        <v>837</v>
      </c>
      <c r="K622" s="104">
        <v>45714</v>
      </c>
      <c r="L622" s="104">
        <v>45759</v>
      </c>
      <c r="M622" s="10" t="b">
        <v>0</v>
      </c>
      <c r="N622" s="10">
        <v>46</v>
      </c>
      <c r="O622" s="11">
        <v>1600</v>
      </c>
      <c r="P622" s="85">
        <v>1.911589008363202</v>
      </c>
      <c r="Q622" s="11">
        <v>1600</v>
      </c>
      <c r="R622" s="85">
        <v>1.911589008363202</v>
      </c>
      <c r="S622" s="29" t="s">
        <v>2719</v>
      </c>
      <c r="T622" s="29" t="s">
        <v>2798</v>
      </c>
    </row>
    <row r="623">
      <c r="B623" s="29" t="s">
        <v>1219</v>
      </c>
      <c r="C623" s="29" t="s">
        <v>1247</v>
      </c>
      <c r="D623" s="8" t="s">
        <v>1269</v>
      </c>
      <c r="E623" s="10" t="s">
        <v>1931</v>
      </c>
      <c r="F623" s="10"/>
      <c r="G623" s="10">
        <v>2</v>
      </c>
      <c r="H623" s="10">
        <v>1</v>
      </c>
      <c r="I623" s="10"/>
      <c r="J623" s="10">
        <v>837</v>
      </c>
      <c r="K623" s="104">
        <v>45714</v>
      </c>
      <c r="L623" s="104">
        <v>45759</v>
      </c>
      <c r="M623" s="10" t="b">
        <v>0</v>
      </c>
      <c r="N623" s="10">
        <v>46</v>
      </c>
      <c r="O623" s="11">
        <v>1600</v>
      </c>
      <c r="P623" s="85">
        <v>1.911589008363202</v>
      </c>
      <c r="Q623" s="11">
        <v>1600</v>
      </c>
      <c r="R623" s="85">
        <v>1.911589008363202</v>
      </c>
      <c r="S623" s="29" t="s">
        <v>2719</v>
      </c>
      <c r="T623" s="29" t="s">
        <v>2798</v>
      </c>
    </row>
    <row r="624">
      <c r="B624" s="29" t="s">
        <v>1219</v>
      </c>
      <c r="C624" s="29" t="s">
        <v>1247</v>
      </c>
      <c r="D624" s="8" t="s">
        <v>1269</v>
      </c>
      <c r="E624" s="10" t="s">
        <v>1932</v>
      </c>
      <c r="F624" s="10"/>
      <c r="G624" s="10">
        <v>2</v>
      </c>
      <c r="H624" s="10">
        <v>1</v>
      </c>
      <c r="I624" s="10"/>
      <c r="J624" s="10">
        <v>837</v>
      </c>
      <c r="K624" s="104">
        <v>45707</v>
      </c>
      <c r="L624" s="104">
        <v>45751</v>
      </c>
      <c r="M624" s="10" t="b">
        <v>0</v>
      </c>
      <c r="N624" s="10">
        <v>45</v>
      </c>
      <c r="O624" s="11">
        <v>1600</v>
      </c>
      <c r="P624" s="85">
        <v>1.911589008363202</v>
      </c>
      <c r="Q624" s="11">
        <v>1600</v>
      </c>
      <c r="R624" s="85">
        <v>1.911589008363202</v>
      </c>
      <c r="S624" s="29" t="s">
        <v>2719</v>
      </c>
      <c r="T624" s="29" t="s">
        <v>2798</v>
      </c>
    </row>
    <row r="625">
      <c r="B625" s="29" t="s">
        <v>1219</v>
      </c>
      <c r="C625" s="29" t="s">
        <v>1247</v>
      </c>
      <c r="D625" s="8" t="s">
        <v>1269</v>
      </c>
      <c r="E625" s="10" t="s">
        <v>1933</v>
      </c>
      <c r="F625" s="10"/>
      <c r="G625" s="10">
        <v>2</v>
      </c>
      <c r="H625" s="10">
        <v>1</v>
      </c>
      <c r="I625" s="10"/>
      <c r="J625" s="10">
        <v>837</v>
      </c>
      <c r="K625" s="104">
        <v>45720</v>
      </c>
      <c r="L625" s="104">
        <v>45750</v>
      </c>
      <c r="M625" s="10" t="b">
        <v>0</v>
      </c>
      <c r="N625" s="10">
        <v>31</v>
      </c>
      <c r="O625" s="11">
        <v>1600</v>
      </c>
      <c r="P625" s="85">
        <v>1.911589008363202</v>
      </c>
      <c r="Q625" s="11">
        <v>1600</v>
      </c>
      <c r="R625" s="85">
        <v>1.911589008363202</v>
      </c>
      <c r="S625" s="29" t="s">
        <v>2719</v>
      </c>
      <c r="T625" s="29" t="s">
        <v>2798</v>
      </c>
    </row>
    <row r="626">
      <c r="B626" s="29" t="s">
        <v>1219</v>
      </c>
      <c r="C626" s="29" t="s">
        <v>1247</v>
      </c>
      <c r="D626" s="8" t="s">
        <v>1269</v>
      </c>
      <c r="E626" s="10" t="s">
        <v>1934</v>
      </c>
      <c r="F626" s="10"/>
      <c r="G626" s="10">
        <v>2</v>
      </c>
      <c r="H626" s="10">
        <v>1</v>
      </c>
      <c r="I626" s="10"/>
      <c r="J626" s="10">
        <v>837</v>
      </c>
      <c r="K626" s="104">
        <v>45707</v>
      </c>
      <c r="L626" s="104">
        <v>45750</v>
      </c>
      <c r="M626" s="10" t="b">
        <v>0</v>
      </c>
      <c r="N626" s="10">
        <v>44</v>
      </c>
      <c r="O626" s="11">
        <v>1600</v>
      </c>
      <c r="P626" s="85">
        <v>1.911589008363202</v>
      </c>
      <c r="Q626" s="11">
        <v>1600</v>
      </c>
      <c r="R626" s="85">
        <v>1.911589008363202</v>
      </c>
      <c r="S626" s="29" t="s">
        <v>2719</v>
      </c>
      <c r="T626" s="29" t="s">
        <v>2798</v>
      </c>
    </row>
    <row r="627">
      <c r="B627" s="29" t="s">
        <v>1219</v>
      </c>
      <c r="C627" s="29" t="s">
        <v>1247</v>
      </c>
      <c r="D627" s="8" t="s">
        <v>1269</v>
      </c>
      <c r="E627" s="10" t="s">
        <v>1935</v>
      </c>
      <c r="F627" s="10"/>
      <c r="G627" s="10">
        <v>2</v>
      </c>
      <c r="H627" s="10">
        <v>1</v>
      </c>
      <c r="I627" s="10"/>
      <c r="J627" s="10">
        <v>837</v>
      </c>
      <c r="K627" s="104">
        <v>45714</v>
      </c>
      <c r="L627" s="104">
        <v>45744</v>
      </c>
      <c r="M627" s="10" t="b">
        <v>0</v>
      </c>
      <c r="N627" s="10">
        <v>31</v>
      </c>
      <c r="O627" s="11">
        <v>1600</v>
      </c>
      <c r="P627" s="85">
        <v>1.911589008363202</v>
      </c>
      <c r="Q627" s="11">
        <v>1600</v>
      </c>
      <c r="R627" s="85">
        <v>1.911589008363202</v>
      </c>
      <c r="S627" s="29" t="s">
        <v>2719</v>
      </c>
      <c r="T627" s="29" t="s">
        <v>2798</v>
      </c>
    </row>
    <row r="628">
      <c r="B628" s="29" t="s">
        <v>1219</v>
      </c>
      <c r="C628" s="29" t="s">
        <v>1247</v>
      </c>
      <c r="D628" s="8" t="s">
        <v>1269</v>
      </c>
      <c r="E628" s="10" t="s">
        <v>1936</v>
      </c>
      <c r="F628" s="10">
        <v>2</v>
      </c>
      <c r="G628" s="10">
        <v>2</v>
      </c>
      <c r="H628" s="10">
        <v>1</v>
      </c>
      <c r="I628" s="10"/>
      <c r="J628" s="10">
        <v>837</v>
      </c>
      <c r="K628" s="104">
        <v>45714</v>
      </c>
      <c r="L628" s="104">
        <v>45742</v>
      </c>
      <c r="M628" s="10" t="b">
        <v>0</v>
      </c>
      <c r="N628" s="10">
        <v>29</v>
      </c>
      <c r="O628" s="11">
        <v>1600</v>
      </c>
      <c r="P628" s="85">
        <v>1.911589008363202</v>
      </c>
      <c r="Q628" s="11">
        <v>1600</v>
      </c>
      <c r="R628" s="85">
        <v>1.911589008363202</v>
      </c>
      <c r="S628" s="29" t="s">
        <v>2719</v>
      </c>
      <c r="T628" s="29" t="s">
        <v>2798</v>
      </c>
    </row>
    <row r="629">
      <c r="B629" s="29" t="s">
        <v>1219</v>
      </c>
      <c r="C629" s="29" t="s">
        <v>1247</v>
      </c>
      <c r="D629" s="8" t="s">
        <v>1269</v>
      </c>
      <c r="E629" s="10" t="s">
        <v>1937</v>
      </c>
      <c r="F629" s="10"/>
      <c r="G629" s="10">
        <v>2</v>
      </c>
      <c r="H629" s="10">
        <v>1</v>
      </c>
      <c r="I629" s="10"/>
      <c r="J629" s="10">
        <v>837</v>
      </c>
      <c r="K629" s="104">
        <v>45716</v>
      </c>
      <c r="L629" s="104">
        <v>45742</v>
      </c>
      <c r="M629" s="10" t="b">
        <v>0</v>
      </c>
      <c r="N629" s="10">
        <v>27</v>
      </c>
      <c r="O629" s="11">
        <v>1600</v>
      </c>
      <c r="P629" s="85">
        <v>1.911589008363202</v>
      </c>
      <c r="Q629" s="11">
        <v>1600</v>
      </c>
      <c r="R629" s="85">
        <v>1.911589008363202</v>
      </c>
      <c r="S629" s="29" t="s">
        <v>2719</v>
      </c>
      <c r="T629" s="29" t="s">
        <v>2798</v>
      </c>
    </row>
    <row r="630">
      <c r="B630" s="29" t="s">
        <v>1219</v>
      </c>
      <c r="C630" s="29" t="s">
        <v>1247</v>
      </c>
      <c r="D630" s="8" t="s">
        <v>1269</v>
      </c>
      <c r="E630" s="10" t="s">
        <v>1938</v>
      </c>
      <c r="F630" s="10">
        <v>2</v>
      </c>
      <c r="G630" s="10">
        <v>2</v>
      </c>
      <c r="H630" s="10">
        <v>1</v>
      </c>
      <c r="I630" s="10"/>
      <c r="J630" s="10">
        <v>837</v>
      </c>
      <c r="K630" s="104">
        <v>45714</v>
      </c>
      <c r="L630" s="104">
        <v>45726</v>
      </c>
      <c r="M630" s="10" t="b">
        <v>0</v>
      </c>
      <c r="N630" s="10">
        <v>13</v>
      </c>
      <c r="O630" s="11">
        <v>1600</v>
      </c>
      <c r="P630" s="85">
        <v>1.911589008363202</v>
      </c>
      <c r="Q630" s="11">
        <v>1600</v>
      </c>
      <c r="R630" s="85">
        <v>1.911589008363202</v>
      </c>
      <c r="S630" s="29" t="s">
        <v>2719</v>
      </c>
      <c r="T630" s="29" t="s">
        <v>2798</v>
      </c>
    </row>
    <row r="631">
      <c r="B631" s="29" t="s">
        <v>1219</v>
      </c>
      <c r="C631" s="29" t="s">
        <v>1247</v>
      </c>
      <c r="D631" s="8" t="s">
        <v>1269</v>
      </c>
      <c r="E631" s="10" t="s">
        <v>1939</v>
      </c>
      <c r="F631" s="10"/>
      <c r="G631" s="10">
        <v>2</v>
      </c>
      <c r="H631" s="10">
        <v>1</v>
      </c>
      <c r="I631" s="10"/>
      <c r="J631" s="10">
        <v>837</v>
      </c>
      <c r="K631" s="104">
        <v>45716</v>
      </c>
      <c r="L631" s="104">
        <v>45720</v>
      </c>
      <c r="M631" s="10" t="b">
        <v>0</v>
      </c>
      <c r="N631" s="10">
        <v>5</v>
      </c>
      <c r="O631" s="11">
        <v>1600</v>
      </c>
      <c r="P631" s="85">
        <v>1.911589008363202</v>
      </c>
      <c r="Q631" s="11">
        <v>1600</v>
      </c>
      <c r="R631" s="85">
        <v>1.911589008363202</v>
      </c>
      <c r="S631" s="29" t="s">
        <v>2719</v>
      </c>
      <c r="T631" s="29" t="s">
        <v>2798</v>
      </c>
    </row>
    <row r="632">
      <c r="B632" s="29" t="s">
        <v>1219</v>
      </c>
      <c r="C632" s="29" t="s">
        <v>1247</v>
      </c>
      <c r="D632" s="8" t="s">
        <v>1269</v>
      </c>
      <c r="E632" s="10" t="s">
        <v>1940</v>
      </c>
      <c r="F632" s="10">
        <v>2</v>
      </c>
      <c r="G632" s="10">
        <v>2</v>
      </c>
      <c r="H632" s="10">
        <v>1</v>
      </c>
      <c r="I632" s="10"/>
      <c r="J632" s="10">
        <v>837</v>
      </c>
      <c r="K632" s="104">
        <v>45716</v>
      </c>
      <c r="L632" s="104">
        <v>45720</v>
      </c>
      <c r="M632" s="10" t="b">
        <v>0</v>
      </c>
      <c r="N632" s="10">
        <v>5</v>
      </c>
      <c r="O632" s="11">
        <v>1600</v>
      </c>
      <c r="P632" s="85">
        <v>1.911589008363202</v>
      </c>
      <c r="Q632" s="11">
        <v>1600</v>
      </c>
      <c r="R632" s="85">
        <v>1.911589008363202</v>
      </c>
      <c r="S632" s="29" t="s">
        <v>2719</v>
      </c>
      <c r="T632" s="29" t="s">
        <v>2798</v>
      </c>
    </row>
    <row r="633">
      <c r="B633" s="29" t="s">
        <v>1219</v>
      </c>
      <c r="C633" s="29" t="s">
        <v>1247</v>
      </c>
      <c r="D633" s="8" t="s">
        <v>1269</v>
      </c>
      <c r="E633" s="10" t="s">
        <v>1941</v>
      </c>
      <c r="F633" s="10"/>
      <c r="G633" s="10">
        <v>2</v>
      </c>
      <c r="H633" s="10">
        <v>1</v>
      </c>
      <c r="I633" s="10"/>
      <c r="J633" s="10">
        <v>837</v>
      </c>
      <c r="K633" s="104">
        <v>45716</v>
      </c>
      <c r="L633" s="104">
        <v>45720</v>
      </c>
      <c r="M633" s="10" t="b">
        <v>0</v>
      </c>
      <c r="N633" s="10">
        <v>5</v>
      </c>
      <c r="O633" s="11">
        <v>1600</v>
      </c>
      <c r="P633" s="85">
        <v>1.911589008363202</v>
      </c>
      <c r="Q633" s="11">
        <v>1600</v>
      </c>
      <c r="R633" s="85">
        <v>1.911589008363202</v>
      </c>
      <c r="S633" s="29" t="s">
        <v>2719</v>
      </c>
      <c r="T633" s="29" t="s">
        <v>2798</v>
      </c>
    </row>
    <row r="634">
      <c r="B634" s="29" t="s">
        <v>1219</v>
      </c>
      <c r="C634" s="29" t="s">
        <v>1247</v>
      </c>
      <c r="D634" s="8" t="s">
        <v>1269</v>
      </c>
      <c r="E634" s="10" t="s">
        <v>1942</v>
      </c>
      <c r="F634" s="10"/>
      <c r="G634" s="10">
        <v>2</v>
      </c>
      <c r="H634" s="10">
        <v>1</v>
      </c>
      <c r="I634" s="10"/>
      <c r="J634" s="10">
        <v>837</v>
      </c>
      <c r="K634" s="104">
        <v>45716</v>
      </c>
      <c r="L634" s="104">
        <v>45720</v>
      </c>
      <c r="M634" s="10" t="b">
        <v>0</v>
      </c>
      <c r="N634" s="10">
        <v>5</v>
      </c>
      <c r="O634" s="11">
        <v>1600</v>
      </c>
      <c r="P634" s="85">
        <v>1.911589008363202</v>
      </c>
      <c r="Q634" s="11">
        <v>1600</v>
      </c>
      <c r="R634" s="85">
        <v>1.911589008363202</v>
      </c>
      <c r="S634" s="29" t="s">
        <v>2719</v>
      </c>
      <c r="T634" s="29" t="s">
        <v>2798</v>
      </c>
    </row>
    <row r="635">
      <c r="B635" s="29" t="s">
        <v>1219</v>
      </c>
      <c r="C635" s="29" t="s">
        <v>1247</v>
      </c>
      <c r="D635" s="8" t="s">
        <v>1269</v>
      </c>
      <c r="E635" s="10" t="s">
        <v>1943</v>
      </c>
      <c r="F635" s="10"/>
      <c r="G635" s="10">
        <v>2</v>
      </c>
      <c r="H635" s="10">
        <v>1</v>
      </c>
      <c r="I635" s="10"/>
      <c r="J635" s="10">
        <v>837</v>
      </c>
      <c r="K635" s="104">
        <v>45716</v>
      </c>
      <c r="L635" s="104">
        <v>45720</v>
      </c>
      <c r="M635" s="10" t="b">
        <v>0</v>
      </c>
      <c r="N635" s="10">
        <v>5</v>
      </c>
      <c r="O635" s="11">
        <v>1600</v>
      </c>
      <c r="P635" s="85">
        <v>1.911589008363202</v>
      </c>
      <c r="Q635" s="11">
        <v>1600</v>
      </c>
      <c r="R635" s="85">
        <v>1.911589008363202</v>
      </c>
      <c r="S635" s="29" t="s">
        <v>2719</v>
      </c>
      <c r="T635" s="29" t="s">
        <v>2798</v>
      </c>
    </row>
    <row r="636">
      <c r="B636" s="29" t="s">
        <v>1219</v>
      </c>
      <c r="C636" s="29" t="s">
        <v>1247</v>
      </c>
      <c r="D636" s="8" t="s">
        <v>1269</v>
      </c>
      <c r="E636" s="10" t="s">
        <v>1944</v>
      </c>
      <c r="F636" s="10"/>
      <c r="G636" s="10">
        <v>2</v>
      </c>
      <c r="H636" s="10">
        <v>1</v>
      </c>
      <c r="I636" s="10"/>
      <c r="J636" s="10">
        <v>837</v>
      </c>
      <c r="K636" s="104">
        <v>45716</v>
      </c>
      <c r="L636" s="104">
        <v>45720</v>
      </c>
      <c r="M636" s="10" t="b">
        <v>0</v>
      </c>
      <c r="N636" s="10">
        <v>5</v>
      </c>
      <c r="O636" s="11">
        <v>1600</v>
      </c>
      <c r="P636" s="85">
        <v>1.911589008363202</v>
      </c>
      <c r="Q636" s="11">
        <v>1600</v>
      </c>
      <c r="R636" s="85">
        <v>1.911589008363202</v>
      </c>
      <c r="S636" s="29" t="s">
        <v>2719</v>
      </c>
      <c r="T636" s="29" t="s">
        <v>2798</v>
      </c>
    </row>
    <row r="637">
      <c r="B637" s="29" t="s">
        <v>1219</v>
      </c>
      <c r="C637" s="29" t="s">
        <v>1247</v>
      </c>
      <c r="D637" s="8" t="s">
        <v>1269</v>
      </c>
      <c r="E637" s="10" t="s">
        <v>1945</v>
      </c>
      <c r="F637" s="10"/>
      <c r="G637" s="10">
        <v>2</v>
      </c>
      <c r="H637" s="10">
        <v>1</v>
      </c>
      <c r="I637" s="10"/>
      <c r="J637" s="10">
        <v>837</v>
      </c>
      <c r="K637" s="104">
        <v>45716</v>
      </c>
      <c r="L637" s="104">
        <v>45720</v>
      </c>
      <c r="M637" s="10" t="b">
        <v>0</v>
      </c>
      <c r="N637" s="10">
        <v>5</v>
      </c>
      <c r="O637" s="11">
        <v>1600</v>
      </c>
      <c r="P637" s="85">
        <v>1.911589008363202</v>
      </c>
      <c r="Q637" s="11">
        <v>1600</v>
      </c>
      <c r="R637" s="85">
        <v>1.911589008363202</v>
      </c>
      <c r="S637" s="29" t="s">
        <v>2719</v>
      </c>
      <c r="T637" s="29" t="s">
        <v>2798</v>
      </c>
    </row>
    <row r="638">
      <c r="B638" s="29" t="s">
        <v>1219</v>
      </c>
      <c r="C638" s="29" t="s">
        <v>1247</v>
      </c>
      <c r="D638" s="8" t="s">
        <v>1269</v>
      </c>
      <c r="E638" s="10" t="s">
        <v>1946</v>
      </c>
      <c r="F638" s="10"/>
      <c r="G638" s="10">
        <v>2</v>
      </c>
      <c r="H638" s="10">
        <v>1</v>
      </c>
      <c r="I638" s="10"/>
      <c r="J638" s="10">
        <v>837</v>
      </c>
      <c r="K638" s="104">
        <v>45716</v>
      </c>
      <c r="L638" s="104">
        <v>45720</v>
      </c>
      <c r="M638" s="10" t="b">
        <v>0</v>
      </c>
      <c r="N638" s="10">
        <v>5</v>
      </c>
      <c r="O638" s="11">
        <v>1600</v>
      </c>
      <c r="P638" s="85">
        <v>1.911589008363202</v>
      </c>
      <c r="Q638" s="11">
        <v>1600</v>
      </c>
      <c r="R638" s="85">
        <v>1.911589008363202</v>
      </c>
      <c r="S638" s="29" t="s">
        <v>2719</v>
      </c>
      <c r="T638" s="29" t="s">
        <v>2798</v>
      </c>
    </row>
    <row r="639">
      <c r="B639" s="29" t="s">
        <v>1219</v>
      </c>
      <c r="C639" s="29" t="s">
        <v>1247</v>
      </c>
      <c r="D639" s="8" t="s">
        <v>1269</v>
      </c>
      <c r="E639" s="10" t="s">
        <v>1947</v>
      </c>
      <c r="F639" s="10"/>
      <c r="G639" s="10">
        <v>2</v>
      </c>
      <c r="H639" s="10">
        <v>1</v>
      </c>
      <c r="I639" s="10"/>
      <c r="J639" s="10">
        <v>837</v>
      </c>
      <c r="K639" s="104">
        <v>45716</v>
      </c>
      <c r="L639" s="104">
        <v>45720</v>
      </c>
      <c r="M639" s="10" t="b">
        <v>0</v>
      </c>
      <c r="N639" s="10">
        <v>5</v>
      </c>
      <c r="O639" s="11">
        <v>1600</v>
      </c>
      <c r="P639" s="85">
        <v>1.911589008363202</v>
      </c>
      <c r="Q639" s="11">
        <v>1600</v>
      </c>
      <c r="R639" s="85">
        <v>1.911589008363202</v>
      </c>
      <c r="S639" s="29" t="s">
        <v>2719</v>
      </c>
      <c r="T639" s="29" t="s">
        <v>2798</v>
      </c>
    </row>
    <row r="640">
      <c r="B640" s="29" t="s">
        <v>1219</v>
      </c>
      <c r="C640" s="29" t="s">
        <v>1247</v>
      </c>
      <c r="D640" s="8" t="s">
        <v>1269</v>
      </c>
      <c r="E640" s="10" t="s">
        <v>1948</v>
      </c>
      <c r="F640" s="10">
        <v>2</v>
      </c>
      <c r="G640" s="10">
        <v>2</v>
      </c>
      <c r="H640" s="10">
        <v>1</v>
      </c>
      <c r="I640" s="10"/>
      <c r="J640" s="10">
        <v>837</v>
      </c>
      <c r="K640" s="104">
        <v>45716</v>
      </c>
      <c r="L640" s="104">
        <v>45720</v>
      </c>
      <c r="M640" s="10" t="b">
        <v>0</v>
      </c>
      <c r="N640" s="10">
        <v>5</v>
      </c>
      <c r="O640" s="11">
        <v>1600</v>
      </c>
      <c r="P640" s="85">
        <v>1.911589008363202</v>
      </c>
      <c r="Q640" s="11">
        <v>1600</v>
      </c>
      <c r="R640" s="85">
        <v>1.911589008363202</v>
      </c>
      <c r="S640" s="29" t="s">
        <v>2719</v>
      </c>
      <c r="T640" s="29" t="s">
        <v>2798</v>
      </c>
    </row>
    <row r="641">
      <c r="B641" s="29" t="s">
        <v>1219</v>
      </c>
      <c r="C641" s="29" t="s">
        <v>1247</v>
      </c>
      <c r="D641" s="8" t="s">
        <v>1269</v>
      </c>
      <c r="E641" s="10" t="s">
        <v>1949</v>
      </c>
      <c r="F641" s="10"/>
      <c r="G641" s="10">
        <v>2</v>
      </c>
      <c r="H641" s="10">
        <v>1</v>
      </c>
      <c r="I641" s="10"/>
      <c r="J641" s="10">
        <v>837</v>
      </c>
      <c r="K641" s="104">
        <v>45716</v>
      </c>
      <c r="L641" s="104">
        <v>45720</v>
      </c>
      <c r="M641" s="10" t="b">
        <v>0</v>
      </c>
      <c r="N641" s="10">
        <v>5</v>
      </c>
      <c r="O641" s="11">
        <v>1600</v>
      </c>
      <c r="P641" s="85">
        <v>1.911589008363202</v>
      </c>
      <c r="Q641" s="11">
        <v>1600</v>
      </c>
      <c r="R641" s="85">
        <v>1.911589008363202</v>
      </c>
      <c r="S641" s="29" t="s">
        <v>2719</v>
      </c>
      <c r="T641" s="29" t="s">
        <v>2798</v>
      </c>
    </row>
    <row r="642">
      <c r="B642" s="29" t="s">
        <v>1219</v>
      </c>
      <c r="C642" s="29" t="s">
        <v>1247</v>
      </c>
      <c r="D642" s="8" t="s">
        <v>1269</v>
      </c>
      <c r="E642" s="10" t="s">
        <v>1950</v>
      </c>
      <c r="F642" s="10"/>
      <c r="G642" s="10">
        <v>2</v>
      </c>
      <c r="H642" s="10">
        <v>1</v>
      </c>
      <c r="I642" s="10"/>
      <c r="J642" s="10">
        <v>837</v>
      </c>
      <c r="K642" s="104">
        <v>45716</v>
      </c>
      <c r="L642" s="104">
        <v>45720</v>
      </c>
      <c r="M642" s="10" t="b">
        <v>0</v>
      </c>
      <c r="N642" s="10">
        <v>5</v>
      </c>
      <c r="O642" s="11">
        <v>1600</v>
      </c>
      <c r="P642" s="85">
        <v>1.911589008363202</v>
      </c>
      <c r="Q642" s="11">
        <v>1600</v>
      </c>
      <c r="R642" s="85">
        <v>1.911589008363202</v>
      </c>
      <c r="S642" s="29" t="s">
        <v>2719</v>
      </c>
      <c r="T642" s="29" t="s">
        <v>2798</v>
      </c>
    </row>
    <row r="643">
      <c r="B643" s="29" t="s">
        <v>1219</v>
      </c>
      <c r="C643" s="29" t="s">
        <v>1247</v>
      </c>
      <c r="D643" s="8" t="s">
        <v>1269</v>
      </c>
      <c r="E643" s="10" t="s">
        <v>1951</v>
      </c>
      <c r="F643" s="10"/>
      <c r="G643" s="10">
        <v>2</v>
      </c>
      <c r="H643" s="10">
        <v>1</v>
      </c>
      <c r="I643" s="10"/>
      <c r="J643" s="10">
        <v>837</v>
      </c>
      <c r="K643" s="104">
        <v>45716</v>
      </c>
      <c r="L643" s="104">
        <v>45720</v>
      </c>
      <c r="M643" s="10" t="b">
        <v>0</v>
      </c>
      <c r="N643" s="10">
        <v>5</v>
      </c>
      <c r="O643" s="11">
        <v>1600</v>
      </c>
      <c r="P643" s="85">
        <v>1.911589008363202</v>
      </c>
      <c r="Q643" s="11">
        <v>1600</v>
      </c>
      <c r="R643" s="85">
        <v>1.911589008363202</v>
      </c>
      <c r="S643" s="29" t="s">
        <v>2719</v>
      </c>
      <c r="T643" s="29" t="s">
        <v>2798</v>
      </c>
    </row>
    <row r="644">
      <c r="B644" s="29" t="s">
        <v>1219</v>
      </c>
      <c r="C644" s="29" t="s">
        <v>1247</v>
      </c>
      <c r="D644" s="8" t="s">
        <v>1269</v>
      </c>
      <c r="E644" s="10" t="s">
        <v>1952</v>
      </c>
      <c r="F644" s="10"/>
      <c r="G644" s="10">
        <v>2</v>
      </c>
      <c r="H644" s="10">
        <v>1</v>
      </c>
      <c r="I644" s="10"/>
      <c r="J644" s="10">
        <v>837</v>
      </c>
      <c r="K644" s="104">
        <v>45716</v>
      </c>
      <c r="L644" s="104">
        <v>45720</v>
      </c>
      <c r="M644" s="10" t="b">
        <v>0</v>
      </c>
      <c r="N644" s="10">
        <v>5</v>
      </c>
      <c r="O644" s="11">
        <v>1600</v>
      </c>
      <c r="P644" s="85">
        <v>1.911589008363202</v>
      </c>
      <c r="Q644" s="11">
        <v>1600</v>
      </c>
      <c r="R644" s="85">
        <v>1.911589008363202</v>
      </c>
      <c r="S644" s="29" t="s">
        <v>2719</v>
      </c>
      <c r="T644" s="29" t="s">
        <v>2798</v>
      </c>
    </row>
    <row r="645">
      <c r="B645" s="29" t="s">
        <v>1219</v>
      </c>
      <c r="C645" s="29" t="s">
        <v>1247</v>
      </c>
      <c r="D645" s="8" t="s">
        <v>1269</v>
      </c>
      <c r="E645" s="10" t="s">
        <v>1953</v>
      </c>
      <c r="F645" s="10"/>
      <c r="G645" s="10">
        <v>2</v>
      </c>
      <c r="H645" s="10">
        <v>1</v>
      </c>
      <c r="I645" s="10"/>
      <c r="J645" s="10">
        <v>837</v>
      </c>
      <c r="K645" s="104">
        <v>45716</v>
      </c>
      <c r="L645" s="104">
        <v>45720</v>
      </c>
      <c r="M645" s="10" t="b">
        <v>0</v>
      </c>
      <c r="N645" s="10">
        <v>5</v>
      </c>
      <c r="O645" s="11">
        <v>1600</v>
      </c>
      <c r="P645" s="85">
        <v>1.911589008363202</v>
      </c>
      <c r="Q645" s="11">
        <v>1600</v>
      </c>
      <c r="R645" s="85">
        <v>1.911589008363202</v>
      </c>
      <c r="S645" s="29" t="s">
        <v>2719</v>
      </c>
      <c r="T645" s="29" t="s">
        <v>2798</v>
      </c>
    </row>
    <row r="646">
      <c r="B646" s="29" t="s">
        <v>1219</v>
      </c>
      <c r="C646" s="29" t="s">
        <v>1247</v>
      </c>
      <c r="D646" s="8" t="s">
        <v>1269</v>
      </c>
      <c r="E646" s="10" t="s">
        <v>1954</v>
      </c>
      <c r="F646" s="10"/>
      <c r="G646" s="10">
        <v>2</v>
      </c>
      <c r="H646" s="10">
        <v>1</v>
      </c>
      <c r="I646" s="10"/>
      <c r="J646" s="10">
        <v>837</v>
      </c>
      <c r="K646" s="104">
        <v>45716</v>
      </c>
      <c r="L646" s="104">
        <v>45720</v>
      </c>
      <c r="M646" s="10" t="b">
        <v>0</v>
      </c>
      <c r="N646" s="10">
        <v>5</v>
      </c>
      <c r="O646" s="11">
        <v>1600</v>
      </c>
      <c r="P646" s="85">
        <v>1.911589008363202</v>
      </c>
      <c r="Q646" s="11">
        <v>1600</v>
      </c>
      <c r="R646" s="85">
        <v>1.911589008363202</v>
      </c>
      <c r="S646" s="29" t="s">
        <v>2719</v>
      </c>
      <c r="T646" s="29" t="s">
        <v>2798</v>
      </c>
    </row>
    <row r="647">
      <c r="B647" s="29" t="s">
        <v>1219</v>
      </c>
      <c r="C647" s="29" t="s">
        <v>1247</v>
      </c>
      <c r="D647" s="8" t="s">
        <v>1269</v>
      </c>
      <c r="E647" s="10" t="s">
        <v>1955</v>
      </c>
      <c r="F647" s="10"/>
      <c r="G647" s="10">
        <v>2</v>
      </c>
      <c r="H647" s="10">
        <v>1</v>
      </c>
      <c r="I647" s="10"/>
      <c r="J647" s="10">
        <v>837</v>
      </c>
      <c r="K647" s="104">
        <v>45716</v>
      </c>
      <c r="L647" s="104">
        <v>45720</v>
      </c>
      <c r="M647" s="10" t="b">
        <v>0</v>
      </c>
      <c r="N647" s="10">
        <v>5</v>
      </c>
      <c r="O647" s="11">
        <v>1600</v>
      </c>
      <c r="P647" s="85">
        <v>1.911589008363202</v>
      </c>
      <c r="Q647" s="11">
        <v>1600</v>
      </c>
      <c r="R647" s="85">
        <v>1.911589008363202</v>
      </c>
      <c r="S647" s="29" t="s">
        <v>2719</v>
      </c>
      <c r="T647" s="29" t="s">
        <v>2798</v>
      </c>
    </row>
    <row r="648">
      <c r="B648" s="29" t="s">
        <v>1219</v>
      </c>
      <c r="C648" s="29" t="s">
        <v>1247</v>
      </c>
      <c r="D648" s="8" t="s">
        <v>1269</v>
      </c>
      <c r="E648" s="10" t="s">
        <v>1956</v>
      </c>
      <c r="F648" s="10"/>
      <c r="G648" s="10">
        <v>2</v>
      </c>
      <c r="H648" s="10">
        <v>1</v>
      </c>
      <c r="I648" s="10"/>
      <c r="J648" s="10">
        <v>837</v>
      </c>
      <c r="K648" s="104">
        <v>45716</v>
      </c>
      <c r="L648" s="104">
        <v>45720</v>
      </c>
      <c r="M648" s="10" t="b">
        <v>0</v>
      </c>
      <c r="N648" s="10">
        <v>5</v>
      </c>
      <c r="O648" s="11">
        <v>1600</v>
      </c>
      <c r="P648" s="85">
        <v>1.911589008363202</v>
      </c>
      <c r="Q648" s="11">
        <v>1600</v>
      </c>
      <c r="R648" s="85">
        <v>1.911589008363202</v>
      </c>
      <c r="S648" s="29" t="s">
        <v>2719</v>
      </c>
      <c r="T648" s="29" t="s">
        <v>2798</v>
      </c>
    </row>
    <row r="649">
      <c r="B649" s="29" t="s">
        <v>1219</v>
      </c>
      <c r="C649" s="29" t="s">
        <v>1247</v>
      </c>
      <c r="D649" s="8" t="s">
        <v>1269</v>
      </c>
      <c r="E649" s="10" t="s">
        <v>1957</v>
      </c>
      <c r="F649" s="10"/>
      <c r="G649" s="10">
        <v>2</v>
      </c>
      <c r="H649" s="10">
        <v>1</v>
      </c>
      <c r="I649" s="10"/>
      <c r="J649" s="10">
        <v>837</v>
      </c>
      <c r="K649" s="104">
        <v>45716</v>
      </c>
      <c r="L649" s="104">
        <v>45720</v>
      </c>
      <c r="M649" s="10" t="b">
        <v>0</v>
      </c>
      <c r="N649" s="10">
        <v>5</v>
      </c>
      <c r="O649" s="11">
        <v>1600</v>
      </c>
      <c r="P649" s="85">
        <v>1.911589008363202</v>
      </c>
      <c r="Q649" s="11">
        <v>1600</v>
      </c>
      <c r="R649" s="85">
        <v>1.911589008363202</v>
      </c>
      <c r="S649" s="29" t="s">
        <v>2719</v>
      </c>
      <c r="T649" s="29" t="s">
        <v>2798</v>
      </c>
    </row>
    <row r="650">
      <c r="B650" s="29" t="s">
        <v>1219</v>
      </c>
      <c r="C650" s="29" t="s">
        <v>1247</v>
      </c>
      <c r="D650" s="8" t="s">
        <v>1269</v>
      </c>
      <c r="E650" s="10" t="s">
        <v>1958</v>
      </c>
      <c r="F650" s="10"/>
      <c r="G650" s="10">
        <v>2</v>
      </c>
      <c r="H650" s="10">
        <v>1</v>
      </c>
      <c r="I650" s="10"/>
      <c r="J650" s="10">
        <v>837</v>
      </c>
      <c r="K650" s="104">
        <v>45716</v>
      </c>
      <c r="L650" s="104">
        <v>45720</v>
      </c>
      <c r="M650" s="10" t="b">
        <v>0</v>
      </c>
      <c r="N650" s="10">
        <v>5</v>
      </c>
      <c r="O650" s="11">
        <v>1600</v>
      </c>
      <c r="P650" s="85">
        <v>1.911589008363202</v>
      </c>
      <c r="Q650" s="11">
        <v>1600</v>
      </c>
      <c r="R650" s="85">
        <v>1.911589008363202</v>
      </c>
      <c r="S650" s="29" t="s">
        <v>2719</v>
      </c>
      <c r="T650" s="29" t="s">
        <v>2798</v>
      </c>
    </row>
    <row r="651">
      <c r="B651" s="29" t="s">
        <v>1219</v>
      </c>
      <c r="C651" s="29" t="s">
        <v>1247</v>
      </c>
      <c r="D651" s="8" t="s">
        <v>1269</v>
      </c>
      <c r="E651" s="10" t="s">
        <v>1959</v>
      </c>
      <c r="F651" s="10"/>
      <c r="G651" s="10">
        <v>2</v>
      </c>
      <c r="H651" s="10">
        <v>1</v>
      </c>
      <c r="I651" s="10"/>
      <c r="J651" s="10">
        <v>837</v>
      </c>
      <c r="K651" s="104">
        <v>45716</v>
      </c>
      <c r="L651" s="104">
        <v>45720</v>
      </c>
      <c r="M651" s="10" t="b">
        <v>0</v>
      </c>
      <c r="N651" s="10">
        <v>5</v>
      </c>
      <c r="O651" s="11">
        <v>1600</v>
      </c>
      <c r="P651" s="85">
        <v>1.911589008363202</v>
      </c>
      <c r="Q651" s="11">
        <v>1600</v>
      </c>
      <c r="R651" s="85">
        <v>1.911589008363202</v>
      </c>
      <c r="S651" s="29" t="s">
        <v>2719</v>
      </c>
      <c r="T651" s="29" t="s">
        <v>2798</v>
      </c>
    </row>
    <row r="652">
      <c r="B652" s="29" t="s">
        <v>1219</v>
      </c>
      <c r="C652" s="29" t="s">
        <v>1247</v>
      </c>
      <c r="D652" s="8" t="s">
        <v>1269</v>
      </c>
      <c r="E652" s="10" t="s">
        <v>1960</v>
      </c>
      <c r="F652" s="10"/>
      <c r="G652" s="10">
        <v>2</v>
      </c>
      <c r="H652" s="10">
        <v>1</v>
      </c>
      <c r="I652" s="10"/>
      <c r="J652" s="10">
        <v>837</v>
      </c>
      <c r="K652" s="104">
        <v>45716</v>
      </c>
      <c r="L652" s="104">
        <v>45720</v>
      </c>
      <c r="M652" s="10" t="b">
        <v>0</v>
      </c>
      <c r="N652" s="10">
        <v>5</v>
      </c>
      <c r="O652" s="11">
        <v>1600</v>
      </c>
      <c r="P652" s="85">
        <v>1.911589008363202</v>
      </c>
      <c r="Q652" s="11">
        <v>1600</v>
      </c>
      <c r="R652" s="85">
        <v>1.911589008363202</v>
      </c>
      <c r="S652" s="29" t="s">
        <v>2719</v>
      </c>
      <c r="T652" s="29" t="s">
        <v>2798</v>
      </c>
    </row>
    <row r="653">
      <c r="B653" s="29" t="s">
        <v>1219</v>
      </c>
      <c r="C653" s="29" t="s">
        <v>1247</v>
      </c>
      <c r="D653" s="8" t="s">
        <v>1269</v>
      </c>
      <c r="E653" s="10" t="s">
        <v>1961</v>
      </c>
      <c r="F653" s="10"/>
      <c r="G653" s="10">
        <v>2</v>
      </c>
      <c r="H653" s="10">
        <v>1</v>
      </c>
      <c r="I653" s="10"/>
      <c r="J653" s="10">
        <v>837</v>
      </c>
      <c r="K653" s="104">
        <v>45716</v>
      </c>
      <c r="L653" s="104">
        <v>45720</v>
      </c>
      <c r="M653" s="10" t="b">
        <v>0</v>
      </c>
      <c r="N653" s="10">
        <v>5</v>
      </c>
      <c r="O653" s="11">
        <v>1600</v>
      </c>
      <c r="P653" s="85">
        <v>1.911589008363202</v>
      </c>
      <c r="Q653" s="11">
        <v>1600</v>
      </c>
      <c r="R653" s="85">
        <v>1.911589008363202</v>
      </c>
      <c r="S653" s="29" t="s">
        <v>2719</v>
      </c>
      <c r="T653" s="29" t="s">
        <v>2798</v>
      </c>
    </row>
    <row r="654">
      <c r="B654" s="29" t="s">
        <v>1219</v>
      </c>
      <c r="C654" s="29" t="s">
        <v>1247</v>
      </c>
      <c r="D654" s="8" t="s">
        <v>1269</v>
      </c>
      <c r="E654" s="10" t="s">
        <v>1962</v>
      </c>
      <c r="F654" s="10"/>
      <c r="G654" s="10">
        <v>2</v>
      </c>
      <c r="H654" s="10">
        <v>1</v>
      </c>
      <c r="I654" s="10"/>
      <c r="J654" s="10">
        <v>837</v>
      </c>
      <c r="K654" s="104">
        <v>45716</v>
      </c>
      <c r="L654" s="104">
        <v>45720</v>
      </c>
      <c r="M654" s="10" t="b">
        <v>0</v>
      </c>
      <c r="N654" s="10">
        <v>5</v>
      </c>
      <c r="O654" s="11">
        <v>1600</v>
      </c>
      <c r="P654" s="85">
        <v>1.911589008363202</v>
      </c>
      <c r="Q654" s="11">
        <v>1600</v>
      </c>
      <c r="R654" s="85">
        <v>1.911589008363202</v>
      </c>
      <c r="S654" s="29" t="s">
        <v>2719</v>
      </c>
      <c r="T654" s="29" t="s">
        <v>2798</v>
      </c>
    </row>
    <row r="655">
      <c r="B655" s="29" t="s">
        <v>1219</v>
      </c>
      <c r="C655" s="29" t="s">
        <v>1247</v>
      </c>
      <c r="D655" s="8" t="s">
        <v>1269</v>
      </c>
      <c r="E655" s="10" t="s">
        <v>1963</v>
      </c>
      <c r="F655" s="10"/>
      <c r="G655" s="10">
        <v>2</v>
      </c>
      <c r="H655" s="10">
        <v>1</v>
      </c>
      <c r="I655" s="10"/>
      <c r="J655" s="10">
        <v>837</v>
      </c>
      <c r="K655" s="104">
        <v>45716</v>
      </c>
      <c r="L655" s="104">
        <v>45720</v>
      </c>
      <c r="M655" s="10" t="b">
        <v>0</v>
      </c>
      <c r="N655" s="10">
        <v>5</v>
      </c>
      <c r="O655" s="11">
        <v>1600</v>
      </c>
      <c r="P655" s="85">
        <v>1.911589008363202</v>
      </c>
      <c r="Q655" s="11">
        <v>1600</v>
      </c>
      <c r="R655" s="85">
        <v>1.911589008363202</v>
      </c>
      <c r="S655" s="29" t="s">
        <v>2719</v>
      </c>
      <c r="T655" s="29" t="s">
        <v>2798</v>
      </c>
    </row>
    <row r="656">
      <c r="B656" s="29" t="s">
        <v>1219</v>
      </c>
      <c r="C656" s="29" t="s">
        <v>1247</v>
      </c>
      <c r="D656" s="8" t="s">
        <v>1269</v>
      </c>
      <c r="E656" s="10" t="s">
        <v>1964</v>
      </c>
      <c r="F656" s="10"/>
      <c r="G656" s="10">
        <v>2</v>
      </c>
      <c r="H656" s="10">
        <v>1</v>
      </c>
      <c r="I656" s="10"/>
      <c r="J656" s="10">
        <v>837</v>
      </c>
      <c r="K656" s="104">
        <v>45716</v>
      </c>
      <c r="L656" s="104">
        <v>45720</v>
      </c>
      <c r="M656" s="10" t="b">
        <v>0</v>
      </c>
      <c r="N656" s="10">
        <v>5</v>
      </c>
      <c r="O656" s="11">
        <v>1600</v>
      </c>
      <c r="P656" s="85">
        <v>1.911589008363202</v>
      </c>
      <c r="Q656" s="11">
        <v>1600</v>
      </c>
      <c r="R656" s="85">
        <v>1.911589008363202</v>
      </c>
      <c r="S656" s="29" t="s">
        <v>2719</v>
      </c>
      <c r="T656" s="29" t="s">
        <v>2798</v>
      </c>
    </row>
    <row r="657">
      <c r="B657" s="29" t="s">
        <v>1219</v>
      </c>
      <c r="C657" s="29" t="s">
        <v>1247</v>
      </c>
      <c r="D657" s="8" t="s">
        <v>1269</v>
      </c>
      <c r="E657" s="10" t="s">
        <v>1965</v>
      </c>
      <c r="F657" s="10"/>
      <c r="G657" s="10">
        <v>2</v>
      </c>
      <c r="H657" s="10">
        <v>1</v>
      </c>
      <c r="I657" s="10"/>
      <c r="J657" s="10">
        <v>837</v>
      </c>
      <c r="K657" s="104">
        <v>45716</v>
      </c>
      <c r="L657" s="104">
        <v>45720</v>
      </c>
      <c r="M657" s="10" t="b">
        <v>0</v>
      </c>
      <c r="N657" s="10">
        <v>5</v>
      </c>
      <c r="O657" s="11">
        <v>1600</v>
      </c>
      <c r="P657" s="85">
        <v>1.911589008363202</v>
      </c>
      <c r="Q657" s="11">
        <v>1600</v>
      </c>
      <c r="R657" s="85">
        <v>1.911589008363202</v>
      </c>
      <c r="S657" s="29" t="s">
        <v>2719</v>
      </c>
      <c r="T657" s="29" t="s">
        <v>2798</v>
      </c>
    </row>
    <row r="658">
      <c r="B658" s="29" t="s">
        <v>1219</v>
      </c>
      <c r="C658" s="29" t="s">
        <v>1247</v>
      </c>
      <c r="D658" s="8" t="s">
        <v>1269</v>
      </c>
      <c r="E658" s="10" t="s">
        <v>1966</v>
      </c>
      <c r="F658" s="10"/>
      <c r="G658" s="10">
        <v>2</v>
      </c>
      <c r="H658" s="10">
        <v>1</v>
      </c>
      <c r="I658" s="10"/>
      <c r="J658" s="10">
        <v>837</v>
      </c>
      <c r="K658" s="104">
        <v>45716</v>
      </c>
      <c r="L658" s="104">
        <v>45720</v>
      </c>
      <c r="M658" s="10" t="b">
        <v>0</v>
      </c>
      <c r="N658" s="10">
        <v>5</v>
      </c>
      <c r="O658" s="11">
        <v>1600</v>
      </c>
      <c r="P658" s="85">
        <v>1.911589008363202</v>
      </c>
      <c r="Q658" s="11">
        <v>1600</v>
      </c>
      <c r="R658" s="85">
        <v>1.911589008363202</v>
      </c>
      <c r="S658" s="29" t="s">
        <v>2719</v>
      </c>
      <c r="T658" s="29" t="s">
        <v>2798</v>
      </c>
    </row>
    <row r="659">
      <c r="B659" s="29" t="s">
        <v>1219</v>
      </c>
      <c r="C659" s="29" t="s">
        <v>1247</v>
      </c>
      <c r="D659" s="8" t="s">
        <v>1269</v>
      </c>
      <c r="E659" s="10" t="s">
        <v>1967</v>
      </c>
      <c r="F659" s="10"/>
      <c r="G659" s="10">
        <v>2</v>
      </c>
      <c r="H659" s="10">
        <v>1</v>
      </c>
      <c r="I659" s="10"/>
      <c r="J659" s="10">
        <v>837</v>
      </c>
      <c r="K659" s="104">
        <v>45716</v>
      </c>
      <c r="L659" s="104">
        <v>45720</v>
      </c>
      <c r="M659" s="10" t="b">
        <v>0</v>
      </c>
      <c r="N659" s="10">
        <v>5</v>
      </c>
      <c r="O659" s="11">
        <v>1600</v>
      </c>
      <c r="P659" s="85">
        <v>1.911589008363202</v>
      </c>
      <c r="Q659" s="11">
        <v>1600</v>
      </c>
      <c r="R659" s="85">
        <v>1.911589008363202</v>
      </c>
      <c r="S659" s="29" t="s">
        <v>2719</v>
      </c>
      <c r="T659" s="29" t="s">
        <v>2798</v>
      </c>
    </row>
    <row r="660">
      <c r="B660" s="29" t="s">
        <v>1219</v>
      </c>
      <c r="C660" s="29" t="s">
        <v>1247</v>
      </c>
      <c r="D660" s="8" t="s">
        <v>1269</v>
      </c>
      <c r="E660" s="10" t="s">
        <v>1968</v>
      </c>
      <c r="F660" s="10">
        <v>2</v>
      </c>
      <c r="G660" s="10">
        <v>2</v>
      </c>
      <c r="H660" s="10">
        <v>1</v>
      </c>
      <c r="I660" s="10"/>
      <c r="J660" s="10">
        <v>837</v>
      </c>
      <c r="K660" s="104">
        <v>45716</v>
      </c>
      <c r="L660" s="104">
        <v>45720</v>
      </c>
      <c r="M660" s="10" t="b">
        <v>0</v>
      </c>
      <c r="N660" s="10">
        <v>5</v>
      </c>
      <c r="O660" s="11">
        <v>1600</v>
      </c>
      <c r="P660" s="85">
        <v>1.911589008363202</v>
      </c>
      <c r="Q660" s="11">
        <v>1600</v>
      </c>
      <c r="R660" s="85">
        <v>1.911589008363202</v>
      </c>
      <c r="S660" s="29" t="s">
        <v>2719</v>
      </c>
      <c r="T660" s="29" t="s">
        <v>2798</v>
      </c>
    </row>
    <row r="661">
      <c r="B661" s="29" t="s">
        <v>1219</v>
      </c>
      <c r="C661" s="29" t="s">
        <v>1247</v>
      </c>
      <c r="D661" s="8" t="s">
        <v>1269</v>
      </c>
      <c r="E661" s="10" t="s">
        <v>1969</v>
      </c>
      <c r="F661" s="10"/>
      <c r="G661" s="10">
        <v>2</v>
      </c>
      <c r="H661" s="10">
        <v>1</v>
      </c>
      <c r="I661" s="10"/>
      <c r="J661" s="10">
        <v>837</v>
      </c>
      <c r="K661" s="104">
        <v>45716</v>
      </c>
      <c r="L661" s="104">
        <v>45720</v>
      </c>
      <c r="M661" s="10" t="b">
        <v>0</v>
      </c>
      <c r="N661" s="10">
        <v>5</v>
      </c>
      <c r="O661" s="11">
        <v>1600</v>
      </c>
      <c r="P661" s="85">
        <v>1.911589008363202</v>
      </c>
      <c r="Q661" s="11">
        <v>1600</v>
      </c>
      <c r="R661" s="85">
        <v>1.911589008363202</v>
      </c>
      <c r="S661" s="29" t="s">
        <v>2719</v>
      </c>
      <c r="T661" s="29" t="s">
        <v>2798</v>
      </c>
    </row>
    <row r="662">
      <c r="B662" s="29" t="s">
        <v>1219</v>
      </c>
      <c r="C662" s="29" t="s">
        <v>1247</v>
      </c>
      <c r="D662" s="8" t="s">
        <v>1269</v>
      </c>
      <c r="E662" s="10" t="s">
        <v>1970</v>
      </c>
      <c r="F662" s="10"/>
      <c r="G662" s="10">
        <v>2</v>
      </c>
      <c r="H662" s="10">
        <v>1</v>
      </c>
      <c r="I662" s="10"/>
      <c r="J662" s="10">
        <v>837</v>
      </c>
      <c r="K662" s="104">
        <v>45716</v>
      </c>
      <c r="L662" s="104">
        <v>45720</v>
      </c>
      <c r="M662" s="10" t="b">
        <v>0</v>
      </c>
      <c r="N662" s="10">
        <v>5</v>
      </c>
      <c r="O662" s="11">
        <v>1600</v>
      </c>
      <c r="P662" s="85">
        <v>1.911589008363202</v>
      </c>
      <c r="Q662" s="11">
        <v>1600</v>
      </c>
      <c r="R662" s="85">
        <v>1.911589008363202</v>
      </c>
      <c r="S662" s="29" t="s">
        <v>2719</v>
      </c>
      <c r="T662" s="29" t="s">
        <v>2798</v>
      </c>
    </row>
    <row r="663">
      <c r="B663" s="29" t="s">
        <v>1219</v>
      </c>
      <c r="C663" s="29" t="s">
        <v>1247</v>
      </c>
      <c r="D663" s="8" t="s">
        <v>1269</v>
      </c>
      <c r="E663" s="10" t="s">
        <v>1971</v>
      </c>
      <c r="F663" s="10"/>
      <c r="G663" s="10">
        <v>2</v>
      </c>
      <c r="H663" s="10">
        <v>1</v>
      </c>
      <c r="I663" s="10"/>
      <c r="J663" s="10">
        <v>837</v>
      </c>
      <c r="K663" s="104">
        <v>45716</v>
      </c>
      <c r="L663" s="104">
        <v>45720</v>
      </c>
      <c r="M663" s="10" t="b">
        <v>0</v>
      </c>
      <c r="N663" s="10">
        <v>5</v>
      </c>
      <c r="O663" s="11">
        <v>1600</v>
      </c>
      <c r="P663" s="85">
        <v>1.911589008363202</v>
      </c>
      <c r="Q663" s="11">
        <v>1600</v>
      </c>
      <c r="R663" s="85">
        <v>1.911589008363202</v>
      </c>
      <c r="S663" s="29" t="s">
        <v>2719</v>
      </c>
      <c r="T663" s="29" t="s">
        <v>2798</v>
      </c>
    </row>
    <row r="664">
      <c r="B664" s="29" t="s">
        <v>1219</v>
      </c>
      <c r="C664" s="29" t="s">
        <v>1247</v>
      </c>
      <c r="D664" s="8" t="s">
        <v>1269</v>
      </c>
      <c r="E664" s="10" t="s">
        <v>1972</v>
      </c>
      <c r="F664" s="10"/>
      <c r="G664" s="10">
        <v>2</v>
      </c>
      <c r="H664" s="10">
        <v>1</v>
      </c>
      <c r="I664" s="10"/>
      <c r="J664" s="10">
        <v>837</v>
      </c>
      <c r="K664" s="104">
        <v>45716</v>
      </c>
      <c r="L664" s="104">
        <v>45720</v>
      </c>
      <c r="M664" s="10" t="b">
        <v>0</v>
      </c>
      <c r="N664" s="10">
        <v>5</v>
      </c>
      <c r="O664" s="11">
        <v>1600</v>
      </c>
      <c r="P664" s="85">
        <v>1.911589008363202</v>
      </c>
      <c r="Q664" s="11">
        <v>1600</v>
      </c>
      <c r="R664" s="85">
        <v>1.911589008363202</v>
      </c>
      <c r="S664" s="29" t="s">
        <v>2719</v>
      </c>
      <c r="T664" s="29" t="s">
        <v>2798</v>
      </c>
    </row>
    <row r="665">
      <c r="B665" s="29" t="s">
        <v>1219</v>
      </c>
      <c r="C665" s="29" t="s">
        <v>1247</v>
      </c>
      <c r="D665" s="8" t="s">
        <v>1269</v>
      </c>
      <c r="E665" s="10" t="s">
        <v>1973</v>
      </c>
      <c r="F665" s="10"/>
      <c r="G665" s="10">
        <v>2</v>
      </c>
      <c r="H665" s="10">
        <v>1</v>
      </c>
      <c r="I665" s="10"/>
      <c r="J665" s="10">
        <v>837</v>
      </c>
      <c r="K665" s="104">
        <v>45716</v>
      </c>
      <c r="L665" s="104">
        <v>45720</v>
      </c>
      <c r="M665" s="10" t="b">
        <v>0</v>
      </c>
      <c r="N665" s="10">
        <v>5</v>
      </c>
      <c r="O665" s="11">
        <v>1600</v>
      </c>
      <c r="P665" s="85">
        <v>1.911589008363202</v>
      </c>
      <c r="Q665" s="11">
        <v>1600</v>
      </c>
      <c r="R665" s="85">
        <v>1.911589008363202</v>
      </c>
      <c r="S665" s="29" t="s">
        <v>2719</v>
      </c>
      <c r="T665" s="29" t="s">
        <v>2798</v>
      </c>
    </row>
    <row r="666">
      <c r="B666" s="29" t="s">
        <v>1219</v>
      </c>
      <c r="C666" s="29" t="s">
        <v>1247</v>
      </c>
      <c r="D666" s="8" t="s">
        <v>1269</v>
      </c>
      <c r="E666" s="10" t="s">
        <v>1974</v>
      </c>
      <c r="F666" s="10"/>
      <c r="G666" s="10">
        <v>2</v>
      </c>
      <c r="H666" s="10">
        <v>1</v>
      </c>
      <c r="I666" s="10"/>
      <c r="J666" s="10">
        <v>837</v>
      </c>
      <c r="K666" s="104">
        <v>45716</v>
      </c>
      <c r="L666" s="104">
        <v>45720</v>
      </c>
      <c r="M666" s="10" t="b">
        <v>0</v>
      </c>
      <c r="N666" s="10">
        <v>5</v>
      </c>
      <c r="O666" s="11">
        <v>1600</v>
      </c>
      <c r="P666" s="85">
        <v>1.911589008363202</v>
      </c>
      <c r="Q666" s="11">
        <v>1600</v>
      </c>
      <c r="R666" s="85">
        <v>1.911589008363202</v>
      </c>
      <c r="S666" s="29" t="s">
        <v>2719</v>
      </c>
      <c r="T666" s="29" t="s">
        <v>2798</v>
      </c>
    </row>
    <row r="667">
      <c r="B667" s="29" t="s">
        <v>1219</v>
      </c>
      <c r="C667" s="29" t="s">
        <v>1247</v>
      </c>
      <c r="D667" s="8" t="s">
        <v>1269</v>
      </c>
      <c r="E667" s="10" t="s">
        <v>1975</v>
      </c>
      <c r="F667" s="10"/>
      <c r="G667" s="10">
        <v>2</v>
      </c>
      <c r="H667" s="10">
        <v>1</v>
      </c>
      <c r="I667" s="10"/>
      <c r="J667" s="10">
        <v>837</v>
      </c>
      <c r="K667" s="104">
        <v>45716</v>
      </c>
      <c r="L667" s="104">
        <v>45720</v>
      </c>
      <c r="M667" s="10" t="b">
        <v>0</v>
      </c>
      <c r="N667" s="10">
        <v>5</v>
      </c>
      <c r="O667" s="11">
        <v>1600</v>
      </c>
      <c r="P667" s="85">
        <v>1.911589008363202</v>
      </c>
      <c r="Q667" s="11">
        <v>1600</v>
      </c>
      <c r="R667" s="85">
        <v>1.911589008363202</v>
      </c>
      <c r="S667" s="29" t="s">
        <v>2719</v>
      </c>
      <c r="T667" s="29" t="s">
        <v>2798</v>
      </c>
    </row>
    <row r="668">
      <c r="B668" s="29" t="s">
        <v>1219</v>
      </c>
      <c r="C668" s="29" t="s">
        <v>1247</v>
      </c>
      <c r="D668" s="8" t="s">
        <v>1269</v>
      </c>
      <c r="E668" s="10" t="s">
        <v>1976</v>
      </c>
      <c r="F668" s="10"/>
      <c r="G668" s="10">
        <v>2</v>
      </c>
      <c r="H668" s="10">
        <v>1</v>
      </c>
      <c r="I668" s="10"/>
      <c r="J668" s="10">
        <v>837</v>
      </c>
      <c r="K668" s="104">
        <v>45716</v>
      </c>
      <c r="L668" s="104">
        <v>45720</v>
      </c>
      <c r="M668" s="10" t="b">
        <v>0</v>
      </c>
      <c r="N668" s="10">
        <v>5</v>
      </c>
      <c r="O668" s="11">
        <v>1600</v>
      </c>
      <c r="P668" s="85">
        <v>1.911589008363202</v>
      </c>
      <c r="Q668" s="11">
        <v>1600</v>
      </c>
      <c r="R668" s="85">
        <v>1.911589008363202</v>
      </c>
      <c r="S668" s="29" t="s">
        <v>2719</v>
      </c>
      <c r="T668" s="29" t="s">
        <v>2798</v>
      </c>
    </row>
    <row r="669">
      <c r="B669" s="29" t="s">
        <v>1219</v>
      </c>
      <c r="C669" s="29" t="s">
        <v>1247</v>
      </c>
      <c r="D669" s="8" t="s">
        <v>1269</v>
      </c>
      <c r="E669" s="10" t="s">
        <v>1977</v>
      </c>
      <c r="F669" s="10"/>
      <c r="G669" s="10">
        <v>2</v>
      </c>
      <c r="H669" s="10">
        <v>1</v>
      </c>
      <c r="I669" s="10"/>
      <c r="J669" s="10">
        <v>837</v>
      </c>
      <c r="K669" s="104">
        <v>45716</v>
      </c>
      <c r="L669" s="104">
        <v>45720</v>
      </c>
      <c r="M669" s="10" t="b">
        <v>0</v>
      </c>
      <c r="N669" s="10">
        <v>5</v>
      </c>
      <c r="O669" s="11">
        <v>1600</v>
      </c>
      <c r="P669" s="85">
        <v>1.911589008363202</v>
      </c>
      <c r="Q669" s="11">
        <v>1600</v>
      </c>
      <c r="R669" s="85">
        <v>1.911589008363202</v>
      </c>
      <c r="S669" s="29" t="s">
        <v>2719</v>
      </c>
      <c r="T669" s="29" t="s">
        <v>2798</v>
      </c>
    </row>
    <row r="670">
      <c r="B670" s="29" t="s">
        <v>1219</v>
      </c>
      <c r="C670" s="29" t="s">
        <v>1247</v>
      </c>
      <c r="D670" s="8" t="s">
        <v>1269</v>
      </c>
      <c r="E670" s="10" t="s">
        <v>1978</v>
      </c>
      <c r="F670" s="10"/>
      <c r="G670" s="10">
        <v>2</v>
      </c>
      <c r="H670" s="10">
        <v>1</v>
      </c>
      <c r="I670" s="10"/>
      <c r="J670" s="10">
        <v>837</v>
      </c>
      <c r="K670" s="104">
        <v>45716</v>
      </c>
      <c r="L670" s="104">
        <v>45720</v>
      </c>
      <c r="M670" s="10" t="b">
        <v>0</v>
      </c>
      <c r="N670" s="10">
        <v>5</v>
      </c>
      <c r="O670" s="11">
        <v>1600</v>
      </c>
      <c r="P670" s="85">
        <v>1.911589008363202</v>
      </c>
      <c r="Q670" s="11">
        <v>1600</v>
      </c>
      <c r="R670" s="85">
        <v>1.911589008363202</v>
      </c>
      <c r="S670" s="29" t="s">
        <v>2719</v>
      </c>
      <c r="T670" s="29" t="s">
        <v>2798</v>
      </c>
    </row>
    <row r="671">
      <c r="B671" s="29" t="s">
        <v>1219</v>
      </c>
      <c r="C671" s="29" t="s">
        <v>1247</v>
      </c>
      <c r="D671" s="8" t="s">
        <v>1269</v>
      </c>
      <c r="E671" s="10" t="s">
        <v>1979</v>
      </c>
      <c r="F671" s="10">
        <v>2</v>
      </c>
      <c r="G671" s="10">
        <v>2</v>
      </c>
      <c r="H671" s="10">
        <v>1</v>
      </c>
      <c r="I671" s="10"/>
      <c r="J671" s="10">
        <v>837</v>
      </c>
      <c r="K671" s="104">
        <v>45716</v>
      </c>
      <c r="L671" s="104">
        <v>45720</v>
      </c>
      <c r="M671" s="10" t="b">
        <v>0</v>
      </c>
      <c r="N671" s="10">
        <v>5</v>
      </c>
      <c r="O671" s="11">
        <v>1600</v>
      </c>
      <c r="P671" s="85">
        <v>1.911589008363202</v>
      </c>
      <c r="Q671" s="11">
        <v>1600</v>
      </c>
      <c r="R671" s="85">
        <v>1.911589008363202</v>
      </c>
      <c r="S671" s="29" t="s">
        <v>2719</v>
      </c>
      <c r="T671" s="29" t="s">
        <v>2798</v>
      </c>
    </row>
    <row r="672">
      <c r="B672" s="29" t="s">
        <v>1219</v>
      </c>
      <c r="C672" s="29" t="s">
        <v>1247</v>
      </c>
      <c r="D672" s="8" t="s">
        <v>1269</v>
      </c>
      <c r="E672" s="10" t="s">
        <v>1980</v>
      </c>
      <c r="F672" s="10"/>
      <c r="G672" s="10">
        <v>2</v>
      </c>
      <c r="H672" s="10">
        <v>1</v>
      </c>
      <c r="I672" s="10"/>
      <c r="J672" s="10">
        <v>837</v>
      </c>
      <c r="K672" s="104">
        <v>45716</v>
      </c>
      <c r="L672" s="104">
        <v>45720</v>
      </c>
      <c r="M672" s="10" t="b">
        <v>0</v>
      </c>
      <c r="N672" s="10">
        <v>5</v>
      </c>
      <c r="O672" s="11">
        <v>1600</v>
      </c>
      <c r="P672" s="85">
        <v>1.911589008363202</v>
      </c>
      <c r="Q672" s="11">
        <v>1600</v>
      </c>
      <c r="R672" s="85">
        <v>1.911589008363202</v>
      </c>
      <c r="S672" s="29" t="s">
        <v>2719</v>
      </c>
      <c r="T672" s="29" t="s">
        <v>2798</v>
      </c>
    </row>
    <row r="673">
      <c r="B673" s="29" t="s">
        <v>1219</v>
      </c>
      <c r="C673" s="29" t="s">
        <v>1247</v>
      </c>
      <c r="D673" s="8" t="s">
        <v>1269</v>
      </c>
      <c r="E673" s="10" t="s">
        <v>1981</v>
      </c>
      <c r="F673" s="10"/>
      <c r="G673" s="10">
        <v>2</v>
      </c>
      <c r="H673" s="10">
        <v>1</v>
      </c>
      <c r="I673" s="10"/>
      <c r="J673" s="10">
        <v>837</v>
      </c>
      <c r="K673" s="104">
        <v>45716</v>
      </c>
      <c r="L673" s="104">
        <v>45720</v>
      </c>
      <c r="M673" s="10" t="b">
        <v>0</v>
      </c>
      <c r="N673" s="10">
        <v>5</v>
      </c>
      <c r="O673" s="11">
        <v>1600</v>
      </c>
      <c r="P673" s="85">
        <v>1.911589008363202</v>
      </c>
      <c r="Q673" s="11">
        <v>1600</v>
      </c>
      <c r="R673" s="85">
        <v>1.911589008363202</v>
      </c>
      <c r="S673" s="29" t="s">
        <v>2719</v>
      </c>
      <c r="T673" s="29" t="s">
        <v>2798</v>
      </c>
    </row>
    <row r="674">
      <c r="B674" s="29" t="s">
        <v>1219</v>
      </c>
      <c r="C674" s="29" t="s">
        <v>1247</v>
      </c>
      <c r="D674" s="8" t="s">
        <v>1269</v>
      </c>
      <c r="E674" s="10" t="s">
        <v>1982</v>
      </c>
      <c r="F674" s="10"/>
      <c r="G674" s="10">
        <v>2</v>
      </c>
      <c r="H674" s="10">
        <v>1</v>
      </c>
      <c r="I674" s="10"/>
      <c r="J674" s="10">
        <v>837</v>
      </c>
      <c r="K674" s="104">
        <v>45716</v>
      </c>
      <c r="L674" s="104">
        <v>45720</v>
      </c>
      <c r="M674" s="10" t="b">
        <v>0</v>
      </c>
      <c r="N674" s="10">
        <v>5</v>
      </c>
      <c r="O674" s="11">
        <v>1600</v>
      </c>
      <c r="P674" s="85">
        <v>1.911589008363202</v>
      </c>
      <c r="Q674" s="11">
        <v>1600</v>
      </c>
      <c r="R674" s="85">
        <v>1.911589008363202</v>
      </c>
      <c r="S674" s="29" t="s">
        <v>2719</v>
      </c>
      <c r="T674" s="29" t="s">
        <v>2798</v>
      </c>
    </row>
    <row r="675">
      <c r="B675" s="29" t="s">
        <v>1219</v>
      </c>
      <c r="C675" s="29" t="s">
        <v>1247</v>
      </c>
      <c r="D675" s="8" t="s">
        <v>1269</v>
      </c>
      <c r="E675" s="10" t="s">
        <v>1983</v>
      </c>
      <c r="F675" s="10"/>
      <c r="G675" s="10">
        <v>2</v>
      </c>
      <c r="H675" s="10">
        <v>1</v>
      </c>
      <c r="I675" s="10"/>
      <c r="J675" s="10">
        <v>837</v>
      </c>
      <c r="K675" s="104">
        <v>45716</v>
      </c>
      <c r="L675" s="104">
        <v>45720</v>
      </c>
      <c r="M675" s="10" t="b">
        <v>0</v>
      </c>
      <c r="N675" s="10">
        <v>5</v>
      </c>
      <c r="O675" s="11">
        <v>1600</v>
      </c>
      <c r="P675" s="85">
        <v>1.911589008363202</v>
      </c>
      <c r="Q675" s="11">
        <v>1600</v>
      </c>
      <c r="R675" s="85">
        <v>1.911589008363202</v>
      </c>
      <c r="S675" s="29" t="s">
        <v>2719</v>
      </c>
      <c r="T675" s="29" t="s">
        <v>2798</v>
      </c>
    </row>
    <row r="676">
      <c r="B676" s="29" t="s">
        <v>1219</v>
      </c>
      <c r="C676" s="29" t="s">
        <v>1247</v>
      </c>
      <c r="D676" s="8" t="s">
        <v>1269</v>
      </c>
      <c r="E676" s="10" t="s">
        <v>1984</v>
      </c>
      <c r="F676" s="10"/>
      <c r="G676" s="10">
        <v>2</v>
      </c>
      <c r="H676" s="10">
        <v>1</v>
      </c>
      <c r="I676" s="10"/>
      <c r="J676" s="10">
        <v>837</v>
      </c>
      <c r="K676" s="104">
        <v>45716</v>
      </c>
      <c r="L676" s="104">
        <v>45720</v>
      </c>
      <c r="M676" s="10" t="b">
        <v>0</v>
      </c>
      <c r="N676" s="10">
        <v>5</v>
      </c>
      <c r="O676" s="11">
        <v>1600</v>
      </c>
      <c r="P676" s="85">
        <v>1.911589008363202</v>
      </c>
      <c r="Q676" s="11">
        <v>1600</v>
      </c>
      <c r="R676" s="85">
        <v>1.911589008363202</v>
      </c>
      <c r="S676" s="29" t="s">
        <v>2719</v>
      </c>
      <c r="T676" s="29" t="s">
        <v>2798</v>
      </c>
    </row>
    <row r="677">
      <c r="B677" s="29" t="s">
        <v>1219</v>
      </c>
      <c r="C677" s="29" t="s">
        <v>1247</v>
      </c>
      <c r="D677" s="8" t="s">
        <v>1269</v>
      </c>
      <c r="E677" s="10" t="s">
        <v>1985</v>
      </c>
      <c r="F677" s="10"/>
      <c r="G677" s="10">
        <v>2</v>
      </c>
      <c r="H677" s="10">
        <v>1</v>
      </c>
      <c r="I677" s="10"/>
      <c r="J677" s="10">
        <v>837</v>
      </c>
      <c r="K677" s="104">
        <v>45716</v>
      </c>
      <c r="L677" s="104">
        <v>45720</v>
      </c>
      <c r="M677" s="10" t="b">
        <v>0</v>
      </c>
      <c r="N677" s="10">
        <v>5</v>
      </c>
      <c r="O677" s="11">
        <v>1600</v>
      </c>
      <c r="P677" s="85">
        <v>1.911589008363202</v>
      </c>
      <c r="Q677" s="11">
        <v>1600</v>
      </c>
      <c r="R677" s="85">
        <v>1.911589008363202</v>
      </c>
      <c r="S677" s="29" t="s">
        <v>2719</v>
      </c>
      <c r="T677" s="29" t="s">
        <v>2798</v>
      </c>
    </row>
    <row r="678">
      <c r="B678" s="29" t="s">
        <v>1219</v>
      </c>
      <c r="C678" s="29" t="s">
        <v>1247</v>
      </c>
      <c r="D678" s="8" t="s">
        <v>1269</v>
      </c>
      <c r="E678" s="10" t="s">
        <v>1986</v>
      </c>
      <c r="F678" s="10"/>
      <c r="G678" s="10">
        <v>2</v>
      </c>
      <c r="H678" s="10">
        <v>1</v>
      </c>
      <c r="I678" s="10"/>
      <c r="J678" s="10">
        <v>837</v>
      </c>
      <c r="K678" s="104">
        <v>45716</v>
      </c>
      <c r="L678" s="104">
        <v>45720</v>
      </c>
      <c r="M678" s="10" t="b">
        <v>0</v>
      </c>
      <c r="N678" s="10">
        <v>5</v>
      </c>
      <c r="O678" s="11">
        <v>1600</v>
      </c>
      <c r="P678" s="85">
        <v>1.911589008363202</v>
      </c>
      <c r="Q678" s="11">
        <v>1600</v>
      </c>
      <c r="R678" s="85">
        <v>1.911589008363202</v>
      </c>
      <c r="S678" s="29" t="s">
        <v>2719</v>
      </c>
      <c r="T678" s="29" t="s">
        <v>2798</v>
      </c>
    </row>
    <row r="679">
      <c r="B679" s="29" t="s">
        <v>1219</v>
      </c>
      <c r="C679" s="29" t="s">
        <v>1247</v>
      </c>
      <c r="D679" s="8" t="s">
        <v>1269</v>
      </c>
      <c r="E679" s="10" t="s">
        <v>1987</v>
      </c>
      <c r="F679" s="10"/>
      <c r="G679" s="10">
        <v>2</v>
      </c>
      <c r="H679" s="10">
        <v>1</v>
      </c>
      <c r="I679" s="10"/>
      <c r="J679" s="10">
        <v>837</v>
      </c>
      <c r="K679" s="104">
        <v>45716</v>
      </c>
      <c r="L679" s="104">
        <v>45720</v>
      </c>
      <c r="M679" s="10" t="b">
        <v>0</v>
      </c>
      <c r="N679" s="10">
        <v>5</v>
      </c>
      <c r="O679" s="11">
        <v>1600</v>
      </c>
      <c r="P679" s="85">
        <v>1.911589008363202</v>
      </c>
      <c r="Q679" s="11">
        <v>1600</v>
      </c>
      <c r="R679" s="85">
        <v>1.911589008363202</v>
      </c>
      <c r="S679" s="29" t="s">
        <v>2719</v>
      </c>
      <c r="T679" s="29" t="s">
        <v>2798</v>
      </c>
    </row>
    <row r="680">
      <c r="B680" s="29" t="s">
        <v>1219</v>
      </c>
      <c r="C680" s="29" t="s">
        <v>1247</v>
      </c>
      <c r="D680" s="8" t="s">
        <v>1269</v>
      </c>
      <c r="E680" s="10" t="s">
        <v>1988</v>
      </c>
      <c r="F680" s="10">
        <v>2</v>
      </c>
      <c r="G680" s="10">
        <v>2</v>
      </c>
      <c r="H680" s="10">
        <v>1</v>
      </c>
      <c r="I680" s="10"/>
      <c r="J680" s="10">
        <v>837</v>
      </c>
      <c r="K680" s="104">
        <v>45716</v>
      </c>
      <c r="L680" s="104">
        <v>45720</v>
      </c>
      <c r="M680" s="10" t="b">
        <v>0</v>
      </c>
      <c r="N680" s="10">
        <v>5</v>
      </c>
      <c r="O680" s="11">
        <v>1600</v>
      </c>
      <c r="P680" s="85">
        <v>1.911589008363202</v>
      </c>
      <c r="Q680" s="11">
        <v>1600</v>
      </c>
      <c r="R680" s="85">
        <v>1.911589008363202</v>
      </c>
      <c r="S680" s="29" t="s">
        <v>2719</v>
      </c>
      <c r="T680" s="29" t="s">
        <v>2798</v>
      </c>
    </row>
    <row r="681">
      <c r="B681" s="29" t="s">
        <v>1219</v>
      </c>
      <c r="C681" s="29" t="s">
        <v>1247</v>
      </c>
      <c r="D681" s="8" t="s">
        <v>1269</v>
      </c>
      <c r="E681" s="10" t="s">
        <v>1989</v>
      </c>
      <c r="F681" s="10"/>
      <c r="G681" s="10">
        <v>2</v>
      </c>
      <c r="H681" s="10">
        <v>1</v>
      </c>
      <c r="I681" s="10"/>
      <c r="J681" s="10">
        <v>837</v>
      </c>
      <c r="K681" s="104">
        <v>45716</v>
      </c>
      <c r="L681" s="104">
        <v>45720</v>
      </c>
      <c r="M681" s="10" t="b">
        <v>0</v>
      </c>
      <c r="N681" s="10">
        <v>5</v>
      </c>
      <c r="O681" s="11">
        <v>1600</v>
      </c>
      <c r="P681" s="85">
        <v>1.911589008363202</v>
      </c>
      <c r="Q681" s="11">
        <v>1600</v>
      </c>
      <c r="R681" s="85">
        <v>1.911589008363202</v>
      </c>
      <c r="S681" s="29" t="s">
        <v>2719</v>
      </c>
      <c r="T681" s="29" t="s">
        <v>2798</v>
      </c>
    </row>
    <row r="682">
      <c r="B682" s="29" t="s">
        <v>1219</v>
      </c>
      <c r="C682" s="29" t="s">
        <v>1247</v>
      </c>
      <c r="D682" s="8" t="s">
        <v>1269</v>
      </c>
      <c r="E682" s="10" t="s">
        <v>1990</v>
      </c>
      <c r="F682" s="10"/>
      <c r="G682" s="10">
        <v>2</v>
      </c>
      <c r="H682" s="10">
        <v>1</v>
      </c>
      <c r="I682" s="10"/>
      <c r="J682" s="10">
        <v>837</v>
      </c>
      <c r="K682" s="104">
        <v>45716</v>
      </c>
      <c r="L682" s="104">
        <v>45720</v>
      </c>
      <c r="M682" s="10" t="b">
        <v>0</v>
      </c>
      <c r="N682" s="10">
        <v>5</v>
      </c>
      <c r="O682" s="11">
        <v>1600</v>
      </c>
      <c r="P682" s="85">
        <v>1.911589008363202</v>
      </c>
      <c r="Q682" s="11">
        <v>1600</v>
      </c>
      <c r="R682" s="85">
        <v>1.911589008363202</v>
      </c>
      <c r="S682" s="29" t="s">
        <v>2719</v>
      </c>
      <c r="T682" s="29" t="s">
        <v>2798</v>
      </c>
    </row>
    <row r="683">
      <c r="B683" s="29" t="s">
        <v>1219</v>
      </c>
      <c r="C683" s="29" t="s">
        <v>1247</v>
      </c>
      <c r="D683" s="8" t="s">
        <v>1269</v>
      </c>
      <c r="E683" s="10" t="s">
        <v>1991</v>
      </c>
      <c r="F683" s="10"/>
      <c r="G683" s="10">
        <v>2</v>
      </c>
      <c r="H683" s="10">
        <v>1</v>
      </c>
      <c r="I683" s="10"/>
      <c r="J683" s="10">
        <v>837</v>
      </c>
      <c r="K683" s="104">
        <v>45716</v>
      </c>
      <c r="L683" s="104">
        <v>45720</v>
      </c>
      <c r="M683" s="10" t="b">
        <v>0</v>
      </c>
      <c r="N683" s="10">
        <v>5</v>
      </c>
      <c r="O683" s="11">
        <v>1600</v>
      </c>
      <c r="P683" s="85">
        <v>1.911589008363202</v>
      </c>
      <c r="Q683" s="11">
        <v>1600</v>
      </c>
      <c r="R683" s="85">
        <v>1.911589008363202</v>
      </c>
      <c r="S683" s="29" t="s">
        <v>2719</v>
      </c>
      <c r="T683" s="29" t="s">
        <v>2798</v>
      </c>
    </row>
    <row r="684">
      <c r="B684" s="29" t="s">
        <v>1219</v>
      </c>
      <c r="C684" s="29" t="s">
        <v>1247</v>
      </c>
      <c r="D684" s="8" t="s">
        <v>1269</v>
      </c>
      <c r="E684" s="10" t="s">
        <v>1992</v>
      </c>
      <c r="F684" s="10">
        <v>2</v>
      </c>
      <c r="G684" s="10">
        <v>2</v>
      </c>
      <c r="H684" s="10">
        <v>1</v>
      </c>
      <c r="I684" s="10"/>
      <c r="J684" s="10">
        <v>837</v>
      </c>
      <c r="K684" s="104">
        <v>45716</v>
      </c>
      <c r="L684" s="104">
        <v>45720</v>
      </c>
      <c r="M684" s="10" t="b">
        <v>0</v>
      </c>
      <c r="N684" s="10">
        <v>5</v>
      </c>
      <c r="O684" s="11">
        <v>1600</v>
      </c>
      <c r="P684" s="85">
        <v>1.911589008363202</v>
      </c>
      <c r="Q684" s="11">
        <v>1600</v>
      </c>
      <c r="R684" s="85">
        <v>1.911589008363202</v>
      </c>
      <c r="S684" s="29" t="s">
        <v>2719</v>
      </c>
      <c r="T684" s="29" t="s">
        <v>2798</v>
      </c>
    </row>
    <row r="685">
      <c r="B685" s="29" t="s">
        <v>1219</v>
      </c>
      <c r="C685" s="29" t="s">
        <v>1247</v>
      </c>
      <c r="D685" s="8" t="s">
        <v>1269</v>
      </c>
      <c r="E685" s="10" t="s">
        <v>1993</v>
      </c>
      <c r="F685" s="10"/>
      <c r="G685" s="10">
        <v>2</v>
      </c>
      <c r="H685" s="10">
        <v>1</v>
      </c>
      <c r="I685" s="10"/>
      <c r="J685" s="10">
        <v>837</v>
      </c>
      <c r="K685" s="104">
        <v>45716</v>
      </c>
      <c r="L685" s="104">
        <v>45720</v>
      </c>
      <c r="M685" s="10" t="b">
        <v>0</v>
      </c>
      <c r="N685" s="10">
        <v>5</v>
      </c>
      <c r="O685" s="11">
        <v>1600</v>
      </c>
      <c r="P685" s="85">
        <v>1.911589008363202</v>
      </c>
      <c r="Q685" s="11">
        <v>1600</v>
      </c>
      <c r="R685" s="85">
        <v>1.911589008363202</v>
      </c>
      <c r="S685" s="29" t="s">
        <v>2719</v>
      </c>
      <c r="T685" s="29" t="s">
        <v>2798</v>
      </c>
    </row>
    <row r="686">
      <c r="B686" s="29" t="s">
        <v>1219</v>
      </c>
      <c r="C686" s="29" t="s">
        <v>1247</v>
      </c>
      <c r="D686" s="8" t="s">
        <v>1269</v>
      </c>
      <c r="E686" s="10" t="s">
        <v>1994</v>
      </c>
      <c r="F686" s="10"/>
      <c r="G686" s="10">
        <v>2</v>
      </c>
      <c r="H686" s="10">
        <v>1</v>
      </c>
      <c r="I686" s="10"/>
      <c r="J686" s="10">
        <v>837</v>
      </c>
      <c r="K686" s="104">
        <v>45716</v>
      </c>
      <c r="L686" s="104">
        <v>45720</v>
      </c>
      <c r="M686" s="10" t="b">
        <v>0</v>
      </c>
      <c r="N686" s="10">
        <v>5</v>
      </c>
      <c r="O686" s="11">
        <v>1600</v>
      </c>
      <c r="P686" s="85">
        <v>1.911589008363202</v>
      </c>
      <c r="Q686" s="11">
        <v>1600</v>
      </c>
      <c r="R686" s="85">
        <v>1.911589008363202</v>
      </c>
      <c r="S686" s="29" t="s">
        <v>2719</v>
      </c>
      <c r="T686" s="29" t="s">
        <v>2798</v>
      </c>
    </row>
    <row r="687">
      <c r="B687" s="29" t="s">
        <v>1219</v>
      </c>
      <c r="C687" s="29" t="s">
        <v>1247</v>
      </c>
      <c r="D687" s="8" t="s">
        <v>1269</v>
      </c>
      <c r="E687" s="10" t="s">
        <v>1995</v>
      </c>
      <c r="F687" s="10"/>
      <c r="G687" s="10">
        <v>2</v>
      </c>
      <c r="H687" s="10">
        <v>1</v>
      </c>
      <c r="I687" s="10"/>
      <c r="J687" s="10">
        <v>837</v>
      </c>
      <c r="K687" s="104">
        <v>45716</v>
      </c>
      <c r="L687" s="104">
        <v>45720</v>
      </c>
      <c r="M687" s="10" t="b">
        <v>0</v>
      </c>
      <c r="N687" s="10">
        <v>5</v>
      </c>
      <c r="O687" s="11">
        <v>1600</v>
      </c>
      <c r="P687" s="85">
        <v>1.911589008363202</v>
      </c>
      <c r="Q687" s="11">
        <v>1600</v>
      </c>
      <c r="R687" s="85">
        <v>1.911589008363202</v>
      </c>
      <c r="S687" s="29" t="s">
        <v>2719</v>
      </c>
      <c r="T687" s="29" t="s">
        <v>2798</v>
      </c>
    </row>
    <row r="688">
      <c r="B688" s="29" t="s">
        <v>1219</v>
      </c>
      <c r="C688" s="29" t="s">
        <v>1247</v>
      </c>
      <c r="D688" s="8" t="s">
        <v>1269</v>
      </c>
      <c r="E688" s="10" t="s">
        <v>1996</v>
      </c>
      <c r="F688" s="10"/>
      <c r="G688" s="10">
        <v>2</v>
      </c>
      <c r="H688" s="10">
        <v>1</v>
      </c>
      <c r="I688" s="10"/>
      <c r="J688" s="10">
        <v>837</v>
      </c>
      <c r="K688" s="104">
        <v>45716</v>
      </c>
      <c r="L688" s="104">
        <v>45720</v>
      </c>
      <c r="M688" s="10" t="b">
        <v>0</v>
      </c>
      <c r="N688" s="10">
        <v>5</v>
      </c>
      <c r="O688" s="11">
        <v>1600</v>
      </c>
      <c r="P688" s="85">
        <v>1.911589008363202</v>
      </c>
      <c r="Q688" s="11">
        <v>1600</v>
      </c>
      <c r="R688" s="85">
        <v>1.911589008363202</v>
      </c>
      <c r="S688" s="29" t="s">
        <v>2719</v>
      </c>
      <c r="T688" s="29" t="s">
        <v>2798</v>
      </c>
    </row>
    <row r="689">
      <c r="B689" s="29" t="s">
        <v>1219</v>
      </c>
      <c r="C689" s="29" t="s">
        <v>1247</v>
      </c>
      <c r="D689" s="8" t="s">
        <v>1269</v>
      </c>
      <c r="E689" s="10" t="s">
        <v>1997</v>
      </c>
      <c r="F689" s="10">
        <v>2</v>
      </c>
      <c r="G689" s="10">
        <v>2</v>
      </c>
      <c r="H689" s="10">
        <v>1</v>
      </c>
      <c r="I689" s="10"/>
      <c r="J689" s="10">
        <v>837</v>
      </c>
      <c r="K689" s="104">
        <v>45716</v>
      </c>
      <c r="L689" s="104">
        <v>45720</v>
      </c>
      <c r="M689" s="10" t="b">
        <v>0</v>
      </c>
      <c r="N689" s="10">
        <v>5</v>
      </c>
      <c r="O689" s="11">
        <v>1600</v>
      </c>
      <c r="P689" s="85">
        <v>1.911589008363202</v>
      </c>
      <c r="Q689" s="11">
        <v>1600</v>
      </c>
      <c r="R689" s="85">
        <v>1.911589008363202</v>
      </c>
      <c r="S689" s="29" t="s">
        <v>2719</v>
      </c>
      <c r="T689" s="29" t="s">
        <v>2798</v>
      </c>
    </row>
    <row r="690">
      <c r="B690" s="29" t="s">
        <v>1219</v>
      </c>
      <c r="C690" s="29" t="s">
        <v>1247</v>
      </c>
      <c r="D690" s="8" t="s">
        <v>1269</v>
      </c>
      <c r="E690" s="10" t="s">
        <v>1998</v>
      </c>
      <c r="F690" s="10"/>
      <c r="G690" s="10">
        <v>2</v>
      </c>
      <c r="H690" s="10">
        <v>1</v>
      </c>
      <c r="I690" s="10"/>
      <c r="J690" s="10">
        <v>837</v>
      </c>
      <c r="K690" s="104">
        <v>45716</v>
      </c>
      <c r="L690" s="104">
        <v>45720</v>
      </c>
      <c r="M690" s="10" t="b">
        <v>0</v>
      </c>
      <c r="N690" s="10">
        <v>5</v>
      </c>
      <c r="O690" s="11">
        <v>1600</v>
      </c>
      <c r="P690" s="85">
        <v>1.911589008363202</v>
      </c>
      <c r="Q690" s="11">
        <v>1600</v>
      </c>
      <c r="R690" s="85">
        <v>1.911589008363202</v>
      </c>
      <c r="S690" s="29" t="s">
        <v>2719</v>
      </c>
      <c r="T690" s="29" t="s">
        <v>2798</v>
      </c>
    </row>
    <row r="691">
      <c r="B691" s="29" t="s">
        <v>1219</v>
      </c>
      <c r="C691" s="29" t="s">
        <v>1247</v>
      </c>
      <c r="D691" s="8" t="s">
        <v>1269</v>
      </c>
      <c r="E691" s="10" t="s">
        <v>1999</v>
      </c>
      <c r="F691" s="10"/>
      <c r="G691" s="10">
        <v>2</v>
      </c>
      <c r="H691" s="10">
        <v>1</v>
      </c>
      <c r="I691" s="10"/>
      <c r="J691" s="10">
        <v>837</v>
      </c>
      <c r="K691" s="104">
        <v>45716</v>
      </c>
      <c r="L691" s="104">
        <v>45720</v>
      </c>
      <c r="M691" s="10" t="b">
        <v>0</v>
      </c>
      <c r="N691" s="10">
        <v>5</v>
      </c>
      <c r="O691" s="11">
        <v>1600</v>
      </c>
      <c r="P691" s="85">
        <v>1.911589008363202</v>
      </c>
      <c r="Q691" s="11">
        <v>1600</v>
      </c>
      <c r="R691" s="85">
        <v>1.911589008363202</v>
      </c>
      <c r="S691" s="29" t="s">
        <v>2719</v>
      </c>
      <c r="T691" s="29" t="s">
        <v>2798</v>
      </c>
    </row>
    <row r="692">
      <c r="B692" s="29" t="s">
        <v>1219</v>
      </c>
      <c r="C692" s="29" t="s">
        <v>1247</v>
      </c>
      <c r="D692" s="8" t="s">
        <v>1269</v>
      </c>
      <c r="E692" s="10" t="s">
        <v>2000</v>
      </c>
      <c r="F692" s="10"/>
      <c r="G692" s="10">
        <v>2</v>
      </c>
      <c r="H692" s="10">
        <v>1</v>
      </c>
      <c r="I692" s="10"/>
      <c r="J692" s="10">
        <v>837</v>
      </c>
      <c r="K692" s="104">
        <v>45716</v>
      </c>
      <c r="L692" s="104">
        <v>45720</v>
      </c>
      <c r="M692" s="10" t="b">
        <v>0</v>
      </c>
      <c r="N692" s="10">
        <v>5</v>
      </c>
      <c r="O692" s="11">
        <v>1600</v>
      </c>
      <c r="P692" s="85">
        <v>1.911589008363202</v>
      </c>
      <c r="Q692" s="11">
        <v>1600</v>
      </c>
      <c r="R692" s="85">
        <v>1.911589008363202</v>
      </c>
      <c r="S692" s="29" t="s">
        <v>2719</v>
      </c>
      <c r="T692" s="29" t="s">
        <v>2798</v>
      </c>
    </row>
    <row r="693">
      <c r="B693" s="29" t="s">
        <v>1219</v>
      </c>
      <c r="C693" s="29" t="s">
        <v>1247</v>
      </c>
      <c r="D693" s="8" t="s">
        <v>1269</v>
      </c>
      <c r="E693" s="10" t="s">
        <v>2001</v>
      </c>
      <c r="F693" s="10"/>
      <c r="G693" s="10">
        <v>2</v>
      </c>
      <c r="H693" s="10">
        <v>1</v>
      </c>
      <c r="I693" s="10"/>
      <c r="J693" s="10">
        <v>837</v>
      </c>
      <c r="K693" s="104">
        <v>45716</v>
      </c>
      <c r="L693" s="104">
        <v>45720</v>
      </c>
      <c r="M693" s="10" t="b">
        <v>0</v>
      </c>
      <c r="N693" s="10">
        <v>5</v>
      </c>
      <c r="O693" s="11">
        <v>1600</v>
      </c>
      <c r="P693" s="85">
        <v>1.911589008363202</v>
      </c>
      <c r="Q693" s="11">
        <v>1600</v>
      </c>
      <c r="R693" s="85">
        <v>1.911589008363202</v>
      </c>
      <c r="S693" s="29" t="s">
        <v>2719</v>
      </c>
      <c r="T693" s="29" t="s">
        <v>2798</v>
      </c>
    </row>
    <row r="694">
      <c r="B694" s="29" t="s">
        <v>1219</v>
      </c>
      <c r="C694" s="29" t="s">
        <v>1247</v>
      </c>
      <c r="D694" s="8" t="s">
        <v>1269</v>
      </c>
      <c r="E694" s="10" t="s">
        <v>2002</v>
      </c>
      <c r="F694" s="10"/>
      <c r="G694" s="10">
        <v>2</v>
      </c>
      <c r="H694" s="10">
        <v>1</v>
      </c>
      <c r="I694" s="10"/>
      <c r="J694" s="10">
        <v>837</v>
      </c>
      <c r="K694" s="104">
        <v>45716</v>
      </c>
      <c r="L694" s="104">
        <v>45720</v>
      </c>
      <c r="M694" s="10" t="b">
        <v>0</v>
      </c>
      <c r="N694" s="10">
        <v>5</v>
      </c>
      <c r="O694" s="11">
        <v>1600</v>
      </c>
      <c r="P694" s="85">
        <v>1.911589008363202</v>
      </c>
      <c r="Q694" s="11">
        <v>1600</v>
      </c>
      <c r="R694" s="85">
        <v>1.911589008363202</v>
      </c>
      <c r="S694" s="29" t="s">
        <v>2719</v>
      </c>
      <c r="T694" s="29" t="s">
        <v>2798</v>
      </c>
    </row>
    <row r="695">
      <c r="B695" s="29" t="s">
        <v>1219</v>
      </c>
      <c r="C695" s="29" t="s">
        <v>1247</v>
      </c>
      <c r="D695" s="8" t="s">
        <v>1269</v>
      </c>
      <c r="E695" s="10" t="s">
        <v>2003</v>
      </c>
      <c r="F695" s="10"/>
      <c r="G695" s="10">
        <v>2</v>
      </c>
      <c r="H695" s="10">
        <v>1</v>
      </c>
      <c r="I695" s="10"/>
      <c r="J695" s="10">
        <v>837</v>
      </c>
      <c r="K695" s="104">
        <v>45716</v>
      </c>
      <c r="L695" s="104">
        <v>45720</v>
      </c>
      <c r="M695" s="10" t="b">
        <v>0</v>
      </c>
      <c r="N695" s="10">
        <v>5</v>
      </c>
      <c r="O695" s="11">
        <v>1600</v>
      </c>
      <c r="P695" s="85">
        <v>1.911589008363202</v>
      </c>
      <c r="Q695" s="11">
        <v>1600</v>
      </c>
      <c r="R695" s="85">
        <v>1.911589008363202</v>
      </c>
      <c r="S695" s="29" t="s">
        <v>2719</v>
      </c>
      <c r="T695" s="29" t="s">
        <v>2798</v>
      </c>
    </row>
    <row r="696">
      <c r="B696" s="29" t="s">
        <v>1219</v>
      </c>
      <c r="C696" s="29" t="s">
        <v>1247</v>
      </c>
      <c r="D696" s="8" t="s">
        <v>1269</v>
      </c>
      <c r="E696" s="10" t="s">
        <v>2004</v>
      </c>
      <c r="F696" s="10"/>
      <c r="G696" s="10">
        <v>2</v>
      </c>
      <c r="H696" s="10">
        <v>1</v>
      </c>
      <c r="I696" s="10"/>
      <c r="J696" s="10">
        <v>837</v>
      </c>
      <c r="K696" s="104">
        <v>45716</v>
      </c>
      <c r="L696" s="104">
        <v>45720</v>
      </c>
      <c r="M696" s="10" t="b">
        <v>0</v>
      </c>
      <c r="N696" s="10">
        <v>5</v>
      </c>
      <c r="O696" s="11">
        <v>1600</v>
      </c>
      <c r="P696" s="85">
        <v>1.911589008363202</v>
      </c>
      <c r="Q696" s="11">
        <v>1600</v>
      </c>
      <c r="R696" s="85">
        <v>1.911589008363202</v>
      </c>
      <c r="S696" s="29" t="s">
        <v>2719</v>
      </c>
      <c r="T696" s="29" t="s">
        <v>2798</v>
      </c>
    </row>
    <row r="697">
      <c r="B697" s="29" t="s">
        <v>1219</v>
      </c>
      <c r="C697" s="29" t="s">
        <v>1247</v>
      </c>
      <c r="D697" s="8" t="s">
        <v>1269</v>
      </c>
      <c r="E697" s="10" t="s">
        <v>2005</v>
      </c>
      <c r="F697" s="10"/>
      <c r="G697" s="10">
        <v>2</v>
      </c>
      <c r="H697" s="10">
        <v>1</v>
      </c>
      <c r="I697" s="10"/>
      <c r="J697" s="10">
        <v>837</v>
      </c>
      <c r="K697" s="104">
        <v>45716</v>
      </c>
      <c r="L697" s="104">
        <v>45720</v>
      </c>
      <c r="M697" s="10" t="b">
        <v>0</v>
      </c>
      <c r="N697" s="10">
        <v>5</v>
      </c>
      <c r="O697" s="11">
        <v>1600</v>
      </c>
      <c r="P697" s="85">
        <v>1.911589008363202</v>
      </c>
      <c r="Q697" s="11">
        <v>1600</v>
      </c>
      <c r="R697" s="85">
        <v>1.911589008363202</v>
      </c>
      <c r="S697" s="29" t="s">
        <v>2719</v>
      </c>
      <c r="T697" s="29" t="s">
        <v>2798</v>
      </c>
    </row>
    <row r="698">
      <c r="B698" s="29" t="s">
        <v>1219</v>
      </c>
      <c r="C698" s="29" t="s">
        <v>1247</v>
      </c>
      <c r="D698" s="8" t="s">
        <v>1269</v>
      </c>
      <c r="E698" s="10" t="s">
        <v>2006</v>
      </c>
      <c r="F698" s="10">
        <v>2</v>
      </c>
      <c r="G698" s="10">
        <v>2</v>
      </c>
      <c r="H698" s="10">
        <v>1</v>
      </c>
      <c r="I698" s="10"/>
      <c r="J698" s="10">
        <v>837</v>
      </c>
      <c r="K698" s="104">
        <v>45716</v>
      </c>
      <c r="L698" s="104">
        <v>45720</v>
      </c>
      <c r="M698" s="10" t="b">
        <v>0</v>
      </c>
      <c r="N698" s="10">
        <v>5</v>
      </c>
      <c r="O698" s="11">
        <v>1600</v>
      </c>
      <c r="P698" s="85">
        <v>1.911589008363202</v>
      </c>
      <c r="Q698" s="11">
        <v>1600</v>
      </c>
      <c r="R698" s="85">
        <v>1.911589008363202</v>
      </c>
      <c r="S698" s="29" t="s">
        <v>2719</v>
      </c>
      <c r="T698" s="29" t="s">
        <v>2798</v>
      </c>
    </row>
    <row r="699">
      <c r="B699" s="29" t="s">
        <v>1219</v>
      </c>
      <c r="C699" s="29" t="s">
        <v>1247</v>
      </c>
      <c r="D699" s="8" t="s">
        <v>1269</v>
      </c>
      <c r="E699" s="10" t="s">
        <v>2007</v>
      </c>
      <c r="F699" s="10"/>
      <c r="G699" s="10">
        <v>2</v>
      </c>
      <c r="H699" s="10">
        <v>1</v>
      </c>
      <c r="I699" s="10"/>
      <c r="J699" s="10">
        <v>837</v>
      </c>
      <c r="K699" s="104">
        <v>45716</v>
      </c>
      <c r="L699" s="104">
        <v>45720</v>
      </c>
      <c r="M699" s="10" t="b">
        <v>0</v>
      </c>
      <c r="N699" s="10">
        <v>5</v>
      </c>
      <c r="O699" s="11">
        <v>1600</v>
      </c>
      <c r="P699" s="85">
        <v>1.911589008363202</v>
      </c>
      <c r="Q699" s="11">
        <v>1600</v>
      </c>
      <c r="R699" s="85">
        <v>1.911589008363202</v>
      </c>
      <c r="S699" s="29" t="s">
        <v>2719</v>
      </c>
      <c r="T699" s="29" t="s">
        <v>2798</v>
      </c>
    </row>
    <row r="700">
      <c r="B700" s="29" t="s">
        <v>1219</v>
      </c>
      <c r="C700" s="29" t="s">
        <v>1247</v>
      </c>
      <c r="D700" s="8" t="s">
        <v>1269</v>
      </c>
      <c r="E700" s="10" t="s">
        <v>2008</v>
      </c>
      <c r="F700" s="10"/>
      <c r="G700" s="10">
        <v>2</v>
      </c>
      <c r="H700" s="10">
        <v>1</v>
      </c>
      <c r="I700" s="10"/>
      <c r="J700" s="10">
        <v>837</v>
      </c>
      <c r="K700" s="104">
        <v>45716</v>
      </c>
      <c r="L700" s="104">
        <v>45720</v>
      </c>
      <c r="M700" s="10" t="b">
        <v>0</v>
      </c>
      <c r="N700" s="10">
        <v>5</v>
      </c>
      <c r="O700" s="11">
        <v>1600</v>
      </c>
      <c r="P700" s="85">
        <v>1.911589008363202</v>
      </c>
      <c r="Q700" s="11">
        <v>1600</v>
      </c>
      <c r="R700" s="85">
        <v>1.911589008363202</v>
      </c>
      <c r="S700" s="29" t="s">
        <v>2719</v>
      </c>
      <c r="T700" s="29" t="s">
        <v>2798</v>
      </c>
    </row>
    <row r="701">
      <c r="B701" s="29" t="s">
        <v>1219</v>
      </c>
      <c r="C701" s="29" t="s">
        <v>1247</v>
      </c>
      <c r="D701" s="8" t="s">
        <v>1269</v>
      </c>
      <c r="E701" s="10" t="s">
        <v>2009</v>
      </c>
      <c r="F701" s="10"/>
      <c r="G701" s="10">
        <v>2</v>
      </c>
      <c r="H701" s="10">
        <v>1</v>
      </c>
      <c r="I701" s="10"/>
      <c r="J701" s="10">
        <v>837</v>
      </c>
      <c r="K701" s="104">
        <v>45716</v>
      </c>
      <c r="L701" s="104">
        <v>45720</v>
      </c>
      <c r="M701" s="10" t="b">
        <v>0</v>
      </c>
      <c r="N701" s="10">
        <v>5</v>
      </c>
      <c r="O701" s="11">
        <v>1600</v>
      </c>
      <c r="P701" s="85">
        <v>1.911589008363202</v>
      </c>
      <c r="Q701" s="11">
        <v>1600</v>
      </c>
      <c r="R701" s="85">
        <v>1.911589008363202</v>
      </c>
      <c r="S701" s="29" t="s">
        <v>2719</v>
      </c>
      <c r="T701" s="29" t="s">
        <v>2798</v>
      </c>
    </row>
    <row r="702">
      <c r="B702" s="29" t="s">
        <v>1219</v>
      </c>
      <c r="C702" s="29" t="s">
        <v>1247</v>
      </c>
      <c r="D702" s="8" t="s">
        <v>1269</v>
      </c>
      <c r="E702" s="10" t="s">
        <v>2010</v>
      </c>
      <c r="F702" s="10"/>
      <c r="G702" s="10">
        <v>2</v>
      </c>
      <c r="H702" s="10">
        <v>1</v>
      </c>
      <c r="I702" s="10"/>
      <c r="J702" s="10">
        <v>837</v>
      </c>
      <c r="K702" s="104">
        <v>45716</v>
      </c>
      <c r="L702" s="104">
        <v>45720</v>
      </c>
      <c r="M702" s="10" t="b">
        <v>0</v>
      </c>
      <c r="N702" s="10">
        <v>5</v>
      </c>
      <c r="O702" s="11">
        <v>1600</v>
      </c>
      <c r="P702" s="85">
        <v>1.911589008363202</v>
      </c>
      <c r="Q702" s="11">
        <v>1600</v>
      </c>
      <c r="R702" s="85">
        <v>1.911589008363202</v>
      </c>
      <c r="S702" s="29" t="s">
        <v>2719</v>
      </c>
      <c r="T702" s="29" t="s">
        <v>2798</v>
      </c>
    </row>
    <row r="703">
      <c r="B703" s="29" t="s">
        <v>1219</v>
      </c>
      <c r="C703" s="29" t="s">
        <v>1247</v>
      </c>
      <c r="D703" s="8" t="s">
        <v>1269</v>
      </c>
      <c r="E703" s="10" t="s">
        <v>2011</v>
      </c>
      <c r="F703" s="10"/>
      <c r="G703" s="10">
        <v>2</v>
      </c>
      <c r="H703" s="10">
        <v>1</v>
      </c>
      <c r="I703" s="10"/>
      <c r="J703" s="10">
        <v>837</v>
      </c>
      <c r="K703" s="104">
        <v>45716</v>
      </c>
      <c r="L703" s="104">
        <v>45720</v>
      </c>
      <c r="M703" s="10" t="b">
        <v>0</v>
      </c>
      <c r="N703" s="10">
        <v>5</v>
      </c>
      <c r="O703" s="11">
        <v>1600</v>
      </c>
      <c r="P703" s="85">
        <v>1.911589008363202</v>
      </c>
      <c r="Q703" s="11">
        <v>1600</v>
      </c>
      <c r="R703" s="85">
        <v>1.911589008363202</v>
      </c>
      <c r="S703" s="29" t="s">
        <v>2719</v>
      </c>
      <c r="T703" s="29" t="s">
        <v>2798</v>
      </c>
    </row>
    <row r="704">
      <c r="B704" s="29" t="s">
        <v>1219</v>
      </c>
      <c r="C704" s="29" t="s">
        <v>1247</v>
      </c>
      <c r="D704" s="8" t="s">
        <v>1269</v>
      </c>
      <c r="E704" s="10" t="s">
        <v>2012</v>
      </c>
      <c r="F704" s="10"/>
      <c r="G704" s="10">
        <v>2</v>
      </c>
      <c r="H704" s="10">
        <v>1</v>
      </c>
      <c r="I704" s="10"/>
      <c r="J704" s="10">
        <v>837</v>
      </c>
      <c r="K704" s="104">
        <v>45716</v>
      </c>
      <c r="L704" s="104">
        <v>45720</v>
      </c>
      <c r="M704" s="10" t="b">
        <v>0</v>
      </c>
      <c r="N704" s="10">
        <v>5</v>
      </c>
      <c r="O704" s="11">
        <v>1600</v>
      </c>
      <c r="P704" s="85">
        <v>1.911589008363202</v>
      </c>
      <c r="Q704" s="11">
        <v>1600</v>
      </c>
      <c r="R704" s="85">
        <v>1.911589008363202</v>
      </c>
      <c r="S704" s="29" t="s">
        <v>2719</v>
      </c>
      <c r="T704" s="29" t="s">
        <v>2798</v>
      </c>
    </row>
    <row r="705">
      <c r="B705" s="29" t="s">
        <v>1219</v>
      </c>
      <c r="C705" s="29" t="s">
        <v>1247</v>
      </c>
      <c r="D705" s="8" t="s">
        <v>1269</v>
      </c>
      <c r="E705" s="10" t="s">
        <v>2013</v>
      </c>
      <c r="F705" s="10">
        <v>2</v>
      </c>
      <c r="G705" s="10">
        <v>2</v>
      </c>
      <c r="H705" s="10">
        <v>1</v>
      </c>
      <c r="I705" s="10"/>
      <c r="J705" s="10">
        <v>837</v>
      </c>
      <c r="K705" s="104">
        <v>45716</v>
      </c>
      <c r="L705" s="104">
        <v>45720</v>
      </c>
      <c r="M705" s="10" t="b">
        <v>0</v>
      </c>
      <c r="N705" s="10">
        <v>5</v>
      </c>
      <c r="O705" s="11">
        <v>1600</v>
      </c>
      <c r="P705" s="85">
        <v>1.911589008363202</v>
      </c>
      <c r="Q705" s="11">
        <v>1600</v>
      </c>
      <c r="R705" s="85">
        <v>1.911589008363202</v>
      </c>
      <c r="S705" s="29" t="s">
        <v>2719</v>
      </c>
      <c r="T705" s="29" t="s">
        <v>2798</v>
      </c>
    </row>
    <row r="706">
      <c r="B706" s="29" t="s">
        <v>1219</v>
      </c>
      <c r="C706" s="29" t="s">
        <v>1247</v>
      </c>
      <c r="D706" s="8" t="s">
        <v>1269</v>
      </c>
      <c r="E706" s="10" t="s">
        <v>2014</v>
      </c>
      <c r="F706" s="10"/>
      <c r="G706" s="10">
        <v>2</v>
      </c>
      <c r="H706" s="10">
        <v>1</v>
      </c>
      <c r="I706" s="10"/>
      <c r="J706" s="10">
        <v>837</v>
      </c>
      <c r="K706" s="104">
        <v>45716</v>
      </c>
      <c r="L706" s="104">
        <v>45720</v>
      </c>
      <c r="M706" s="10" t="b">
        <v>0</v>
      </c>
      <c r="N706" s="10">
        <v>5</v>
      </c>
      <c r="O706" s="11">
        <v>1600</v>
      </c>
      <c r="P706" s="85">
        <v>1.911589008363202</v>
      </c>
      <c r="Q706" s="11">
        <v>1600</v>
      </c>
      <c r="R706" s="85">
        <v>1.911589008363202</v>
      </c>
      <c r="S706" s="29" t="s">
        <v>2719</v>
      </c>
      <c r="T706" s="29" t="s">
        <v>2798</v>
      </c>
    </row>
    <row r="707">
      <c r="B707" s="29" t="s">
        <v>1219</v>
      </c>
      <c r="C707" s="29" t="s">
        <v>1247</v>
      </c>
      <c r="D707" s="8" t="s">
        <v>1269</v>
      </c>
      <c r="E707" s="10" t="s">
        <v>2015</v>
      </c>
      <c r="F707" s="10"/>
      <c r="G707" s="10">
        <v>2</v>
      </c>
      <c r="H707" s="10">
        <v>1</v>
      </c>
      <c r="I707" s="10"/>
      <c r="J707" s="10">
        <v>837</v>
      </c>
      <c r="K707" s="104">
        <v>45716</v>
      </c>
      <c r="L707" s="104">
        <v>45720</v>
      </c>
      <c r="M707" s="10" t="b">
        <v>0</v>
      </c>
      <c r="N707" s="10">
        <v>5</v>
      </c>
      <c r="O707" s="11">
        <v>1600</v>
      </c>
      <c r="P707" s="85">
        <v>1.911589008363202</v>
      </c>
      <c r="Q707" s="11">
        <v>1600</v>
      </c>
      <c r="R707" s="85">
        <v>1.911589008363202</v>
      </c>
      <c r="S707" s="29" t="s">
        <v>2719</v>
      </c>
      <c r="T707" s="29" t="s">
        <v>2798</v>
      </c>
    </row>
    <row r="708">
      <c r="B708" s="29" t="s">
        <v>1219</v>
      </c>
      <c r="C708" s="29" t="s">
        <v>1247</v>
      </c>
      <c r="D708" s="8" t="s">
        <v>1269</v>
      </c>
      <c r="E708" s="10" t="s">
        <v>2016</v>
      </c>
      <c r="F708" s="10"/>
      <c r="G708" s="10">
        <v>2</v>
      </c>
      <c r="H708" s="10">
        <v>1</v>
      </c>
      <c r="I708" s="10"/>
      <c r="J708" s="10">
        <v>837</v>
      </c>
      <c r="K708" s="104">
        <v>45716</v>
      </c>
      <c r="L708" s="104">
        <v>45720</v>
      </c>
      <c r="M708" s="10" t="b">
        <v>0</v>
      </c>
      <c r="N708" s="10">
        <v>5</v>
      </c>
      <c r="O708" s="11">
        <v>1600</v>
      </c>
      <c r="P708" s="85">
        <v>1.911589008363202</v>
      </c>
      <c r="Q708" s="11">
        <v>1600</v>
      </c>
      <c r="R708" s="85">
        <v>1.911589008363202</v>
      </c>
      <c r="S708" s="29" t="s">
        <v>2719</v>
      </c>
      <c r="T708" s="29" t="s">
        <v>2798</v>
      </c>
    </row>
    <row r="709">
      <c r="B709" s="29" t="s">
        <v>1219</v>
      </c>
      <c r="C709" s="29" t="s">
        <v>1247</v>
      </c>
      <c r="D709" s="8" t="s">
        <v>1269</v>
      </c>
      <c r="E709" s="10" t="s">
        <v>2017</v>
      </c>
      <c r="F709" s="10"/>
      <c r="G709" s="10">
        <v>2</v>
      </c>
      <c r="H709" s="10">
        <v>1</v>
      </c>
      <c r="I709" s="10"/>
      <c r="J709" s="10">
        <v>837</v>
      </c>
      <c r="K709" s="104">
        <v>45716</v>
      </c>
      <c r="L709" s="104">
        <v>45720</v>
      </c>
      <c r="M709" s="10" t="b">
        <v>0</v>
      </c>
      <c r="N709" s="10">
        <v>5</v>
      </c>
      <c r="O709" s="11">
        <v>1600</v>
      </c>
      <c r="P709" s="85">
        <v>1.911589008363202</v>
      </c>
      <c r="Q709" s="11">
        <v>1600</v>
      </c>
      <c r="R709" s="85">
        <v>1.911589008363202</v>
      </c>
      <c r="S709" s="29" t="s">
        <v>2719</v>
      </c>
      <c r="T709" s="29" t="s">
        <v>2798</v>
      </c>
    </row>
    <row r="710">
      <c r="B710" s="29" t="s">
        <v>1219</v>
      </c>
      <c r="C710" s="29" t="s">
        <v>1247</v>
      </c>
      <c r="D710" s="8" t="s">
        <v>1269</v>
      </c>
      <c r="E710" s="10" t="s">
        <v>2018</v>
      </c>
      <c r="F710" s="10"/>
      <c r="G710" s="10">
        <v>2</v>
      </c>
      <c r="H710" s="10">
        <v>1</v>
      </c>
      <c r="I710" s="10"/>
      <c r="J710" s="10">
        <v>837</v>
      </c>
      <c r="K710" s="104">
        <v>45716</v>
      </c>
      <c r="L710" s="104">
        <v>45720</v>
      </c>
      <c r="M710" s="10" t="b">
        <v>0</v>
      </c>
      <c r="N710" s="10">
        <v>5</v>
      </c>
      <c r="O710" s="11">
        <v>1600</v>
      </c>
      <c r="P710" s="85">
        <v>1.911589008363202</v>
      </c>
      <c r="Q710" s="11">
        <v>1600</v>
      </c>
      <c r="R710" s="85">
        <v>1.911589008363202</v>
      </c>
      <c r="S710" s="29" t="s">
        <v>2719</v>
      </c>
      <c r="T710" s="29" t="s">
        <v>2798</v>
      </c>
    </row>
    <row r="711">
      <c r="B711" s="29" t="s">
        <v>1219</v>
      </c>
      <c r="C711" s="29" t="s">
        <v>1247</v>
      </c>
      <c r="D711" s="8" t="s">
        <v>1269</v>
      </c>
      <c r="E711" s="10" t="s">
        <v>2019</v>
      </c>
      <c r="F711" s="10"/>
      <c r="G711" s="10">
        <v>2</v>
      </c>
      <c r="H711" s="10">
        <v>1</v>
      </c>
      <c r="I711" s="10"/>
      <c r="J711" s="10">
        <v>837</v>
      </c>
      <c r="K711" s="104">
        <v>45716</v>
      </c>
      <c r="L711" s="104">
        <v>45720</v>
      </c>
      <c r="M711" s="10" t="b">
        <v>0</v>
      </c>
      <c r="N711" s="10">
        <v>5</v>
      </c>
      <c r="O711" s="11">
        <v>1600</v>
      </c>
      <c r="P711" s="85">
        <v>1.911589008363202</v>
      </c>
      <c r="Q711" s="11">
        <v>1600</v>
      </c>
      <c r="R711" s="85">
        <v>1.911589008363202</v>
      </c>
      <c r="S711" s="29" t="s">
        <v>2719</v>
      </c>
      <c r="T711" s="29" t="s">
        <v>2798</v>
      </c>
    </row>
    <row r="712">
      <c r="B712" s="29" t="s">
        <v>1219</v>
      </c>
      <c r="C712" s="29" t="s">
        <v>1247</v>
      </c>
      <c r="D712" s="8" t="s">
        <v>1269</v>
      </c>
      <c r="E712" s="10" t="s">
        <v>2020</v>
      </c>
      <c r="F712" s="10"/>
      <c r="G712" s="10">
        <v>2</v>
      </c>
      <c r="H712" s="10">
        <v>1</v>
      </c>
      <c r="I712" s="10"/>
      <c r="J712" s="10">
        <v>837</v>
      </c>
      <c r="K712" s="104">
        <v>45716</v>
      </c>
      <c r="L712" s="104">
        <v>45720</v>
      </c>
      <c r="M712" s="10" t="b">
        <v>0</v>
      </c>
      <c r="N712" s="10">
        <v>5</v>
      </c>
      <c r="O712" s="11">
        <v>1600</v>
      </c>
      <c r="P712" s="85">
        <v>1.911589008363202</v>
      </c>
      <c r="Q712" s="11">
        <v>1600</v>
      </c>
      <c r="R712" s="85">
        <v>1.911589008363202</v>
      </c>
      <c r="S712" s="29" t="s">
        <v>2719</v>
      </c>
      <c r="T712" s="29" t="s">
        <v>2798</v>
      </c>
    </row>
    <row r="713">
      <c r="B713" s="29" t="s">
        <v>1219</v>
      </c>
      <c r="C713" s="29" t="s">
        <v>1247</v>
      </c>
      <c r="D713" s="8" t="s">
        <v>1269</v>
      </c>
      <c r="E713" s="10" t="s">
        <v>2021</v>
      </c>
      <c r="F713" s="10"/>
      <c r="G713" s="10">
        <v>2</v>
      </c>
      <c r="H713" s="10">
        <v>1</v>
      </c>
      <c r="I713" s="10"/>
      <c r="J713" s="10">
        <v>837</v>
      </c>
      <c r="K713" s="104">
        <v>45716</v>
      </c>
      <c r="L713" s="104">
        <v>45720</v>
      </c>
      <c r="M713" s="10" t="b">
        <v>0</v>
      </c>
      <c r="N713" s="10">
        <v>5</v>
      </c>
      <c r="O713" s="11">
        <v>1600</v>
      </c>
      <c r="P713" s="85">
        <v>1.911589008363202</v>
      </c>
      <c r="Q713" s="11">
        <v>1600</v>
      </c>
      <c r="R713" s="85">
        <v>1.911589008363202</v>
      </c>
      <c r="S713" s="29" t="s">
        <v>2719</v>
      </c>
      <c r="T713" s="29" t="s">
        <v>2798</v>
      </c>
    </row>
    <row r="714">
      <c r="B714" s="29" t="s">
        <v>1219</v>
      </c>
      <c r="C714" s="29" t="s">
        <v>1247</v>
      </c>
      <c r="D714" s="8" t="s">
        <v>1269</v>
      </c>
      <c r="E714" s="10" t="s">
        <v>2022</v>
      </c>
      <c r="F714" s="10"/>
      <c r="G714" s="10">
        <v>2</v>
      </c>
      <c r="H714" s="10">
        <v>1</v>
      </c>
      <c r="I714" s="10"/>
      <c r="J714" s="10">
        <v>837</v>
      </c>
      <c r="K714" s="104">
        <v>45716</v>
      </c>
      <c r="L714" s="104">
        <v>45720</v>
      </c>
      <c r="M714" s="10" t="b">
        <v>0</v>
      </c>
      <c r="N714" s="10">
        <v>5</v>
      </c>
      <c r="O714" s="11">
        <v>1600</v>
      </c>
      <c r="P714" s="85">
        <v>1.911589008363202</v>
      </c>
      <c r="Q714" s="11">
        <v>1600</v>
      </c>
      <c r="R714" s="85">
        <v>1.911589008363202</v>
      </c>
      <c r="S714" s="29" t="s">
        <v>2719</v>
      </c>
      <c r="T714" s="29" t="s">
        <v>2798</v>
      </c>
    </row>
    <row r="715">
      <c r="B715" s="29" t="s">
        <v>1219</v>
      </c>
      <c r="C715" s="29" t="s">
        <v>1247</v>
      </c>
      <c r="D715" s="8" t="s">
        <v>1269</v>
      </c>
      <c r="E715" s="10" t="s">
        <v>2023</v>
      </c>
      <c r="F715" s="10"/>
      <c r="G715" s="10">
        <v>2</v>
      </c>
      <c r="H715" s="10">
        <v>1</v>
      </c>
      <c r="I715" s="10"/>
      <c r="J715" s="10">
        <v>837</v>
      </c>
      <c r="K715" s="104">
        <v>45716</v>
      </c>
      <c r="L715" s="104">
        <v>45720</v>
      </c>
      <c r="M715" s="10" t="b">
        <v>0</v>
      </c>
      <c r="N715" s="10">
        <v>5</v>
      </c>
      <c r="O715" s="11">
        <v>1600</v>
      </c>
      <c r="P715" s="85">
        <v>1.911589008363202</v>
      </c>
      <c r="Q715" s="11">
        <v>1600</v>
      </c>
      <c r="R715" s="85">
        <v>1.911589008363202</v>
      </c>
      <c r="S715" s="29" t="s">
        <v>2719</v>
      </c>
      <c r="T715" s="29" t="s">
        <v>2798</v>
      </c>
    </row>
    <row r="716">
      <c r="B716" s="29" t="s">
        <v>1219</v>
      </c>
      <c r="C716" s="29" t="s">
        <v>1247</v>
      </c>
      <c r="D716" s="8" t="s">
        <v>1269</v>
      </c>
      <c r="E716" s="10" t="s">
        <v>2024</v>
      </c>
      <c r="F716" s="10">
        <v>2</v>
      </c>
      <c r="G716" s="10">
        <v>2</v>
      </c>
      <c r="H716" s="10">
        <v>1</v>
      </c>
      <c r="I716" s="10"/>
      <c r="J716" s="10">
        <v>837</v>
      </c>
      <c r="K716" s="104">
        <v>45716</v>
      </c>
      <c r="L716" s="104">
        <v>45720</v>
      </c>
      <c r="M716" s="10" t="b">
        <v>0</v>
      </c>
      <c r="N716" s="10">
        <v>5</v>
      </c>
      <c r="O716" s="11">
        <v>1600</v>
      </c>
      <c r="P716" s="85">
        <v>1.911589008363202</v>
      </c>
      <c r="Q716" s="11">
        <v>1600</v>
      </c>
      <c r="R716" s="85">
        <v>1.911589008363202</v>
      </c>
      <c r="S716" s="29" t="s">
        <v>2719</v>
      </c>
      <c r="T716" s="29" t="s">
        <v>2798</v>
      </c>
    </row>
    <row r="717">
      <c r="B717" s="29" t="s">
        <v>1219</v>
      </c>
      <c r="C717" s="29" t="s">
        <v>1247</v>
      </c>
      <c r="D717" s="8" t="s">
        <v>1269</v>
      </c>
      <c r="E717" s="10" t="s">
        <v>2025</v>
      </c>
      <c r="F717" s="10">
        <v>2</v>
      </c>
      <c r="G717" s="10">
        <v>2</v>
      </c>
      <c r="H717" s="10">
        <v>1</v>
      </c>
      <c r="I717" s="10"/>
      <c r="J717" s="10">
        <v>837</v>
      </c>
      <c r="K717" s="104">
        <v>45716</v>
      </c>
      <c r="L717" s="104">
        <v>45720</v>
      </c>
      <c r="M717" s="10" t="b">
        <v>0</v>
      </c>
      <c r="N717" s="10">
        <v>5</v>
      </c>
      <c r="O717" s="11">
        <v>1600</v>
      </c>
      <c r="P717" s="85">
        <v>1.911589008363202</v>
      </c>
      <c r="Q717" s="11">
        <v>1600</v>
      </c>
      <c r="R717" s="85">
        <v>1.911589008363202</v>
      </c>
      <c r="S717" s="29" t="s">
        <v>2719</v>
      </c>
      <c r="T717" s="29" t="s">
        <v>2798</v>
      </c>
    </row>
    <row r="718">
      <c r="B718" s="29" t="s">
        <v>1219</v>
      </c>
      <c r="C718" s="29" t="s">
        <v>1247</v>
      </c>
      <c r="D718" s="8" t="s">
        <v>1269</v>
      </c>
      <c r="E718" s="10" t="s">
        <v>2026</v>
      </c>
      <c r="F718" s="10"/>
      <c r="G718" s="10">
        <v>2</v>
      </c>
      <c r="H718" s="10">
        <v>1</v>
      </c>
      <c r="I718" s="10"/>
      <c r="J718" s="10">
        <v>837</v>
      </c>
      <c r="K718" s="104">
        <v>45716</v>
      </c>
      <c r="L718" s="104">
        <v>45720</v>
      </c>
      <c r="M718" s="10" t="b">
        <v>0</v>
      </c>
      <c r="N718" s="10">
        <v>5</v>
      </c>
      <c r="O718" s="11">
        <v>1600</v>
      </c>
      <c r="P718" s="85">
        <v>1.911589008363202</v>
      </c>
      <c r="Q718" s="11">
        <v>1600</v>
      </c>
      <c r="R718" s="85">
        <v>1.911589008363202</v>
      </c>
      <c r="S718" s="29" t="s">
        <v>2719</v>
      </c>
      <c r="T718" s="29" t="s">
        <v>2798</v>
      </c>
    </row>
    <row r="719">
      <c r="B719" s="29" t="s">
        <v>1219</v>
      </c>
      <c r="C719" s="29" t="s">
        <v>1247</v>
      </c>
      <c r="D719" s="8" t="s">
        <v>1269</v>
      </c>
      <c r="E719" s="10" t="s">
        <v>2027</v>
      </c>
      <c r="F719" s="10">
        <v>2</v>
      </c>
      <c r="G719" s="10">
        <v>2</v>
      </c>
      <c r="H719" s="10">
        <v>1</v>
      </c>
      <c r="I719" s="10"/>
      <c r="J719" s="10">
        <v>837</v>
      </c>
      <c r="K719" s="104">
        <v>45716</v>
      </c>
      <c r="L719" s="104">
        <v>45720</v>
      </c>
      <c r="M719" s="10" t="b">
        <v>0</v>
      </c>
      <c r="N719" s="10">
        <v>5</v>
      </c>
      <c r="O719" s="11">
        <v>1600</v>
      </c>
      <c r="P719" s="85">
        <v>1.911589008363202</v>
      </c>
      <c r="Q719" s="11">
        <v>1600</v>
      </c>
      <c r="R719" s="85">
        <v>1.911589008363202</v>
      </c>
      <c r="S719" s="29" t="s">
        <v>2719</v>
      </c>
      <c r="T719" s="29" t="s">
        <v>2798</v>
      </c>
    </row>
    <row r="720">
      <c r="B720" s="29" t="s">
        <v>1219</v>
      </c>
      <c r="C720" s="29" t="s">
        <v>1247</v>
      </c>
      <c r="D720" s="8" t="s">
        <v>1269</v>
      </c>
      <c r="E720" s="10" t="s">
        <v>2028</v>
      </c>
      <c r="F720" s="10"/>
      <c r="G720" s="10">
        <v>2</v>
      </c>
      <c r="H720" s="10">
        <v>1</v>
      </c>
      <c r="I720" s="10"/>
      <c r="J720" s="10">
        <v>837</v>
      </c>
      <c r="K720" s="104">
        <v>45716</v>
      </c>
      <c r="L720" s="104">
        <v>45720</v>
      </c>
      <c r="M720" s="10" t="b">
        <v>0</v>
      </c>
      <c r="N720" s="10">
        <v>5</v>
      </c>
      <c r="O720" s="11">
        <v>1600</v>
      </c>
      <c r="P720" s="85">
        <v>1.911589008363202</v>
      </c>
      <c r="Q720" s="11">
        <v>1600</v>
      </c>
      <c r="R720" s="85">
        <v>1.911589008363202</v>
      </c>
      <c r="S720" s="29" t="s">
        <v>2719</v>
      </c>
      <c r="T720" s="29" t="s">
        <v>2798</v>
      </c>
    </row>
    <row r="721">
      <c r="B721" s="29" t="s">
        <v>1219</v>
      </c>
      <c r="C721" s="29" t="s">
        <v>1247</v>
      </c>
      <c r="D721" s="8" t="s">
        <v>1269</v>
      </c>
      <c r="E721" s="10" t="s">
        <v>2029</v>
      </c>
      <c r="F721" s="10"/>
      <c r="G721" s="10">
        <v>2</v>
      </c>
      <c r="H721" s="10">
        <v>1</v>
      </c>
      <c r="I721" s="10"/>
      <c r="J721" s="10">
        <v>837</v>
      </c>
      <c r="K721" s="104">
        <v>45716</v>
      </c>
      <c r="L721" s="104">
        <v>45720</v>
      </c>
      <c r="M721" s="10" t="b">
        <v>0</v>
      </c>
      <c r="N721" s="10">
        <v>5</v>
      </c>
      <c r="O721" s="11">
        <v>1600</v>
      </c>
      <c r="P721" s="85">
        <v>1.911589008363202</v>
      </c>
      <c r="Q721" s="11">
        <v>1600</v>
      </c>
      <c r="R721" s="85">
        <v>1.911589008363202</v>
      </c>
      <c r="S721" s="29" t="s">
        <v>2719</v>
      </c>
      <c r="T721" s="29" t="s">
        <v>2798</v>
      </c>
    </row>
    <row r="722">
      <c r="B722" s="29" t="s">
        <v>1219</v>
      </c>
      <c r="C722" s="29" t="s">
        <v>1247</v>
      </c>
      <c r="D722" s="8" t="s">
        <v>1269</v>
      </c>
      <c r="E722" s="10" t="s">
        <v>2030</v>
      </c>
      <c r="F722" s="10"/>
      <c r="G722" s="10">
        <v>2</v>
      </c>
      <c r="H722" s="10">
        <v>1</v>
      </c>
      <c r="I722" s="10"/>
      <c r="J722" s="10">
        <v>837</v>
      </c>
      <c r="K722" s="104">
        <v>45716</v>
      </c>
      <c r="L722" s="104">
        <v>45720</v>
      </c>
      <c r="M722" s="10" t="b">
        <v>0</v>
      </c>
      <c r="N722" s="10">
        <v>5</v>
      </c>
      <c r="O722" s="11">
        <v>1600</v>
      </c>
      <c r="P722" s="85">
        <v>1.911589008363202</v>
      </c>
      <c r="Q722" s="11">
        <v>1600</v>
      </c>
      <c r="R722" s="85">
        <v>1.911589008363202</v>
      </c>
      <c r="S722" s="29" t="s">
        <v>2719</v>
      </c>
      <c r="T722" s="29" t="s">
        <v>2798</v>
      </c>
    </row>
    <row r="723">
      <c r="B723" s="29" t="s">
        <v>1219</v>
      </c>
      <c r="C723" s="29" t="s">
        <v>1247</v>
      </c>
      <c r="D723" s="8" t="s">
        <v>1269</v>
      </c>
      <c r="E723" s="10" t="s">
        <v>2031</v>
      </c>
      <c r="F723" s="10"/>
      <c r="G723" s="10">
        <v>2</v>
      </c>
      <c r="H723" s="10">
        <v>1</v>
      </c>
      <c r="I723" s="10"/>
      <c r="J723" s="10">
        <v>837</v>
      </c>
      <c r="K723" s="104">
        <v>45716</v>
      </c>
      <c r="L723" s="104">
        <v>45720</v>
      </c>
      <c r="M723" s="10" t="b">
        <v>0</v>
      </c>
      <c r="N723" s="10">
        <v>5</v>
      </c>
      <c r="O723" s="11">
        <v>1600</v>
      </c>
      <c r="P723" s="85">
        <v>1.911589008363202</v>
      </c>
      <c r="Q723" s="11">
        <v>1600</v>
      </c>
      <c r="R723" s="85">
        <v>1.911589008363202</v>
      </c>
      <c r="S723" s="29" t="s">
        <v>2719</v>
      </c>
      <c r="T723" s="29" t="s">
        <v>2798</v>
      </c>
    </row>
    <row r="724">
      <c r="B724" s="29" t="s">
        <v>1219</v>
      </c>
      <c r="C724" s="29" t="s">
        <v>1247</v>
      </c>
      <c r="D724" s="8" t="s">
        <v>1269</v>
      </c>
      <c r="E724" s="10" t="s">
        <v>2032</v>
      </c>
      <c r="F724" s="10">
        <v>2</v>
      </c>
      <c r="G724" s="10">
        <v>2</v>
      </c>
      <c r="H724" s="10">
        <v>1</v>
      </c>
      <c r="I724" s="10"/>
      <c r="J724" s="10">
        <v>837</v>
      </c>
      <c r="K724" s="104">
        <v>45716</v>
      </c>
      <c r="L724" s="104">
        <v>45720</v>
      </c>
      <c r="M724" s="10" t="b">
        <v>0</v>
      </c>
      <c r="N724" s="10">
        <v>5</v>
      </c>
      <c r="O724" s="11">
        <v>1600</v>
      </c>
      <c r="P724" s="85">
        <v>1.911589008363202</v>
      </c>
      <c r="Q724" s="11">
        <v>1600</v>
      </c>
      <c r="R724" s="85">
        <v>1.911589008363202</v>
      </c>
      <c r="S724" s="29" t="s">
        <v>2719</v>
      </c>
      <c r="T724" s="29" t="s">
        <v>2798</v>
      </c>
    </row>
    <row r="725">
      <c r="B725" s="29" t="s">
        <v>1219</v>
      </c>
      <c r="C725" s="29" t="s">
        <v>1247</v>
      </c>
      <c r="D725" s="8" t="s">
        <v>1269</v>
      </c>
      <c r="E725" s="10" t="s">
        <v>2033</v>
      </c>
      <c r="F725" s="10"/>
      <c r="G725" s="10">
        <v>2</v>
      </c>
      <c r="H725" s="10">
        <v>1</v>
      </c>
      <c r="I725" s="10"/>
      <c r="J725" s="10">
        <v>837</v>
      </c>
      <c r="K725" s="104">
        <v>45716</v>
      </c>
      <c r="L725" s="104">
        <v>45720</v>
      </c>
      <c r="M725" s="10" t="b">
        <v>0</v>
      </c>
      <c r="N725" s="10">
        <v>5</v>
      </c>
      <c r="O725" s="11">
        <v>1600</v>
      </c>
      <c r="P725" s="85">
        <v>1.911589008363202</v>
      </c>
      <c r="Q725" s="11">
        <v>1600</v>
      </c>
      <c r="R725" s="85">
        <v>1.911589008363202</v>
      </c>
      <c r="S725" s="29" t="s">
        <v>2719</v>
      </c>
      <c r="T725" s="29" t="s">
        <v>2798</v>
      </c>
    </row>
    <row r="726">
      <c r="B726" s="29" t="s">
        <v>1219</v>
      </c>
      <c r="C726" s="29" t="s">
        <v>1247</v>
      </c>
      <c r="D726" s="8" t="s">
        <v>1269</v>
      </c>
      <c r="E726" s="10" t="s">
        <v>2034</v>
      </c>
      <c r="F726" s="10"/>
      <c r="G726" s="10">
        <v>2</v>
      </c>
      <c r="H726" s="10">
        <v>1</v>
      </c>
      <c r="I726" s="10"/>
      <c r="J726" s="10">
        <v>837</v>
      </c>
      <c r="K726" s="104">
        <v>45716</v>
      </c>
      <c r="L726" s="104">
        <v>45720</v>
      </c>
      <c r="M726" s="10" t="b">
        <v>0</v>
      </c>
      <c r="N726" s="10">
        <v>5</v>
      </c>
      <c r="O726" s="11">
        <v>1600</v>
      </c>
      <c r="P726" s="85">
        <v>1.911589008363202</v>
      </c>
      <c r="Q726" s="11">
        <v>1600</v>
      </c>
      <c r="R726" s="85">
        <v>1.911589008363202</v>
      </c>
      <c r="S726" s="29" t="s">
        <v>2719</v>
      </c>
      <c r="T726" s="29" t="s">
        <v>2798</v>
      </c>
    </row>
    <row r="727">
      <c r="B727" s="29" t="s">
        <v>1219</v>
      </c>
      <c r="C727" s="29" t="s">
        <v>1247</v>
      </c>
      <c r="D727" s="8" t="s">
        <v>1269</v>
      </c>
      <c r="E727" s="10" t="s">
        <v>2035</v>
      </c>
      <c r="F727" s="10"/>
      <c r="G727" s="10">
        <v>2</v>
      </c>
      <c r="H727" s="10">
        <v>1</v>
      </c>
      <c r="I727" s="10"/>
      <c r="J727" s="10">
        <v>837</v>
      </c>
      <c r="K727" s="104">
        <v>45716</v>
      </c>
      <c r="L727" s="104">
        <v>45720</v>
      </c>
      <c r="M727" s="10" t="b">
        <v>0</v>
      </c>
      <c r="N727" s="10">
        <v>5</v>
      </c>
      <c r="O727" s="11">
        <v>1600</v>
      </c>
      <c r="P727" s="85">
        <v>1.911589008363202</v>
      </c>
      <c r="Q727" s="11">
        <v>1600</v>
      </c>
      <c r="R727" s="85">
        <v>1.911589008363202</v>
      </c>
      <c r="S727" s="29" t="s">
        <v>2719</v>
      </c>
      <c r="T727" s="29" t="s">
        <v>2798</v>
      </c>
    </row>
    <row r="728">
      <c r="B728" s="29" t="s">
        <v>1219</v>
      </c>
      <c r="C728" s="29" t="s">
        <v>1247</v>
      </c>
      <c r="D728" s="8" t="s">
        <v>1269</v>
      </c>
      <c r="E728" s="10" t="s">
        <v>2036</v>
      </c>
      <c r="F728" s="10"/>
      <c r="G728" s="10">
        <v>2</v>
      </c>
      <c r="H728" s="10">
        <v>1</v>
      </c>
      <c r="I728" s="10"/>
      <c r="J728" s="10">
        <v>837</v>
      </c>
      <c r="K728" s="104">
        <v>45716</v>
      </c>
      <c r="L728" s="104">
        <v>45720</v>
      </c>
      <c r="M728" s="10" t="b">
        <v>0</v>
      </c>
      <c r="N728" s="10">
        <v>5</v>
      </c>
      <c r="O728" s="11">
        <v>1600</v>
      </c>
      <c r="P728" s="85">
        <v>1.911589008363202</v>
      </c>
      <c r="Q728" s="11">
        <v>1600</v>
      </c>
      <c r="R728" s="85">
        <v>1.911589008363202</v>
      </c>
      <c r="S728" s="29" t="s">
        <v>2719</v>
      </c>
      <c r="T728" s="29" t="s">
        <v>2798</v>
      </c>
    </row>
    <row r="729">
      <c r="B729" s="29" t="s">
        <v>1219</v>
      </c>
      <c r="C729" s="29" t="s">
        <v>1247</v>
      </c>
      <c r="D729" s="8" t="s">
        <v>1269</v>
      </c>
      <c r="E729" s="10" t="s">
        <v>2037</v>
      </c>
      <c r="F729" s="10"/>
      <c r="G729" s="10">
        <v>2</v>
      </c>
      <c r="H729" s="10">
        <v>1</v>
      </c>
      <c r="I729" s="10"/>
      <c r="J729" s="10">
        <v>837</v>
      </c>
      <c r="K729" s="104">
        <v>45716</v>
      </c>
      <c r="L729" s="104">
        <v>45720</v>
      </c>
      <c r="M729" s="10" t="b">
        <v>0</v>
      </c>
      <c r="N729" s="10">
        <v>5</v>
      </c>
      <c r="O729" s="11">
        <v>1600</v>
      </c>
      <c r="P729" s="85">
        <v>1.911589008363202</v>
      </c>
      <c r="Q729" s="11">
        <v>1600</v>
      </c>
      <c r="R729" s="85">
        <v>1.911589008363202</v>
      </c>
      <c r="S729" s="29" t="s">
        <v>2719</v>
      </c>
      <c r="T729" s="29" t="s">
        <v>2798</v>
      </c>
    </row>
    <row r="730">
      <c r="B730" s="29" t="s">
        <v>1219</v>
      </c>
      <c r="C730" s="29" t="s">
        <v>1247</v>
      </c>
      <c r="D730" s="8" t="s">
        <v>1269</v>
      </c>
      <c r="E730" s="10" t="s">
        <v>2038</v>
      </c>
      <c r="F730" s="10"/>
      <c r="G730" s="10">
        <v>2</v>
      </c>
      <c r="H730" s="10">
        <v>1</v>
      </c>
      <c r="I730" s="10"/>
      <c r="J730" s="10">
        <v>837</v>
      </c>
      <c r="K730" s="104">
        <v>45716</v>
      </c>
      <c r="L730" s="104">
        <v>45720</v>
      </c>
      <c r="M730" s="10" t="b">
        <v>0</v>
      </c>
      <c r="N730" s="10">
        <v>5</v>
      </c>
      <c r="O730" s="11">
        <v>1600</v>
      </c>
      <c r="P730" s="85">
        <v>1.911589008363202</v>
      </c>
      <c r="Q730" s="11">
        <v>1600</v>
      </c>
      <c r="R730" s="85">
        <v>1.911589008363202</v>
      </c>
      <c r="S730" s="29" t="s">
        <v>2719</v>
      </c>
      <c r="T730" s="29" t="s">
        <v>2798</v>
      </c>
    </row>
    <row r="731">
      <c r="B731" s="29" t="s">
        <v>1219</v>
      </c>
      <c r="C731" s="29" t="s">
        <v>1247</v>
      </c>
      <c r="D731" s="8" t="s">
        <v>1269</v>
      </c>
      <c r="E731" s="10" t="s">
        <v>2039</v>
      </c>
      <c r="F731" s="10"/>
      <c r="G731" s="10">
        <v>2</v>
      </c>
      <c r="H731" s="10">
        <v>1</v>
      </c>
      <c r="I731" s="10"/>
      <c r="J731" s="10">
        <v>837</v>
      </c>
      <c r="K731" s="104">
        <v>45716</v>
      </c>
      <c r="L731" s="104">
        <v>45720</v>
      </c>
      <c r="M731" s="10" t="b">
        <v>0</v>
      </c>
      <c r="N731" s="10">
        <v>5</v>
      </c>
      <c r="O731" s="11">
        <v>1600</v>
      </c>
      <c r="P731" s="85">
        <v>1.911589008363202</v>
      </c>
      <c r="Q731" s="11">
        <v>1600</v>
      </c>
      <c r="R731" s="85">
        <v>1.911589008363202</v>
      </c>
      <c r="S731" s="29" t="s">
        <v>2719</v>
      </c>
      <c r="T731" s="29" t="s">
        <v>2798</v>
      </c>
    </row>
    <row r="732">
      <c r="B732" s="29" t="s">
        <v>1219</v>
      </c>
      <c r="C732" s="29" t="s">
        <v>1247</v>
      </c>
      <c r="D732" s="8" t="s">
        <v>1269</v>
      </c>
      <c r="E732" s="10" t="s">
        <v>2040</v>
      </c>
      <c r="F732" s="10"/>
      <c r="G732" s="10">
        <v>2</v>
      </c>
      <c r="H732" s="10">
        <v>1</v>
      </c>
      <c r="I732" s="10"/>
      <c r="J732" s="10">
        <v>837</v>
      </c>
      <c r="K732" s="104">
        <v>45716</v>
      </c>
      <c r="L732" s="104">
        <v>45720</v>
      </c>
      <c r="M732" s="10" t="b">
        <v>0</v>
      </c>
      <c r="N732" s="10">
        <v>5</v>
      </c>
      <c r="O732" s="11">
        <v>1600</v>
      </c>
      <c r="P732" s="85">
        <v>1.911589008363202</v>
      </c>
      <c r="Q732" s="11">
        <v>1600</v>
      </c>
      <c r="R732" s="85">
        <v>1.911589008363202</v>
      </c>
      <c r="S732" s="29" t="s">
        <v>2719</v>
      </c>
      <c r="T732" s="29" t="s">
        <v>2798</v>
      </c>
    </row>
    <row r="733">
      <c r="B733" s="29" t="s">
        <v>1219</v>
      </c>
      <c r="C733" s="29" t="s">
        <v>1247</v>
      </c>
      <c r="D733" s="8" t="s">
        <v>1269</v>
      </c>
      <c r="E733" s="10" t="s">
        <v>2041</v>
      </c>
      <c r="F733" s="10"/>
      <c r="G733" s="10">
        <v>2</v>
      </c>
      <c r="H733" s="10">
        <v>1</v>
      </c>
      <c r="I733" s="10"/>
      <c r="J733" s="10">
        <v>837</v>
      </c>
      <c r="K733" s="104">
        <v>45716</v>
      </c>
      <c r="L733" s="104">
        <v>45720</v>
      </c>
      <c r="M733" s="10" t="b">
        <v>0</v>
      </c>
      <c r="N733" s="10">
        <v>5</v>
      </c>
      <c r="O733" s="11">
        <v>1600</v>
      </c>
      <c r="P733" s="85">
        <v>1.911589008363202</v>
      </c>
      <c r="Q733" s="11">
        <v>1600</v>
      </c>
      <c r="R733" s="85">
        <v>1.911589008363202</v>
      </c>
      <c r="S733" s="29" t="s">
        <v>2719</v>
      </c>
      <c r="T733" s="29" t="s">
        <v>2798</v>
      </c>
    </row>
    <row r="734">
      <c r="B734" s="29" t="s">
        <v>1219</v>
      </c>
      <c r="C734" s="29" t="s">
        <v>1247</v>
      </c>
      <c r="D734" s="8" t="s">
        <v>1269</v>
      </c>
      <c r="E734" s="10" t="s">
        <v>2042</v>
      </c>
      <c r="F734" s="10"/>
      <c r="G734" s="10">
        <v>2</v>
      </c>
      <c r="H734" s="10">
        <v>1</v>
      </c>
      <c r="I734" s="10"/>
      <c r="J734" s="10">
        <v>837</v>
      </c>
      <c r="K734" s="104">
        <v>45716</v>
      </c>
      <c r="L734" s="104">
        <v>45720</v>
      </c>
      <c r="M734" s="10" t="b">
        <v>0</v>
      </c>
      <c r="N734" s="10">
        <v>5</v>
      </c>
      <c r="O734" s="11">
        <v>1600</v>
      </c>
      <c r="P734" s="85">
        <v>1.911589008363202</v>
      </c>
      <c r="Q734" s="11">
        <v>1600</v>
      </c>
      <c r="R734" s="85">
        <v>1.911589008363202</v>
      </c>
      <c r="S734" s="29" t="s">
        <v>2719</v>
      </c>
      <c r="T734" s="29" t="s">
        <v>2798</v>
      </c>
    </row>
    <row r="735">
      <c r="B735" s="29" t="s">
        <v>1219</v>
      </c>
      <c r="C735" s="29" t="s">
        <v>1247</v>
      </c>
      <c r="D735" s="8" t="s">
        <v>1269</v>
      </c>
      <c r="E735" s="10" t="s">
        <v>2043</v>
      </c>
      <c r="F735" s="10"/>
      <c r="G735" s="10">
        <v>2</v>
      </c>
      <c r="H735" s="10">
        <v>1</v>
      </c>
      <c r="I735" s="10"/>
      <c r="J735" s="10">
        <v>837</v>
      </c>
      <c r="K735" s="104">
        <v>45716</v>
      </c>
      <c r="L735" s="104">
        <v>45720</v>
      </c>
      <c r="M735" s="10" t="b">
        <v>0</v>
      </c>
      <c r="N735" s="10">
        <v>5</v>
      </c>
      <c r="O735" s="11">
        <v>1600</v>
      </c>
      <c r="P735" s="85">
        <v>1.911589008363202</v>
      </c>
      <c r="Q735" s="11">
        <v>1600</v>
      </c>
      <c r="R735" s="85">
        <v>1.911589008363202</v>
      </c>
      <c r="S735" s="29" t="s">
        <v>2719</v>
      </c>
      <c r="T735" s="29" t="s">
        <v>2798</v>
      </c>
    </row>
    <row r="736">
      <c r="B736" s="29" t="s">
        <v>1219</v>
      </c>
      <c r="C736" s="29" t="s">
        <v>1247</v>
      </c>
      <c r="D736" s="8" t="s">
        <v>1269</v>
      </c>
      <c r="E736" s="10" t="s">
        <v>2044</v>
      </c>
      <c r="F736" s="10"/>
      <c r="G736" s="10">
        <v>2</v>
      </c>
      <c r="H736" s="10">
        <v>1</v>
      </c>
      <c r="I736" s="10"/>
      <c r="J736" s="10">
        <v>837</v>
      </c>
      <c r="K736" s="104">
        <v>45716</v>
      </c>
      <c r="L736" s="104">
        <v>45720</v>
      </c>
      <c r="M736" s="10" t="b">
        <v>0</v>
      </c>
      <c r="N736" s="10">
        <v>5</v>
      </c>
      <c r="O736" s="11">
        <v>1600</v>
      </c>
      <c r="P736" s="85">
        <v>1.911589008363202</v>
      </c>
      <c r="Q736" s="11">
        <v>1600</v>
      </c>
      <c r="R736" s="85">
        <v>1.911589008363202</v>
      </c>
      <c r="S736" s="29" t="s">
        <v>2719</v>
      </c>
      <c r="T736" s="29" t="s">
        <v>2798</v>
      </c>
    </row>
    <row r="737">
      <c r="B737" s="29" t="s">
        <v>1219</v>
      </c>
      <c r="C737" s="29" t="s">
        <v>1247</v>
      </c>
      <c r="D737" s="8" t="s">
        <v>1269</v>
      </c>
      <c r="E737" s="10" t="s">
        <v>2045</v>
      </c>
      <c r="F737" s="10"/>
      <c r="G737" s="10">
        <v>2</v>
      </c>
      <c r="H737" s="10">
        <v>1</v>
      </c>
      <c r="I737" s="10"/>
      <c r="J737" s="10">
        <v>837</v>
      </c>
      <c r="K737" s="104">
        <v>45716</v>
      </c>
      <c r="L737" s="104">
        <v>45720</v>
      </c>
      <c r="M737" s="10" t="b">
        <v>0</v>
      </c>
      <c r="N737" s="10">
        <v>5</v>
      </c>
      <c r="O737" s="11">
        <v>1600</v>
      </c>
      <c r="P737" s="85">
        <v>1.911589008363202</v>
      </c>
      <c r="Q737" s="11">
        <v>1600</v>
      </c>
      <c r="R737" s="85">
        <v>1.911589008363202</v>
      </c>
      <c r="S737" s="29" t="s">
        <v>2719</v>
      </c>
      <c r="T737" s="29" t="s">
        <v>2798</v>
      </c>
    </row>
    <row r="738">
      <c r="B738" s="29" t="s">
        <v>1219</v>
      </c>
      <c r="C738" s="29" t="s">
        <v>1247</v>
      </c>
      <c r="D738" s="8" t="s">
        <v>1269</v>
      </c>
      <c r="E738" s="10" t="s">
        <v>2046</v>
      </c>
      <c r="F738" s="10"/>
      <c r="G738" s="10">
        <v>2</v>
      </c>
      <c r="H738" s="10">
        <v>1</v>
      </c>
      <c r="I738" s="10"/>
      <c r="J738" s="10">
        <v>837</v>
      </c>
      <c r="K738" s="104">
        <v>45716</v>
      </c>
      <c r="L738" s="104">
        <v>45720</v>
      </c>
      <c r="M738" s="10" t="b">
        <v>0</v>
      </c>
      <c r="N738" s="10">
        <v>5</v>
      </c>
      <c r="O738" s="11">
        <v>1600</v>
      </c>
      <c r="P738" s="85">
        <v>1.911589008363202</v>
      </c>
      <c r="Q738" s="11">
        <v>1600</v>
      </c>
      <c r="R738" s="85">
        <v>1.911589008363202</v>
      </c>
      <c r="S738" s="29" t="s">
        <v>2719</v>
      </c>
      <c r="T738" s="29" t="s">
        <v>2798</v>
      </c>
    </row>
    <row r="739">
      <c r="B739" s="29" t="s">
        <v>1219</v>
      </c>
      <c r="C739" s="29" t="s">
        <v>1247</v>
      </c>
      <c r="D739" s="8" t="s">
        <v>1269</v>
      </c>
      <c r="E739" s="10" t="s">
        <v>2047</v>
      </c>
      <c r="F739" s="10">
        <v>2</v>
      </c>
      <c r="G739" s="10">
        <v>2</v>
      </c>
      <c r="H739" s="10">
        <v>1</v>
      </c>
      <c r="I739" s="10"/>
      <c r="J739" s="10">
        <v>837</v>
      </c>
      <c r="K739" s="104">
        <v>45716</v>
      </c>
      <c r="L739" s="104">
        <v>45720</v>
      </c>
      <c r="M739" s="10" t="b">
        <v>0</v>
      </c>
      <c r="N739" s="10">
        <v>5</v>
      </c>
      <c r="O739" s="11">
        <v>1600</v>
      </c>
      <c r="P739" s="85">
        <v>1.911589008363202</v>
      </c>
      <c r="Q739" s="11">
        <v>1600</v>
      </c>
      <c r="R739" s="85">
        <v>1.911589008363202</v>
      </c>
      <c r="S739" s="29" t="s">
        <v>2719</v>
      </c>
      <c r="T739" s="29" t="s">
        <v>2798</v>
      </c>
    </row>
    <row r="740">
      <c r="B740" s="29" t="s">
        <v>1219</v>
      </c>
      <c r="C740" s="29" t="s">
        <v>1247</v>
      </c>
      <c r="D740" s="8" t="s">
        <v>1269</v>
      </c>
      <c r="E740" s="10" t="s">
        <v>2048</v>
      </c>
      <c r="F740" s="10"/>
      <c r="G740" s="10">
        <v>2</v>
      </c>
      <c r="H740" s="10">
        <v>1</v>
      </c>
      <c r="I740" s="10"/>
      <c r="J740" s="10">
        <v>837</v>
      </c>
      <c r="K740" s="104">
        <v>45716</v>
      </c>
      <c r="L740" s="104">
        <v>45720</v>
      </c>
      <c r="M740" s="10" t="b">
        <v>0</v>
      </c>
      <c r="N740" s="10">
        <v>5</v>
      </c>
      <c r="O740" s="11">
        <v>1600</v>
      </c>
      <c r="P740" s="85">
        <v>1.911589008363202</v>
      </c>
      <c r="Q740" s="11">
        <v>1600</v>
      </c>
      <c r="R740" s="85">
        <v>1.911589008363202</v>
      </c>
      <c r="S740" s="29" t="s">
        <v>2719</v>
      </c>
      <c r="T740" s="29" t="s">
        <v>2798</v>
      </c>
    </row>
    <row r="741">
      <c r="B741" s="29" t="s">
        <v>1219</v>
      </c>
      <c r="C741" s="29" t="s">
        <v>1247</v>
      </c>
      <c r="D741" s="8" t="s">
        <v>1269</v>
      </c>
      <c r="E741" s="10" t="s">
        <v>2049</v>
      </c>
      <c r="F741" s="10">
        <v>2</v>
      </c>
      <c r="G741" s="10">
        <v>2</v>
      </c>
      <c r="H741" s="10">
        <v>1</v>
      </c>
      <c r="I741" s="10"/>
      <c r="J741" s="10">
        <v>837</v>
      </c>
      <c r="K741" s="104">
        <v>45716</v>
      </c>
      <c r="L741" s="104">
        <v>45720</v>
      </c>
      <c r="M741" s="10" t="b">
        <v>0</v>
      </c>
      <c r="N741" s="10">
        <v>5</v>
      </c>
      <c r="O741" s="11">
        <v>1600</v>
      </c>
      <c r="P741" s="85">
        <v>1.911589008363202</v>
      </c>
      <c r="Q741" s="11">
        <v>1600</v>
      </c>
      <c r="R741" s="85">
        <v>1.911589008363202</v>
      </c>
      <c r="S741" s="29" t="s">
        <v>2719</v>
      </c>
      <c r="T741" s="29" t="s">
        <v>2798</v>
      </c>
    </row>
    <row r="742">
      <c r="B742" s="29" t="s">
        <v>1219</v>
      </c>
      <c r="C742" s="29" t="s">
        <v>1247</v>
      </c>
      <c r="D742" s="8" t="s">
        <v>1269</v>
      </c>
      <c r="E742" s="10" t="s">
        <v>2050</v>
      </c>
      <c r="F742" s="10"/>
      <c r="G742" s="10">
        <v>2</v>
      </c>
      <c r="H742" s="10">
        <v>1</v>
      </c>
      <c r="I742" s="10"/>
      <c r="J742" s="10">
        <v>837</v>
      </c>
      <c r="K742" s="104">
        <v>45716</v>
      </c>
      <c r="L742" s="104">
        <v>45720</v>
      </c>
      <c r="M742" s="10" t="b">
        <v>0</v>
      </c>
      <c r="N742" s="10">
        <v>5</v>
      </c>
      <c r="O742" s="11">
        <v>1600</v>
      </c>
      <c r="P742" s="85">
        <v>1.911589008363202</v>
      </c>
      <c r="Q742" s="11">
        <v>1600</v>
      </c>
      <c r="R742" s="85">
        <v>1.911589008363202</v>
      </c>
      <c r="S742" s="29" t="s">
        <v>2719</v>
      </c>
      <c r="T742" s="29" t="s">
        <v>2798</v>
      </c>
    </row>
    <row r="743">
      <c r="B743" s="29" t="s">
        <v>1219</v>
      </c>
      <c r="C743" s="29" t="s">
        <v>1247</v>
      </c>
      <c r="D743" s="8" t="s">
        <v>1269</v>
      </c>
      <c r="E743" s="10" t="s">
        <v>2051</v>
      </c>
      <c r="F743" s="10"/>
      <c r="G743" s="10">
        <v>2</v>
      </c>
      <c r="H743" s="10">
        <v>1</v>
      </c>
      <c r="I743" s="10"/>
      <c r="J743" s="10">
        <v>837</v>
      </c>
      <c r="K743" s="104">
        <v>45716</v>
      </c>
      <c r="L743" s="104">
        <v>45720</v>
      </c>
      <c r="M743" s="10" t="b">
        <v>0</v>
      </c>
      <c r="N743" s="10">
        <v>5</v>
      </c>
      <c r="O743" s="11">
        <v>1600</v>
      </c>
      <c r="P743" s="85">
        <v>1.911589008363202</v>
      </c>
      <c r="Q743" s="11">
        <v>1600</v>
      </c>
      <c r="R743" s="85">
        <v>1.911589008363202</v>
      </c>
      <c r="S743" s="29" t="s">
        <v>2719</v>
      </c>
      <c r="T743" s="29" t="s">
        <v>2798</v>
      </c>
    </row>
    <row r="744">
      <c r="B744" s="29" t="s">
        <v>1219</v>
      </c>
      <c r="C744" s="29" t="s">
        <v>1247</v>
      </c>
      <c r="D744" s="8" t="s">
        <v>1269</v>
      </c>
      <c r="E744" s="10" t="s">
        <v>2052</v>
      </c>
      <c r="F744" s="10"/>
      <c r="G744" s="10">
        <v>2</v>
      </c>
      <c r="H744" s="10">
        <v>1</v>
      </c>
      <c r="I744" s="10"/>
      <c r="J744" s="10">
        <v>837</v>
      </c>
      <c r="K744" s="104">
        <v>45716</v>
      </c>
      <c r="L744" s="104">
        <v>45720</v>
      </c>
      <c r="M744" s="10" t="b">
        <v>0</v>
      </c>
      <c r="N744" s="10">
        <v>5</v>
      </c>
      <c r="O744" s="11">
        <v>1600</v>
      </c>
      <c r="P744" s="85">
        <v>1.911589008363202</v>
      </c>
      <c r="Q744" s="11">
        <v>1600</v>
      </c>
      <c r="R744" s="85">
        <v>1.911589008363202</v>
      </c>
      <c r="S744" s="29" t="s">
        <v>2719</v>
      </c>
      <c r="T744" s="29" t="s">
        <v>2798</v>
      </c>
    </row>
    <row r="745">
      <c r="B745" s="29" t="s">
        <v>1219</v>
      </c>
      <c r="C745" s="29" t="s">
        <v>1247</v>
      </c>
      <c r="D745" s="8" t="s">
        <v>1269</v>
      </c>
      <c r="E745" s="10" t="s">
        <v>2053</v>
      </c>
      <c r="F745" s="10"/>
      <c r="G745" s="10">
        <v>2</v>
      </c>
      <c r="H745" s="10">
        <v>1</v>
      </c>
      <c r="I745" s="10"/>
      <c r="J745" s="10">
        <v>837</v>
      </c>
      <c r="K745" s="104">
        <v>45716</v>
      </c>
      <c r="L745" s="104">
        <v>45720</v>
      </c>
      <c r="M745" s="10" t="b">
        <v>0</v>
      </c>
      <c r="N745" s="10">
        <v>5</v>
      </c>
      <c r="O745" s="11">
        <v>1600</v>
      </c>
      <c r="P745" s="85">
        <v>1.911589008363202</v>
      </c>
      <c r="Q745" s="11">
        <v>1600</v>
      </c>
      <c r="R745" s="85">
        <v>1.911589008363202</v>
      </c>
      <c r="S745" s="29" t="s">
        <v>2719</v>
      </c>
      <c r="T745" s="29" t="s">
        <v>2798</v>
      </c>
    </row>
    <row r="746">
      <c r="B746" s="29" t="s">
        <v>1219</v>
      </c>
      <c r="C746" s="29" t="s">
        <v>1247</v>
      </c>
      <c r="D746" s="8" t="s">
        <v>1269</v>
      </c>
      <c r="E746" s="10" t="s">
        <v>2054</v>
      </c>
      <c r="F746" s="10"/>
      <c r="G746" s="10">
        <v>2</v>
      </c>
      <c r="H746" s="10">
        <v>1</v>
      </c>
      <c r="I746" s="10"/>
      <c r="J746" s="10">
        <v>837</v>
      </c>
      <c r="K746" s="104">
        <v>45716</v>
      </c>
      <c r="L746" s="104">
        <v>45720</v>
      </c>
      <c r="M746" s="10" t="b">
        <v>0</v>
      </c>
      <c r="N746" s="10">
        <v>5</v>
      </c>
      <c r="O746" s="11">
        <v>1600</v>
      </c>
      <c r="P746" s="85">
        <v>1.911589008363202</v>
      </c>
      <c r="Q746" s="11">
        <v>1600</v>
      </c>
      <c r="R746" s="85">
        <v>1.911589008363202</v>
      </c>
      <c r="S746" s="29" t="s">
        <v>2719</v>
      </c>
      <c r="T746" s="29" t="s">
        <v>2798</v>
      </c>
    </row>
    <row r="747">
      <c r="B747" s="29" t="s">
        <v>1219</v>
      </c>
      <c r="C747" s="29" t="s">
        <v>1247</v>
      </c>
      <c r="D747" s="8" t="s">
        <v>1269</v>
      </c>
      <c r="E747" s="10" t="s">
        <v>2055</v>
      </c>
      <c r="F747" s="10"/>
      <c r="G747" s="10">
        <v>2</v>
      </c>
      <c r="H747" s="10">
        <v>1</v>
      </c>
      <c r="I747" s="10"/>
      <c r="J747" s="10">
        <v>837</v>
      </c>
      <c r="K747" s="104">
        <v>45716</v>
      </c>
      <c r="L747" s="104">
        <v>45720</v>
      </c>
      <c r="M747" s="10" t="b">
        <v>0</v>
      </c>
      <c r="N747" s="10">
        <v>5</v>
      </c>
      <c r="O747" s="11">
        <v>1600</v>
      </c>
      <c r="P747" s="85">
        <v>1.911589008363202</v>
      </c>
      <c r="Q747" s="11">
        <v>1600</v>
      </c>
      <c r="R747" s="85">
        <v>1.911589008363202</v>
      </c>
      <c r="S747" s="29" t="s">
        <v>2719</v>
      </c>
      <c r="T747" s="29" t="s">
        <v>2798</v>
      </c>
    </row>
    <row r="748">
      <c r="B748" s="29" t="s">
        <v>1219</v>
      </c>
      <c r="C748" s="29" t="s">
        <v>1247</v>
      </c>
      <c r="D748" s="8" t="s">
        <v>1269</v>
      </c>
      <c r="E748" s="10" t="s">
        <v>2056</v>
      </c>
      <c r="F748" s="10"/>
      <c r="G748" s="10">
        <v>2</v>
      </c>
      <c r="H748" s="10">
        <v>1</v>
      </c>
      <c r="I748" s="10"/>
      <c r="J748" s="10">
        <v>837</v>
      </c>
      <c r="K748" s="104">
        <v>45707</v>
      </c>
      <c r="L748" s="104">
        <v>45720</v>
      </c>
      <c r="M748" s="10" t="b">
        <v>0</v>
      </c>
      <c r="N748" s="10">
        <v>14</v>
      </c>
      <c r="O748" s="11">
        <v>1600</v>
      </c>
      <c r="P748" s="85">
        <v>1.911589008363202</v>
      </c>
      <c r="Q748" s="11">
        <v>1600</v>
      </c>
      <c r="R748" s="85">
        <v>1.911589008363202</v>
      </c>
      <c r="S748" s="29" t="s">
        <v>2719</v>
      </c>
      <c r="T748" s="29" t="s">
        <v>2798</v>
      </c>
    </row>
    <row r="749">
      <c r="B749" s="29" t="s">
        <v>1219</v>
      </c>
      <c r="C749" s="29" t="s">
        <v>1247</v>
      </c>
      <c r="D749" s="8" t="s">
        <v>1269</v>
      </c>
      <c r="E749" s="10" t="s">
        <v>2057</v>
      </c>
      <c r="F749" s="10"/>
      <c r="G749" s="10">
        <v>2</v>
      </c>
      <c r="H749" s="10">
        <v>1</v>
      </c>
      <c r="I749" s="10"/>
      <c r="J749" s="10">
        <v>837</v>
      </c>
      <c r="K749" s="104">
        <v>45716</v>
      </c>
      <c r="L749" s="104">
        <v>45720</v>
      </c>
      <c r="M749" s="10" t="b">
        <v>0</v>
      </c>
      <c r="N749" s="10">
        <v>5</v>
      </c>
      <c r="O749" s="11">
        <v>1600</v>
      </c>
      <c r="P749" s="85">
        <v>1.911589008363202</v>
      </c>
      <c r="Q749" s="11">
        <v>1600</v>
      </c>
      <c r="R749" s="85">
        <v>1.911589008363202</v>
      </c>
      <c r="S749" s="29" t="s">
        <v>2719</v>
      </c>
      <c r="T749" s="29" t="s">
        <v>2798</v>
      </c>
    </row>
    <row r="750">
      <c r="B750" s="29" t="s">
        <v>1219</v>
      </c>
      <c r="C750" s="29" t="s">
        <v>1247</v>
      </c>
      <c r="D750" s="8" t="s">
        <v>1269</v>
      </c>
      <c r="E750" s="10" t="s">
        <v>2058</v>
      </c>
      <c r="F750" s="10"/>
      <c r="G750" s="10">
        <v>2</v>
      </c>
      <c r="H750" s="10">
        <v>1</v>
      </c>
      <c r="I750" s="10"/>
      <c r="J750" s="10">
        <v>837</v>
      </c>
      <c r="K750" s="104">
        <v>45716</v>
      </c>
      <c r="L750" s="104">
        <v>45720</v>
      </c>
      <c r="M750" s="10" t="b">
        <v>0</v>
      </c>
      <c r="N750" s="10">
        <v>5</v>
      </c>
      <c r="O750" s="11">
        <v>1600</v>
      </c>
      <c r="P750" s="85">
        <v>1.911589008363202</v>
      </c>
      <c r="Q750" s="11">
        <v>1600</v>
      </c>
      <c r="R750" s="85">
        <v>1.911589008363202</v>
      </c>
      <c r="S750" s="29" t="s">
        <v>2719</v>
      </c>
      <c r="T750" s="29" t="s">
        <v>2798</v>
      </c>
    </row>
    <row r="751">
      <c r="B751" s="29" t="s">
        <v>1219</v>
      </c>
      <c r="C751" s="29" t="s">
        <v>1247</v>
      </c>
      <c r="D751" s="8" t="s">
        <v>1269</v>
      </c>
      <c r="E751" s="10" t="s">
        <v>2059</v>
      </c>
      <c r="F751" s="10"/>
      <c r="G751" s="10">
        <v>2</v>
      </c>
      <c r="H751" s="10">
        <v>1</v>
      </c>
      <c r="I751" s="10"/>
      <c r="J751" s="10">
        <v>837</v>
      </c>
      <c r="K751" s="104">
        <v>45716</v>
      </c>
      <c r="L751" s="104">
        <v>45720</v>
      </c>
      <c r="M751" s="10" t="b">
        <v>0</v>
      </c>
      <c r="N751" s="10">
        <v>5</v>
      </c>
      <c r="O751" s="11">
        <v>1600</v>
      </c>
      <c r="P751" s="85">
        <v>1.911589008363202</v>
      </c>
      <c r="Q751" s="11">
        <v>1600</v>
      </c>
      <c r="R751" s="85">
        <v>1.911589008363202</v>
      </c>
      <c r="S751" s="29" t="s">
        <v>2719</v>
      </c>
      <c r="T751" s="29" t="s">
        <v>2798</v>
      </c>
    </row>
    <row r="752">
      <c r="B752" s="29" t="s">
        <v>1219</v>
      </c>
      <c r="C752" s="29" t="s">
        <v>1247</v>
      </c>
      <c r="D752" s="8" t="s">
        <v>1269</v>
      </c>
      <c r="E752" s="10" t="s">
        <v>2060</v>
      </c>
      <c r="F752" s="10"/>
      <c r="G752" s="10">
        <v>2</v>
      </c>
      <c r="H752" s="10">
        <v>1</v>
      </c>
      <c r="I752" s="10"/>
      <c r="J752" s="10">
        <v>837</v>
      </c>
      <c r="K752" s="104">
        <v>45716</v>
      </c>
      <c r="L752" s="104">
        <v>45720</v>
      </c>
      <c r="M752" s="10" t="b">
        <v>0</v>
      </c>
      <c r="N752" s="10">
        <v>5</v>
      </c>
      <c r="O752" s="11">
        <v>1600</v>
      </c>
      <c r="P752" s="85">
        <v>1.911589008363202</v>
      </c>
      <c r="Q752" s="11">
        <v>1600</v>
      </c>
      <c r="R752" s="85">
        <v>1.911589008363202</v>
      </c>
      <c r="S752" s="29" t="s">
        <v>2719</v>
      </c>
      <c r="T752" s="29" t="s">
        <v>2798</v>
      </c>
    </row>
    <row r="753">
      <c r="B753" s="29" t="s">
        <v>1219</v>
      </c>
      <c r="C753" s="29" t="s">
        <v>1247</v>
      </c>
      <c r="D753" s="8" t="s">
        <v>1269</v>
      </c>
      <c r="E753" s="10" t="s">
        <v>2061</v>
      </c>
      <c r="F753" s="10">
        <v>2</v>
      </c>
      <c r="G753" s="10">
        <v>2</v>
      </c>
      <c r="H753" s="10">
        <v>1</v>
      </c>
      <c r="I753" s="10"/>
      <c r="J753" s="10">
        <v>837</v>
      </c>
      <c r="K753" s="104">
        <v>45716</v>
      </c>
      <c r="L753" s="104">
        <v>45720</v>
      </c>
      <c r="M753" s="10" t="b">
        <v>0</v>
      </c>
      <c r="N753" s="10">
        <v>5</v>
      </c>
      <c r="O753" s="11">
        <v>1600</v>
      </c>
      <c r="P753" s="85">
        <v>1.911589008363202</v>
      </c>
      <c r="Q753" s="11">
        <v>1600</v>
      </c>
      <c r="R753" s="85">
        <v>1.911589008363202</v>
      </c>
      <c r="S753" s="29" t="s">
        <v>2719</v>
      </c>
      <c r="T753" s="29" t="s">
        <v>2798</v>
      </c>
    </row>
    <row r="754">
      <c r="B754" s="29" t="s">
        <v>1219</v>
      </c>
      <c r="C754" s="29" t="s">
        <v>1247</v>
      </c>
      <c r="D754" s="8" t="s">
        <v>1269</v>
      </c>
      <c r="E754" s="10" t="s">
        <v>2062</v>
      </c>
      <c r="F754" s="10">
        <v>2</v>
      </c>
      <c r="G754" s="10">
        <v>2</v>
      </c>
      <c r="H754" s="10">
        <v>1</v>
      </c>
      <c r="I754" s="10"/>
      <c r="J754" s="10">
        <v>837</v>
      </c>
      <c r="K754" s="104">
        <v>45716</v>
      </c>
      <c r="L754" s="104">
        <v>45720</v>
      </c>
      <c r="M754" s="10" t="b">
        <v>0</v>
      </c>
      <c r="N754" s="10">
        <v>5</v>
      </c>
      <c r="O754" s="11">
        <v>1600</v>
      </c>
      <c r="P754" s="85">
        <v>1.911589008363202</v>
      </c>
      <c r="Q754" s="11">
        <v>1600</v>
      </c>
      <c r="R754" s="85">
        <v>1.911589008363202</v>
      </c>
      <c r="S754" s="29" t="s">
        <v>2719</v>
      </c>
      <c r="T754" s="29" t="s">
        <v>2798</v>
      </c>
    </row>
    <row r="755">
      <c r="B755" s="29" t="s">
        <v>1219</v>
      </c>
      <c r="C755" s="29" t="s">
        <v>1247</v>
      </c>
      <c r="D755" s="8" t="s">
        <v>1269</v>
      </c>
      <c r="E755" s="10" t="s">
        <v>2063</v>
      </c>
      <c r="F755" s="10"/>
      <c r="G755" s="10">
        <v>2</v>
      </c>
      <c r="H755" s="10">
        <v>1</v>
      </c>
      <c r="I755" s="10"/>
      <c r="J755" s="10">
        <v>837</v>
      </c>
      <c r="K755" s="104">
        <v>45716</v>
      </c>
      <c r="L755" s="104">
        <v>45720</v>
      </c>
      <c r="M755" s="10" t="b">
        <v>0</v>
      </c>
      <c r="N755" s="10">
        <v>5</v>
      </c>
      <c r="O755" s="11">
        <v>1600</v>
      </c>
      <c r="P755" s="85">
        <v>1.911589008363202</v>
      </c>
      <c r="Q755" s="11">
        <v>1600</v>
      </c>
      <c r="R755" s="85">
        <v>1.911589008363202</v>
      </c>
      <c r="S755" s="29" t="s">
        <v>2719</v>
      </c>
      <c r="T755" s="29" t="s">
        <v>2798</v>
      </c>
    </row>
    <row r="756">
      <c r="B756" s="29" t="s">
        <v>1219</v>
      </c>
      <c r="C756" s="29" t="s">
        <v>1247</v>
      </c>
      <c r="D756" s="8" t="s">
        <v>1269</v>
      </c>
      <c r="E756" s="10" t="s">
        <v>2064</v>
      </c>
      <c r="F756" s="10">
        <v>2</v>
      </c>
      <c r="G756" s="10">
        <v>2</v>
      </c>
      <c r="H756" s="10">
        <v>1</v>
      </c>
      <c r="I756" s="10"/>
      <c r="J756" s="10">
        <v>837</v>
      </c>
      <c r="K756" s="104">
        <v>45716</v>
      </c>
      <c r="L756" s="104">
        <v>45720</v>
      </c>
      <c r="M756" s="10" t="b">
        <v>0</v>
      </c>
      <c r="N756" s="10">
        <v>5</v>
      </c>
      <c r="O756" s="11">
        <v>1600</v>
      </c>
      <c r="P756" s="85">
        <v>1.911589008363202</v>
      </c>
      <c r="Q756" s="11">
        <v>1600</v>
      </c>
      <c r="R756" s="85">
        <v>1.911589008363202</v>
      </c>
      <c r="S756" s="29" t="s">
        <v>2719</v>
      </c>
      <c r="T756" s="29" t="s">
        <v>2798</v>
      </c>
    </row>
    <row r="757">
      <c r="B757" s="29" t="s">
        <v>1219</v>
      </c>
      <c r="C757" s="29" t="s">
        <v>1247</v>
      </c>
      <c r="D757" s="8" t="s">
        <v>1269</v>
      </c>
      <c r="E757" s="10" t="s">
        <v>2065</v>
      </c>
      <c r="F757" s="10">
        <v>2</v>
      </c>
      <c r="G757" s="10">
        <v>2</v>
      </c>
      <c r="H757" s="10">
        <v>1</v>
      </c>
      <c r="I757" s="10"/>
      <c r="J757" s="10">
        <v>837</v>
      </c>
      <c r="K757" s="104">
        <v>45716</v>
      </c>
      <c r="L757" s="104">
        <v>45720</v>
      </c>
      <c r="M757" s="10" t="b">
        <v>0</v>
      </c>
      <c r="N757" s="10">
        <v>5</v>
      </c>
      <c r="O757" s="11">
        <v>1600</v>
      </c>
      <c r="P757" s="85">
        <v>1.911589008363202</v>
      </c>
      <c r="Q757" s="11">
        <v>1600</v>
      </c>
      <c r="R757" s="85">
        <v>1.911589008363202</v>
      </c>
      <c r="S757" s="29" t="s">
        <v>2719</v>
      </c>
      <c r="T757" s="29" t="s">
        <v>2798</v>
      </c>
    </row>
    <row r="758">
      <c r="B758" s="29" t="s">
        <v>1219</v>
      </c>
      <c r="C758" s="29" t="s">
        <v>1247</v>
      </c>
      <c r="D758" s="8" t="s">
        <v>1269</v>
      </c>
      <c r="E758" s="10" t="s">
        <v>2066</v>
      </c>
      <c r="F758" s="10"/>
      <c r="G758" s="10">
        <v>2</v>
      </c>
      <c r="H758" s="10">
        <v>1</v>
      </c>
      <c r="I758" s="10"/>
      <c r="J758" s="10">
        <v>837</v>
      </c>
      <c r="K758" s="104">
        <v>45716</v>
      </c>
      <c r="L758" s="104">
        <v>45720</v>
      </c>
      <c r="M758" s="10" t="b">
        <v>0</v>
      </c>
      <c r="N758" s="10">
        <v>5</v>
      </c>
      <c r="O758" s="11">
        <v>1600</v>
      </c>
      <c r="P758" s="85">
        <v>1.911589008363202</v>
      </c>
      <c r="Q758" s="11">
        <v>1600</v>
      </c>
      <c r="R758" s="85">
        <v>1.911589008363202</v>
      </c>
      <c r="S758" s="29" t="s">
        <v>2719</v>
      </c>
      <c r="T758" s="29" t="s">
        <v>2798</v>
      </c>
    </row>
    <row r="759">
      <c r="B759" s="29" t="s">
        <v>1219</v>
      </c>
      <c r="C759" s="29" t="s">
        <v>1247</v>
      </c>
      <c r="D759" s="8" t="s">
        <v>1269</v>
      </c>
      <c r="E759" s="10" t="s">
        <v>2067</v>
      </c>
      <c r="F759" s="10"/>
      <c r="G759" s="10">
        <v>2</v>
      </c>
      <c r="H759" s="10">
        <v>1</v>
      </c>
      <c r="I759" s="10"/>
      <c r="J759" s="10">
        <v>837</v>
      </c>
      <c r="K759" s="104">
        <v>45716</v>
      </c>
      <c r="L759" s="104">
        <v>45720</v>
      </c>
      <c r="M759" s="10" t="b">
        <v>0</v>
      </c>
      <c r="N759" s="10">
        <v>5</v>
      </c>
      <c r="O759" s="11">
        <v>1600</v>
      </c>
      <c r="P759" s="85">
        <v>1.911589008363202</v>
      </c>
      <c r="Q759" s="11">
        <v>1600</v>
      </c>
      <c r="R759" s="85">
        <v>1.911589008363202</v>
      </c>
      <c r="S759" s="29" t="s">
        <v>2719</v>
      </c>
      <c r="T759" s="29" t="s">
        <v>2798</v>
      </c>
    </row>
    <row r="760">
      <c r="B760" s="29" t="s">
        <v>1219</v>
      </c>
      <c r="C760" s="29" t="s">
        <v>1247</v>
      </c>
      <c r="D760" s="8" t="s">
        <v>1269</v>
      </c>
      <c r="E760" s="10" t="s">
        <v>2068</v>
      </c>
      <c r="F760" s="10"/>
      <c r="G760" s="10">
        <v>2</v>
      </c>
      <c r="H760" s="10">
        <v>1</v>
      </c>
      <c r="I760" s="10"/>
      <c r="J760" s="10">
        <v>837</v>
      </c>
      <c r="K760" s="104">
        <v>45716</v>
      </c>
      <c r="L760" s="104">
        <v>45720</v>
      </c>
      <c r="M760" s="10" t="b">
        <v>0</v>
      </c>
      <c r="N760" s="10">
        <v>5</v>
      </c>
      <c r="O760" s="11">
        <v>1600</v>
      </c>
      <c r="P760" s="85">
        <v>1.911589008363202</v>
      </c>
      <c r="Q760" s="11">
        <v>1600</v>
      </c>
      <c r="R760" s="85">
        <v>1.911589008363202</v>
      </c>
      <c r="S760" s="29" t="s">
        <v>2719</v>
      </c>
      <c r="T760" s="29" t="s">
        <v>2798</v>
      </c>
    </row>
    <row r="761">
      <c r="B761" s="29" t="s">
        <v>1219</v>
      </c>
      <c r="C761" s="29" t="s">
        <v>1247</v>
      </c>
      <c r="D761" s="8" t="s">
        <v>1269</v>
      </c>
      <c r="E761" s="10" t="s">
        <v>2069</v>
      </c>
      <c r="F761" s="10"/>
      <c r="G761" s="10">
        <v>2</v>
      </c>
      <c r="H761" s="10">
        <v>1</v>
      </c>
      <c r="I761" s="10"/>
      <c r="J761" s="10">
        <v>837</v>
      </c>
      <c r="K761" s="104">
        <v>45716</v>
      </c>
      <c r="L761" s="104">
        <v>45720</v>
      </c>
      <c r="M761" s="10" t="b">
        <v>0</v>
      </c>
      <c r="N761" s="10">
        <v>5</v>
      </c>
      <c r="O761" s="11">
        <v>1600</v>
      </c>
      <c r="P761" s="85">
        <v>1.911589008363202</v>
      </c>
      <c r="Q761" s="11">
        <v>1600</v>
      </c>
      <c r="R761" s="85">
        <v>1.911589008363202</v>
      </c>
      <c r="S761" s="29" t="s">
        <v>2719</v>
      </c>
      <c r="T761" s="29" t="s">
        <v>2798</v>
      </c>
    </row>
    <row r="762">
      <c r="B762" s="29" t="s">
        <v>1219</v>
      </c>
      <c r="C762" s="29" t="s">
        <v>1247</v>
      </c>
      <c r="D762" s="8" t="s">
        <v>1269</v>
      </c>
      <c r="E762" s="10" t="s">
        <v>2070</v>
      </c>
      <c r="F762" s="10"/>
      <c r="G762" s="10">
        <v>2</v>
      </c>
      <c r="H762" s="10">
        <v>1</v>
      </c>
      <c r="I762" s="10"/>
      <c r="J762" s="10">
        <v>837</v>
      </c>
      <c r="K762" s="104">
        <v>45716</v>
      </c>
      <c r="L762" s="104">
        <v>45720</v>
      </c>
      <c r="M762" s="10" t="b">
        <v>0</v>
      </c>
      <c r="N762" s="10">
        <v>5</v>
      </c>
      <c r="O762" s="11">
        <v>1600</v>
      </c>
      <c r="P762" s="85">
        <v>1.911589008363202</v>
      </c>
      <c r="Q762" s="11">
        <v>1600</v>
      </c>
      <c r="R762" s="85">
        <v>1.911589008363202</v>
      </c>
      <c r="S762" s="29" t="s">
        <v>2719</v>
      </c>
      <c r="T762" s="29" t="s">
        <v>2798</v>
      </c>
    </row>
    <row r="763">
      <c r="B763" s="29" t="s">
        <v>1219</v>
      </c>
      <c r="C763" s="29" t="s">
        <v>1247</v>
      </c>
      <c r="D763" s="8" t="s">
        <v>1269</v>
      </c>
      <c r="E763" s="10" t="s">
        <v>2071</v>
      </c>
      <c r="F763" s="10"/>
      <c r="G763" s="10">
        <v>2</v>
      </c>
      <c r="H763" s="10">
        <v>1</v>
      </c>
      <c r="I763" s="10"/>
      <c r="J763" s="10">
        <v>837</v>
      </c>
      <c r="K763" s="104">
        <v>45716</v>
      </c>
      <c r="L763" s="104">
        <v>45720</v>
      </c>
      <c r="M763" s="10" t="b">
        <v>0</v>
      </c>
      <c r="N763" s="10">
        <v>5</v>
      </c>
      <c r="O763" s="11">
        <v>1600</v>
      </c>
      <c r="P763" s="85">
        <v>1.911589008363202</v>
      </c>
      <c r="Q763" s="11">
        <v>1600</v>
      </c>
      <c r="R763" s="85">
        <v>1.911589008363202</v>
      </c>
      <c r="S763" s="29" t="s">
        <v>2719</v>
      </c>
      <c r="T763" s="29" t="s">
        <v>2798</v>
      </c>
    </row>
    <row r="764">
      <c r="B764" s="29" t="s">
        <v>1219</v>
      </c>
      <c r="C764" s="29" t="s">
        <v>1247</v>
      </c>
      <c r="D764" s="8" t="s">
        <v>1269</v>
      </c>
      <c r="E764" s="10" t="s">
        <v>2072</v>
      </c>
      <c r="F764" s="10"/>
      <c r="G764" s="10">
        <v>2</v>
      </c>
      <c r="H764" s="10">
        <v>1</v>
      </c>
      <c r="I764" s="10"/>
      <c r="J764" s="10">
        <v>837</v>
      </c>
      <c r="K764" s="104">
        <v>45716</v>
      </c>
      <c r="L764" s="104">
        <v>45720</v>
      </c>
      <c r="M764" s="10" t="b">
        <v>0</v>
      </c>
      <c r="N764" s="10">
        <v>5</v>
      </c>
      <c r="O764" s="11">
        <v>1600</v>
      </c>
      <c r="P764" s="85">
        <v>1.911589008363202</v>
      </c>
      <c r="Q764" s="11">
        <v>1600</v>
      </c>
      <c r="R764" s="85">
        <v>1.911589008363202</v>
      </c>
      <c r="S764" s="29" t="s">
        <v>2719</v>
      </c>
      <c r="T764" s="29" t="s">
        <v>2798</v>
      </c>
    </row>
    <row r="765">
      <c r="B765" s="29" t="s">
        <v>1219</v>
      </c>
      <c r="C765" s="29" t="s">
        <v>1247</v>
      </c>
      <c r="D765" s="8" t="s">
        <v>1269</v>
      </c>
      <c r="E765" s="10" t="s">
        <v>2073</v>
      </c>
      <c r="F765" s="10"/>
      <c r="G765" s="10">
        <v>2</v>
      </c>
      <c r="H765" s="10">
        <v>1</v>
      </c>
      <c r="I765" s="10"/>
      <c r="J765" s="10">
        <v>837</v>
      </c>
      <c r="K765" s="104">
        <v>45716</v>
      </c>
      <c r="L765" s="104">
        <v>45720</v>
      </c>
      <c r="M765" s="10" t="b">
        <v>0</v>
      </c>
      <c r="N765" s="10">
        <v>5</v>
      </c>
      <c r="O765" s="11">
        <v>1600</v>
      </c>
      <c r="P765" s="85">
        <v>1.911589008363202</v>
      </c>
      <c r="Q765" s="11">
        <v>1600</v>
      </c>
      <c r="R765" s="85">
        <v>1.911589008363202</v>
      </c>
      <c r="S765" s="29" t="s">
        <v>2719</v>
      </c>
      <c r="T765" s="29" t="s">
        <v>2798</v>
      </c>
    </row>
    <row r="766">
      <c r="B766" s="29" t="s">
        <v>1219</v>
      </c>
      <c r="C766" s="29" t="s">
        <v>1247</v>
      </c>
      <c r="D766" s="8" t="s">
        <v>1269</v>
      </c>
      <c r="E766" s="10" t="s">
        <v>2074</v>
      </c>
      <c r="F766" s="10">
        <v>2</v>
      </c>
      <c r="G766" s="10">
        <v>2</v>
      </c>
      <c r="H766" s="10">
        <v>1</v>
      </c>
      <c r="I766" s="10"/>
      <c r="J766" s="10">
        <v>837</v>
      </c>
      <c r="K766" s="104">
        <v>45716</v>
      </c>
      <c r="L766" s="104">
        <v>45720</v>
      </c>
      <c r="M766" s="10" t="b">
        <v>0</v>
      </c>
      <c r="N766" s="10">
        <v>5</v>
      </c>
      <c r="O766" s="11">
        <v>1600</v>
      </c>
      <c r="P766" s="85">
        <v>1.911589008363202</v>
      </c>
      <c r="Q766" s="11">
        <v>1600</v>
      </c>
      <c r="R766" s="85">
        <v>1.911589008363202</v>
      </c>
      <c r="S766" s="29" t="s">
        <v>2719</v>
      </c>
      <c r="T766" s="29" t="s">
        <v>2798</v>
      </c>
    </row>
    <row r="767">
      <c r="B767" s="29" t="s">
        <v>1219</v>
      </c>
      <c r="C767" s="29" t="s">
        <v>1247</v>
      </c>
      <c r="D767" s="8" t="s">
        <v>1269</v>
      </c>
      <c r="E767" s="10" t="s">
        <v>2075</v>
      </c>
      <c r="F767" s="10"/>
      <c r="G767" s="10">
        <v>2</v>
      </c>
      <c r="H767" s="10">
        <v>1</v>
      </c>
      <c r="I767" s="10"/>
      <c r="J767" s="10">
        <v>837</v>
      </c>
      <c r="K767" s="104">
        <v>45716</v>
      </c>
      <c r="L767" s="104">
        <v>45720</v>
      </c>
      <c r="M767" s="10" t="b">
        <v>0</v>
      </c>
      <c r="N767" s="10">
        <v>5</v>
      </c>
      <c r="O767" s="11">
        <v>1600</v>
      </c>
      <c r="P767" s="85">
        <v>1.911589008363202</v>
      </c>
      <c r="Q767" s="11">
        <v>1600</v>
      </c>
      <c r="R767" s="85">
        <v>1.911589008363202</v>
      </c>
      <c r="S767" s="29" t="s">
        <v>2719</v>
      </c>
      <c r="T767" s="29" t="s">
        <v>2798</v>
      </c>
    </row>
    <row r="768">
      <c r="B768" s="29" t="s">
        <v>1219</v>
      </c>
      <c r="C768" s="29" t="s">
        <v>1247</v>
      </c>
      <c r="D768" s="8" t="s">
        <v>1269</v>
      </c>
      <c r="E768" s="10" t="s">
        <v>2076</v>
      </c>
      <c r="F768" s="10"/>
      <c r="G768" s="10">
        <v>2</v>
      </c>
      <c r="H768" s="10">
        <v>1</v>
      </c>
      <c r="I768" s="10"/>
      <c r="J768" s="10">
        <v>837</v>
      </c>
      <c r="K768" s="104">
        <v>45716</v>
      </c>
      <c r="L768" s="104">
        <v>45720</v>
      </c>
      <c r="M768" s="10" t="b">
        <v>0</v>
      </c>
      <c r="N768" s="10">
        <v>5</v>
      </c>
      <c r="O768" s="11">
        <v>1600</v>
      </c>
      <c r="P768" s="85">
        <v>1.911589008363202</v>
      </c>
      <c r="Q768" s="11">
        <v>1600</v>
      </c>
      <c r="R768" s="85">
        <v>1.911589008363202</v>
      </c>
      <c r="S768" s="29" t="s">
        <v>2719</v>
      </c>
      <c r="T768" s="29" t="s">
        <v>2798</v>
      </c>
    </row>
    <row r="769">
      <c r="B769" s="29" t="s">
        <v>1219</v>
      </c>
      <c r="C769" s="29" t="s">
        <v>1247</v>
      </c>
      <c r="D769" s="8" t="s">
        <v>1269</v>
      </c>
      <c r="E769" s="10" t="s">
        <v>2077</v>
      </c>
      <c r="F769" s="10"/>
      <c r="G769" s="10">
        <v>2</v>
      </c>
      <c r="H769" s="10">
        <v>1</v>
      </c>
      <c r="I769" s="10"/>
      <c r="J769" s="10">
        <v>837</v>
      </c>
      <c r="K769" s="104">
        <v>45716</v>
      </c>
      <c r="L769" s="104">
        <v>45720</v>
      </c>
      <c r="M769" s="10" t="b">
        <v>0</v>
      </c>
      <c r="N769" s="10">
        <v>5</v>
      </c>
      <c r="O769" s="11">
        <v>1600</v>
      </c>
      <c r="P769" s="85">
        <v>1.911589008363202</v>
      </c>
      <c r="Q769" s="11">
        <v>1600</v>
      </c>
      <c r="R769" s="85">
        <v>1.911589008363202</v>
      </c>
      <c r="S769" s="29" t="s">
        <v>2719</v>
      </c>
      <c r="T769" s="29" t="s">
        <v>2798</v>
      </c>
    </row>
    <row r="770">
      <c r="B770" s="29" t="s">
        <v>1219</v>
      </c>
      <c r="C770" s="29" t="s">
        <v>1247</v>
      </c>
      <c r="D770" s="8" t="s">
        <v>1269</v>
      </c>
      <c r="E770" s="10" t="s">
        <v>2078</v>
      </c>
      <c r="F770" s="10"/>
      <c r="G770" s="10">
        <v>2</v>
      </c>
      <c r="H770" s="10">
        <v>1</v>
      </c>
      <c r="I770" s="10"/>
      <c r="J770" s="10">
        <v>837</v>
      </c>
      <c r="K770" s="104">
        <v>45716</v>
      </c>
      <c r="L770" s="104">
        <v>45719</v>
      </c>
      <c r="M770" s="10" t="b">
        <v>0</v>
      </c>
      <c r="N770" s="10">
        <v>4</v>
      </c>
      <c r="O770" s="11">
        <v>1600</v>
      </c>
      <c r="P770" s="85">
        <v>1.911589008363202</v>
      </c>
      <c r="Q770" s="11">
        <v>1600</v>
      </c>
      <c r="R770" s="85">
        <v>1.911589008363202</v>
      </c>
      <c r="S770" s="29" t="s">
        <v>2719</v>
      </c>
      <c r="T770" s="29" t="s">
        <v>2798</v>
      </c>
    </row>
    <row r="771">
      <c r="B771" s="29" t="s">
        <v>1219</v>
      </c>
      <c r="C771" s="29" t="s">
        <v>1247</v>
      </c>
      <c r="D771" s="8" t="s">
        <v>1269</v>
      </c>
      <c r="E771" s="10" t="s">
        <v>2079</v>
      </c>
      <c r="F771" s="10"/>
      <c r="G771" s="10">
        <v>2</v>
      </c>
      <c r="H771" s="10">
        <v>1</v>
      </c>
      <c r="I771" s="10"/>
      <c r="J771" s="10">
        <v>837</v>
      </c>
      <c r="K771" s="104">
        <v>45716</v>
      </c>
      <c r="L771" s="104">
        <v>45719</v>
      </c>
      <c r="M771" s="10" t="b">
        <v>0</v>
      </c>
      <c r="N771" s="10">
        <v>4</v>
      </c>
      <c r="O771" s="11">
        <v>1600</v>
      </c>
      <c r="P771" s="85">
        <v>1.911589008363202</v>
      </c>
      <c r="Q771" s="11">
        <v>1600</v>
      </c>
      <c r="R771" s="85">
        <v>1.911589008363202</v>
      </c>
      <c r="S771" s="29" t="s">
        <v>2719</v>
      </c>
      <c r="T771" s="29" t="s">
        <v>2798</v>
      </c>
    </row>
    <row r="772">
      <c r="B772" s="29" t="s">
        <v>1219</v>
      </c>
      <c r="C772" s="29" t="s">
        <v>1247</v>
      </c>
      <c r="D772" s="8" t="s">
        <v>1269</v>
      </c>
      <c r="E772" s="10" t="s">
        <v>2080</v>
      </c>
      <c r="F772" s="10"/>
      <c r="G772" s="10">
        <v>2</v>
      </c>
      <c r="H772" s="10">
        <v>1</v>
      </c>
      <c r="I772" s="10"/>
      <c r="J772" s="10">
        <v>837</v>
      </c>
      <c r="K772" s="104">
        <v>45716</v>
      </c>
      <c r="L772" s="104">
        <v>45719</v>
      </c>
      <c r="M772" s="10" t="b">
        <v>0</v>
      </c>
      <c r="N772" s="10">
        <v>4</v>
      </c>
      <c r="O772" s="11">
        <v>1600</v>
      </c>
      <c r="P772" s="85">
        <v>1.911589008363202</v>
      </c>
      <c r="Q772" s="11">
        <v>1600</v>
      </c>
      <c r="R772" s="85">
        <v>1.911589008363202</v>
      </c>
      <c r="S772" s="29" t="s">
        <v>2719</v>
      </c>
      <c r="T772" s="29" t="s">
        <v>2798</v>
      </c>
    </row>
    <row r="773">
      <c r="B773" s="29" t="s">
        <v>1219</v>
      </c>
      <c r="C773" s="29" t="s">
        <v>1247</v>
      </c>
      <c r="D773" s="8" t="s">
        <v>1269</v>
      </c>
      <c r="E773" s="10" t="s">
        <v>2081</v>
      </c>
      <c r="F773" s="10">
        <v>2</v>
      </c>
      <c r="G773" s="10">
        <v>2</v>
      </c>
      <c r="H773" s="10">
        <v>1</v>
      </c>
      <c r="I773" s="10"/>
      <c r="J773" s="10">
        <v>837</v>
      </c>
      <c r="K773" s="104">
        <v>45714</v>
      </c>
      <c r="L773" s="104">
        <v>45716</v>
      </c>
      <c r="M773" s="10" t="b">
        <v>0</v>
      </c>
      <c r="N773" s="10">
        <v>3</v>
      </c>
      <c r="O773" s="11">
        <v>1600</v>
      </c>
      <c r="P773" s="85">
        <v>1.911589008363202</v>
      </c>
      <c r="Q773" s="11">
        <v>1600</v>
      </c>
      <c r="R773" s="85">
        <v>1.911589008363202</v>
      </c>
      <c r="S773" s="29" t="s">
        <v>2719</v>
      </c>
      <c r="T773" s="29" t="s">
        <v>2798</v>
      </c>
    </row>
    <row r="774">
      <c r="B774" s="29" t="s">
        <v>1219</v>
      </c>
      <c r="C774" s="29" t="s">
        <v>1247</v>
      </c>
      <c r="D774" s="8" t="s">
        <v>1269</v>
      </c>
      <c r="E774" s="10" t="s">
        <v>2082</v>
      </c>
      <c r="F774" s="10"/>
      <c r="G774" s="10">
        <v>2</v>
      </c>
      <c r="H774" s="10">
        <v>1</v>
      </c>
      <c r="I774" s="10"/>
      <c r="J774" s="10">
        <v>837</v>
      </c>
      <c r="K774" s="104">
        <v>45705</v>
      </c>
      <c r="L774" s="104">
        <v>45710</v>
      </c>
      <c r="M774" s="10" t="b">
        <v>0</v>
      </c>
      <c r="N774" s="10">
        <v>6</v>
      </c>
      <c r="O774" s="11">
        <v>1600</v>
      </c>
      <c r="P774" s="85">
        <v>1.911589008363202</v>
      </c>
      <c r="Q774" s="11">
        <v>1600</v>
      </c>
      <c r="R774" s="85">
        <v>1.911589008363202</v>
      </c>
      <c r="S774" s="29" t="s">
        <v>2719</v>
      </c>
      <c r="T774" s="29" t="s">
        <v>2798</v>
      </c>
    </row>
    <row r="775">
      <c r="B775" s="29" t="s">
        <v>1219</v>
      </c>
      <c r="C775" s="29" t="s">
        <v>1247</v>
      </c>
      <c r="D775" s="8" t="s">
        <v>1269</v>
      </c>
      <c r="E775" s="10" t="s">
        <v>2083</v>
      </c>
      <c r="F775" s="10">
        <v>2</v>
      </c>
      <c r="G775" s="10">
        <v>2</v>
      </c>
      <c r="H775" s="10">
        <v>1</v>
      </c>
      <c r="I775" s="10"/>
      <c r="J775" s="10">
        <v>837</v>
      </c>
      <c r="K775" s="104">
        <v>45705</v>
      </c>
      <c r="L775" s="104">
        <v>45710</v>
      </c>
      <c r="M775" s="10" t="b">
        <v>0</v>
      </c>
      <c r="N775" s="10">
        <v>6</v>
      </c>
      <c r="O775" s="11">
        <v>1600</v>
      </c>
      <c r="P775" s="85">
        <v>1.911589008363202</v>
      </c>
      <c r="Q775" s="11">
        <v>1600</v>
      </c>
      <c r="R775" s="85">
        <v>1.911589008363202</v>
      </c>
      <c r="S775" s="29" t="s">
        <v>2719</v>
      </c>
      <c r="T775" s="29" t="s">
        <v>2798</v>
      </c>
    </row>
    <row r="776">
      <c r="B776" s="29" t="s">
        <v>1219</v>
      </c>
      <c r="C776" s="29" t="s">
        <v>1247</v>
      </c>
      <c r="D776" s="8" t="s">
        <v>1269</v>
      </c>
      <c r="E776" s="10" t="s">
        <v>2084</v>
      </c>
      <c r="F776" s="10">
        <v>2</v>
      </c>
      <c r="G776" s="10">
        <v>2</v>
      </c>
      <c r="H776" s="10">
        <v>1</v>
      </c>
      <c r="I776" s="10"/>
      <c r="J776" s="10">
        <v>837</v>
      </c>
      <c r="K776" s="104">
        <v>45705</v>
      </c>
      <c r="L776" s="104">
        <v>45710</v>
      </c>
      <c r="M776" s="10" t="b">
        <v>0</v>
      </c>
      <c r="N776" s="10">
        <v>6</v>
      </c>
      <c r="O776" s="11">
        <v>1600</v>
      </c>
      <c r="P776" s="85">
        <v>1.911589008363202</v>
      </c>
      <c r="Q776" s="11">
        <v>1600</v>
      </c>
      <c r="R776" s="85">
        <v>1.911589008363202</v>
      </c>
      <c r="S776" s="29" t="s">
        <v>2719</v>
      </c>
      <c r="T776" s="29" t="s">
        <v>2798</v>
      </c>
    </row>
    <row r="777">
      <c r="B777" s="29" t="s">
        <v>1219</v>
      </c>
      <c r="C777" s="29" t="s">
        <v>1247</v>
      </c>
      <c r="D777" s="8" t="s">
        <v>1269</v>
      </c>
      <c r="E777" s="10" t="s">
        <v>2085</v>
      </c>
      <c r="F777" s="10"/>
      <c r="G777" s="10">
        <v>2</v>
      </c>
      <c r="H777" s="10">
        <v>1</v>
      </c>
      <c r="I777" s="10"/>
      <c r="J777" s="10">
        <v>837</v>
      </c>
      <c r="K777" s="104">
        <v>45705</v>
      </c>
      <c r="L777" s="104">
        <v>45710</v>
      </c>
      <c r="M777" s="10" t="b">
        <v>0</v>
      </c>
      <c r="N777" s="10">
        <v>6</v>
      </c>
      <c r="O777" s="11">
        <v>1600</v>
      </c>
      <c r="P777" s="85">
        <v>1.911589008363202</v>
      </c>
      <c r="Q777" s="11">
        <v>1600</v>
      </c>
      <c r="R777" s="85">
        <v>1.911589008363202</v>
      </c>
      <c r="S777" s="29" t="s">
        <v>2719</v>
      </c>
      <c r="T777" s="29" t="s">
        <v>2798</v>
      </c>
    </row>
    <row r="778">
      <c r="B778" s="29" t="s">
        <v>1219</v>
      </c>
      <c r="C778" s="29" t="s">
        <v>1247</v>
      </c>
      <c r="D778" s="8" t="s">
        <v>1269</v>
      </c>
      <c r="E778" s="10" t="s">
        <v>2086</v>
      </c>
      <c r="F778" s="10"/>
      <c r="G778" s="10">
        <v>2</v>
      </c>
      <c r="H778" s="10">
        <v>1</v>
      </c>
      <c r="I778" s="10"/>
      <c r="J778" s="10">
        <v>837</v>
      </c>
      <c r="K778" s="104">
        <v>45705</v>
      </c>
      <c r="L778" s="104">
        <v>45710</v>
      </c>
      <c r="M778" s="10" t="b">
        <v>0</v>
      </c>
      <c r="N778" s="10">
        <v>6</v>
      </c>
      <c r="O778" s="11">
        <v>1600</v>
      </c>
      <c r="P778" s="85">
        <v>1.911589008363202</v>
      </c>
      <c r="Q778" s="11">
        <v>1600</v>
      </c>
      <c r="R778" s="85">
        <v>1.911589008363202</v>
      </c>
      <c r="S778" s="29" t="s">
        <v>2719</v>
      </c>
      <c r="T778" s="29" t="s">
        <v>2798</v>
      </c>
    </row>
    <row r="779">
      <c r="B779" s="29" t="s">
        <v>1219</v>
      </c>
      <c r="C779" s="29" t="s">
        <v>1247</v>
      </c>
      <c r="D779" s="8" t="s">
        <v>1269</v>
      </c>
      <c r="E779" s="10" t="s">
        <v>2087</v>
      </c>
      <c r="F779" s="10"/>
      <c r="G779" s="10">
        <v>2</v>
      </c>
      <c r="H779" s="10">
        <v>1</v>
      </c>
      <c r="I779" s="10"/>
      <c r="J779" s="10">
        <v>837</v>
      </c>
      <c r="K779" s="104">
        <v>45705</v>
      </c>
      <c r="L779" s="104">
        <v>45710</v>
      </c>
      <c r="M779" s="10" t="b">
        <v>0</v>
      </c>
      <c r="N779" s="10">
        <v>6</v>
      </c>
      <c r="O779" s="11">
        <v>1600</v>
      </c>
      <c r="P779" s="85">
        <v>1.911589008363202</v>
      </c>
      <c r="Q779" s="11">
        <v>1600</v>
      </c>
      <c r="R779" s="85">
        <v>1.911589008363202</v>
      </c>
      <c r="S779" s="29" t="s">
        <v>2719</v>
      </c>
      <c r="T779" s="29" t="s">
        <v>2798</v>
      </c>
    </row>
    <row r="780">
      <c r="B780" s="29" t="s">
        <v>1219</v>
      </c>
      <c r="C780" s="29" t="s">
        <v>1247</v>
      </c>
      <c r="D780" s="8" t="s">
        <v>1269</v>
      </c>
      <c r="E780" s="10" t="s">
        <v>2088</v>
      </c>
      <c r="F780" s="10"/>
      <c r="G780" s="10">
        <v>2</v>
      </c>
      <c r="H780" s="10">
        <v>1</v>
      </c>
      <c r="I780" s="10"/>
      <c r="J780" s="10">
        <v>837</v>
      </c>
      <c r="K780" s="104">
        <v>45705</v>
      </c>
      <c r="L780" s="104">
        <v>45710</v>
      </c>
      <c r="M780" s="10" t="b">
        <v>0</v>
      </c>
      <c r="N780" s="10">
        <v>6</v>
      </c>
      <c r="O780" s="11">
        <v>1600</v>
      </c>
      <c r="P780" s="85">
        <v>1.911589008363202</v>
      </c>
      <c r="Q780" s="11">
        <v>1600</v>
      </c>
      <c r="R780" s="85">
        <v>1.911589008363202</v>
      </c>
      <c r="S780" s="29" t="s">
        <v>2719</v>
      </c>
      <c r="T780" s="29" t="s">
        <v>2798</v>
      </c>
    </row>
    <row r="781">
      <c r="B781" s="29" t="s">
        <v>1219</v>
      </c>
      <c r="C781" s="29" t="s">
        <v>1247</v>
      </c>
      <c r="D781" s="8" t="s">
        <v>1269</v>
      </c>
      <c r="E781" s="10" t="s">
        <v>2089</v>
      </c>
      <c r="F781" s="10"/>
      <c r="G781" s="10">
        <v>2</v>
      </c>
      <c r="H781" s="10">
        <v>1</v>
      </c>
      <c r="I781" s="10"/>
      <c r="J781" s="10">
        <v>837</v>
      </c>
      <c r="K781" s="104">
        <v>45705</v>
      </c>
      <c r="L781" s="104">
        <v>45710</v>
      </c>
      <c r="M781" s="10" t="b">
        <v>0</v>
      </c>
      <c r="N781" s="10">
        <v>6</v>
      </c>
      <c r="O781" s="11">
        <v>1600</v>
      </c>
      <c r="P781" s="85">
        <v>1.911589008363202</v>
      </c>
      <c r="Q781" s="11">
        <v>1600</v>
      </c>
      <c r="R781" s="85">
        <v>1.911589008363202</v>
      </c>
      <c r="S781" s="29" t="s">
        <v>2719</v>
      </c>
      <c r="T781" s="29" t="s">
        <v>2798</v>
      </c>
    </row>
    <row r="782">
      <c r="B782" s="29" t="s">
        <v>1219</v>
      </c>
      <c r="C782" s="29" t="s">
        <v>1247</v>
      </c>
      <c r="D782" s="8" t="s">
        <v>1269</v>
      </c>
      <c r="E782" s="10" t="s">
        <v>2090</v>
      </c>
      <c r="F782" s="10">
        <v>2</v>
      </c>
      <c r="G782" s="10">
        <v>2</v>
      </c>
      <c r="H782" s="10">
        <v>1</v>
      </c>
      <c r="I782" s="10"/>
      <c r="J782" s="10">
        <v>837</v>
      </c>
      <c r="K782" s="104">
        <v>45705</v>
      </c>
      <c r="L782" s="104">
        <v>45710</v>
      </c>
      <c r="M782" s="10" t="b">
        <v>0</v>
      </c>
      <c r="N782" s="10">
        <v>6</v>
      </c>
      <c r="O782" s="11">
        <v>1600</v>
      </c>
      <c r="P782" s="85">
        <v>1.911589008363202</v>
      </c>
      <c r="Q782" s="11">
        <v>1600</v>
      </c>
      <c r="R782" s="85">
        <v>1.911589008363202</v>
      </c>
      <c r="S782" s="29" t="s">
        <v>2719</v>
      </c>
      <c r="T782" s="29" t="s">
        <v>2798</v>
      </c>
    </row>
    <row r="783">
      <c r="B783" s="29" t="s">
        <v>1219</v>
      </c>
      <c r="C783" s="29" t="s">
        <v>1247</v>
      </c>
      <c r="D783" s="8" t="s">
        <v>1269</v>
      </c>
      <c r="E783" s="10" t="s">
        <v>2091</v>
      </c>
      <c r="F783" s="10"/>
      <c r="G783" s="10">
        <v>2</v>
      </c>
      <c r="H783" s="10">
        <v>1</v>
      </c>
      <c r="I783" s="10"/>
      <c r="J783" s="10">
        <v>837</v>
      </c>
      <c r="K783" s="104">
        <v>45705</v>
      </c>
      <c r="L783" s="104">
        <v>45710</v>
      </c>
      <c r="M783" s="10" t="b">
        <v>0</v>
      </c>
      <c r="N783" s="10">
        <v>6</v>
      </c>
      <c r="O783" s="11">
        <v>1600</v>
      </c>
      <c r="P783" s="85">
        <v>1.911589008363202</v>
      </c>
      <c r="Q783" s="11">
        <v>1600</v>
      </c>
      <c r="R783" s="85">
        <v>1.911589008363202</v>
      </c>
      <c r="S783" s="29" t="s">
        <v>2719</v>
      </c>
      <c r="T783" s="29" t="s">
        <v>2798</v>
      </c>
    </row>
    <row r="784">
      <c r="B784" s="29" t="s">
        <v>1219</v>
      </c>
      <c r="C784" s="29" t="s">
        <v>1247</v>
      </c>
      <c r="D784" s="8" t="s">
        <v>1269</v>
      </c>
      <c r="E784" s="10" t="s">
        <v>2092</v>
      </c>
      <c r="F784" s="10">
        <v>2</v>
      </c>
      <c r="G784" s="10">
        <v>2</v>
      </c>
      <c r="H784" s="10">
        <v>1</v>
      </c>
      <c r="I784" s="10"/>
      <c r="J784" s="10">
        <v>837</v>
      </c>
      <c r="K784" s="104">
        <v>45705</v>
      </c>
      <c r="L784" s="104">
        <v>45710</v>
      </c>
      <c r="M784" s="10" t="b">
        <v>0</v>
      </c>
      <c r="N784" s="10">
        <v>6</v>
      </c>
      <c r="O784" s="11">
        <v>1600</v>
      </c>
      <c r="P784" s="85">
        <v>1.911589008363202</v>
      </c>
      <c r="Q784" s="11">
        <v>1600</v>
      </c>
      <c r="R784" s="85">
        <v>1.911589008363202</v>
      </c>
      <c r="S784" s="29" t="s">
        <v>2719</v>
      </c>
      <c r="T784" s="29" t="s">
        <v>2798</v>
      </c>
    </row>
    <row r="785">
      <c r="B785" s="29" t="s">
        <v>1219</v>
      </c>
      <c r="C785" s="29" t="s">
        <v>1247</v>
      </c>
      <c r="D785" s="8" t="s">
        <v>1269</v>
      </c>
      <c r="E785" s="10" t="s">
        <v>2093</v>
      </c>
      <c r="F785" s="10">
        <v>2</v>
      </c>
      <c r="G785" s="10">
        <v>2</v>
      </c>
      <c r="H785" s="10">
        <v>1</v>
      </c>
      <c r="I785" s="10"/>
      <c r="J785" s="10">
        <v>837</v>
      </c>
      <c r="K785" s="104">
        <v>45705</v>
      </c>
      <c r="L785" s="104">
        <v>45710</v>
      </c>
      <c r="M785" s="10" t="b">
        <v>0</v>
      </c>
      <c r="N785" s="10">
        <v>6</v>
      </c>
      <c r="O785" s="11">
        <v>1600</v>
      </c>
      <c r="P785" s="85">
        <v>1.911589008363202</v>
      </c>
      <c r="Q785" s="11">
        <v>1600</v>
      </c>
      <c r="R785" s="85">
        <v>1.911589008363202</v>
      </c>
      <c r="S785" s="29" t="s">
        <v>2719</v>
      </c>
      <c r="T785" s="29" t="s">
        <v>2798</v>
      </c>
    </row>
    <row r="786">
      <c r="B786" s="29" t="s">
        <v>1219</v>
      </c>
      <c r="C786" s="29" t="s">
        <v>1247</v>
      </c>
      <c r="D786" s="8" t="s">
        <v>1269</v>
      </c>
      <c r="E786" s="10" t="s">
        <v>2094</v>
      </c>
      <c r="F786" s="10">
        <v>2</v>
      </c>
      <c r="G786" s="10">
        <v>2</v>
      </c>
      <c r="H786" s="10">
        <v>1</v>
      </c>
      <c r="I786" s="10"/>
      <c r="J786" s="10">
        <v>837</v>
      </c>
      <c r="K786" s="104">
        <v>45705</v>
      </c>
      <c r="L786" s="104">
        <v>45710</v>
      </c>
      <c r="M786" s="10" t="b">
        <v>0</v>
      </c>
      <c r="N786" s="10">
        <v>6</v>
      </c>
      <c r="O786" s="11">
        <v>1600</v>
      </c>
      <c r="P786" s="85">
        <v>1.911589008363202</v>
      </c>
      <c r="Q786" s="11">
        <v>1600</v>
      </c>
      <c r="R786" s="85">
        <v>1.911589008363202</v>
      </c>
      <c r="S786" s="29" t="s">
        <v>2719</v>
      </c>
      <c r="T786" s="29" t="s">
        <v>2798</v>
      </c>
    </row>
    <row r="787">
      <c r="B787" s="29" t="s">
        <v>1219</v>
      </c>
      <c r="C787" s="29" t="s">
        <v>1247</v>
      </c>
      <c r="D787" s="8" t="s">
        <v>1269</v>
      </c>
      <c r="E787" s="10" t="s">
        <v>2095</v>
      </c>
      <c r="F787" s="10">
        <v>2</v>
      </c>
      <c r="G787" s="10">
        <v>2</v>
      </c>
      <c r="H787" s="10">
        <v>1</v>
      </c>
      <c r="I787" s="10"/>
      <c r="J787" s="10">
        <v>837</v>
      </c>
      <c r="K787" s="104">
        <v>45705</v>
      </c>
      <c r="L787" s="104">
        <v>45710</v>
      </c>
      <c r="M787" s="10" t="b">
        <v>0</v>
      </c>
      <c r="N787" s="10">
        <v>6</v>
      </c>
      <c r="O787" s="11">
        <v>1600</v>
      </c>
      <c r="P787" s="85">
        <v>1.911589008363202</v>
      </c>
      <c r="Q787" s="11">
        <v>1600</v>
      </c>
      <c r="R787" s="85">
        <v>1.911589008363202</v>
      </c>
      <c r="S787" s="29" t="s">
        <v>2719</v>
      </c>
      <c r="T787" s="29" t="s">
        <v>2798</v>
      </c>
    </row>
    <row r="788">
      <c r="B788" s="29" t="s">
        <v>1219</v>
      </c>
      <c r="C788" s="29" t="s">
        <v>1247</v>
      </c>
      <c r="D788" s="8" t="s">
        <v>1269</v>
      </c>
      <c r="E788" s="10" t="s">
        <v>2096</v>
      </c>
      <c r="F788" s="10">
        <v>2</v>
      </c>
      <c r="G788" s="10">
        <v>2</v>
      </c>
      <c r="H788" s="10">
        <v>1</v>
      </c>
      <c r="I788" s="10"/>
      <c r="J788" s="10">
        <v>837</v>
      </c>
      <c r="K788" s="104">
        <v>45705</v>
      </c>
      <c r="L788" s="104">
        <v>45710</v>
      </c>
      <c r="M788" s="10" t="b">
        <v>0</v>
      </c>
      <c r="N788" s="10">
        <v>6</v>
      </c>
      <c r="O788" s="11">
        <v>1600</v>
      </c>
      <c r="P788" s="85">
        <v>1.911589008363202</v>
      </c>
      <c r="Q788" s="11">
        <v>1600</v>
      </c>
      <c r="R788" s="85">
        <v>1.911589008363202</v>
      </c>
      <c r="S788" s="29" t="s">
        <v>2719</v>
      </c>
      <c r="T788" s="29" t="s">
        <v>2798</v>
      </c>
    </row>
    <row r="789">
      <c r="B789" s="29" t="s">
        <v>1219</v>
      </c>
      <c r="C789" s="29" t="s">
        <v>1247</v>
      </c>
      <c r="D789" s="8" t="s">
        <v>1269</v>
      </c>
      <c r="E789" s="10" t="s">
        <v>2097</v>
      </c>
      <c r="F789" s="10"/>
      <c r="G789" s="10">
        <v>2</v>
      </c>
      <c r="H789" s="10">
        <v>1</v>
      </c>
      <c r="I789" s="10"/>
      <c r="J789" s="10">
        <v>837</v>
      </c>
      <c r="K789" s="104">
        <v>45705</v>
      </c>
      <c r="L789" s="104">
        <v>45710</v>
      </c>
      <c r="M789" s="10" t="b">
        <v>0</v>
      </c>
      <c r="N789" s="10">
        <v>6</v>
      </c>
      <c r="O789" s="11">
        <v>1600</v>
      </c>
      <c r="P789" s="85">
        <v>1.911589008363202</v>
      </c>
      <c r="Q789" s="11">
        <v>1600</v>
      </c>
      <c r="R789" s="85">
        <v>1.911589008363202</v>
      </c>
      <c r="S789" s="29" t="s">
        <v>2719</v>
      </c>
      <c r="T789" s="29" t="s">
        <v>2798</v>
      </c>
    </row>
    <row r="790">
      <c r="B790" s="29" t="s">
        <v>1219</v>
      </c>
      <c r="C790" s="29" t="s">
        <v>1247</v>
      </c>
      <c r="D790" s="8" t="s">
        <v>1269</v>
      </c>
      <c r="E790" s="10" t="s">
        <v>2098</v>
      </c>
      <c r="F790" s="10">
        <v>2</v>
      </c>
      <c r="G790" s="10">
        <v>2</v>
      </c>
      <c r="H790" s="10">
        <v>1</v>
      </c>
      <c r="I790" s="10"/>
      <c r="J790" s="10">
        <v>837</v>
      </c>
      <c r="K790" s="104">
        <v>45705</v>
      </c>
      <c r="L790" s="104">
        <v>45710</v>
      </c>
      <c r="M790" s="10" t="b">
        <v>0</v>
      </c>
      <c r="N790" s="10">
        <v>6</v>
      </c>
      <c r="O790" s="11">
        <v>1600</v>
      </c>
      <c r="P790" s="85">
        <v>1.911589008363202</v>
      </c>
      <c r="Q790" s="11">
        <v>1600</v>
      </c>
      <c r="R790" s="85">
        <v>1.911589008363202</v>
      </c>
      <c r="S790" s="29" t="s">
        <v>2719</v>
      </c>
      <c r="T790" s="29" t="s">
        <v>2798</v>
      </c>
    </row>
    <row r="791">
      <c r="B791" s="29" t="s">
        <v>1219</v>
      </c>
      <c r="C791" s="29" t="s">
        <v>1247</v>
      </c>
      <c r="D791" s="8" t="s">
        <v>1269</v>
      </c>
      <c r="E791" s="10" t="s">
        <v>2099</v>
      </c>
      <c r="F791" s="10">
        <v>2</v>
      </c>
      <c r="G791" s="10">
        <v>2</v>
      </c>
      <c r="H791" s="10">
        <v>1</v>
      </c>
      <c r="I791" s="10"/>
      <c r="J791" s="10">
        <v>837</v>
      </c>
      <c r="K791" s="104">
        <v>45705</v>
      </c>
      <c r="L791" s="104">
        <v>45710</v>
      </c>
      <c r="M791" s="10" t="b">
        <v>0</v>
      </c>
      <c r="N791" s="10">
        <v>6</v>
      </c>
      <c r="O791" s="11">
        <v>1600</v>
      </c>
      <c r="P791" s="85">
        <v>1.911589008363202</v>
      </c>
      <c r="Q791" s="11">
        <v>1600</v>
      </c>
      <c r="R791" s="85">
        <v>1.911589008363202</v>
      </c>
      <c r="S791" s="29" t="s">
        <v>2719</v>
      </c>
      <c r="T791" s="29" t="s">
        <v>2798</v>
      </c>
    </row>
    <row r="792">
      <c r="B792" s="29" t="s">
        <v>1219</v>
      </c>
      <c r="C792" s="29" t="s">
        <v>1247</v>
      </c>
      <c r="D792" s="8" t="s">
        <v>1269</v>
      </c>
      <c r="E792" s="10" t="s">
        <v>2100</v>
      </c>
      <c r="F792" s="10">
        <v>2</v>
      </c>
      <c r="G792" s="10">
        <v>2</v>
      </c>
      <c r="H792" s="10">
        <v>1</v>
      </c>
      <c r="I792" s="10"/>
      <c r="J792" s="10">
        <v>837</v>
      </c>
      <c r="K792" s="104">
        <v>45705</v>
      </c>
      <c r="L792" s="104">
        <v>45710</v>
      </c>
      <c r="M792" s="10" t="b">
        <v>0</v>
      </c>
      <c r="N792" s="10">
        <v>6</v>
      </c>
      <c r="O792" s="11">
        <v>1600</v>
      </c>
      <c r="P792" s="85">
        <v>1.911589008363202</v>
      </c>
      <c r="Q792" s="11">
        <v>1600</v>
      </c>
      <c r="R792" s="85">
        <v>1.911589008363202</v>
      </c>
      <c r="S792" s="29" t="s">
        <v>2719</v>
      </c>
      <c r="T792" s="29" t="s">
        <v>2798</v>
      </c>
    </row>
    <row r="793">
      <c r="B793" s="29" t="s">
        <v>1219</v>
      </c>
      <c r="C793" s="29" t="s">
        <v>1247</v>
      </c>
      <c r="D793" s="8" t="s">
        <v>1269</v>
      </c>
      <c r="E793" s="10" t="s">
        <v>2101</v>
      </c>
      <c r="F793" s="10"/>
      <c r="G793" s="10">
        <v>2</v>
      </c>
      <c r="H793" s="10">
        <v>1</v>
      </c>
      <c r="I793" s="10"/>
      <c r="J793" s="10">
        <v>837</v>
      </c>
      <c r="K793" s="104">
        <v>45705</v>
      </c>
      <c r="L793" s="104">
        <v>45710</v>
      </c>
      <c r="M793" s="10" t="b">
        <v>0</v>
      </c>
      <c r="N793" s="10">
        <v>6</v>
      </c>
      <c r="O793" s="11">
        <v>1600</v>
      </c>
      <c r="P793" s="85">
        <v>1.911589008363202</v>
      </c>
      <c r="Q793" s="11">
        <v>1600</v>
      </c>
      <c r="R793" s="85">
        <v>1.911589008363202</v>
      </c>
      <c r="S793" s="29" t="s">
        <v>2719</v>
      </c>
      <c r="T793" s="29" t="s">
        <v>2798</v>
      </c>
    </row>
    <row r="794">
      <c r="B794" s="29" t="s">
        <v>1219</v>
      </c>
      <c r="C794" s="29" t="s">
        <v>1247</v>
      </c>
      <c r="D794" s="8" t="s">
        <v>1269</v>
      </c>
      <c r="E794" s="10" t="s">
        <v>2102</v>
      </c>
      <c r="F794" s="10"/>
      <c r="G794" s="10">
        <v>2</v>
      </c>
      <c r="H794" s="10">
        <v>1</v>
      </c>
      <c r="I794" s="10"/>
      <c r="J794" s="10">
        <v>837</v>
      </c>
      <c r="K794" s="104">
        <v>45705</v>
      </c>
      <c r="L794" s="104">
        <v>45710</v>
      </c>
      <c r="M794" s="10" t="b">
        <v>0</v>
      </c>
      <c r="N794" s="10">
        <v>6</v>
      </c>
      <c r="O794" s="11">
        <v>1600</v>
      </c>
      <c r="P794" s="85">
        <v>1.911589008363202</v>
      </c>
      <c r="Q794" s="11">
        <v>1600</v>
      </c>
      <c r="R794" s="85">
        <v>1.911589008363202</v>
      </c>
      <c r="S794" s="29" t="s">
        <v>2719</v>
      </c>
      <c r="T794" s="29" t="s">
        <v>2798</v>
      </c>
    </row>
    <row r="795">
      <c r="B795" s="29" t="s">
        <v>1219</v>
      </c>
      <c r="C795" s="29" t="s">
        <v>1247</v>
      </c>
      <c r="D795" s="8" t="s">
        <v>1269</v>
      </c>
      <c r="E795" s="10" t="s">
        <v>2103</v>
      </c>
      <c r="F795" s="10">
        <v>2</v>
      </c>
      <c r="G795" s="10">
        <v>2</v>
      </c>
      <c r="H795" s="10">
        <v>1</v>
      </c>
      <c r="I795" s="10"/>
      <c r="J795" s="10">
        <v>837</v>
      </c>
      <c r="K795" s="104">
        <v>45705</v>
      </c>
      <c r="L795" s="104">
        <v>45710</v>
      </c>
      <c r="M795" s="10" t="b">
        <v>0</v>
      </c>
      <c r="N795" s="10">
        <v>6</v>
      </c>
      <c r="O795" s="11">
        <v>1600</v>
      </c>
      <c r="P795" s="85">
        <v>1.911589008363202</v>
      </c>
      <c r="Q795" s="11">
        <v>1600</v>
      </c>
      <c r="R795" s="85">
        <v>1.911589008363202</v>
      </c>
      <c r="S795" s="29" t="s">
        <v>2719</v>
      </c>
      <c r="T795" s="29" t="s">
        <v>2798</v>
      </c>
    </row>
    <row r="796">
      <c r="B796" s="29" t="s">
        <v>1219</v>
      </c>
      <c r="C796" s="29" t="s">
        <v>1247</v>
      </c>
      <c r="D796" s="8" t="s">
        <v>1269</v>
      </c>
      <c r="E796" s="10" t="s">
        <v>2104</v>
      </c>
      <c r="F796" s="10">
        <v>2</v>
      </c>
      <c r="G796" s="10">
        <v>2</v>
      </c>
      <c r="H796" s="10">
        <v>1</v>
      </c>
      <c r="I796" s="10"/>
      <c r="J796" s="10">
        <v>837</v>
      </c>
      <c r="K796" s="104">
        <v>45705</v>
      </c>
      <c r="L796" s="104">
        <v>45710</v>
      </c>
      <c r="M796" s="10" t="b">
        <v>0</v>
      </c>
      <c r="N796" s="10">
        <v>6</v>
      </c>
      <c r="O796" s="11">
        <v>1600</v>
      </c>
      <c r="P796" s="85">
        <v>1.911589008363202</v>
      </c>
      <c r="Q796" s="11">
        <v>1600</v>
      </c>
      <c r="R796" s="85">
        <v>1.911589008363202</v>
      </c>
      <c r="S796" s="29" t="s">
        <v>2719</v>
      </c>
      <c r="T796" s="29" t="s">
        <v>2798</v>
      </c>
    </row>
    <row r="797">
      <c r="B797" s="29" t="s">
        <v>1219</v>
      </c>
      <c r="C797" s="29" t="s">
        <v>1247</v>
      </c>
      <c r="D797" s="8" t="s">
        <v>1269</v>
      </c>
      <c r="E797" s="10" t="s">
        <v>2105</v>
      </c>
      <c r="F797" s="10">
        <v>2</v>
      </c>
      <c r="G797" s="10">
        <v>2</v>
      </c>
      <c r="H797" s="10">
        <v>1</v>
      </c>
      <c r="I797" s="10"/>
      <c r="J797" s="10">
        <v>837</v>
      </c>
      <c r="K797" s="104">
        <v>45705</v>
      </c>
      <c r="L797" s="104">
        <v>45710</v>
      </c>
      <c r="M797" s="10" t="b">
        <v>0</v>
      </c>
      <c r="N797" s="10">
        <v>6</v>
      </c>
      <c r="O797" s="11">
        <v>1600</v>
      </c>
      <c r="P797" s="85">
        <v>1.911589008363202</v>
      </c>
      <c r="Q797" s="11">
        <v>1600</v>
      </c>
      <c r="R797" s="85">
        <v>1.911589008363202</v>
      </c>
      <c r="S797" s="29" t="s">
        <v>2719</v>
      </c>
      <c r="T797" s="29" t="s">
        <v>2798</v>
      </c>
    </row>
    <row r="798">
      <c r="B798" s="29" t="s">
        <v>1219</v>
      </c>
      <c r="C798" s="29" t="s">
        <v>1247</v>
      </c>
      <c r="D798" s="8" t="s">
        <v>1269</v>
      </c>
      <c r="E798" s="10" t="s">
        <v>2106</v>
      </c>
      <c r="F798" s="10">
        <v>2</v>
      </c>
      <c r="G798" s="10">
        <v>2</v>
      </c>
      <c r="H798" s="10">
        <v>1</v>
      </c>
      <c r="I798" s="10"/>
      <c r="J798" s="10">
        <v>837</v>
      </c>
      <c r="K798" s="104">
        <v>45705</v>
      </c>
      <c r="L798" s="104">
        <v>45710</v>
      </c>
      <c r="M798" s="10" t="b">
        <v>0</v>
      </c>
      <c r="N798" s="10">
        <v>6</v>
      </c>
      <c r="O798" s="11">
        <v>1600</v>
      </c>
      <c r="P798" s="85">
        <v>1.911589008363202</v>
      </c>
      <c r="Q798" s="11">
        <v>1600</v>
      </c>
      <c r="R798" s="85">
        <v>1.911589008363202</v>
      </c>
      <c r="S798" s="29" t="s">
        <v>2719</v>
      </c>
      <c r="T798" s="29" t="s">
        <v>2798</v>
      </c>
    </row>
    <row r="799">
      <c r="B799" s="29" t="s">
        <v>1219</v>
      </c>
      <c r="C799" s="29" t="s">
        <v>1247</v>
      </c>
      <c r="D799" s="8" t="s">
        <v>1269</v>
      </c>
      <c r="E799" s="10" t="s">
        <v>2107</v>
      </c>
      <c r="F799" s="10">
        <v>2</v>
      </c>
      <c r="G799" s="10">
        <v>2</v>
      </c>
      <c r="H799" s="10">
        <v>1</v>
      </c>
      <c r="I799" s="10"/>
      <c r="J799" s="10">
        <v>837</v>
      </c>
      <c r="K799" s="104">
        <v>45705</v>
      </c>
      <c r="L799" s="104">
        <v>45710</v>
      </c>
      <c r="M799" s="10" t="b">
        <v>0</v>
      </c>
      <c r="N799" s="10">
        <v>6</v>
      </c>
      <c r="O799" s="11">
        <v>1600</v>
      </c>
      <c r="P799" s="85">
        <v>1.911589008363202</v>
      </c>
      <c r="Q799" s="11">
        <v>1600</v>
      </c>
      <c r="R799" s="85">
        <v>1.911589008363202</v>
      </c>
      <c r="S799" s="29" t="s">
        <v>2719</v>
      </c>
      <c r="T799" s="29" t="s">
        <v>2798</v>
      </c>
    </row>
    <row r="800">
      <c r="B800" s="29" t="s">
        <v>1219</v>
      </c>
      <c r="C800" s="29" t="s">
        <v>1247</v>
      </c>
      <c r="D800" s="8" t="s">
        <v>1269</v>
      </c>
      <c r="E800" s="10" t="s">
        <v>2108</v>
      </c>
      <c r="F800" s="10">
        <v>2</v>
      </c>
      <c r="G800" s="10">
        <v>2</v>
      </c>
      <c r="H800" s="10">
        <v>1</v>
      </c>
      <c r="I800" s="10"/>
      <c r="J800" s="10">
        <v>837</v>
      </c>
      <c r="K800" s="104">
        <v>45705</v>
      </c>
      <c r="L800" s="104">
        <v>45710</v>
      </c>
      <c r="M800" s="10" t="b">
        <v>0</v>
      </c>
      <c r="N800" s="10">
        <v>6</v>
      </c>
      <c r="O800" s="11">
        <v>1600</v>
      </c>
      <c r="P800" s="85">
        <v>1.911589008363202</v>
      </c>
      <c r="Q800" s="11">
        <v>1600</v>
      </c>
      <c r="R800" s="85">
        <v>1.911589008363202</v>
      </c>
      <c r="S800" s="29" t="s">
        <v>2719</v>
      </c>
      <c r="T800" s="29" t="s">
        <v>2798</v>
      </c>
    </row>
    <row r="801">
      <c r="B801" s="29" t="s">
        <v>1219</v>
      </c>
      <c r="C801" s="29" t="s">
        <v>1247</v>
      </c>
      <c r="D801" s="8" t="s">
        <v>1269</v>
      </c>
      <c r="E801" s="10" t="s">
        <v>2109</v>
      </c>
      <c r="F801" s="10">
        <v>2</v>
      </c>
      <c r="G801" s="10">
        <v>2</v>
      </c>
      <c r="H801" s="10">
        <v>1</v>
      </c>
      <c r="I801" s="10"/>
      <c r="J801" s="10">
        <v>837</v>
      </c>
      <c r="K801" s="104">
        <v>45705</v>
      </c>
      <c r="L801" s="104">
        <v>45710</v>
      </c>
      <c r="M801" s="10" t="b">
        <v>0</v>
      </c>
      <c r="N801" s="10">
        <v>6</v>
      </c>
      <c r="O801" s="11">
        <v>1600</v>
      </c>
      <c r="P801" s="85">
        <v>1.911589008363202</v>
      </c>
      <c r="Q801" s="11">
        <v>1600</v>
      </c>
      <c r="R801" s="85">
        <v>1.911589008363202</v>
      </c>
      <c r="S801" s="29" t="s">
        <v>2719</v>
      </c>
      <c r="T801" s="29" t="s">
        <v>2798</v>
      </c>
    </row>
    <row r="802">
      <c r="B802" s="29" t="s">
        <v>1219</v>
      </c>
      <c r="C802" s="29" t="s">
        <v>1247</v>
      </c>
      <c r="D802" s="8" t="s">
        <v>1269</v>
      </c>
      <c r="E802" s="10" t="s">
        <v>2110</v>
      </c>
      <c r="F802" s="10"/>
      <c r="G802" s="10">
        <v>2</v>
      </c>
      <c r="H802" s="10">
        <v>1</v>
      </c>
      <c r="I802" s="10"/>
      <c r="J802" s="10">
        <v>837</v>
      </c>
      <c r="K802" s="104">
        <v>45705</v>
      </c>
      <c r="L802" s="104">
        <v>45708</v>
      </c>
      <c r="M802" s="10" t="b">
        <v>0</v>
      </c>
      <c r="N802" s="10">
        <v>4</v>
      </c>
      <c r="O802" s="11">
        <v>1600</v>
      </c>
      <c r="P802" s="85">
        <v>1.911589008363202</v>
      </c>
      <c r="Q802" s="11">
        <v>1600</v>
      </c>
      <c r="R802" s="85">
        <v>1.911589008363202</v>
      </c>
      <c r="S802" s="29" t="s">
        <v>2719</v>
      </c>
      <c r="T802" s="29" t="s">
        <v>2798</v>
      </c>
    </row>
    <row r="803">
      <c r="B803" s="29" t="s">
        <v>1219</v>
      </c>
      <c r="C803" s="29" t="s">
        <v>1247</v>
      </c>
      <c r="D803" s="8" t="s">
        <v>1269</v>
      </c>
      <c r="E803" s="10" t="s">
        <v>2111</v>
      </c>
      <c r="F803" s="10"/>
      <c r="G803" s="10">
        <v>2</v>
      </c>
      <c r="H803" s="10">
        <v>1</v>
      </c>
      <c r="I803" s="10"/>
      <c r="J803" s="10">
        <v>837</v>
      </c>
      <c r="K803" s="104">
        <v>45705</v>
      </c>
      <c r="L803" s="104">
        <v>45708</v>
      </c>
      <c r="M803" s="10" t="b">
        <v>0</v>
      </c>
      <c r="N803" s="10">
        <v>4</v>
      </c>
      <c r="O803" s="11">
        <v>1600</v>
      </c>
      <c r="P803" s="85">
        <v>1.911589008363202</v>
      </c>
      <c r="Q803" s="11">
        <v>1600</v>
      </c>
      <c r="R803" s="85">
        <v>1.911589008363202</v>
      </c>
      <c r="S803" s="29" t="s">
        <v>2719</v>
      </c>
      <c r="T803" s="29" t="s">
        <v>2798</v>
      </c>
    </row>
    <row r="804">
      <c r="B804" s="29" t="s">
        <v>1219</v>
      </c>
      <c r="C804" s="29" t="s">
        <v>1247</v>
      </c>
      <c r="D804" s="8" t="s">
        <v>1269</v>
      </c>
      <c r="E804" s="10" t="s">
        <v>2112</v>
      </c>
      <c r="F804" s="10"/>
      <c r="G804" s="10">
        <v>2</v>
      </c>
      <c r="H804" s="10">
        <v>1</v>
      </c>
      <c r="I804" s="10"/>
      <c r="J804" s="10">
        <v>837</v>
      </c>
      <c r="K804" s="104">
        <v>45705</v>
      </c>
      <c r="L804" s="104">
        <v>45708</v>
      </c>
      <c r="M804" s="10" t="b">
        <v>0</v>
      </c>
      <c r="N804" s="10">
        <v>4</v>
      </c>
      <c r="O804" s="11">
        <v>1600</v>
      </c>
      <c r="P804" s="85">
        <v>1.911589008363202</v>
      </c>
      <c r="Q804" s="11">
        <v>1600</v>
      </c>
      <c r="R804" s="85">
        <v>1.911589008363202</v>
      </c>
      <c r="S804" s="29" t="s">
        <v>2719</v>
      </c>
      <c r="T804" s="29" t="s">
        <v>2798</v>
      </c>
    </row>
    <row r="805">
      <c r="B805" s="29" t="s">
        <v>1219</v>
      </c>
      <c r="C805" s="29" t="s">
        <v>1247</v>
      </c>
      <c r="D805" s="8" t="s">
        <v>1269</v>
      </c>
      <c r="E805" s="10" t="s">
        <v>2113</v>
      </c>
      <c r="F805" s="10"/>
      <c r="G805" s="10">
        <v>2</v>
      </c>
      <c r="H805" s="10">
        <v>1</v>
      </c>
      <c r="I805" s="10"/>
      <c r="J805" s="10">
        <v>837</v>
      </c>
      <c r="K805" s="104">
        <v>45705</v>
      </c>
      <c r="L805" s="104">
        <v>45708</v>
      </c>
      <c r="M805" s="10" t="b">
        <v>0</v>
      </c>
      <c r="N805" s="10">
        <v>4</v>
      </c>
      <c r="O805" s="11">
        <v>1600</v>
      </c>
      <c r="P805" s="85">
        <v>1.911589008363202</v>
      </c>
      <c r="Q805" s="11">
        <v>1600</v>
      </c>
      <c r="R805" s="85">
        <v>1.911589008363202</v>
      </c>
      <c r="S805" s="29" t="s">
        <v>2719</v>
      </c>
      <c r="T805" s="29" t="s">
        <v>2798</v>
      </c>
    </row>
    <row r="806">
      <c r="B806" s="29" t="s">
        <v>1219</v>
      </c>
      <c r="C806" s="29" t="s">
        <v>1247</v>
      </c>
      <c r="D806" s="8" t="s">
        <v>1269</v>
      </c>
      <c r="E806" s="10" t="s">
        <v>2114</v>
      </c>
      <c r="F806" s="10"/>
      <c r="G806" s="10">
        <v>2</v>
      </c>
      <c r="H806" s="10">
        <v>1</v>
      </c>
      <c r="I806" s="10"/>
      <c r="J806" s="10">
        <v>837</v>
      </c>
      <c r="K806" s="104">
        <v>45705</v>
      </c>
      <c r="L806" s="104">
        <v>45708</v>
      </c>
      <c r="M806" s="10" t="b">
        <v>0</v>
      </c>
      <c r="N806" s="10">
        <v>4</v>
      </c>
      <c r="O806" s="11">
        <v>1600</v>
      </c>
      <c r="P806" s="85">
        <v>1.911589008363202</v>
      </c>
      <c r="Q806" s="11">
        <v>1600</v>
      </c>
      <c r="R806" s="85">
        <v>1.911589008363202</v>
      </c>
      <c r="S806" s="29" t="s">
        <v>2719</v>
      </c>
      <c r="T806" s="29" t="s">
        <v>2798</v>
      </c>
    </row>
    <row r="807">
      <c r="B807" s="29" t="s">
        <v>1219</v>
      </c>
      <c r="C807" s="29" t="s">
        <v>1247</v>
      </c>
      <c r="D807" s="8" t="s">
        <v>1269</v>
      </c>
      <c r="E807" s="10" t="s">
        <v>2115</v>
      </c>
      <c r="F807" s="10"/>
      <c r="G807" s="10">
        <v>2</v>
      </c>
      <c r="H807" s="10">
        <v>1</v>
      </c>
      <c r="I807" s="10"/>
      <c r="J807" s="10">
        <v>837</v>
      </c>
      <c r="K807" s="104">
        <v>45705</v>
      </c>
      <c r="L807" s="104">
        <v>45708</v>
      </c>
      <c r="M807" s="10" t="b">
        <v>0</v>
      </c>
      <c r="N807" s="10">
        <v>4</v>
      </c>
      <c r="O807" s="11">
        <v>1600</v>
      </c>
      <c r="P807" s="85">
        <v>1.911589008363202</v>
      </c>
      <c r="Q807" s="11">
        <v>1600</v>
      </c>
      <c r="R807" s="85">
        <v>1.911589008363202</v>
      </c>
      <c r="S807" s="29" t="s">
        <v>2719</v>
      </c>
      <c r="T807" s="29" t="s">
        <v>2798</v>
      </c>
    </row>
    <row r="808">
      <c r="B808" s="29" t="s">
        <v>1219</v>
      </c>
      <c r="C808" s="29" t="s">
        <v>1247</v>
      </c>
      <c r="D808" s="8" t="s">
        <v>1269</v>
      </c>
      <c r="E808" s="10" t="s">
        <v>2116</v>
      </c>
      <c r="F808" s="10"/>
      <c r="G808" s="10">
        <v>2</v>
      </c>
      <c r="H808" s="10">
        <v>1</v>
      </c>
      <c r="I808" s="10"/>
      <c r="J808" s="10">
        <v>837</v>
      </c>
      <c r="K808" s="104">
        <v>45705</v>
      </c>
      <c r="L808" s="104">
        <v>45708</v>
      </c>
      <c r="M808" s="10" t="b">
        <v>0</v>
      </c>
      <c r="N808" s="10">
        <v>4</v>
      </c>
      <c r="O808" s="11">
        <v>1600</v>
      </c>
      <c r="P808" s="85">
        <v>1.911589008363202</v>
      </c>
      <c r="Q808" s="11">
        <v>1600</v>
      </c>
      <c r="R808" s="85">
        <v>1.911589008363202</v>
      </c>
      <c r="S808" s="29" t="s">
        <v>2719</v>
      </c>
      <c r="T808" s="29" t="s">
        <v>2798</v>
      </c>
    </row>
    <row r="809">
      <c r="B809" s="29" t="s">
        <v>1219</v>
      </c>
      <c r="C809" s="29" t="s">
        <v>1247</v>
      </c>
      <c r="D809" s="8" t="s">
        <v>1269</v>
      </c>
      <c r="E809" s="10" t="s">
        <v>2117</v>
      </c>
      <c r="F809" s="10"/>
      <c r="G809" s="10">
        <v>2</v>
      </c>
      <c r="H809" s="10">
        <v>1</v>
      </c>
      <c r="I809" s="10"/>
      <c r="J809" s="10">
        <v>837</v>
      </c>
      <c r="K809" s="104">
        <v>45705</v>
      </c>
      <c r="L809" s="104">
        <v>45708</v>
      </c>
      <c r="M809" s="10" t="b">
        <v>0</v>
      </c>
      <c r="N809" s="10">
        <v>4</v>
      </c>
      <c r="O809" s="11">
        <v>1600</v>
      </c>
      <c r="P809" s="85">
        <v>1.911589008363202</v>
      </c>
      <c r="Q809" s="11">
        <v>1600</v>
      </c>
      <c r="R809" s="85">
        <v>1.911589008363202</v>
      </c>
      <c r="S809" s="29" t="s">
        <v>2719</v>
      </c>
      <c r="T809" s="29" t="s">
        <v>2798</v>
      </c>
    </row>
    <row r="810">
      <c r="B810" s="29" t="s">
        <v>1219</v>
      </c>
      <c r="C810" s="29" t="s">
        <v>1247</v>
      </c>
      <c r="D810" s="8" t="s">
        <v>1269</v>
      </c>
      <c r="E810" s="10" t="s">
        <v>2118</v>
      </c>
      <c r="F810" s="10"/>
      <c r="G810" s="10">
        <v>2</v>
      </c>
      <c r="H810" s="10">
        <v>1</v>
      </c>
      <c r="I810" s="10"/>
      <c r="J810" s="10">
        <v>837</v>
      </c>
      <c r="K810" s="104">
        <v>45705</v>
      </c>
      <c r="L810" s="104">
        <v>45708</v>
      </c>
      <c r="M810" s="10" t="b">
        <v>0</v>
      </c>
      <c r="N810" s="10">
        <v>4</v>
      </c>
      <c r="O810" s="11">
        <v>1600</v>
      </c>
      <c r="P810" s="85">
        <v>1.911589008363202</v>
      </c>
      <c r="Q810" s="11">
        <v>1600</v>
      </c>
      <c r="R810" s="85">
        <v>1.911589008363202</v>
      </c>
      <c r="S810" s="29" t="s">
        <v>2719</v>
      </c>
      <c r="T810" s="29" t="s">
        <v>2798</v>
      </c>
    </row>
    <row r="811">
      <c r="B811" s="29" t="s">
        <v>1219</v>
      </c>
      <c r="C811" s="29" t="s">
        <v>1247</v>
      </c>
      <c r="D811" s="8" t="s">
        <v>1269</v>
      </c>
      <c r="E811" s="10" t="s">
        <v>2119</v>
      </c>
      <c r="F811" s="10"/>
      <c r="G811" s="10">
        <v>2</v>
      </c>
      <c r="H811" s="10">
        <v>1</v>
      </c>
      <c r="I811" s="10"/>
      <c r="J811" s="10">
        <v>837</v>
      </c>
      <c r="K811" s="104">
        <v>45705</v>
      </c>
      <c r="L811" s="104">
        <v>45708</v>
      </c>
      <c r="M811" s="10" t="b">
        <v>0</v>
      </c>
      <c r="N811" s="10">
        <v>4</v>
      </c>
      <c r="O811" s="11">
        <v>1600</v>
      </c>
      <c r="P811" s="85">
        <v>1.911589008363202</v>
      </c>
      <c r="Q811" s="11">
        <v>1600</v>
      </c>
      <c r="R811" s="85">
        <v>1.911589008363202</v>
      </c>
      <c r="S811" s="29" t="s">
        <v>2719</v>
      </c>
      <c r="T811" s="29" t="s">
        <v>2798</v>
      </c>
    </row>
    <row r="812">
      <c r="B812" s="29" t="s">
        <v>1219</v>
      </c>
      <c r="C812" s="29" t="s">
        <v>1247</v>
      </c>
      <c r="D812" s="8" t="s">
        <v>1269</v>
      </c>
      <c r="E812" s="10" t="s">
        <v>2120</v>
      </c>
      <c r="F812" s="10"/>
      <c r="G812" s="10">
        <v>2</v>
      </c>
      <c r="H812" s="10">
        <v>1</v>
      </c>
      <c r="I812" s="10"/>
      <c r="J812" s="10">
        <v>837</v>
      </c>
      <c r="K812" s="104">
        <v>45705</v>
      </c>
      <c r="L812" s="104">
        <v>45708</v>
      </c>
      <c r="M812" s="10" t="b">
        <v>0</v>
      </c>
      <c r="N812" s="10">
        <v>4</v>
      </c>
      <c r="O812" s="11">
        <v>1600</v>
      </c>
      <c r="P812" s="85">
        <v>1.911589008363202</v>
      </c>
      <c r="Q812" s="11">
        <v>1600</v>
      </c>
      <c r="R812" s="85">
        <v>1.911589008363202</v>
      </c>
      <c r="S812" s="29" t="s">
        <v>2719</v>
      </c>
      <c r="T812" s="29" t="s">
        <v>2798</v>
      </c>
    </row>
    <row r="813">
      <c r="B813" s="29" t="s">
        <v>1219</v>
      </c>
      <c r="C813" s="29" t="s">
        <v>1247</v>
      </c>
      <c r="D813" s="8" t="s">
        <v>1269</v>
      </c>
      <c r="E813" s="10" t="s">
        <v>2121</v>
      </c>
      <c r="F813" s="10"/>
      <c r="G813" s="10">
        <v>2</v>
      </c>
      <c r="H813" s="10">
        <v>1</v>
      </c>
      <c r="I813" s="10"/>
      <c r="J813" s="10">
        <v>837</v>
      </c>
      <c r="K813" s="104">
        <v>45705</v>
      </c>
      <c r="L813" s="104">
        <v>45708</v>
      </c>
      <c r="M813" s="10" t="b">
        <v>0</v>
      </c>
      <c r="N813" s="10">
        <v>4</v>
      </c>
      <c r="O813" s="11">
        <v>1600</v>
      </c>
      <c r="P813" s="85">
        <v>1.911589008363202</v>
      </c>
      <c r="Q813" s="11">
        <v>1600</v>
      </c>
      <c r="R813" s="85">
        <v>1.911589008363202</v>
      </c>
      <c r="S813" s="29" t="s">
        <v>2719</v>
      </c>
      <c r="T813" s="29" t="s">
        <v>2798</v>
      </c>
    </row>
    <row r="814">
      <c r="B814" s="29" t="s">
        <v>1219</v>
      </c>
      <c r="C814" s="29" t="s">
        <v>1247</v>
      </c>
      <c r="D814" s="8" t="s">
        <v>1269</v>
      </c>
      <c r="E814" s="10" t="s">
        <v>2122</v>
      </c>
      <c r="F814" s="10"/>
      <c r="G814" s="10">
        <v>2</v>
      </c>
      <c r="H814" s="10">
        <v>1</v>
      </c>
      <c r="I814" s="10"/>
      <c r="J814" s="10">
        <v>837</v>
      </c>
      <c r="K814" s="104">
        <v>45705</v>
      </c>
      <c r="L814" s="104">
        <v>45708</v>
      </c>
      <c r="M814" s="10" t="b">
        <v>0</v>
      </c>
      <c r="N814" s="10">
        <v>4</v>
      </c>
      <c r="O814" s="11">
        <v>1600</v>
      </c>
      <c r="P814" s="85">
        <v>1.911589008363202</v>
      </c>
      <c r="Q814" s="11">
        <v>1600</v>
      </c>
      <c r="R814" s="85">
        <v>1.911589008363202</v>
      </c>
      <c r="S814" s="29" t="s">
        <v>2719</v>
      </c>
      <c r="T814" s="29" t="s">
        <v>2798</v>
      </c>
    </row>
    <row r="815">
      <c r="B815" s="29" t="s">
        <v>1219</v>
      </c>
      <c r="C815" s="29" t="s">
        <v>1247</v>
      </c>
      <c r="D815" s="8" t="s">
        <v>1269</v>
      </c>
      <c r="E815" s="10" t="s">
        <v>2123</v>
      </c>
      <c r="F815" s="10"/>
      <c r="G815" s="10">
        <v>2</v>
      </c>
      <c r="H815" s="10">
        <v>1</v>
      </c>
      <c r="I815" s="10"/>
      <c r="J815" s="10">
        <v>837</v>
      </c>
      <c r="K815" s="104">
        <v>45705</v>
      </c>
      <c r="L815" s="104">
        <v>45708</v>
      </c>
      <c r="M815" s="10" t="b">
        <v>0</v>
      </c>
      <c r="N815" s="10">
        <v>4</v>
      </c>
      <c r="O815" s="11">
        <v>1600</v>
      </c>
      <c r="P815" s="85">
        <v>1.911589008363202</v>
      </c>
      <c r="Q815" s="11">
        <v>1600</v>
      </c>
      <c r="R815" s="85">
        <v>1.911589008363202</v>
      </c>
      <c r="S815" s="29" t="s">
        <v>2719</v>
      </c>
      <c r="T815" s="29" t="s">
        <v>2798</v>
      </c>
    </row>
    <row r="816">
      <c r="B816" s="29" t="s">
        <v>1219</v>
      </c>
      <c r="C816" s="29" t="s">
        <v>1247</v>
      </c>
      <c r="D816" s="8" t="s">
        <v>1269</v>
      </c>
      <c r="E816" s="10" t="s">
        <v>2124</v>
      </c>
      <c r="F816" s="10"/>
      <c r="G816" s="10">
        <v>2</v>
      </c>
      <c r="H816" s="10">
        <v>1</v>
      </c>
      <c r="I816" s="10"/>
      <c r="J816" s="10">
        <v>837</v>
      </c>
      <c r="K816" s="104">
        <v>45705</v>
      </c>
      <c r="L816" s="104">
        <v>45708</v>
      </c>
      <c r="M816" s="10" t="b">
        <v>0</v>
      </c>
      <c r="N816" s="10">
        <v>4</v>
      </c>
      <c r="O816" s="11">
        <v>1600</v>
      </c>
      <c r="P816" s="85">
        <v>1.911589008363202</v>
      </c>
      <c r="Q816" s="11">
        <v>1600</v>
      </c>
      <c r="R816" s="85">
        <v>1.911589008363202</v>
      </c>
      <c r="S816" s="29" t="s">
        <v>2719</v>
      </c>
      <c r="T816" s="29" t="s">
        <v>2798</v>
      </c>
    </row>
    <row r="817">
      <c r="B817" s="29" t="s">
        <v>1219</v>
      </c>
      <c r="C817" s="29" t="s">
        <v>1247</v>
      </c>
      <c r="D817" s="8" t="s">
        <v>1269</v>
      </c>
      <c r="E817" s="10" t="s">
        <v>2125</v>
      </c>
      <c r="F817" s="10"/>
      <c r="G817" s="10">
        <v>2</v>
      </c>
      <c r="H817" s="10">
        <v>1</v>
      </c>
      <c r="I817" s="10"/>
      <c r="J817" s="10">
        <v>837</v>
      </c>
      <c r="K817" s="104">
        <v>45705</v>
      </c>
      <c r="L817" s="104">
        <v>45708</v>
      </c>
      <c r="M817" s="10" t="b">
        <v>0</v>
      </c>
      <c r="N817" s="10">
        <v>4</v>
      </c>
      <c r="O817" s="11">
        <v>1600</v>
      </c>
      <c r="P817" s="85">
        <v>1.911589008363202</v>
      </c>
      <c r="Q817" s="11">
        <v>1600</v>
      </c>
      <c r="R817" s="85">
        <v>1.911589008363202</v>
      </c>
      <c r="S817" s="29" t="s">
        <v>2719</v>
      </c>
      <c r="T817" s="29" t="s">
        <v>2798</v>
      </c>
    </row>
    <row r="818">
      <c r="B818" s="29" t="s">
        <v>1219</v>
      </c>
      <c r="C818" s="29" t="s">
        <v>1247</v>
      </c>
      <c r="D818" s="8" t="s">
        <v>1269</v>
      </c>
      <c r="E818" s="10" t="s">
        <v>2126</v>
      </c>
      <c r="F818" s="10"/>
      <c r="G818" s="10">
        <v>2</v>
      </c>
      <c r="H818" s="10">
        <v>1</v>
      </c>
      <c r="I818" s="10"/>
      <c r="J818" s="10">
        <v>837</v>
      </c>
      <c r="K818" s="104">
        <v>45705</v>
      </c>
      <c r="L818" s="104">
        <v>45708</v>
      </c>
      <c r="M818" s="10" t="b">
        <v>0</v>
      </c>
      <c r="N818" s="10">
        <v>4</v>
      </c>
      <c r="O818" s="11">
        <v>1600</v>
      </c>
      <c r="P818" s="85">
        <v>1.911589008363202</v>
      </c>
      <c r="Q818" s="11">
        <v>1600</v>
      </c>
      <c r="R818" s="85">
        <v>1.911589008363202</v>
      </c>
      <c r="S818" s="29" t="s">
        <v>2719</v>
      </c>
      <c r="T818" s="29" t="s">
        <v>2798</v>
      </c>
    </row>
    <row r="819">
      <c r="B819" s="29" t="s">
        <v>1219</v>
      </c>
      <c r="C819" s="29" t="s">
        <v>1247</v>
      </c>
      <c r="D819" s="8" t="s">
        <v>1269</v>
      </c>
      <c r="E819" s="10" t="s">
        <v>2127</v>
      </c>
      <c r="F819" s="10"/>
      <c r="G819" s="10">
        <v>2</v>
      </c>
      <c r="H819" s="10">
        <v>1</v>
      </c>
      <c r="I819" s="10"/>
      <c r="J819" s="10">
        <v>837</v>
      </c>
      <c r="K819" s="104">
        <v>45705</v>
      </c>
      <c r="L819" s="104">
        <v>45708</v>
      </c>
      <c r="M819" s="10" t="b">
        <v>0</v>
      </c>
      <c r="N819" s="10">
        <v>4</v>
      </c>
      <c r="O819" s="11">
        <v>1600</v>
      </c>
      <c r="P819" s="85">
        <v>1.911589008363202</v>
      </c>
      <c r="Q819" s="11">
        <v>1600</v>
      </c>
      <c r="R819" s="85">
        <v>1.911589008363202</v>
      </c>
      <c r="S819" s="29" t="s">
        <v>2719</v>
      </c>
      <c r="T819" s="29" t="s">
        <v>2798</v>
      </c>
    </row>
    <row r="820">
      <c r="B820" s="29" t="s">
        <v>1219</v>
      </c>
      <c r="C820" s="29" t="s">
        <v>1247</v>
      </c>
      <c r="D820" s="8" t="s">
        <v>1269</v>
      </c>
      <c r="E820" s="10" t="s">
        <v>2128</v>
      </c>
      <c r="F820" s="10"/>
      <c r="G820" s="10">
        <v>2</v>
      </c>
      <c r="H820" s="10">
        <v>1</v>
      </c>
      <c r="I820" s="10"/>
      <c r="J820" s="10">
        <v>837</v>
      </c>
      <c r="K820" s="104">
        <v>45705</v>
      </c>
      <c r="L820" s="104">
        <v>45708</v>
      </c>
      <c r="M820" s="10" t="b">
        <v>0</v>
      </c>
      <c r="N820" s="10">
        <v>4</v>
      </c>
      <c r="O820" s="11">
        <v>1600</v>
      </c>
      <c r="P820" s="85">
        <v>1.911589008363202</v>
      </c>
      <c r="Q820" s="11">
        <v>1600</v>
      </c>
      <c r="R820" s="85">
        <v>1.911589008363202</v>
      </c>
      <c r="S820" s="29" t="s">
        <v>2719</v>
      </c>
      <c r="T820" s="29" t="s">
        <v>2798</v>
      </c>
    </row>
    <row r="821">
      <c r="B821" s="29" t="s">
        <v>1219</v>
      </c>
      <c r="C821" s="29" t="s">
        <v>1247</v>
      </c>
      <c r="D821" s="8" t="s">
        <v>1269</v>
      </c>
      <c r="E821" s="10" t="s">
        <v>2129</v>
      </c>
      <c r="F821" s="10"/>
      <c r="G821" s="10">
        <v>2</v>
      </c>
      <c r="H821" s="10">
        <v>1</v>
      </c>
      <c r="I821" s="10"/>
      <c r="J821" s="10">
        <v>837</v>
      </c>
      <c r="K821" s="104">
        <v>45705</v>
      </c>
      <c r="L821" s="104">
        <v>45708</v>
      </c>
      <c r="M821" s="10" t="b">
        <v>0</v>
      </c>
      <c r="N821" s="10">
        <v>4</v>
      </c>
      <c r="O821" s="11">
        <v>1600</v>
      </c>
      <c r="P821" s="85">
        <v>1.911589008363202</v>
      </c>
      <c r="Q821" s="11">
        <v>1600</v>
      </c>
      <c r="R821" s="85">
        <v>1.911589008363202</v>
      </c>
      <c r="S821" s="29" t="s">
        <v>2719</v>
      </c>
      <c r="T821" s="29" t="s">
        <v>2798</v>
      </c>
    </row>
    <row r="822">
      <c r="B822" s="29" t="s">
        <v>1219</v>
      </c>
      <c r="C822" s="29" t="s">
        <v>1247</v>
      </c>
      <c r="D822" s="8" t="s">
        <v>1269</v>
      </c>
      <c r="E822" s="10" t="s">
        <v>2130</v>
      </c>
      <c r="F822" s="10"/>
      <c r="G822" s="10">
        <v>2</v>
      </c>
      <c r="H822" s="10">
        <v>1</v>
      </c>
      <c r="I822" s="10"/>
      <c r="J822" s="10">
        <v>837</v>
      </c>
      <c r="K822" s="104">
        <v>45705</v>
      </c>
      <c r="L822" s="104">
        <v>45708</v>
      </c>
      <c r="M822" s="10" t="b">
        <v>0</v>
      </c>
      <c r="N822" s="10">
        <v>4</v>
      </c>
      <c r="O822" s="11">
        <v>1600</v>
      </c>
      <c r="P822" s="85">
        <v>1.911589008363202</v>
      </c>
      <c r="Q822" s="11">
        <v>1600</v>
      </c>
      <c r="R822" s="85">
        <v>1.911589008363202</v>
      </c>
      <c r="S822" s="29" t="s">
        <v>2719</v>
      </c>
      <c r="T822" s="29" t="s">
        <v>2798</v>
      </c>
    </row>
    <row r="823">
      <c r="B823" s="29" t="s">
        <v>1219</v>
      </c>
      <c r="C823" s="29" t="s">
        <v>1247</v>
      </c>
      <c r="D823" s="8" t="s">
        <v>1269</v>
      </c>
      <c r="E823" s="10" t="s">
        <v>2131</v>
      </c>
      <c r="F823" s="10"/>
      <c r="G823" s="10">
        <v>2</v>
      </c>
      <c r="H823" s="10">
        <v>1</v>
      </c>
      <c r="I823" s="10"/>
      <c r="J823" s="10">
        <v>837</v>
      </c>
      <c r="K823" s="104">
        <v>45705</v>
      </c>
      <c r="L823" s="104">
        <v>45708</v>
      </c>
      <c r="M823" s="10" t="b">
        <v>0</v>
      </c>
      <c r="N823" s="10">
        <v>4</v>
      </c>
      <c r="O823" s="11">
        <v>1600</v>
      </c>
      <c r="P823" s="85">
        <v>1.911589008363202</v>
      </c>
      <c r="Q823" s="11">
        <v>1600</v>
      </c>
      <c r="R823" s="85">
        <v>1.911589008363202</v>
      </c>
      <c r="S823" s="29" t="s">
        <v>2719</v>
      </c>
      <c r="T823" s="29" t="s">
        <v>2798</v>
      </c>
    </row>
    <row r="824">
      <c r="B824" s="29" t="s">
        <v>1219</v>
      </c>
      <c r="C824" s="29" t="s">
        <v>1247</v>
      </c>
      <c r="D824" s="8" t="s">
        <v>1269</v>
      </c>
      <c r="E824" s="10" t="s">
        <v>2132</v>
      </c>
      <c r="F824" s="10"/>
      <c r="G824" s="10">
        <v>2</v>
      </c>
      <c r="H824" s="10">
        <v>1</v>
      </c>
      <c r="I824" s="10"/>
      <c r="J824" s="10">
        <v>837</v>
      </c>
      <c r="K824" s="104">
        <v>45705</v>
      </c>
      <c r="L824" s="104">
        <v>45708</v>
      </c>
      <c r="M824" s="10" t="b">
        <v>0</v>
      </c>
      <c r="N824" s="10">
        <v>4</v>
      </c>
      <c r="O824" s="11">
        <v>1600</v>
      </c>
      <c r="P824" s="85">
        <v>1.911589008363202</v>
      </c>
      <c r="Q824" s="11">
        <v>1600</v>
      </c>
      <c r="R824" s="85">
        <v>1.911589008363202</v>
      </c>
      <c r="S824" s="29" t="s">
        <v>2719</v>
      </c>
      <c r="T824" s="29" t="s">
        <v>2798</v>
      </c>
    </row>
    <row r="825">
      <c r="B825" s="29" t="s">
        <v>1219</v>
      </c>
      <c r="C825" s="29" t="s">
        <v>1247</v>
      </c>
      <c r="D825" s="8" t="s">
        <v>1269</v>
      </c>
      <c r="E825" s="10" t="s">
        <v>2133</v>
      </c>
      <c r="F825" s="10"/>
      <c r="G825" s="10">
        <v>2</v>
      </c>
      <c r="H825" s="10">
        <v>1</v>
      </c>
      <c r="I825" s="10"/>
      <c r="J825" s="10">
        <v>837</v>
      </c>
      <c r="K825" s="104">
        <v>45705</v>
      </c>
      <c r="L825" s="104">
        <v>45708</v>
      </c>
      <c r="M825" s="10" t="b">
        <v>0</v>
      </c>
      <c r="N825" s="10">
        <v>4</v>
      </c>
      <c r="O825" s="11">
        <v>1600</v>
      </c>
      <c r="P825" s="85">
        <v>1.911589008363202</v>
      </c>
      <c r="Q825" s="11">
        <v>1600</v>
      </c>
      <c r="R825" s="85">
        <v>1.911589008363202</v>
      </c>
      <c r="S825" s="29" t="s">
        <v>2719</v>
      </c>
      <c r="T825" s="29" t="s">
        <v>2798</v>
      </c>
    </row>
    <row r="826">
      <c r="B826" s="29" t="s">
        <v>1219</v>
      </c>
      <c r="C826" s="29" t="s">
        <v>1247</v>
      </c>
      <c r="D826" s="8" t="s">
        <v>1269</v>
      </c>
      <c r="E826" s="10" t="s">
        <v>2134</v>
      </c>
      <c r="F826" s="10"/>
      <c r="G826" s="10">
        <v>2</v>
      </c>
      <c r="H826" s="10">
        <v>1</v>
      </c>
      <c r="I826" s="10"/>
      <c r="J826" s="10">
        <v>837</v>
      </c>
      <c r="K826" s="104">
        <v>45705</v>
      </c>
      <c r="L826" s="104">
        <v>45708</v>
      </c>
      <c r="M826" s="10" t="b">
        <v>0</v>
      </c>
      <c r="N826" s="10">
        <v>4</v>
      </c>
      <c r="O826" s="11">
        <v>1600</v>
      </c>
      <c r="P826" s="85">
        <v>1.911589008363202</v>
      </c>
      <c r="Q826" s="11">
        <v>1600</v>
      </c>
      <c r="R826" s="85">
        <v>1.911589008363202</v>
      </c>
      <c r="S826" s="29" t="s">
        <v>2719</v>
      </c>
      <c r="T826" s="29" t="s">
        <v>2798</v>
      </c>
    </row>
    <row r="827">
      <c r="B827" s="29" t="s">
        <v>1219</v>
      </c>
      <c r="C827" s="29" t="s">
        <v>1247</v>
      </c>
      <c r="D827" s="8" t="s">
        <v>1269</v>
      </c>
      <c r="E827" s="10" t="s">
        <v>2135</v>
      </c>
      <c r="F827" s="10"/>
      <c r="G827" s="10">
        <v>2</v>
      </c>
      <c r="H827" s="10">
        <v>1</v>
      </c>
      <c r="I827" s="10"/>
      <c r="J827" s="10">
        <v>837</v>
      </c>
      <c r="K827" s="104">
        <v>45705</v>
      </c>
      <c r="L827" s="104">
        <v>45708</v>
      </c>
      <c r="M827" s="10" t="b">
        <v>0</v>
      </c>
      <c r="N827" s="10">
        <v>4</v>
      </c>
      <c r="O827" s="11">
        <v>1600</v>
      </c>
      <c r="P827" s="85">
        <v>1.911589008363202</v>
      </c>
      <c r="Q827" s="11">
        <v>1600</v>
      </c>
      <c r="R827" s="85">
        <v>1.911589008363202</v>
      </c>
      <c r="S827" s="29" t="s">
        <v>2719</v>
      </c>
      <c r="T827" s="29" t="s">
        <v>2798</v>
      </c>
    </row>
    <row r="828">
      <c r="B828" s="29" t="s">
        <v>1219</v>
      </c>
      <c r="C828" s="29" t="s">
        <v>1247</v>
      </c>
      <c r="D828" s="8" t="s">
        <v>1269</v>
      </c>
      <c r="E828" s="10" t="s">
        <v>2136</v>
      </c>
      <c r="F828" s="10"/>
      <c r="G828" s="10">
        <v>2</v>
      </c>
      <c r="H828" s="10">
        <v>1</v>
      </c>
      <c r="I828" s="10"/>
      <c r="J828" s="10">
        <v>837</v>
      </c>
      <c r="K828" s="104">
        <v>45705</v>
      </c>
      <c r="L828" s="104">
        <v>45708</v>
      </c>
      <c r="M828" s="10" t="b">
        <v>0</v>
      </c>
      <c r="N828" s="10">
        <v>4</v>
      </c>
      <c r="O828" s="11">
        <v>1600</v>
      </c>
      <c r="P828" s="85">
        <v>1.911589008363202</v>
      </c>
      <c r="Q828" s="11">
        <v>1600</v>
      </c>
      <c r="R828" s="85">
        <v>1.911589008363202</v>
      </c>
      <c r="S828" s="29" t="s">
        <v>2719</v>
      </c>
      <c r="T828" s="29" t="s">
        <v>2798</v>
      </c>
    </row>
    <row r="829">
      <c r="B829" s="29" t="s">
        <v>1219</v>
      </c>
      <c r="C829" s="29" t="s">
        <v>1247</v>
      </c>
      <c r="D829" s="8" t="s">
        <v>1269</v>
      </c>
      <c r="E829" s="10" t="s">
        <v>2137</v>
      </c>
      <c r="F829" s="10"/>
      <c r="G829" s="10">
        <v>2</v>
      </c>
      <c r="H829" s="10">
        <v>1</v>
      </c>
      <c r="I829" s="10"/>
      <c r="J829" s="10">
        <v>837</v>
      </c>
      <c r="K829" s="104">
        <v>45705</v>
      </c>
      <c r="L829" s="104">
        <v>45708</v>
      </c>
      <c r="M829" s="10" t="b">
        <v>0</v>
      </c>
      <c r="N829" s="10">
        <v>4</v>
      </c>
      <c r="O829" s="11">
        <v>1600</v>
      </c>
      <c r="P829" s="85">
        <v>1.911589008363202</v>
      </c>
      <c r="Q829" s="11">
        <v>1600</v>
      </c>
      <c r="R829" s="85">
        <v>1.911589008363202</v>
      </c>
      <c r="S829" s="29" t="s">
        <v>2719</v>
      </c>
      <c r="T829" s="29" t="s">
        <v>2798</v>
      </c>
    </row>
    <row r="830">
      <c r="B830" s="29" t="s">
        <v>1219</v>
      </c>
      <c r="C830" s="29" t="s">
        <v>1247</v>
      </c>
      <c r="D830" s="8" t="s">
        <v>1269</v>
      </c>
      <c r="E830" s="10" t="s">
        <v>2138</v>
      </c>
      <c r="F830" s="10"/>
      <c r="G830" s="10">
        <v>2</v>
      </c>
      <c r="H830" s="10">
        <v>1</v>
      </c>
      <c r="I830" s="10"/>
      <c r="J830" s="10">
        <v>837</v>
      </c>
      <c r="K830" s="104">
        <v>45705</v>
      </c>
      <c r="L830" s="104">
        <v>45708</v>
      </c>
      <c r="M830" s="10" t="b">
        <v>0</v>
      </c>
      <c r="N830" s="10">
        <v>4</v>
      </c>
      <c r="O830" s="11">
        <v>1600</v>
      </c>
      <c r="P830" s="85">
        <v>1.911589008363202</v>
      </c>
      <c r="Q830" s="11">
        <v>1600</v>
      </c>
      <c r="R830" s="85">
        <v>1.911589008363202</v>
      </c>
      <c r="S830" s="29" t="s">
        <v>2719</v>
      </c>
      <c r="T830" s="29" t="s">
        <v>2798</v>
      </c>
    </row>
    <row r="831">
      <c r="B831" s="29" t="s">
        <v>1219</v>
      </c>
      <c r="C831" s="29" t="s">
        <v>1247</v>
      </c>
      <c r="D831" s="8" t="s">
        <v>1269</v>
      </c>
      <c r="E831" s="10" t="s">
        <v>2139</v>
      </c>
      <c r="F831" s="10"/>
      <c r="G831" s="10">
        <v>2</v>
      </c>
      <c r="H831" s="10">
        <v>1</v>
      </c>
      <c r="I831" s="10"/>
      <c r="J831" s="10">
        <v>837</v>
      </c>
      <c r="K831" s="104">
        <v>45705</v>
      </c>
      <c r="L831" s="104">
        <v>45708</v>
      </c>
      <c r="M831" s="10" t="b">
        <v>0</v>
      </c>
      <c r="N831" s="10">
        <v>4</v>
      </c>
      <c r="O831" s="11">
        <v>1600</v>
      </c>
      <c r="P831" s="85">
        <v>1.911589008363202</v>
      </c>
      <c r="Q831" s="11">
        <v>1600</v>
      </c>
      <c r="R831" s="85">
        <v>1.911589008363202</v>
      </c>
      <c r="S831" s="29" t="s">
        <v>2719</v>
      </c>
      <c r="T831" s="29" t="s">
        <v>2798</v>
      </c>
    </row>
    <row r="832">
      <c r="B832" s="29" t="s">
        <v>1219</v>
      </c>
      <c r="C832" s="29" t="s">
        <v>1247</v>
      </c>
      <c r="D832" s="8" t="s">
        <v>1269</v>
      </c>
      <c r="E832" s="10" t="s">
        <v>2140</v>
      </c>
      <c r="F832" s="10"/>
      <c r="G832" s="10">
        <v>2</v>
      </c>
      <c r="H832" s="10">
        <v>1</v>
      </c>
      <c r="I832" s="10"/>
      <c r="J832" s="10">
        <v>837</v>
      </c>
      <c r="K832" s="104">
        <v>45705</v>
      </c>
      <c r="L832" s="104">
        <v>45708</v>
      </c>
      <c r="M832" s="10" t="b">
        <v>0</v>
      </c>
      <c r="N832" s="10">
        <v>4</v>
      </c>
      <c r="O832" s="11">
        <v>1600</v>
      </c>
      <c r="P832" s="85">
        <v>1.911589008363202</v>
      </c>
      <c r="Q832" s="11">
        <v>1600</v>
      </c>
      <c r="R832" s="85">
        <v>1.911589008363202</v>
      </c>
      <c r="S832" s="29" t="s">
        <v>2719</v>
      </c>
      <c r="T832" s="29" t="s">
        <v>2798</v>
      </c>
    </row>
    <row r="833">
      <c r="B833" s="29" t="s">
        <v>1219</v>
      </c>
      <c r="C833" s="29" t="s">
        <v>1247</v>
      </c>
      <c r="D833" s="8" t="s">
        <v>1269</v>
      </c>
      <c r="E833" s="10" t="s">
        <v>2141</v>
      </c>
      <c r="F833" s="10"/>
      <c r="G833" s="10">
        <v>2</v>
      </c>
      <c r="H833" s="10">
        <v>1</v>
      </c>
      <c r="I833" s="10"/>
      <c r="J833" s="10">
        <v>837</v>
      </c>
      <c r="K833" s="104">
        <v>45705</v>
      </c>
      <c r="L833" s="104">
        <v>45708</v>
      </c>
      <c r="M833" s="10" t="b">
        <v>0</v>
      </c>
      <c r="N833" s="10">
        <v>4</v>
      </c>
      <c r="O833" s="11">
        <v>1600</v>
      </c>
      <c r="P833" s="85">
        <v>1.911589008363202</v>
      </c>
      <c r="Q833" s="11">
        <v>1600</v>
      </c>
      <c r="R833" s="85">
        <v>1.911589008363202</v>
      </c>
      <c r="S833" s="29" t="s">
        <v>2719</v>
      </c>
      <c r="T833" s="29" t="s">
        <v>2798</v>
      </c>
    </row>
    <row r="834">
      <c r="B834" s="29" t="s">
        <v>1219</v>
      </c>
      <c r="C834" s="29" t="s">
        <v>1247</v>
      </c>
      <c r="D834" s="8" t="s">
        <v>1269</v>
      </c>
      <c r="E834" s="10" t="s">
        <v>2142</v>
      </c>
      <c r="F834" s="10"/>
      <c r="G834" s="10">
        <v>2</v>
      </c>
      <c r="H834" s="10">
        <v>1</v>
      </c>
      <c r="I834" s="10"/>
      <c r="J834" s="10">
        <v>837</v>
      </c>
      <c r="K834" s="104">
        <v>45705</v>
      </c>
      <c r="L834" s="104">
        <v>45708</v>
      </c>
      <c r="M834" s="10" t="b">
        <v>0</v>
      </c>
      <c r="N834" s="10">
        <v>4</v>
      </c>
      <c r="O834" s="11">
        <v>1600</v>
      </c>
      <c r="P834" s="85">
        <v>1.911589008363202</v>
      </c>
      <c r="Q834" s="11">
        <v>1600</v>
      </c>
      <c r="R834" s="85">
        <v>1.911589008363202</v>
      </c>
      <c r="S834" s="29" t="s">
        <v>2719</v>
      </c>
      <c r="T834" s="29" t="s">
        <v>2798</v>
      </c>
    </row>
    <row r="835">
      <c r="B835" s="29" t="s">
        <v>1219</v>
      </c>
      <c r="C835" s="29" t="s">
        <v>1247</v>
      </c>
      <c r="D835" s="8" t="s">
        <v>1269</v>
      </c>
      <c r="E835" s="10" t="s">
        <v>2143</v>
      </c>
      <c r="F835" s="10"/>
      <c r="G835" s="10">
        <v>2</v>
      </c>
      <c r="H835" s="10">
        <v>1</v>
      </c>
      <c r="I835" s="10"/>
      <c r="J835" s="10">
        <v>837</v>
      </c>
      <c r="K835" s="104">
        <v>45705</v>
      </c>
      <c r="L835" s="104">
        <v>45708</v>
      </c>
      <c r="M835" s="10" t="b">
        <v>0</v>
      </c>
      <c r="N835" s="10">
        <v>4</v>
      </c>
      <c r="O835" s="11">
        <v>1600</v>
      </c>
      <c r="P835" s="85">
        <v>1.911589008363202</v>
      </c>
      <c r="Q835" s="11">
        <v>1600</v>
      </c>
      <c r="R835" s="85">
        <v>1.911589008363202</v>
      </c>
      <c r="S835" s="29" t="s">
        <v>2719</v>
      </c>
      <c r="T835" s="29" t="s">
        <v>2798</v>
      </c>
    </row>
    <row r="836">
      <c r="B836" s="29" t="s">
        <v>1219</v>
      </c>
      <c r="C836" s="29" t="s">
        <v>1247</v>
      </c>
      <c r="D836" s="8" t="s">
        <v>1269</v>
      </c>
      <c r="E836" s="10" t="s">
        <v>2144</v>
      </c>
      <c r="F836" s="10"/>
      <c r="G836" s="10">
        <v>2</v>
      </c>
      <c r="H836" s="10">
        <v>1</v>
      </c>
      <c r="I836" s="10"/>
      <c r="J836" s="10">
        <v>837</v>
      </c>
      <c r="K836" s="104">
        <v>45705</v>
      </c>
      <c r="L836" s="104">
        <v>45708</v>
      </c>
      <c r="M836" s="10" t="b">
        <v>0</v>
      </c>
      <c r="N836" s="10">
        <v>4</v>
      </c>
      <c r="O836" s="11">
        <v>1600</v>
      </c>
      <c r="P836" s="85">
        <v>1.911589008363202</v>
      </c>
      <c r="Q836" s="11">
        <v>1600</v>
      </c>
      <c r="R836" s="85">
        <v>1.911589008363202</v>
      </c>
      <c r="S836" s="29" t="s">
        <v>2719</v>
      </c>
      <c r="T836" s="29" t="s">
        <v>2798</v>
      </c>
    </row>
    <row r="837">
      <c r="B837" s="29" t="s">
        <v>1219</v>
      </c>
      <c r="C837" s="29" t="s">
        <v>1247</v>
      </c>
      <c r="D837" s="8" t="s">
        <v>1269</v>
      </c>
      <c r="E837" s="10" t="s">
        <v>2145</v>
      </c>
      <c r="F837" s="10"/>
      <c r="G837" s="10">
        <v>2</v>
      </c>
      <c r="H837" s="10">
        <v>1</v>
      </c>
      <c r="I837" s="10"/>
      <c r="J837" s="10">
        <v>837</v>
      </c>
      <c r="K837" s="104">
        <v>45705</v>
      </c>
      <c r="L837" s="104">
        <v>45708</v>
      </c>
      <c r="M837" s="10" t="b">
        <v>0</v>
      </c>
      <c r="N837" s="10">
        <v>4</v>
      </c>
      <c r="O837" s="11">
        <v>1600</v>
      </c>
      <c r="P837" s="85">
        <v>1.911589008363202</v>
      </c>
      <c r="Q837" s="11">
        <v>1600</v>
      </c>
      <c r="R837" s="85">
        <v>1.911589008363202</v>
      </c>
      <c r="S837" s="29" t="s">
        <v>2719</v>
      </c>
      <c r="T837" s="29" t="s">
        <v>2798</v>
      </c>
    </row>
    <row r="838">
      <c r="B838" s="29" t="s">
        <v>1219</v>
      </c>
      <c r="C838" s="29" t="s">
        <v>1247</v>
      </c>
      <c r="D838" s="8" t="s">
        <v>1269</v>
      </c>
      <c r="E838" s="10" t="s">
        <v>2146</v>
      </c>
      <c r="F838" s="10"/>
      <c r="G838" s="10">
        <v>2</v>
      </c>
      <c r="H838" s="10">
        <v>1</v>
      </c>
      <c r="I838" s="10"/>
      <c r="J838" s="10">
        <v>837</v>
      </c>
      <c r="K838" s="104">
        <v>45705</v>
      </c>
      <c r="L838" s="104">
        <v>45708</v>
      </c>
      <c r="M838" s="10" t="b">
        <v>0</v>
      </c>
      <c r="N838" s="10">
        <v>4</v>
      </c>
      <c r="O838" s="11">
        <v>1600</v>
      </c>
      <c r="P838" s="85">
        <v>1.911589008363202</v>
      </c>
      <c r="Q838" s="11">
        <v>1600</v>
      </c>
      <c r="R838" s="85">
        <v>1.911589008363202</v>
      </c>
      <c r="S838" s="29" t="s">
        <v>2719</v>
      </c>
      <c r="T838" s="29" t="s">
        <v>2798</v>
      </c>
    </row>
    <row r="839">
      <c r="B839" s="29" t="s">
        <v>1219</v>
      </c>
      <c r="C839" s="29" t="s">
        <v>1247</v>
      </c>
      <c r="D839" s="8" t="s">
        <v>1269</v>
      </c>
      <c r="E839" s="10" t="s">
        <v>2147</v>
      </c>
      <c r="F839" s="10"/>
      <c r="G839" s="10">
        <v>2</v>
      </c>
      <c r="H839" s="10">
        <v>1</v>
      </c>
      <c r="I839" s="10"/>
      <c r="J839" s="10">
        <v>837</v>
      </c>
      <c r="K839" s="104">
        <v>45705</v>
      </c>
      <c r="L839" s="104">
        <v>45708</v>
      </c>
      <c r="M839" s="10" t="b">
        <v>0</v>
      </c>
      <c r="N839" s="10">
        <v>4</v>
      </c>
      <c r="O839" s="11">
        <v>1600</v>
      </c>
      <c r="P839" s="85">
        <v>1.911589008363202</v>
      </c>
      <c r="Q839" s="11">
        <v>1600</v>
      </c>
      <c r="R839" s="85">
        <v>1.911589008363202</v>
      </c>
      <c r="S839" s="29" t="s">
        <v>2719</v>
      </c>
      <c r="T839" s="29" t="s">
        <v>2798</v>
      </c>
    </row>
    <row r="840">
      <c r="B840" s="29" t="s">
        <v>1219</v>
      </c>
      <c r="C840" s="29" t="s">
        <v>1247</v>
      </c>
      <c r="D840" s="8" t="s">
        <v>1269</v>
      </c>
      <c r="E840" s="10" t="s">
        <v>2148</v>
      </c>
      <c r="F840" s="10"/>
      <c r="G840" s="10">
        <v>2</v>
      </c>
      <c r="H840" s="10">
        <v>1</v>
      </c>
      <c r="I840" s="10"/>
      <c r="J840" s="10">
        <v>837</v>
      </c>
      <c r="K840" s="104">
        <v>45705</v>
      </c>
      <c r="L840" s="104">
        <v>45708</v>
      </c>
      <c r="M840" s="10" t="b">
        <v>0</v>
      </c>
      <c r="N840" s="10">
        <v>4</v>
      </c>
      <c r="O840" s="11">
        <v>1600</v>
      </c>
      <c r="P840" s="85">
        <v>1.911589008363202</v>
      </c>
      <c r="Q840" s="11">
        <v>1600</v>
      </c>
      <c r="R840" s="85">
        <v>1.911589008363202</v>
      </c>
      <c r="S840" s="29" t="s">
        <v>2719</v>
      </c>
      <c r="T840" s="29" t="s">
        <v>2798</v>
      </c>
    </row>
    <row r="841">
      <c r="B841" s="29" t="s">
        <v>1219</v>
      </c>
      <c r="C841" s="29" t="s">
        <v>1247</v>
      </c>
      <c r="D841" s="8" t="s">
        <v>1269</v>
      </c>
      <c r="E841" s="10" t="s">
        <v>2149</v>
      </c>
      <c r="F841" s="10"/>
      <c r="G841" s="10">
        <v>2</v>
      </c>
      <c r="H841" s="10">
        <v>1</v>
      </c>
      <c r="I841" s="10"/>
      <c r="J841" s="10">
        <v>837</v>
      </c>
      <c r="K841" s="104">
        <v>45705</v>
      </c>
      <c r="L841" s="104">
        <v>45708</v>
      </c>
      <c r="M841" s="10" t="b">
        <v>0</v>
      </c>
      <c r="N841" s="10">
        <v>4</v>
      </c>
      <c r="O841" s="11">
        <v>1600</v>
      </c>
      <c r="P841" s="85">
        <v>1.911589008363202</v>
      </c>
      <c r="Q841" s="11">
        <v>1600</v>
      </c>
      <c r="R841" s="85">
        <v>1.911589008363202</v>
      </c>
      <c r="S841" s="29" t="s">
        <v>2719</v>
      </c>
      <c r="T841" s="29" t="s">
        <v>2798</v>
      </c>
    </row>
    <row r="842">
      <c r="B842" s="29" t="s">
        <v>1219</v>
      </c>
      <c r="C842" s="29" t="s">
        <v>1247</v>
      </c>
      <c r="D842" s="8" t="s">
        <v>1269</v>
      </c>
      <c r="E842" s="10" t="s">
        <v>2150</v>
      </c>
      <c r="F842" s="10"/>
      <c r="G842" s="10">
        <v>2</v>
      </c>
      <c r="H842" s="10">
        <v>1</v>
      </c>
      <c r="I842" s="10"/>
      <c r="J842" s="10">
        <v>837</v>
      </c>
      <c r="K842" s="104">
        <v>45705</v>
      </c>
      <c r="L842" s="104">
        <v>45708</v>
      </c>
      <c r="M842" s="10" t="b">
        <v>0</v>
      </c>
      <c r="N842" s="10">
        <v>4</v>
      </c>
      <c r="O842" s="11">
        <v>1600</v>
      </c>
      <c r="P842" s="85">
        <v>1.911589008363202</v>
      </c>
      <c r="Q842" s="11">
        <v>1600</v>
      </c>
      <c r="R842" s="85">
        <v>1.911589008363202</v>
      </c>
      <c r="S842" s="29" t="s">
        <v>2719</v>
      </c>
      <c r="T842" s="29" t="s">
        <v>2798</v>
      </c>
    </row>
    <row r="843">
      <c r="B843" s="29" t="s">
        <v>1219</v>
      </c>
      <c r="C843" s="29" t="s">
        <v>1247</v>
      </c>
      <c r="D843" s="8" t="s">
        <v>1269</v>
      </c>
      <c r="E843" s="10" t="s">
        <v>2151</v>
      </c>
      <c r="F843" s="10"/>
      <c r="G843" s="10">
        <v>2</v>
      </c>
      <c r="H843" s="10">
        <v>1</v>
      </c>
      <c r="I843" s="10"/>
      <c r="J843" s="10">
        <v>837</v>
      </c>
      <c r="K843" s="104">
        <v>45705</v>
      </c>
      <c r="L843" s="104">
        <v>45708</v>
      </c>
      <c r="M843" s="10" t="b">
        <v>0</v>
      </c>
      <c r="N843" s="10">
        <v>4</v>
      </c>
      <c r="O843" s="11">
        <v>1600</v>
      </c>
      <c r="P843" s="85">
        <v>1.911589008363202</v>
      </c>
      <c r="Q843" s="11">
        <v>1600</v>
      </c>
      <c r="R843" s="85">
        <v>1.911589008363202</v>
      </c>
      <c r="S843" s="29" t="s">
        <v>2719</v>
      </c>
      <c r="T843" s="29" t="s">
        <v>2798</v>
      </c>
    </row>
    <row r="844">
      <c r="B844" s="29" t="s">
        <v>1219</v>
      </c>
      <c r="C844" s="29" t="s">
        <v>1247</v>
      </c>
      <c r="D844" s="8" t="s">
        <v>1269</v>
      </c>
      <c r="E844" s="10" t="s">
        <v>2152</v>
      </c>
      <c r="F844" s="10"/>
      <c r="G844" s="10">
        <v>2</v>
      </c>
      <c r="H844" s="10">
        <v>1</v>
      </c>
      <c r="I844" s="10"/>
      <c r="J844" s="10">
        <v>837</v>
      </c>
      <c r="K844" s="104">
        <v>45705</v>
      </c>
      <c r="L844" s="104">
        <v>45708</v>
      </c>
      <c r="M844" s="10" t="b">
        <v>0</v>
      </c>
      <c r="N844" s="10">
        <v>4</v>
      </c>
      <c r="O844" s="11">
        <v>1600</v>
      </c>
      <c r="P844" s="85">
        <v>1.911589008363202</v>
      </c>
      <c r="Q844" s="11">
        <v>1600</v>
      </c>
      <c r="R844" s="85">
        <v>1.911589008363202</v>
      </c>
      <c r="S844" s="29" t="s">
        <v>2719</v>
      </c>
      <c r="T844" s="29" t="s">
        <v>2798</v>
      </c>
    </row>
    <row r="845">
      <c r="B845" s="29" t="s">
        <v>1219</v>
      </c>
      <c r="C845" s="29" t="s">
        <v>1247</v>
      </c>
      <c r="D845" s="8" t="s">
        <v>1269</v>
      </c>
      <c r="E845" s="10" t="s">
        <v>2153</v>
      </c>
      <c r="F845" s="10"/>
      <c r="G845" s="10">
        <v>2</v>
      </c>
      <c r="H845" s="10">
        <v>1</v>
      </c>
      <c r="I845" s="10"/>
      <c r="J845" s="10">
        <v>837</v>
      </c>
      <c r="K845" s="104">
        <v>45705</v>
      </c>
      <c r="L845" s="104">
        <v>45708</v>
      </c>
      <c r="M845" s="10" t="b">
        <v>0</v>
      </c>
      <c r="N845" s="10">
        <v>4</v>
      </c>
      <c r="O845" s="11">
        <v>1600</v>
      </c>
      <c r="P845" s="85">
        <v>1.911589008363202</v>
      </c>
      <c r="Q845" s="11">
        <v>1600</v>
      </c>
      <c r="R845" s="85">
        <v>1.911589008363202</v>
      </c>
      <c r="S845" s="29" t="s">
        <v>2719</v>
      </c>
      <c r="T845" s="29" t="s">
        <v>2798</v>
      </c>
    </row>
    <row r="846">
      <c r="B846" s="29" t="s">
        <v>1219</v>
      </c>
      <c r="C846" s="29" t="s">
        <v>1247</v>
      </c>
      <c r="D846" s="8" t="s">
        <v>1269</v>
      </c>
      <c r="E846" s="10" t="s">
        <v>2154</v>
      </c>
      <c r="F846" s="10"/>
      <c r="G846" s="10">
        <v>2</v>
      </c>
      <c r="H846" s="10">
        <v>1</v>
      </c>
      <c r="I846" s="10"/>
      <c r="J846" s="10">
        <v>837</v>
      </c>
      <c r="K846" s="104">
        <v>45707</v>
      </c>
      <c r="L846" s="104">
        <v>45710</v>
      </c>
      <c r="M846" s="10" t="b">
        <v>0</v>
      </c>
      <c r="N846" s="10">
        <v>4</v>
      </c>
      <c r="O846" s="11">
        <v>1650</v>
      </c>
      <c r="P846" s="85">
        <v>1.971326164874552</v>
      </c>
      <c r="Q846" s="11">
        <v>1650</v>
      </c>
      <c r="R846" s="85">
        <v>1.971326164874552</v>
      </c>
      <c r="S846" s="29" t="s">
        <v>2719</v>
      </c>
      <c r="T846" s="29" t="s">
        <v>2798</v>
      </c>
    </row>
    <row r="847">
      <c r="B847" s="29" t="s">
        <v>1219</v>
      </c>
      <c r="C847" s="29" t="s">
        <v>1247</v>
      </c>
      <c r="D847" s="8" t="s">
        <v>1269</v>
      </c>
      <c r="E847" s="10" t="s">
        <v>2155</v>
      </c>
      <c r="F847" s="10"/>
      <c r="G847" s="10">
        <v>2</v>
      </c>
      <c r="H847" s="10">
        <v>1</v>
      </c>
      <c r="I847" s="10"/>
      <c r="J847" s="10">
        <v>837</v>
      </c>
      <c r="K847" s="104">
        <v>45707</v>
      </c>
      <c r="L847" s="104">
        <v>45710</v>
      </c>
      <c r="M847" s="10" t="b">
        <v>0</v>
      </c>
      <c r="N847" s="10">
        <v>4</v>
      </c>
      <c r="O847" s="11">
        <v>1650</v>
      </c>
      <c r="P847" s="85">
        <v>1.971326164874552</v>
      </c>
      <c r="Q847" s="11">
        <v>1650</v>
      </c>
      <c r="R847" s="85">
        <v>1.971326164874552</v>
      </c>
      <c r="S847" s="29" t="s">
        <v>2719</v>
      </c>
      <c r="T847" s="29" t="s">
        <v>2798</v>
      </c>
    </row>
    <row r="848">
      <c r="B848" s="29" t="s">
        <v>1219</v>
      </c>
      <c r="C848" s="29" t="s">
        <v>1247</v>
      </c>
      <c r="D848" s="8" t="s">
        <v>1269</v>
      </c>
      <c r="E848" s="10" t="s">
        <v>2156</v>
      </c>
      <c r="F848" s="10">
        <v>2</v>
      </c>
      <c r="G848" s="10">
        <v>2</v>
      </c>
      <c r="H848" s="10">
        <v>1</v>
      </c>
      <c r="I848" s="10"/>
      <c r="J848" s="10">
        <v>837</v>
      </c>
      <c r="K848" s="104">
        <v>45707</v>
      </c>
      <c r="L848" s="104">
        <v>45710</v>
      </c>
      <c r="M848" s="10" t="b">
        <v>0</v>
      </c>
      <c r="N848" s="10">
        <v>4</v>
      </c>
      <c r="O848" s="11">
        <v>1650</v>
      </c>
      <c r="P848" s="85">
        <v>1.971326164874552</v>
      </c>
      <c r="Q848" s="11">
        <v>1650</v>
      </c>
      <c r="R848" s="85">
        <v>1.971326164874552</v>
      </c>
      <c r="S848" s="29" t="s">
        <v>2719</v>
      </c>
      <c r="T848" s="29" t="s">
        <v>2798</v>
      </c>
    </row>
    <row r="849">
      <c r="B849" s="29" t="s">
        <v>1219</v>
      </c>
      <c r="C849" s="29" t="s">
        <v>1247</v>
      </c>
      <c r="D849" s="8" t="s">
        <v>1269</v>
      </c>
      <c r="E849" s="10" t="s">
        <v>2157</v>
      </c>
      <c r="F849" s="10">
        <v>2</v>
      </c>
      <c r="G849" s="10">
        <v>2</v>
      </c>
      <c r="H849" s="10">
        <v>1</v>
      </c>
      <c r="I849" s="10"/>
      <c r="J849" s="10">
        <v>837</v>
      </c>
      <c r="K849" s="104">
        <v>45707</v>
      </c>
      <c r="L849" s="104">
        <v>45710</v>
      </c>
      <c r="M849" s="10" t="b">
        <v>0</v>
      </c>
      <c r="N849" s="10">
        <v>4</v>
      </c>
      <c r="O849" s="11">
        <v>1650</v>
      </c>
      <c r="P849" s="85">
        <v>1.971326164874552</v>
      </c>
      <c r="Q849" s="11">
        <v>1650</v>
      </c>
      <c r="R849" s="85">
        <v>1.971326164874552</v>
      </c>
      <c r="S849" s="29" t="s">
        <v>2719</v>
      </c>
      <c r="T849" s="29" t="s">
        <v>2798</v>
      </c>
    </row>
    <row r="850">
      <c r="B850" s="29" t="s">
        <v>1219</v>
      </c>
      <c r="C850" s="29" t="s">
        <v>1247</v>
      </c>
      <c r="D850" s="8" t="s">
        <v>1269</v>
      </c>
      <c r="E850" s="10" t="s">
        <v>2158</v>
      </c>
      <c r="F850" s="10">
        <v>2</v>
      </c>
      <c r="G850" s="10">
        <v>2</v>
      </c>
      <c r="H850" s="10">
        <v>1</v>
      </c>
      <c r="I850" s="10"/>
      <c r="J850" s="10">
        <v>837</v>
      </c>
      <c r="K850" s="104">
        <v>45707</v>
      </c>
      <c r="L850" s="104">
        <v>45710</v>
      </c>
      <c r="M850" s="10" t="b">
        <v>0</v>
      </c>
      <c r="N850" s="10">
        <v>4</v>
      </c>
      <c r="O850" s="11">
        <v>1650</v>
      </c>
      <c r="P850" s="85">
        <v>1.971326164874552</v>
      </c>
      <c r="Q850" s="11">
        <v>1650</v>
      </c>
      <c r="R850" s="85">
        <v>1.971326164874552</v>
      </c>
      <c r="S850" s="29" t="s">
        <v>2719</v>
      </c>
      <c r="T850" s="29" t="s">
        <v>2798</v>
      </c>
    </row>
    <row r="851">
      <c r="B851" s="29" t="s">
        <v>1219</v>
      </c>
      <c r="C851" s="29" t="s">
        <v>1247</v>
      </c>
      <c r="D851" s="8" t="s">
        <v>1269</v>
      </c>
      <c r="E851" s="10" t="s">
        <v>2159</v>
      </c>
      <c r="F851" s="10"/>
      <c r="G851" s="10">
        <v>2</v>
      </c>
      <c r="H851" s="10">
        <v>1</v>
      </c>
      <c r="I851" s="10"/>
      <c r="J851" s="10">
        <v>1012</v>
      </c>
      <c r="K851" s="104">
        <v>45705</v>
      </c>
      <c r="L851" s="104">
        <v>45762</v>
      </c>
      <c r="M851" s="10" t="b">
        <v>0</v>
      </c>
      <c r="N851" s="10">
        <v>58</v>
      </c>
      <c r="O851" s="11">
        <v>1650</v>
      </c>
      <c r="P851" s="85">
        <v>1.6304347826086956</v>
      </c>
      <c r="Q851" s="11">
        <v>1650</v>
      </c>
      <c r="R851" s="85">
        <v>1.6304347826086956</v>
      </c>
      <c r="S851" s="29" t="s">
        <v>2719</v>
      </c>
      <c r="T851" s="29" t="s">
        <v>2798</v>
      </c>
    </row>
    <row r="852">
      <c r="B852" s="29" t="s">
        <v>1219</v>
      </c>
      <c r="C852" s="29" t="s">
        <v>1247</v>
      </c>
      <c r="D852" s="8" t="s">
        <v>1270</v>
      </c>
      <c r="E852" s="10" t="s">
        <v>2160</v>
      </c>
      <c r="F852" s="10">
        <v>2</v>
      </c>
      <c r="G852" s="10">
        <v>3</v>
      </c>
      <c r="H852" s="10">
        <v>1</v>
      </c>
      <c r="I852" s="10"/>
      <c r="J852" s="10">
        <v>1012</v>
      </c>
      <c r="K852" s="104">
        <v>45705</v>
      </c>
      <c r="L852" s="104">
        <v>45710</v>
      </c>
      <c r="M852" s="10" t="b">
        <v>0</v>
      </c>
      <c r="N852" s="10">
        <v>6</v>
      </c>
      <c r="O852" s="11">
        <v>1800</v>
      </c>
      <c r="P852" s="85">
        <v>1.7786561264822134</v>
      </c>
      <c r="Q852" s="11">
        <v>1800</v>
      </c>
      <c r="R852" s="85">
        <v>1.7786561264822134</v>
      </c>
      <c r="S852" s="29" t="s">
        <v>2719</v>
      </c>
      <c r="T852" s="29" t="s">
        <v>2798</v>
      </c>
    </row>
    <row r="853">
      <c r="B853" s="29" t="s">
        <v>1219</v>
      </c>
      <c r="C853" s="29" t="s">
        <v>1247</v>
      </c>
      <c r="D853" s="8" t="s">
        <v>1270</v>
      </c>
      <c r="E853" s="10" t="s">
        <v>2161</v>
      </c>
      <c r="F853" s="10"/>
      <c r="G853" s="10">
        <v>3</v>
      </c>
      <c r="H853" s="10">
        <v>1</v>
      </c>
      <c r="I853" s="10"/>
      <c r="J853" s="10">
        <v>1012</v>
      </c>
      <c r="K853" s="104">
        <v>45705</v>
      </c>
      <c r="L853" s="104">
        <v>45710</v>
      </c>
      <c r="M853" s="10" t="b">
        <v>0</v>
      </c>
      <c r="N853" s="10">
        <v>6</v>
      </c>
      <c r="O853" s="11">
        <v>1800</v>
      </c>
      <c r="P853" s="85">
        <v>1.7786561264822134</v>
      </c>
      <c r="Q853" s="11">
        <v>1800</v>
      </c>
      <c r="R853" s="85">
        <v>1.7786561264822134</v>
      </c>
      <c r="S853" s="29" t="s">
        <v>2719</v>
      </c>
      <c r="T853" s="29" t="s">
        <v>2798</v>
      </c>
    </row>
    <row r="854">
      <c r="B854" s="29" t="s">
        <v>1219</v>
      </c>
      <c r="C854" s="29" t="s">
        <v>1247</v>
      </c>
      <c r="D854" s="8" t="s">
        <v>1270</v>
      </c>
      <c r="E854" s="10" t="s">
        <v>2162</v>
      </c>
      <c r="F854" s="10"/>
      <c r="G854" s="10">
        <v>3</v>
      </c>
      <c r="H854" s="10">
        <v>1</v>
      </c>
      <c r="I854" s="10"/>
      <c r="J854" s="10">
        <v>1012</v>
      </c>
      <c r="K854" s="104">
        <v>45705</v>
      </c>
      <c r="L854" s="104">
        <v>45783</v>
      </c>
      <c r="M854" s="10" t="b">
        <v>0</v>
      </c>
      <c r="N854" s="10">
        <v>79</v>
      </c>
      <c r="O854" s="11">
        <v>1800</v>
      </c>
      <c r="P854" s="85">
        <v>1.7786561264822134</v>
      </c>
      <c r="Q854" s="11">
        <v>1800</v>
      </c>
      <c r="R854" s="85">
        <v>1.7786561264822134</v>
      </c>
      <c r="S854" s="29" t="s">
        <v>2719</v>
      </c>
      <c r="T854" s="29" t="s">
        <v>2798</v>
      </c>
    </row>
    <row r="855">
      <c r="B855" s="29" t="s">
        <v>1219</v>
      </c>
      <c r="C855" s="29" t="s">
        <v>1247</v>
      </c>
      <c r="D855" s="8" t="s">
        <v>1270</v>
      </c>
      <c r="E855" s="10" t="s">
        <v>2163</v>
      </c>
      <c r="F855" s="10"/>
      <c r="G855" s="10">
        <v>3</v>
      </c>
      <c r="H855" s="10">
        <v>1</v>
      </c>
      <c r="I855" s="10"/>
      <c r="J855" s="10">
        <v>1012</v>
      </c>
      <c r="K855" s="104">
        <v>45716</v>
      </c>
      <c r="L855" s="104">
        <v>45757</v>
      </c>
      <c r="M855" s="10" t="b">
        <v>0</v>
      </c>
      <c r="N855" s="10">
        <v>42</v>
      </c>
      <c r="O855" s="11">
        <v>1800</v>
      </c>
      <c r="P855" s="85">
        <v>1.7786561264822134</v>
      </c>
      <c r="Q855" s="11">
        <v>1800</v>
      </c>
      <c r="R855" s="85">
        <v>1.7786561264822134</v>
      </c>
      <c r="S855" s="29" t="s">
        <v>2719</v>
      </c>
      <c r="T855" s="29" t="s">
        <v>2798</v>
      </c>
    </row>
    <row r="856">
      <c r="B856" s="29" t="s">
        <v>1219</v>
      </c>
      <c r="C856" s="29" t="s">
        <v>1247</v>
      </c>
      <c r="D856" s="8" t="s">
        <v>1270</v>
      </c>
      <c r="E856" s="10" t="s">
        <v>2164</v>
      </c>
      <c r="F856" s="10"/>
      <c r="G856" s="10">
        <v>3</v>
      </c>
      <c r="H856" s="10">
        <v>1</v>
      </c>
      <c r="I856" s="10"/>
      <c r="J856" s="10">
        <v>1012</v>
      </c>
      <c r="K856" s="104">
        <v>45705</v>
      </c>
      <c r="L856" s="104">
        <v>45710</v>
      </c>
      <c r="M856" s="10" t="b">
        <v>0</v>
      </c>
      <c r="N856" s="10">
        <v>6</v>
      </c>
      <c r="O856" s="11">
        <v>1800</v>
      </c>
      <c r="P856" s="85">
        <v>1.7786561264822134</v>
      </c>
      <c r="Q856" s="11">
        <v>1800</v>
      </c>
      <c r="R856" s="85">
        <v>1.7786561264822134</v>
      </c>
      <c r="S856" s="29" t="s">
        <v>2719</v>
      </c>
      <c r="T856" s="29" t="s">
        <v>2798</v>
      </c>
    </row>
    <row r="857">
      <c r="B857" s="29" t="s">
        <v>1219</v>
      </c>
      <c r="C857" s="29" t="s">
        <v>1247</v>
      </c>
      <c r="D857" s="8" t="s">
        <v>1270</v>
      </c>
      <c r="E857" s="10" t="s">
        <v>2165</v>
      </c>
      <c r="F857" s="10"/>
      <c r="G857" s="10">
        <v>3</v>
      </c>
      <c r="H857" s="10">
        <v>1</v>
      </c>
      <c r="I857" s="10"/>
      <c r="J857" s="10">
        <v>1012</v>
      </c>
      <c r="K857" s="104">
        <v>45705</v>
      </c>
      <c r="L857" s="104">
        <v>45772</v>
      </c>
      <c r="M857" s="10" t="b">
        <v>0</v>
      </c>
      <c r="N857" s="10">
        <v>68</v>
      </c>
      <c r="O857" s="11">
        <v>1800</v>
      </c>
      <c r="P857" s="85">
        <v>1.7786561264822134</v>
      </c>
      <c r="Q857" s="11">
        <v>1800</v>
      </c>
      <c r="R857" s="85">
        <v>1.7786561264822134</v>
      </c>
      <c r="S857" s="29" t="s">
        <v>2719</v>
      </c>
      <c r="T857" s="29" t="s">
        <v>2798</v>
      </c>
    </row>
    <row r="858">
      <c r="B858" s="29" t="s">
        <v>1219</v>
      </c>
      <c r="C858" s="29" t="s">
        <v>1247</v>
      </c>
      <c r="D858" s="8" t="s">
        <v>1270</v>
      </c>
      <c r="E858" s="10" t="s">
        <v>2166</v>
      </c>
      <c r="F858" s="10"/>
      <c r="G858" s="10">
        <v>3</v>
      </c>
      <c r="H858" s="10">
        <v>1</v>
      </c>
      <c r="I858" s="10"/>
      <c r="J858" s="10">
        <v>1012</v>
      </c>
      <c r="K858" s="104">
        <v>45705</v>
      </c>
      <c r="L858" s="104">
        <v>45710</v>
      </c>
      <c r="M858" s="10" t="b">
        <v>0</v>
      </c>
      <c r="N858" s="10">
        <v>6</v>
      </c>
      <c r="O858" s="11">
        <v>1800</v>
      </c>
      <c r="P858" s="85">
        <v>1.7786561264822134</v>
      </c>
      <c r="Q858" s="11">
        <v>1800</v>
      </c>
      <c r="R858" s="85">
        <v>1.7786561264822134</v>
      </c>
      <c r="S858" s="29" t="s">
        <v>2719</v>
      </c>
      <c r="T858" s="29" t="s">
        <v>2798</v>
      </c>
    </row>
    <row r="859">
      <c r="B859" s="29" t="s">
        <v>1219</v>
      </c>
      <c r="C859" s="29" t="s">
        <v>1247</v>
      </c>
      <c r="D859" s="8" t="s">
        <v>1270</v>
      </c>
      <c r="E859" s="10" t="s">
        <v>2167</v>
      </c>
      <c r="F859" s="10">
        <v>2</v>
      </c>
      <c r="G859" s="10">
        <v>3</v>
      </c>
      <c r="H859" s="10">
        <v>1</v>
      </c>
      <c r="I859" s="10"/>
      <c r="J859" s="10">
        <v>1012</v>
      </c>
      <c r="K859" s="104">
        <v>45705</v>
      </c>
      <c r="L859" s="104">
        <v>45710</v>
      </c>
      <c r="M859" s="10" t="b">
        <v>0</v>
      </c>
      <c r="N859" s="10">
        <v>6</v>
      </c>
      <c r="O859" s="11">
        <v>1800</v>
      </c>
      <c r="P859" s="85">
        <v>1.7786561264822134</v>
      </c>
      <c r="Q859" s="11">
        <v>1800</v>
      </c>
      <c r="R859" s="85">
        <v>1.7786561264822134</v>
      </c>
      <c r="S859" s="29" t="s">
        <v>2719</v>
      </c>
      <c r="T859" s="29" t="s">
        <v>2798</v>
      </c>
    </row>
    <row r="860">
      <c r="B860" s="29" t="s">
        <v>1219</v>
      </c>
      <c r="C860" s="29" t="s">
        <v>1247</v>
      </c>
      <c r="D860" s="8" t="s">
        <v>1270</v>
      </c>
      <c r="E860" s="10" t="s">
        <v>2168</v>
      </c>
      <c r="F860" s="10"/>
      <c r="G860" s="10">
        <v>3</v>
      </c>
      <c r="H860" s="10">
        <v>1</v>
      </c>
      <c r="I860" s="10"/>
      <c r="J860" s="10">
        <v>1012</v>
      </c>
      <c r="K860" s="104">
        <v>45705</v>
      </c>
      <c r="L860" s="104">
        <v>45708</v>
      </c>
      <c r="M860" s="10" t="b">
        <v>0</v>
      </c>
      <c r="N860" s="10">
        <v>4</v>
      </c>
      <c r="O860" s="11">
        <v>1800</v>
      </c>
      <c r="P860" s="85">
        <v>1.7786561264822134</v>
      </c>
      <c r="Q860" s="11">
        <v>1800</v>
      </c>
      <c r="R860" s="85">
        <v>1.7786561264822134</v>
      </c>
      <c r="S860" s="29" t="s">
        <v>2719</v>
      </c>
      <c r="T860" s="29" t="s">
        <v>2798</v>
      </c>
    </row>
    <row r="861">
      <c r="B861" s="29" t="s">
        <v>1219</v>
      </c>
      <c r="C861" s="29" t="s">
        <v>1247</v>
      </c>
      <c r="D861" s="8" t="s">
        <v>1270</v>
      </c>
      <c r="E861" s="10" t="s">
        <v>2169</v>
      </c>
      <c r="F861" s="10"/>
      <c r="G861" s="10">
        <v>3</v>
      </c>
      <c r="H861" s="10">
        <v>1</v>
      </c>
      <c r="I861" s="10"/>
      <c r="J861" s="10">
        <v>1012</v>
      </c>
      <c r="K861" s="104">
        <v>45705</v>
      </c>
      <c r="L861" s="104">
        <v>45708</v>
      </c>
      <c r="M861" s="10" t="b">
        <v>0</v>
      </c>
      <c r="N861" s="10">
        <v>4</v>
      </c>
      <c r="O861" s="11">
        <v>1800</v>
      </c>
      <c r="P861" s="85">
        <v>1.7786561264822134</v>
      </c>
      <c r="Q861" s="11">
        <v>1800</v>
      </c>
      <c r="R861" s="85">
        <v>1.7786561264822134</v>
      </c>
      <c r="S861" s="29" t="s">
        <v>2719</v>
      </c>
      <c r="T861" s="29" t="s">
        <v>2798</v>
      </c>
    </row>
    <row r="862">
      <c r="B862" s="29" t="s">
        <v>1219</v>
      </c>
      <c r="C862" s="29" t="s">
        <v>1247</v>
      </c>
      <c r="D862" s="8" t="s">
        <v>1270</v>
      </c>
      <c r="E862" s="10" t="s">
        <v>2170</v>
      </c>
      <c r="F862" s="10"/>
      <c r="G862" s="10">
        <v>3</v>
      </c>
      <c r="H862" s="10">
        <v>1</v>
      </c>
      <c r="I862" s="10"/>
      <c r="J862" s="10">
        <v>1012</v>
      </c>
      <c r="K862" s="104">
        <v>45716</v>
      </c>
      <c r="L862" s="104">
        <v>45784</v>
      </c>
      <c r="M862" s="10" t="b">
        <v>0</v>
      </c>
      <c r="N862" s="10">
        <v>69</v>
      </c>
      <c r="O862" s="11">
        <v>1800</v>
      </c>
      <c r="P862" s="85">
        <v>1.7786561264822134</v>
      </c>
      <c r="Q862" s="11">
        <v>1800</v>
      </c>
      <c r="R862" s="85">
        <v>1.7786561264822134</v>
      </c>
      <c r="S862" s="29" t="s">
        <v>2719</v>
      </c>
      <c r="T862" s="29" t="s">
        <v>2798</v>
      </c>
    </row>
    <row r="863">
      <c r="B863" s="29" t="s">
        <v>1219</v>
      </c>
      <c r="C863" s="29" t="s">
        <v>1247</v>
      </c>
      <c r="D863" s="8" t="s">
        <v>1270</v>
      </c>
      <c r="E863" s="10" t="s">
        <v>2171</v>
      </c>
      <c r="F863" s="10">
        <v>2</v>
      </c>
      <c r="G863" s="10">
        <v>3</v>
      </c>
      <c r="H863" s="10">
        <v>1</v>
      </c>
      <c r="I863" s="10"/>
      <c r="J863" s="10">
        <v>1012</v>
      </c>
      <c r="K863" s="104">
        <v>45705</v>
      </c>
      <c r="L863" s="104"/>
      <c r="M863" s="10" t="b">
        <v>1</v>
      </c>
      <c r="N863" s="10"/>
      <c r="O863" s="11">
        <v>1800</v>
      </c>
      <c r="P863" s="85">
        <v>1.7786561264822134</v>
      </c>
      <c r="Q863" s="11">
        <v>1800</v>
      </c>
      <c r="R863" s="85">
        <v>1.7786561264822134</v>
      </c>
      <c r="S863" s="29" t="s">
        <v>2719</v>
      </c>
      <c r="T863" s="29" t="s">
        <v>2798</v>
      </c>
    </row>
    <row r="864">
      <c r="B864" s="29" t="s">
        <v>1219</v>
      </c>
      <c r="C864" s="29" t="s">
        <v>1247</v>
      </c>
      <c r="D864" s="8" t="s">
        <v>1270</v>
      </c>
      <c r="E864" s="10" t="s">
        <v>2172</v>
      </c>
      <c r="F864" s="10"/>
      <c r="G864" s="10">
        <v>3</v>
      </c>
      <c r="H864" s="10">
        <v>1</v>
      </c>
      <c r="I864" s="10"/>
      <c r="J864" s="10">
        <v>1012</v>
      </c>
      <c r="K864" s="104">
        <v>45705</v>
      </c>
      <c r="L864" s="104">
        <v>45708</v>
      </c>
      <c r="M864" s="10" t="b">
        <v>0</v>
      </c>
      <c r="N864" s="10">
        <v>4</v>
      </c>
      <c r="O864" s="11">
        <v>1800</v>
      </c>
      <c r="P864" s="85">
        <v>1.7786561264822134</v>
      </c>
      <c r="Q864" s="11">
        <v>1800</v>
      </c>
      <c r="R864" s="85">
        <v>1.7786561264822134</v>
      </c>
      <c r="S864" s="29" t="s">
        <v>2719</v>
      </c>
      <c r="T864" s="29" t="s">
        <v>2798</v>
      </c>
    </row>
    <row r="865">
      <c r="B865" s="29" t="s">
        <v>1219</v>
      </c>
      <c r="C865" s="29" t="s">
        <v>1247</v>
      </c>
      <c r="D865" s="8" t="s">
        <v>1270</v>
      </c>
      <c r="E865" s="10" t="s">
        <v>2173</v>
      </c>
      <c r="F865" s="10"/>
      <c r="G865" s="10">
        <v>3</v>
      </c>
      <c r="H865" s="10">
        <v>1</v>
      </c>
      <c r="I865" s="10"/>
      <c r="J865" s="10">
        <v>1012</v>
      </c>
      <c r="K865" s="104">
        <v>45705</v>
      </c>
      <c r="L865" s="104">
        <v>45708</v>
      </c>
      <c r="M865" s="10" t="b">
        <v>0</v>
      </c>
      <c r="N865" s="10">
        <v>4</v>
      </c>
      <c r="O865" s="11">
        <v>1800</v>
      </c>
      <c r="P865" s="85">
        <v>1.7786561264822134</v>
      </c>
      <c r="Q865" s="11">
        <v>1800</v>
      </c>
      <c r="R865" s="85">
        <v>1.7786561264822134</v>
      </c>
      <c r="S865" s="29" t="s">
        <v>2719</v>
      </c>
      <c r="T865" s="29" t="s">
        <v>2798</v>
      </c>
    </row>
    <row r="866">
      <c r="B866" s="29" t="s">
        <v>1219</v>
      </c>
      <c r="C866" s="29" t="s">
        <v>1247</v>
      </c>
      <c r="D866" s="8" t="s">
        <v>1270</v>
      </c>
      <c r="E866" s="10" t="s">
        <v>2174</v>
      </c>
      <c r="F866" s="10"/>
      <c r="G866" s="10">
        <v>3</v>
      </c>
      <c r="H866" s="10">
        <v>1</v>
      </c>
      <c r="I866" s="10"/>
      <c r="J866" s="10">
        <v>1012</v>
      </c>
      <c r="K866" s="104">
        <v>45705</v>
      </c>
      <c r="L866" s="104">
        <v>45708</v>
      </c>
      <c r="M866" s="10" t="b">
        <v>0</v>
      </c>
      <c r="N866" s="10">
        <v>4</v>
      </c>
      <c r="O866" s="11">
        <v>1800</v>
      </c>
      <c r="P866" s="85">
        <v>1.7786561264822134</v>
      </c>
      <c r="Q866" s="11">
        <v>1800</v>
      </c>
      <c r="R866" s="85">
        <v>1.7786561264822134</v>
      </c>
      <c r="S866" s="29" t="s">
        <v>2719</v>
      </c>
      <c r="T866" s="29" t="s">
        <v>2798</v>
      </c>
    </row>
    <row r="867">
      <c r="B867" s="29" t="s">
        <v>1219</v>
      </c>
      <c r="C867" s="29" t="s">
        <v>1247</v>
      </c>
      <c r="D867" s="8" t="s">
        <v>1270</v>
      </c>
      <c r="E867" s="10" t="s">
        <v>2175</v>
      </c>
      <c r="F867" s="10">
        <v>2</v>
      </c>
      <c r="G867" s="10">
        <v>3</v>
      </c>
      <c r="H867" s="10">
        <v>1</v>
      </c>
      <c r="I867" s="10"/>
      <c r="J867" s="10">
        <v>1012</v>
      </c>
      <c r="K867" s="104">
        <v>45705</v>
      </c>
      <c r="L867" s="104">
        <v>45710</v>
      </c>
      <c r="M867" s="10" t="b">
        <v>0</v>
      </c>
      <c r="N867" s="10">
        <v>6</v>
      </c>
      <c r="O867" s="11">
        <v>1800</v>
      </c>
      <c r="P867" s="85">
        <v>1.7786561264822134</v>
      </c>
      <c r="Q867" s="11">
        <v>1800</v>
      </c>
      <c r="R867" s="85">
        <v>1.7786561264822134</v>
      </c>
      <c r="S867" s="29" t="s">
        <v>2719</v>
      </c>
      <c r="T867" s="29" t="s">
        <v>2798</v>
      </c>
    </row>
    <row r="868">
      <c r="B868" s="29" t="s">
        <v>1219</v>
      </c>
      <c r="C868" s="29" t="s">
        <v>1247</v>
      </c>
      <c r="D868" s="8" t="s">
        <v>1270</v>
      </c>
      <c r="E868" s="10" t="s">
        <v>2176</v>
      </c>
      <c r="F868" s="10"/>
      <c r="G868" s="10">
        <v>3</v>
      </c>
      <c r="H868" s="10">
        <v>1</v>
      </c>
      <c r="I868" s="10"/>
      <c r="J868" s="10">
        <v>1012</v>
      </c>
      <c r="K868" s="104">
        <v>45714</v>
      </c>
      <c r="L868" s="104">
        <v>45776</v>
      </c>
      <c r="M868" s="10" t="b">
        <v>0</v>
      </c>
      <c r="N868" s="10">
        <v>63</v>
      </c>
      <c r="O868" s="11">
        <v>1800</v>
      </c>
      <c r="P868" s="85">
        <v>1.7786561264822134</v>
      </c>
      <c r="Q868" s="11">
        <v>1800</v>
      </c>
      <c r="R868" s="85">
        <v>1.7786561264822134</v>
      </c>
      <c r="S868" s="29" t="s">
        <v>2719</v>
      </c>
      <c r="T868" s="29" t="s">
        <v>2798</v>
      </c>
    </row>
    <row r="869">
      <c r="B869" s="29" t="s">
        <v>1219</v>
      </c>
      <c r="C869" s="29" t="s">
        <v>1247</v>
      </c>
      <c r="D869" s="8" t="s">
        <v>1270</v>
      </c>
      <c r="E869" s="10" t="s">
        <v>2177</v>
      </c>
      <c r="F869" s="10"/>
      <c r="G869" s="10">
        <v>3</v>
      </c>
      <c r="H869" s="10">
        <v>1</v>
      </c>
      <c r="I869" s="10"/>
      <c r="J869" s="10">
        <v>1012</v>
      </c>
      <c r="K869" s="104">
        <v>45705</v>
      </c>
      <c r="L869" s="104">
        <v>45710</v>
      </c>
      <c r="M869" s="10" t="b">
        <v>0</v>
      </c>
      <c r="N869" s="10">
        <v>6</v>
      </c>
      <c r="O869" s="11">
        <v>1800</v>
      </c>
      <c r="P869" s="85">
        <v>1.7786561264822134</v>
      </c>
      <c r="Q869" s="11">
        <v>1800</v>
      </c>
      <c r="R869" s="85">
        <v>1.7786561264822134</v>
      </c>
      <c r="S869" s="29" t="s">
        <v>2719</v>
      </c>
      <c r="T869" s="29" t="s">
        <v>2798</v>
      </c>
    </row>
    <row r="870">
      <c r="B870" s="29" t="s">
        <v>1219</v>
      </c>
      <c r="C870" s="29" t="s">
        <v>1247</v>
      </c>
      <c r="D870" s="8" t="s">
        <v>1270</v>
      </c>
      <c r="E870" s="10" t="s">
        <v>2178</v>
      </c>
      <c r="F870" s="10"/>
      <c r="G870" s="10">
        <v>3</v>
      </c>
      <c r="H870" s="10">
        <v>1</v>
      </c>
      <c r="I870" s="10"/>
      <c r="J870" s="10">
        <v>1012</v>
      </c>
      <c r="K870" s="104">
        <v>45705</v>
      </c>
      <c r="L870" s="104"/>
      <c r="M870" s="10" t="b">
        <v>1</v>
      </c>
      <c r="N870" s="10"/>
      <c r="O870" s="11">
        <v>1800</v>
      </c>
      <c r="P870" s="85">
        <v>1.7786561264822134</v>
      </c>
      <c r="Q870" s="11">
        <v>1800</v>
      </c>
      <c r="R870" s="85">
        <v>1.7786561264822134</v>
      </c>
      <c r="S870" s="29" t="s">
        <v>2719</v>
      </c>
      <c r="T870" s="29" t="s">
        <v>2798</v>
      </c>
    </row>
    <row r="871">
      <c r="B871" s="29" t="s">
        <v>1219</v>
      </c>
      <c r="C871" s="29" t="s">
        <v>1247</v>
      </c>
      <c r="D871" s="8" t="s">
        <v>1270</v>
      </c>
      <c r="E871" s="10" t="s">
        <v>2179</v>
      </c>
      <c r="F871" s="10"/>
      <c r="G871" s="10">
        <v>3</v>
      </c>
      <c r="H871" s="10">
        <v>1</v>
      </c>
      <c r="I871" s="10"/>
      <c r="J871" s="10">
        <v>1012</v>
      </c>
      <c r="K871" s="104">
        <v>45705</v>
      </c>
      <c r="L871" s="104">
        <v>45710</v>
      </c>
      <c r="M871" s="10" t="b">
        <v>0</v>
      </c>
      <c r="N871" s="10">
        <v>6</v>
      </c>
      <c r="O871" s="11">
        <v>1800</v>
      </c>
      <c r="P871" s="85">
        <v>1.7786561264822134</v>
      </c>
      <c r="Q871" s="11">
        <v>1800</v>
      </c>
      <c r="R871" s="85">
        <v>1.7786561264822134</v>
      </c>
      <c r="S871" s="29" t="s">
        <v>2719</v>
      </c>
      <c r="T871" s="29" t="s">
        <v>2798</v>
      </c>
    </row>
    <row r="872">
      <c r="B872" s="29" t="s">
        <v>1219</v>
      </c>
      <c r="C872" s="29" t="s">
        <v>1247</v>
      </c>
      <c r="D872" s="8" t="s">
        <v>1270</v>
      </c>
      <c r="E872" s="10" t="s">
        <v>2180</v>
      </c>
      <c r="F872" s="10"/>
      <c r="G872" s="10">
        <v>3</v>
      </c>
      <c r="H872" s="10">
        <v>1</v>
      </c>
      <c r="I872" s="10"/>
      <c r="J872" s="10">
        <v>1012</v>
      </c>
      <c r="K872" s="104">
        <v>45705</v>
      </c>
      <c r="L872" s="104">
        <v>45708</v>
      </c>
      <c r="M872" s="10" t="b">
        <v>0</v>
      </c>
      <c r="N872" s="10">
        <v>4</v>
      </c>
      <c r="O872" s="11">
        <v>1800</v>
      </c>
      <c r="P872" s="85">
        <v>1.7786561264822134</v>
      </c>
      <c r="Q872" s="11">
        <v>1800</v>
      </c>
      <c r="R872" s="85">
        <v>1.7786561264822134</v>
      </c>
      <c r="S872" s="29" t="s">
        <v>2719</v>
      </c>
      <c r="T872" s="29" t="s">
        <v>2798</v>
      </c>
    </row>
    <row r="873">
      <c r="B873" s="29" t="s">
        <v>1219</v>
      </c>
      <c r="C873" s="29" t="s">
        <v>1247</v>
      </c>
      <c r="D873" s="8" t="s">
        <v>1270</v>
      </c>
      <c r="E873" s="10" t="s">
        <v>2181</v>
      </c>
      <c r="F873" s="10">
        <v>2</v>
      </c>
      <c r="G873" s="10">
        <v>3</v>
      </c>
      <c r="H873" s="10">
        <v>1</v>
      </c>
      <c r="I873" s="10"/>
      <c r="J873" s="10">
        <v>1012</v>
      </c>
      <c r="K873" s="104">
        <v>45716</v>
      </c>
      <c r="L873" s="104">
        <v>45780</v>
      </c>
      <c r="M873" s="10" t="b">
        <v>0</v>
      </c>
      <c r="N873" s="10">
        <v>65</v>
      </c>
      <c r="O873" s="11">
        <v>1800</v>
      </c>
      <c r="P873" s="85">
        <v>1.7786561264822134</v>
      </c>
      <c r="Q873" s="11">
        <v>1800</v>
      </c>
      <c r="R873" s="85">
        <v>1.7786561264822134</v>
      </c>
      <c r="S873" s="29" t="s">
        <v>2719</v>
      </c>
      <c r="T873" s="29" t="s">
        <v>2798</v>
      </c>
    </row>
    <row r="874">
      <c r="B874" s="29" t="s">
        <v>1219</v>
      </c>
      <c r="C874" s="29" t="s">
        <v>1247</v>
      </c>
      <c r="D874" s="8" t="s">
        <v>1270</v>
      </c>
      <c r="E874" s="10" t="s">
        <v>2182</v>
      </c>
      <c r="F874" s="10"/>
      <c r="G874" s="10">
        <v>3</v>
      </c>
      <c r="H874" s="10">
        <v>1</v>
      </c>
      <c r="I874" s="10"/>
      <c r="J874" s="10">
        <v>1012</v>
      </c>
      <c r="K874" s="104">
        <v>45705</v>
      </c>
      <c r="L874" s="104">
        <v>45710</v>
      </c>
      <c r="M874" s="10" t="b">
        <v>0</v>
      </c>
      <c r="N874" s="10">
        <v>6</v>
      </c>
      <c r="O874" s="11">
        <v>1800</v>
      </c>
      <c r="P874" s="85">
        <v>1.7786561264822134</v>
      </c>
      <c r="Q874" s="11">
        <v>1800</v>
      </c>
      <c r="R874" s="85">
        <v>1.7786561264822134</v>
      </c>
      <c r="S874" s="29" t="s">
        <v>2719</v>
      </c>
      <c r="T874" s="29" t="s">
        <v>2798</v>
      </c>
    </row>
    <row r="875">
      <c r="B875" s="29" t="s">
        <v>1219</v>
      </c>
      <c r="C875" s="29" t="s">
        <v>1247</v>
      </c>
      <c r="D875" s="8" t="s">
        <v>1270</v>
      </c>
      <c r="E875" s="10" t="s">
        <v>2183</v>
      </c>
      <c r="F875" s="10">
        <v>2</v>
      </c>
      <c r="G875" s="10">
        <v>3</v>
      </c>
      <c r="H875" s="10">
        <v>1</v>
      </c>
      <c r="I875" s="10"/>
      <c r="J875" s="10">
        <v>1012</v>
      </c>
      <c r="K875" s="104">
        <v>45705</v>
      </c>
      <c r="L875" s="104">
        <v>45710</v>
      </c>
      <c r="M875" s="10" t="b">
        <v>0</v>
      </c>
      <c r="N875" s="10">
        <v>6</v>
      </c>
      <c r="O875" s="11">
        <v>1800</v>
      </c>
      <c r="P875" s="85">
        <v>1.7786561264822134</v>
      </c>
      <c r="Q875" s="11">
        <v>1800</v>
      </c>
      <c r="R875" s="85">
        <v>1.7786561264822134</v>
      </c>
      <c r="S875" s="29" t="s">
        <v>2719</v>
      </c>
      <c r="T875" s="29" t="s">
        <v>2798</v>
      </c>
    </row>
    <row r="876">
      <c r="B876" s="29" t="s">
        <v>1219</v>
      </c>
      <c r="C876" s="29" t="s">
        <v>1247</v>
      </c>
      <c r="D876" s="8" t="s">
        <v>1270</v>
      </c>
      <c r="E876" s="10" t="s">
        <v>2184</v>
      </c>
      <c r="F876" s="10"/>
      <c r="G876" s="10">
        <v>3</v>
      </c>
      <c r="H876" s="10">
        <v>1</v>
      </c>
      <c r="I876" s="10"/>
      <c r="J876" s="10">
        <v>1012</v>
      </c>
      <c r="K876" s="104">
        <v>45716</v>
      </c>
      <c r="L876" s="104">
        <v>45782</v>
      </c>
      <c r="M876" s="10" t="b">
        <v>0</v>
      </c>
      <c r="N876" s="10">
        <v>67</v>
      </c>
      <c r="O876" s="11">
        <v>1800</v>
      </c>
      <c r="P876" s="85">
        <v>1.7786561264822134</v>
      </c>
      <c r="Q876" s="11">
        <v>1800</v>
      </c>
      <c r="R876" s="85">
        <v>1.7786561264822134</v>
      </c>
      <c r="S876" s="29" t="s">
        <v>2719</v>
      </c>
      <c r="T876" s="29" t="s">
        <v>2798</v>
      </c>
    </row>
    <row r="877">
      <c r="B877" s="29" t="s">
        <v>1219</v>
      </c>
      <c r="C877" s="29" t="s">
        <v>1247</v>
      </c>
      <c r="D877" s="8" t="s">
        <v>1270</v>
      </c>
      <c r="E877" s="10" t="s">
        <v>2185</v>
      </c>
      <c r="F877" s="10"/>
      <c r="G877" s="10">
        <v>3</v>
      </c>
      <c r="H877" s="10">
        <v>1</v>
      </c>
      <c r="I877" s="10"/>
      <c r="J877" s="10">
        <v>1012</v>
      </c>
      <c r="K877" s="104">
        <v>45705</v>
      </c>
      <c r="L877" s="104">
        <v>45708</v>
      </c>
      <c r="M877" s="10" t="b">
        <v>0</v>
      </c>
      <c r="N877" s="10">
        <v>4</v>
      </c>
      <c r="O877" s="11">
        <v>1800</v>
      </c>
      <c r="P877" s="85">
        <v>1.7786561264822134</v>
      </c>
      <c r="Q877" s="11">
        <v>1800</v>
      </c>
      <c r="R877" s="85">
        <v>1.7786561264822134</v>
      </c>
      <c r="S877" s="29" t="s">
        <v>2719</v>
      </c>
      <c r="T877" s="29" t="s">
        <v>2798</v>
      </c>
    </row>
    <row r="878">
      <c r="B878" s="29" t="s">
        <v>1219</v>
      </c>
      <c r="C878" s="29" t="s">
        <v>1247</v>
      </c>
      <c r="D878" s="8" t="s">
        <v>1270</v>
      </c>
      <c r="E878" s="10" t="s">
        <v>2186</v>
      </c>
      <c r="F878" s="10"/>
      <c r="G878" s="10">
        <v>3</v>
      </c>
      <c r="H878" s="10">
        <v>1</v>
      </c>
      <c r="I878" s="10"/>
      <c r="J878" s="10">
        <v>1012</v>
      </c>
      <c r="K878" s="104">
        <v>45705</v>
      </c>
      <c r="L878" s="104">
        <v>45708</v>
      </c>
      <c r="M878" s="10" t="b">
        <v>0</v>
      </c>
      <c r="N878" s="10">
        <v>4</v>
      </c>
      <c r="O878" s="11">
        <v>1800</v>
      </c>
      <c r="P878" s="85">
        <v>1.7786561264822134</v>
      </c>
      <c r="Q878" s="11">
        <v>1800</v>
      </c>
      <c r="R878" s="85">
        <v>1.7786561264822134</v>
      </c>
      <c r="S878" s="29" t="s">
        <v>2719</v>
      </c>
      <c r="T878" s="29" t="s">
        <v>2798</v>
      </c>
    </row>
    <row r="879">
      <c r="B879" s="29" t="s">
        <v>1219</v>
      </c>
      <c r="C879" s="29" t="s">
        <v>1247</v>
      </c>
      <c r="D879" s="8" t="s">
        <v>1270</v>
      </c>
      <c r="E879" s="10" t="s">
        <v>2187</v>
      </c>
      <c r="F879" s="10"/>
      <c r="G879" s="10">
        <v>3</v>
      </c>
      <c r="H879" s="10">
        <v>1</v>
      </c>
      <c r="I879" s="10"/>
      <c r="J879" s="10">
        <v>1012</v>
      </c>
      <c r="K879" s="104">
        <v>45705</v>
      </c>
      <c r="L879" s="104">
        <v>45708</v>
      </c>
      <c r="M879" s="10" t="b">
        <v>0</v>
      </c>
      <c r="N879" s="10">
        <v>4</v>
      </c>
      <c r="O879" s="11">
        <v>1800</v>
      </c>
      <c r="P879" s="85">
        <v>1.7786561264822134</v>
      </c>
      <c r="Q879" s="11">
        <v>1800</v>
      </c>
      <c r="R879" s="85">
        <v>1.7786561264822134</v>
      </c>
      <c r="S879" s="29" t="s">
        <v>2719</v>
      </c>
      <c r="T879" s="29" t="s">
        <v>2798</v>
      </c>
    </row>
    <row r="880">
      <c r="B880" s="29" t="s">
        <v>1219</v>
      </c>
      <c r="C880" s="29" t="s">
        <v>1247</v>
      </c>
      <c r="D880" s="8" t="s">
        <v>1270</v>
      </c>
      <c r="E880" s="10" t="s">
        <v>2188</v>
      </c>
      <c r="F880" s="10">
        <v>2</v>
      </c>
      <c r="G880" s="10">
        <v>3</v>
      </c>
      <c r="H880" s="10">
        <v>1</v>
      </c>
      <c r="I880" s="10"/>
      <c r="J880" s="10">
        <v>1012</v>
      </c>
      <c r="K880" s="104">
        <v>45705</v>
      </c>
      <c r="L880" s="104">
        <v>45783</v>
      </c>
      <c r="M880" s="10" t="b">
        <v>0</v>
      </c>
      <c r="N880" s="10">
        <v>79</v>
      </c>
      <c r="O880" s="11">
        <v>1800</v>
      </c>
      <c r="P880" s="85">
        <v>1.7786561264822134</v>
      </c>
      <c r="Q880" s="11">
        <v>1800</v>
      </c>
      <c r="R880" s="85">
        <v>1.7786561264822134</v>
      </c>
      <c r="S880" s="29" t="s">
        <v>2719</v>
      </c>
      <c r="T880" s="29" t="s">
        <v>2798</v>
      </c>
    </row>
    <row r="881">
      <c r="B881" s="29" t="s">
        <v>1219</v>
      </c>
      <c r="C881" s="29" t="s">
        <v>1247</v>
      </c>
      <c r="D881" s="8" t="s">
        <v>1270</v>
      </c>
      <c r="E881" s="10" t="s">
        <v>2189</v>
      </c>
      <c r="F881" s="10"/>
      <c r="G881" s="10">
        <v>3</v>
      </c>
      <c r="H881" s="10">
        <v>1</v>
      </c>
      <c r="I881" s="10"/>
      <c r="J881" s="10">
        <v>1012</v>
      </c>
      <c r="K881" s="104">
        <v>45705</v>
      </c>
      <c r="L881" s="104">
        <v>45710</v>
      </c>
      <c r="M881" s="10" t="b">
        <v>0</v>
      </c>
      <c r="N881" s="10">
        <v>6</v>
      </c>
      <c r="O881" s="11">
        <v>1800</v>
      </c>
      <c r="P881" s="85">
        <v>1.7786561264822134</v>
      </c>
      <c r="Q881" s="11">
        <v>1800</v>
      </c>
      <c r="R881" s="85">
        <v>1.7786561264822134</v>
      </c>
      <c r="S881" s="29" t="s">
        <v>2719</v>
      </c>
      <c r="T881" s="29" t="s">
        <v>2798</v>
      </c>
    </row>
    <row r="882">
      <c r="B882" s="29" t="s">
        <v>1219</v>
      </c>
      <c r="C882" s="29" t="s">
        <v>1247</v>
      </c>
      <c r="D882" s="8" t="s">
        <v>1270</v>
      </c>
      <c r="E882" s="10" t="s">
        <v>2190</v>
      </c>
      <c r="F882" s="10">
        <v>2</v>
      </c>
      <c r="G882" s="10">
        <v>3</v>
      </c>
      <c r="H882" s="10">
        <v>1</v>
      </c>
      <c r="I882" s="10"/>
      <c r="J882" s="10">
        <v>1012</v>
      </c>
      <c r="K882" s="104">
        <v>45705</v>
      </c>
      <c r="L882" s="104">
        <v>45710</v>
      </c>
      <c r="M882" s="10" t="b">
        <v>0</v>
      </c>
      <c r="N882" s="10">
        <v>6</v>
      </c>
      <c r="O882" s="11">
        <v>1800</v>
      </c>
      <c r="P882" s="85">
        <v>1.7786561264822134</v>
      </c>
      <c r="Q882" s="11">
        <v>1800</v>
      </c>
      <c r="R882" s="85">
        <v>1.7786561264822134</v>
      </c>
      <c r="S882" s="29" t="s">
        <v>2719</v>
      </c>
      <c r="T882" s="29" t="s">
        <v>2798</v>
      </c>
    </row>
    <row r="883">
      <c r="B883" s="29" t="s">
        <v>1219</v>
      </c>
      <c r="C883" s="29" t="s">
        <v>1247</v>
      </c>
      <c r="D883" s="8" t="s">
        <v>1270</v>
      </c>
      <c r="E883" s="10" t="s">
        <v>2191</v>
      </c>
      <c r="F883" s="10"/>
      <c r="G883" s="10">
        <v>3</v>
      </c>
      <c r="H883" s="10">
        <v>1</v>
      </c>
      <c r="I883" s="10"/>
      <c r="J883" s="10">
        <v>1012</v>
      </c>
      <c r="K883" s="104">
        <v>45705</v>
      </c>
      <c r="L883" s="104">
        <v>45710</v>
      </c>
      <c r="M883" s="10" t="b">
        <v>0</v>
      </c>
      <c r="N883" s="10">
        <v>6</v>
      </c>
      <c r="O883" s="11">
        <v>1800</v>
      </c>
      <c r="P883" s="85">
        <v>1.7786561264822134</v>
      </c>
      <c r="Q883" s="11">
        <v>1800</v>
      </c>
      <c r="R883" s="85">
        <v>1.7786561264822134</v>
      </c>
      <c r="S883" s="29" t="s">
        <v>2719</v>
      </c>
      <c r="T883" s="29" t="s">
        <v>2798</v>
      </c>
    </row>
    <row r="884">
      <c r="B884" s="29" t="s">
        <v>1219</v>
      </c>
      <c r="C884" s="29" t="s">
        <v>1247</v>
      </c>
      <c r="D884" s="8" t="s">
        <v>1270</v>
      </c>
      <c r="E884" s="10" t="s">
        <v>2192</v>
      </c>
      <c r="F884" s="10"/>
      <c r="G884" s="10">
        <v>3</v>
      </c>
      <c r="H884" s="10">
        <v>1</v>
      </c>
      <c r="I884" s="10"/>
      <c r="J884" s="10">
        <v>1012</v>
      </c>
      <c r="K884" s="104">
        <v>45705</v>
      </c>
      <c r="L884" s="104">
        <v>45710</v>
      </c>
      <c r="M884" s="10" t="b">
        <v>0</v>
      </c>
      <c r="N884" s="10">
        <v>6</v>
      </c>
      <c r="O884" s="11">
        <v>1800</v>
      </c>
      <c r="P884" s="85">
        <v>1.7786561264822134</v>
      </c>
      <c r="Q884" s="11">
        <v>1800</v>
      </c>
      <c r="R884" s="85">
        <v>1.7786561264822134</v>
      </c>
      <c r="S884" s="29" t="s">
        <v>2719</v>
      </c>
      <c r="T884" s="29" t="s">
        <v>2798</v>
      </c>
    </row>
    <row r="885">
      <c r="B885" s="29" t="s">
        <v>1219</v>
      </c>
      <c r="C885" s="29" t="s">
        <v>1247</v>
      </c>
      <c r="D885" s="8" t="s">
        <v>1270</v>
      </c>
      <c r="E885" s="10" t="s">
        <v>2193</v>
      </c>
      <c r="F885" s="10"/>
      <c r="G885" s="10">
        <v>3</v>
      </c>
      <c r="H885" s="10">
        <v>1</v>
      </c>
      <c r="I885" s="10"/>
      <c r="J885" s="10">
        <v>1012</v>
      </c>
      <c r="K885" s="104">
        <v>45705</v>
      </c>
      <c r="L885" s="104">
        <v>45708</v>
      </c>
      <c r="M885" s="10" t="b">
        <v>0</v>
      </c>
      <c r="N885" s="10">
        <v>4</v>
      </c>
      <c r="O885" s="11">
        <v>1800</v>
      </c>
      <c r="P885" s="85">
        <v>1.7786561264822134</v>
      </c>
      <c r="Q885" s="11">
        <v>1800</v>
      </c>
      <c r="R885" s="85">
        <v>1.7786561264822134</v>
      </c>
      <c r="S885" s="29" t="s">
        <v>2719</v>
      </c>
      <c r="T885" s="29" t="s">
        <v>2798</v>
      </c>
    </row>
    <row r="886">
      <c r="B886" s="29" t="s">
        <v>1219</v>
      </c>
      <c r="C886" s="29" t="s">
        <v>1247</v>
      </c>
      <c r="D886" s="8" t="s">
        <v>1270</v>
      </c>
      <c r="E886" s="10" t="s">
        <v>2194</v>
      </c>
      <c r="F886" s="10">
        <v>2</v>
      </c>
      <c r="G886" s="10">
        <v>3</v>
      </c>
      <c r="H886" s="10">
        <v>1</v>
      </c>
      <c r="I886" s="10"/>
      <c r="J886" s="10">
        <v>1012</v>
      </c>
      <c r="K886" s="104">
        <v>45705</v>
      </c>
      <c r="L886" s="104">
        <v>45710</v>
      </c>
      <c r="M886" s="10" t="b">
        <v>0</v>
      </c>
      <c r="N886" s="10">
        <v>6</v>
      </c>
      <c r="O886" s="11">
        <v>1800</v>
      </c>
      <c r="P886" s="85">
        <v>1.7786561264822134</v>
      </c>
      <c r="Q886" s="11">
        <v>1800</v>
      </c>
      <c r="R886" s="85">
        <v>1.7786561264822134</v>
      </c>
      <c r="S886" s="29" t="s">
        <v>2719</v>
      </c>
      <c r="T886" s="29" t="s">
        <v>2798</v>
      </c>
    </row>
    <row r="887">
      <c r="B887" s="29" t="s">
        <v>1219</v>
      </c>
      <c r="C887" s="29" t="s">
        <v>1247</v>
      </c>
      <c r="D887" s="8" t="s">
        <v>1270</v>
      </c>
      <c r="E887" s="10" t="s">
        <v>2195</v>
      </c>
      <c r="F887" s="10"/>
      <c r="G887" s="10">
        <v>3</v>
      </c>
      <c r="H887" s="10">
        <v>1</v>
      </c>
      <c r="I887" s="10"/>
      <c r="J887" s="10">
        <v>1012</v>
      </c>
      <c r="K887" s="104">
        <v>45705</v>
      </c>
      <c r="L887" s="104">
        <v>45710</v>
      </c>
      <c r="M887" s="10" t="b">
        <v>0</v>
      </c>
      <c r="N887" s="10">
        <v>6</v>
      </c>
      <c r="O887" s="11">
        <v>1800</v>
      </c>
      <c r="P887" s="85">
        <v>1.7786561264822134</v>
      </c>
      <c r="Q887" s="11">
        <v>1800</v>
      </c>
      <c r="R887" s="85">
        <v>1.7786561264822134</v>
      </c>
      <c r="S887" s="29" t="s">
        <v>2719</v>
      </c>
      <c r="T887" s="29" t="s">
        <v>2798</v>
      </c>
    </row>
    <row r="888">
      <c r="B888" s="29" t="s">
        <v>1219</v>
      </c>
      <c r="C888" s="29" t="s">
        <v>1247</v>
      </c>
      <c r="D888" s="8" t="s">
        <v>1270</v>
      </c>
      <c r="E888" s="10" t="s">
        <v>2196</v>
      </c>
      <c r="F888" s="10">
        <v>2</v>
      </c>
      <c r="G888" s="10">
        <v>3</v>
      </c>
      <c r="H888" s="10">
        <v>1</v>
      </c>
      <c r="I888" s="10"/>
      <c r="J888" s="10">
        <v>1012</v>
      </c>
      <c r="K888" s="104">
        <v>45705</v>
      </c>
      <c r="L888" s="104">
        <v>45710</v>
      </c>
      <c r="M888" s="10" t="b">
        <v>0</v>
      </c>
      <c r="N888" s="10">
        <v>6</v>
      </c>
      <c r="O888" s="11">
        <v>1800</v>
      </c>
      <c r="P888" s="85">
        <v>1.7786561264822134</v>
      </c>
      <c r="Q888" s="11">
        <v>1800</v>
      </c>
      <c r="R888" s="85">
        <v>1.7786561264822134</v>
      </c>
      <c r="S888" s="29" t="s">
        <v>2719</v>
      </c>
      <c r="T888" s="29" t="s">
        <v>2798</v>
      </c>
    </row>
    <row r="889">
      <c r="B889" s="29" t="s">
        <v>1219</v>
      </c>
      <c r="C889" s="29" t="s">
        <v>1247</v>
      </c>
      <c r="D889" s="8" t="s">
        <v>1270</v>
      </c>
      <c r="E889" s="10" t="s">
        <v>2197</v>
      </c>
      <c r="F889" s="10"/>
      <c r="G889" s="10">
        <v>3</v>
      </c>
      <c r="H889" s="10">
        <v>1</v>
      </c>
      <c r="I889" s="10"/>
      <c r="J889" s="10">
        <v>1012</v>
      </c>
      <c r="K889" s="104">
        <v>45716</v>
      </c>
      <c r="L889" s="104">
        <v>45720</v>
      </c>
      <c r="M889" s="10" t="b">
        <v>0</v>
      </c>
      <c r="N889" s="10">
        <v>5</v>
      </c>
      <c r="O889" s="11">
        <v>1800</v>
      </c>
      <c r="P889" s="85">
        <v>1.7786561264822134</v>
      </c>
      <c r="Q889" s="11">
        <v>1800</v>
      </c>
      <c r="R889" s="85">
        <v>1.7786561264822134</v>
      </c>
      <c r="S889" s="29" t="s">
        <v>2719</v>
      </c>
      <c r="T889" s="29" t="s">
        <v>2798</v>
      </c>
    </row>
    <row r="890">
      <c r="B890" s="29" t="s">
        <v>1219</v>
      </c>
      <c r="C890" s="29" t="s">
        <v>1247</v>
      </c>
      <c r="D890" s="8" t="s">
        <v>1270</v>
      </c>
      <c r="E890" s="10" t="s">
        <v>2198</v>
      </c>
      <c r="F890" s="10"/>
      <c r="G890" s="10">
        <v>3</v>
      </c>
      <c r="H890" s="10">
        <v>1</v>
      </c>
      <c r="I890" s="10"/>
      <c r="J890" s="10">
        <v>1012</v>
      </c>
      <c r="K890" s="104">
        <v>45716</v>
      </c>
      <c r="L890" s="104">
        <v>45720</v>
      </c>
      <c r="M890" s="10" t="b">
        <v>0</v>
      </c>
      <c r="N890" s="10">
        <v>5</v>
      </c>
      <c r="O890" s="11">
        <v>1800</v>
      </c>
      <c r="P890" s="85">
        <v>1.7786561264822134</v>
      </c>
      <c r="Q890" s="11">
        <v>1800</v>
      </c>
      <c r="R890" s="85">
        <v>1.7786561264822134</v>
      </c>
      <c r="S890" s="29" t="s">
        <v>2719</v>
      </c>
      <c r="T890" s="29" t="s">
        <v>2798</v>
      </c>
    </row>
    <row r="891">
      <c r="B891" s="29" t="s">
        <v>1219</v>
      </c>
      <c r="C891" s="29" t="s">
        <v>1247</v>
      </c>
      <c r="D891" s="8" t="s">
        <v>1270</v>
      </c>
      <c r="E891" s="10" t="s">
        <v>2199</v>
      </c>
      <c r="F891" s="10"/>
      <c r="G891" s="10">
        <v>3</v>
      </c>
      <c r="H891" s="10">
        <v>1</v>
      </c>
      <c r="I891" s="10"/>
      <c r="J891" s="10">
        <v>1012</v>
      </c>
      <c r="K891" s="104">
        <v>45705</v>
      </c>
      <c r="L891" s="104">
        <v>45710</v>
      </c>
      <c r="M891" s="10" t="b">
        <v>0</v>
      </c>
      <c r="N891" s="10">
        <v>6</v>
      </c>
      <c r="O891" s="11">
        <v>1800</v>
      </c>
      <c r="P891" s="85">
        <v>1.7786561264822134</v>
      </c>
      <c r="Q891" s="11">
        <v>1800</v>
      </c>
      <c r="R891" s="85">
        <v>1.7786561264822134</v>
      </c>
      <c r="S891" s="29" t="s">
        <v>2719</v>
      </c>
      <c r="T891" s="29" t="s">
        <v>2798</v>
      </c>
    </row>
    <row r="892">
      <c r="B892" s="29" t="s">
        <v>1219</v>
      </c>
      <c r="C892" s="29" t="s">
        <v>1247</v>
      </c>
      <c r="D892" s="8" t="s">
        <v>1270</v>
      </c>
      <c r="E892" s="10" t="s">
        <v>2200</v>
      </c>
      <c r="F892" s="10"/>
      <c r="G892" s="10">
        <v>3</v>
      </c>
      <c r="H892" s="10">
        <v>1</v>
      </c>
      <c r="I892" s="10"/>
      <c r="J892" s="10">
        <v>1012</v>
      </c>
      <c r="K892" s="104">
        <v>45705</v>
      </c>
      <c r="L892" s="104">
        <v>45710</v>
      </c>
      <c r="M892" s="10" t="b">
        <v>0</v>
      </c>
      <c r="N892" s="10">
        <v>6</v>
      </c>
      <c r="O892" s="11">
        <v>1800</v>
      </c>
      <c r="P892" s="85">
        <v>1.7786561264822134</v>
      </c>
      <c r="Q892" s="11">
        <v>1800</v>
      </c>
      <c r="R892" s="85">
        <v>1.7786561264822134</v>
      </c>
      <c r="S892" s="29" t="s">
        <v>2719</v>
      </c>
      <c r="T892" s="29" t="s">
        <v>2798</v>
      </c>
    </row>
    <row r="893">
      <c r="B893" s="29" t="s">
        <v>1219</v>
      </c>
      <c r="C893" s="29" t="s">
        <v>1247</v>
      </c>
      <c r="D893" s="8" t="s">
        <v>1270</v>
      </c>
      <c r="E893" s="10" t="s">
        <v>2201</v>
      </c>
      <c r="F893" s="10">
        <v>2</v>
      </c>
      <c r="G893" s="10">
        <v>3</v>
      </c>
      <c r="H893" s="10">
        <v>1</v>
      </c>
      <c r="I893" s="10"/>
      <c r="J893" s="10">
        <v>1012</v>
      </c>
      <c r="K893" s="104">
        <v>45705</v>
      </c>
      <c r="L893" s="104">
        <v>45710</v>
      </c>
      <c r="M893" s="10" t="b">
        <v>0</v>
      </c>
      <c r="N893" s="10">
        <v>6</v>
      </c>
      <c r="O893" s="11">
        <v>1800</v>
      </c>
      <c r="P893" s="85">
        <v>1.7786561264822134</v>
      </c>
      <c r="Q893" s="11">
        <v>1800</v>
      </c>
      <c r="R893" s="85">
        <v>1.7786561264822134</v>
      </c>
      <c r="S893" s="29" t="s">
        <v>2719</v>
      </c>
      <c r="T893" s="29" t="s">
        <v>2798</v>
      </c>
    </row>
    <row r="894">
      <c r="B894" s="29" t="s">
        <v>1219</v>
      </c>
      <c r="C894" s="29" t="s">
        <v>1247</v>
      </c>
      <c r="D894" s="8" t="s">
        <v>1270</v>
      </c>
      <c r="E894" s="10" t="s">
        <v>2202</v>
      </c>
      <c r="F894" s="10"/>
      <c r="G894" s="10">
        <v>3</v>
      </c>
      <c r="H894" s="10">
        <v>1</v>
      </c>
      <c r="I894" s="10"/>
      <c r="J894" s="10">
        <v>1012</v>
      </c>
      <c r="K894" s="104">
        <v>45716</v>
      </c>
      <c r="L894" s="104">
        <v>45747</v>
      </c>
      <c r="M894" s="10" t="b">
        <v>0</v>
      </c>
      <c r="N894" s="10">
        <v>32</v>
      </c>
      <c r="O894" s="11">
        <v>1800</v>
      </c>
      <c r="P894" s="85">
        <v>1.7786561264822134</v>
      </c>
      <c r="Q894" s="11">
        <v>1800</v>
      </c>
      <c r="R894" s="85">
        <v>1.7786561264822134</v>
      </c>
      <c r="S894" s="29" t="s">
        <v>2719</v>
      </c>
      <c r="T894" s="29" t="s">
        <v>2798</v>
      </c>
    </row>
    <row r="895">
      <c r="B895" s="29" t="s">
        <v>1219</v>
      </c>
      <c r="C895" s="29" t="s">
        <v>1247</v>
      </c>
      <c r="D895" s="8" t="s">
        <v>1270</v>
      </c>
      <c r="E895" s="10" t="s">
        <v>2203</v>
      </c>
      <c r="F895" s="10">
        <v>2</v>
      </c>
      <c r="G895" s="10">
        <v>3</v>
      </c>
      <c r="H895" s="10">
        <v>1</v>
      </c>
      <c r="I895" s="10"/>
      <c r="J895" s="10">
        <v>1012</v>
      </c>
      <c r="K895" s="104">
        <v>45705</v>
      </c>
      <c r="L895" s="104">
        <v>45710</v>
      </c>
      <c r="M895" s="10" t="b">
        <v>0</v>
      </c>
      <c r="N895" s="10">
        <v>6</v>
      </c>
      <c r="O895" s="11">
        <v>1800</v>
      </c>
      <c r="P895" s="85">
        <v>1.7786561264822134</v>
      </c>
      <c r="Q895" s="11">
        <v>1800</v>
      </c>
      <c r="R895" s="85">
        <v>1.7786561264822134</v>
      </c>
      <c r="S895" s="29" t="s">
        <v>2719</v>
      </c>
      <c r="T895" s="29" t="s">
        <v>2798</v>
      </c>
    </row>
    <row r="896">
      <c r="B896" s="29" t="s">
        <v>1219</v>
      </c>
      <c r="C896" s="29" t="s">
        <v>1247</v>
      </c>
      <c r="D896" s="8" t="s">
        <v>1270</v>
      </c>
      <c r="E896" s="10" t="s">
        <v>2204</v>
      </c>
      <c r="F896" s="10"/>
      <c r="G896" s="10">
        <v>3</v>
      </c>
      <c r="H896" s="10">
        <v>1</v>
      </c>
      <c r="I896" s="10"/>
      <c r="J896" s="10">
        <v>1012</v>
      </c>
      <c r="K896" s="104">
        <v>45707</v>
      </c>
      <c r="L896" s="104">
        <v>45710</v>
      </c>
      <c r="M896" s="10" t="b">
        <v>0</v>
      </c>
      <c r="N896" s="10">
        <v>4</v>
      </c>
      <c r="O896" s="11">
        <v>1800</v>
      </c>
      <c r="P896" s="85">
        <v>1.7786561264822134</v>
      </c>
      <c r="Q896" s="11">
        <v>1800</v>
      </c>
      <c r="R896" s="85">
        <v>1.7786561264822134</v>
      </c>
      <c r="S896" s="29" t="s">
        <v>2719</v>
      </c>
      <c r="T896" s="29" t="s">
        <v>2798</v>
      </c>
    </row>
    <row r="897">
      <c r="B897" s="29" t="s">
        <v>1219</v>
      </c>
      <c r="C897" s="29" t="s">
        <v>1247</v>
      </c>
      <c r="D897" s="8" t="s">
        <v>1270</v>
      </c>
      <c r="E897" s="10" t="s">
        <v>2205</v>
      </c>
      <c r="F897" s="10"/>
      <c r="G897" s="10">
        <v>3</v>
      </c>
      <c r="H897" s="10">
        <v>1</v>
      </c>
      <c r="I897" s="10"/>
      <c r="J897" s="10">
        <v>1012</v>
      </c>
      <c r="K897" s="104">
        <v>45705</v>
      </c>
      <c r="L897" s="104">
        <v>45708</v>
      </c>
      <c r="M897" s="10" t="b">
        <v>0</v>
      </c>
      <c r="N897" s="10">
        <v>4</v>
      </c>
      <c r="O897" s="11">
        <v>1800</v>
      </c>
      <c r="P897" s="85">
        <v>1.7786561264822134</v>
      </c>
      <c r="Q897" s="11">
        <v>1800</v>
      </c>
      <c r="R897" s="85">
        <v>1.7786561264822134</v>
      </c>
      <c r="S897" s="29" t="s">
        <v>2719</v>
      </c>
      <c r="T897" s="29" t="s">
        <v>2798</v>
      </c>
    </row>
    <row r="898">
      <c r="B898" s="29" t="s">
        <v>1219</v>
      </c>
      <c r="C898" s="29" t="s">
        <v>1247</v>
      </c>
      <c r="D898" s="8" t="s">
        <v>1270</v>
      </c>
      <c r="E898" s="10" t="s">
        <v>2206</v>
      </c>
      <c r="F898" s="10"/>
      <c r="G898" s="10">
        <v>3</v>
      </c>
      <c r="H898" s="10">
        <v>1</v>
      </c>
      <c r="I898" s="10"/>
      <c r="J898" s="10">
        <v>1012</v>
      </c>
      <c r="K898" s="104">
        <v>45707</v>
      </c>
      <c r="L898" s="104">
        <v>45710</v>
      </c>
      <c r="M898" s="10" t="b">
        <v>0</v>
      </c>
      <c r="N898" s="10">
        <v>4</v>
      </c>
      <c r="O898" s="11">
        <v>1800</v>
      </c>
      <c r="P898" s="85">
        <v>1.7786561264822134</v>
      </c>
      <c r="Q898" s="11">
        <v>1800</v>
      </c>
      <c r="R898" s="85">
        <v>1.7786561264822134</v>
      </c>
      <c r="S898" s="29" t="s">
        <v>2719</v>
      </c>
      <c r="T898" s="29" t="s">
        <v>2798</v>
      </c>
    </row>
    <row r="899">
      <c r="B899" s="29" t="s">
        <v>1219</v>
      </c>
      <c r="C899" s="29" t="s">
        <v>1247</v>
      </c>
      <c r="D899" s="8" t="s">
        <v>1270</v>
      </c>
      <c r="E899" s="10" t="s">
        <v>2207</v>
      </c>
      <c r="F899" s="10"/>
      <c r="G899" s="10">
        <v>3</v>
      </c>
      <c r="H899" s="10">
        <v>1</v>
      </c>
      <c r="I899" s="10"/>
      <c r="J899" s="10">
        <v>1012</v>
      </c>
      <c r="K899" s="104">
        <v>45707</v>
      </c>
      <c r="L899" s="104">
        <v>45710</v>
      </c>
      <c r="M899" s="10" t="b">
        <v>0</v>
      </c>
      <c r="N899" s="10">
        <v>4</v>
      </c>
      <c r="O899" s="11">
        <v>1800</v>
      </c>
      <c r="P899" s="85">
        <v>1.7786561264822134</v>
      </c>
      <c r="Q899" s="11">
        <v>1800</v>
      </c>
      <c r="R899" s="85">
        <v>1.7786561264822134</v>
      </c>
      <c r="S899" s="29" t="s">
        <v>2719</v>
      </c>
      <c r="T899" s="29" t="s">
        <v>2798</v>
      </c>
    </row>
    <row r="900">
      <c r="B900" s="29" t="s">
        <v>1219</v>
      </c>
      <c r="C900" s="29" t="s">
        <v>1247</v>
      </c>
      <c r="D900" s="8" t="s">
        <v>1270</v>
      </c>
      <c r="E900" s="10" t="s">
        <v>2208</v>
      </c>
      <c r="F900" s="10"/>
      <c r="G900" s="10">
        <v>3</v>
      </c>
      <c r="H900" s="10">
        <v>1</v>
      </c>
      <c r="I900" s="10"/>
      <c r="J900" s="10">
        <v>1012</v>
      </c>
      <c r="K900" s="104">
        <v>45705</v>
      </c>
      <c r="L900" s="104">
        <v>45710</v>
      </c>
      <c r="M900" s="10" t="b">
        <v>0</v>
      </c>
      <c r="N900" s="10">
        <v>6</v>
      </c>
      <c r="O900" s="11">
        <v>1800</v>
      </c>
      <c r="P900" s="85">
        <v>1.7786561264822134</v>
      </c>
      <c r="Q900" s="11">
        <v>1800</v>
      </c>
      <c r="R900" s="85">
        <v>1.7786561264822134</v>
      </c>
      <c r="S900" s="29" t="s">
        <v>2719</v>
      </c>
      <c r="T900" s="29" t="s">
        <v>2798</v>
      </c>
    </row>
    <row r="901">
      <c r="B901" s="29" t="s">
        <v>1219</v>
      </c>
      <c r="C901" s="29" t="s">
        <v>1247</v>
      </c>
      <c r="D901" s="8" t="s">
        <v>1270</v>
      </c>
      <c r="E901" s="10" t="s">
        <v>2209</v>
      </c>
      <c r="F901" s="10">
        <v>2</v>
      </c>
      <c r="G901" s="10">
        <v>3</v>
      </c>
      <c r="H901" s="10">
        <v>1</v>
      </c>
      <c r="I901" s="10"/>
      <c r="J901" s="10">
        <v>1012</v>
      </c>
      <c r="K901" s="104">
        <v>45707</v>
      </c>
      <c r="L901" s="104">
        <v>45710</v>
      </c>
      <c r="M901" s="10" t="b">
        <v>0</v>
      </c>
      <c r="N901" s="10">
        <v>4</v>
      </c>
      <c r="O901" s="11">
        <v>1800</v>
      </c>
      <c r="P901" s="85">
        <v>1.7786561264822134</v>
      </c>
      <c r="Q901" s="11">
        <v>1800</v>
      </c>
      <c r="R901" s="85">
        <v>1.7786561264822134</v>
      </c>
      <c r="S901" s="29" t="s">
        <v>2719</v>
      </c>
      <c r="T901" s="29" t="s">
        <v>2798</v>
      </c>
    </row>
    <row r="902">
      <c r="B902" s="29" t="s">
        <v>1219</v>
      </c>
      <c r="C902" s="29" t="s">
        <v>1247</v>
      </c>
      <c r="D902" s="8" t="s">
        <v>1270</v>
      </c>
      <c r="E902" s="10" t="s">
        <v>2210</v>
      </c>
      <c r="F902" s="10"/>
      <c r="G902" s="10">
        <v>3</v>
      </c>
      <c r="H902" s="10">
        <v>1</v>
      </c>
      <c r="I902" s="10"/>
      <c r="J902" s="10">
        <v>1012</v>
      </c>
      <c r="K902" s="104">
        <v>45716</v>
      </c>
      <c r="L902" s="104">
        <v>45720</v>
      </c>
      <c r="M902" s="10" t="b">
        <v>0</v>
      </c>
      <c r="N902" s="10">
        <v>5</v>
      </c>
      <c r="O902" s="11">
        <v>1800</v>
      </c>
      <c r="P902" s="85">
        <v>1.7786561264822134</v>
      </c>
      <c r="Q902" s="11">
        <v>1800</v>
      </c>
      <c r="R902" s="85">
        <v>1.7786561264822134</v>
      </c>
      <c r="S902" s="29" t="s">
        <v>2719</v>
      </c>
      <c r="T902" s="29" t="s">
        <v>2798</v>
      </c>
    </row>
    <row r="903">
      <c r="B903" s="29" t="s">
        <v>1219</v>
      </c>
      <c r="C903" s="29" t="s">
        <v>1247</v>
      </c>
      <c r="D903" s="8" t="s">
        <v>1270</v>
      </c>
      <c r="E903" s="10" t="s">
        <v>2211</v>
      </c>
      <c r="F903" s="10"/>
      <c r="G903" s="10">
        <v>3</v>
      </c>
      <c r="H903" s="10">
        <v>1</v>
      </c>
      <c r="I903" s="10"/>
      <c r="J903" s="10">
        <v>1012</v>
      </c>
      <c r="K903" s="104">
        <v>45705</v>
      </c>
      <c r="L903" s="104">
        <v>45708</v>
      </c>
      <c r="M903" s="10" t="b">
        <v>0</v>
      </c>
      <c r="N903" s="10">
        <v>4</v>
      </c>
      <c r="O903" s="11">
        <v>1800</v>
      </c>
      <c r="P903" s="85">
        <v>1.7786561264822134</v>
      </c>
      <c r="Q903" s="11">
        <v>1800</v>
      </c>
      <c r="R903" s="85">
        <v>1.7786561264822134</v>
      </c>
      <c r="S903" s="29" t="s">
        <v>2719</v>
      </c>
      <c r="T903" s="29" t="s">
        <v>2798</v>
      </c>
    </row>
    <row r="904">
      <c r="B904" s="29" t="s">
        <v>1219</v>
      </c>
      <c r="C904" s="29" t="s">
        <v>1247</v>
      </c>
      <c r="D904" s="8" t="s">
        <v>1270</v>
      </c>
      <c r="E904" s="10" t="s">
        <v>2212</v>
      </c>
      <c r="F904" s="10"/>
      <c r="G904" s="10">
        <v>3</v>
      </c>
      <c r="H904" s="10">
        <v>1</v>
      </c>
      <c r="I904" s="10"/>
      <c r="J904" s="10">
        <v>1012</v>
      </c>
      <c r="K904" s="104">
        <v>45716</v>
      </c>
      <c r="L904" s="104">
        <v>45720</v>
      </c>
      <c r="M904" s="10" t="b">
        <v>0</v>
      </c>
      <c r="N904" s="10">
        <v>5</v>
      </c>
      <c r="O904" s="11">
        <v>1800</v>
      </c>
      <c r="P904" s="85">
        <v>1.7786561264822134</v>
      </c>
      <c r="Q904" s="11">
        <v>1800</v>
      </c>
      <c r="R904" s="85">
        <v>1.7786561264822134</v>
      </c>
      <c r="S904" s="29" t="s">
        <v>2719</v>
      </c>
      <c r="T904" s="29" t="s">
        <v>2798</v>
      </c>
    </row>
    <row r="905">
      <c r="B905" s="29" t="s">
        <v>1219</v>
      </c>
      <c r="C905" s="29" t="s">
        <v>1247</v>
      </c>
      <c r="D905" s="8" t="s">
        <v>1270</v>
      </c>
      <c r="E905" s="10" t="s">
        <v>2213</v>
      </c>
      <c r="F905" s="10"/>
      <c r="G905" s="10">
        <v>3</v>
      </c>
      <c r="H905" s="10">
        <v>1</v>
      </c>
      <c r="I905" s="10"/>
      <c r="J905" s="10">
        <v>1012</v>
      </c>
      <c r="K905" s="104">
        <v>45716</v>
      </c>
      <c r="L905" s="104">
        <v>45720</v>
      </c>
      <c r="M905" s="10" t="b">
        <v>0</v>
      </c>
      <c r="N905" s="10">
        <v>5</v>
      </c>
      <c r="O905" s="11">
        <v>1800</v>
      </c>
      <c r="P905" s="85">
        <v>1.7786561264822134</v>
      </c>
      <c r="Q905" s="11">
        <v>1800</v>
      </c>
      <c r="R905" s="85">
        <v>1.7786561264822134</v>
      </c>
      <c r="S905" s="29" t="s">
        <v>2719</v>
      </c>
      <c r="T905" s="29" t="s">
        <v>2798</v>
      </c>
    </row>
    <row r="906">
      <c r="B906" s="29" t="s">
        <v>1219</v>
      </c>
      <c r="C906" s="29" t="s">
        <v>1247</v>
      </c>
      <c r="D906" s="8" t="s">
        <v>1270</v>
      </c>
      <c r="E906" s="10" t="s">
        <v>2214</v>
      </c>
      <c r="F906" s="10"/>
      <c r="G906" s="10">
        <v>3</v>
      </c>
      <c r="H906" s="10">
        <v>1</v>
      </c>
      <c r="I906" s="10"/>
      <c r="J906" s="10">
        <v>1012</v>
      </c>
      <c r="K906" s="104">
        <v>45716</v>
      </c>
      <c r="L906" s="104">
        <v>45720</v>
      </c>
      <c r="M906" s="10" t="b">
        <v>0</v>
      </c>
      <c r="N906" s="10">
        <v>5</v>
      </c>
      <c r="O906" s="11">
        <v>1800</v>
      </c>
      <c r="P906" s="85">
        <v>1.7786561264822134</v>
      </c>
      <c r="Q906" s="11">
        <v>1800</v>
      </c>
      <c r="R906" s="85">
        <v>1.7786561264822134</v>
      </c>
      <c r="S906" s="29" t="s">
        <v>2719</v>
      </c>
      <c r="T906" s="29" t="s">
        <v>2798</v>
      </c>
    </row>
    <row r="907">
      <c r="B907" s="29" t="s">
        <v>1219</v>
      </c>
      <c r="C907" s="29" t="s">
        <v>1247</v>
      </c>
      <c r="D907" s="8" t="s">
        <v>1270</v>
      </c>
      <c r="E907" s="10" t="s">
        <v>2215</v>
      </c>
      <c r="F907" s="10"/>
      <c r="G907" s="10">
        <v>3</v>
      </c>
      <c r="H907" s="10">
        <v>1</v>
      </c>
      <c r="I907" s="10"/>
      <c r="J907" s="10">
        <v>1012</v>
      </c>
      <c r="K907" s="104">
        <v>45716</v>
      </c>
      <c r="L907" s="104">
        <v>45720</v>
      </c>
      <c r="M907" s="10" t="b">
        <v>0</v>
      </c>
      <c r="N907" s="10">
        <v>5</v>
      </c>
      <c r="O907" s="11">
        <v>1800</v>
      </c>
      <c r="P907" s="85">
        <v>1.7786561264822134</v>
      </c>
      <c r="Q907" s="11">
        <v>1800</v>
      </c>
      <c r="R907" s="85">
        <v>1.7786561264822134</v>
      </c>
      <c r="S907" s="29" t="s">
        <v>2719</v>
      </c>
      <c r="T907" s="29" t="s">
        <v>2798</v>
      </c>
    </row>
    <row r="908">
      <c r="B908" s="29" t="s">
        <v>1219</v>
      </c>
      <c r="C908" s="29" t="s">
        <v>1247</v>
      </c>
      <c r="D908" s="8" t="s">
        <v>1270</v>
      </c>
      <c r="E908" s="10" t="s">
        <v>2216</v>
      </c>
      <c r="F908" s="10"/>
      <c r="G908" s="10">
        <v>3</v>
      </c>
      <c r="H908" s="10">
        <v>1</v>
      </c>
      <c r="I908" s="10"/>
      <c r="J908" s="10">
        <v>1012</v>
      </c>
      <c r="K908" s="104">
        <v>45705</v>
      </c>
      <c r="L908" s="104">
        <v>45708</v>
      </c>
      <c r="M908" s="10" t="b">
        <v>0</v>
      </c>
      <c r="N908" s="10">
        <v>4</v>
      </c>
      <c r="O908" s="11">
        <v>1800</v>
      </c>
      <c r="P908" s="85">
        <v>1.7786561264822134</v>
      </c>
      <c r="Q908" s="11">
        <v>1800</v>
      </c>
      <c r="R908" s="85">
        <v>1.7786561264822134</v>
      </c>
      <c r="S908" s="29" t="s">
        <v>2719</v>
      </c>
      <c r="T908" s="29" t="s">
        <v>2798</v>
      </c>
    </row>
    <row r="909">
      <c r="B909" s="29" t="s">
        <v>1219</v>
      </c>
      <c r="C909" s="29" t="s">
        <v>1247</v>
      </c>
      <c r="D909" s="8" t="s">
        <v>1270</v>
      </c>
      <c r="E909" s="10" t="s">
        <v>2217</v>
      </c>
      <c r="F909" s="10">
        <v>2</v>
      </c>
      <c r="G909" s="10">
        <v>3</v>
      </c>
      <c r="H909" s="10">
        <v>1</v>
      </c>
      <c r="I909" s="10"/>
      <c r="J909" s="10">
        <v>1012</v>
      </c>
      <c r="K909" s="104">
        <v>45707</v>
      </c>
      <c r="L909" s="104">
        <v>45710</v>
      </c>
      <c r="M909" s="10" t="b">
        <v>0</v>
      </c>
      <c r="N909" s="10">
        <v>4</v>
      </c>
      <c r="O909" s="11">
        <v>1800</v>
      </c>
      <c r="P909" s="85">
        <v>1.7786561264822134</v>
      </c>
      <c r="Q909" s="11">
        <v>1800</v>
      </c>
      <c r="R909" s="85">
        <v>1.7786561264822134</v>
      </c>
      <c r="S909" s="29" t="s">
        <v>2719</v>
      </c>
      <c r="T909" s="29" t="s">
        <v>2798</v>
      </c>
    </row>
    <row r="910">
      <c r="B910" s="29" t="s">
        <v>1219</v>
      </c>
      <c r="C910" s="29" t="s">
        <v>1247</v>
      </c>
      <c r="D910" s="8" t="s">
        <v>1270</v>
      </c>
      <c r="E910" s="10" t="s">
        <v>2218</v>
      </c>
      <c r="F910" s="10"/>
      <c r="G910" s="10">
        <v>3</v>
      </c>
      <c r="H910" s="10">
        <v>1</v>
      </c>
      <c r="I910" s="10"/>
      <c r="J910" s="10">
        <v>1012</v>
      </c>
      <c r="K910" s="104">
        <v>45716</v>
      </c>
      <c r="L910" s="104">
        <v>45720</v>
      </c>
      <c r="M910" s="10" t="b">
        <v>0</v>
      </c>
      <c r="N910" s="10">
        <v>5</v>
      </c>
      <c r="O910" s="11">
        <v>1800</v>
      </c>
      <c r="P910" s="85">
        <v>1.7786561264822134</v>
      </c>
      <c r="Q910" s="11">
        <v>1800</v>
      </c>
      <c r="R910" s="85">
        <v>1.7786561264822134</v>
      </c>
      <c r="S910" s="29" t="s">
        <v>2719</v>
      </c>
      <c r="T910" s="29" t="s">
        <v>2798</v>
      </c>
    </row>
    <row r="911">
      <c r="B911" s="29" t="s">
        <v>1219</v>
      </c>
      <c r="C911" s="29" t="s">
        <v>1247</v>
      </c>
      <c r="D911" s="8" t="s">
        <v>1270</v>
      </c>
      <c r="E911" s="10" t="s">
        <v>2219</v>
      </c>
      <c r="F911" s="10"/>
      <c r="G911" s="10">
        <v>3</v>
      </c>
      <c r="H911" s="10">
        <v>1</v>
      </c>
      <c r="I911" s="10"/>
      <c r="J911" s="10">
        <v>1012</v>
      </c>
      <c r="K911" s="104">
        <v>45705</v>
      </c>
      <c r="L911" s="104">
        <v>45710</v>
      </c>
      <c r="M911" s="10" t="b">
        <v>0</v>
      </c>
      <c r="N911" s="10">
        <v>6</v>
      </c>
      <c r="O911" s="11">
        <v>1800</v>
      </c>
      <c r="P911" s="85">
        <v>1.7786561264822134</v>
      </c>
      <c r="Q911" s="11">
        <v>1800</v>
      </c>
      <c r="R911" s="85">
        <v>1.7786561264822134</v>
      </c>
      <c r="S911" s="29" t="s">
        <v>2719</v>
      </c>
      <c r="T911" s="29" t="s">
        <v>2798</v>
      </c>
    </row>
    <row r="912">
      <c r="B912" s="29" t="s">
        <v>1219</v>
      </c>
      <c r="C912" s="29" t="s">
        <v>1247</v>
      </c>
      <c r="D912" s="8" t="s">
        <v>1270</v>
      </c>
      <c r="E912" s="10" t="s">
        <v>2220</v>
      </c>
      <c r="F912" s="10"/>
      <c r="G912" s="10">
        <v>3</v>
      </c>
      <c r="H912" s="10">
        <v>1</v>
      </c>
      <c r="I912" s="10"/>
      <c r="J912" s="10">
        <v>1012</v>
      </c>
      <c r="K912" s="104">
        <v>45705</v>
      </c>
      <c r="L912" s="104">
        <v>45708</v>
      </c>
      <c r="M912" s="10" t="b">
        <v>0</v>
      </c>
      <c r="N912" s="10">
        <v>4</v>
      </c>
      <c r="O912" s="11">
        <v>1800</v>
      </c>
      <c r="P912" s="85">
        <v>1.7786561264822134</v>
      </c>
      <c r="Q912" s="11">
        <v>1800</v>
      </c>
      <c r="R912" s="85">
        <v>1.7786561264822134</v>
      </c>
      <c r="S912" s="29" t="s">
        <v>2719</v>
      </c>
      <c r="T912" s="29" t="s">
        <v>2798</v>
      </c>
    </row>
    <row r="913">
      <c r="B913" s="29" t="s">
        <v>1219</v>
      </c>
      <c r="C913" s="29" t="s">
        <v>1247</v>
      </c>
      <c r="D913" s="8" t="s">
        <v>1270</v>
      </c>
      <c r="E913" s="10" t="s">
        <v>2221</v>
      </c>
      <c r="F913" s="10"/>
      <c r="G913" s="10">
        <v>3</v>
      </c>
      <c r="H913" s="10">
        <v>1</v>
      </c>
      <c r="I913" s="10"/>
      <c r="J913" s="10">
        <v>1012</v>
      </c>
      <c r="K913" s="104">
        <v>45716</v>
      </c>
      <c r="L913" s="104">
        <v>45720</v>
      </c>
      <c r="M913" s="10" t="b">
        <v>0</v>
      </c>
      <c r="N913" s="10">
        <v>5</v>
      </c>
      <c r="O913" s="11">
        <v>1800</v>
      </c>
      <c r="P913" s="85">
        <v>1.7786561264822134</v>
      </c>
      <c r="Q913" s="11">
        <v>1800</v>
      </c>
      <c r="R913" s="85">
        <v>1.7786561264822134</v>
      </c>
      <c r="S913" s="29" t="s">
        <v>2719</v>
      </c>
      <c r="T913" s="29" t="s">
        <v>2798</v>
      </c>
    </row>
    <row r="914">
      <c r="B914" s="29" t="s">
        <v>1219</v>
      </c>
      <c r="C914" s="29" t="s">
        <v>1247</v>
      </c>
      <c r="D914" s="8" t="s">
        <v>1270</v>
      </c>
      <c r="E914" s="10" t="s">
        <v>2222</v>
      </c>
      <c r="F914" s="10">
        <v>2</v>
      </c>
      <c r="G914" s="10">
        <v>3</v>
      </c>
      <c r="H914" s="10">
        <v>1</v>
      </c>
      <c r="I914" s="10"/>
      <c r="J914" s="10">
        <v>1012</v>
      </c>
      <c r="K914" s="104">
        <v>45705</v>
      </c>
      <c r="L914" s="104">
        <v>45710</v>
      </c>
      <c r="M914" s="10" t="b">
        <v>0</v>
      </c>
      <c r="N914" s="10">
        <v>6</v>
      </c>
      <c r="O914" s="11">
        <v>1800</v>
      </c>
      <c r="P914" s="85">
        <v>1.7786561264822134</v>
      </c>
      <c r="Q914" s="11">
        <v>1800</v>
      </c>
      <c r="R914" s="85">
        <v>1.7786561264822134</v>
      </c>
      <c r="S914" s="29" t="s">
        <v>2719</v>
      </c>
      <c r="T914" s="29" t="s">
        <v>2798</v>
      </c>
    </row>
    <row r="915">
      <c r="B915" s="29" t="s">
        <v>1219</v>
      </c>
      <c r="C915" s="29" t="s">
        <v>1247</v>
      </c>
      <c r="D915" s="8" t="s">
        <v>1270</v>
      </c>
      <c r="E915" s="10" t="s">
        <v>2223</v>
      </c>
      <c r="F915" s="10"/>
      <c r="G915" s="10">
        <v>3</v>
      </c>
      <c r="H915" s="10">
        <v>1</v>
      </c>
      <c r="I915" s="10"/>
      <c r="J915" s="10">
        <v>1012</v>
      </c>
      <c r="K915" s="104">
        <v>45705</v>
      </c>
      <c r="L915" s="104"/>
      <c r="M915" s="10" t="b">
        <v>1</v>
      </c>
      <c r="N915" s="10"/>
      <c r="O915" s="11">
        <v>1800</v>
      </c>
      <c r="P915" s="85">
        <v>1.7786561264822134</v>
      </c>
      <c r="Q915" s="11">
        <v>1800</v>
      </c>
      <c r="R915" s="85">
        <v>1.7786561264822134</v>
      </c>
      <c r="S915" s="29" t="s">
        <v>2719</v>
      </c>
      <c r="T915" s="29" t="s">
        <v>2798</v>
      </c>
    </row>
    <row r="916">
      <c r="B916" s="29" t="s">
        <v>1219</v>
      </c>
      <c r="C916" s="29" t="s">
        <v>1247</v>
      </c>
      <c r="D916" s="8" t="s">
        <v>1270</v>
      </c>
      <c r="E916" s="10" t="s">
        <v>2224</v>
      </c>
      <c r="F916" s="10"/>
      <c r="G916" s="10">
        <v>3</v>
      </c>
      <c r="H916" s="10">
        <v>1</v>
      </c>
      <c r="I916" s="10"/>
      <c r="J916" s="10">
        <v>1012</v>
      </c>
      <c r="K916" s="104">
        <v>45705</v>
      </c>
      <c r="L916" s="104">
        <v>45708</v>
      </c>
      <c r="M916" s="10" t="b">
        <v>0</v>
      </c>
      <c r="N916" s="10">
        <v>4</v>
      </c>
      <c r="O916" s="11">
        <v>1800</v>
      </c>
      <c r="P916" s="85">
        <v>1.7786561264822134</v>
      </c>
      <c r="Q916" s="11">
        <v>1800</v>
      </c>
      <c r="R916" s="85">
        <v>1.7786561264822134</v>
      </c>
      <c r="S916" s="29" t="s">
        <v>2719</v>
      </c>
      <c r="T916" s="29" t="s">
        <v>2798</v>
      </c>
    </row>
    <row r="917">
      <c r="B917" s="29" t="s">
        <v>1219</v>
      </c>
      <c r="C917" s="29" t="s">
        <v>1247</v>
      </c>
      <c r="D917" s="8" t="s">
        <v>1270</v>
      </c>
      <c r="E917" s="10" t="s">
        <v>2225</v>
      </c>
      <c r="F917" s="10">
        <v>2</v>
      </c>
      <c r="G917" s="10">
        <v>3</v>
      </c>
      <c r="H917" s="10">
        <v>1</v>
      </c>
      <c r="I917" s="10"/>
      <c r="J917" s="10">
        <v>1012</v>
      </c>
      <c r="K917" s="104">
        <v>45716</v>
      </c>
      <c r="L917" s="104">
        <v>45720</v>
      </c>
      <c r="M917" s="10" t="b">
        <v>0</v>
      </c>
      <c r="N917" s="10">
        <v>5</v>
      </c>
      <c r="O917" s="11">
        <v>1800</v>
      </c>
      <c r="P917" s="85">
        <v>1.7786561264822134</v>
      </c>
      <c r="Q917" s="11">
        <v>1800</v>
      </c>
      <c r="R917" s="85">
        <v>1.7786561264822134</v>
      </c>
      <c r="S917" s="29" t="s">
        <v>2719</v>
      </c>
      <c r="T917" s="29" t="s">
        <v>2798</v>
      </c>
    </row>
    <row r="918">
      <c r="B918" s="29" t="s">
        <v>1219</v>
      </c>
      <c r="C918" s="29" t="s">
        <v>1247</v>
      </c>
      <c r="D918" s="8" t="s">
        <v>1270</v>
      </c>
      <c r="E918" s="10" t="s">
        <v>2226</v>
      </c>
      <c r="F918" s="10"/>
      <c r="G918" s="10">
        <v>3</v>
      </c>
      <c r="H918" s="10">
        <v>1</v>
      </c>
      <c r="I918" s="10"/>
      <c r="J918" s="10">
        <v>1012</v>
      </c>
      <c r="K918" s="104">
        <v>45705</v>
      </c>
      <c r="L918" s="104">
        <v>45710</v>
      </c>
      <c r="M918" s="10" t="b">
        <v>0</v>
      </c>
      <c r="N918" s="10">
        <v>6</v>
      </c>
      <c r="O918" s="11">
        <v>1850</v>
      </c>
      <c r="P918" s="85">
        <v>1.8280632411067195</v>
      </c>
      <c r="Q918" s="11">
        <v>1850</v>
      </c>
      <c r="R918" s="85">
        <v>1.8280632411067195</v>
      </c>
      <c r="S918" s="29" t="s">
        <v>2719</v>
      </c>
      <c r="T918" s="29" t="s">
        <v>2798</v>
      </c>
    </row>
    <row r="919">
      <c r="B919" s="29" t="s">
        <v>1219</v>
      </c>
      <c r="C919" s="29" t="s">
        <v>1247</v>
      </c>
      <c r="D919" s="8" t="s">
        <v>1270</v>
      </c>
      <c r="E919" s="10" t="s">
        <v>2227</v>
      </c>
      <c r="F919" s="10">
        <v>2</v>
      </c>
      <c r="G919" s="10">
        <v>3</v>
      </c>
      <c r="H919" s="10">
        <v>1</v>
      </c>
      <c r="I919" s="10"/>
      <c r="J919" s="10">
        <v>1012</v>
      </c>
      <c r="K919" s="104">
        <v>45705</v>
      </c>
      <c r="L919" s="104">
        <v>45710</v>
      </c>
      <c r="M919" s="10" t="b">
        <v>0</v>
      </c>
      <c r="N919" s="10">
        <v>6</v>
      </c>
      <c r="O919" s="11">
        <v>1850</v>
      </c>
      <c r="P919" s="85">
        <v>1.8280632411067195</v>
      </c>
      <c r="Q919" s="11">
        <v>1850</v>
      </c>
      <c r="R919" s="85">
        <v>1.8280632411067195</v>
      </c>
      <c r="S919" s="29" t="s">
        <v>2719</v>
      </c>
      <c r="T919" s="29" t="s">
        <v>2798</v>
      </c>
    </row>
    <row r="920">
      <c r="B920" s="29" t="s">
        <v>1219</v>
      </c>
      <c r="C920" s="29" t="s">
        <v>1247</v>
      </c>
      <c r="D920" s="8" t="s">
        <v>1270</v>
      </c>
      <c r="E920" s="10" t="s">
        <v>2228</v>
      </c>
      <c r="F920" s="10"/>
      <c r="G920" s="10">
        <v>3</v>
      </c>
      <c r="H920" s="10">
        <v>1</v>
      </c>
      <c r="I920" s="10"/>
      <c r="J920" s="10">
        <v>1012</v>
      </c>
      <c r="K920" s="104">
        <v>45705</v>
      </c>
      <c r="L920" s="104">
        <v>45710</v>
      </c>
      <c r="M920" s="10" t="b">
        <v>0</v>
      </c>
      <c r="N920" s="10">
        <v>6</v>
      </c>
      <c r="O920" s="11">
        <v>1850</v>
      </c>
      <c r="P920" s="85">
        <v>1.8280632411067195</v>
      </c>
      <c r="Q920" s="11">
        <v>1850</v>
      </c>
      <c r="R920" s="85">
        <v>1.8280632411067195</v>
      </c>
      <c r="S920" s="29" t="s">
        <v>2719</v>
      </c>
      <c r="T920" s="29" t="s">
        <v>2798</v>
      </c>
    </row>
    <row r="921">
      <c r="B921" s="29" t="s">
        <v>1219</v>
      </c>
      <c r="C921" s="29" t="s">
        <v>1247</v>
      </c>
      <c r="D921" s="8" t="s">
        <v>1270</v>
      </c>
      <c r="E921" s="10" t="s">
        <v>2229</v>
      </c>
      <c r="F921" s="10">
        <v>2</v>
      </c>
      <c r="G921" s="10">
        <v>3</v>
      </c>
      <c r="H921" s="10">
        <v>1</v>
      </c>
      <c r="I921" s="10"/>
      <c r="J921" s="10">
        <v>1012</v>
      </c>
      <c r="K921" s="104">
        <v>45705</v>
      </c>
      <c r="L921" s="104">
        <v>45710</v>
      </c>
      <c r="M921" s="10" t="b">
        <v>0</v>
      </c>
      <c r="N921" s="10">
        <v>6</v>
      </c>
      <c r="O921" s="11">
        <v>1850</v>
      </c>
      <c r="P921" s="85">
        <v>1.8280632411067195</v>
      </c>
      <c r="Q921" s="11">
        <v>1850</v>
      </c>
      <c r="R921" s="85">
        <v>1.8280632411067195</v>
      </c>
      <c r="S921" s="29" t="s">
        <v>2719</v>
      </c>
      <c r="T921" s="29" t="s">
        <v>2798</v>
      </c>
    </row>
    <row r="922">
      <c r="B922" s="29" t="s">
        <v>1219</v>
      </c>
      <c r="C922" s="29" t="s">
        <v>1247</v>
      </c>
      <c r="D922" s="8" t="s">
        <v>1270</v>
      </c>
      <c r="E922" s="10" t="s">
        <v>2230</v>
      </c>
      <c r="F922" s="10">
        <v>2</v>
      </c>
      <c r="G922" s="10">
        <v>3</v>
      </c>
      <c r="H922" s="10">
        <v>1</v>
      </c>
      <c r="I922" s="10"/>
      <c r="J922" s="10">
        <v>1012</v>
      </c>
      <c r="K922" s="104">
        <v>45705</v>
      </c>
      <c r="L922" s="104">
        <v>45710</v>
      </c>
      <c r="M922" s="10" t="b">
        <v>0</v>
      </c>
      <c r="N922" s="10">
        <v>6</v>
      </c>
      <c r="O922" s="11">
        <v>1850</v>
      </c>
      <c r="P922" s="85">
        <v>1.8280632411067195</v>
      </c>
      <c r="Q922" s="11">
        <v>1850</v>
      </c>
      <c r="R922" s="85">
        <v>1.8280632411067195</v>
      </c>
      <c r="S922" s="29" t="s">
        <v>2719</v>
      </c>
      <c r="T922" s="29" t="s">
        <v>2798</v>
      </c>
    </row>
    <row r="923">
      <c r="B923" s="29" t="s">
        <v>1219</v>
      </c>
      <c r="C923" s="29" t="s">
        <v>1247</v>
      </c>
      <c r="D923" s="8" t="s">
        <v>1270</v>
      </c>
      <c r="E923" s="10" t="s">
        <v>2231</v>
      </c>
      <c r="F923" s="10"/>
      <c r="G923" s="10">
        <v>3</v>
      </c>
      <c r="H923" s="10">
        <v>1</v>
      </c>
      <c r="I923" s="10"/>
      <c r="J923" s="10">
        <v>1012</v>
      </c>
      <c r="K923" s="104">
        <v>45705</v>
      </c>
      <c r="L923" s="104">
        <v>45710</v>
      </c>
      <c r="M923" s="10" t="b">
        <v>0</v>
      </c>
      <c r="N923" s="10">
        <v>6</v>
      </c>
      <c r="O923" s="11">
        <v>1850</v>
      </c>
      <c r="P923" s="85">
        <v>1.8280632411067195</v>
      </c>
      <c r="Q923" s="11">
        <v>1850</v>
      </c>
      <c r="R923" s="85">
        <v>1.8280632411067195</v>
      </c>
      <c r="S923" s="29" t="s">
        <v>2719</v>
      </c>
      <c r="T923" s="29" t="s">
        <v>2798</v>
      </c>
    </row>
    <row r="924">
      <c r="B924" s="29" t="s">
        <v>1219</v>
      </c>
      <c r="C924" s="29" t="s">
        <v>1247</v>
      </c>
      <c r="D924" s="8" t="s">
        <v>1270</v>
      </c>
      <c r="E924" s="10" t="s">
        <v>2232</v>
      </c>
      <c r="F924" s="10">
        <v>2</v>
      </c>
      <c r="G924" s="10">
        <v>3</v>
      </c>
      <c r="H924" s="10">
        <v>1</v>
      </c>
      <c r="I924" s="10"/>
      <c r="J924" s="10">
        <v>1012</v>
      </c>
      <c r="K924" s="104">
        <v>45705</v>
      </c>
      <c r="L924" s="104">
        <v>45710</v>
      </c>
      <c r="M924" s="10" t="b">
        <v>0</v>
      </c>
      <c r="N924" s="10">
        <v>6</v>
      </c>
      <c r="O924" s="11">
        <v>1850</v>
      </c>
      <c r="P924" s="85">
        <v>1.8280632411067195</v>
      </c>
      <c r="Q924" s="11">
        <v>1850</v>
      </c>
      <c r="R924" s="85">
        <v>1.8280632411067195</v>
      </c>
      <c r="S924" s="29" t="s">
        <v>2719</v>
      </c>
      <c r="T924" s="29" t="s">
        <v>2798</v>
      </c>
    </row>
    <row r="925">
      <c r="B925" s="29" t="s">
        <v>1219</v>
      </c>
      <c r="C925" s="29" t="s">
        <v>1247</v>
      </c>
      <c r="D925" s="8" t="s">
        <v>1270</v>
      </c>
      <c r="E925" s="10" t="s">
        <v>2233</v>
      </c>
      <c r="F925" s="10"/>
      <c r="G925" s="10">
        <v>3</v>
      </c>
      <c r="H925" s="10">
        <v>1</v>
      </c>
      <c r="I925" s="10"/>
      <c r="J925" s="10">
        <v>1012</v>
      </c>
      <c r="K925" s="104">
        <v>45705</v>
      </c>
      <c r="L925" s="104">
        <v>45710</v>
      </c>
      <c r="M925" s="10" t="b">
        <v>0</v>
      </c>
      <c r="N925" s="10">
        <v>6</v>
      </c>
      <c r="O925" s="11">
        <v>1850</v>
      </c>
      <c r="P925" s="85">
        <v>1.8280632411067195</v>
      </c>
      <c r="Q925" s="11">
        <v>1850</v>
      </c>
      <c r="R925" s="85">
        <v>1.8280632411067195</v>
      </c>
      <c r="S925" s="29" t="s">
        <v>2719</v>
      </c>
      <c r="T925" s="29" t="s">
        <v>2798</v>
      </c>
    </row>
    <row r="926">
      <c r="B926" s="29" t="s">
        <v>1219</v>
      </c>
      <c r="C926" s="29" t="s">
        <v>1247</v>
      </c>
      <c r="D926" s="8" t="s">
        <v>1270</v>
      </c>
      <c r="E926" s="10" t="s">
        <v>2234</v>
      </c>
      <c r="F926" s="10">
        <v>2</v>
      </c>
      <c r="G926" s="10">
        <v>3</v>
      </c>
      <c r="H926" s="10">
        <v>1</v>
      </c>
      <c r="I926" s="10"/>
      <c r="J926" s="10">
        <v>1012</v>
      </c>
      <c r="K926" s="104">
        <v>45705</v>
      </c>
      <c r="L926" s="104">
        <v>45710</v>
      </c>
      <c r="M926" s="10" t="b">
        <v>0</v>
      </c>
      <c r="N926" s="10">
        <v>6</v>
      </c>
      <c r="O926" s="11">
        <v>1850</v>
      </c>
      <c r="P926" s="85">
        <v>1.8280632411067195</v>
      </c>
      <c r="Q926" s="11">
        <v>1850</v>
      </c>
      <c r="R926" s="85">
        <v>1.8280632411067195</v>
      </c>
      <c r="S926" s="29" t="s">
        <v>2719</v>
      </c>
      <c r="T926" s="29" t="s">
        <v>2798</v>
      </c>
    </row>
    <row r="927">
      <c r="B927" s="29" t="s">
        <v>1219</v>
      </c>
      <c r="C927" s="29" t="s">
        <v>1247</v>
      </c>
      <c r="D927" s="8" t="s">
        <v>1270</v>
      </c>
      <c r="E927" s="10" t="s">
        <v>2235</v>
      </c>
      <c r="F927" s="10">
        <v>2</v>
      </c>
      <c r="G927" s="10">
        <v>3</v>
      </c>
      <c r="H927" s="10">
        <v>1</v>
      </c>
      <c r="I927" s="10"/>
      <c r="J927" s="10">
        <v>1012</v>
      </c>
      <c r="K927" s="104">
        <v>45705</v>
      </c>
      <c r="L927" s="104">
        <v>45710</v>
      </c>
      <c r="M927" s="10" t="b">
        <v>0</v>
      </c>
      <c r="N927" s="10">
        <v>6</v>
      </c>
      <c r="O927" s="11">
        <v>1850</v>
      </c>
      <c r="P927" s="85">
        <v>1.8280632411067195</v>
      </c>
      <c r="Q927" s="11">
        <v>1850</v>
      </c>
      <c r="R927" s="85">
        <v>1.8280632411067195</v>
      </c>
      <c r="S927" s="29" t="s">
        <v>2719</v>
      </c>
      <c r="T927" s="29" t="s">
        <v>2798</v>
      </c>
    </row>
    <row r="928">
      <c r="B928" s="29" t="s">
        <v>1220</v>
      </c>
      <c r="C928" s="29" t="s">
        <v>1248</v>
      </c>
      <c r="D928" s="8" t="s">
        <v>1271</v>
      </c>
      <c r="E928" s="10" t="s">
        <v>2236</v>
      </c>
      <c r="F928" s="10"/>
      <c r="G928" s="10">
        <v>0</v>
      </c>
      <c r="H928" s="10">
        <v>1</v>
      </c>
      <c r="I928" s="10"/>
      <c r="J928" s="10">
        <v>488</v>
      </c>
      <c r="K928" s="104">
        <v>45692</v>
      </c>
      <c r="L928" s="104">
        <v>45695</v>
      </c>
      <c r="M928" s="10" t="b">
        <v>0</v>
      </c>
      <c r="N928" s="10">
        <v>4</v>
      </c>
      <c r="O928" s="11">
        <v>1120</v>
      </c>
      <c r="P928" s="85">
        <v>2.2950819672131146</v>
      </c>
      <c r="Q928" s="11">
        <v>1120</v>
      </c>
      <c r="R928" s="85">
        <v>2.2950819672131146</v>
      </c>
      <c r="S928" s="29" t="s">
        <v>2768</v>
      </c>
      <c r="T928" s="29" t="s">
        <v>2799</v>
      </c>
    </row>
    <row r="929">
      <c r="B929" s="29" t="s">
        <v>1220</v>
      </c>
      <c r="C929" s="29" t="s">
        <v>1248</v>
      </c>
      <c r="D929" s="8" t="s">
        <v>1271</v>
      </c>
      <c r="E929" s="10" t="s">
        <v>2237</v>
      </c>
      <c r="F929" s="10"/>
      <c r="G929" s="10">
        <v>0</v>
      </c>
      <c r="H929" s="10">
        <v>1</v>
      </c>
      <c r="I929" s="10"/>
      <c r="J929" s="10">
        <v>488</v>
      </c>
      <c r="K929" s="104">
        <v>45668</v>
      </c>
      <c r="L929" s="104"/>
      <c r="M929" s="10" t="b">
        <v>1</v>
      </c>
      <c r="N929" s="10"/>
      <c r="O929" s="11">
        <v>1436</v>
      </c>
      <c r="P929" s="85">
        <v>2.942622950819672</v>
      </c>
      <c r="Q929" s="11">
        <v>1436</v>
      </c>
      <c r="R929" s="85">
        <v>2.942622950819672</v>
      </c>
      <c r="S929" s="29" t="s">
        <v>2768</v>
      </c>
      <c r="T929" s="29" t="s">
        <v>2799</v>
      </c>
    </row>
    <row r="930">
      <c r="B930" s="29" t="s">
        <v>1220</v>
      </c>
      <c r="C930" s="29" t="s">
        <v>1248</v>
      </c>
      <c r="D930" s="8" t="s">
        <v>1271</v>
      </c>
      <c r="E930" s="10" t="s">
        <v>2238</v>
      </c>
      <c r="F930" s="10"/>
      <c r="G930" s="10">
        <v>0</v>
      </c>
      <c r="H930" s="10">
        <v>1</v>
      </c>
      <c r="I930" s="10"/>
      <c r="J930" s="10">
        <v>488</v>
      </c>
      <c r="K930" s="104">
        <v>45455</v>
      </c>
      <c r="L930" s="104">
        <v>45517</v>
      </c>
      <c r="M930" s="10" t="b">
        <v>0</v>
      </c>
      <c r="N930" s="10">
        <v>63</v>
      </c>
      <c r="O930" s="11">
        <v>1571</v>
      </c>
      <c r="P930" s="85">
        <v>3.2192622950819674</v>
      </c>
      <c r="Q930" s="11">
        <v>1571</v>
      </c>
      <c r="R930" s="85">
        <v>3.2192622950819674</v>
      </c>
      <c r="S930" s="29" t="s">
        <v>2768</v>
      </c>
      <c r="T930" s="29" t="s">
        <v>2799</v>
      </c>
    </row>
    <row r="931">
      <c r="B931" s="29" t="s">
        <v>1220</v>
      </c>
      <c r="C931" s="29" t="s">
        <v>1248</v>
      </c>
      <c r="D931" s="8" t="s">
        <v>1272</v>
      </c>
      <c r="E931" s="10" t="s">
        <v>2239</v>
      </c>
      <c r="F931" s="10"/>
      <c r="G931" s="10">
        <v>1</v>
      </c>
      <c r="H931" s="10">
        <v>1</v>
      </c>
      <c r="I931" s="10"/>
      <c r="J931" s="10">
        <v>864</v>
      </c>
      <c r="K931" s="104">
        <v>45643</v>
      </c>
      <c r="L931" s="104">
        <v>45675</v>
      </c>
      <c r="M931" s="10" t="b">
        <v>0</v>
      </c>
      <c r="N931" s="10">
        <v>33</v>
      </c>
      <c r="O931" s="11">
        <v>1258</v>
      </c>
      <c r="P931" s="85">
        <v>1.4560185185185186</v>
      </c>
      <c r="Q931" s="11">
        <v>1258</v>
      </c>
      <c r="R931" s="85">
        <v>1.4560185185185186</v>
      </c>
      <c r="S931" s="29" t="s">
        <v>2768</v>
      </c>
      <c r="T931" s="29" t="s">
        <v>2799</v>
      </c>
    </row>
    <row r="932">
      <c r="B932" s="29" t="s">
        <v>1220</v>
      </c>
      <c r="C932" s="29" t="s">
        <v>1248</v>
      </c>
      <c r="D932" s="8" t="s">
        <v>1272</v>
      </c>
      <c r="E932" s="10" t="s">
        <v>2240</v>
      </c>
      <c r="F932" s="10">
        <v>1</v>
      </c>
      <c r="G932" s="10">
        <v>1</v>
      </c>
      <c r="H932" s="10">
        <v>1</v>
      </c>
      <c r="I932" s="10"/>
      <c r="J932" s="10">
        <v>864</v>
      </c>
      <c r="K932" s="104">
        <v>45272</v>
      </c>
      <c r="L932" s="104">
        <v>45289</v>
      </c>
      <c r="M932" s="10" t="b">
        <v>0</v>
      </c>
      <c r="N932" s="10">
        <v>18</v>
      </c>
      <c r="O932" s="11">
        <v>1623</v>
      </c>
      <c r="P932" s="85">
        <v>1.8784722222222223</v>
      </c>
      <c r="Q932" s="11">
        <v>1623</v>
      </c>
      <c r="R932" s="85">
        <v>1.8784722222222223</v>
      </c>
      <c r="S932" s="29" t="s">
        <v>2719</v>
      </c>
      <c r="T932" s="29" t="s">
        <v>2719</v>
      </c>
    </row>
    <row r="933">
      <c r="B933" s="29" t="s">
        <v>1220</v>
      </c>
      <c r="C933" s="29" t="s">
        <v>1248</v>
      </c>
      <c r="D933" s="8" t="s">
        <v>1273</v>
      </c>
      <c r="E933" s="10" t="s">
        <v>2241</v>
      </c>
      <c r="F933" s="10"/>
      <c r="G933" s="10">
        <v>1</v>
      </c>
      <c r="H933" s="10">
        <v>1</v>
      </c>
      <c r="I933" s="10"/>
      <c r="J933" s="10">
        <v>926</v>
      </c>
      <c r="K933" s="104">
        <v>45682</v>
      </c>
      <c r="L933" s="104">
        <v>45694</v>
      </c>
      <c r="M933" s="10" t="b">
        <v>0</v>
      </c>
      <c r="N933" s="10">
        <v>13</v>
      </c>
      <c r="O933" s="11">
        <v>1291</v>
      </c>
      <c r="P933" s="85">
        <v>1.3941684665226781</v>
      </c>
      <c r="Q933" s="11">
        <v>1291</v>
      </c>
      <c r="R933" s="85">
        <v>1.3941684665226781</v>
      </c>
      <c r="S933" s="29" t="s">
        <v>2768</v>
      </c>
      <c r="T933" s="29" t="s">
        <v>2800</v>
      </c>
    </row>
    <row r="934">
      <c r="B934" s="29" t="s">
        <v>1220</v>
      </c>
      <c r="C934" s="29" t="s">
        <v>1248</v>
      </c>
      <c r="D934" s="8" t="s">
        <v>1273</v>
      </c>
      <c r="E934" s="10" t="s">
        <v>2242</v>
      </c>
      <c r="F934" s="10"/>
      <c r="G934" s="10">
        <v>1</v>
      </c>
      <c r="H934" s="10">
        <v>1</v>
      </c>
      <c r="I934" s="10"/>
      <c r="J934" s="10">
        <v>926</v>
      </c>
      <c r="K934" s="104">
        <v>45548</v>
      </c>
      <c r="L934" s="104">
        <v>45634</v>
      </c>
      <c r="M934" s="10" t="b">
        <v>0</v>
      </c>
      <c r="N934" s="10">
        <v>87</v>
      </c>
      <c r="O934" s="11">
        <v>1315</v>
      </c>
      <c r="P934" s="85">
        <v>1.420086393088553</v>
      </c>
      <c r="Q934" s="11">
        <v>1315</v>
      </c>
      <c r="R934" s="85">
        <v>1.420086393088553</v>
      </c>
      <c r="S934" s="29" t="s">
        <v>2768</v>
      </c>
      <c r="T934" s="29" t="s">
        <v>2800</v>
      </c>
    </row>
    <row r="935">
      <c r="B935" s="29" t="s">
        <v>1220</v>
      </c>
      <c r="C935" s="29" t="s">
        <v>1248</v>
      </c>
      <c r="D935" s="8" t="s">
        <v>1273</v>
      </c>
      <c r="E935" s="10" t="s">
        <v>2243</v>
      </c>
      <c r="F935" s="10"/>
      <c r="G935" s="10">
        <v>1</v>
      </c>
      <c r="H935" s="10">
        <v>1</v>
      </c>
      <c r="I935" s="10"/>
      <c r="J935" s="10">
        <v>926</v>
      </c>
      <c r="K935" s="104">
        <v>45334</v>
      </c>
      <c r="L935" s="104">
        <v>45385</v>
      </c>
      <c r="M935" s="10" t="b">
        <v>0</v>
      </c>
      <c r="N935" s="10">
        <v>52</v>
      </c>
      <c r="O935" s="11">
        <v>1325</v>
      </c>
      <c r="P935" s="85">
        <v>1.4308855291576674</v>
      </c>
      <c r="Q935" s="11">
        <v>1325</v>
      </c>
      <c r="R935" s="85">
        <v>1.4308855291576674</v>
      </c>
      <c r="S935" s="29" t="s">
        <v>2768</v>
      </c>
      <c r="T935" s="29" t="s">
        <v>2800</v>
      </c>
    </row>
    <row r="936">
      <c r="B936" s="29" t="s">
        <v>1220</v>
      </c>
      <c r="C936" s="29" t="s">
        <v>1248</v>
      </c>
      <c r="D936" s="8" t="s">
        <v>1273</v>
      </c>
      <c r="E936" s="10" t="s">
        <v>2244</v>
      </c>
      <c r="F936" s="10"/>
      <c r="G936" s="10">
        <v>1</v>
      </c>
      <c r="H936" s="10">
        <v>1</v>
      </c>
      <c r="I936" s="10"/>
      <c r="J936" s="10">
        <v>926</v>
      </c>
      <c r="K936" s="104">
        <v>45350</v>
      </c>
      <c r="L936" s="104">
        <v>45390</v>
      </c>
      <c r="M936" s="10" t="b">
        <v>0</v>
      </c>
      <c r="N936" s="10">
        <v>41</v>
      </c>
      <c r="O936" s="11">
        <v>1325</v>
      </c>
      <c r="P936" s="85">
        <v>1.4308855291576674</v>
      </c>
      <c r="Q936" s="11">
        <v>1325</v>
      </c>
      <c r="R936" s="85">
        <v>1.4308855291576674</v>
      </c>
      <c r="S936" s="29" t="s">
        <v>2769</v>
      </c>
      <c r="T936" s="29" t="s">
        <v>2801</v>
      </c>
    </row>
    <row r="937">
      <c r="B937" s="29" t="s">
        <v>1220</v>
      </c>
      <c r="C937" s="29" t="s">
        <v>1248</v>
      </c>
      <c r="D937" s="8" t="s">
        <v>1273</v>
      </c>
      <c r="E937" s="10" t="s">
        <v>2245</v>
      </c>
      <c r="F937" s="10"/>
      <c r="G937" s="10">
        <v>1</v>
      </c>
      <c r="H937" s="10">
        <v>1</v>
      </c>
      <c r="I937" s="10"/>
      <c r="J937" s="10">
        <v>926</v>
      </c>
      <c r="K937" s="104">
        <v>45334</v>
      </c>
      <c r="L937" s="104">
        <v>45380</v>
      </c>
      <c r="M937" s="10" t="b">
        <v>0</v>
      </c>
      <c r="N937" s="10">
        <v>47</v>
      </c>
      <c r="O937" s="11">
        <v>1331</v>
      </c>
      <c r="P937" s="85">
        <v>1.437365010799136</v>
      </c>
      <c r="Q937" s="11">
        <v>1331</v>
      </c>
      <c r="R937" s="85">
        <v>1.437365010799136</v>
      </c>
      <c r="S937" s="29" t="s">
        <v>2768</v>
      </c>
      <c r="T937" s="29" t="s">
        <v>2800</v>
      </c>
    </row>
    <row r="938">
      <c r="B938" s="29" t="s">
        <v>1220</v>
      </c>
      <c r="C938" s="29" t="s">
        <v>1248</v>
      </c>
      <c r="D938" s="8" t="s">
        <v>1273</v>
      </c>
      <c r="E938" s="10" t="s">
        <v>2246</v>
      </c>
      <c r="F938" s="10"/>
      <c r="G938" s="10">
        <v>1</v>
      </c>
      <c r="H938" s="10">
        <v>1</v>
      </c>
      <c r="I938" s="10"/>
      <c r="J938" s="10">
        <v>926</v>
      </c>
      <c r="K938" s="104">
        <v>45517</v>
      </c>
      <c r="L938" s="104">
        <v>45692</v>
      </c>
      <c r="M938" s="10" t="b">
        <v>0</v>
      </c>
      <c r="N938" s="10">
        <v>176</v>
      </c>
      <c r="O938" s="11">
        <v>1334</v>
      </c>
      <c r="P938" s="85">
        <v>1.4406047516198703</v>
      </c>
      <c r="Q938" s="11">
        <v>1334</v>
      </c>
      <c r="R938" s="85">
        <v>1.4406047516198703</v>
      </c>
      <c r="S938" s="29" t="s">
        <v>2768</v>
      </c>
      <c r="T938" s="29" t="s">
        <v>2800</v>
      </c>
    </row>
    <row r="939">
      <c r="B939" s="29" t="s">
        <v>1220</v>
      </c>
      <c r="C939" s="29" t="s">
        <v>1248</v>
      </c>
      <c r="D939" s="8" t="s">
        <v>1273</v>
      </c>
      <c r="E939" s="10" t="s">
        <v>2247</v>
      </c>
      <c r="F939" s="10"/>
      <c r="G939" s="10">
        <v>1</v>
      </c>
      <c r="H939" s="10">
        <v>1</v>
      </c>
      <c r="I939" s="10"/>
      <c r="J939" s="10">
        <v>926</v>
      </c>
      <c r="K939" s="104">
        <v>45423</v>
      </c>
      <c r="L939" s="104">
        <v>45666</v>
      </c>
      <c r="M939" s="10" t="b">
        <v>0</v>
      </c>
      <c r="N939" s="10">
        <v>244</v>
      </c>
      <c r="O939" s="11">
        <v>1336</v>
      </c>
      <c r="P939" s="85">
        <v>1.4427645788336934</v>
      </c>
      <c r="Q939" s="11">
        <v>1336</v>
      </c>
      <c r="R939" s="85">
        <v>1.4427645788336934</v>
      </c>
      <c r="S939" s="29" t="s">
        <v>2768</v>
      </c>
      <c r="T939" s="29" t="s">
        <v>2800</v>
      </c>
    </row>
    <row r="940">
      <c r="B940" s="29" t="s">
        <v>1220</v>
      </c>
      <c r="C940" s="29" t="s">
        <v>1248</v>
      </c>
      <c r="D940" s="8" t="s">
        <v>1273</v>
      </c>
      <c r="E940" s="10" t="s">
        <v>2248</v>
      </c>
      <c r="F940" s="10"/>
      <c r="G940" s="10">
        <v>1</v>
      </c>
      <c r="H940" s="10">
        <v>1</v>
      </c>
      <c r="I940" s="10"/>
      <c r="J940" s="10">
        <v>926</v>
      </c>
      <c r="K940" s="104">
        <v>45680</v>
      </c>
      <c r="L940" s="104">
        <v>45692</v>
      </c>
      <c r="M940" s="10" t="b">
        <v>0</v>
      </c>
      <c r="N940" s="10">
        <v>13</v>
      </c>
      <c r="O940" s="11">
        <v>1337</v>
      </c>
      <c r="P940" s="85">
        <v>1.4438444924406046</v>
      </c>
      <c r="Q940" s="11">
        <v>1337</v>
      </c>
      <c r="R940" s="85">
        <v>1.4438444924406046</v>
      </c>
      <c r="S940" s="29" t="s">
        <v>2768</v>
      </c>
      <c r="T940" s="29" t="s">
        <v>2800</v>
      </c>
    </row>
    <row r="941">
      <c r="B941" s="29" t="s">
        <v>1220</v>
      </c>
      <c r="C941" s="29" t="s">
        <v>1248</v>
      </c>
      <c r="D941" s="8" t="s">
        <v>1273</v>
      </c>
      <c r="E941" s="10" t="s">
        <v>2249</v>
      </c>
      <c r="F941" s="10"/>
      <c r="G941" s="10">
        <v>1</v>
      </c>
      <c r="H941" s="10">
        <v>1</v>
      </c>
      <c r="I941" s="10"/>
      <c r="J941" s="10">
        <v>926</v>
      </c>
      <c r="K941" s="104">
        <v>45365</v>
      </c>
      <c r="L941" s="104">
        <v>45407</v>
      </c>
      <c r="M941" s="10" t="b">
        <v>0</v>
      </c>
      <c r="N941" s="10">
        <v>43</v>
      </c>
      <c r="O941" s="11">
        <v>1351</v>
      </c>
      <c r="P941" s="85">
        <v>1.458963282937365</v>
      </c>
      <c r="Q941" s="11">
        <v>1351</v>
      </c>
      <c r="R941" s="85">
        <v>1.458963282937365</v>
      </c>
      <c r="S941" s="29" t="s">
        <v>2768</v>
      </c>
      <c r="T941" s="29" t="s">
        <v>2800</v>
      </c>
    </row>
    <row r="942">
      <c r="B942" s="29" t="s">
        <v>1220</v>
      </c>
      <c r="C942" s="29" t="s">
        <v>1248</v>
      </c>
      <c r="D942" s="8" t="s">
        <v>1273</v>
      </c>
      <c r="E942" s="10" t="s">
        <v>2250</v>
      </c>
      <c r="F942" s="10"/>
      <c r="G942" s="10">
        <v>1</v>
      </c>
      <c r="H942" s="10">
        <v>1</v>
      </c>
      <c r="I942" s="10"/>
      <c r="J942" s="10">
        <v>926</v>
      </c>
      <c r="K942" s="104">
        <v>45371</v>
      </c>
      <c r="L942" s="104">
        <v>45403</v>
      </c>
      <c r="M942" s="10" t="b">
        <v>0</v>
      </c>
      <c r="N942" s="10">
        <v>33</v>
      </c>
      <c r="O942" s="11">
        <v>1351</v>
      </c>
      <c r="P942" s="85">
        <v>1.458963282937365</v>
      </c>
      <c r="Q942" s="11">
        <v>1351</v>
      </c>
      <c r="R942" s="85">
        <v>1.458963282937365</v>
      </c>
      <c r="S942" s="29" t="s">
        <v>2768</v>
      </c>
      <c r="T942" s="29" t="s">
        <v>2800</v>
      </c>
    </row>
    <row r="943">
      <c r="B943" s="29" t="s">
        <v>1220</v>
      </c>
      <c r="C943" s="29" t="s">
        <v>1248</v>
      </c>
      <c r="D943" s="8" t="s">
        <v>1273</v>
      </c>
      <c r="E943" s="10" t="s">
        <v>2251</v>
      </c>
      <c r="F943" s="10"/>
      <c r="G943" s="10">
        <v>1</v>
      </c>
      <c r="H943" s="10">
        <v>1</v>
      </c>
      <c r="I943" s="10"/>
      <c r="J943" s="10">
        <v>926</v>
      </c>
      <c r="K943" s="104">
        <v>45398</v>
      </c>
      <c r="L943" s="104">
        <v>45406</v>
      </c>
      <c r="M943" s="10" t="b">
        <v>0</v>
      </c>
      <c r="N943" s="10">
        <v>9</v>
      </c>
      <c r="O943" s="11">
        <v>1354</v>
      </c>
      <c r="P943" s="85">
        <v>1.4622030237580994</v>
      </c>
      <c r="Q943" s="11">
        <v>1354</v>
      </c>
      <c r="R943" s="85">
        <v>1.4622030237580994</v>
      </c>
      <c r="S943" s="29" t="s">
        <v>2768</v>
      </c>
      <c r="T943" s="29" t="s">
        <v>2800</v>
      </c>
    </row>
    <row r="944">
      <c r="B944" s="29" t="s">
        <v>1220</v>
      </c>
      <c r="C944" s="29" t="s">
        <v>1248</v>
      </c>
      <c r="D944" s="8" t="s">
        <v>1273</v>
      </c>
      <c r="E944" s="10" t="s">
        <v>2252</v>
      </c>
      <c r="F944" s="10"/>
      <c r="G944" s="10">
        <v>1</v>
      </c>
      <c r="H944" s="10">
        <v>1</v>
      </c>
      <c r="I944" s="10"/>
      <c r="J944" s="10">
        <v>926</v>
      </c>
      <c r="K944" s="104">
        <v>45436</v>
      </c>
      <c r="L944" s="104">
        <v>45439</v>
      </c>
      <c r="M944" s="10" t="b">
        <v>0</v>
      </c>
      <c r="N944" s="10">
        <v>4</v>
      </c>
      <c r="O944" s="11">
        <v>1378</v>
      </c>
      <c r="P944" s="85">
        <v>1.488120950323974</v>
      </c>
      <c r="Q944" s="11">
        <v>1378</v>
      </c>
      <c r="R944" s="85">
        <v>1.488120950323974</v>
      </c>
      <c r="S944" s="29" t="s">
        <v>2768</v>
      </c>
      <c r="T944" s="29" t="s">
        <v>2800</v>
      </c>
    </row>
    <row r="945">
      <c r="B945" s="29" t="s">
        <v>1220</v>
      </c>
      <c r="C945" s="29" t="s">
        <v>1248</v>
      </c>
      <c r="D945" s="8" t="s">
        <v>1273</v>
      </c>
      <c r="E945" s="10" t="s">
        <v>2253</v>
      </c>
      <c r="F945" s="10"/>
      <c r="G945" s="10">
        <v>1</v>
      </c>
      <c r="H945" s="10">
        <v>1</v>
      </c>
      <c r="I945" s="10"/>
      <c r="J945" s="10">
        <v>926</v>
      </c>
      <c r="K945" s="104">
        <v>45542</v>
      </c>
      <c r="L945" s="104">
        <v>45587</v>
      </c>
      <c r="M945" s="10" t="b">
        <v>0</v>
      </c>
      <c r="N945" s="10">
        <v>46</v>
      </c>
      <c r="O945" s="11">
        <v>1394</v>
      </c>
      <c r="P945" s="85">
        <v>1.5053995680345573</v>
      </c>
      <c r="Q945" s="11">
        <v>1394</v>
      </c>
      <c r="R945" s="85">
        <v>1.5053995680345573</v>
      </c>
      <c r="S945" s="29" t="s">
        <v>2768</v>
      </c>
      <c r="T945" s="29" t="s">
        <v>2800</v>
      </c>
    </row>
    <row r="946">
      <c r="B946" s="29" t="s">
        <v>1220</v>
      </c>
      <c r="C946" s="29" t="s">
        <v>1248</v>
      </c>
      <c r="D946" s="8" t="s">
        <v>1273</v>
      </c>
      <c r="E946" s="10" t="s">
        <v>2254</v>
      </c>
      <c r="F946" s="10"/>
      <c r="G946" s="10">
        <v>1</v>
      </c>
      <c r="H946" s="10">
        <v>1</v>
      </c>
      <c r="I946" s="10"/>
      <c r="J946" s="10">
        <v>926</v>
      </c>
      <c r="K946" s="104">
        <v>45505</v>
      </c>
      <c r="L946" s="104">
        <v>45636</v>
      </c>
      <c r="M946" s="10" t="b">
        <v>0</v>
      </c>
      <c r="N946" s="10">
        <v>132</v>
      </c>
      <c r="O946" s="11">
        <v>1394</v>
      </c>
      <c r="P946" s="85">
        <v>1.5053995680345573</v>
      </c>
      <c r="Q946" s="11">
        <v>1394</v>
      </c>
      <c r="R946" s="85">
        <v>1.5053995680345573</v>
      </c>
      <c r="S946" s="29" t="s">
        <v>2768</v>
      </c>
      <c r="T946" s="29" t="s">
        <v>2800</v>
      </c>
    </row>
    <row r="947">
      <c r="B947" s="29" t="s">
        <v>1220</v>
      </c>
      <c r="C947" s="29" t="s">
        <v>1248</v>
      </c>
      <c r="D947" s="8" t="s">
        <v>1273</v>
      </c>
      <c r="E947" s="10" t="s">
        <v>2255</v>
      </c>
      <c r="F947" s="10"/>
      <c r="G947" s="10">
        <v>1</v>
      </c>
      <c r="H947" s="10">
        <v>1</v>
      </c>
      <c r="I947" s="10"/>
      <c r="J947" s="10">
        <v>926</v>
      </c>
      <c r="K947" s="104">
        <v>45500</v>
      </c>
      <c r="L947" s="104">
        <v>45614</v>
      </c>
      <c r="M947" s="10" t="b">
        <v>0</v>
      </c>
      <c r="N947" s="10">
        <v>115</v>
      </c>
      <c r="O947" s="11">
        <v>1396</v>
      </c>
      <c r="P947" s="85">
        <v>1.5075593952483801</v>
      </c>
      <c r="Q947" s="11">
        <v>1396</v>
      </c>
      <c r="R947" s="85">
        <v>1.5075593952483801</v>
      </c>
      <c r="S947" s="29" t="s">
        <v>2768</v>
      </c>
      <c r="T947" s="29" t="s">
        <v>2800</v>
      </c>
    </row>
    <row r="948">
      <c r="B948" s="29" t="s">
        <v>1220</v>
      </c>
      <c r="C948" s="29" t="s">
        <v>1248</v>
      </c>
      <c r="D948" s="8" t="s">
        <v>1273</v>
      </c>
      <c r="E948" s="10" t="s">
        <v>2256</v>
      </c>
      <c r="F948" s="10"/>
      <c r="G948" s="10">
        <v>1</v>
      </c>
      <c r="H948" s="10">
        <v>1</v>
      </c>
      <c r="I948" s="10"/>
      <c r="J948" s="10">
        <v>926</v>
      </c>
      <c r="K948" s="104">
        <v>45526</v>
      </c>
      <c r="L948" s="104">
        <v>45594</v>
      </c>
      <c r="M948" s="10" t="b">
        <v>0</v>
      </c>
      <c r="N948" s="10">
        <v>69</v>
      </c>
      <c r="O948" s="11">
        <v>1402</v>
      </c>
      <c r="P948" s="85">
        <v>1.5140388768898487</v>
      </c>
      <c r="Q948" s="11">
        <v>1402</v>
      </c>
      <c r="R948" s="85">
        <v>1.5140388768898487</v>
      </c>
      <c r="S948" s="29" t="s">
        <v>2768</v>
      </c>
      <c r="T948" s="29" t="s">
        <v>2800</v>
      </c>
    </row>
    <row r="949">
      <c r="B949" s="29" t="s">
        <v>1220</v>
      </c>
      <c r="C949" s="29" t="s">
        <v>1248</v>
      </c>
      <c r="D949" s="8" t="s">
        <v>1273</v>
      </c>
      <c r="E949" s="10" t="s">
        <v>2257</v>
      </c>
      <c r="F949" s="10"/>
      <c r="G949" s="10">
        <v>1</v>
      </c>
      <c r="H949" s="10">
        <v>1</v>
      </c>
      <c r="I949" s="10"/>
      <c r="J949" s="10">
        <v>926</v>
      </c>
      <c r="K949" s="104">
        <v>45335</v>
      </c>
      <c r="L949" s="104">
        <v>45350</v>
      </c>
      <c r="M949" s="10" t="b">
        <v>0</v>
      </c>
      <c r="N949" s="10">
        <v>16</v>
      </c>
      <c r="O949" s="11">
        <v>1430</v>
      </c>
      <c r="P949" s="85">
        <v>1.5442764578833694</v>
      </c>
      <c r="Q949" s="11">
        <v>1430</v>
      </c>
      <c r="R949" s="85">
        <v>1.5442764578833694</v>
      </c>
      <c r="S949" s="29" t="s">
        <v>2768</v>
      </c>
      <c r="T949" s="29" t="s">
        <v>2800</v>
      </c>
    </row>
    <row r="950">
      <c r="B950" s="29" t="s">
        <v>1220</v>
      </c>
      <c r="C950" s="29" t="s">
        <v>1248</v>
      </c>
      <c r="D950" s="8" t="s">
        <v>1273</v>
      </c>
      <c r="E950" s="10" t="s">
        <v>2258</v>
      </c>
      <c r="F950" s="10"/>
      <c r="G950" s="10">
        <v>1</v>
      </c>
      <c r="H950" s="10">
        <v>1</v>
      </c>
      <c r="I950" s="10"/>
      <c r="J950" s="10">
        <v>926</v>
      </c>
      <c r="K950" s="104">
        <v>45364</v>
      </c>
      <c r="L950" s="104">
        <v>45414</v>
      </c>
      <c r="M950" s="10" t="b">
        <v>0</v>
      </c>
      <c r="N950" s="10">
        <v>51</v>
      </c>
      <c r="O950" s="11">
        <v>1441</v>
      </c>
      <c r="P950" s="85">
        <v>1.5561555075593954</v>
      </c>
      <c r="Q950" s="11">
        <v>1441</v>
      </c>
      <c r="R950" s="85">
        <v>1.5561555075593954</v>
      </c>
      <c r="S950" s="29" t="s">
        <v>2768</v>
      </c>
      <c r="T950" s="29" t="s">
        <v>2800</v>
      </c>
    </row>
    <row r="951">
      <c r="B951" s="29" t="s">
        <v>1220</v>
      </c>
      <c r="C951" s="29" t="s">
        <v>1248</v>
      </c>
      <c r="D951" s="8" t="s">
        <v>1273</v>
      </c>
      <c r="E951" s="10" t="s">
        <v>2259</v>
      </c>
      <c r="F951" s="10"/>
      <c r="G951" s="10">
        <v>1</v>
      </c>
      <c r="H951" s="10">
        <v>1</v>
      </c>
      <c r="I951" s="10"/>
      <c r="J951" s="10">
        <v>926</v>
      </c>
      <c r="K951" s="104">
        <v>45376</v>
      </c>
      <c r="L951" s="104">
        <v>45455</v>
      </c>
      <c r="M951" s="10" t="b">
        <v>0</v>
      </c>
      <c r="N951" s="10">
        <v>80</v>
      </c>
      <c r="O951" s="11">
        <v>1441</v>
      </c>
      <c r="P951" s="85">
        <v>1.5561555075593954</v>
      </c>
      <c r="Q951" s="11">
        <v>1441</v>
      </c>
      <c r="R951" s="85">
        <v>1.5561555075593954</v>
      </c>
      <c r="S951" s="29" t="s">
        <v>2768</v>
      </c>
      <c r="T951" s="29" t="s">
        <v>2800</v>
      </c>
    </row>
    <row r="952">
      <c r="B952" s="29" t="s">
        <v>1220</v>
      </c>
      <c r="C952" s="29" t="s">
        <v>1248</v>
      </c>
      <c r="D952" s="8" t="s">
        <v>1273</v>
      </c>
      <c r="E952" s="10" t="s">
        <v>2260</v>
      </c>
      <c r="F952" s="10"/>
      <c r="G952" s="10">
        <v>1</v>
      </c>
      <c r="H952" s="10">
        <v>1</v>
      </c>
      <c r="I952" s="10"/>
      <c r="J952" s="10">
        <v>926</v>
      </c>
      <c r="K952" s="104">
        <v>45561</v>
      </c>
      <c r="L952" s="104">
        <v>45575</v>
      </c>
      <c r="M952" s="10" t="b">
        <v>0</v>
      </c>
      <c r="N952" s="10">
        <v>15</v>
      </c>
      <c r="O952" s="11">
        <v>1447</v>
      </c>
      <c r="P952" s="85">
        <v>1.562634989200864</v>
      </c>
      <c r="Q952" s="11">
        <v>1447</v>
      </c>
      <c r="R952" s="85">
        <v>1.562634989200864</v>
      </c>
      <c r="S952" s="29" t="s">
        <v>2768</v>
      </c>
      <c r="T952" s="29" t="s">
        <v>2800</v>
      </c>
    </row>
    <row r="953">
      <c r="B953" s="29" t="s">
        <v>1220</v>
      </c>
      <c r="C953" s="29" t="s">
        <v>1248</v>
      </c>
      <c r="D953" s="8" t="s">
        <v>1273</v>
      </c>
      <c r="E953" s="10" t="s">
        <v>2261</v>
      </c>
      <c r="F953" s="10"/>
      <c r="G953" s="10">
        <v>1</v>
      </c>
      <c r="H953" s="10">
        <v>1</v>
      </c>
      <c r="I953" s="10"/>
      <c r="J953" s="10">
        <v>926</v>
      </c>
      <c r="K953" s="104">
        <v>45393</v>
      </c>
      <c r="L953" s="104">
        <v>45417</v>
      </c>
      <c r="M953" s="10" t="b">
        <v>0</v>
      </c>
      <c r="N953" s="10">
        <v>25</v>
      </c>
      <c r="O953" s="11">
        <v>1449</v>
      </c>
      <c r="P953" s="85">
        <v>1.5647948164146868</v>
      </c>
      <c r="Q953" s="11">
        <v>1449</v>
      </c>
      <c r="R953" s="85">
        <v>1.5647948164146868</v>
      </c>
      <c r="S953" s="29" t="s">
        <v>2768</v>
      </c>
      <c r="T953" s="29" t="s">
        <v>2800</v>
      </c>
    </row>
    <row r="954">
      <c r="B954" s="29" t="s">
        <v>1220</v>
      </c>
      <c r="C954" s="29" t="s">
        <v>1248</v>
      </c>
      <c r="D954" s="8" t="s">
        <v>1273</v>
      </c>
      <c r="E954" s="10" t="s">
        <v>2262</v>
      </c>
      <c r="F954" s="10"/>
      <c r="G954" s="10">
        <v>1</v>
      </c>
      <c r="H954" s="10">
        <v>1</v>
      </c>
      <c r="I954" s="10"/>
      <c r="J954" s="10">
        <v>926</v>
      </c>
      <c r="K954" s="104">
        <v>45370</v>
      </c>
      <c r="L954" s="104">
        <v>45453</v>
      </c>
      <c r="M954" s="10" t="b">
        <v>0</v>
      </c>
      <c r="N954" s="10">
        <v>84</v>
      </c>
      <c r="O954" s="11">
        <v>1457</v>
      </c>
      <c r="P954" s="85">
        <v>1.5734341252699784</v>
      </c>
      <c r="Q954" s="11">
        <v>1457</v>
      </c>
      <c r="R954" s="85">
        <v>1.5734341252699784</v>
      </c>
      <c r="S954" s="29" t="s">
        <v>2768</v>
      </c>
      <c r="T954" s="29" t="s">
        <v>2800</v>
      </c>
    </row>
    <row r="955">
      <c r="B955" s="29" t="s">
        <v>1220</v>
      </c>
      <c r="C955" s="29" t="s">
        <v>1248</v>
      </c>
      <c r="D955" s="8" t="s">
        <v>1273</v>
      </c>
      <c r="E955" s="10" t="s">
        <v>2263</v>
      </c>
      <c r="F955" s="10"/>
      <c r="G955" s="10">
        <v>1</v>
      </c>
      <c r="H955" s="10">
        <v>1</v>
      </c>
      <c r="I955" s="10"/>
      <c r="J955" s="10">
        <v>926</v>
      </c>
      <c r="K955" s="104">
        <v>45372</v>
      </c>
      <c r="L955" s="104">
        <v>45433</v>
      </c>
      <c r="M955" s="10" t="b">
        <v>0</v>
      </c>
      <c r="N955" s="10">
        <v>62</v>
      </c>
      <c r="O955" s="11">
        <v>1480</v>
      </c>
      <c r="P955" s="85">
        <v>1.5982721382289418</v>
      </c>
      <c r="Q955" s="11">
        <v>1480</v>
      </c>
      <c r="R955" s="85">
        <v>1.5982721382289418</v>
      </c>
      <c r="S955" s="29" t="s">
        <v>2769</v>
      </c>
      <c r="T955" s="29" t="s">
        <v>2801</v>
      </c>
    </row>
    <row r="956">
      <c r="B956" s="29" t="s">
        <v>1220</v>
      </c>
      <c r="C956" s="29" t="s">
        <v>1248</v>
      </c>
      <c r="D956" s="8" t="s">
        <v>1273</v>
      </c>
      <c r="E956" s="10" t="s">
        <v>2264</v>
      </c>
      <c r="F956" s="10"/>
      <c r="G956" s="10">
        <v>1</v>
      </c>
      <c r="H956" s="10">
        <v>1</v>
      </c>
      <c r="I956" s="10"/>
      <c r="J956" s="10">
        <v>926</v>
      </c>
      <c r="K956" s="104">
        <v>45334</v>
      </c>
      <c r="L956" s="104">
        <v>45464</v>
      </c>
      <c r="M956" s="10" t="b">
        <v>0</v>
      </c>
      <c r="N956" s="10">
        <v>131</v>
      </c>
      <c r="O956" s="11">
        <v>1496</v>
      </c>
      <c r="P956" s="85">
        <v>1.6155507559395248</v>
      </c>
      <c r="Q956" s="11">
        <v>1496</v>
      </c>
      <c r="R956" s="85">
        <v>1.6155507559395248</v>
      </c>
      <c r="S956" s="29" t="s">
        <v>2768</v>
      </c>
      <c r="T956" s="29" t="s">
        <v>2800</v>
      </c>
    </row>
    <row r="957">
      <c r="B957" s="29" t="s">
        <v>1220</v>
      </c>
      <c r="C957" s="29" t="s">
        <v>1248</v>
      </c>
      <c r="D957" s="8" t="s">
        <v>1273</v>
      </c>
      <c r="E957" s="10" t="s">
        <v>2265</v>
      </c>
      <c r="F957" s="10"/>
      <c r="G957" s="10">
        <v>1</v>
      </c>
      <c r="H957" s="10">
        <v>1</v>
      </c>
      <c r="I957" s="10"/>
      <c r="J957" s="10">
        <v>926</v>
      </c>
      <c r="K957" s="104">
        <v>45337</v>
      </c>
      <c r="L957" s="104">
        <v>45419</v>
      </c>
      <c r="M957" s="10" t="b">
        <v>0</v>
      </c>
      <c r="N957" s="10">
        <v>83</v>
      </c>
      <c r="O957" s="11">
        <v>1533</v>
      </c>
      <c r="P957" s="85">
        <v>1.6555075593952484</v>
      </c>
      <c r="Q957" s="11">
        <v>1533</v>
      </c>
      <c r="R957" s="85">
        <v>1.6555075593952484</v>
      </c>
      <c r="S957" s="29" t="s">
        <v>2768</v>
      </c>
      <c r="T957" s="29" t="s">
        <v>2800</v>
      </c>
    </row>
    <row r="958">
      <c r="B958" s="29" t="s">
        <v>1220</v>
      </c>
      <c r="C958" s="29" t="s">
        <v>1248</v>
      </c>
      <c r="D958" s="8" t="s">
        <v>1273</v>
      </c>
      <c r="E958" s="10" t="s">
        <v>2266</v>
      </c>
      <c r="F958" s="10"/>
      <c r="G958" s="10">
        <v>1</v>
      </c>
      <c r="H958" s="10">
        <v>1</v>
      </c>
      <c r="I958" s="10"/>
      <c r="J958" s="10">
        <v>926</v>
      </c>
      <c r="K958" s="104">
        <v>45482</v>
      </c>
      <c r="L958" s="104">
        <v>45701</v>
      </c>
      <c r="M958" s="10" t="b">
        <v>0</v>
      </c>
      <c r="N958" s="10">
        <v>220</v>
      </c>
      <c r="O958" s="11">
        <v>1573</v>
      </c>
      <c r="P958" s="85">
        <v>1.6987041036717063</v>
      </c>
      <c r="Q958" s="11">
        <v>1573</v>
      </c>
      <c r="R958" s="85">
        <v>1.6987041036717063</v>
      </c>
      <c r="S958" s="29" t="s">
        <v>2768</v>
      </c>
      <c r="T958" s="29" t="s">
        <v>2800</v>
      </c>
    </row>
    <row r="959">
      <c r="B959" s="29" t="s">
        <v>1220</v>
      </c>
      <c r="C959" s="29" t="s">
        <v>1248</v>
      </c>
      <c r="D959" s="8" t="s">
        <v>1273</v>
      </c>
      <c r="E959" s="10" t="s">
        <v>2267</v>
      </c>
      <c r="F959" s="10"/>
      <c r="G959" s="10">
        <v>1</v>
      </c>
      <c r="H959" s="10">
        <v>1</v>
      </c>
      <c r="I959" s="10"/>
      <c r="J959" s="10">
        <v>926</v>
      </c>
      <c r="K959" s="104">
        <v>45735</v>
      </c>
      <c r="L959" s="104">
        <v>45768</v>
      </c>
      <c r="M959" s="10" t="b">
        <v>0</v>
      </c>
      <c r="N959" s="10">
        <v>34</v>
      </c>
      <c r="O959" s="11">
        <v>1621</v>
      </c>
      <c r="P959" s="85">
        <v>1.7505399568034556</v>
      </c>
      <c r="Q959" s="11">
        <v>1621</v>
      </c>
      <c r="R959" s="85">
        <v>1.7505399568034556</v>
      </c>
      <c r="S959" s="29" t="s">
        <v>2770</v>
      </c>
      <c r="T959" s="29" t="s">
        <v>2802</v>
      </c>
    </row>
    <row r="960">
      <c r="B960" s="29" t="s">
        <v>1220</v>
      </c>
      <c r="C960" s="29" t="s">
        <v>1248</v>
      </c>
      <c r="D960" s="8" t="s">
        <v>1273</v>
      </c>
      <c r="E960" s="10" t="s">
        <v>2268</v>
      </c>
      <c r="F960" s="10"/>
      <c r="G960" s="10">
        <v>1</v>
      </c>
      <c r="H960" s="10">
        <v>1</v>
      </c>
      <c r="I960" s="10"/>
      <c r="J960" s="10">
        <v>926</v>
      </c>
      <c r="K960" s="104">
        <v>45748</v>
      </c>
      <c r="L960" s="104"/>
      <c r="M960" s="10" t="b">
        <v>1</v>
      </c>
      <c r="N960" s="10"/>
      <c r="O960" s="11">
        <v>1646</v>
      </c>
      <c r="P960" s="85">
        <v>1.7775377969762418</v>
      </c>
      <c r="Q960" s="11">
        <v>1646</v>
      </c>
      <c r="R960" s="85">
        <v>1.7775377969762418</v>
      </c>
      <c r="S960" s="29" t="s">
        <v>2771</v>
      </c>
      <c r="T960" s="29" t="s">
        <v>2800</v>
      </c>
    </row>
    <row r="961">
      <c r="B961" s="29" t="s">
        <v>1220</v>
      </c>
      <c r="C961" s="29" t="s">
        <v>1248</v>
      </c>
      <c r="D961" s="8" t="s">
        <v>1273</v>
      </c>
      <c r="E961" s="10" t="s">
        <v>2269</v>
      </c>
      <c r="F961" s="10"/>
      <c r="G961" s="10">
        <v>1</v>
      </c>
      <c r="H961" s="10">
        <v>1</v>
      </c>
      <c r="I961" s="10"/>
      <c r="J961" s="10">
        <v>926</v>
      </c>
      <c r="K961" s="104">
        <v>45554</v>
      </c>
      <c r="L961" s="104"/>
      <c r="M961" s="10" t="b">
        <v>1</v>
      </c>
      <c r="N961" s="10"/>
      <c r="O961" s="11">
        <v>1646</v>
      </c>
      <c r="P961" s="85">
        <v>1.7775377969762418</v>
      </c>
      <c r="Q961" s="11">
        <v>1646</v>
      </c>
      <c r="R961" s="85">
        <v>1.7775377969762418</v>
      </c>
      <c r="S961" s="29" t="s">
        <v>2770</v>
      </c>
      <c r="T961" s="29" t="s">
        <v>2802</v>
      </c>
    </row>
    <row r="962">
      <c r="B962" s="29" t="s">
        <v>1220</v>
      </c>
      <c r="C962" s="29" t="s">
        <v>1248</v>
      </c>
      <c r="D962" s="8" t="s">
        <v>1273</v>
      </c>
      <c r="E962" s="10" t="s">
        <v>2270</v>
      </c>
      <c r="F962" s="10"/>
      <c r="G962" s="10">
        <v>1</v>
      </c>
      <c r="H962" s="10">
        <v>1</v>
      </c>
      <c r="I962" s="10"/>
      <c r="J962" s="10">
        <v>926</v>
      </c>
      <c r="K962" s="104">
        <v>45777</v>
      </c>
      <c r="L962" s="104"/>
      <c r="M962" s="10" t="b">
        <v>1</v>
      </c>
      <c r="N962" s="10"/>
      <c r="O962" s="11">
        <v>1646</v>
      </c>
      <c r="P962" s="85">
        <v>1.7775377969762418</v>
      </c>
      <c r="Q962" s="11">
        <v>1646</v>
      </c>
      <c r="R962" s="85">
        <v>1.7775377969762418</v>
      </c>
      <c r="S962" s="29" t="s">
        <v>2770</v>
      </c>
      <c r="T962" s="29" t="s">
        <v>2802</v>
      </c>
    </row>
    <row r="963">
      <c r="B963" s="29" t="s">
        <v>1220</v>
      </c>
      <c r="C963" s="29" t="s">
        <v>1248</v>
      </c>
      <c r="D963" s="8" t="s">
        <v>1273</v>
      </c>
      <c r="E963" s="10" t="s">
        <v>2271</v>
      </c>
      <c r="F963" s="10"/>
      <c r="G963" s="10">
        <v>1</v>
      </c>
      <c r="H963" s="10">
        <v>1</v>
      </c>
      <c r="I963" s="10"/>
      <c r="J963" s="10">
        <v>926</v>
      </c>
      <c r="K963" s="104">
        <v>45591</v>
      </c>
      <c r="L963" s="104"/>
      <c r="M963" s="10" t="b">
        <v>1</v>
      </c>
      <c r="N963" s="10"/>
      <c r="O963" s="11">
        <v>1646</v>
      </c>
      <c r="P963" s="85">
        <v>1.7775377969762418</v>
      </c>
      <c r="Q963" s="11">
        <v>1646</v>
      </c>
      <c r="R963" s="85">
        <v>1.7775377969762418</v>
      </c>
      <c r="S963" s="29" t="s">
        <v>2770</v>
      </c>
      <c r="T963" s="29" t="s">
        <v>2802</v>
      </c>
    </row>
    <row r="964">
      <c r="B964" s="29" t="s">
        <v>1220</v>
      </c>
      <c r="C964" s="29" t="s">
        <v>1248</v>
      </c>
      <c r="D964" s="8" t="s">
        <v>1273</v>
      </c>
      <c r="E964" s="10" t="s">
        <v>2272</v>
      </c>
      <c r="F964" s="10"/>
      <c r="G964" s="10">
        <v>1</v>
      </c>
      <c r="H964" s="10">
        <v>1</v>
      </c>
      <c r="I964" s="10"/>
      <c r="J964" s="10">
        <v>926</v>
      </c>
      <c r="K964" s="104">
        <v>45458</v>
      </c>
      <c r="L964" s="104"/>
      <c r="M964" s="10" t="b">
        <v>1</v>
      </c>
      <c r="N964" s="10"/>
      <c r="O964" s="11">
        <v>1646</v>
      </c>
      <c r="P964" s="85">
        <v>1.7775377969762418</v>
      </c>
      <c r="Q964" s="11">
        <v>1646</v>
      </c>
      <c r="R964" s="85">
        <v>1.7775377969762418</v>
      </c>
      <c r="S964" s="29" t="s">
        <v>2770</v>
      </c>
      <c r="T964" s="29" t="s">
        <v>2802</v>
      </c>
    </row>
    <row r="965">
      <c r="B965" s="29" t="s">
        <v>1220</v>
      </c>
      <c r="C965" s="29" t="s">
        <v>1248</v>
      </c>
      <c r="D965" s="8" t="s">
        <v>1273</v>
      </c>
      <c r="E965" s="10" t="s">
        <v>2273</v>
      </c>
      <c r="F965" s="10"/>
      <c r="G965" s="10">
        <v>1</v>
      </c>
      <c r="H965" s="10">
        <v>1</v>
      </c>
      <c r="I965" s="10"/>
      <c r="J965" s="10">
        <v>926</v>
      </c>
      <c r="K965" s="104">
        <v>45708</v>
      </c>
      <c r="L965" s="104"/>
      <c r="M965" s="10" t="b">
        <v>1</v>
      </c>
      <c r="N965" s="10"/>
      <c r="O965" s="11">
        <v>1646</v>
      </c>
      <c r="P965" s="85">
        <v>1.7775377969762418</v>
      </c>
      <c r="Q965" s="11">
        <v>1646</v>
      </c>
      <c r="R965" s="85">
        <v>1.7775377969762418</v>
      </c>
      <c r="S965" s="29" t="s">
        <v>2772</v>
      </c>
      <c r="T965" s="29" t="s">
        <v>2803</v>
      </c>
    </row>
    <row r="966">
      <c r="B966" s="29" t="s">
        <v>1220</v>
      </c>
      <c r="C966" s="29" t="s">
        <v>1248</v>
      </c>
      <c r="D966" s="8" t="s">
        <v>1273</v>
      </c>
      <c r="E966" s="10" t="s">
        <v>2274</v>
      </c>
      <c r="F966" s="10"/>
      <c r="G966" s="10">
        <v>1</v>
      </c>
      <c r="H966" s="10">
        <v>1</v>
      </c>
      <c r="I966" s="10"/>
      <c r="J966" s="10">
        <v>926</v>
      </c>
      <c r="K966" s="104">
        <v>45409</v>
      </c>
      <c r="L966" s="104">
        <v>45502</v>
      </c>
      <c r="M966" s="10" t="b">
        <v>0</v>
      </c>
      <c r="N966" s="10">
        <v>94</v>
      </c>
      <c r="O966" s="11">
        <v>1670</v>
      </c>
      <c r="P966" s="85">
        <v>1.8034557235421167</v>
      </c>
      <c r="Q966" s="11">
        <v>1670</v>
      </c>
      <c r="R966" s="85">
        <v>1.8034557235421167</v>
      </c>
      <c r="S966" s="29" t="s">
        <v>2768</v>
      </c>
      <c r="T966" s="29" t="s">
        <v>2800</v>
      </c>
    </row>
    <row r="967">
      <c r="B967" s="29" t="s">
        <v>1220</v>
      </c>
      <c r="C967" s="29" t="s">
        <v>1248</v>
      </c>
      <c r="D967" s="8" t="s">
        <v>1273</v>
      </c>
      <c r="E967" s="10" t="s">
        <v>2275</v>
      </c>
      <c r="F967" s="10"/>
      <c r="G967" s="10">
        <v>1</v>
      </c>
      <c r="H967" s="10">
        <v>1</v>
      </c>
      <c r="I967" s="10"/>
      <c r="J967" s="10">
        <v>926</v>
      </c>
      <c r="K967" s="104">
        <v>45783</v>
      </c>
      <c r="L967" s="104"/>
      <c r="M967" s="10" t="b">
        <v>1</v>
      </c>
      <c r="N967" s="10"/>
      <c r="O967" s="11">
        <v>1671</v>
      </c>
      <c r="P967" s="85">
        <v>1.804535637149028</v>
      </c>
      <c r="Q967" s="11">
        <v>1671</v>
      </c>
      <c r="R967" s="85">
        <v>1.804535637149028</v>
      </c>
      <c r="S967" s="29" t="s">
        <v>2768</v>
      </c>
      <c r="T967" s="29" t="s">
        <v>2800</v>
      </c>
    </row>
    <row r="968">
      <c r="B968" s="29" t="s">
        <v>1220</v>
      </c>
      <c r="C968" s="29" t="s">
        <v>1248</v>
      </c>
      <c r="D968" s="8" t="s">
        <v>1273</v>
      </c>
      <c r="E968" s="10" t="s">
        <v>2276</v>
      </c>
      <c r="F968" s="10"/>
      <c r="G968" s="10">
        <v>1</v>
      </c>
      <c r="H968" s="10">
        <v>1</v>
      </c>
      <c r="I968" s="10"/>
      <c r="J968" s="10">
        <v>926</v>
      </c>
      <c r="K968" s="104">
        <v>45717</v>
      </c>
      <c r="L968" s="104"/>
      <c r="M968" s="10" t="b">
        <v>1</v>
      </c>
      <c r="N968" s="10"/>
      <c r="O968" s="11">
        <v>1671</v>
      </c>
      <c r="P968" s="85">
        <v>1.804535637149028</v>
      </c>
      <c r="Q968" s="11">
        <v>1671</v>
      </c>
      <c r="R968" s="85">
        <v>1.804535637149028</v>
      </c>
      <c r="S968" s="29" t="s">
        <v>2768</v>
      </c>
      <c r="T968" s="29" t="s">
        <v>2800</v>
      </c>
    </row>
    <row r="969">
      <c r="B969" s="29" t="s">
        <v>1220</v>
      </c>
      <c r="C969" s="29" t="s">
        <v>1248</v>
      </c>
      <c r="D969" s="8" t="s">
        <v>1273</v>
      </c>
      <c r="E969" s="10" t="s">
        <v>2277</v>
      </c>
      <c r="F969" s="10"/>
      <c r="G969" s="10">
        <v>1</v>
      </c>
      <c r="H969" s="10">
        <v>1</v>
      </c>
      <c r="I969" s="10"/>
      <c r="J969" s="10">
        <v>926</v>
      </c>
      <c r="K969" s="104">
        <v>45784</v>
      </c>
      <c r="L969" s="104"/>
      <c r="M969" s="10" t="b">
        <v>1</v>
      </c>
      <c r="N969" s="10"/>
      <c r="O969" s="11">
        <v>1671</v>
      </c>
      <c r="P969" s="85">
        <v>1.804535637149028</v>
      </c>
      <c r="Q969" s="11">
        <v>1671</v>
      </c>
      <c r="R969" s="85">
        <v>1.804535637149028</v>
      </c>
      <c r="S969" s="29" t="s">
        <v>2773</v>
      </c>
      <c r="T969" s="29" t="s">
        <v>2801</v>
      </c>
    </row>
    <row r="970">
      <c r="B970" s="29" t="s">
        <v>1220</v>
      </c>
      <c r="C970" s="29" t="s">
        <v>1248</v>
      </c>
      <c r="D970" s="8" t="s">
        <v>1273</v>
      </c>
      <c r="E970" s="10" t="s">
        <v>2278</v>
      </c>
      <c r="F970" s="10"/>
      <c r="G970" s="10">
        <v>1</v>
      </c>
      <c r="H970" s="10">
        <v>1</v>
      </c>
      <c r="I970" s="10"/>
      <c r="J970" s="10">
        <v>926</v>
      </c>
      <c r="K970" s="104">
        <v>45455</v>
      </c>
      <c r="L970" s="104">
        <v>45514</v>
      </c>
      <c r="M970" s="10" t="b">
        <v>0</v>
      </c>
      <c r="N970" s="10">
        <v>60</v>
      </c>
      <c r="O970" s="11">
        <v>1683</v>
      </c>
      <c r="P970" s="85">
        <v>1.8174946004319654</v>
      </c>
      <c r="Q970" s="11">
        <v>1683</v>
      </c>
      <c r="R970" s="85">
        <v>1.8174946004319654</v>
      </c>
      <c r="S970" s="29" t="s">
        <v>2774</v>
      </c>
      <c r="T970" s="29" t="s">
        <v>2801</v>
      </c>
    </row>
    <row r="971">
      <c r="B971" s="29" t="s">
        <v>1220</v>
      </c>
      <c r="C971" s="29" t="s">
        <v>1248</v>
      </c>
      <c r="D971" s="8" t="s">
        <v>1273</v>
      </c>
      <c r="E971" s="10" t="s">
        <v>2279</v>
      </c>
      <c r="F971" s="10"/>
      <c r="G971" s="10">
        <v>1</v>
      </c>
      <c r="H971" s="10">
        <v>1</v>
      </c>
      <c r="I971" s="10"/>
      <c r="J971" s="10">
        <v>926</v>
      </c>
      <c r="K971" s="104">
        <v>45691</v>
      </c>
      <c r="L971" s="104">
        <v>45720</v>
      </c>
      <c r="M971" s="10" t="b">
        <v>0</v>
      </c>
      <c r="N971" s="10">
        <v>30</v>
      </c>
      <c r="O971" s="11">
        <v>1688</v>
      </c>
      <c r="P971" s="85">
        <v>1.8228941684665227</v>
      </c>
      <c r="Q971" s="11">
        <v>1688</v>
      </c>
      <c r="R971" s="85">
        <v>1.8228941684665227</v>
      </c>
      <c r="S971" s="29" t="s">
        <v>2768</v>
      </c>
      <c r="T971" s="29" t="s">
        <v>2800</v>
      </c>
    </row>
    <row r="972">
      <c r="B972" s="29" t="s">
        <v>1220</v>
      </c>
      <c r="C972" s="29" t="s">
        <v>1248</v>
      </c>
      <c r="D972" s="8" t="s">
        <v>1273</v>
      </c>
      <c r="E972" s="10" t="s">
        <v>2280</v>
      </c>
      <c r="F972" s="10"/>
      <c r="G972" s="10">
        <v>1</v>
      </c>
      <c r="H972" s="10">
        <v>1</v>
      </c>
      <c r="I972" s="10"/>
      <c r="J972" s="10">
        <v>926</v>
      </c>
      <c r="K972" s="104">
        <v>45665</v>
      </c>
      <c r="L972" s="104">
        <v>45724</v>
      </c>
      <c r="M972" s="10" t="b">
        <v>0</v>
      </c>
      <c r="N972" s="10">
        <v>60</v>
      </c>
      <c r="O972" s="11">
        <v>1688</v>
      </c>
      <c r="P972" s="85">
        <v>1.8228941684665227</v>
      </c>
      <c r="Q972" s="11">
        <v>1688</v>
      </c>
      <c r="R972" s="85">
        <v>1.8228941684665227</v>
      </c>
      <c r="S972" s="29" t="s">
        <v>2768</v>
      </c>
      <c r="T972" s="29" t="s">
        <v>2800</v>
      </c>
    </row>
    <row r="973">
      <c r="B973" s="29" t="s">
        <v>1220</v>
      </c>
      <c r="C973" s="29" t="s">
        <v>1248</v>
      </c>
      <c r="D973" s="8" t="s">
        <v>1273</v>
      </c>
      <c r="E973" s="10" t="s">
        <v>2281</v>
      </c>
      <c r="F973" s="10">
        <v>2</v>
      </c>
      <c r="G973" s="10">
        <v>1</v>
      </c>
      <c r="H973" s="10">
        <v>1</v>
      </c>
      <c r="I973" s="10"/>
      <c r="J973" s="10">
        <v>926</v>
      </c>
      <c r="K973" s="104">
        <v>45197</v>
      </c>
      <c r="L973" s="104">
        <v>45323</v>
      </c>
      <c r="M973" s="10" t="b">
        <v>0</v>
      </c>
      <c r="N973" s="10">
        <v>127</v>
      </c>
      <c r="O973" s="11">
        <v>1366</v>
      </c>
      <c r="P973" s="85">
        <v>1.4751619870410366</v>
      </c>
      <c r="Q973" s="11">
        <v>1366</v>
      </c>
      <c r="R973" s="85">
        <v>1.4751619870410366</v>
      </c>
      <c r="S973" s="29" t="s">
        <v>2719</v>
      </c>
      <c r="T973" s="29" t="s">
        <v>2719</v>
      </c>
    </row>
    <row r="974">
      <c r="B974" s="29" t="s">
        <v>1220</v>
      </c>
      <c r="C974" s="29" t="s">
        <v>1248</v>
      </c>
      <c r="D974" s="8" t="s">
        <v>1273</v>
      </c>
      <c r="E974" s="10" t="s">
        <v>2282</v>
      </c>
      <c r="F974" s="10">
        <v>2</v>
      </c>
      <c r="G974" s="10">
        <v>1</v>
      </c>
      <c r="H974" s="10">
        <v>1</v>
      </c>
      <c r="I974" s="10"/>
      <c r="J974" s="10">
        <v>926</v>
      </c>
      <c r="K974" s="104">
        <v>45154</v>
      </c>
      <c r="L974" s="104">
        <v>45318</v>
      </c>
      <c r="M974" s="10" t="b">
        <v>0</v>
      </c>
      <c r="N974" s="10">
        <v>165</v>
      </c>
      <c r="O974" s="11">
        <v>1408</v>
      </c>
      <c r="P974" s="85">
        <v>1.5205183585313176</v>
      </c>
      <c r="Q974" s="11">
        <v>1408</v>
      </c>
      <c r="R974" s="85">
        <v>1.5205183585313176</v>
      </c>
      <c r="S974" s="29" t="s">
        <v>2719</v>
      </c>
      <c r="T974" s="29" t="s">
        <v>2719</v>
      </c>
    </row>
    <row r="975">
      <c r="B975" s="29" t="s">
        <v>1220</v>
      </c>
      <c r="C975" s="29" t="s">
        <v>1248</v>
      </c>
      <c r="D975" s="8" t="s">
        <v>1273</v>
      </c>
      <c r="E975" s="10" t="s">
        <v>2283</v>
      </c>
      <c r="F975" s="10">
        <v>4</v>
      </c>
      <c r="G975" s="10">
        <v>1</v>
      </c>
      <c r="H975" s="10">
        <v>1</v>
      </c>
      <c r="I975" s="10"/>
      <c r="J975" s="10">
        <v>926</v>
      </c>
      <c r="K975" s="104">
        <v>45233</v>
      </c>
      <c r="L975" s="104">
        <v>45302</v>
      </c>
      <c r="M975" s="10" t="b">
        <v>0</v>
      </c>
      <c r="N975" s="10">
        <v>70</v>
      </c>
      <c r="O975" s="11">
        <v>1540</v>
      </c>
      <c r="P975" s="85">
        <v>1.6630669546436285</v>
      </c>
      <c r="Q975" s="11">
        <v>1540</v>
      </c>
      <c r="R975" s="85">
        <v>1.6630669546436285</v>
      </c>
      <c r="S975" s="29" t="s">
        <v>2719</v>
      </c>
      <c r="T975" s="29" t="s">
        <v>2719</v>
      </c>
    </row>
    <row r="976">
      <c r="B976" s="29" t="s">
        <v>1220</v>
      </c>
      <c r="C976" s="29" t="s">
        <v>1248</v>
      </c>
      <c r="D976" s="8" t="s">
        <v>1273</v>
      </c>
      <c r="E976" s="10"/>
      <c r="F976" s="10"/>
      <c r="G976" s="10">
        <v>1</v>
      </c>
      <c r="H976" s="10">
        <v>1</v>
      </c>
      <c r="I976" s="10"/>
      <c r="J976" s="10">
        <v>926</v>
      </c>
      <c r="K976" s="104"/>
      <c r="L976" s="104">
        <v>45153</v>
      </c>
      <c r="M976" s="10" t="b">
        <v>0</v>
      </c>
      <c r="N976" s="10"/>
      <c r="O976" s="11">
        <v>1748</v>
      </c>
      <c r="P976" s="85">
        <v>1.8876889848812095</v>
      </c>
      <c r="Q976" s="11">
        <v>1748</v>
      </c>
      <c r="R976" s="85">
        <v>1.8876889848812095</v>
      </c>
      <c r="S976" s="29" t="s">
        <v>2719</v>
      </c>
      <c r="T976" s="29" t="s">
        <v>2719</v>
      </c>
    </row>
    <row r="977">
      <c r="B977" s="29" t="s">
        <v>1220</v>
      </c>
      <c r="C977" s="29" t="s">
        <v>1248</v>
      </c>
      <c r="D977" s="8" t="s">
        <v>1273</v>
      </c>
      <c r="E977" s="10" t="s">
        <v>2284</v>
      </c>
      <c r="F977" s="10">
        <v>3</v>
      </c>
      <c r="G977" s="10">
        <v>1</v>
      </c>
      <c r="H977" s="10">
        <v>1</v>
      </c>
      <c r="I977" s="10"/>
      <c r="J977" s="10">
        <v>926</v>
      </c>
      <c r="K977" s="104">
        <v>45169</v>
      </c>
      <c r="L977" s="104">
        <v>45334</v>
      </c>
      <c r="M977" s="10" t="b">
        <v>0</v>
      </c>
      <c r="N977" s="10">
        <v>166</v>
      </c>
      <c r="O977" s="11">
        <v>1824</v>
      </c>
      <c r="P977" s="85">
        <v>1.9697624190064795</v>
      </c>
      <c r="Q977" s="11">
        <v>1824</v>
      </c>
      <c r="R977" s="85">
        <v>1.9697624190064795</v>
      </c>
      <c r="S977" s="29" t="s">
        <v>2719</v>
      </c>
      <c r="T977" s="29" t="s">
        <v>2719</v>
      </c>
    </row>
    <row r="978">
      <c r="B978" s="29" t="s">
        <v>1220</v>
      </c>
      <c r="C978" s="29" t="s">
        <v>1248</v>
      </c>
      <c r="D978" s="8" t="s">
        <v>1273</v>
      </c>
      <c r="E978" s="10" t="s">
        <v>2285</v>
      </c>
      <c r="F978" s="10">
        <v>6</v>
      </c>
      <c r="G978" s="10">
        <v>1</v>
      </c>
      <c r="H978" s="10">
        <v>1</v>
      </c>
      <c r="I978" s="10"/>
      <c r="J978" s="10">
        <v>926</v>
      </c>
      <c r="K978" s="104">
        <v>45153</v>
      </c>
      <c r="L978" s="104">
        <v>45334</v>
      </c>
      <c r="M978" s="10" t="b">
        <v>0</v>
      </c>
      <c r="N978" s="10">
        <v>182</v>
      </c>
      <c r="O978" s="11">
        <v>1824</v>
      </c>
      <c r="P978" s="85">
        <v>1.9697624190064795</v>
      </c>
      <c r="Q978" s="11">
        <v>1824</v>
      </c>
      <c r="R978" s="85">
        <v>1.9697624190064795</v>
      </c>
      <c r="S978" s="29" t="s">
        <v>2719</v>
      </c>
      <c r="T978" s="29" t="s">
        <v>2719</v>
      </c>
    </row>
    <row r="979">
      <c r="B979" s="29" t="s">
        <v>1220</v>
      </c>
      <c r="C979" s="29" t="s">
        <v>1248</v>
      </c>
      <c r="D979" s="8" t="s">
        <v>1273</v>
      </c>
      <c r="E979" s="10" t="s">
        <v>2286</v>
      </c>
      <c r="F979" s="10">
        <v>2</v>
      </c>
      <c r="G979" s="10">
        <v>1</v>
      </c>
      <c r="H979" s="10">
        <v>1</v>
      </c>
      <c r="I979" s="10"/>
      <c r="J979" s="10">
        <v>926</v>
      </c>
      <c r="K979" s="104">
        <v>45271</v>
      </c>
      <c r="L979" s="104">
        <v>45334</v>
      </c>
      <c r="M979" s="10" t="b">
        <v>0</v>
      </c>
      <c r="N979" s="10">
        <v>64</v>
      </c>
      <c r="O979" s="11">
        <v>1824</v>
      </c>
      <c r="P979" s="85">
        <v>1.9697624190064795</v>
      </c>
      <c r="Q979" s="11">
        <v>1824</v>
      </c>
      <c r="R979" s="85">
        <v>1.9697624190064795</v>
      </c>
      <c r="S979" s="29" t="s">
        <v>2719</v>
      </c>
      <c r="T979" s="29" t="s">
        <v>2719</v>
      </c>
    </row>
    <row r="980">
      <c r="B980" s="29" t="s">
        <v>1220</v>
      </c>
      <c r="C980" s="29" t="s">
        <v>1248</v>
      </c>
      <c r="D980" s="8" t="s">
        <v>1273</v>
      </c>
      <c r="E980" s="10" t="s">
        <v>2287</v>
      </c>
      <c r="F980" s="10">
        <v>5</v>
      </c>
      <c r="G980" s="10">
        <v>1</v>
      </c>
      <c r="H980" s="10">
        <v>1</v>
      </c>
      <c r="I980" s="10"/>
      <c r="J980" s="10">
        <v>926</v>
      </c>
      <c r="K980" s="104">
        <v>45153</v>
      </c>
      <c r="L980" s="104">
        <v>45154</v>
      </c>
      <c r="M980" s="10" t="b">
        <v>0</v>
      </c>
      <c r="N980" s="10">
        <v>2</v>
      </c>
      <c r="O980" s="11">
        <v>2166</v>
      </c>
      <c r="P980" s="85">
        <v>2.3390928725701943</v>
      </c>
      <c r="Q980" s="11">
        <v>2166</v>
      </c>
      <c r="R980" s="85">
        <v>2.3390928725701943</v>
      </c>
      <c r="S980" s="29" t="s">
        <v>2719</v>
      </c>
      <c r="T980" s="29" t="s">
        <v>2719</v>
      </c>
    </row>
    <row r="981">
      <c r="B981" s="29" t="s">
        <v>1220</v>
      </c>
      <c r="C981" s="29" t="s">
        <v>1248</v>
      </c>
      <c r="D981" s="8" t="s">
        <v>1273</v>
      </c>
      <c r="E981" s="10" t="s">
        <v>2288</v>
      </c>
      <c r="F981" s="10">
        <v>5</v>
      </c>
      <c r="G981" s="10">
        <v>1</v>
      </c>
      <c r="H981" s="10">
        <v>1</v>
      </c>
      <c r="I981" s="10"/>
      <c r="J981" s="10">
        <v>926</v>
      </c>
      <c r="K981" s="104">
        <v>45188</v>
      </c>
      <c r="L981" s="104">
        <v>45197</v>
      </c>
      <c r="M981" s="10" t="b">
        <v>0</v>
      </c>
      <c r="N981" s="10">
        <v>10</v>
      </c>
      <c r="O981" s="11">
        <v>2298</v>
      </c>
      <c r="P981" s="85">
        <v>2.4816414686825055</v>
      </c>
      <c r="Q981" s="11">
        <v>2298</v>
      </c>
      <c r="R981" s="85">
        <v>2.4816414686825055</v>
      </c>
      <c r="S981" s="29" t="s">
        <v>2719</v>
      </c>
      <c r="T981" s="29" t="s">
        <v>2719</v>
      </c>
    </row>
    <row r="982">
      <c r="B982" s="29" t="s">
        <v>1220</v>
      </c>
      <c r="C982" s="29" t="s">
        <v>1248</v>
      </c>
      <c r="D982" s="8" t="s">
        <v>1273</v>
      </c>
      <c r="E982" s="10" t="s">
        <v>2289</v>
      </c>
      <c r="F982" s="10">
        <v>6</v>
      </c>
      <c r="G982" s="10">
        <v>1</v>
      </c>
      <c r="H982" s="10">
        <v>1</v>
      </c>
      <c r="I982" s="10"/>
      <c r="J982" s="10">
        <v>926</v>
      </c>
      <c r="K982" s="104">
        <v>45153</v>
      </c>
      <c r="L982" s="104">
        <v>45188</v>
      </c>
      <c r="M982" s="10" t="b">
        <v>0</v>
      </c>
      <c r="N982" s="10">
        <v>36</v>
      </c>
      <c r="O982" s="11">
        <v>2688</v>
      </c>
      <c r="P982" s="85">
        <v>2.90280777537797</v>
      </c>
      <c r="Q982" s="11">
        <v>2688</v>
      </c>
      <c r="R982" s="85">
        <v>2.90280777537797</v>
      </c>
      <c r="S982" s="29" t="s">
        <v>2719</v>
      </c>
      <c r="T982" s="29" t="s">
        <v>2719</v>
      </c>
    </row>
    <row r="983">
      <c r="B983" s="29" t="s">
        <v>1220</v>
      </c>
      <c r="C983" s="29" t="s">
        <v>1248</v>
      </c>
      <c r="D983" s="8" t="s">
        <v>1274</v>
      </c>
      <c r="E983" s="10" t="s">
        <v>2290</v>
      </c>
      <c r="F983" s="10"/>
      <c r="G983" s="10">
        <v>2</v>
      </c>
      <c r="H983" s="10">
        <v>2</v>
      </c>
      <c r="I983" s="10"/>
      <c r="J983" s="10">
        <v>1137</v>
      </c>
      <c r="K983" s="104">
        <v>45334</v>
      </c>
      <c r="L983" s="104">
        <v>45394</v>
      </c>
      <c r="M983" s="10" t="b">
        <v>0</v>
      </c>
      <c r="N983" s="10">
        <v>61</v>
      </c>
      <c r="O983" s="11">
        <v>1447</v>
      </c>
      <c r="P983" s="85">
        <v>1.2726473175021988</v>
      </c>
      <c r="Q983" s="11">
        <v>1447</v>
      </c>
      <c r="R983" s="85">
        <v>1.2726473175021988</v>
      </c>
      <c r="S983" s="29" t="s">
        <v>2775</v>
      </c>
      <c r="T983" s="29" t="s">
        <v>2799</v>
      </c>
    </row>
    <row r="984">
      <c r="B984" s="29" t="s">
        <v>1220</v>
      </c>
      <c r="C984" s="29" t="s">
        <v>1248</v>
      </c>
      <c r="D984" s="8" t="s">
        <v>1274</v>
      </c>
      <c r="E984" s="10" t="s">
        <v>2291</v>
      </c>
      <c r="F984" s="10"/>
      <c r="G984" s="10">
        <v>2</v>
      </c>
      <c r="H984" s="10">
        <v>2</v>
      </c>
      <c r="I984" s="10"/>
      <c r="J984" s="10">
        <v>1137</v>
      </c>
      <c r="K984" s="104">
        <v>45352</v>
      </c>
      <c r="L984" s="104">
        <v>45431</v>
      </c>
      <c r="M984" s="10" t="b">
        <v>0</v>
      </c>
      <c r="N984" s="10">
        <v>80</v>
      </c>
      <c r="O984" s="11">
        <v>1448</v>
      </c>
      <c r="P984" s="85">
        <v>1.2735268249780123</v>
      </c>
      <c r="Q984" s="11">
        <v>1448</v>
      </c>
      <c r="R984" s="85">
        <v>1.2735268249780123</v>
      </c>
      <c r="S984" s="29" t="s">
        <v>2775</v>
      </c>
      <c r="T984" s="29" t="s">
        <v>2799</v>
      </c>
    </row>
    <row r="985">
      <c r="B985" s="29" t="s">
        <v>1220</v>
      </c>
      <c r="C985" s="29" t="s">
        <v>1248</v>
      </c>
      <c r="D985" s="8" t="s">
        <v>1274</v>
      </c>
      <c r="E985" s="10" t="s">
        <v>2292</v>
      </c>
      <c r="F985" s="10"/>
      <c r="G985" s="10">
        <v>2</v>
      </c>
      <c r="H985" s="10">
        <v>2</v>
      </c>
      <c r="I985" s="10"/>
      <c r="J985" s="10">
        <v>1137</v>
      </c>
      <c r="K985" s="104">
        <v>45364</v>
      </c>
      <c r="L985" s="104">
        <v>45429</v>
      </c>
      <c r="M985" s="10" t="b">
        <v>0</v>
      </c>
      <c r="N985" s="10">
        <v>66</v>
      </c>
      <c r="O985" s="11">
        <v>1448</v>
      </c>
      <c r="P985" s="85">
        <v>1.2735268249780123</v>
      </c>
      <c r="Q985" s="11">
        <v>1448</v>
      </c>
      <c r="R985" s="85">
        <v>1.2735268249780123</v>
      </c>
      <c r="S985" s="29" t="s">
        <v>2775</v>
      </c>
      <c r="T985" s="29" t="s">
        <v>2799</v>
      </c>
    </row>
    <row r="986">
      <c r="B986" s="29" t="s">
        <v>1220</v>
      </c>
      <c r="C986" s="29" t="s">
        <v>1248</v>
      </c>
      <c r="D986" s="8" t="s">
        <v>1274</v>
      </c>
      <c r="E986" s="10" t="s">
        <v>2293</v>
      </c>
      <c r="F986" s="10"/>
      <c r="G986" s="10">
        <v>2</v>
      </c>
      <c r="H986" s="10">
        <v>2</v>
      </c>
      <c r="I986" s="10"/>
      <c r="J986" s="10">
        <v>1137</v>
      </c>
      <c r="K986" s="104">
        <v>45507</v>
      </c>
      <c r="L986" s="104">
        <v>45594</v>
      </c>
      <c r="M986" s="10" t="b">
        <v>0</v>
      </c>
      <c r="N986" s="10">
        <v>88</v>
      </c>
      <c r="O986" s="11">
        <v>1752</v>
      </c>
      <c r="P986" s="85">
        <v>1.5408970976253298</v>
      </c>
      <c r="Q986" s="11">
        <v>1752</v>
      </c>
      <c r="R986" s="85">
        <v>1.5408970976253298</v>
      </c>
      <c r="S986" s="29" t="s">
        <v>2775</v>
      </c>
      <c r="T986" s="29" t="s">
        <v>2799</v>
      </c>
    </row>
    <row r="987">
      <c r="B987" s="29" t="s">
        <v>1220</v>
      </c>
      <c r="C987" s="29" t="s">
        <v>1248</v>
      </c>
      <c r="D987" s="8" t="s">
        <v>1274</v>
      </c>
      <c r="E987" s="10" t="s">
        <v>2294</v>
      </c>
      <c r="F987" s="10"/>
      <c r="G987" s="10">
        <v>2</v>
      </c>
      <c r="H987" s="10">
        <v>2</v>
      </c>
      <c r="I987" s="10"/>
      <c r="J987" s="10">
        <v>1137</v>
      </c>
      <c r="K987" s="104">
        <v>45418</v>
      </c>
      <c r="L987" s="104">
        <v>45445</v>
      </c>
      <c r="M987" s="10" t="b">
        <v>0</v>
      </c>
      <c r="N987" s="10">
        <v>28</v>
      </c>
      <c r="O987" s="11">
        <v>1782</v>
      </c>
      <c r="P987" s="85">
        <v>1.567282321899736</v>
      </c>
      <c r="Q987" s="11">
        <v>1782</v>
      </c>
      <c r="R987" s="85">
        <v>1.567282321899736</v>
      </c>
      <c r="S987" s="29" t="s">
        <v>2775</v>
      </c>
      <c r="T987" s="29" t="s">
        <v>2799</v>
      </c>
    </row>
    <row r="988">
      <c r="B988" s="29" t="s">
        <v>1220</v>
      </c>
      <c r="C988" s="29" t="s">
        <v>1248</v>
      </c>
      <c r="D988" s="8" t="s">
        <v>1274</v>
      </c>
      <c r="E988" s="10" t="s">
        <v>2295</v>
      </c>
      <c r="F988" s="10"/>
      <c r="G988" s="10">
        <v>2</v>
      </c>
      <c r="H988" s="10">
        <v>2</v>
      </c>
      <c r="I988" s="10"/>
      <c r="J988" s="10">
        <v>1137</v>
      </c>
      <c r="K988" s="104">
        <v>45454</v>
      </c>
      <c r="L988" s="104">
        <v>45519</v>
      </c>
      <c r="M988" s="10" t="b">
        <v>0</v>
      </c>
      <c r="N988" s="10">
        <v>66</v>
      </c>
      <c r="O988" s="11">
        <v>1878</v>
      </c>
      <c r="P988" s="85">
        <v>1.6517150395778364</v>
      </c>
      <c r="Q988" s="11">
        <v>1878</v>
      </c>
      <c r="R988" s="85">
        <v>1.6517150395778364</v>
      </c>
      <c r="S988" s="29" t="s">
        <v>2775</v>
      </c>
      <c r="T988" s="29" t="s">
        <v>2799</v>
      </c>
    </row>
    <row r="989">
      <c r="B989" s="29" t="s">
        <v>1220</v>
      </c>
      <c r="C989" s="29" t="s">
        <v>1248</v>
      </c>
      <c r="D989" s="8" t="s">
        <v>1274</v>
      </c>
      <c r="E989" s="10" t="s">
        <v>2296</v>
      </c>
      <c r="F989" s="10">
        <v>2</v>
      </c>
      <c r="G989" s="10">
        <v>2</v>
      </c>
      <c r="H989" s="10">
        <v>2</v>
      </c>
      <c r="I989" s="10"/>
      <c r="J989" s="10">
        <v>1137</v>
      </c>
      <c r="K989" s="104">
        <v>45262</v>
      </c>
      <c r="L989" s="104">
        <v>45298</v>
      </c>
      <c r="M989" s="10" t="b">
        <v>0</v>
      </c>
      <c r="N989" s="10">
        <v>37</v>
      </c>
      <c r="O989" s="11">
        <v>1470</v>
      </c>
      <c r="P989" s="85">
        <v>1.2928759894459103</v>
      </c>
      <c r="Q989" s="11">
        <v>1470</v>
      </c>
      <c r="R989" s="85">
        <v>1.2928759894459103</v>
      </c>
      <c r="S989" s="29" t="s">
        <v>2719</v>
      </c>
      <c r="T989" s="29" t="s">
        <v>2719</v>
      </c>
    </row>
    <row r="990">
      <c r="B990" s="29" t="s">
        <v>1220</v>
      </c>
      <c r="C990" s="29" t="s">
        <v>1248</v>
      </c>
      <c r="D990" s="8" t="s">
        <v>1274</v>
      </c>
      <c r="E990" s="10" t="s">
        <v>2297</v>
      </c>
      <c r="F990" s="10">
        <v>4</v>
      </c>
      <c r="G990" s="10">
        <v>2</v>
      </c>
      <c r="H990" s="10">
        <v>2</v>
      </c>
      <c r="I990" s="10"/>
      <c r="J990" s="10">
        <v>1137</v>
      </c>
      <c r="K990" s="104">
        <v>45273</v>
      </c>
      <c r="L990" s="104">
        <v>45334</v>
      </c>
      <c r="M990" s="10" t="b">
        <v>0</v>
      </c>
      <c r="N990" s="10">
        <v>62</v>
      </c>
      <c r="O990" s="11">
        <v>1908</v>
      </c>
      <c r="P990" s="85">
        <v>1.6781002638522426</v>
      </c>
      <c r="Q990" s="11">
        <v>1908</v>
      </c>
      <c r="R990" s="85">
        <v>1.6781002638522426</v>
      </c>
      <c r="S990" s="29" t="s">
        <v>2719</v>
      </c>
      <c r="T990" s="29" t="s">
        <v>2719</v>
      </c>
    </row>
    <row r="991">
      <c r="B991" s="29" t="s">
        <v>1220</v>
      </c>
      <c r="C991" s="29" t="s">
        <v>1248</v>
      </c>
      <c r="D991" s="8" t="s">
        <v>1274</v>
      </c>
      <c r="E991" s="10" t="s">
        <v>2298</v>
      </c>
      <c r="F991" s="10">
        <v>5</v>
      </c>
      <c r="G991" s="10">
        <v>2</v>
      </c>
      <c r="H991" s="10">
        <v>2</v>
      </c>
      <c r="I991" s="10"/>
      <c r="J991" s="10">
        <v>1137</v>
      </c>
      <c r="K991" s="104">
        <v>45160</v>
      </c>
      <c r="L991" s="104">
        <v>45171</v>
      </c>
      <c r="M991" s="10" t="b">
        <v>0</v>
      </c>
      <c r="N991" s="10">
        <v>12</v>
      </c>
      <c r="O991" s="11">
        <v>2075</v>
      </c>
      <c r="P991" s="85">
        <v>1.8249780123131047</v>
      </c>
      <c r="Q991" s="11">
        <v>2075</v>
      </c>
      <c r="R991" s="85">
        <v>1.8249780123131047</v>
      </c>
      <c r="S991" s="29" t="s">
        <v>2719</v>
      </c>
      <c r="T991" s="29" t="s">
        <v>2719</v>
      </c>
    </row>
    <row r="992">
      <c r="B992" s="29" t="s">
        <v>1220</v>
      </c>
      <c r="C992" s="29" t="s">
        <v>1248</v>
      </c>
      <c r="D992" s="8" t="s">
        <v>1274</v>
      </c>
      <c r="E992" s="10" t="s">
        <v>2299</v>
      </c>
      <c r="F992" s="10"/>
      <c r="G992" s="10">
        <v>2</v>
      </c>
      <c r="H992" s="10">
        <v>2</v>
      </c>
      <c r="I992" s="10"/>
      <c r="J992" s="10">
        <v>1137</v>
      </c>
      <c r="K992" s="104">
        <v>45154</v>
      </c>
      <c r="L992" s="104">
        <v>45181</v>
      </c>
      <c r="M992" s="10" t="b">
        <v>0</v>
      </c>
      <c r="N992" s="10">
        <v>28</v>
      </c>
      <c r="O992" s="11">
        <v>2206</v>
      </c>
      <c r="P992" s="85">
        <v>1.940193491644679</v>
      </c>
      <c r="Q992" s="11">
        <v>2206</v>
      </c>
      <c r="R992" s="85">
        <v>1.940193491644679</v>
      </c>
      <c r="S992" s="29" t="s">
        <v>2719</v>
      </c>
      <c r="T992" s="29" t="s">
        <v>2719</v>
      </c>
    </row>
    <row r="993">
      <c r="B993" s="29" t="s">
        <v>1220</v>
      </c>
      <c r="C993" s="29" t="s">
        <v>1248</v>
      </c>
      <c r="D993" s="8" t="s">
        <v>1274</v>
      </c>
      <c r="E993" s="10"/>
      <c r="F993" s="10"/>
      <c r="G993" s="10">
        <v>2</v>
      </c>
      <c r="H993" s="10">
        <v>2</v>
      </c>
      <c r="I993" s="10"/>
      <c r="J993" s="10">
        <v>1137</v>
      </c>
      <c r="K993" s="104"/>
      <c r="L993" s="104">
        <v>45153</v>
      </c>
      <c r="M993" s="10" t="b">
        <v>0</v>
      </c>
      <c r="N993" s="10"/>
      <c r="O993" s="11">
        <v>2298</v>
      </c>
      <c r="P993" s="85">
        <v>2.021108179419525</v>
      </c>
      <c r="Q993" s="11">
        <v>2298</v>
      </c>
      <c r="R993" s="85">
        <v>2.021108179419525</v>
      </c>
      <c r="S993" s="29" t="s">
        <v>2719</v>
      </c>
      <c r="T993" s="29" t="s">
        <v>2719</v>
      </c>
    </row>
    <row r="994">
      <c r="B994" s="29" t="s">
        <v>1220</v>
      </c>
      <c r="C994" s="29" t="s">
        <v>1248</v>
      </c>
      <c r="D994" s="8" t="s">
        <v>1275</v>
      </c>
      <c r="E994" s="10" t="s">
        <v>2300</v>
      </c>
      <c r="F994" s="10"/>
      <c r="G994" s="10">
        <v>2</v>
      </c>
      <c r="H994" s="10">
        <v>2</v>
      </c>
      <c r="I994" s="10"/>
      <c r="J994" s="10">
        <v>1159</v>
      </c>
      <c r="K994" s="104">
        <v>45390</v>
      </c>
      <c r="L994" s="104">
        <v>45394</v>
      </c>
      <c r="M994" s="10" t="b">
        <v>0</v>
      </c>
      <c r="N994" s="10">
        <v>5</v>
      </c>
      <c r="O994" s="11">
        <v>1507</v>
      </c>
      <c r="P994" s="85">
        <v>1.3002588438308886</v>
      </c>
      <c r="Q994" s="11">
        <v>1507</v>
      </c>
      <c r="R994" s="85">
        <v>1.3002588438308886</v>
      </c>
      <c r="S994" s="29" t="s">
        <v>2768</v>
      </c>
      <c r="T994" s="29" t="s">
        <v>2800</v>
      </c>
    </row>
    <row r="995">
      <c r="B995" s="29" t="s">
        <v>1220</v>
      </c>
      <c r="C995" s="29" t="s">
        <v>1248</v>
      </c>
      <c r="D995" s="8" t="s">
        <v>1275</v>
      </c>
      <c r="E995" s="10" t="s">
        <v>2301</v>
      </c>
      <c r="F995" s="10"/>
      <c r="G995" s="10">
        <v>2</v>
      </c>
      <c r="H995" s="10">
        <v>2</v>
      </c>
      <c r="I995" s="10"/>
      <c r="J995" s="10">
        <v>1159</v>
      </c>
      <c r="K995" s="104">
        <v>45703</v>
      </c>
      <c r="L995" s="104">
        <v>45756</v>
      </c>
      <c r="M995" s="10" t="b">
        <v>0</v>
      </c>
      <c r="N995" s="10">
        <v>54</v>
      </c>
      <c r="O995" s="11">
        <v>1576</v>
      </c>
      <c r="P995" s="85">
        <v>1.3597929249352891</v>
      </c>
      <c r="Q995" s="11">
        <v>1576</v>
      </c>
      <c r="R995" s="85">
        <v>1.3597929249352891</v>
      </c>
      <c r="S995" s="29" t="s">
        <v>2768</v>
      </c>
      <c r="T995" s="29" t="s">
        <v>2800</v>
      </c>
    </row>
    <row r="996">
      <c r="B996" s="29" t="s">
        <v>1220</v>
      </c>
      <c r="C996" s="29" t="s">
        <v>1248</v>
      </c>
      <c r="D996" s="8" t="s">
        <v>1275</v>
      </c>
      <c r="E996" s="10" t="s">
        <v>2302</v>
      </c>
      <c r="F996" s="10"/>
      <c r="G996" s="10">
        <v>2</v>
      </c>
      <c r="H996" s="10">
        <v>2</v>
      </c>
      <c r="I996" s="10"/>
      <c r="J996" s="10">
        <v>1159</v>
      </c>
      <c r="K996" s="104">
        <v>45696</v>
      </c>
      <c r="L996" s="104">
        <v>45716</v>
      </c>
      <c r="M996" s="10" t="b">
        <v>0</v>
      </c>
      <c r="N996" s="10">
        <v>21</v>
      </c>
      <c r="O996" s="11">
        <v>1649</v>
      </c>
      <c r="P996" s="85">
        <v>1.4227782571182053</v>
      </c>
      <c r="Q996" s="11">
        <v>1649</v>
      </c>
      <c r="R996" s="85">
        <v>1.4227782571182053</v>
      </c>
      <c r="S996" s="29" t="s">
        <v>2768</v>
      </c>
      <c r="T996" s="29" t="s">
        <v>2800</v>
      </c>
    </row>
    <row r="997">
      <c r="B997" s="29" t="s">
        <v>1220</v>
      </c>
      <c r="C997" s="29" t="s">
        <v>1248</v>
      </c>
      <c r="D997" s="8" t="s">
        <v>1275</v>
      </c>
      <c r="E997" s="10" t="s">
        <v>2303</v>
      </c>
      <c r="F997" s="10"/>
      <c r="G997" s="10">
        <v>2</v>
      </c>
      <c r="H997" s="10">
        <v>2</v>
      </c>
      <c r="I997" s="10"/>
      <c r="J997" s="10">
        <v>1159</v>
      </c>
      <c r="K997" s="104">
        <v>45372</v>
      </c>
      <c r="L997" s="104">
        <v>45471</v>
      </c>
      <c r="M997" s="10" t="b">
        <v>0</v>
      </c>
      <c r="N997" s="10">
        <v>100</v>
      </c>
      <c r="O997" s="11">
        <v>1816</v>
      </c>
      <c r="P997" s="85">
        <v>1.5668679896462467</v>
      </c>
      <c r="Q997" s="11">
        <v>1816</v>
      </c>
      <c r="R997" s="85">
        <v>1.5668679896462467</v>
      </c>
      <c r="S997" s="29" t="s">
        <v>2768</v>
      </c>
      <c r="T997" s="29" t="s">
        <v>2800</v>
      </c>
    </row>
    <row r="998">
      <c r="B998" s="29" t="s">
        <v>1220</v>
      </c>
      <c r="C998" s="29" t="s">
        <v>1248</v>
      </c>
      <c r="D998" s="8" t="s">
        <v>1275</v>
      </c>
      <c r="E998" s="10" t="s">
        <v>2304</v>
      </c>
      <c r="F998" s="10"/>
      <c r="G998" s="10">
        <v>2</v>
      </c>
      <c r="H998" s="10">
        <v>2</v>
      </c>
      <c r="I998" s="10"/>
      <c r="J998" s="10">
        <v>1159</v>
      </c>
      <c r="K998" s="104">
        <v>45460</v>
      </c>
      <c r="L998" s="104">
        <v>45478</v>
      </c>
      <c r="M998" s="10" t="b">
        <v>0</v>
      </c>
      <c r="N998" s="10">
        <v>19</v>
      </c>
      <c r="O998" s="11">
        <v>1851</v>
      </c>
      <c r="P998" s="85">
        <v>1.5970664365832614</v>
      </c>
      <c r="Q998" s="11">
        <v>1851</v>
      </c>
      <c r="R998" s="85">
        <v>1.5970664365832614</v>
      </c>
      <c r="S998" s="29" t="s">
        <v>2768</v>
      </c>
      <c r="T998" s="29" t="s">
        <v>2800</v>
      </c>
    </row>
    <row r="999">
      <c r="B999" s="29" t="s">
        <v>1220</v>
      </c>
      <c r="C999" s="29" t="s">
        <v>1248</v>
      </c>
      <c r="D999" s="8" t="s">
        <v>1275</v>
      </c>
      <c r="E999" s="10"/>
      <c r="F999" s="10"/>
      <c r="G999" s="10">
        <v>2</v>
      </c>
      <c r="H999" s="10">
        <v>2</v>
      </c>
      <c r="I999" s="10"/>
      <c r="J999" s="10">
        <v>1159</v>
      </c>
      <c r="K999" s="104"/>
      <c r="L999" s="104">
        <v>45139</v>
      </c>
      <c r="M999" s="10" t="b">
        <v>0</v>
      </c>
      <c r="N999" s="10"/>
      <c r="O999" s="11">
        <v>1693</v>
      </c>
      <c r="P999" s="85">
        <v>1.460742018981881</v>
      </c>
      <c r="Q999" s="11">
        <v>1693</v>
      </c>
      <c r="R999" s="85">
        <v>1.460742018981881</v>
      </c>
      <c r="S999" s="29" t="s">
        <v>2719</v>
      </c>
      <c r="T999" s="29" t="s">
        <v>2719</v>
      </c>
    </row>
    <row r="1000">
      <c r="B1000" s="29" t="s">
        <v>1220</v>
      </c>
      <c r="C1000" s="29" t="s">
        <v>1248</v>
      </c>
      <c r="D1000" s="8" t="s">
        <v>1276</v>
      </c>
      <c r="E1000" s="10" t="s">
        <v>2305</v>
      </c>
      <c r="F1000" s="10"/>
      <c r="G1000" s="10">
        <v>2</v>
      </c>
      <c r="H1000" s="10">
        <v>2</v>
      </c>
      <c r="I1000" s="10"/>
      <c r="J1000" s="10">
        <v>1190</v>
      </c>
      <c r="K1000" s="104">
        <v>45540</v>
      </c>
      <c r="L1000" s="104">
        <v>45758</v>
      </c>
      <c r="M1000" s="10" t="b">
        <v>0</v>
      </c>
      <c r="N1000" s="10">
        <v>219</v>
      </c>
      <c r="O1000" s="11">
        <v>1581</v>
      </c>
      <c r="P1000" s="85">
        <v>1.3285714285714285</v>
      </c>
      <c r="Q1000" s="11">
        <v>1581</v>
      </c>
      <c r="R1000" s="85">
        <v>1.3285714285714285</v>
      </c>
      <c r="S1000" s="29" t="s">
        <v>2771</v>
      </c>
      <c r="T1000" s="29" t="s">
        <v>2800</v>
      </c>
    </row>
    <row r="1001">
      <c r="B1001" s="29" t="s">
        <v>1220</v>
      </c>
      <c r="C1001" s="29" t="s">
        <v>1248</v>
      </c>
      <c r="D1001" s="8" t="s">
        <v>1276</v>
      </c>
      <c r="E1001" s="10" t="s">
        <v>2306</v>
      </c>
      <c r="F1001" s="10"/>
      <c r="G1001" s="10">
        <v>2</v>
      </c>
      <c r="H1001" s="10">
        <v>2</v>
      </c>
      <c r="I1001" s="10"/>
      <c r="J1001" s="10">
        <v>1190</v>
      </c>
      <c r="K1001" s="104">
        <v>45734</v>
      </c>
      <c r="L1001" s="104">
        <v>45777</v>
      </c>
      <c r="M1001" s="10" t="b">
        <v>0</v>
      </c>
      <c r="N1001" s="10">
        <v>44</v>
      </c>
      <c r="O1001" s="11">
        <v>1602</v>
      </c>
      <c r="P1001" s="85">
        <v>1.346218487394958</v>
      </c>
      <c r="Q1001" s="11">
        <v>1602</v>
      </c>
      <c r="R1001" s="85">
        <v>1.346218487394958</v>
      </c>
      <c r="S1001" s="29" t="s">
        <v>2768</v>
      </c>
      <c r="T1001" s="29" t="s">
        <v>2800</v>
      </c>
    </row>
    <row r="1002">
      <c r="B1002" s="29" t="s">
        <v>1220</v>
      </c>
      <c r="C1002" s="29" t="s">
        <v>1248</v>
      </c>
      <c r="D1002" s="8" t="s">
        <v>1276</v>
      </c>
      <c r="E1002" s="10" t="s">
        <v>2307</v>
      </c>
      <c r="F1002" s="10"/>
      <c r="G1002" s="10">
        <v>2</v>
      </c>
      <c r="H1002" s="10">
        <v>2</v>
      </c>
      <c r="I1002" s="10"/>
      <c r="J1002" s="10">
        <v>1190</v>
      </c>
      <c r="K1002" s="104">
        <v>45685</v>
      </c>
      <c r="L1002" s="104">
        <v>45730</v>
      </c>
      <c r="M1002" s="10" t="b">
        <v>0</v>
      </c>
      <c r="N1002" s="10">
        <v>46</v>
      </c>
      <c r="O1002" s="11">
        <v>1637</v>
      </c>
      <c r="P1002" s="85">
        <v>1.3756302521008403</v>
      </c>
      <c r="Q1002" s="11">
        <v>1637</v>
      </c>
      <c r="R1002" s="85">
        <v>1.3756302521008403</v>
      </c>
      <c r="S1002" s="29" t="s">
        <v>2768</v>
      </c>
      <c r="T1002" s="29" t="s">
        <v>2800</v>
      </c>
    </row>
    <row r="1003">
      <c r="B1003" s="29" t="s">
        <v>1220</v>
      </c>
      <c r="C1003" s="29" t="s">
        <v>1248</v>
      </c>
      <c r="D1003" s="8" t="s">
        <v>1276</v>
      </c>
      <c r="E1003" s="10" t="s">
        <v>2308</v>
      </c>
      <c r="F1003" s="10"/>
      <c r="G1003" s="10">
        <v>2</v>
      </c>
      <c r="H1003" s="10">
        <v>2</v>
      </c>
      <c r="I1003" s="10"/>
      <c r="J1003" s="10">
        <v>1190</v>
      </c>
      <c r="K1003" s="104">
        <v>45630</v>
      </c>
      <c r="L1003" s="104">
        <v>45669</v>
      </c>
      <c r="M1003" s="10" t="b">
        <v>0</v>
      </c>
      <c r="N1003" s="10">
        <v>40</v>
      </c>
      <c r="O1003" s="11">
        <v>1661</v>
      </c>
      <c r="P1003" s="85">
        <v>1.395798319327731</v>
      </c>
      <c r="Q1003" s="11">
        <v>1661</v>
      </c>
      <c r="R1003" s="85">
        <v>1.395798319327731</v>
      </c>
      <c r="S1003" s="29" t="s">
        <v>2768</v>
      </c>
      <c r="T1003" s="29" t="s">
        <v>2800</v>
      </c>
    </row>
    <row r="1004">
      <c r="B1004" s="29" t="s">
        <v>1220</v>
      </c>
      <c r="C1004" s="29" t="s">
        <v>1248</v>
      </c>
      <c r="D1004" s="8" t="s">
        <v>1276</v>
      </c>
      <c r="E1004" s="10" t="s">
        <v>2309</v>
      </c>
      <c r="F1004" s="10"/>
      <c r="G1004" s="10">
        <v>2</v>
      </c>
      <c r="H1004" s="10">
        <v>2</v>
      </c>
      <c r="I1004" s="10"/>
      <c r="J1004" s="10">
        <v>1190</v>
      </c>
      <c r="K1004" s="104">
        <v>45540</v>
      </c>
      <c r="L1004" s="104">
        <v>45714</v>
      </c>
      <c r="M1004" s="10" t="b">
        <v>0</v>
      </c>
      <c r="N1004" s="10">
        <v>175</v>
      </c>
      <c r="O1004" s="11">
        <v>1733</v>
      </c>
      <c r="P1004" s="85">
        <v>1.4563025210084033</v>
      </c>
      <c r="Q1004" s="11">
        <v>1733</v>
      </c>
      <c r="R1004" s="85">
        <v>1.4563025210084033</v>
      </c>
      <c r="S1004" s="29" t="s">
        <v>2768</v>
      </c>
      <c r="T1004" s="29" t="s">
        <v>2800</v>
      </c>
    </row>
    <row r="1005">
      <c r="B1005" s="29" t="s">
        <v>1220</v>
      </c>
      <c r="C1005" s="29" t="s">
        <v>1248</v>
      </c>
      <c r="D1005" s="8" t="s">
        <v>1276</v>
      </c>
      <c r="E1005" s="10" t="s">
        <v>2310</v>
      </c>
      <c r="F1005" s="10"/>
      <c r="G1005" s="10">
        <v>2</v>
      </c>
      <c r="H1005" s="10">
        <v>2</v>
      </c>
      <c r="I1005" s="10"/>
      <c r="J1005" s="10">
        <v>1190</v>
      </c>
      <c r="K1005" s="104">
        <v>45527</v>
      </c>
      <c r="L1005" s="104">
        <v>45680</v>
      </c>
      <c r="M1005" s="10" t="b">
        <v>0</v>
      </c>
      <c r="N1005" s="10">
        <v>154</v>
      </c>
      <c r="O1005" s="11">
        <v>1776</v>
      </c>
      <c r="P1005" s="85">
        <v>1.492436974789916</v>
      </c>
      <c r="Q1005" s="11">
        <v>1776</v>
      </c>
      <c r="R1005" s="85">
        <v>1.492436974789916</v>
      </c>
      <c r="S1005" s="29" t="s">
        <v>2768</v>
      </c>
      <c r="T1005" s="29" t="s">
        <v>2800</v>
      </c>
    </row>
    <row r="1006">
      <c r="B1006" s="29" t="s">
        <v>1220</v>
      </c>
      <c r="C1006" s="29" t="s">
        <v>1248</v>
      </c>
      <c r="D1006" s="8" t="s">
        <v>1276</v>
      </c>
      <c r="E1006" s="10" t="s">
        <v>2311</v>
      </c>
      <c r="F1006" s="10"/>
      <c r="G1006" s="10">
        <v>2</v>
      </c>
      <c r="H1006" s="10">
        <v>2</v>
      </c>
      <c r="I1006" s="10"/>
      <c r="J1006" s="10">
        <v>1190</v>
      </c>
      <c r="K1006" s="104">
        <v>45334</v>
      </c>
      <c r="L1006" s="104">
        <v>45400</v>
      </c>
      <c r="M1006" s="10" t="b">
        <v>0</v>
      </c>
      <c r="N1006" s="10">
        <v>67</v>
      </c>
      <c r="O1006" s="11">
        <v>1840</v>
      </c>
      <c r="P1006" s="85">
        <v>1.546218487394958</v>
      </c>
      <c r="Q1006" s="11">
        <v>1840</v>
      </c>
      <c r="R1006" s="85">
        <v>1.546218487394958</v>
      </c>
      <c r="S1006" s="29" t="s">
        <v>2776</v>
      </c>
      <c r="T1006" s="29" t="s">
        <v>2804</v>
      </c>
    </row>
    <row r="1007">
      <c r="B1007" s="29" t="s">
        <v>1220</v>
      </c>
      <c r="C1007" s="29" t="s">
        <v>1248</v>
      </c>
      <c r="D1007" s="8" t="s">
        <v>1276</v>
      </c>
      <c r="E1007" s="10" t="s">
        <v>2312</v>
      </c>
      <c r="F1007" s="10"/>
      <c r="G1007" s="10">
        <v>2</v>
      </c>
      <c r="H1007" s="10">
        <v>2</v>
      </c>
      <c r="I1007" s="10"/>
      <c r="J1007" s="10">
        <v>1190</v>
      </c>
      <c r="K1007" s="104">
        <v>45336</v>
      </c>
      <c r="L1007" s="104">
        <v>45447</v>
      </c>
      <c r="M1007" s="10" t="b">
        <v>0</v>
      </c>
      <c r="N1007" s="10">
        <v>112</v>
      </c>
      <c r="O1007" s="11">
        <v>1956</v>
      </c>
      <c r="P1007" s="85">
        <v>1.6436974789915966</v>
      </c>
      <c r="Q1007" s="11">
        <v>1956</v>
      </c>
      <c r="R1007" s="85">
        <v>1.6436974789915966</v>
      </c>
      <c r="S1007" s="29" t="s">
        <v>2768</v>
      </c>
      <c r="T1007" s="29" t="s">
        <v>2800</v>
      </c>
    </row>
    <row r="1008">
      <c r="B1008" s="29" t="s">
        <v>1220</v>
      </c>
      <c r="C1008" s="29" t="s">
        <v>1248</v>
      </c>
      <c r="D1008" s="8" t="s">
        <v>1276</v>
      </c>
      <c r="E1008" s="10" t="s">
        <v>2313</v>
      </c>
      <c r="F1008" s="10"/>
      <c r="G1008" s="10">
        <v>2</v>
      </c>
      <c r="H1008" s="10">
        <v>2</v>
      </c>
      <c r="I1008" s="10"/>
      <c r="J1008" s="10">
        <v>1190</v>
      </c>
      <c r="K1008" s="104">
        <v>45748</v>
      </c>
      <c r="L1008" s="104"/>
      <c r="M1008" s="10" t="b">
        <v>1</v>
      </c>
      <c r="N1008" s="10"/>
      <c r="O1008" s="11">
        <v>2060</v>
      </c>
      <c r="P1008" s="85">
        <v>1.73109243697479</v>
      </c>
      <c r="Q1008" s="11">
        <v>2060</v>
      </c>
      <c r="R1008" s="85">
        <v>1.73109243697479</v>
      </c>
      <c r="S1008" s="29" t="s">
        <v>2768</v>
      </c>
      <c r="T1008" s="29" t="s">
        <v>2800</v>
      </c>
    </row>
    <row r="1009">
      <c r="B1009" s="29" t="s">
        <v>1220</v>
      </c>
      <c r="C1009" s="29" t="s">
        <v>1248</v>
      </c>
      <c r="D1009" s="8" t="s">
        <v>1276</v>
      </c>
      <c r="E1009" s="10" t="s">
        <v>2314</v>
      </c>
      <c r="F1009" s="10">
        <v>4</v>
      </c>
      <c r="G1009" s="10">
        <v>2</v>
      </c>
      <c r="H1009" s="10">
        <v>2</v>
      </c>
      <c r="I1009" s="10"/>
      <c r="J1009" s="10">
        <v>1190</v>
      </c>
      <c r="K1009" s="104">
        <v>45153</v>
      </c>
      <c r="L1009" s="104">
        <v>45334</v>
      </c>
      <c r="M1009" s="10" t="b">
        <v>0</v>
      </c>
      <c r="N1009" s="10">
        <v>182</v>
      </c>
      <c r="O1009" s="11">
        <v>1982</v>
      </c>
      <c r="P1009" s="85">
        <v>1.665546218487395</v>
      </c>
      <c r="Q1009" s="11">
        <v>1982</v>
      </c>
      <c r="R1009" s="85">
        <v>1.665546218487395</v>
      </c>
      <c r="S1009" s="29" t="s">
        <v>2719</v>
      </c>
      <c r="T1009" s="29" t="s">
        <v>2719</v>
      </c>
    </row>
    <row r="1010">
      <c r="B1010" s="29" t="s">
        <v>1220</v>
      </c>
      <c r="C1010" s="29" t="s">
        <v>1248</v>
      </c>
      <c r="D1010" s="8" t="s">
        <v>1276</v>
      </c>
      <c r="E1010" s="10" t="s">
        <v>2315</v>
      </c>
      <c r="F1010" s="10">
        <v>2</v>
      </c>
      <c r="G1010" s="10">
        <v>2</v>
      </c>
      <c r="H1010" s="10">
        <v>2</v>
      </c>
      <c r="I1010" s="10"/>
      <c r="J1010" s="10">
        <v>1190</v>
      </c>
      <c r="K1010" s="104">
        <v>45233</v>
      </c>
      <c r="L1010" s="104">
        <v>45322</v>
      </c>
      <c r="M1010" s="10" t="b">
        <v>0</v>
      </c>
      <c r="N1010" s="10">
        <v>90</v>
      </c>
      <c r="O1010" s="11">
        <v>2019</v>
      </c>
      <c r="P1010" s="85">
        <v>1.6966386554621848</v>
      </c>
      <c r="Q1010" s="11">
        <v>2019</v>
      </c>
      <c r="R1010" s="85">
        <v>1.6966386554621848</v>
      </c>
      <c r="S1010" s="29" t="s">
        <v>2719</v>
      </c>
      <c r="T1010" s="29" t="s">
        <v>2719</v>
      </c>
    </row>
    <row r="1011">
      <c r="B1011" s="29" t="s">
        <v>1220</v>
      </c>
      <c r="C1011" s="29" t="s">
        <v>1248</v>
      </c>
      <c r="D1011" s="8" t="s">
        <v>1276</v>
      </c>
      <c r="E1011" s="10" t="s">
        <v>2316</v>
      </c>
      <c r="F1011" s="10"/>
      <c r="G1011" s="10">
        <v>2</v>
      </c>
      <c r="H1011" s="10">
        <v>2</v>
      </c>
      <c r="I1011" s="10"/>
      <c r="J1011" s="10">
        <v>1190</v>
      </c>
      <c r="K1011" s="104">
        <v>45169</v>
      </c>
      <c r="L1011" s="104">
        <v>45238</v>
      </c>
      <c r="M1011" s="10" t="b">
        <v>0</v>
      </c>
      <c r="N1011" s="10">
        <v>70</v>
      </c>
      <c r="O1011" s="11">
        <v>2115</v>
      </c>
      <c r="P1011" s="85">
        <v>1.7773109243697478</v>
      </c>
      <c r="Q1011" s="11">
        <v>2115</v>
      </c>
      <c r="R1011" s="85">
        <v>1.7773109243697478</v>
      </c>
      <c r="S1011" s="29" t="s">
        <v>2719</v>
      </c>
      <c r="T1011" s="29" t="s">
        <v>2719</v>
      </c>
    </row>
    <row r="1012">
      <c r="B1012" s="29" t="s">
        <v>1220</v>
      </c>
      <c r="C1012" s="29" t="s">
        <v>1248</v>
      </c>
      <c r="D1012" s="8" t="s">
        <v>1276</v>
      </c>
      <c r="E1012" s="10"/>
      <c r="F1012" s="10"/>
      <c r="G1012" s="10">
        <v>2</v>
      </c>
      <c r="H1012" s="10">
        <v>2</v>
      </c>
      <c r="I1012" s="10"/>
      <c r="J1012" s="10">
        <v>1190</v>
      </c>
      <c r="K1012" s="104"/>
      <c r="L1012" s="104">
        <v>45153</v>
      </c>
      <c r="M1012" s="10" t="b">
        <v>0</v>
      </c>
      <c r="N1012" s="10"/>
      <c r="O1012" s="11">
        <v>2406</v>
      </c>
      <c r="P1012" s="85">
        <v>2.0218487394957982</v>
      </c>
      <c r="Q1012" s="11">
        <v>2406</v>
      </c>
      <c r="R1012" s="85">
        <v>2.0218487394957982</v>
      </c>
      <c r="S1012" s="29" t="s">
        <v>2719</v>
      </c>
      <c r="T1012" s="29" t="s">
        <v>2719</v>
      </c>
    </row>
    <row r="1013">
      <c r="B1013" s="29" t="s">
        <v>1220</v>
      </c>
      <c r="C1013" s="29" t="s">
        <v>1248</v>
      </c>
      <c r="D1013" s="8" t="s">
        <v>1277</v>
      </c>
      <c r="E1013" s="10" t="s">
        <v>2317</v>
      </c>
      <c r="F1013" s="10"/>
      <c r="G1013" s="10">
        <v>2</v>
      </c>
      <c r="H1013" s="10">
        <v>2</v>
      </c>
      <c r="I1013" s="10"/>
      <c r="J1013" s="10">
        <v>1327</v>
      </c>
      <c r="K1013" s="104">
        <v>45335</v>
      </c>
      <c r="L1013" s="104">
        <v>45380</v>
      </c>
      <c r="M1013" s="10" t="b">
        <v>0</v>
      </c>
      <c r="N1013" s="10">
        <v>46</v>
      </c>
      <c r="O1013" s="11">
        <v>1617</v>
      </c>
      <c r="P1013" s="85">
        <v>1.2185380557648833</v>
      </c>
      <c r="Q1013" s="11">
        <v>1617</v>
      </c>
      <c r="R1013" s="85">
        <v>1.2185380557648833</v>
      </c>
      <c r="S1013" s="29" t="s">
        <v>2768</v>
      </c>
      <c r="T1013" s="29" t="s">
        <v>2800</v>
      </c>
    </row>
    <row r="1014">
      <c r="B1014" s="29" t="s">
        <v>1220</v>
      </c>
      <c r="C1014" s="29" t="s">
        <v>1248</v>
      </c>
      <c r="D1014" s="8" t="s">
        <v>1277</v>
      </c>
      <c r="E1014" s="10" t="s">
        <v>2318</v>
      </c>
      <c r="F1014" s="10"/>
      <c r="G1014" s="10">
        <v>2</v>
      </c>
      <c r="H1014" s="10">
        <v>2</v>
      </c>
      <c r="I1014" s="10"/>
      <c r="J1014" s="10">
        <v>1327</v>
      </c>
      <c r="K1014" s="104">
        <v>45500</v>
      </c>
      <c r="L1014" s="104">
        <v>45575</v>
      </c>
      <c r="M1014" s="10" t="b">
        <v>0</v>
      </c>
      <c r="N1014" s="10">
        <v>76</v>
      </c>
      <c r="O1014" s="11">
        <v>1638</v>
      </c>
      <c r="P1014" s="85">
        <v>1.2343632253202712</v>
      </c>
      <c r="Q1014" s="11">
        <v>1638</v>
      </c>
      <c r="R1014" s="85">
        <v>1.2343632253202712</v>
      </c>
      <c r="S1014" s="29" t="s">
        <v>2777</v>
      </c>
      <c r="T1014" s="29" t="s">
        <v>2800</v>
      </c>
    </row>
    <row r="1015">
      <c r="B1015" s="29" t="s">
        <v>1220</v>
      </c>
      <c r="C1015" s="29" t="s">
        <v>1248</v>
      </c>
      <c r="D1015" s="8" t="s">
        <v>1277</v>
      </c>
      <c r="E1015" s="10" t="s">
        <v>2319</v>
      </c>
      <c r="F1015" s="10"/>
      <c r="G1015" s="10">
        <v>2</v>
      </c>
      <c r="H1015" s="10">
        <v>2</v>
      </c>
      <c r="I1015" s="10"/>
      <c r="J1015" s="10">
        <v>1327</v>
      </c>
      <c r="K1015" s="104">
        <v>45682</v>
      </c>
      <c r="L1015" s="104">
        <v>45764</v>
      </c>
      <c r="M1015" s="10" t="b">
        <v>0</v>
      </c>
      <c r="N1015" s="10">
        <v>83</v>
      </c>
      <c r="O1015" s="11">
        <v>1712</v>
      </c>
      <c r="P1015" s="85">
        <v>1.2901281085154483</v>
      </c>
      <c r="Q1015" s="11">
        <v>1712</v>
      </c>
      <c r="R1015" s="85">
        <v>1.2901281085154483</v>
      </c>
      <c r="S1015" s="29" t="s">
        <v>2770</v>
      </c>
      <c r="T1015" s="29" t="s">
        <v>2802</v>
      </c>
    </row>
    <row r="1016">
      <c r="B1016" s="29" t="s">
        <v>1220</v>
      </c>
      <c r="C1016" s="29" t="s">
        <v>1248</v>
      </c>
      <c r="D1016" s="8" t="s">
        <v>1277</v>
      </c>
      <c r="E1016" s="10" t="s">
        <v>2320</v>
      </c>
      <c r="F1016" s="10"/>
      <c r="G1016" s="10">
        <v>2</v>
      </c>
      <c r="H1016" s="10">
        <v>2</v>
      </c>
      <c r="I1016" s="10"/>
      <c r="J1016" s="10">
        <v>1327</v>
      </c>
      <c r="K1016" s="104">
        <v>45631</v>
      </c>
      <c r="L1016" s="104">
        <v>45642</v>
      </c>
      <c r="M1016" s="10" t="b">
        <v>0</v>
      </c>
      <c r="N1016" s="10">
        <v>12</v>
      </c>
      <c r="O1016" s="11">
        <v>1747</v>
      </c>
      <c r="P1016" s="85">
        <v>1.316503391107762</v>
      </c>
      <c r="Q1016" s="11">
        <v>1747</v>
      </c>
      <c r="R1016" s="85">
        <v>1.316503391107762</v>
      </c>
      <c r="S1016" s="29" t="s">
        <v>2768</v>
      </c>
      <c r="T1016" s="29" t="s">
        <v>2800</v>
      </c>
    </row>
    <row r="1017">
      <c r="B1017" s="29" t="s">
        <v>1220</v>
      </c>
      <c r="C1017" s="29" t="s">
        <v>1248</v>
      </c>
      <c r="D1017" s="8" t="s">
        <v>1277</v>
      </c>
      <c r="E1017" s="10" t="s">
        <v>2321</v>
      </c>
      <c r="F1017" s="10"/>
      <c r="G1017" s="10">
        <v>2</v>
      </c>
      <c r="H1017" s="10">
        <v>2</v>
      </c>
      <c r="I1017" s="10"/>
      <c r="J1017" s="10">
        <v>1327</v>
      </c>
      <c r="K1017" s="104">
        <v>45428</v>
      </c>
      <c r="L1017" s="104">
        <v>45438</v>
      </c>
      <c r="M1017" s="10" t="b">
        <v>0</v>
      </c>
      <c r="N1017" s="10">
        <v>11</v>
      </c>
      <c r="O1017" s="11">
        <v>1770</v>
      </c>
      <c r="P1017" s="85">
        <v>1.333835719668425</v>
      </c>
      <c r="Q1017" s="11">
        <v>1770</v>
      </c>
      <c r="R1017" s="85">
        <v>1.333835719668425</v>
      </c>
      <c r="S1017" s="29" t="s">
        <v>2768</v>
      </c>
      <c r="T1017" s="29" t="s">
        <v>2800</v>
      </c>
    </row>
    <row r="1018">
      <c r="B1018" s="29" t="s">
        <v>1220</v>
      </c>
      <c r="C1018" s="29" t="s">
        <v>1248</v>
      </c>
      <c r="D1018" s="8" t="s">
        <v>1277</v>
      </c>
      <c r="E1018" s="10" t="s">
        <v>2322</v>
      </c>
      <c r="F1018" s="10"/>
      <c r="G1018" s="10">
        <v>2</v>
      </c>
      <c r="H1018" s="10">
        <v>2</v>
      </c>
      <c r="I1018" s="10"/>
      <c r="J1018" s="10">
        <v>1327</v>
      </c>
      <c r="K1018" s="104">
        <v>45334</v>
      </c>
      <c r="L1018" s="104">
        <v>45398</v>
      </c>
      <c r="M1018" s="10" t="b">
        <v>0</v>
      </c>
      <c r="N1018" s="10">
        <v>65</v>
      </c>
      <c r="O1018" s="11">
        <v>1782</v>
      </c>
      <c r="P1018" s="85">
        <v>1.3428786737000753</v>
      </c>
      <c r="Q1018" s="11">
        <v>1782</v>
      </c>
      <c r="R1018" s="85">
        <v>1.3428786737000753</v>
      </c>
      <c r="S1018" s="29" t="s">
        <v>2768</v>
      </c>
      <c r="T1018" s="29" t="s">
        <v>2800</v>
      </c>
    </row>
    <row r="1019">
      <c r="B1019" s="29" t="s">
        <v>1220</v>
      </c>
      <c r="C1019" s="29" t="s">
        <v>1248</v>
      </c>
      <c r="D1019" s="8" t="s">
        <v>1277</v>
      </c>
      <c r="E1019" s="10" t="s">
        <v>2323</v>
      </c>
      <c r="F1019" s="10"/>
      <c r="G1019" s="10">
        <v>2</v>
      </c>
      <c r="H1019" s="10">
        <v>2</v>
      </c>
      <c r="I1019" s="10"/>
      <c r="J1019" s="10">
        <v>1327</v>
      </c>
      <c r="K1019" s="104">
        <v>45392</v>
      </c>
      <c r="L1019" s="104">
        <v>45415</v>
      </c>
      <c r="M1019" s="10" t="b">
        <v>0</v>
      </c>
      <c r="N1019" s="10">
        <v>24</v>
      </c>
      <c r="O1019" s="11">
        <v>1843</v>
      </c>
      <c r="P1019" s="85">
        <v>1.3888470233609647</v>
      </c>
      <c r="Q1019" s="11">
        <v>1843</v>
      </c>
      <c r="R1019" s="85">
        <v>1.3888470233609647</v>
      </c>
      <c r="S1019" s="29" t="s">
        <v>2768</v>
      </c>
      <c r="T1019" s="29" t="s">
        <v>2800</v>
      </c>
    </row>
    <row r="1020">
      <c r="B1020" s="29" t="s">
        <v>1220</v>
      </c>
      <c r="C1020" s="29" t="s">
        <v>1248</v>
      </c>
      <c r="D1020" s="8" t="s">
        <v>1277</v>
      </c>
      <c r="E1020" s="10" t="s">
        <v>2324</v>
      </c>
      <c r="F1020" s="10"/>
      <c r="G1020" s="10">
        <v>2</v>
      </c>
      <c r="H1020" s="10">
        <v>2</v>
      </c>
      <c r="I1020" s="10"/>
      <c r="J1020" s="10">
        <v>1327</v>
      </c>
      <c r="K1020" s="104">
        <v>45461</v>
      </c>
      <c r="L1020" s="104">
        <v>45601</v>
      </c>
      <c r="M1020" s="10" t="b">
        <v>0</v>
      </c>
      <c r="N1020" s="10">
        <v>141</v>
      </c>
      <c r="O1020" s="11">
        <v>2038</v>
      </c>
      <c r="P1020" s="85">
        <v>1.5357950263752826</v>
      </c>
      <c r="Q1020" s="11">
        <v>2038</v>
      </c>
      <c r="R1020" s="85">
        <v>1.5357950263752826</v>
      </c>
      <c r="S1020" s="29" t="s">
        <v>2768</v>
      </c>
      <c r="T1020" s="29" t="s">
        <v>2800</v>
      </c>
    </row>
    <row r="1021">
      <c r="B1021" s="29" t="s">
        <v>1220</v>
      </c>
      <c r="C1021" s="29" t="s">
        <v>1248</v>
      </c>
      <c r="D1021" s="8" t="s">
        <v>1277</v>
      </c>
      <c r="E1021" s="10" t="s">
        <v>2325</v>
      </c>
      <c r="F1021" s="10"/>
      <c r="G1021" s="10">
        <v>2</v>
      </c>
      <c r="H1021" s="10">
        <v>2</v>
      </c>
      <c r="I1021" s="10"/>
      <c r="J1021" s="10">
        <v>1327</v>
      </c>
      <c r="K1021" s="104">
        <v>45720</v>
      </c>
      <c r="L1021" s="104"/>
      <c r="M1021" s="10" t="b">
        <v>1</v>
      </c>
      <c r="N1021" s="10"/>
      <c r="O1021" s="11">
        <v>2110</v>
      </c>
      <c r="P1021" s="85">
        <v>1.5900527505651847</v>
      </c>
      <c r="Q1021" s="11">
        <v>2110</v>
      </c>
      <c r="R1021" s="85">
        <v>1.5900527505651847</v>
      </c>
      <c r="S1021" s="29" t="s">
        <v>2768</v>
      </c>
      <c r="T1021" s="29" t="s">
        <v>2800</v>
      </c>
    </row>
    <row r="1022">
      <c r="B1022" s="29" t="s">
        <v>1220</v>
      </c>
      <c r="C1022" s="29" t="s">
        <v>1248</v>
      </c>
      <c r="D1022" s="8" t="s">
        <v>1277</v>
      </c>
      <c r="E1022" s="10" t="s">
        <v>2326</v>
      </c>
      <c r="F1022" s="10"/>
      <c r="G1022" s="10">
        <v>2</v>
      </c>
      <c r="H1022" s="10">
        <v>2</v>
      </c>
      <c r="I1022" s="10"/>
      <c r="J1022" s="10">
        <v>1327</v>
      </c>
      <c r="K1022" s="104">
        <v>45687</v>
      </c>
      <c r="L1022" s="104"/>
      <c r="M1022" s="10" t="b">
        <v>1</v>
      </c>
      <c r="N1022" s="10"/>
      <c r="O1022" s="11">
        <v>2110</v>
      </c>
      <c r="P1022" s="85">
        <v>1.5900527505651847</v>
      </c>
      <c r="Q1022" s="11">
        <v>2110</v>
      </c>
      <c r="R1022" s="85">
        <v>1.5900527505651847</v>
      </c>
      <c r="S1022" s="29" t="s">
        <v>2768</v>
      </c>
      <c r="T1022" s="29" t="s">
        <v>2800</v>
      </c>
    </row>
    <row r="1023">
      <c r="B1023" s="29" t="s">
        <v>1220</v>
      </c>
      <c r="C1023" s="29" t="s">
        <v>1248</v>
      </c>
      <c r="D1023" s="8" t="s">
        <v>1277</v>
      </c>
      <c r="E1023" s="10" t="s">
        <v>2327</v>
      </c>
      <c r="F1023" s="10">
        <v>2</v>
      </c>
      <c r="G1023" s="10">
        <v>2</v>
      </c>
      <c r="H1023" s="10">
        <v>2</v>
      </c>
      <c r="I1023" s="10"/>
      <c r="J1023" s="10">
        <v>1327</v>
      </c>
      <c r="K1023" s="104">
        <v>45153</v>
      </c>
      <c r="L1023" s="104">
        <v>45244</v>
      </c>
      <c r="M1023" s="10" t="b">
        <v>0</v>
      </c>
      <c r="N1023" s="10">
        <v>92</v>
      </c>
      <c r="O1023" s="11">
        <v>1957</v>
      </c>
      <c r="P1023" s="85">
        <v>1.4747550866616428</v>
      </c>
      <c r="Q1023" s="11">
        <v>1957</v>
      </c>
      <c r="R1023" s="85">
        <v>1.4747550866616428</v>
      </c>
      <c r="S1023" s="29" t="s">
        <v>2719</v>
      </c>
      <c r="T1023" s="29" t="s">
        <v>2719</v>
      </c>
    </row>
    <row r="1024">
      <c r="B1024" s="29" t="s">
        <v>1220</v>
      </c>
      <c r="C1024" s="29" t="s">
        <v>1248</v>
      </c>
      <c r="D1024" s="8" t="s">
        <v>1277</v>
      </c>
      <c r="E1024" s="10" t="s">
        <v>2328</v>
      </c>
      <c r="F1024" s="10">
        <v>6</v>
      </c>
      <c r="G1024" s="10">
        <v>2</v>
      </c>
      <c r="H1024" s="10">
        <v>2</v>
      </c>
      <c r="I1024" s="10"/>
      <c r="J1024" s="10">
        <v>1327</v>
      </c>
      <c r="K1024" s="104">
        <v>45156</v>
      </c>
      <c r="L1024" s="104">
        <v>45334</v>
      </c>
      <c r="M1024" s="10" t="b">
        <v>0</v>
      </c>
      <c r="N1024" s="10">
        <v>179</v>
      </c>
      <c r="O1024" s="11">
        <v>2033</v>
      </c>
      <c r="P1024" s="85">
        <v>1.532027128862095</v>
      </c>
      <c r="Q1024" s="11">
        <v>2033</v>
      </c>
      <c r="R1024" s="85">
        <v>1.532027128862095</v>
      </c>
      <c r="S1024" s="29" t="s">
        <v>2719</v>
      </c>
      <c r="T1024" s="29" t="s">
        <v>2719</v>
      </c>
    </row>
    <row r="1025">
      <c r="B1025" s="29" t="s">
        <v>1220</v>
      </c>
      <c r="C1025" s="29" t="s">
        <v>1248</v>
      </c>
      <c r="D1025" s="8" t="s">
        <v>1277</v>
      </c>
      <c r="E1025" s="10" t="s">
        <v>2329</v>
      </c>
      <c r="F1025" s="10"/>
      <c r="G1025" s="10">
        <v>2</v>
      </c>
      <c r="H1025" s="10">
        <v>2</v>
      </c>
      <c r="I1025" s="10"/>
      <c r="J1025" s="10">
        <v>1327</v>
      </c>
      <c r="K1025" s="104">
        <v>45266</v>
      </c>
      <c r="L1025" s="104">
        <v>45334</v>
      </c>
      <c r="M1025" s="10" t="b">
        <v>0</v>
      </c>
      <c r="N1025" s="10">
        <v>69</v>
      </c>
      <c r="O1025" s="11">
        <v>2056</v>
      </c>
      <c r="P1025" s="85">
        <v>1.549359457422758</v>
      </c>
      <c r="Q1025" s="11">
        <v>2056</v>
      </c>
      <c r="R1025" s="85">
        <v>1.549359457422758</v>
      </c>
      <c r="S1025" s="29" t="s">
        <v>2719</v>
      </c>
      <c r="T1025" s="29" t="s">
        <v>2719</v>
      </c>
    </row>
    <row r="1026">
      <c r="B1026" s="29" t="s">
        <v>1220</v>
      </c>
      <c r="C1026" s="29" t="s">
        <v>1248</v>
      </c>
      <c r="D1026" s="8" t="s">
        <v>1277</v>
      </c>
      <c r="E1026" s="10"/>
      <c r="F1026" s="10"/>
      <c r="G1026" s="10">
        <v>2</v>
      </c>
      <c r="H1026" s="10">
        <v>2</v>
      </c>
      <c r="I1026" s="10"/>
      <c r="J1026" s="10">
        <v>1327</v>
      </c>
      <c r="K1026" s="104"/>
      <c r="L1026" s="104">
        <v>45153</v>
      </c>
      <c r="M1026" s="10" t="b">
        <v>0</v>
      </c>
      <c r="N1026" s="10"/>
      <c r="O1026" s="11">
        <v>2398</v>
      </c>
      <c r="P1026" s="85">
        <v>1.8070836473247929</v>
      </c>
      <c r="Q1026" s="11">
        <v>2398</v>
      </c>
      <c r="R1026" s="85">
        <v>1.8070836473247929</v>
      </c>
      <c r="S1026" s="29" t="s">
        <v>2719</v>
      </c>
      <c r="T1026" s="29" t="s">
        <v>2719</v>
      </c>
    </row>
    <row r="1027">
      <c r="B1027" s="29" t="s">
        <v>1220</v>
      </c>
      <c r="C1027" s="29" t="s">
        <v>1248</v>
      </c>
      <c r="D1027" s="8" t="s">
        <v>1277</v>
      </c>
      <c r="E1027" s="10" t="s">
        <v>2330</v>
      </c>
      <c r="F1027" s="10">
        <v>4</v>
      </c>
      <c r="G1027" s="10">
        <v>2</v>
      </c>
      <c r="H1027" s="10">
        <v>2</v>
      </c>
      <c r="I1027" s="10"/>
      <c r="J1027" s="10">
        <v>1327</v>
      </c>
      <c r="K1027" s="104">
        <v>45153</v>
      </c>
      <c r="L1027" s="104">
        <v>45154</v>
      </c>
      <c r="M1027" s="10" t="b">
        <v>0</v>
      </c>
      <c r="N1027" s="10">
        <v>2</v>
      </c>
      <c r="O1027" s="11">
        <v>2478</v>
      </c>
      <c r="P1027" s="85">
        <v>1.867370007535795</v>
      </c>
      <c r="Q1027" s="11">
        <v>2478</v>
      </c>
      <c r="R1027" s="85">
        <v>1.867370007535795</v>
      </c>
      <c r="S1027" s="29" t="s">
        <v>2719</v>
      </c>
      <c r="T1027" s="29" t="s">
        <v>2719</v>
      </c>
    </row>
    <row r="1028">
      <c r="B1028" s="29" t="s">
        <v>1220</v>
      </c>
      <c r="C1028" s="29" t="s">
        <v>1248</v>
      </c>
      <c r="D1028" s="8" t="s">
        <v>1278</v>
      </c>
      <c r="E1028" s="10" t="s">
        <v>2331</v>
      </c>
      <c r="F1028" s="10"/>
      <c r="G1028" s="10">
        <v>2</v>
      </c>
      <c r="H1028" s="10">
        <v>2</v>
      </c>
      <c r="I1028" s="10"/>
      <c r="J1028" s="10">
        <v>1350</v>
      </c>
      <c r="K1028" s="104">
        <v>45346</v>
      </c>
      <c r="L1028" s="104">
        <v>45359</v>
      </c>
      <c r="M1028" s="10" t="b">
        <v>0</v>
      </c>
      <c r="N1028" s="10">
        <v>14</v>
      </c>
      <c r="O1028" s="11">
        <v>1619</v>
      </c>
      <c r="P1028" s="85">
        <v>1.1992592592592592</v>
      </c>
      <c r="Q1028" s="11">
        <v>1619</v>
      </c>
      <c r="R1028" s="85">
        <v>1.1992592592592592</v>
      </c>
      <c r="S1028" s="29" t="s">
        <v>2768</v>
      </c>
      <c r="T1028" s="29" t="s">
        <v>2800</v>
      </c>
    </row>
    <row r="1029">
      <c r="B1029" s="29" t="s">
        <v>1220</v>
      </c>
      <c r="C1029" s="29" t="s">
        <v>1248</v>
      </c>
      <c r="D1029" s="8" t="s">
        <v>1278</v>
      </c>
      <c r="E1029" s="10" t="s">
        <v>2332</v>
      </c>
      <c r="F1029" s="10"/>
      <c r="G1029" s="10">
        <v>2</v>
      </c>
      <c r="H1029" s="10">
        <v>2</v>
      </c>
      <c r="I1029" s="10"/>
      <c r="J1029" s="10">
        <v>1350</v>
      </c>
      <c r="K1029" s="104">
        <v>45574</v>
      </c>
      <c r="L1029" s="104">
        <v>45745</v>
      </c>
      <c r="M1029" s="10" t="b">
        <v>0</v>
      </c>
      <c r="N1029" s="10">
        <v>172</v>
      </c>
      <c r="O1029" s="11">
        <v>1710</v>
      </c>
      <c r="P1029" s="85">
        <v>1.2666666666666666</v>
      </c>
      <c r="Q1029" s="11">
        <v>1710</v>
      </c>
      <c r="R1029" s="85">
        <v>1.2666666666666666</v>
      </c>
      <c r="S1029" s="29" t="s">
        <v>2770</v>
      </c>
      <c r="T1029" s="29" t="s">
        <v>2802</v>
      </c>
    </row>
    <row r="1030">
      <c r="B1030" s="29" t="s">
        <v>1220</v>
      </c>
      <c r="C1030" s="29" t="s">
        <v>1248</v>
      </c>
      <c r="D1030" s="8" t="s">
        <v>1278</v>
      </c>
      <c r="E1030" s="10" t="s">
        <v>2333</v>
      </c>
      <c r="F1030" s="10"/>
      <c r="G1030" s="10">
        <v>2</v>
      </c>
      <c r="H1030" s="10">
        <v>2</v>
      </c>
      <c r="I1030" s="10"/>
      <c r="J1030" s="10">
        <v>1350</v>
      </c>
      <c r="K1030" s="104">
        <v>45694</v>
      </c>
      <c r="L1030" s="104">
        <v>45775</v>
      </c>
      <c r="M1030" s="10" t="b">
        <v>0</v>
      </c>
      <c r="N1030" s="10">
        <v>82</v>
      </c>
      <c r="O1030" s="11">
        <v>1752</v>
      </c>
      <c r="P1030" s="85">
        <v>1.2977777777777777</v>
      </c>
      <c r="Q1030" s="11">
        <v>1752</v>
      </c>
      <c r="R1030" s="85">
        <v>1.2977777777777777</v>
      </c>
      <c r="S1030" s="29" t="s">
        <v>2770</v>
      </c>
      <c r="T1030" s="29" t="s">
        <v>2802</v>
      </c>
    </row>
    <row r="1031">
      <c r="B1031" s="29" t="s">
        <v>1220</v>
      </c>
      <c r="C1031" s="29" t="s">
        <v>1248</v>
      </c>
      <c r="D1031" s="8" t="s">
        <v>1278</v>
      </c>
      <c r="E1031" s="10" t="s">
        <v>2334</v>
      </c>
      <c r="F1031" s="10"/>
      <c r="G1031" s="10">
        <v>2</v>
      </c>
      <c r="H1031" s="10">
        <v>2</v>
      </c>
      <c r="I1031" s="10"/>
      <c r="J1031" s="10">
        <v>1350</v>
      </c>
      <c r="K1031" s="104">
        <v>45471</v>
      </c>
      <c r="L1031" s="104">
        <v>45569</v>
      </c>
      <c r="M1031" s="10" t="b">
        <v>0</v>
      </c>
      <c r="N1031" s="10">
        <v>99</v>
      </c>
      <c r="O1031" s="11">
        <v>1804</v>
      </c>
      <c r="P1031" s="85">
        <v>1.3362962962962963</v>
      </c>
      <c r="Q1031" s="11">
        <v>1804</v>
      </c>
      <c r="R1031" s="85">
        <v>1.3362962962962963</v>
      </c>
      <c r="S1031" s="29" t="s">
        <v>2768</v>
      </c>
      <c r="T1031" s="29" t="s">
        <v>2800</v>
      </c>
    </row>
    <row r="1032">
      <c r="B1032" s="29" t="s">
        <v>1220</v>
      </c>
      <c r="C1032" s="29" t="s">
        <v>1248</v>
      </c>
      <c r="D1032" s="8" t="s">
        <v>1278</v>
      </c>
      <c r="E1032" s="10" t="s">
        <v>2335</v>
      </c>
      <c r="F1032" s="10"/>
      <c r="G1032" s="10">
        <v>2</v>
      </c>
      <c r="H1032" s="10">
        <v>2</v>
      </c>
      <c r="I1032" s="10"/>
      <c r="J1032" s="10">
        <v>1350</v>
      </c>
      <c r="K1032" s="104">
        <v>45646</v>
      </c>
      <c r="L1032" s="104">
        <v>45779</v>
      </c>
      <c r="M1032" s="10" t="b">
        <v>0</v>
      </c>
      <c r="N1032" s="10">
        <v>134</v>
      </c>
      <c r="O1032" s="11">
        <v>1837</v>
      </c>
      <c r="P1032" s="85">
        <v>1.3607407407407408</v>
      </c>
      <c r="Q1032" s="11">
        <v>1837</v>
      </c>
      <c r="R1032" s="85">
        <v>1.3607407407407408</v>
      </c>
      <c r="S1032" s="29" t="s">
        <v>2768</v>
      </c>
      <c r="T1032" s="29" t="s">
        <v>2800</v>
      </c>
    </row>
    <row r="1033">
      <c r="B1033" s="29" t="s">
        <v>1220</v>
      </c>
      <c r="C1033" s="29" t="s">
        <v>1248</v>
      </c>
      <c r="D1033" s="8" t="s">
        <v>1278</v>
      </c>
      <c r="E1033" s="10" t="s">
        <v>2336</v>
      </c>
      <c r="F1033" s="10"/>
      <c r="G1033" s="10">
        <v>2</v>
      </c>
      <c r="H1033" s="10">
        <v>2</v>
      </c>
      <c r="I1033" s="10"/>
      <c r="J1033" s="10">
        <v>1350</v>
      </c>
      <c r="K1033" s="104">
        <v>45457</v>
      </c>
      <c r="L1033" s="104">
        <v>45474</v>
      </c>
      <c r="M1033" s="10" t="b">
        <v>0</v>
      </c>
      <c r="N1033" s="10">
        <v>18</v>
      </c>
      <c r="O1033" s="11">
        <v>1913</v>
      </c>
      <c r="P1033" s="85">
        <v>1.417037037037037</v>
      </c>
      <c r="Q1033" s="11">
        <v>1913</v>
      </c>
      <c r="R1033" s="85">
        <v>1.417037037037037</v>
      </c>
      <c r="S1033" s="29" t="s">
        <v>2768</v>
      </c>
      <c r="T1033" s="29" t="s">
        <v>2800</v>
      </c>
    </row>
    <row r="1034">
      <c r="B1034" s="29" t="s">
        <v>1220</v>
      </c>
      <c r="C1034" s="29" t="s">
        <v>1248</v>
      </c>
      <c r="D1034" s="8" t="s">
        <v>1278</v>
      </c>
      <c r="E1034" s="10" t="s">
        <v>2337</v>
      </c>
      <c r="F1034" s="10"/>
      <c r="G1034" s="10">
        <v>2</v>
      </c>
      <c r="H1034" s="10">
        <v>2</v>
      </c>
      <c r="I1034" s="10"/>
      <c r="J1034" s="10">
        <v>1350</v>
      </c>
      <c r="K1034" s="104">
        <v>45405</v>
      </c>
      <c r="L1034" s="104">
        <v>45555</v>
      </c>
      <c r="M1034" s="10" t="b">
        <v>0</v>
      </c>
      <c r="N1034" s="10">
        <v>151</v>
      </c>
      <c r="O1034" s="11">
        <v>1914</v>
      </c>
      <c r="P1034" s="85">
        <v>1.4177777777777778</v>
      </c>
      <c r="Q1034" s="11">
        <v>1914</v>
      </c>
      <c r="R1034" s="85">
        <v>1.4177777777777778</v>
      </c>
      <c r="S1034" s="29" t="s">
        <v>2768</v>
      </c>
      <c r="T1034" s="29" t="s">
        <v>2800</v>
      </c>
    </row>
    <row r="1035">
      <c r="B1035" s="29" t="s">
        <v>1220</v>
      </c>
      <c r="C1035" s="29" t="s">
        <v>1248</v>
      </c>
      <c r="D1035" s="8" t="s">
        <v>1278</v>
      </c>
      <c r="E1035" s="10" t="s">
        <v>2338</v>
      </c>
      <c r="F1035" s="10"/>
      <c r="G1035" s="10">
        <v>2</v>
      </c>
      <c r="H1035" s="10">
        <v>2</v>
      </c>
      <c r="I1035" s="10"/>
      <c r="J1035" s="10">
        <v>1350</v>
      </c>
      <c r="K1035" s="104">
        <v>45440</v>
      </c>
      <c r="L1035" s="104">
        <v>45547</v>
      </c>
      <c r="M1035" s="10" t="b">
        <v>0</v>
      </c>
      <c r="N1035" s="10">
        <v>108</v>
      </c>
      <c r="O1035" s="11">
        <v>1920</v>
      </c>
      <c r="P1035" s="85">
        <v>1.4222222222222223</v>
      </c>
      <c r="Q1035" s="11">
        <v>1920</v>
      </c>
      <c r="R1035" s="85">
        <v>1.4222222222222223</v>
      </c>
      <c r="S1035" s="29" t="s">
        <v>2768</v>
      </c>
      <c r="T1035" s="29" t="s">
        <v>2800</v>
      </c>
    </row>
    <row r="1036">
      <c r="B1036" s="29" t="s">
        <v>1220</v>
      </c>
      <c r="C1036" s="29" t="s">
        <v>1248</v>
      </c>
      <c r="D1036" s="8" t="s">
        <v>1278</v>
      </c>
      <c r="E1036" s="10" t="s">
        <v>2339</v>
      </c>
      <c r="F1036" s="10"/>
      <c r="G1036" s="10">
        <v>2</v>
      </c>
      <c r="H1036" s="10">
        <v>2</v>
      </c>
      <c r="I1036" s="10"/>
      <c r="J1036" s="10">
        <v>1350</v>
      </c>
      <c r="K1036" s="104">
        <v>45702</v>
      </c>
      <c r="L1036" s="104"/>
      <c r="M1036" s="10" t="b">
        <v>1</v>
      </c>
      <c r="N1036" s="10"/>
      <c r="O1036" s="11">
        <v>2120</v>
      </c>
      <c r="P1036" s="85">
        <v>1.5703703703703704</v>
      </c>
      <c r="Q1036" s="11">
        <v>2120</v>
      </c>
      <c r="R1036" s="85">
        <v>1.5703703703703704</v>
      </c>
      <c r="S1036" s="29" t="s">
        <v>2770</v>
      </c>
      <c r="T1036" s="29" t="s">
        <v>2802</v>
      </c>
    </row>
    <row r="1037">
      <c r="B1037" s="29" t="s">
        <v>1220</v>
      </c>
      <c r="C1037" s="29" t="s">
        <v>1248</v>
      </c>
      <c r="D1037" s="8" t="s">
        <v>1278</v>
      </c>
      <c r="E1037" s="10" t="s">
        <v>2340</v>
      </c>
      <c r="F1037" s="10"/>
      <c r="G1037" s="10">
        <v>2</v>
      </c>
      <c r="H1037" s="10">
        <v>2</v>
      </c>
      <c r="I1037" s="10"/>
      <c r="J1037" s="10">
        <v>1350</v>
      </c>
      <c r="K1037" s="104">
        <v>45740</v>
      </c>
      <c r="L1037" s="104"/>
      <c r="M1037" s="10" t="b">
        <v>1</v>
      </c>
      <c r="N1037" s="10"/>
      <c r="O1037" s="11">
        <v>2150</v>
      </c>
      <c r="P1037" s="85">
        <v>1.5925925925925926</v>
      </c>
      <c r="Q1037" s="11">
        <v>2150</v>
      </c>
      <c r="R1037" s="85">
        <v>1.5925925925925926</v>
      </c>
      <c r="S1037" s="29" t="s">
        <v>2768</v>
      </c>
      <c r="T1037" s="29" t="s">
        <v>2800</v>
      </c>
    </row>
    <row r="1038">
      <c r="B1038" s="29" t="s">
        <v>1220</v>
      </c>
      <c r="C1038" s="29" t="s">
        <v>1248</v>
      </c>
      <c r="D1038" s="8" t="s">
        <v>1278</v>
      </c>
      <c r="E1038" s="10" t="s">
        <v>2341</v>
      </c>
      <c r="F1038" s="10"/>
      <c r="G1038" s="10">
        <v>2</v>
      </c>
      <c r="H1038" s="10">
        <v>2</v>
      </c>
      <c r="I1038" s="10"/>
      <c r="J1038" s="10">
        <v>1350</v>
      </c>
      <c r="K1038" s="104">
        <v>45769</v>
      </c>
      <c r="L1038" s="104"/>
      <c r="M1038" s="10" t="b">
        <v>1</v>
      </c>
      <c r="N1038" s="10"/>
      <c r="O1038" s="11">
        <v>2150</v>
      </c>
      <c r="P1038" s="85">
        <v>1.5925925925925926</v>
      </c>
      <c r="Q1038" s="11">
        <v>2150</v>
      </c>
      <c r="R1038" s="85">
        <v>1.5925925925925926</v>
      </c>
      <c r="S1038" s="29" t="s">
        <v>2768</v>
      </c>
      <c r="T1038" s="29" t="s">
        <v>2800</v>
      </c>
    </row>
    <row r="1039">
      <c r="B1039" s="29" t="s">
        <v>1220</v>
      </c>
      <c r="C1039" s="29" t="s">
        <v>1248</v>
      </c>
      <c r="D1039" s="8" t="s">
        <v>1278</v>
      </c>
      <c r="E1039" s="10" t="s">
        <v>2342</v>
      </c>
      <c r="F1039" s="10">
        <v>4</v>
      </c>
      <c r="G1039" s="10">
        <v>2</v>
      </c>
      <c r="H1039" s="10">
        <v>2</v>
      </c>
      <c r="I1039" s="10"/>
      <c r="J1039" s="10">
        <v>1350</v>
      </c>
      <c r="K1039" s="104">
        <v>45153</v>
      </c>
      <c r="L1039" s="104">
        <v>45276</v>
      </c>
      <c r="M1039" s="10" t="b">
        <v>0</v>
      </c>
      <c r="N1039" s="10">
        <v>124</v>
      </c>
      <c r="O1039" s="11">
        <v>1615</v>
      </c>
      <c r="P1039" s="85">
        <v>1.1962962962962962</v>
      </c>
      <c r="Q1039" s="11">
        <v>1615</v>
      </c>
      <c r="R1039" s="85">
        <v>1.1962962962962962</v>
      </c>
      <c r="S1039" s="29" t="s">
        <v>2719</v>
      </c>
      <c r="T1039" s="29" t="s">
        <v>2719</v>
      </c>
    </row>
    <row r="1040">
      <c r="B1040" s="29" t="s">
        <v>1220</v>
      </c>
      <c r="C1040" s="29" t="s">
        <v>1248</v>
      </c>
      <c r="D1040" s="8" t="s">
        <v>1278</v>
      </c>
      <c r="E1040" s="10" t="s">
        <v>2343</v>
      </c>
      <c r="F1040" s="10">
        <v>3</v>
      </c>
      <c r="G1040" s="10">
        <v>2</v>
      </c>
      <c r="H1040" s="10">
        <v>2</v>
      </c>
      <c r="I1040" s="10"/>
      <c r="J1040" s="10">
        <v>1350</v>
      </c>
      <c r="K1040" s="104">
        <v>45205</v>
      </c>
      <c r="L1040" s="104">
        <v>45271</v>
      </c>
      <c r="M1040" s="10" t="b">
        <v>0</v>
      </c>
      <c r="N1040" s="10">
        <v>67</v>
      </c>
      <c r="O1040" s="11">
        <v>1696</v>
      </c>
      <c r="P1040" s="85">
        <v>1.2562962962962962</v>
      </c>
      <c r="Q1040" s="11">
        <v>1696</v>
      </c>
      <c r="R1040" s="85">
        <v>1.2562962962962962</v>
      </c>
      <c r="S1040" s="29" t="s">
        <v>2719</v>
      </c>
      <c r="T1040" s="29" t="s">
        <v>2719</v>
      </c>
    </row>
    <row r="1041">
      <c r="B1041" s="29" t="s">
        <v>1220</v>
      </c>
      <c r="C1041" s="29" t="s">
        <v>1248</v>
      </c>
      <c r="D1041" s="8" t="s">
        <v>1278</v>
      </c>
      <c r="E1041" s="10"/>
      <c r="F1041" s="10"/>
      <c r="G1041" s="10">
        <v>2</v>
      </c>
      <c r="H1041" s="10">
        <v>2</v>
      </c>
      <c r="I1041" s="10"/>
      <c r="J1041" s="10">
        <v>1350</v>
      </c>
      <c r="K1041" s="104"/>
      <c r="L1041" s="104">
        <v>45153</v>
      </c>
      <c r="M1041" s="10" t="b">
        <v>0</v>
      </c>
      <c r="N1041" s="10"/>
      <c r="O1041" s="11">
        <v>2515</v>
      </c>
      <c r="P1041" s="85">
        <v>1.862962962962963</v>
      </c>
      <c r="Q1041" s="11">
        <v>2515</v>
      </c>
      <c r="R1041" s="85">
        <v>1.862962962962963</v>
      </c>
      <c r="S1041" s="29" t="s">
        <v>2719</v>
      </c>
      <c r="T1041" s="29" t="s">
        <v>2719</v>
      </c>
    </row>
    <row r="1042">
      <c r="B1042" s="29" t="s">
        <v>1220</v>
      </c>
      <c r="C1042" s="29" t="s">
        <v>1248</v>
      </c>
      <c r="D1042" s="8" t="s">
        <v>1278</v>
      </c>
      <c r="E1042" s="10" t="s">
        <v>2344</v>
      </c>
      <c r="F1042" s="10">
        <v>4</v>
      </c>
      <c r="G1042" s="10">
        <v>2</v>
      </c>
      <c r="H1042" s="10">
        <v>2</v>
      </c>
      <c r="I1042" s="10"/>
      <c r="J1042" s="10">
        <v>1350</v>
      </c>
      <c r="K1042" s="104">
        <v>45153</v>
      </c>
      <c r="L1042" s="104">
        <v>45211</v>
      </c>
      <c r="M1042" s="10" t="b">
        <v>0</v>
      </c>
      <c r="N1042" s="10">
        <v>59</v>
      </c>
      <c r="O1042" s="11">
        <v>2713</v>
      </c>
      <c r="P1042" s="85">
        <v>2.0096296296296297</v>
      </c>
      <c r="Q1042" s="11">
        <v>2713</v>
      </c>
      <c r="R1042" s="85">
        <v>2.0096296296296297</v>
      </c>
      <c r="S1042" s="29" t="s">
        <v>2719</v>
      </c>
      <c r="T1042" s="29" t="s">
        <v>2719</v>
      </c>
    </row>
    <row r="1043">
      <c r="B1043" s="29" t="s">
        <v>1221</v>
      </c>
      <c r="C1043" s="29" t="s">
        <v>1249</v>
      </c>
      <c r="D1043" s="8" t="s">
        <v>1279</v>
      </c>
      <c r="E1043" s="10" t="s">
        <v>2345</v>
      </c>
      <c r="F1043" s="10"/>
      <c r="G1043" s="10">
        <v>1</v>
      </c>
      <c r="H1043" s="10">
        <v>1</v>
      </c>
      <c r="I1043" s="10"/>
      <c r="J1043" s="10">
        <v>450</v>
      </c>
      <c r="K1043" s="104">
        <v>45610</v>
      </c>
      <c r="L1043" s="104">
        <v>45632</v>
      </c>
      <c r="M1043" s="10" t="b">
        <v>0</v>
      </c>
      <c r="N1043" s="10">
        <v>23</v>
      </c>
      <c r="O1043" s="11">
        <v>1035</v>
      </c>
      <c r="P1043" s="85">
        <v>2.3</v>
      </c>
      <c r="Q1043" s="11">
        <v>1035</v>
      </c>
      <c r="R1043" s="85">
        <v>2.3</v>
      </c>
      <c r="S1043" s="29" t="s">
        <v>2719</v>
      </c>
      <c r="T1043" s="29" t="s">
        <v>2719</v>
      </c>
    </row>
    <row r="1044">
      <c r="B1044" s="29" t="s">
        <v>1221</v>
      </c>
      <c r="C1044" s="29" t="s">
        <v>1249</v>
      </c>
      <c r="D1044" s="8" t="s">
        <v>1279</v>
      </c>
      <c r="E1044" s="10" t="s">
        <v>2346</v>
      </c>
      <c r="F1044" s="10"/>
      <c r="G1044" s="10">
        <v>1</v>
      </c>
      <c r="H1044" s="10">
        <v>1</v>
      </c>
      <c r="I1044" s="10"/>
      <c r="J1044" s="10">
        <v>450</v>
      </c>
      <c r="K1044" s="104">
        <v>45778</v>
      </c>
      <c r="L1044" s="104">
        <v>45779</v>
      </c>
      <c r="M1044" s="10" t="b">
        <v>0</v>
      </c>
      <c r="N1044" s="10">
        <v>2</v>
      </c>
      <c r="O1044" s="11">
        <v>1035</v>
      </c>
      <c r="P1044" s="85">
        <v>2.3</v>
      </c>
      <c r="Q1044" s="11">
        <v>1035</v>
      </c>
      <c r="R1044" s="85">
        <v>2.3</v>
      </c>
      <c r="S1044" s="29" t="s">
        <v>2719</v>
      </c>
      <c r="T1044" s="29" t="s">
        <v>2719</v>
      </c>
    </row>
    <row r="1045">
      <c r="B1045" s="29" t="s">
        <v>1221</v>
      </c>
      <c r="C1045" s="29" t="s">
        <v>1249</v>
      </c>
      <c r="D1045" s="8" t="s">
        <v>1279</v>
      </c>
      <c r="E1045" s="10" t="s">
        <v>2347</v>
      </c>
      <c r="F1045" s="10">
        <v>1</v>
      </c>
      <c r="G1045" s="10">
        <v>1</v>
      </c>
      <c r="H1045" s="10">
        <v>1</v>
      </c>
      <c r="I1045" s="10"/>
      <c r="J1045" s="10">
        <v>450</v>
      </c>
      <c r="K1045" s="104">
        <v>45619</v>
      </c>
      <c r="L1045" s="104">
        <v>45634</v>
      </c>
      <c r="M1045" s="10" t="b">
        <v>0</v>
      </c>
      <c r="N1045" s="10">
        <v>16</v>
      </c>
      <c r="O1045" s="11">
        <v>1035</v>
      </c>
      <c r="P1045" s="85">
        <v>2.3</v>
      </c>
      <c r="Q1045" s="11">
        <v>1035</v>
      </c>
      <c r="R1045" s="85">
        <v>2.3</v>
      </c>
      <c r="S1045" s="29" t="s">
        <v>2719</v>
      </c>
      <c r="T1045" s="29" t="s">
        <v>2719</v>
      </c>
    </row>
    <row r="1046">
      <c r="B1046" s="29" t="s">
        <v>1221</v>
      </c>
      <c r="C1046" s="29" t="s">
        <v>1249</v>
      </c>
      <c r="D1046" s="8" t="s">
        <v>1271</v>
      </c>
      <c r="E1046" s="10"/>
      <c r="F1046" s="10"/>
      <c r="G1046" s="10">
        <v>1</v>
      </c>
      <c r="H1046" s="10">
        <v>1</v>
      </c>
      <c r="I1046" s="10"/>
      <c r="J1046" s="10">
        <v>450</v>
      </c>
      <c r="K1046" s="104"/>
      <c r="L1046" s="104">
        <v>45211</v>
      </c>
      <c r="M1046" s="10" t="b">
        <v>0</v>
      </c>
      <c r="N1046" s="10"/>
      <c r="O1046" s="11">
        <v>1167</v>
      </c>
      <c r="P1046" s="85">
        <v>2.5933333333333333</v>
      </c>
      <c r="Q1046" s="11">
        <v>1167</v>
      </c>
      <c r="R1046" s="85">
        <v>2.5933333333333333</v>
      </c>
      <c r="S1046" s="29" t="s">
        <v>2719</v>
      </c>
      <c r="T1046" s="29" t="s">
        <v>2719</v>
      </c>
    </row>
    <row r="1047">
      <c r="B1047" s="29" t="s">
        <v>1221</v>
      </c>
      <c r="C1047" s="29" t="s">
        <v>1249</v>
      </c>
      <c r="D1047" s="8" t="s">
        <v>1280</v>
      </c>
      <c r="E1047" s="10" t="s">
        <v>2348</v>
      </c>
      <c r="F1047" s="10"/>
      <c r="G1047" s="10">
        <v>1</v>
      </c>
      <c r="H1047" s="10">
        <v>1</v>
      </c>
      <c r="I1047" s="10"/>
      <c r="J1047" s="10">
        <v>600</v>
      </c>
      <c r="K1047" s="104">
        <v>45337</v>
      </c>
      <c r="L1047" s="104">
        <v>45341</v>
      </c>
      <c r="M1047" s="10" t="b">
        <v>0</v>
      </c>
      <c r="N1047" s="10">
        <v>5</v>
      </c>
      <c r="O1047" s="11">
        <v>1044</v>
      </c>
      <c r="P1047" s="85">
        <v>1.74</v>
      </c>
      <c r="Q1047" s="11">
        <v>1044</v>
      </c>
      <c r="R1047" s="85">
        <v>1.74</v>
      </c>
      <c r="S1047" s="29" t="s">
        <v>2778</v>
      </c>
      <c r="T1047" s="29" t="s">
        <v>2805</v>
      </c>
    </row>
    <row r="1048">
      <c r="B1048" s="29" t="s">
        <v>1221</v>
      </c>
      <c r="C1048" s="29" t="s">
        <v>1249</v>
      </c>
      <c r="D1048" s="8" t="s">
        <v>1280</v>
      </c>
      <c r="E1048" s="10" t="s">
        <v>2349</v>
      </c>
      <c r="F1048" s="10">
        <v>1</v>
      </c>
      <c r="G1048" s="10">
        <v>1</v>
      </c>
      <c r="H1048" s="10">
        <v>1</v>
      </c>
      <c r="I1048" s="10"/>
      <c r="J1048" s="10">
        <v>600</v>
      </c>
      <c r="K1048" s="104">
        <v>45343</v>
      </c>
      <c r="L1048" s="104">
        <v>45344</v>
      </c>
      <c r="M1048" s="10" t="b">
        <v>0</v>
      </c>
      <c r="N1048" s="10">
        <v>2</v>
      </c>
      <c r="O1048" s="11">
        <v>1058</v>
      </c>
      <c r="P1048" s="85">
        <v>1.7633333333333334</v>
      </c>
      <c r="Q1048" s="11">
        <v>1058</v>
      </c>
      <c r="R1048" s="85">
        <v>1.7633333333333334</v>
      </c>
      <c r="S1048" s="29" t="s">
        <v>2778</v>
      </c>
      <c r="T1048" s="29" t="s">
        <v>2805</v>
      </c>
    </row>
    <row r="1049">
      <c r="B1049" s="29" t="s">
        <v>1221</v>
      </c>
      <c r="C1049" s="29" t="s">
        <v>1249</v>
      </c>
      <c r="D1049" s="8" t="s">
        <v>1280</v>
      </c>
      <c r="E1049" s="10" t="s">
        <v>2350</v>
      </c>
      <c r="F1049" s="10"/>
      <c r="G1049" s="10">
        <v>1</v>
      </c>
      <c r="H1049" s="10">
        <v>1</v>
      </c>
      <c r="I1049" s="10"/>
      <c r="J1049" s="10">
        <v>600</v>
      </c>
      <c r="K1049" s="104">
        <v>45334</v>
      </c>
      <c r="L1049" s="104">
        <v>45346</v>
      </c>
      <c r="M1049" s="10" t="b">
        <v>0</v>
      </c>
      <c r="N1049" s="10">
        <v>13</v>
      </c>
      <c r="O1049" s="11">
        <v>1061</v>
      </c>
      <c r="P1049" s="85">
        <v>1.7683333333333333</v>
      </c>
      <c r="Q1049" s="11">
        <v>1061</v>
      </c>
      <c r="R1049" s="85">
        <v>1.7683333333333333</v>
      </c>
      <c r="S1049" s="29" t="s">
        <v>2778</v>
      </c>
      <c r="T1049" s="29" t="s">
        <v>2805</v>
      </c>
    </row>
    <row r="1050">
      <c r="B1050" s="29" t="s">
        <v>1221</v>
      </c>
      <c r="C1050" s="29" t="s">
        <v>1249</v>
      </c>
      <c r="D1050" s="8" t="s">
        <v>1280</v>
      </c>
      <c r="E1050" s="10" t="s">
        <v>2351</v>
      </c>
      <c r="F1050" s="10"/>
      <c r="G1050" s="10">
        <v>1</v>
      </c>
      <c r="H1050" s="10">
        <v>1</v>
      </c>
      <c r="I1050" s="10"/>
      <c r="J1050" s="10">
        <v>600</v>
      </c>
      <c r="K1050" s="104">
        <v>45334</v>
      </c>
      <c r="L1050" s="104">
        <v>45346</v>
      </c>
      <c r="M1050" s="10" t="b">
        <v>0</v>
      </c>
      <c r="N1050" s="10">
        <v>13</v>
      </c>
      <c r="O1050" s="11">
        <v>1061</v>
      </c>
      <c r="P1050" s="85">
        <v>1.7683333333333333</v>
      </c>
      <c r="Q1050" s="11">
        <v>1061</v>
      </c>
      <c r="R1050" s="85">
        <v>1.7683333333333333</v>
      </c>
      <c r="S1050" s="29" t="s">
        <v>2778</v>
      </c>
      <c r="T1050" s="29" t="s">
        <v>2805</v>
      </c>
    </row>
    <row r="1051">
      <c r="B1051" s="29" t="s">
        <v>1221</v>
      </c>
      <c r="C1051" s="29" t="s">
        <v>1249</v>
      </c>
      <c r="D1051" s="8" t="s">
        <v>1280</v>
      </c>
      <c r="E1051" s="10" t="s">
        <v>2352</v>
      </c>
      <c r="F1051" s="10">
        <v>1</v>
      </c>
      <c r="G1051" s="10">
        <v>1</v>
      </c>
      <c r="H1051" s="10">
        <v>1</v>
      </c>
      <c r="I1051" s="10"/>
      <c r="J1051" s="10">
        <v>600</v>
      </c>
      <c r="K1051" s="104">
        <v>45351</v>
      </c>
      <c r="L1051" s="104">
        <v>45355</v>
      </c>
      <c r="M1051" s="10" t="b">
        <v>0</v>
      </c>
      <c r="N1051" s="10">
        <v>5</v>
      </c>
      <c r="O1051" s="11">
        <v>1161</v>
      </c>
      <c r="P1051" s="85">
        <v>1.935</v>
      </c>
      <c r="Q1051" s="11">
        <v>1161</v>
      </c>
      <c r="R1051" s="85">
        <v>1.935</v>
      </c>
      <c r="S1051" s="29" t="s">
        <v>2778</v>
      </c>
      <c r="T1051" s="29" t="s">
        <v>2805</v>
      </c>
    </row>
    <row r="1052">
      <c r="B1052" s="29" t="s">
        <v>1221</v>
      </c>
      <c r="C1052" s="29" t="s">
        <v>1249</v>
      </c>
      <c r="D1052" s="8" t="s">
        <v>1281</v>
      </c>
      <c r="E1052" s="10" t="s">
        <v>2353</v>
      </c>
      <c r="F1052" s="10"/>
      <c r="G1052" s="10">
        <v>1</v>
      </c>
      <c r="H1052" s="10">
        <v>1</v>
      </c>
      <c r="I1052" s="10"/>
      <c r="J1052" s="10">
        <v>600</v>
      </c>
      <c r="K1052" s="104">
        <v>45349</v>
      </c>
      <c r="L1052" s="104">
        <v>45363</v>
      </c>
      <c r="M1052" s="10" t="b">
        <v>0</v>
      </c>
      <c r="N1052" s="10">
        <v>15</v>
      </c>
      <c r="O1052" s="11">
        <v>1233</v>
      </c>
      <c r="P1052" s="85">
        <v>2.055</v>
      </c>
      <c r="Q1052" s="11">
        <v>1233</v>
      </c>
      <c r="R1052" s="85">
        <v>2.055</v>
      </c>
      <c r="S1052" s="29" t="s">
        <v>2779</v>
      </c>
      <c r="T1052" s="29" t="s">
        <v>2806</v>
      </c>
    </row>
    <row r="1053">
      <c r="B1053" s="29" t="s">
        <v>1221</v>
      </c>
      <c r="C1053" s="29" t="s">
        <v>1249</v>
      </c>
      <c r="D1053" s="8" t="s">
        <v>1280</v>
      </c>
      <c r="E1053" s="10" t="s">
        <v>2354</v>
      </c>
      <c r="F1053" s="10"/>
      <c r="G1053" s="10">
        <v>1</v>
      </c>
      <c r="H1053" s="10">
        <v>1</v>
      </c>
      <c r="I1053" s="10"/>
      <c r="J1053" s="10">
        <v>600</v>
      </c>
      <c r="K1053" s="104">
        <v>45343</v>
      </c>
      <c r="L1053" s="104">
        <v>45376</v>
      </c>
      <c r="M1053" s="10" t="b">
        <v>0</v>
      </c>
      <c r="N1053" s="10">
        <v>34</v>
      </c>
      <c r="O1053" s="11">
        <v>1238</v>
      </c>
      <c r="P1053" s="85">
        <v>2.0633333333333335</v>
      </c>
      <c r="Q1053" s="11">
        <v>1238</v>
      </c>
      <c r="R1053" s="85">
        <v>2.0633333333333335</v>
      </c>
      <c r="S1053" s="29" t="s">
        <v>2778</v>
      </c>
      <c r="T1053" s="29" t="s">
        <v>2805</v>
      </c>
    </row>
    <row r="1054">
      <c r="B1054" s="29" t="s">
        <v>1221</v>
      </c>
      <c r="C1054" s="29" t="s">
        <v>1249</v>
      </c>
      <c r="D1054" s="8" t="s">
        <v>1280</v>
      </c>
      <c r="E1054" s="10" t="s">
        <v>2355</v>
      </c>
      <c r="F1054" s="10"/>
      <c r="G1054" s="10">
        <v>1</v>
      </c>
      <c r="H1054" s="10">
        <v>1</v>
      </c>
      <c r="I1054" s="10"/>
      <c r="J1054" s="10">
        <v>600</v>
      </c>
      <c r="K1054" s="104">
        <v>45352</v>
      </c>
      <c r="L1054" s="104">
        <v>45363</v>
      </c>
      <c r="M1054" s="10" t="b">
        <v>0</v>
      </c>
      <c r="N1054" s="10">
        <v>12</v>
      </c>
      <c r="O1054" s="11">
        <v>1243</v>
      </c>
      <c r="P1054" s="85">
        <v>2.0716666666666668</v>
      </c>
      <c r="Q1054" s="11">
        <v>1243</v>
      </c>
      <c r="R1054" s="85">
        <v>2.0716666666666668</v>
      </c>
      <c r="S1054" s="29" t="s">
        <v>2778</v>
      </c>
      <c r="T1054" s="29" t="s">
        <v>2805</v>
      </c>
    </row>
    <row r="1055">
      <c r="B1055" s="29" t="s">
        <v>1221</v>
      </c>
      <c r="C1055" s="29" t="s">
        <v>1249</v>
      </c>
      <c r="D1055" s="8" t="s">
        <v>1280</v>
      </c>
      <c r="E1055" s="10" t="s">
        <v>2356</v>
      </c>
      <c r="F1055" s="10"/>
      <c r="G1055" s="10">
        <v>1</v>
      </c>
      <c r="H1055" s="10">
        <v>1</v>
      </c>
      <c r="I1055" s="10"/>
      <c r="J1055" s="10">
        <v>600</v>
      </c>
      <c r="K1055" s="104">
        <v>45337</v>
      </c>
      <c r="L1055" s="104">
        <v>45371</v>
      </c>
      <c r="M1055" s="10" t="b">
        <v>0</v>
      </c>
      <c r="N1055" s="10">
        <v>35</v>
      </c>
      <c r="O1055" s="11">
        <v>1246</v>
      </c>
      <c r="P1055" s="85">
        <v>2.0766666666666667</v>
      </c>
      <c r="Q1055" s="11">
        <v>1246</v>
      </c>
      <c r="R1055" s="85">
        <v>2.0766666666666667</v>
      </c>
      <c r="S1055" s="29" t="s">
        <v>2778</v>
      </c>
      <c r="T1055" s="29" t="s">
        <v>2805</v>
      </c>
    </row>
    <row r="1056">
      <c r="B1056" s="29" t="s">
        <v>1221</v>
      </c>
      <c r="C1056" s="29" t="s">
        <v>1249</v>
      </c>
      <c r="D1056" s="8" t="s">
        <v>1280</v>
      </c>
      <c r="E1056" s="10" t="s">
        <v>2357</v>
      </c>
      <c r="F1056" s="10"/>
      <c r="G1056" s="10">
        <v>1</v>
      </c>
      <c r="H1056" s="10">
        <v>1</v>
      </c>
      <c r="I1056" s="10"/>
      <c r="J1056" s="10">
        <v>600</v>
      </c>
      <c r="K1056" s="104">
        <v>45337</v>
      </c>
      <c r="L1056" s="104">
        <v>45380</v>
      </c>
      <c r="M1056" s="10" t="b">
        <v>0</v>
      </c>
      <c r="N1056" s="10">
        <v>44</v>
      </c>
      <c r="O1056" s="11">
        <v>1248</v>
      </c>
      <c r="P1056" s="85">
        <v>2.08</v>
      </c>
      <c r="Q1056" s="11">
        <v>1248</v>
      </c>
      <c r="R1056" s="85">
        <v>2.08</v>
      </c>
      <c r="S1056" s="29" t="s">
        <v>2778</v>
      </c>
      <c r="T1056" s="29" t="s">
        <v>2805</v>
      </c>
    </row>
    <row r="1057">
      <c r="B1057" s="29" t="s">
        <v>1221</v>
      </c>
      <c r="C1057" s="29" t="s">
        <v>1249</v>
      </c>
      <c r="D1057" s="8" t="s">
        <v>1281</v>
      </c>
      <c r="E1057" s="10" t="s">
        <v>2358</v>
      </c>
      <c r="F1057" s="10">
        <v>4</v>
      </c>
      <c r="G1057" s="10">
        <v>1</v>
      </c>
      <c r="H1057" s="10">
        <v>1</v>
      </c>
      <c r="I1057" s="10"/>
      <c r="J1057" s="10">
        <v>600</v>
      </c>
      <c r="K1057" s="104">
        <v>45394</v>
      </c>
      <c r="L1057" s="104">
        <v>45398</v>
      </c>
      <c r="M1057" s="10" t="b">
        <v>0</v>
      </c>
      <c r="N1057" s="10">
        <v>5</v>
      </c>
      <c r="O1057" s="11">
        <v>1269</v>
      </c>
      <c r="P1057" s="85">
        <v>2.115</v>
      </c>
      <c r="Q1057" s="11">
        <v>1269</v>
      </c>
      <c r="R1057" s="85">
        <v>2.115</v>
      </c>
      <c r="S1057" s="29" t="s">
        <v>2779</v>
      </c>
      <c r="T1057" s="29" t="s">
        <v>2806</v>
      </c>
    </row>
    <row r="1058">
      <c r="B1058" s="29" t="s">
        <v>1221</v>
      </c>
      <c r="C1058" s="29" t="s">
        <v>1249</v>
      </c>
      <c r="D1058" s="8" t="s">
        <v>1281</v>
      </c>
      <c r="E1058" s="10" t="s">
        <v>2359</v>
      </c>
      <c r="F1058" s="10"/>
      <c r="G1058" s="10">
        <v>1</v>
      </c>
      <c r="H1058" s="10">
        <v>1</v>
      </c>
      <c r="I1058" s="10"/>
      <c r="J1058" s="10">
        <v>600</v>
      </c>
      <c r="K1058" s="104">
        <v>45390</v>
      </c>
      <c r="L1058" s="104">
        <v>45398</v>
      </c>
      <c r="M1058" s="10" t="b">
        <v>0</v>
      </c>
      <c r="N1058" s="10">
        <v>9</v>
      </c>
      <c r="O1058" s="11">
        <v>1269</v>
      </c>
      <c r="P1058" s="85">
        <v>2.115</v>
      </c>
      <c r="Q1058" s="11">
        <v>1269</v>
      </c>
      <c r="R1058" s="85">
        <v>2.115</v>
      </c>
      <c r="S1058" s="29" t="s">
        <v>2779</v>
      </c>
      <c r="T1058" s="29" t="s">
        <v>2806</v>
      </c>
    </row>
    <row r="1059">
      <c r="B1059" s="29" t="s">
        <v>1221</v>
      </c>
      <c r="C1059" s="29" t="s">
        <v>1249</v>
      </c>
      <c r="D1059" s="8" t="s">
        <v>1280</v>
      </c>
      <c r="E1059" s="10" t="s">
        <v>2360</v>
      </c>
      <c r="F1059" s="10"/>
      <c r="G1059" s="10">
        <v>1</v>
      </c>
      <c r="H1059" s="10">
        <v>1</v>
      </c>
      <c r="I1059" s="10"/>
      <c r="J1059" s="10">
        <v>600</v>
      </c>
      <c r="K1059" s="104">
        <v>45353</v>
      </c>
      <c r="L1059" s="104">
        <v>45398</v>
      </c>
      <c r="M1059" s="10" t="b">
        <v>0</v>
      </c>
      <c r="N1059" s="10">
        <v>46</v>
      </c>
      <c r="O1059" s="11">
        <v>1279</v>
      </c>
      <c r="P1059" s="85">
        <v>2.131666666666667</v>
      </c>
      <c r="Q1059" s="11">
        <v>1279</v>
      </c>
      <c r="R1059" s="85">
        <v>2.131666666666667</v>
      </c>
      <c r="S1059" s="29" t="s">
        <v>2778</v>
      </c>
      <c r="T1059" s="29" t="s">
        <v>2805</v>
      </c>
    </row>
    <row r="1060">
      <c r="B1060" s="29" t="s">
        <v>1221</v>
      </c>
      <c r="C1060" s="29" t="s">
        <v>1249</v>
      </c>
      <c r="D1060" s="8" t="s">
        <v>1280</v>
      </c>
      <c r="E1060" s="10" t="s">
        <v>2361</v>
      </c>
      <c r="F1060" s="10">
        <v>4</v>
      </c>
      <c r="G1060" s="10">
        <v>1</v>
      </c>
      <c r="H1060" s="10">
        <v>1</v>
      </c>
      <c r="I1060" s="10"/>
      <c r="J1060" s="10">
        <v>600</v>
      </c>
      <c r="K1060" s="104">
        <v>45334</v>
      </c>
      <c r="L1060" s="104">
        <v>45398</v>
      </c>
      <c r="M1060" s="10" t="b">
        <v>0</v>
      </c>
      <c r="N1060" s="10">
        <v>65</v>
      </c>
      <c r="O1060" s="11">
        <v>1279</v>
      </c>
      <c r="P1060" s="85">
        <v>2.131666666666667</v>
      </c>
      <c r="Q1060" s="11">
        <v>1279</v>
      </c>
      <c r="R1060" s="85">
        <v>2.131666666666667</v>
      </c>
      <c r="S1060" s="29" t="s">
        <v>2778</v>
      </c>
      <c r="T1060" s="29" t="s">
        <v>2805</v>
      </c>
    </row>
    <row r="1061">
      <c r="B1061" s="29" t="s">
        <v>1221</v>
      </c>
      <c r="C1061" s="29" t="s">
        <v>1249</v>
      </c>
      <c r="D1061" s="8" t="s">
        <v>1280</v>
      </c>
      <c r="E1061" s="10" t="s">
        <v>2362</v>
      </c>
      <c r="F1061" s="10"/>
      <c r="G1061" s="10">
        <v>1</v>
      </c>
      <c r="H1061" s="10">
        <v>1</v>
      </c>
      <c r="I1061" s="10"/>
      <c r="J1061" s="10">
        <v>600</v>
      </c>
      <c r="K1061" s="104">
        <v>45377</v>
      </c>
      <c r="L1061" s="104">
        <v>45395</v>
      </c>
      <c r="M1061" s="10" t="b">
        <v>0</v>
      </c>
      <c r="N1061" s="10">
        <v>19</v>
      </c>
      <c r="O1061" s="11">
        <v>1290</v>
      </c>
      <c r="P1061" s="85">
        <v>2.15</v>
      </c>
      <c r="Q1061" s="11">
        <v>1290</v>
      </c>
      <c r="R1061" s="85">
        <v>2.15</v>
      </c>
      <c r="S1061" s="29" t="s">
        <v>2778</v>
      </c>
      <c r="T1061" s="29" t="s">
        <v>2805</v>
      </c>
    </row>
    <row r="1062">
      <c r="B1062" s="29" t="s">
        <v>1221</v>
      </c>
      <c r="C1062" s="29" t="s">
        <v>1249</v>
      </c>
      <c r="D1062" s="8" t="s">
        <v>1281</v>
      </c>
      <c r="E1062" s="10" t="s">
        <v>2363</v>
      </c>
      <c r="F1062" s="10">
        <v>4</v>
      </c>
      <c r="G1062" s="10">
        <v>1</v>
      </c>
      <c r="H1062" s="10">
        <v>1</v>
      </c>
      <c r="I1062" s="10"/>
      <c r="J1062" s="10">
        <v>600</v>
      </c>
      <c r="K1062" s="104">
        <v>45405</v>
      </c>
      <c r="L1062" s="104">
        <v>45421</v>
      </c>
      <c r="M1062" s="10" t="b">
        <v>0</v>
      </c>
      <c r="N1062" s="10">
        <v>17</v>
      </c>
      <c r="O1062" s="11">
        <v>1303</v>
      </c>
      <c r="P1062" s="85">
        <v>2.171666666666667</v>
      </c>
      <c r="Q1062" s="11">
        <v>1303</v>
      </c>
      <c r="R1062" s="85">
        <v>2.171666666666667</v>
      </c>
      <c r="S1062" s="29" t="s">
        <v>2779</v>
      </c>
      <c r="T1062" s="29" t="s">
        <v>2806</v>
      </c>
    </row>
    <row r="1063">
      <c r="B1063" s="29" t="s">
        <v>1221</v>
      </c>
      <c r="C1063" s="29" t="s">
        <v>1249</v>
      </c>
      <c r="D1063" s="8" t="s">
        <v>1280</v>
      </c>
      <c r="E1063" s="10" t="s">
        <v>2364</v>
      </c>
      <c r="F1063" s="10"/>
      <c r="G1063" s="10">
        <v>1</v>
      </c>
      <c r="H1063" s="10">
        <v>1</v>
      </c>
      <c r="I1063" s="10"/>
      <c r="J1063" s="10">
        <v>600</v>
      </c>
      <c r="K1063" s="104">
        <v>45419</v>
      </c>
      <c r="L1063" s="104">
        <v>45421</v>
      </c>
      <c r="M1063" s="10" t="b">
        <v>0</v>
      </c>
      <c r="N1063" s="10">
        <v>3</v>
      </c>
      <c r="O1063" s="11">
        <v>1313</v>
      </c>
      <c r="P1063" s="85">
        <v>2.1883333333333335</v>
      </c>
      <c r="Q1063" s="11">
        <v>1313</v>
      </c>
      <c r="R1063" s="85">
        <v>2.1883333333333335</v>
      </c>
      <c r="S1063" s="29" t="s">
        <v>2778</v>
      </c>
      <c r="T1063" s="29" t="s">
        <v>2805</v>
      </c>
    </row>
    <row r="1064">
      <c r="B1064" s="29" t="s">
        <v>1221</v>
      </c>
      <c r="C1064" s="29" t="s">
        <v>1249</v>
      </c>
      <c r="D1064" s="8" t="s">
        <v>1280</v>
      </c>
      <c r="E1064" s="10" t="s">
        <v>2365</v>
      </c>
      <c r="F1064" s="10">
        <v>2</v>
      </c>
      <c r="G1064" s="10">
        <v>1</v>
      </c>
      <c r="H1064" s="10">
        <v>1</v>
      </c>
      <c r="I1064" s="10"/>
      <c r="J1064" s="10">
        <v>600</v>
      </c>
      <c r="K1064" s="104">
        <v>45334</v>
      </c>
      <c r="L1064" s="104">
        <v>45421</v>
      </c>
      <c r="M1064" s="10" t="b">
        <v>0</v>
      </c>
      <c r="N1064" s="10">
        <v>88</v>
      </c>
      <c r="O1064" s="11">
        <v>1313</v>
      </c>
      <c r="P1064" s="85">
        <v>2.1883333333333335</v>
      </c>
      <c r="Q1064" s="11">
        <v>1313</v>
      </c>
      <c r="R1064" s="85">
        <v>2.1883333333333335</v>
      </c>
      <c r="S1064" s="29" t="s">
        <v>2778</v>
      </c>
      <c r="T1064" s="29" t="s">
        <v>2805</v>
      </c>
    </row>
    <row r="1065">
      <c r="B1065" s="29" t="s">
        <v>1221</v>
      </c>
      <c r="C1065" s="29" t="s">
        <v>1249</v>
      </c>
      <c r="D1065" s="8" t="s">
        <v>1280</v>
      </c>
      <c r="E1065" s="10" t="s">
        <v>2366</v>
      </c>
      <c r="F1065" s="10"/>
      <c r="G1065" s="10">
        <v>1</v>
      </c>
      <c r="H1065" s="10">
        <v>1</v>
      </c>
      <c r="I1065" s="10"/>
      <c r="J1065" s="10">
        <v>600</v>
      </c>
      <c r="K1065" s="104">
        <v>45334</v>
      </c>
      <c r="L1065" s="104">
        <v>45421</v>
      </c>
      <c r="M1065" s="10" t="b">
        <v>0</v>
      </c>
      <c r="N1065" s="10">
        <v>88</v>
      </c>
      <c r="O1065" s="11">
        <v>1313</v>
      </c>
      <c r="P1065" s="85">
        <v>2.1883333333333335</v>
      </c>
      <c r="Q1065" s="11">
        <v>1313</v>
      </c>
      <c r="R1065" s="85">
        <v>2.1883333333333335</v>
      </c>
      <c r="S1065" s="29" t="s">
        <v>2778</v>
      </c>
      <c r="T1065" s="29" t="s">
        <v>2805</v>
      </c>
    </row>
    <row r="1066">
      <c r="B1066" s="29" t="s">
        <v>1221</v>
      </c>
      <c r="C1066" s="29" t="s">
        <v>1249</v>
      </c>
      <c r="D1066" s="8" t="s">
        <v>1280</v>
      </c>
      <c r="E1066" s="10" t="s">
        <v>2367</v>
      </c>
      <c r="F1066" s="10"/>
      <c r="G1066" s="10">
        <v>1</v>
      </c>
      <c r="H1066" s="10">
        <v>1</v>
      </c>
      <c r="I1066" s="10"/>
      <c r="J1066" s="10">
        <v>600</v>
      </c>
      <c r="K1066" s="104">
        <v>45415</v>
      </c>
      <c r="L1066" s="104">
        <v>45421</v>
      </c>
      <c r="M1066" s="10" t="b">
        <v>0</v>
      </c>
      <c r="N1066" s="10">
        <v>7</v>
      </c>
      <c r="O1066" s="11">
        <v>1313</v>
      </c>
      <c r="P1066" s="85">
        <v>2.1883333333333335</v>
      </c>
      <c r="Q1066" s="11">
        <v>1313</v>
      </c>
      <c r="R1066" s="85">
        <v>2.1883333333333335</v>
      </c>
      <c r="S1066" s="29" t="s">
        <v>2778</v>
      </c>
      <c r="T1066" s="29" t="s">
        <v>2805</v>
      </c>
    </row>
    <row r="1067">
      <c r="B1067" s="29" t="s">
        <v>1221</v>
      </c>
      <c r="C1067" s="29" t="s">
        <v>1249</v>
      </c>
      <c r="D1067" s="8" t="s">
        <v>1280</v>
      </c>
      <c r="E1067" s="10" t="s">
        <v>2368</v>
      </c>
      <c r="F1067" s="10"/>
      <c r="G1067" s="10">
        <v>1</v>
      </c>
      <c r="H1067" s="10">
        <v>1</v>
      </c>
      <c r="I1067" s="10"/>
      <c r="J1067" s="10">
        <v>600</v>
      </c>
      <c r="K1067" s="104">
        <v>45419</v>
      </c>
      <c r="L1067" s="104">
        <v>45421</v>
      </c>
      <c r="M1067" s="10" t="b">
        <v>0</v>
      </c>
      <c r="N1067" s="10">
        <v>3</v>
      </c>
      <c r="O1067" s="11">
        <v>1313</v>
      </c>
      <c r="P1067" s="85">
        <v>2.1883333333333335</v>
      </c>
      <c r="Q1067" s="11">
        <v>1313</v>
      </c>
      <c r="R1067" s="85">
        <v>2.1883333333333335</v>
      </c>
      <c r="S1067" s="29" t="s">
        <v>2778</v>
      </c>
      <c r="T1067" s="29" t="s">
        <v>2805</v>
      </c>
    </row>
    <row r="1068">
      <c r="B1068" s="29" t="s">
        <v>1221</v>
      </c>
      <c r="C1068" s="29" t="s">
        <v>1249</v>
      </c>
      <c r="D1068" s="8" t="s">
        <v>1280</v>
      </c>
      <c r="E1068" s="10" t="s">
        <v>2369</v>
      </c>
      <c r="F1068" s="10"/>
      <c r="G1068" s="10">
        <v>1</v>
      </c>
      <c r="H1068" s="10">
        <v>1</v>
      </c>
      <c r="I1068" s="10"/>
      <c r="J1068" s="10">
        <v>600</v>
      </c>
      <c r="K1068" s="104">
        <v>45397</v>
      </c>
      <c r="L1068" s="104">
        <v>45412</v>
      </c>
      <c r="M1068" s="10" t="b">
        <v>0</v>
      </c>
      <c r="N1068" s="10">
        <v>16</v>
      </c>
      <c r="O1068" s="11">
        <v>1324</v>
      </c>
      <c r="P1068" s="85">
        <v>2.2066666666666666</v>
      </c>
      <c r="Q1068" s="11">
        <v>1324</v>
      </c>
      <c r="R1068" s="85">
        <v>2.2066666666666666</v>
      </c>
      <c r="S1068" s="29" t="s">
        <v>2778</v>
      </c>
      <c r="T1068" s="29" t="s">
        <v>2805</v>
      </c>
    </row>
    <row r="1069">
      <c r="B1069" s="29" t="s">
        <v>1221</v>
      </c>
      <c r="C1069" s="29" t="s">
        <v>1249</v>
      </c>
      <c r="D1069" s="8" t="s">
        <v>1280</v>
      </c>
      <c r="E1069" s="10" t="s">
        <v>2370</v>
      </c>
      <c r="F1069" s="10"/>
      <c r="G1069" s="10">
        <v>1</v>
      </c>
      <c r="H1069" s="10">
        <v>1</v>
      </c>
      <c r="I1069" s="10"/>
      <c r="J1069" s="10">
        <v>600</v>
      </c>
      <c r="K1069" s="104">
        <v>45351</v>
      </c>
      <c r="L1069" s="104">
        <v>45405</v>
      </c>
      <c r="M1069" s="10" t="b">
        <v>0</v>
      </c>
      <c r="N1069" s="10">
        <v>55</v>
      </c>
      <c r="O1069" s="11">
        <v>1364</v>
      </c>
      <c r="P1069" s="85">
        <v>2.2733333333333334</v>
      </c>
      <c r="Q1069" s="11">
        <v>1364</v>
      </c>
      <c r="R1069" s="85">
        <v>2.2733333333333334</v>
      </c>
      <c r="S1069" s="29" t="s">
        <v>2778</v>
      </c>
      <c r="T1069" s="29" t="s">
        <v>2805</v>
      </c>
    </row>
    <row r="1070">
      <c r="B1070" s="29" t="s">
        <v>1221</v>
      </c>
      <c r="C1070" s="29" t="s">
        <v>1249</v>
      </c>
      <c r="D1070" s="8" t="s">
        <v>1280</v>
      </c>
      <c r="E1070" s="10" t="s">
        <v>2371</v>
      </c>
      <c r="F1070" s="10">
        <v>1</v>
      </c>
      <c r="G1070" s="10">
        <v>1</v>
      </c>
      <c r="H1070" s="10">
        <v>1</v>
      </c>
      <c r="I1070" s="10"/>
      <c r="J1070" s="10">
        <v>600</v>
      </c>
      <c r="K1070" s="104">
        <v>45248</v>
      </c>
      <c r="L1070" s="104">
        <v>45275</v>
      </c>
      <c r="M1070" s="10" t="b">
        <v>0</v>
      </c>
      <c r="N1070" s="10">
        <v>28</v>
      </c>
      <c r="O1070" s="11">
        <v>1048</v>
      </c>
      <c r="P1070" s="85">
        <v>1.7466666666666666</v>
      </c>
      <c r="Q1070" s="11">
        <v>1048</v>
      </c>
      <c r="R1070" s="85">
        <v>1.7466666666666666</v>
      </c>
      <c r="S1070" s="29" t="s">
        <v>2719</v>
      </c>
      <c r="T1070" s="29" t="s">
        <v>2719</v>
      </c>
    </row>
    <row r="1071">
      <c r="B1071" s="29" t="s">
        <v>1221</v>
      </c>
      <c r="C1071" s="29" t="s">
        <v>1249</v>
      </c>
      <c r="D1071" s="8" t="s">
        <v>1281</v>
      </c>
      <c r="E1071" s="10" t="s">
        <v>2372</v>
      </c>
      <c r="F1071" s="10"/>
      <c r="G1071" s="10">
        <v>1</v>
      </c>
      <c r="H1071" s="10">
        <v>1</v>
      </c>
      <c r="I1071" s="10"/>
      <c r="J1071" s="10">
        <v>600</v>
      </c>
      <c r="K1071" s="104">
        <v>45262</v>
      </c>
      <c r="L1071" s="104">
        <v>45266</v>
      </c>
      <c r="M1071" s="10" t="b">
        <v>0</v>
      </c>
      <c r="N1071" s="10">
        <v>5</v>
      </c>
      <c r="O1071" s="11">
        <v>1070</v>
      </c>
      <c r="P1071" s="85">
        <v>1.7833333333333334</v>
      </c>
      <c r="Q1071" s="11">
        <v>1070</v>
      </c>
      <c r="R1071" s="85">
        <v>1.7833333333333334</v>
      </c>
      <c r="S1071" s="29" t="s">
        <v>2719</v>
      </c>
      <c r="T1071" s="29" t="s">
        <v>2797</v>
      </c>
    </row>
    <row r="1072">
      <c r="B1072" s="29" t="s">
        <v>1221</v>
      </c>
      <c r="C1072" s="29" t="s">
        <v>1249</v>
      </c>
      <c r="D1072" s="8" t="s">
        <v>1280</v>
      </c>
      <c r="E1072" s="10" t="s">
        <v>2373</v>
      </c>
      <c r="F1072" s="10"/>
      <c r="G1072" s="10">
        <v>1</v>
      </c>
      <c r="H1072" s="10">
        <v>1</v>
      </c>
      <c r="I1072" s="10"/>
      <c r="J1072" s="10">
        <v>600</v>
      </c>
      <c r="K1072" s="104">
        <v>45196</v>
      </c>
      <c r="L1072" s="104">
        <v>45197</v>
      </c>
      <c r="M1072" s="10" t="b">
        <v>0</v>
      </c>
      <c r="N1072" s="10">
        <v>2</v>
      </c>
      <c r="O1072" s="11">
        <v>1078</v>
      </c>
      <c r="P1072" s="85">
        <v>1.7966666666666666</v>
      </c>
      <c r="Q1072" s="11">
        <v>1078</v>
      </c>
      <c r="R1072" s="85">
        <v>1.7966666666666666</v>
      </c>
      <c r="S1072" s="29" t="s">
        <v>2719</v>
      </c>
      <c r="T1072" s="29" t="s">
        <v>2719</v>
      </c>
    </row>
    <row r="1073">
      <c r="B1073" s="29" t="s">
        <v>1221</v>
      </c>
      <c r="C1073" s="29" t="s">
        <v>1249</v>
      </c>
      <c r="D1073" s="8" t="s">
        <v>1280</v>
      </c>
      <c r="E1073" s="10" t="s">
        <v>2374</v>
      </c>
      <c r="F1073" s="10">
        <v>3</v>
      </c>
      <c r="G1073" s="10">
        <v>1</v>
      </c>
      <c r="H1073" s="10">
        <v>1</v>
      </c>
      <c r="I1073" s="10"/>
      <c r="J1073" s="10">
        <v>600</v>
      </c>
      <c r="K1073" s="104">
        <v>45275</v>
      </c>
      <c r="L1073" s="104">
        <v>45287</v>
      </c>
      <c r="M1073" s="10" t="b">
        <v>0</v>
      </c>
      <c r="N1073" s="10">
        <v>13</v>
      </c>
      <c r="O1073" s="11">
        <v>1105</v>
      </c>
      <c r="P1073" s="85">
        <v>1.8416666666666666</v>
      </c>
      <c r="Q1073" s="11">
        <v>1105</v>
      </c>
      <c r="R1073" s="85">
        <v>1.8416666666666666</v>
      </c>
      <c r="S1073" s="29" t="s">
        <v>2719</v>
      </c>
      <c r="T1073" s="29" t="s">
        <v>2719</v>
      </c>
    </row>
    <row r="1074">
      <c r="B1074" s="29" t="s">
        <v>1221</v>
      </c>
      <c r="C1074" s="29" t="s">
        <v>1249</v>
      </c>
      <c r="D1074" s="8" t="s">
        <v>1281</v>
      </c>
      <c r="E1074" s="10" t="s">
        <v>2375</v>
      </c>
      <c r="F1074" s="10">
        <v>3</v>
      </c>
      <c r="G1074" s="10">
        <v>1</v>
      </c>
      <c r="H1074" s="10">
        <v>1</v>
      </c>
      <c r="I1074" s="10"/>
      <c r="J1074" s="10">
        <v>600</v>
      </c>
      <c r="K1074" s="104">
        <v>45233</v>
      </c>
      <c r="L1074" s="104">
        <v>45322</v>
      </c>
      <c r="M1074" s="10" t="b">
        <v>0</v>
      </c>
      <c r="N1074" s="10">
        <v>90</v>
      </c>
      <c r="O1074" s="11">
        <v>1121</v>
      </c>
      <c r="P1074" s="85">
        <v>1.8683333333333334</v>
      </c>
      <c r="Q1074" s="11">
        <v>1121</v>
      </c>
      <c r="R1074" s="85">
        <v>1.8683333333333334</v>
      </c>
      <c r="S1074" s="29" t="s">
        <v>2719</v>
      </c>
      <c r="T1074" s="29" t="s">
        <v>2797</v>
      </c>
    </row>
    <row r="1075">
      <c r="B1075" s="29" t="s">
        <v>1221</v>
      </c>
      <c r="C1075" s="29" t="s">
        <v>1249</v>
      </c>
      <c r="D1075" s="8" t="s">
        <v>1280</v>
      </c>
      <c r="E1075" s="10" t="s">
        <v>2376</v>
      </c>
      <c r="F1075" s="10"/>
      <c r="G1075" s="10">
        <v>1</v>
      </c>
      <c r="H1075" s="10">
        <v>1</v>
      </c>
      <c r="I1075" s="10"/>
      <c r="J1075" s="10">
        <v>600</v>
      </c>
      <c r="K1075" s="104">
        <v>45157</v>
      </c>
      <c r="L1075" s="104">
        <v>45169</v>
      </c>
      <c r="M1075" s="10" t="b">
        <v>0</v>
      </c>
      <c r="N1075" s="10">
        <v>13</v>
      </c>
      <c r="O1075" s="11">
        <v>1145</v>
      </c>
      <c r="P1075" s="85">
        <v>1.9083333333333334</v>
      </c>
      <c r="Q1075" s="11">
        <v>1145</v>
      </c>
      <c r="R1075" s="85">
        <v>1.9083333333333334</v>
      </c>
      <c r="S1075" s="29" t="s">
        <v>2719</v>
      </c>
      <c r="T1075" s="29" t="s">
        <v>2719</v>
      </c>
    </row>
    <row r="1076">
      <c r="B1076" s="29" t="s">
        <v>1221</v>
      </c>
      <c r="C1076" s="29" t="s">
        <v>1249</v>
      </c>
      <c r="D1076" s="8" t="s">
        <v>1280</v>
      </c>
      <c r="E1076" s="10" t="s">
        <v>2377</v>
      </c>
      <c r="F1076" s="10"/>
      <c r="G1076" s="10">
        <v>1</v>
      </c>
      <c r="H1076" s="10">
        <v>1</v>
      </c>
      <c r="I1076" s="10"/>
      <c r="J1076" s="10">
        <v>600</v>
      </c>
      <c r="K1076" s="104">
        <v>45163</v>
      </c>
      <c r="L1076" s="104">
        <v>45168</v>
      </c>
      <c r="M1076" s="10" t="b">
        <v>0</v>
      </c>
      <c r="N1076" s="10">
        <v>6</v>
      </c>
      <c r="O1076" s="11">
        <v>1145</v>
      </c>
      <c r="P1076" s="85">
        <v>1.9083333333333334</v>
      </c>
      <c r="Q1076" s="11">
        <v>1145</v>
      </c>
      <c r="R1076" s="85">
        <v>1.9083333333333334</v>
      </c>
      <c r="S1076" s="29" t="s">
        <v>2719</v>
      </c>
      <c r="T1076" s="29" t="s">
        <v>2719</v>
      </c>
    </row>
    <row r="1077">
      <c r="B1077" s="29" t="s">
        <v>1221</v>
      </c>
      <c r="C1077" s="29" t="s">
        <v>1249</v>
      </c>
      <c r="D1077" s="8" t="s">
        <v>1280</v>
      </c>
      <c r="E1077" s="10" t="s">
        <v>2378</v>
      </c>
      <c r="F1077" s="10">
        <v>3</v>
      </c>
      <c r="G1077" s="10">
        <v>1</v>
      </c>
      <c r="H1077" s="10">
        <v>1</v>
      </c>
      <c r="I1077" s="10"/>
      <c r="J1077" s="10">
        <v>600</v>
      </c>
      <c r="K1077" s="104">
        <v>45325</v>
      </c>
      <c r="L1077" s="104">
        <v>45330</v>
      </c>
      <c r="M1077" s="10" t="b">
        <v>0</v>
      </c>
      <c r="N1077" s="10">
        <v>6</v>
      </c>
      <c r="O1077" s="11">
        <v>1153</v>
      </c>
      <c r="P1077" s="85">
        <v>1.9216666666666666</v>
      </c>
      <c r="Q1077" s="11">
        <v>1153</v>
      </c>
      <c r="R1077" s="85">
        <v>1.9216666666666666</v>
      </c>
      <c r="S1077" s="29" t="s">
        <v>2719</v>
      </c>
      <c r="T1077" s="29" t="s">
        <v>2719</v>
      </c>
    </row>
    <row r="1078">
      <c r="B1078" s="29" t="s">
        <v>1221</v>
      </c>
      <c r="C1078" s="29" t="s">
        <v>1249</v>
      </c>
      <c r="D1078" s="8" t="s">
        <v>1280</v>
      </c>
      <c r="E1078" s="10" t="s">
        <v>2379</v>
      </c>
      <c r="F1078" s="10"/>
      <c r="G1078" s="10">
        <v>1</v>
      </c>
      <c r="H1078" s="10">
        <v>1</v>
      </c>
      <c r="I1078" s="10"/>
      <c r="J1078" s="10">
        <v>600</v>
      </c>
      <c r="K1078" s="104">
        <v>45333</v>
      </c>
      <c r="L1078" s="104">
        <v>45334</v>
      </c>
      <c r="M1078" s="10" t="b">
        <v>0</v>
      </c>
      <c r="N1078" s="10">
        <v>2</v>
      </c>
      <c r="O1078" s="11">
        <v>1161</v>
      </c>
      <c r="P1078" s="85">
        <v>1.935</v>
      </c>
      <c r="Q1078" s="11">
        <v>1161</v>
      </c>
      <c r="R1078" s="85">
        <v>1.935</v>
      </c>
      <c r="S1078" s="29" t="s">
        <v>2719</v>
      </c>
      <c r="T1078" s="29" t="s">
        <v>2719</v>
      </c>
    </row>
    <row r="1079">
      <c r="B1079" s="29" t="s">
        <v>1221</v>
      </c>
      <c r="C1079" s="29" t="s">
        <v>1249</v>
      </c>
      <c r="D1079" s="8" t="s">
        <v>1280</v>
      </c>
      <c r="E1079" s="10" t="s">
        <v>2380</v>
      </c>
      <c r="F1079" s="10"/>
      <c r="G1079" s="10">
        <v>1</v>
      </c>
      <c r="H1079" s="10">
        <v>1</v>
      </c>
      <c r="I1079" s="10"/>
      <c r="J1079" s="10">
        <v>600</v>
      </c>
      <c r="K1079" s="104">
        <v>45330</v>
      </c>
      <c r="L1079" s="104">
        <v>45334</v>
      </c>
      <c r="M1079" s="10" t="b">
        <v>0</v>
      </c>
      <c r="N1079" s="10">
        <v>5</v>
      </c>
      <c r="O1079" s="11">
        <v>1161</v>
      </c>
      <c r="P1079" s="85">
        <v>1.935</v>
      </c>
      <c r="Q1079" s="11">
        <v>1161</v>
      </c>
      <c r="R1079" s="85">
        <v>1.935</v>
      </c>
      <c r="S1079" s="29" t="s">
        <v>2719</v>
      </c>
      <c r="T1079" s="29" t="s">
        <v>2719</v>
      </c>
    </row>
    <row r="1080">
      <c r="B1080" s="29" t="s">
        <v>1221</v>
      </c>
      <c r="C1080" s="29" t="s">
        <v>1249</v>
      </c>
      <c r="D1080" s="8" t="s">
        <v>1280</v>
      </c>
      <c r="E1080" s="10" t="s">
        <v>2381</v>
      </c>
      <c r="F1080" s="10">
        <v>2</v>
      </c>
      <c r="G1080" s="10">
        <v>1</v>
      </c>
      <c r="H1080" s="10">
        <v>1</v>
      </c>
      <c r="I1080" s="10"/>
      <c r="J1080" s="10">
        <v>600</v>
      </c>
      <c r="K1080" s="104">
        <v>45330</v>
      </c>
      <c r="L1080" s="104">
        <v>45333</v>
      </c>
      <c r="M1080" s="10" t="b">
        <v>0</v>
      </c>
      <c r="N1080" s="10">
        <v>4</v>
      </c>
      <c r="O1080" s="11">
        <v>1161</v>
      </c>
      <c r="P1080" s="85">
        <v>1.935</v>
      </c>
      <c r="Q1080" s="11">
        <v>1161</v>
      </c>
      <c r="R1080" s="85">
        <v>1.935</v>
      </c>
      <c r="S1080" s="29" t="s">
        <v>2719</v>
      </c>
      <c r="T1080" s="29" t="s">
        <v>2719</v>
      </c>
    </row>
    <row r="1081">
      <c r="B1081" s="29" t="s">
        <v>1221</v>
      </c>
      <c r="C1081" s="29" t="s">
        <v>1249</v>
      </c>
      <c r="D1081" s="8" t="s">
        <v>1280</v>
      </c>
      <c r="E1081" s="10" t="s">
        <v>2382</v>
      </c>
      <c r="F1081" s="10"/>
      <c r="G1081" s="10">
        <v>1</v>
      </c>
      <c r="H1081" s="10">
        <v>1</v>
      </c>
      <c r="I1081" s="10"/>
      <c r="J1081" s="10">
        <v>600</v>
      </c>
      <c r="K1081" s="104">
        <v>45330</v>
      </c>
      <c r="L1081" s="104">
        <v>45334</v>
      </c>
      <c r="M1081" s="10" t="b">
        <v>0</v>
      </c>
      <c r="N1081" s="10">
        <v>5</v>
      </c>
      <c r="O1081" s="11">
        <v>1161</v>
      </c>
      <c r="P1081" s="85">
        <v>1.935</v>
      </c>
      <c r="Q1081" s="11">
        <v>1161</v>
      </c>
      <c r="R1081" s="85">
        <v>1.935</v>
      </c>
      <c r="S1081" s="29" t="s">
        <v>2719</v>
      </c>
      <c r="T1081" s="29" t="s">
        <v>2719</v>
      </c>
    </row>
    <row r="1082">
      <c r="B1082" s="29" t="s">
        <v>1221</v>
      </c>
      <c r="C1082" s="29" t="s">
        <v>1249</v>
      </c>
      <c r="D1082" s="8" t="s">
        <v>1280</v>
      </c>
      <c r="E1082" s="10" t="s">
        <v>2383</v>
      </c>
      <c r="F1082" s="10"/>
      <c r="G1082" s="10">
        <v>1</v>
      </c>
      <c r="H1082" s="10">
        <v>1</v>
      </c>
      <c r="I1082" s="10"/>
      <c r="J1082" s="10">
        <v>600</v>
      </c>
      <c r="K1082" s="104">
        <v>45181</v>
      </c>
      <c r="L1082" s="104">
        <v>45183</v>
      </c>
      <c r="M1082" s="10" t="b">
        <v>0</v>
      </c>
      <c r="N1082" s="10">
        <v>3</v>
      </c>
      <c r="O1082" s="11">
        <v>1168</v>
      </c>
      <c r="P1082" s="85">
        <v>1.9466666666666668</v>
      </c>
      <c r="Q1082" s="11">
        <v>1168</v>
      </c>
      <c r="R1082" s="85">
        <v>1.9466666666666668</v>
      </c>
      <c r="S1082" s="29" t="s">
        <v>2719</v>
      </c>
      <c r="T1082" s="29" t="s">
        <v>2719</v>
      </c>
    </row>
    <row r="1083">
      <c r="B1083" s="29" t="s">
        <v>1221</v>
      </c>
      <c r="C1083" s="29" t="s">
        <v>1249</v>
      </c>
      <c r="D1083" s="8" t="s">
        <v>1282</v>
      </c>
      <c r="E1083" s="10" t="s">
        <v>2384</v>
      </c>
      <c r="F1083" s="10">
        <v>3</v>
      </c>
      <c r="G1083" s="10">
        <v>1</v>
      </c>
      <c r="H1083" s="10">
        <v>1</v>
      </c>
      <c r="I1083" s="10"/>
      <c r="J1083" s="10">
        <v>600</v>
      </c>
      <c r="K1083" s="104">
        <v>45498</v>
      </c>
      <c r="L1083" s="104">
        <v>45504</v>
      </c>
      <c r="M1083" s="10" t="b">
        <v>0</v>
      </c>
      <c r="N1083" s="10">
        <v>7</v>
      </c>
      <c r="O1083" s="11">
        <v>1200</v>
      </c>
      <c r="P1083" s="85">
        <v>2</v>
      </c>
      <c r="Q1083" s="11">
        <v>1200</v>
      </c>
      <c r="R1083" s="85">
        <v>2</v>
      </c>
      <c r="S1083" s="29" t="s">
        <v>2719</v>
      </c>
      <c r="T1083" s="29" t="s">
        <v>2719</v>
      </c>
    </row>
    <row r="1084">
      <c r="B1084" s="29" t="s">
        <v>1221</v>
      </c>
      <c r="C1084" s="29" t="s">
        <v>1249</v>
      </c>
      <c r="D1084" s="8" t="s">
        <v>1282</v>
      </c>
      <c r="E1084" s="10" t="s">
        <v>2385</v>
      </c>
      <c r="F1084" s="10">
        <v>4</v>
      </c>
      <c r="G1084" s="10">
        <v>1</v>
      </c>
      <c r="H1084" s="10">
        <v>1</v>
      </c>
      <c r="I1084" s="10"/>
      <c r="J1084" s="10">
        <v>600</v>
      </c>
      <c r="K1084" s="104">
        <v>45449</v>
      </c>
      <c r="L1084" s="104">
        <v>45542</v>
      </c>
      <c r="M1084" s="10" t="b">
        <v>0</v>
      </c>
      <c r="N1084" s="10">
        <v>94</v>
      </c>
      <c r="O1084" s="11">
        <v>1200</v>
      </c>
      <c r="P1084" s="85">
        <v>2</v>
      </c>
      <c r="Q1084" s="11">
        <v>1200</v>
      </c>
      <c r="R1084" s="85">
        <v>2</v>
      </c>
      <c r="S1084" s="29" t="s">
        <v>2719</v>
      </c>
      <c r="T1084" s="29" t="s">
        <v>2719</v>
      </c>
    </row>
    <row r="1085">
      <c r="B1085" s="29" t="s">
        <v>1221</v>
      </c>
      <c r="C1085" s="29" t="s">
        <v>1249</v>
      </c>
      <c r="D1085" s="8" t="s">
        <v>1282</v>
      </c>
      <c r="E1085" s="10" t="s">
        <v>2386</v>
      </c>
      <c r="F1085" s="10">
        <v>4</v>
      </c>
      <c r="G1085" s="10">
        <v>1</v>
      </c>
      <c r="H1085" s="10">
        <v>1</v>
      </c>
      <c r="I1085" s="10"/>
      <c r="J1085" s="10">
        <v>600</v>
      </c>
      <c r="K1085" s="104">
        <v>45481</v>
      </c>
      <c r="L1085" s="104">
        <v>45489</v>
      </c>
      <c r="M1085" s="10" t="b">
        <v>0</v>
      </c>
      <c r="N1085" s="10">
        <v>9</v>
      </c>
      <c r="O1085" s="11">
        <v>1200</v>
      </c>
      <c r="P1085" s="85">
        <v>2</v>
      </c>
      <c r="Q1085" s="11">
        <v>1200</v>
      </c>
      <c r="R1085" s="85">
        <v>2</v>
      </c>
      <c r="S1085" s="29" t="s">
        <v>2719</v>
      </c>
      <c r="T1085" s="29" t="s">
        <v>2719</v>
      </c>
    </row>
    <row r="1086">
      <c r="B1086" s="29" t="s">
        <v>1221</v>
      </c>
      <c r="C1086" s="29" t="s">
        <v>1249</v>
      </c>
      <c r="D1086" s="8" t="s">
        <v>1282</v>
      </c>
      <c r="E1086" s="10" t="s">
        <v>2387</v>
      </c>
      <c r="F1086" s="10">
        <v>4</v>
      </c>
      <c r="G1086" s="10">
        <v>1</v>
      </c>
      <c r="H1086" s="10">
        <v>1</v>
      </c>
      <c r="I1086" s="10"/>
      <c r="J1086" s="10">
        <v>600</v>
      </c>
      <c r="K1086" s="104">
        <v>45432</v>
      </c>
      <c r="L1086" s="104">
        <v>45486</v>
      </c>
      <c r="M1086" s="10" t="b">
        <v>0</v>
      </c>
      <c r="N1086" s="10">
        <v>55</v>
      </c>
      <c r="O1086" s="11">
        <v>1200</v>
      </c>
      <c r="P1086" s="85">
        <v>2</v>
      </c>
      <c r="Q1086" s="11">
        <v>1200</v>
      </c>
      <c r="R1086" s="85">
        <v>2</v>
      </c>
      <c r="S1086" s="29" t="s">
        <v>2719</v>
      </c>
      <c r="T1086" s="29" t="s">
        <v>2719</v>
      </c>
    </row>
    <row r="1087">
      <c r="B1087" s="29" t="s">
        <v>1221</v>
      </c>
      <c r="C1087" s="29" t="s">
        <v>1249</v>
      </c>
      <c r="D1087" s="8" t="s">
        <v>1282</v>
      </c>
      <c r="E1087" s="10" t="s">
        <v>2388</v>
      </c>
      <c r="F1087" s="10">
        <v>3</v>
      </c>
      <c r="G1087" s="10">
        <v>1</v>
      </c>
      <c r="H1087" s="10">
        <v>1</v>
      </c>
      <c r="I1087" s="10"/>
      <c r="J1087" s="10">
        <v>600</v>
      </c>
      <c r="K1087" s="104">
        <v>45432</v>
      </c>
      <c r="L1087" s="104">
        <v>45481</v>
      </c>
      <c r="M1087" s="10" t="b">
        <v>0</v>
      </c>
      <c r="N1087" s="10">
        <v>50</v>
      </c>
      <c r="O1087" s="11">
        <v>1200</v>
      </c>
      <c r="P1087" s="85">
        <v>2</v>
      </c>
      <c r="Q1087" s="11">
        <v>1200</v>
      </c>
      <c r="R1087" s="85">
        <v>2</v>
      </c>
      <c r="S1087" s="29" t="s">
        <v>2719</v>
      </c>
      <c r="T1087" s="29" t="s">
        <v>2719</v>
      </c>
    </row>
    <row r="1088">
      <c r="B1088" s="29" t="s">
        <v>1221</v>
      </c>
      <c r="C1088" s="29" t="s">
        <v>1249</v>
      </c>
      <c r="D1088" s="8" t="s">
        <v>1282</v>
      </c>
      <c r="E1088" s="10" t="s">
        <v>2389</v>
      </c>
      <c r="F1088" s="10"/>
      <c r="G1088" s="10">
        <v>1</v>
      </c>
      <c r="H1088" s="10">
        <v>1</v>
      </c>
      <c r="I1088" s="10"/>
      <c r="J1088" s="10">
        <v>600</v>
      </c>
      <c r="K1088" s="104">
        <v>45502</v>
      </c>
      <c r="L1088" s="104">
        <v>45520</v>
      </c>
      <c r="M1088" s="10" t="b">
        <v>0</v>
      </c>
      <c r="N1088" s="10">
        <v>19</v>
      </c>
      <c r="O1088" s="11">
        <v>1200</v>
      </c>
      <c r="P1088" s="85">
        <v>2</v>
      </c>
      <c r="Q1088" s="11">
        <v>1200</v>
      </c>
      <c r="R1088" s="85">
        <v>2</v>
      </c>
      <c r="S1088" s="29" t="s">
        <v>2719</v>
      </c>
      <c r="T1088" s="29" t="s">
        <v>2719</v>
      </c>
    </row>
    <row r="1089">
      <c r="B1089" s="29" t="s">
        <v>1221</v>
      </c>
      <c r="C1089" s="29" t="s">
        <v>1249</v>
      </c>
      <c r="D1089" s="8" t="s">
        <v>1282</v>
      </c>
      <c r="E1089" s="10" t="s">
        <v>2390</v>
      </c>
      <c r="F1089" s="10"/>
      <c r="G1089" s="10">
        <v>1</v>
      </c>
      <c r="H1089" s="10">
        <v>1</v>
      </c>
      <c r="I1089" s="10"/>
      <c r="J1089" s="10">
        <v>600</v>
      </c>
      <c r="K1089" s="104">
        <v>45577</v>
      </c>
      <c r="L1089" s="104">
        <v>45593</v>
      </c>
      <c r="M1089" s="10" t="b">
        <v>0</v>
      </c>
      <c r="N1089" s="10">
        <v>17</v>
      </c>
      <c r="O1089" s="11">
        <v>1200</v>
      </c>
      <c r="P1089" s="85">
        <v>2</v>
      </c>
      <c r="Q1089" s="11">
        <v>1175</v>
      </c>
      <c r="R1089" s="85">
        <v>1.9583333333333333</v>
      </c>
      <c r="S1089" s="29" t="s">
        <v>2719</v>
      </c>
      <c r="T1089" s="29" t="s">
        <v>2719</v>
      </c>
    </row>
    <row r="1090">
      <c r="B1090" s="29" t="s">
        <v>1221</v>
      </c>
      <c r="C1090" s="29" t="s">
        <v>1249</v>
      </c>
      <c r="D1090" s="8" t="s">
        <v>1282</v>
      </c>
      <c r="E1090" s="10" t="s">
        <v>2391</v>
      </c>
      <c r="F1090" s="10"/>
      <c r="G1090" s="10">
        <v>1</v>
      </c>
      <c r="H1090" s="10">
        <v>1</v>
      </c>
      <c r="I1090" s="10"/>
      <c r="J1090" s="10">
        <v>600</v>
      </c>
      <c r="K1090" s="104">
        <v>45535</v>
      </c>
      <c r="L1090" s="104">
        <v>45588</v>
      </c>
      <c r="M1090" s="10" t="b">
        <v>0</v>
      </c>
      <c r="N1090" s="10">
        <v>54</v>
      </c>
      <c r="O1090" s="11">
        <v>1200</v>
      </c>
      <c r="P1090" s="85">
        <v>2</v>
      </c>
      <c r="Q1090" s="11">
        <v>1175</v>
      </c>
      <c r="R1090" s="85">
        <v>1.9583333333333333</v>
      </c>
      <c r="S1090" s="29" t="s">
        <v>2719</v>
      </c>
      <c r="T1090" s="29" t="s">
        <v>2719</v>
      </c>
    </row>
    <row r="1091">
      <c r="B1091" s="29" t="s">
        <v>1221</v>
      </c>
      <c r="C1091" s="29" t="s">
        <v>1249</v>
      </c>
      <c r="D1091" s="8" t="s">
        <v>1282</v>
      </c>
      <c r="E1091" s="10" t="s">
        <v>2392</v>
      </c>
      <c r="F1091" s="10">
        <v>3</v>
      </c>
      <c r="G1091" s="10">
        <v>1</v>
      </c>
      <c r="H1091" s="10">
        <v>1</v>
      </c>
      <c r="I1091" s="10"/>
      <c r="J1091" s="10">
        <v>600</v>
      </c>
      <c r="K1091" s="104">
        <v>45451</v>
      </c>
      <c r="L1091" s="104">
        <v>45540</v>
      </c>
      <c r="M1091" s="10" t="b">
        <v>0</v>
      </c>
      <c r="N1091" s="10">
        <v>90</v>
      </c>
      <c r="O1091" s="11">
        <v>1200</v>
      </c>
      <c r="P1091" s="85">
        <v>2</v>
      </c>
      <c r="Q1091" s="11">
        <v>1200</v>
      </c>
      <c r="R1091" s="85">
        <v>2</v>
      </c>
      <c r="S1091" s="29" t="s">
        <v>2719</v>
      </c>
      <c r="T1091" s="29" t="s">
        <v>2719</v>
      </c>
    </row>
    <row r="1092">
      <c r="B1092" s="29" t="s">
        <v>1221</v>
      </c>
      <c r="C1092" s="29" t="s">
        <v>1249</v>
      </c>
      <c r="D1092" s="8" t="s">
        <v>1283</v>
      </c>
      <c r="E1092" s="10" t="s">
        <v>2393</v>
      </c>
      <c r="F1092" s="10">
        <v>3</v>
      </c>
      <c r="G1092" s="10">
        <v>1</v>
      </c>
      <c r="H1092" s="10">
        <v>1</v>
      </c>
      <c r="I1092" s="10"/>
      <c r="J1092" s="10">
        <v>600</v>
      </c>
      <c r="K1092" s="104">
        <v>45432</v>
      </c>
      <c r="L1092" s="104">
        <v>45462</v>
      </c>
      <c r="M1092" s="10" t="b">
        <v>0</v>
      </c>
      <c r="N1092" s="10">
        <v>31</v>
      </c>
      <c r="O1092" s="11">
        <v>1200</v>
      </c>
      <c r="P1092" s="85">
        <v>2</v>
      </c>
      <c r="Q1092" s="11">
        <v>1200</v>
      </c>
      <c r="R1092" s="85">
        <v>2</v>
      </c>
      <c r="S1092" s="29" t="s">
        <v>2719</v>
      </c>
      <c r="T1092" s="29" t="s">
        <v>2719</v>
      </c>
    </row>
    <row r="1093">
      <c r="B1093" s="29" t="s">
        <v>1221</v>
      </c>
      <c r="C1093" s="29" t="s">
        <v>1249</v>
      </c>
      <c r="D1093" s="8" t="s">
        <v>1282</v>
      </c>
      <c r="E1093" s="10" t="s">
        <v>2394</v>
      </c>
      <c r="F1093" s="10"/>
      <c r="G1093" s="10">
        <v>1</v>
      </c>
      <c r="H1093" s="10">
        <v>1</v>
      </c>
      <c r="I1093" s="10"/>
      <c r="J1093" s="10">
        <v>600</v>
      </c>
      <c r="K1093" s="104">
        <v>45503</v>
      </c>
      <c r="L1093" s="104">
        <v>45567</v>
      </c>
      <c r="M1093" s="10" t="b">
        <v>0</v>
      </c>
      <c r="N1093" s="10">
        <v>65</v>
      </c>
      <c r="O1093" s="11">
        <v>1200</v>
      </c>
      <c r="P1093" s="85">
        <v>2</v>
      </c>
      <c r="Q1093" s="11">
        <v>1175</v>
      </c>
      <c r="R1093" s="85">
        <v>1.9583333333333333</v>
      </c>
      <c r="S1093" s="29" t="s">
        <v>2719</v>
      </c>
      <c r="T1093" s="29" t="s">
        <v>2719</v>
      </c>
    </row>
    <row r="1094">
      <c r="B1094" s="29" t="s">
        <v>1221</v>
      </c>
      <c r="C1094" s="29" t="s">
        <v>1249</v>
      </c>
      <c r="D1094" s="8" t="s">
        <v>1283</v>
      </c>
      <c r="E1094" s="10" t="s">
        <v>2395</v>
      </c>
      <c r="F1094" s="10"/>
      <c r="G1094" s="10">
        <v>1</v>
      </c>
      <c r="H1094" s="10">
        <v>1</v>
      </c>
      <c r="I1094" s="10"/>
      <c r="J1094" s="10">
        <v>600</v>
      </c>
      <c r="K1094" s="104">
        <v>45432</v>
      </c>
      <c r="L1094" s="104">
        <v>45448</v>
      </c>
      <c r="M1094" s="10" t="b">
        <v>0</v>
      </c>
      <c r="N1094" s="10">
        <v>17</v>
      </c>
      <c r="O1094" s="11">
        <v>1200</v>
      </c>
      <c r="P1094" s="85">
        <v>2</v>
      </c>
      <c r="Q1094" s="11">
        <v>1200</v>
      </c>
      <c r="R1094" s="85">
        <v>2</v>
      </c>
      <c r="S1094" s="29" t="s">
        <v>2719</v>
      </c>
      <c r="T1094" s="29" t="s">
        <v>2719</v>
      </c>
    </row>
    <row r="1095">
      <c r="B1095" s="29" t="s">
        <v>1221</v>
      </c>
      <c r="C1095" s="29" t="s">
        <v>1249</v>
      </c>
      <c r="D1095" s="8" t="s">
        <v>1282</v>
      </c>
      <c r="E1095" s="10" t="s">
        <v>2396</v>
      </c>
      <c r="F1095" s="10">
        <v>3</v>
      </c>
      <c r="G1095" s="10">
        <v>1</v>
      </c>
      <c r="H1095" s="10">
        <v>1</v>
      </c>
      <c r="I1095" s="10"/>
      <c r="J1095" s="10">
        <v>600</v>
      </c>
      <c r="K1095" s="104">
        <v>45539</v>
      </c>
      <c r="L1095" s="104">
        <v>45575</v>
      </c>
      <c r="M1095" s="10" t="b">
        <v>0</v>
      </c>
      <c r="N1095" s="10">
        <v>37</v>
      </c>
      <c r="O1095" s="11">
        <v>1200</v>
      </c>
      <c r="P1095" s="85">
        <v>2</v>
      </c>
      <c r="Q1095" s="11">
        <v>1175</v>
      </c>
      <c r="R1095" s="85">
        <v>1.9583333333333333</v>
      </c>
      <c r="S1095" s="29" t="s">
        <v>2719</v>
      </c>
      <c r="T1095" s="29" t="s">
        <v>2719</v>
      </c>
    </row>
    <row r="1096">
      <c r="B1096" s="29" t="s">
        <v>1221</v>
      </c>
      <c r="C1096" s="29" t="s">
        <v>1249</v>
      </c>
      <c r="D1096" s="8" t="s">
        <v>1282</v>
      </c>
      <c r="E1096" s="10" t="s">
        <v>2397</v>
      </c>
      <c r="F1096" s="10">
        <v>3</v>
      </c>
      <c r="G1096" s="10">
        <v>1</v>
      </c>
      <c r="H1096" s="10">
        <v>1</v>
      </c>
      <c r="I1096" s="10"/>
      <c r="J1096" s="10">
        <v>600</v>
      </c>
      <c r="K1096" s="104">
        <v>45559</v>
      </c>
      <c r="L1096" s="104">
        <v>45622</v>
      </c>
      <c r="M1096" s="10" t="b">
        <v>0</v>
      </c>
      <c r="N1096" s="10">
        <v>64</v>
      </c>
      <c r="O1096" s="11">
        <v>1200</v>
      </c>
      <c r="P1096" s="85">
        <v>2</v>
      </c>
      <c r="Q1096" s="11">
        <v>1200</v>
      </c>
      <c r="R1096" s="85">
        <v>2</v>
      </c>
      <c r="S1096" s="29" t="s">
        <v>2719</v>
      </c>
      <c r="T1096" s="29" t="s">
        <v>2719</v>
      </c>
    </row>
    <row r="1097">
      <c r="B1097" s="29" t="s">
        <v>1221</v>
      </c>
      <c r="C1097" s="29" t="s">
        <v>1249</v>
      </c>
      <c r="D1097" s="8" t="s">
        <v>1282</v>
      </c>
      <c r="E1097" s="10" t="s">
        <v>2398</v>
      </c>
      <c r="F1097" s="10"/>
      <c r="G1097" s="10">
        <v>1</v>
      </c>
      <c r="H1097" s="10">
        <v>1</v>
      </c>
      <c r="I1097" s="10"/>
      <c r="J1097" s="10">
        <v>600</v>
      </c>
      <c r="K1097" s="104">
        <v>45602</v>
      </c>
      <c r="L1097" s="104">
        <v>45609</v>
      </c>
      <c r="M1097" s="10" t="b">
        <v>0</v>
      </c>
      <c r="N1097" s="10">
        <v>8</v>
      </c>
      <c r="O1097" s="11">
        <v>1200</v>
      </c>
      <c r="P1097" s="85">
        <v>2</v>
      </c>
      <c r="Q1097" s="11">
        <v>1200</v>
      </c>
      <c r="R1097" s="85">
        <v>2</v>
      </c>
      <c r="S1097" s="29" t="s">
        <v>2719</v>
      </c>
      <c r="T1097" s="29" t="s">
        <v>2719</v>
      </c>
    </row>
    <row r="1098">
      <c r="B1098" s="29" t="s">
        <v>1221</v>
      </c>
      <c r="C1098" s="29" t="s">
        <v>1249</v>
      </c>
      <c r="D1098" s="8" t="s">
        <v>1282</v>
      </c>
      <c r="E1098" s="10" t="s">
        <v>2399</v>
      </c>
      <c r="F1098" s="10"/>
      <c r="G1098" s="10">
        <v>1</v>
      </c>
      <c r="H1098" s="10">
        <v>1</v>
      </c>
      <c r="I1098" s="10"/>
      <c r="J1098" s="10">
        <v>600</v>
      </c>
      <c r="K1098" s="104">
        <v>45495</v>
      </c>
      <c r="L1098" s="104">
        <v>45611</v>
      </c>
      <c r="M1098" s="10" t="b">
        <v>0</v>
      </c>
      <c r="N1098" s="10">
        <v>117</v>
      </c>
      <c r="O1098" s="11">
        <v>1200</v>
      </c>
      <c r="P1098" s="85">
        <v>2</v>
      </c>
      <c r="Q1098" s="11">
        <v>1200</v>
      </c>
      <c r="R1098" s="85">
        <v>2</v>
      </c>
      <c r="S1098" s="29" t="s">
        <v>2719</v>
      </c>
      <c r="T1098" s="29" t="s">
        <v>2719</v>
      </c>
    </row>
    <row r="1099">
      <c r="B1099" s="29" t="s">
        <v>1221</v>
      </c>
      <c r="C1099" s="29" t="s">
        <v>1249</v>
      </c>
      <c r="D1099" s="8" t="s">
        <v>1282</v>
      </c>
      <c r="E1099" s="10" t="s">
        <v>2400</v>
      </c>
      <c r="F1099" s="10"/>
      <c r="G1099" s="10">
        <v>1</v>
      </c>
      <c r="H1099" s="10">
        <v>1</v>
      </c>
      <c r="I1099" s="10"/>
      <c r="J1099" s="10">
        <v>600</v>
      </c>
      <c r="K1099" s="104">
        <v>45575</v>
      </c>
      <c r="L1099" s="104">
        <v>45598</v>
      </c>
      <c r="M1099" s="10" t="b">
        <v>0</v>
      </c>
      <c r="N1099" s="10">
        <v>24</v>
      </c>
      <c r="O1099" s="11">
        <v>1200</v>
      </c>
      <c r="P1099" s="85">
        <v>2</v>
      </c>
      <c r="Q1099" s="11">
        <v>1200</v>
      </c>
      <c r="R1099" s="85">
        <v>2</v>
      </c>
      <c r="S1099" s="29" t="s">
        <v>2719</v>
      </c>
      <c r="T1099" s="29" t="s">
        <v>2719</v>
      </c>
    </row>
    <row r="1100">
      <c r="B1100" s="29" t="s">
        <v>1221</v>
      </c>
      <c r="C1100" s="29" t="s">
        <v>1249</v>
      </c>
      <c r="D1100" s="8" t="s">
        <v>1282</v>
      </c>
      <c r="E1100" s="10" t="s">
        <v>2401</v>
      </c>
      <c r="F1100" s="10"/>
      <c r="G1100" s="10">
        <v>1</v>
      </c>
      <c r="H1100" s="10">
        <v>1</v>
      </c>
      <c r="I1100" s="10"/>
      <c r="J1100" s="10">
        <v>600</v>
      </c>
      <c r="K1100" s="104">
        <v>45573</v>
      </c>
      <c r="L1100" s="104">
        <v>45596</v>
      </c>
      <c r="M1100" s="10" t="b">
        <v>0</v>
      </c>
      <c r="N1100" s="10">
        <v>24</v>
      </c>
      <c r="O1100" s="11">
        <v>1200</v>
      </c>
      <c r="P1100" s="85">
        <v>2</v>
      </c>
      <c r="Q1100" s="11">
        <v>1175</v>
      </c>
      <c r="R1100" s="85">
        <v>1.9583333333333333</v>
      </c>
      <c r="S1100" s="29" t="s">
        <v>2719</v>
      </c>
      <c r="T1100" s="29" t="s">
        <v>2719</v>
      </c>
    </row>
    <row r="1101">
      <c r="B1101" s="29" t="s">
        <v>1221</v>
      </c>
      <c r="C1101" s="29" t="s">
        <v>1249</v>
      </c>
      <c r="D1101" s="8" t="s">
        <v>1282</v>
      </c>
      <c r="E1101" s="10" t="s">
        <v>2402</v>
      </c>
      <c r="F1101" s="10"/>
      <c r="G1101" s="10">
        <v>1</v>
      </c>
      <c r="H1101" s="10">
        <v>1</v>
      </c>
      <c r="I1101" s="10"/>
      <c r="J1101" s="10">
        <v>600</v>
      </c>
      <c r="K1101" s="104">
        <v>45600</v>
      </c>
      <c r="L1101" s="104">
        <v>45618</v>
      </c>
      <c r="M1101" s="10" t="b">
        <v>0</v>
      </c>
      <c r="N1101" s="10">
        <v>19</v>
      </c>
      <c r="O1101" s="11">
        <v>1200</v>
      </c>
      <c r="P1101" s="85">
        <v>2</v>
      </c>
      <c r="Q1101" s="11">
        <v>1200</v>
      </c>
      <c r="R1101" s="85">
        <v>2</v>
      </c>
      <c r="S1101" s="29" t="s">
        <v>2719</v>
      </c>
      <c r="T1101" s="29" t="s">
        <v>2719</v>
      </c>
    </row>
    <row r="1102">
      <c r="B1102" s="29" t="s">
        <v>1221</v>
      </c>
      <c r="C1102" s="29" t="s">
        <v>1249</v>
      </c>
      <c r="D1102" s="8" t="s">
        <v>1282</v>
      </c>
      <c r="E1102" s="10" t="s">
        <v>2403</v>
      </c>
      <c r="F1102" s="10"/>
      <c r="G1102" s="10">
        <v>1</v>
      </c>
      <c r="H1102" s="10">
        <v>1</v>
      </c>
      <c r="I1102" s="10"/>
      <c r="J1102" s="10">
        <v>600</v>
      </c>
      <c r="K1102" s="104">
        <v>45653</v>
      </c>
      <c r="L1102" s="104">
        <v>45660</v>
      </c>
      <c r="M1102" s="10" t="b">
        <v>0</v>
      </c>
      <c r="N1102" s="10">
        <v>8</v>
      </c>
      <c r="O1102" s="11">
        <v>1200</v>
      </c>
      <c r="P1102" s="85">
        <v>2</v>
      </c>
      <c r="Q1102" s="11">
        <v>1200</v>
      </c>
      <c r="R1102" s="85">
        <v>2</v>
      </c>
      <c r="S1102" s="29" t="s">
        <v>2719</v>
      </c>
      <c r="T1102" s="29" t="s">
        <v>2719</v>
      </c>
    </row>
    <row r="1103">
      <c r="B1103" s="29" t="s">
        <v>1221</v>
      </c>
      <c r="C1103" s="29" t="s">
        <v>1249</v>
      </c>
      <c r="D1103" s="8" t="s">
        <v>1282</v>
      </c>
      <c r="E1103" s="10" t="s">
        <v>2404</v>
      </c>
      <c r="F1103" s="10"/>
      <c r="G1103" s="10">
        <v>1</v>
      </c>
      <c r="H1103" s="10">
        <v>1</v>
      </c>
      <c r="I1103" s="10"/>
      <c r="J1103" s="10">
        <v>600</v>
      </c>
      <c r="K1103" s="104">
        <v>45545</v>
      </c>
      <c r="L1103" s="104">
        <v>45591</v>
      </c>
      <c r="M1103" s="10" t="b">
        <v>0</v>
      </c>
      <c r="N1103" s="10">
        <v>47</v>
      </c>
      <c r="O1103" s="11">
        <v>1200</v>
      </c>
      <c r="P1103" s="85">
        <v>2</v>
      </c>
      <c r="Q1103" s="11">
        <v>1175</v>
      </c>
      <c r="R1103" s="85">
        <v>1.9583333333333333</v>
      </c>
      <c r="S1103" s="29" t="s">
        <v>2719</v>
      </c>
      <c r="T1103" s="29" t="s">
        <v>2719</v>
      </c>
    </row>
    <row r="1104">
      <c r="B1104" s="29" t="s">
        <v>1221</v>
      </c>
      <c r="C1104" s="29" t="s">
        <v>1249</v>
      </c>
      <c r="D1104" s="8" t="s">
        <v>1282</v>
      </c>
      <c r="E1104" s="10" t="s">
        <v>2405</v>
      </c>
      <c r="F1104" s="10"/>
      <c r="G1104" s="10">
        <v>1</v>
      </c>
      <c r="H1104" s="10">
        <v>1</v>
      </c>
      <c r="I1104" s="10"/>
      <c r="J1104" s="10">
        <v>600</v>
      </c>
      <c r="K1104" s="104">
        <v>45615</v>
      </c>
      <c r="L1104" s="104">
        <v>45653</v>
      </c>
      <c r="M1104" s="10" t="b">
        <v>0</v>
      </c>
      <c r="N1104" s="10">
        <v>39</v>
      </c>
      <c r="O1104" s="11">
        <v>1200</v>
      </c>
      <c r="P1104" s="85">
        <v>2</v>
      </c>
      <c r="Q1104" s="11">
        <v>1200</v>
      </c>
      <c r="R1104" s="85">
        <v>2</v>
      </c>
      <c r="S1104" s="29" t="s">
        <v>2719</v>
      </c>
      <c r="T1104" s="29" t="s">
        <v>2719</v>
      </c>
    </row>
    <row r="1105">
      <c r="B1105" s="29" t="s">
        <v>1221</v>
      </c>
      <c r="C1105" s="29" t="s">
        <v>1249</v>
      </c>
      <c r="D1105" s="8" t="s">
        <v>1282</v>
      </c>
      <c r="E1105" s="10" t="s">
        <v>2406</v>
      </c>
      <c r="F1105" s="10"/>
      <c r="G1105" s="10">
        <v>1</v>
      </c>
      <c r="H1105" s="10">
        <v>1</v>
      </c>
      <c r="I1105" s="10"/>
      <c r="J1105" s="10">
        <v>600</v>
      </c>
      <c r="K1105" s="104">
        <v>45617</v>
      </c>
      <c r="L1105" s="104">
        <v>45650</v>
      </c>
      <c r="M1105" s="10" t="b">
        <v>0</v>
      </c>
      <c r="N1105" s="10">
        <v>34</v>
      </c>
      <c r="O1105" s="11">
        <v>1200</v>
      </c>
      <c r="P1105" s="85">
        <v>2</v>
      </c>
      <c r="Q1105" s="11">
        <v>1200</v>
      </c>
      <c r="R1105" s="85">
        <v>2</v>
      </c>
      <c r="S1105" s="29" t="s">
        <v>2719</v>
      </c>
      <c r="T1105" s="29" t="s">
        <v>2719</v>
      </c>
    </row>
    <row r="1106">
      <c r="B1106" s="29" t="s">
        <v>1221</v>
      </c>
      <c r="C1106" s="29" t="s">
        <v>1249</v>
      </c>
      <c r="D1106" s="8" t="s">
        <v>1282</v>
      </c>
      <c r="E1106" s="10" t="s">
        <v>2407</v>
      </c>
      <c r="F1106" s="10"/>
      <c r="G1106" s="10">
        <v>1</v>
      </c>
      <c r="H1106" s="10">
        <v>1</v>
      </c>
      <c r="I1106" s="10"/>
      <c r="J1106" s="10">
        <v>600</v>
      </c>
      <c r="K1106" s="104">
        <v>45539</v>
      </c>
      <c r="L1106" s="104">
        <v>45645</v>
      </c>
      <c r="M1106" s="10" t="b">
        <v>0</v>
      </c>
      <c r="N1106" s="10">
        <v>107</v>
      </c>
      <c r="O1106" s="11">
        <v>1200</v>
      </c>
      <c r="P1106" s="85">
        <v>2</v>
      </c>
      <c r="Q1106" s="11">
        <v>1200</v>
      </c>
      <c r="R1106" s="85">
        <v>2</v>
      </c>
      <c r="S1106" s="29" t="s">
        <v>2719</v>
      </c>
      <c r="T1106" s="29" t="s">
        <v>2719</v>
      </c>
    </row>
    <row r="1107">
      <c r="B1107" s="29" t="s">
        <v>1221</v>
      </c>
      <c r="C1107" s="29" t="s">
        <v>1249</v>
      </c>
      <c r="D1107" s="8" t="s">
        <v>1282</v>
      </c>
      <c r="E1107" s="10" t="s">
        <v>2408</v>
      </c>
      <c r="F1107" s="10">
        <v>4</v>
      </c>
      <c r="G1107" s="10">
        <v>1</v>
      </c>
      <c r="H1107" s="10">
        <v>1</v>
      </c>
      <c r="I1107" s="10"/>
      <c r="J1107" s="10">
        <v>600</v>
      </c>
      <c r="K1107" s="104">
        <v>45551</v>
      </c>
      <c r="L1107" s="104">
        <v>45645</v>
      </c>
      <c r="M1107" s="10" t="b">
        <v>0</v>
      </c>
      <c r="N1107" s="10">
        <v>95</v>
      </c>
      <c r="O1107" s="11">
        <v>1200</v>
      </c>
      <c r="P1107" s="85">
        <v>2</v>
      </c>
      <c r="Q1107" s="11">
        <v>1200</v>
      </c>
      <c r="R1107" s="85">
        <v>2</v>
      </c>
      <c r="S1107" s="29" t="s">
        <v>2719</v>
      </c>
      <c r="T1107" s="29" t="s">
        <v>2719</v>
      </c>
    </row>
    <row r="1108">
      <c r="B1108" s="29" t="s">
        <v>1221</v>
      </c>
      <c r="C1108" s="29" t="s">
        <v>1249</v>
      </c>
      <c r="D1108" s="8" t="s">
        <v>1282</v>
      </c>
      <c r="E1108" s="10" t="s">
        <v>2409</v>
      </c>
      <c r="F1108" s="10"/>
      <c r="G1108" s="10">
        <v>1</v>
      </c>
      <c r="H1108" s="10">
        <v>1</v>
      </c>
      <c r="I1108" s="10"/>
      <c r="J1108" s="10">
        <v>600</v>
      </c>
      <c r="K1108" s="104">
        <v>45629</v>
      </c>
      <c r="L1108" s="104">
        <v>45642</v>
      </c>
      <c r="M1108" s="10" t="b">
        <v>0</v>
      </c>
      <c r="N1108" s="10">
        <v>14</v>
      </c>
      <c r="O1108" s="11">
        <v>1200</v>
      </c>
      <c r="P1108" s="85">
        <v>2</v>
      </c>
      <c r="Q1108" s="11">
        <v>1200</v>
      </c>
      <c r="R1108" s="85">
        <v>2</v>
      </c>
      <c r="S1108" s="29" t="s">
        <v>2719</v>
      </c>
      <c r="T1108" s="29" t="s">
        <v>2719</v>
      </c>
    </row>
    <row r="1109">
      <c r="B1109" s="29" t="s">
        <v>1221</v>
      </c>
      <c r="C1109" s="29" t="s">
        <v>1249</v>
      </c>
      <c r="D1109" s="8" t="s">
        <v>1282</v>
      </c>
      <c r="E1109" s="10" t="s">
        <v>2410</v>
      </c>
      <c r="F1109" s="10"/>
      <c r="G1109" s="10">
        <v>1</v>
      </c>
      <c r="H1109" s="10">
        <v>1</v>
      </c>
      <c r="I1109" s="10"/>
      <c r="J1109" s="10">
        <v>600</v>
      </c>
      <c r="K1109" s="104">
        <v>45583</v>
      </c>
      <c r="L1109" s="104">
        <v>45639</v>
      </c>
      <c r="M1109" s="10" t="b">
        <v>0</v>
      </c>
      <c r="N1109" s="10">
        <v>57</v>
      </c>
      <c r="O1109" s="11">
        <v>1200</v>
      </c>
      <c r="P1109" s="85">
        <v>2</v>
      </c>
      <c r="Q1109" s="11">
        <v>1200</v>
      </c>
      <c r="R1109" s="85">
        <v>2</v>
      </c>
      <c r="S1109" s="29" t="s">
        <v>2719</v>
      </c>
      <c r="T1109" s="29" t="s">
        <v>2719</v>
      </c>
    </row>
    <row r="1110">
      <c r="B1110" s="29" t="s">
        <v>1221</v>
      </c>
      <c r="C1110" s="29" t="s">
        <v>1249</v>
      </c>
      <c r="D1110" s="8" t="s">
        <v>1282</v>
      </c>
      <c r="E1110" s="10" t="s">
        <v>2411</v>
      </c>
      <c r="F1110" s="10">
        <v>4</v>
      </c>
      <c r="G1110" s="10">
        <v>1</v>
      </c>
      <c r="H1110" s="10">
        <v>1</v>
      </c>
      <c r="I1110" s="10"/>
      <c r="J1110" s="10">
        <v>600</v>
      </c>
      <c r="K1110" s="104">
        <v>45600</v>
      </c>
      <c r="L1110" s="104">
        <v>45620</v>
      </c>
      <c r="M1110" s="10" t="b">
        <v>0</v>
      </c>
      <c r="N1110" s="10">
        <v>21</v>
      </c>
      <c r="O1110" s="11">
        <v>1200</v>
      </c>
      <c r="P1110" s="85">
        <v>2</v>
      </c>
      <c r="Q1110" s="11">
        <v>1200</v>
      </c>
      <c r="R1110" s="85">
        <v>2</v>
      </c>
      <c r="S1110" s="29" t="s">
        <v>2719</v>
      </c>
      <c r="T1110" s="29" t="s">
        <v>2719</v>
      </c>
    </row>
    <row r="1111">
      <c r="B1111" s="29" t="s">
        <v>1221</v>
      </c>
      <c r="C1111" s="29" t="s">
        <v>1249</v>
      </c>
      <c r="D1111" s="8" t="s">
        <v>1282</v>
      </c>
      <c r="E1111" s="10" t="s">
        <v>2412</v>
      </c>
      <c r="F1111" s="10"/>
      <c r="G1111" s="10">
        <v>1</v>
      </c>
      <c r="H1111" s="10">
        <v>1</v>
      </c>
      <c r="I1111" s="10"/>
      <c r="J1111" s="10">
        <v>600</v>
      </c>
      <c r="K1111" s="104">
        <v>45573</v>
      </c>
      <c r="L1111" s="104">
        <v>45625</v>
      </c>
      <c r="M1111" s="10" t="b">
        <v>0</v>
      </c>
      <c r="N1111" s="10">
        <v>53</v>
      </c>
      <c r="O1111" s="11">
        <v>1200</v>
      </c>
      <c r="P1111" s="85">
        <v>2</v>
      </c>
      <c r="Q1111" s="11">
        <v>1200</v>
      </c>
      <c r="R1111" s="85">
        <v>2</v>
      </c>
      <c r="S1111" s="29" t="s">
        <v>2719</v>
      </c>
      <c r="T1111" s="29" t="s">
        <v>2719</v>
      </c>
    </row>
    <row r="1112">
      <c r="B1112" s="29" t="s">
        <v>1221</v>
      </c>
      <c r="C1112" s="29" t="s">
        <v>1249</v>
      </c>
      <c r="D1112" s="8" t="s">
        <v>1282</v>
      </c>
      <c r="E1112" s="10" t="s">
        <v>2413</v>
      </c>
      <c r="F1112" s="10"/>
      <c r="G1112" s="10">
        <v>1</v>
      </c>
      <c r="H1112" s="10">
        <v>1</v>
      </c>
      <c r="I1112" s="10"/>
      <c r="J1112" s="10">
        <v>600</v>
      </c>
      <c r="K1112" s="104">
        <v>45533</v>
      </c>
      <c r="L1112" s="104">
        <v>45582</v>
      </c>
      <c r="M1112" s="10" t="b">
        <v>0</v>
      </c>
      <c r="N1112" s="10">
        <v>50</v>
      </c>
      <c r="O1112" s="11">
        <v>1200</v>
      </c>
      <c r="P1112" s="85">
        <v>2</v>
      </c>
      <c r="Q1112" s="11">
        <v>1175</v>
      </c>
      <c r="R1112" s="85">
        <v>1.9583333333333333</v>
      </c>
      <c r="S1112" s="29" t="s">
        <v>2719</v>
      </c>
      <c r="T1112" s="29" t="s">
        <v>2719</v>
      </c>
    </row>
    <row r="1113">
      <c r="B1113" s="29" t="s">
        <v>1221</v>
      </c>
      <c r="C1113" s="29" t="s">
        <v>1249</v>
      </c>
      <c r="D1113" s="8" t="s">
        <v>1281</v>
      </c>
      <c r="E1113" s="10" t="s">
        <v>2414</v>
      </c>
      <c r="F1113" s="10">
        <v>4</v>
      </c>
      <c r="G1113" s="10">
        <v>1</v>
      </c>
      <c r="H1113" s="10">
        <v>1</v>
      </c>
      <c r="I1113" s="10"/>
      <c r="J1113" s="10">
        <v>600</v>
      </c>
      <c r="K1113" s="104">
        <v>45233</v>
      </c>
      <c r="L1113" s="104">
        <v>45279</v>
      </c>
      <c r="M1113" s="10" t="b">
        <v>0</v>
      </c>
      <c r="N1113" s="10">
        <v>47</v>
      </c>
      <c r="O1113" s="11">
        <v>1204</v>
      </c>
      <c r="P1113" s="85">
        <v>2.006666666666667</v>
      </c>
      <c r="Q1113" s="11">
        <v>1204</v>
      </c>
      <c r="R1113" s="85">
        <v>2.006666666666667</v>
      </c>
      <c r="S1113" s="29" t="s">
        <v>2719</v>
      </c>
      <c r="T1113" s="29" t="s">
        <v>2797</v>
      </c>
    </row>
    <row r="1114">
      <c r="B1114" s="29" t="s">
        <v>1221</v>
      </c>
      <c r="C1114" s="29" t="s">
        <v>1249</v>
      </c>
      <c r="D1114" s="8" t="s">
        <v>1281</v>
      </c>
      <c r="E1114" s="10"/>
      <c r="F1114" s="10"/>
      <c r="G1114" s="10">
        <v>1</v>
      </c>
      <c r="H1114" s="10">
        <v>1</v>
      </c>
      <c r="I1114" s="10"/>
      <c r="J1114" s="10">
        <v>600</v>
      </c>
      <c r="K1114" s="104"/>
      <c r="L1114" s="104">
        <v>45211</v>
      </c>
      <c r="M1114" s="10" t="b">
        <v>0</v>
      </c>
      <c r="N1114" s="10"/>
      <c r="O1114" s="11">
        <v>1232</v>
      </c>
      <c r="P1114" s="85">
        <v>2.0533333333333332</v>
      </c>
      <c r="Q1114" s="11">
        <v>1232</v>
      </c>
      <c r="R1114" s="85">
        <v>2.0533333333333332</v>
      </c>
      <c r="S1114" s="29" t="s">
        <v>2719</v>
      </c>
      <c r="T1114" s="29" t="s">
        <v>2797</v>
      </c>
    </row>
    <row r="1115">
      <c r="B1115" s="29" t="s">
        <v>1221</v>
      </c>
      <c r="C1115" s="29" t="s">
        <v>1249</v>
      </c>
      <c r="D1115" s="8" t="s">
        <v>1280</v>
      </c>
      <c r="E1115" s="10"/>
      <c r="F1115" s="10"/>
      <c r="G1115" s="10">
        <v>1</v>
      </c>
      <c r="H1115" s="10">
        <v>1</v>
      </c>
      <c r="I1115" s="10"/>
      <c r="J1115" s="10">
        <v>600</v>
      </c>
      <c r="K1115" s="104"/>
      <c r="L1115" s="104">
        <v>45211</v>
      </c>
      <c r="M1115" s="10" t="b">
        <v>0</v>
      </c>
      <c r="N1115" s="10"/>
      <c r="O1115" s="11">
        <v>1242</v>
      </c>
      <c r="P1115" s="85">
        <v>2.07</v>
      </c>
      <c r="Q1115" s="11">
        <v>1242</v>
      </c>
      <c r="R1115" s="85">
        <v>2.07</v>
      </c>
      <c r="S1115" s="29" t="s">
        <v>2719</v>
      </c>
      <c r="T1115" s="29" t="s">
        <v>2719</v>
      </c>
    </row>
    <row r="1116">
      <c r="B1116" s="29" t="s">
        <v>1221</v>
      </c>
      <c r="C1116" s="29" t="s">
        <v>1249</v>
      </c>
      <c r="D1116" s="8" t="s">
        <v>1282</v>
      </c>
      <c r="E1116" s="10" t="s">
        <v>2415</v>
      </c>
      <c r="F1116" s="10"/>
      <c r="G1116" s="10">
        <v>1</v>
      </c>
      <c r="H1116" s="10">
        <v>1</v>
      </c>
      <c r="I1116" s="10"/>
      <c r="J1116" s="10">
        <v>600</v>
      </c>
      <c r="K1116" s="104">
        <v>45713</v>
      </c>
      <c r="L1116" s="104">
        <v>45728</v>
      </c>
      <c r="M1116" s="10" t="b">
        <v>0</v>
      </c>
      <c r="N1116" s="10">
        <v>16</v>
      </c>
      <c r="O1116" s="11">
        <v>1250</v>
      </c>
      <c r="P1116" s="85">
        <v>2.0833333333333335</v>
      </c>
      <c r="Q1116" s="11">
        <v>1250</v>
      </c>
      <c r="R1116" s="85">
        <v>2.0833333333333335</v>
      </c>
      <c r="S1116" s="29" t="s">
        <v>2719</v>
      </c>
      <c r="T1116" s="29" t="s">
        <v>2719</v>
      </c>
    </row>
    <row r="1117">
      <c r="B1117" s="29" t="s">
        <v>1221</v>
      </c>
      <c r="C1117" s="29" t="s">
        <v>1249</v>
      </c>
      <c r="D1117" s="8" t="s">
        <v>1282</v>
      </c>
      <c r="E1117" s="10" t="s">
        <v>2416</v>
      </c>
      <c r="F1117" s="10"/>
      <c r="G1117" s="10">
        <v>1</v>
      </c>
      <c r="H1117" s="10">
        <v>1</v>
      </c>
      <c r="I1117" s="10"/>
      <c r="J1117" s="10">
        <v>600</v>
      </c>
      <c r="K1117" s="104">
        <v>45707</v>
      </c>
      <c r="L1117" s="104">
        <v>45757</v>
      </c>
      <c r="M1117" s="10" t="b">
        <v>0</v>
      </c>
      <c r="N1117" s="10">
        <v>51</v>
      </c>
      <c r="O1117" s="11">
        <v>1250</v>
      </c>
      <c r="P1117" s="85">
        <v>2.0833333333333335</v>
      </c>
      <c r="Q1117" s="11">
        <v>1250</v>
      </c>
      <c r="R1117" s="85">
        <v>2.0833333333333335</v>
      </c>
      <c r="S1117" s="29" t="s">
        <v>2719</v>
      </c>
      <c r="T1117" s="29" t="s">
        <v>2719</v>
      </c>
    </row>
    <row r="1118">
      <c r="B1118" s="29" t="s">
        <v>1221</v>
      </c>
      <c r="C1118" s="29" t="s">
        <v>1249</v>
      </c>
      <c r="D1118" s="8" t="s">
        <v>1282</v>
      </c>
      <c r="E1118" s="10" t="s">
        <v>2417</v>
      </c>
      <c r="F1118" s="10"/>
      <c r="G1118" s="10">
        <v>1</v>
      </c>
      <c r="H1118" s="10">
        <v>1</v>
      </c>
      <c r="I1118" s="10"/>
      <c r="J1118" s="10">
        <v>600</v>
      </c>
      <c r="K1118" s="104">
        <v>45742</v>
      </c>
      <c r="L1118" s="104">
        <v>45754</v>
      </c>
      <c r="M1118" s="10" t="b">
        <v>0</v>
      </c>
      <c r="N1118" s="10">
        <v>13</v>
      </c>
      <c r="O1118" s="11">
        <v>1250</v>
      </c>
      <c r="P1118" s="85">
        <v>2.0833333333333335</v>
      </c>
      <c r="Q1118" s="11">
        <v>1250</v>
      </c>
      <c r="R1118" s="85">
        <v>2.0833333333333335</v>
      </c>
      <c r="S1118" s="29" t="s">
        <v>2719</v>
      </c>
      <c r="T1118" s="29" t="s">
        <v>2719</v>
      </c>
    </row>
    <row r="1119">
      <c r="B1119" s="29" t="s">
        <v>1221</v>
      </c>
      <c r="C1119" s="29" t="s">
        <v>1249</v>
      </c>
      <c r="D1119" s="8" t="s">
        <v>1282</v>
      </c>
      <c r="E1119" s="10" t="s">
        <v>2418</v>
      </c>
      <c r="F1119" s="10">
        <v>2</v>
      </c>
      <c r="G1119" s="10">
        <v>1</v>
      </c>
      <c r="H1119" s="10">
        <v>1</v>
      </c>
      <c r="I1119" s="10"/>
      <c r="J1119" s="10">
        <v>600</v>
      </c>
      <c r="K1119" s="104">
        <v>45714</v>
      </c>
      <c r="L1119" s="104">
        <v>45745</v>
      </c>
      <c r="M1119" s="10" t="b">
        <v>0</v>
      </c>
      <c r="N1119" s="10">
        <v>32</v>
      </c>
      <c r="O1119" s="11">
        <v>1250</v>
      </c>
      <c r="P1119" s="85">
        <v>2.0833333333333335</v>
      </c>
      <c r="Q1119" s="11">
        <v>1250</v>
      </c>
      <c r="R1119" s="85">
        <v>2.0833333333333335</v>
      </c>
      <c r="S1119" s="29" t="s">
        <v>2719</v>
      </c>
      <c r="T1119" s="29" t="s">
        <v>2719</v>
      </c>
    </row>
    <row r="1120">
      <c r="B1120" s="29" t="s">
        <v>1221</v>
      </c>
      <c r="C1120" s="29" t="s">
        <v>1249</v>
      </c>
      <c r="D1120" s="8" t="s">
        <v>1282</v>
      </c>
      <c r="E1120" s="10" t="s">
        <v>2419</v>
      </c>
      <c r="F1120" s="10">
        <v>4</v>
      </c>
      <c r="G1120" s="10">
        <v>1</v>
      </c>
      <c r="H1120" s="10">
        <v>1</v>
      </c>
      <c r="I1120" s="10"/>
      <c r="J1120" s="10">
        <v>600</v>
      </c>
      <c r="K1120" s="104">
        <v>45714</v>
      </c>
      <c r="L1120" s="104">
        <v>45724</v>
      </c>
      <c r="M1120" s="10" t="b">
        <v>0</v>
      </c>
      <c r="N1120" s="10">
        <v>11</v>
      </c>
      <c r="O1120" s="11">
        <v>1250</v>
      </c>
      <c r="P1120" s="85">
        <v>2.0833333333333335</v>
      </c>
      <c r="Q1120" s="11">
        <v>1250</v>
      </c>
      <c r="R1120" s="85">
        <v>2.0833333333333335</v>
      </c>
      <c r="S1120" s="29" t="s">
        <v>2719</v>
      </c>
      <c r="T1120" s="29" t="s">
        <v>2719</v>
      </c>
    </row>
    <row r="1121">
      <c r="B1121" s="29" t="s">
        <v>1221</v>
      </c>
      <c r="C1121" s="29" t="s">
        <v>1249</v>
      </c>
      <c r="D1121" s="8" t="s">
        <v>1282</v>
      </c>
      <c r="E1121" s="10" t="s">
        <v>2420</v>
      </c>
      <c r="F1121" s="10">
        <v>2</v>
      </c>
      <c r="G1121" s="10">
        <v>1</v>
      </c>
      <c r="H1121" s="10">
        <v>1</v>
      </c>
      <c r="I1121" s="10"/>
      <c r="J1121" s="10">
        <v>600</v>
      </c>
      <c r="K1121" s="104">
        <v>45713</v>
      </c>
      <c r="L1121" s="104">
        <v>45714</v>
      </c>
      <c r="M1121" s="10" t="b">
        <v>0</v>
      </c>
      <c r="N1121" s="10">
        <v>2</v>
      </c>
      <c r="O1121" s="11">
        <v>1250</v>
      </c>
      <c r="P1121" s="85">
        <v>2.0833333333333335</v>
      </c>
      <c r="Q1121" s="11">
        <v>1250</v>
      </c>
      <c r="R1121" s="85">
        <v>2.0833333333333335</v>
      </c>
      <c r="S1121" s="29" t="s">
        <v>2719</v>
      </c>
      <c r="T1121" s="29" t="s">
        <v>2719</v>
      </c>
    </row>
    <row r="1122">
      <c r="B1122" s="29" t="s">
        <v>1221</v>
      </c>
      <c r="C1122" s="29" t="s">
        <v>1249</v>
      </c>
      <c r="D1122" s="8" t="s">
        <v>1282</v>
      </c>
      <c r="E1122" s="10" t="s">
        <v>2421</v>
      </c>
      <c r="F1122" s="10"/>
      <c r="G1122" s="10">
        <v>1</v>
      </c>
      <c r="H1122" s="10">
        <v>1</v>
      </c>
      <c r="I1122" s="10"/>
      <c r="J1122" s="10">
        <v>600</v>
      </c>
      <c r="K1122" s="104">
        <v>45621</v>
      </c>
      <c r="L1122" s="104">
        <v>45714</v>
      </c>
      <c r="M1122" s="10" t="b">
        <v>0</v>
      </c>
      <c r="N1122" s="10">
        <v>94</v>
      </c>
      <c r="O1122" s="11">
        <v>1250</v>
      </c>
      <c r="P1122" s="85">
        <v>2.0833333333333335</v>
      </c>
      <c r="Q1122" s="11">
        <v>1250</v>
      </c>
      <c r="R1122" s="85">
        <v>2.0833333333333335</v>
      </c>
      <c r="S1122" s="29" t="s">
        <v>2719</v>
      </c>
      <c r="T1122" s="29" t="s">
        <v>2719</v>
      </c>
    </row>
    <row r="1123">
      <c r="B1123" s="29" t="s">
        <v>1221</v>
      </c>
      <c r="C1123" s="29" t="s">
        <v>1249</v>
      </c>
      <c r="D1123" s="8" t="s">
        <v>1282</v>
      </c>
      <c r="E1123" s="10" t="s">
        <v>2422</v>
      </c>
      <c r="F1123" s="10">
        <v>3</v>
      </c>
      <c r="G1123" s="10">
        <v>1</v>
      </c>
      <c r="H1123" s="10">
        <v>1</v>
      </c>
      <c r="I1123" s="10"/>
      <c r="J1123" s="10">
        <v>600</v>
      </c>
      <c r="K1123" s="104">
        <v>45702</v>
      </c>
      <c r="L1123" s="104">
        <v>45714</v>
      </c>
      <c r="M1123" s="10" t="b">
        <v>0</v>
      </c>
      <c r="N1123" s="10">
        <v>13</v>
      </c>
      <c r="O1123" s="11">
        <v>1250</v>
      </c>
      <c r="P1123" s="85">
        <v>2.0833333333333335</v>
      </c>
      <c r="Q1123" s="11">
        <v>1250</v>
      </c>
      <c r="R1123" s="85">
        <v>2.0833333333333335</v>
      </c>
      <c r="S1123" s="29" t="s">
        <v>2719</v>
      </c>
      <c r="T1123" s="29" t="s">
        <v>2719</v>
      </c>
    </row>
    <row r="1124">
      <c r="B1124" s="29" t="s">
        <v>1221</v>
      </c>
      <c r="C1124" s="29" t="s">
        <v>1249</v>
      </c>
      <c r="D1124" s="8" t="s">
        <v>1282</v>
      </c>
      <c r="E1124" s="10" t="s">
        <v>2423</v>
      </c>
      <c r="F1124" s="10">
        <v>4</v>
      </c>
      <c r="G1124" s="10">
        <v>1</v>
      </c>
      <c r="H1124" s="10">
        <v>1</v>
      </c>
      <c r="I1124" s="10"/>
      <c r="J1124" s="10">
        <v>600</v>
      </c>
      <c r="K1124" s="104">
        <v>45607</v>
      </c>
      <c r="L1124" s="104">
        <v>45681</v>
      </c>
      <c r="M1124" s="10" t="b">
        <v>0</v>
      </c>
      <c r="N1124" s="10">
        <v>75</v>
      </c>
      <c r="O1124" s="11">
        <v>1250</v>
      </c>
      <c r="P1124" s="85">
        <v>2.0833333333333335</v>
      </c>
      <c r="Q1124" s="11">
        <v>1250</v>
      </c>
      <c r="R1124" s="85">
        <v>2.0833333333333335</v>
      </c>
      <c r="S1124" s="29" t="s">
        <v>2719</v>
      </c>
      <c r="T1124" s="29" t="s">
        <v>2719</v>
      </c>
    </row>
    <row r="1125">
      <c r="B1125" s="29" t="s">
        <v>1221</v>
      </c>
      <c r="C1125" s="29" t="s">
        <v>1249</v>
      </c>
      <c r="D1125" s="8" t="s">
        <v>1282</v>
      </c>
      <c r="E1125" s="10" t="s">
        <v>2424</v>
      </c>
      <c r="F1125" s="10">
        <v>3</v>
      </c>
      <c r="G1125" s="10">
        <v>1</v>
      </c>
      <c r="H1125" s="10">
        <v>1</v>
      </c>
      <c r="I1125" s="10"/>
      <c r="J1125" s="10">
        <v>600</v>
      </c>
      <c r="K1125" s="104">
        <v>45650</v>
      </c>
      <c r="L1125" s="104">
        <v>45674</v>
      </c>
      <c r="M1125" s="10" t="b">
        <v>0</v>
      </c>
      <c r="N1125" s="10">
        <v>25</v>
      </c>
      <c r="O1125" s="11">
        <v>1250</v>
      </c>
      <c r="P1125" s="85">
        <v>2.0833333333333335</v>
      </c>
      <c r="Q1125" s="11">
        <v>1250</v>
      </c>
      <c r="R1125" s="85">
        <v>2.0833333333333335</v>
      </c>
      <c r="S1125" s="29" t="s">
        <v>2719</v>
      </c>
      <c r="T1125" s="29" t="s">
        <v>2719</v>
      </c>
    </row>
    <row r="1126">
      <c r="B1126" s="29" t="s">
        <v>1221</v>
      </c>
      <c r="C1126" s="29" t="s">
        <v>1249</v>
      </c>
      <c r="D1126" s="8" t="s">
        <v>1282</v>
      </c>
      <c r="E1126" s="10" t="s">
        <v>2425</v>
      </c>
      <c r="F1126" s="10"/>
      <c r="G1126" s="10">
        <v>1</v>
      </c>
      <c r="H1126" s="10">
        <v>1</v>
      </c>
      <c r="I1126" s="10"/>
      <c r="J1126" s="10">
        <v>600</v>
      </c>
      <c r="K1126" s="104">
        <v>45756</v>
      </c>
      <c r="L1126" s="104"/>
      <c r="M1126" s="10" t="b">
        <v>1</v>
      </c>
      <c r="N1126" s="10"/>
      <c r="O1126" s="11">
        <v>1250</v>
      </c>
      <c r="P1126" s="85">
        <v>2.0833333333333335</v>
      </c>
      <c r="Q1126" s="11">
        <v>1250</v>
      </c>
      <c r="R1126" s="85">
        <v>2.0833333333333335</v>
      </c>
      <c r="S1126" s="29" t="s">
        <v>2719</v>
      </c>
      <c r="T1126" s="29" t="s">
        <v>2719</v>
      </c>
    </row>
    <row r="1127">
      <c r="B1127" s="29" t="s">
        <v>1221</v>
      </c>
      <c r="C1127" s="29" t="s">
        <v>1249</v>
      </c>
      <c r="D1127" s="8" t="s">
        <v>1282</v>
      </c>
      <c r="E1127" s="10" t="s">
        <v>2426</v>
      </c>
      <c r="F1127" s="10"/>
      <c r="G1127" s="10">
        <v>1</v>
      </c>
      <c r="H1127" s="10">
        <v>1</v>
      </c>
      <c r="I1127" s="10"/>
      <c r="J1127" s="10">
        <v>600</v>
      </c>
      <c r="K1127" s="104">
        <v>45754</v>
      </c>
      <c r="L1127" s="104"/>
      <c r="M1127" s="10" t="b">
        <v>1</v>
      </c>
      <c r="N1127" s="10"/>
      <c r="O1127" s="11">
        <v>1250</v>
      </c>
      <c r="P1127" s="85">
        <v>2.0833333333333335</v>
      </c>
      <c r="Q1127" s="11">
        <v>1250</v>
      </c>
      <c r="R1127" s="85">
        <v>2.0833333333333335</v>
      </c>
      <c r="S1127" s="29" t="s">
        <v>2719</v>
      </c>
      <c r="T1127" s="29" t="s">
        <v>2719</v>
      </c>
    </row>
    <row r="1128">
      <c r="B1128" s="29" t="s">
        <v>1221</v>
      </c>
      <c r="C1128" s="29" t="s">
        <v>1249</v>
      </c>
      <c r="D1128" s="8" t="s">
        <v>1282</v>
      </c>
      <c r="E1128" s="10" t="s">
        <v>2427</v>
      </c>
      <c r="F1128" s="10">
        <v>3</v>
      </c>
      <c r="G1128" s="10">
        <v>1</v>
      </c>
      <c r="H1128" s="10">
        <v>1</v>
      </c>
      <c r="I1128" s="10"/>
      <c r="J1128" s="10">
        <v>600</v>
      </c>
      <c r="K1128" s="104">
        <v>45758</v>
      </c>
      <c r="L1128" s="104"/>
      <c r="M1128" s="10" t="b">
        <v>1</v>
      </c>
      <c r="N1128" s="10"/>
      <c r="O1128" s="11">
        <v>1250</v>
      </c>
      <c r="P1128" s="85">
        <v>2.0833333333333335</v>
      </c>
      <c r="Q1128" s="11">
        <v>1250</v>
      </c>
      <c r="R1128" s="85">
        <v>2.0833333333333335</v>
      </c>
      <c r="S1128" s="29" t="s">
        <v>2719</v>
      </c>
      <c r="T1128" s="29" t="s">
        <v>2719</v>
      </c>
    </row>
    <row r="1129">
      <c r="B1129" s="29" t="s">
        <v>1221</v>
      </c>
      <c r="C1129" s="29" t="s">
        <v>1249</v>
      </c>
      <c r="D1129" s="8" t="s">
        <v>1282</v>
      </c>
      <c r="E1129" s="10" t="s">
        <v>2428</v>
      </c>
      <c r="F1129" s="10"/>
      <c r="G1129" s="10">
        <v>1</v>
      </c>
      <c r="H1129" s="10">
        <v>1</v>
      </c>
      <c r="I1129" s="10"/>
      <c r="J1129" s="10">
        <v>600</v>
      </c>
      <c r="K1129" s="104">
        <v>45783</v>
      </c>
      <c r="L1129" s="104"/>
      <c r="M1129" s="10" t="b">
        <v>1</v>
      </c>
      <c r="N1129" s="10"/>
      <c r="O1129" s="11">
        <v>1250</v>
      </c>
      <c r="P1129" s="85">
        <v>2.0833333333333335</v>
      </c>
      <c r="Q1129" s="11">
        <v>1250</v>
      </c>
      <c r="R1129" s="85">
        <v>2.0833333333333335</v>
      </c>
      <c r="S1129" s="29" t="s">
        <v>2719</v>
      </c>
      <c r="T1129" s="29" t="s">
        <v>2719</v>
      </c>
    </row>
    <row r="1130">
      <c r="B1130" s="29" t="s">
        <v>1221</v>
      </c>
      <c r="C1130" s="29" t="s">
        <v>1249</v>
      </c>
      <c r="D1130" s="8" t="s">
        <v>1282</v>
      </c>
      <c r="E1130" s="10" t="s">
        <v>2429</v>
      </c>
      <c r="F1130" s="10"/>
      <c r="G1130" s="10">
        <v>1</v>
      </c>
      <c r="H1130" s="10">
        <v>1</v>
      </c>
      <c r="I1130" s="10"/>
      <c r="J1130" s="10">
        <v>600</v>
      </c>
      <c r="K1130" s="104">
        <v>45747</v>
      </c>
      <c r="L1130" s="104"/>
      <c r="M1130" s="10" t="b">
        <v>1</v>
      </c>
      <c r="N1130" s="10"/>
      <c r="O1130" s="11">
        <v>1250</v>
      </c>
      <c r="P1130" s="85">
        <v>2.0833333333333335</v>
      </c>
      <c r="Q1130" s="11">
        <v>1250</v>
      </c>
      <c r="R1130" s="85">
        <v>2.0833333333333335</v>
      </c>
      <c r="S1130" s="29" t="s">
        <v>2719</v>
      </c>
      <c r="T1130" s="29" t="s">
        <v>2719</v>
      </c>
    </row>
    <row r="1131">
      <c r="B1131" s="29" t="s">
        <v>1221</v>
      </c>
      <c r="C1131" s="29" t="s">
        <v>1249</v>
      </c>
      <c r="D1131" s="8" t="s">
        <v>1284</v>
      </c>
      <c r="E1131" s="10" t="s">
        <v>2430</v>
      </c>
      <c r="F1131" s="10"/>
      <c r="G1131" s="10">
        <v>1</v>
      </c>
      <c r="H1131" s="10">
        <v>1</v>
      </c>
      <c r="I1131" s="10"/>
      <c r="J1131" s="10">
        <v>600</v>
      </c>
      <c r="K1131" s="104">
        <v>45539</v>
      </c>
      <c r="L1131" s="104">
        <v>45575</v>
      </c>
      <c r="M1131" s="10" t="b">
        <v>0</v>
      </c>
      <c r="N1131" s="10">
        <v>37</v>
      </c>
      <c r="O1131" s="11">
        <v>1275</v>
      </c>
      <c r="P1131" s="85">
        <v>2.125</v>
      </c>
      <c r="Q1131" s="11">
        <v>1250</v>
      </c>
      <c r="R1131" s="85">
        <v>2.0833333333333335</v>
      </c>
      <c r="S1131" s="29" t="s">
        <v>2719</v>
      </c>
      <c r="T1131" s="29" t="s">
        <v>2807</v>
      </c>
    </row>
    <row r="1132">
      <c r="B1132" s="29" t="s">
        <v>1221</v>
      </c>
      <c r="C1132" s="29" t="s">
        <v>1249</v>
      </c>
      <c r="D1132" s="8" t="s">
        <v>1284</v>
      </c>
      <c r="E1132" s="10" t="s">
        <v>2431</v>
      </c>
      <c r="F1132" s="10">
        <v>3</v>
      </c>
      <c r="G1132" s="10">
        <v>1</v>
      </c>
      <c r="H1132" s="10">
        <v>1</v>
      </c>
      <c r="I1132" s="10"/>
      <c r="J1132" s="10">
        <v>600</v>
      </c>
      <c r="K1132" s="104">
        <v>45539</v>
      </c>
      <c r="L1132" s="104">
        <v>45553</v>
      </c>
      <c r="M1132" s="10" t="b">
        <v>0</v>
      </c>
      <c r="N1132" s="10">
        <v>15</v>
      </c>
      <c r="O1132" s="11">
        <v>1275</v>
      </c>
      <c r="P1132" s="85">
        <v>2.125</v>
      </c>
      <c r="Q1132" s="11">
        <v>1275</v>
      </c>
      <c r="R1132" s="85">
        <v>2.125</v>
      </c>
      <c r="S1132" s="29" t="s">
        <v>2719</v>
      </c>
      <c r="T1132" s="29" t="s">
        <v>2807</v>
      </c>
    </row>
    <row r="1133">
      <c r="B1133" s="29" t="s">
        <v>1221</v>
      </c>
      <c r="C1133" s="29" t="s">
        <v>1249</v>
      </c>
      <c r="D1133" s="8" t="s">
        <v>1284</v>
      </c>
      <c r="E1133" s="10" t="s">
        <v>2432</v>
      </c>
      <c r="F1133" s="10"/>
      <c r="G1133" s="10">
        <v>1</v>
      </c>
      <c r="H1133" s="10">
        <v>1</v>
      </c>
      <c r="I1133" s="10"/>
      <c r="J1133" s="10">
        <v>600</v>
      </c>
      <c r="K1133" s="104">
        <v>45539</v>
      </c>
      <c r="L1133" s="104">
        <v>45570</v>
      </c>
      <c r="M1133" s="10" t="b">
        <v>0</v>
      </c>
      <c r="N1133" s="10">
        <v>32</v>
      </c>
      <c r="O1133" s="11">
        <v>1275</v>
      </c>
      <c r="P1133" s="85">
        <v>2.125</v>
      </c>
      <c r="Q1133" s="11">
        <v>1250</v>
      </c>
      <c r="R1133" s="85">
        <v>2.0833333333333335</v>
      </c>
      <c r="S1133" s="29" t="s">
        <v>2719</v>
      </c>
      <c r="T1133" s="29" t="s">
        <v>2807</v>
      </c>
    </row>
    <row r="1134">
      <c r="B1134" s="29" t="s">
        <v>1221</v>
      </c>
      <c r="C1134" s="29" t="s">
        <v>1249</v>
      </c>
      <c r="D1134" s="8" t="s">
        <v>1284</v>
      </c>
      <c r="E1134" s="10" t="s">
        <v>2433</v>
      </c>
      <c r="F1134" s="10"/>
      <c r="G1134" s="10">
        <v>1</v>
      </c>
      <c r="H1134" s="10">
        <v>1</v>
      </c>
      <c r="I1134" s="10"/>
      <c r="J1134" s="10">
        <v>600</v>
      </c>
      <c r="K1134" s="104">
        <v>45504</v>
      </c>
      <c r="L1134" s="104">
        <v>45602</v>
      </c>
      <c r="M1134" s="10" t="b">
        <v>0</v>
      </c>
      <c r="N1134" s="10">
        <v>99</v>
      </c>
      <c r="O1134" s="11">
        <v>1275</v>
      </c>
      <c r="P1134" s="85">
        <v>2.125</v>
      </c>
      <c r="Q1134" s="11">
        <v>1275</v>
      </c>
      <c r="R1134" s="85">
        <v>2.125</v>
      </c>
      <c r="S1134" s="29" t="s">
        <v>2719</v>
      </c>
      <c r="T1134" s="29" t="s">
        <v>2807</v>
      </c>
    </row>
    <row r="1135">
      <c r="B1135" s="29" t="s">
        <v>1221</v>
      </c>
      <c r="C1135" s="29" t="s">
        <v>1249</v>
      </c>
      <c r="D1135" s="8" t="s">
        <v>1284</v>
      </c>
      <c r="E1135" s="10" t="s">
        <v>2434</v>
      </c>
      <c r="F1135" s="10">
        <v>3</v>
      </c>
      <c r="G1135" s="10">
        <v>1</v>
      </c>
      <c r="H1135" s="10">
        <v>1</v>
      </c>
      <c r="I1135" s="10"/>
      <c r="J1135" s="10">
        <v>600</v>
      </c>
      <c r="K1135" s="104">
        <v>45539</v>
      </c>
      <c r="L1135" s="104">
        <v>45583</v>
      </c>
      <c r="M1135" s="10" t="b">
        <v>0</v>
      </c>
      <c r="N1135" s="10">
        <v>45</v>
      </c>
      <c r="O1135" s="11">
        <v>1275</v>
      </c>
      <c r="P1135" s="85">
        <v>2.125</v>
      </c>
      <c r="Q1135" s="11">
        <v>1250</v>
      </c>
      <c r="R1135" s="85">
        <v>2.0833333333333335</v>
      </c>
      <c r="S1135" s="29" t="s">
        <v>2719</v>
      </c>
      <c r="T1135" s="29" t="s">
        <v>2807</v>
      </c>
    </row>
    <row r="1136">
      <c r="B1136" s="29" t="s">
        <v>1221</v>
      </c>
      <c r="C1136" s="29" t="s">
        <v>1249</v>
      </c>
      <c r="D1136" s="8" t="s">
        <v>1284</v>
      </c>
      <c r="E1136" s="10" t="s">
        <v>2435</v>
      </c>
      <c r="F1136" s="10">
        <v>3</v>
      </c>
      <c r="G1136" s="10">
        <v>1</v>
      </c>
      <c r="H1136" s="10">
        <v>1</v>
      </c>
      <c r="I1136" s="10"/>
      <c r="J1136" s="10">
        <v>600</v>
      </c>
      <c r="K1136" s="104">
        <v>45539</v>
      </c>
      <c r="L1136" s="104">
        <v>45575</v>
      </c>
      <c r="M1136" s="10" t="b">
        <v>0</v>
      </c>
      <c r="N1136" s="10">
        <v>37</v>
      </c>
      <c r="O1136" s="11">
        <v>1275</v>
      </c>
      <c r="P1136" s="85">
        <v>2.125</v>
      </c>
      <c r="Q1136" s="11">
        <v>1250</v>
      </c>
      <c r="R1136" s="85">
        <v>2.0833333333333335</v>
      </c>
      <c r="S1136" s="29" t="s">
        <v>2719</v>
      </c>
      <c r="T1136" s="29" t="s">
        <v>2807</v>
      </c>
    </row>
    <row r="1137">
      <c r="B1137" s="29" t="s">
        <v>1221</v>
      </c>
      <c r="C1137" s="29" t="s">
        <v>1249</v>
      </c>
      <c r="D1137" s="8" t="s">
        <v>1284</v>
      </c>
      <c r="E1137" s="10" t="s">
        <v>2436</v>
      </c>
      <c r="F1137" s="10">
        <v>4</v>
      </c>
      <c r="G1137" s="10">
        <v>1</v>
      </c>
      <c r="H1137" s="10">
        <v>1</v>
      </c>
      <c r="I1137" s="10"/>
      <c r="J1137" s="10">
        <v>600</v>
      </c>
      <c r="K1137" s="104">
        <v>45502</v>
      </c>
      <c r="L1137" s="104">
        <v>45513</v>
      </c>
      <c r="M1137" s="10" t="b">
        <v>0</v>
      </c>
      <c r="N1137" s="10">
        <v>12</v>
      </c>
      <c r="O1137" s="11">
        <v>1275</v>
      </c>
      <c r="P1137" s="85">
        <v>2.125</v>
      </c>
      <c r="Q1137" s="11">
        <v>1275</v>
      </c>
      <c r="R1137" s="85">
        <v>2.125</v>
      </c>
      <c r="S1137" s="29" t="s">
        <v>2719</v>
      </c>
      <c r="T1137" s="29" t="s">
        <v>2807</v>
      </c>
    </row>
    <row r="1138">
      <c r="B1138" s="29" t="s">
        <v>1221</v>
      </c>
      <c r="C1138" s="29" t="s">
        <v>1249</v>
      </c>
      <c r="D1138" s="8" t="s">
        <v>1284</v>
      </c>
      <c r="E1138" s="10" t="s">
        <v>2437</v>
      </c>
      <c r="F1138" s="10">
        <v>3</v>
      </c>
      <c r="G1138" s="10">
        <v>1</v>
      </c>
      <c r="H1138" s="10">
        <v>1</v>
      </c>
      <c r="I1138" s="10"/>
      <c r="J1138" s="10">
        <v>600</v>
      </c>
      <c r="K1138" s="104">
        <v>45539</v>
      </c>
      <c r="L1138" s="104">
        <v>45572</v>
      </c>
      <c r="M1138" s="10" t="b">
        <v>0</v>
      </c>
      <c r="N1138" s="10">
        <v>34</v>
      </c>
      <c r="O1138" s="11">
        <v>1275</v>
      </c>
      <c r="P1138" s="85">
        <v>2.125</v>
      </c>
      <c r="Q1138" s="11">
        <v>1250</v>
      </c>
      <c r="R1138" s="85">
        <v>2.0833333333333335</v>
      </c>
      <c r="S1138" s="29" t="s">
        <v>2719</v>
      </c>
      <c r="T1138" s="29" t="s">
        <v>2807</v>
      </c>
    </row>
    <row r="1139">
      <c r="B1139" s="29" t="s">
        <v>1221</v>
      </c>
      <c r="C1139" s="29" t="s">
        <v>1249</v>
      </c>
      <c r="D1139" s="8" t="s">
        <v>1280</v>
      </c>
      <c r="E1139" s="10" t="s">
        <v>2438</v>
      </c>
      <c r="F1139" s="10">
        <v>3</v>
      </c>
      <c r="G1139" s="10">
        <v>1</v>
      </c>
      <c r="H1139" s="10">
        <v>1</v>
      </c>
      <c r="I1139" s="10"/>
      <c r="J1139" s="10">
        <v>600</v>
      </c>
      <c r="K1139" s="104">
        <v>45247</v>
      </c>
      <c r="L1139" s="104">
        <v>45296</v>
      </c>
      <c r="M1139" s="10" t="b">
        <v>0</v>
      </c>
      <c r="N1139" s="10">
        <v>50</v>
      </c>
      <c r="O1139" s="11">
        <v>1285</v>
      </c>
      <c r="P1139" s="85">
        <v>2.1416666666666666</v>
      </c>
      <c r="Q1139" s="11">
        <v>1285</v>
      </c>
      <c r="R1139" s="85">
        <v>2.1416666666666666</v>
      </c>
      <c r="S1139" s="29" t="s">
        <v>2719</v>
      </c>
      <c r="T1139" s="29" t="s">
        <v>2719</v>
      </c>
    </row>
    <row r="1140">
      <c r="B1140" s="29" t="s">
        <v>1221</v>
      </c>
      <c r="C1140" s="29" t="s">
        <v>1249</v>
      </c>
      <c r="D1140" s="8" t="s">
        <v>1280</v>
      </c>
      <c r="E1140" s="10" t="s">
        <v>2439</v>
      </c>
      <c r="F1140" s="10"/>
      <c r="G1140" s="10">
        <v>1</v>
      </c>
      <c r="H1140" s="10">
        <v>1</v>
      </c>
      <c r="I1140" s="10"/>
      <c r="J1140" s="10">
        <v>600</v>
      </c>
      <c r="K1140" s="104">
        <v>45178</v>
      </c>
      <c r="L1140" s="104">
        <v>45179</v>
      </c>
      <c r="M1140" s="10" t="b">
        <v>0</v>
      </c>
      <c r="N1140" s="10">
        <v>2</v>
      </c>
      <c r="O1140" s="11">
        <v>1285</v>
      </c>
      <c r="P1140" s="85">
        <v>2.1416666666666666</v>
      </c>
      <c r="Q1140" s="11">
        <v>1285</v>
      </c>
      <c r="R1140" s="85">
        <v>2.1416666666666666</v>
      </c>
      <c r="S1140" s="29" t="s">
        <v>2719</v>
      </c>
      <c r="T1140" s="29" t="s">
        <v>2719</v>
      </c>
    </row>
    <row r="1141">
      <c r="B1141" s="29" t="s">
        <v>1221</v>
      </c>
      <c r="C1141" s="29" t="s">
        <v>1249</v>
      </c>
      <c r="D1141" s="8" t="s">
        <v>1280</v>
      </c>
      <c r="E1141" s="10" t="s">
        <v>2440</v>
      </c>
      <c r="F1141" s="10"/>
      <c r="G1141" s="10">
        <v>1</v>
      </c>
      <c r="H1141" s="10">
        <v>1</v>
      </c>
      <c r="I1141" s="10"/>
      <c r="J1141" s="10">
        <v>600</v>
      </c>
      <c r="K1141" s="104">
        <v>45261</v>
      </c>
      <c r="L1141" s="104">
        <v>45270</v>
      </c>
      <c r="M1141" s="10" t="b">
        <v>0</v>
      </c>
      <c r="N1141" s="10">
        <v>10</v>
      </c>
      <c r="O1141" s="11">
        <v>1287</v>
      </c>
      <c r="P1141" s="85">
        <v>2.145</v>
      </c>
      <c r="Q1141" s="11">
        <v>1287</v>
      </c>
      <c r="R1141" s="85">
        <v>2.145</v>
      </c>
      <c r="S1141" s="29" t="s">
        <v>2719</v>
      </c>
      <c r="T1141" s="29" t="s">
        <v>2719</v>
      </c>
    </row>
    <row r="1142">
      <c r="B1142" s="29" t="s">
        <v>1221</v>
      </c>
      <c r="C1142" s="29" t="s">
        <v>1249</v>
      </c>
      <c r="D1142" s="8" t="s">
        <v>1280</v>
      </c>
      <c r="E1142" s="10" t="s">
        <v>2441</v>
      </c>
      <c r="F1142" s="10"/>
      <c r="G1142" s="10">
        <v>1</v>
      </c>
      <c r="H1142" s="10">
        <v>1</v>
      </c>
      <c r="I1142" s="10"/>
      <c r="J1142" s="10">
        <v>600</v>
      </c>
      <c r="K1142" s="104">
        <v>45262</v>
      </c>
      <c r="L1142" s="104">
        <v>45314</v>
      </c>
      <c r="M1142" s="10" t="b">
        <v>0</v>
      </c>
      <c r="N1142" s="10">
        <v>53</v>
      </c>
      <c r="O1142" s="11">
        <v>1296</v>
      </c>
      <c r="P1142" s="85">
        <v>2.16</v>
      </c>
      <c r="Q1142" s="11">
        <v>1296</v>
      </c>
      <c r="R1142" s="85">
        <v>2.16</v>
      </c>
      <c r="S1142" s="29" t="s">
        <v>2719</v>
      </c>
      <c r="T1142" s="29" t="s">
        <v>2719</v>
      </c>
    </row>
    <row r="1143">
      <c r="B1143" s="29" t="s">
        <v>1221</v>
      </c>
      <c r="C1143" s="29" t="s">
        <v>1249</v>
      </c>
      <c r="D1143" s="8" t="s">
        <v>1281</v>
      </c>
      <c r="E1143" s="10" t="s">
        <v>2442</v>
      </c>
      <c r="F1143" s="10"/>
      <c r="G1143" s="10">
        <v>1</v>
      </c>
      <c r="H1143" s="10">
        <v>1</v>
      </c>
      <c r="I1143" s="10"/>
      <c r="J1143" s="10">
        <v>600</v>
      </c>
      <c r="K1143" s="104">
        <v>45154</v>
      </c>
      <c r="L1143" s="104">
        <v>45171</v>
      </c>
      <c r="M1143" s="10" t="b">
        <v>0</v>
      </c>
      <c r="N1143" s="10">
        <v>18</v>
      </c>
      <c r="O1143" s="11">
        <v>1299</v>
      </c>
      <c r="P1143" s="85">
        <v>2.165</v>
      </c>
      <c r="Q1143" s="11">
        <v>1299</v>
      </c>
      <c r="R1143" s="85">
        <v>2.165</v>
      </c>
      <c r="S1143" s="29" t="s">
        <v>2719</v>
      </c>
      <c r="T1143" s="29" t="s">
        <v>2797</v>
      </c>
    </row>
    <row r="1144">
      <c r="B1144" s="29" t="s">
        <v>1221</v>
      </c>
      <c r="C1144" s="29" t="s">
        <v>1249</v>
      </c>
      <c r="D1144" s="8" t="s">
        <v>1284</v>
      </c>
      <c r="E1144" s="10" t="s">
        <v>2443</v>
      </c>
      <c r="F1144" s="10"/>
      <c r="G1144" s="10">
        <v>1</v>
      </c>
      <c r="H1144" s="10">
        <v>1</v>
      </c>
      <c r="I1144" s="10"/>
      <c r="J1144" s="10">
        <v>600</v>
      </c>
      <c r="K1144" s="104">
        <v>45470</v>
      </c>
      <c r="L1144" s="104">
        <v>45486</v>
      </c>
      <c r="M1144" s="10" t="b">
        <v>0</v>
      </c>
      <c r="N1144" s="10">
        <v>17</v>
      </c>
      <c r="O1144" s="11">
        <v>1300</v>
      </c>
      <c r="P1144" s="85">
        <v>2.1666666666666665</v>
      </c>
      <c r="Q1144" s="11">
        <v>1300</v>
      </c>
      <c r="R1144" s="85">
        <v>2.1666666666666665</v>
      </c>
      <c r="S1144" s="29" t="s">
        <v>2719</v>
      </c>
      <c r="T1144" s="29" t="s">
        <v>2807</v>
      </c>
    </row>
    <row r="1145">
      <c r="B1145" s="29" t="s">
        <v>1221</v>
      </c>
      <c r="C1145" s="29" t="s">
        <v>1249</v>
      </c>
      <c r="D1145" s="8" t="s">
        <v>1284</v>
      </c>
      <c r="E1145" s="10" t="s">
        <v>2444</v>
      </c>
      <c r="F1145" s="10"/>
      <c r="G1145" s="10">
        <v>1</v>
      </c>
      <c r="H1145" s="10">
        <v>1</v>
      </c>
      <c r="I1145" s="10"/>
      <c r="J1145" s="10">
        <v>600</v>
      </c>
      <c r="K1145" s="104">
        <v>45601</v>
      </c>
      <c r="L1145" s="104">
        <v>45629</v>
      </c>
      <c r="M1145" s="10" t="b">
        <v>0</v>
      </c>
      <c r="N1145" s="10">
        <v>29</v>
      </c>
      <c r="O1145" s="11">
        <v>1300</v>
      </c>
      <c r="P1145" s="85">
        <v>2.1666666666666665</v>
      </c>
      <c r="Q1145" s="11">
        <v>1300</v>
      </c>
      <c r="R1145" s="85">
        <v>2.1666666666666665</v>
      </c>
      <c r="S1145" s="29" t="s">
        <v>2719</v>
      </c>
      <c r="T1145" s="29" t="s">
        <v>2807</v>
      </c>
    </row>
    <row r="1146">
      <c r="B1146" s="29" t="s">
        <v>1221</v>
      </c>
      <c r="C1146" s="29" t="s">
        <v>1249</v>
      </c>
      <c r="D1146" s="8" t="s">
        <v>1284</v>
      </c>
      <c r="E1146" s="10" t="s">
        <v>2445</v>
      </c>
      <c r="F1146" s="10"/>
      <c r="G1146" s="10">
        <v>1</v>
      </c>
      <c r="H1146" s="10">
        <v>1</v>
      </c>
      <c r="I1146" s="10"/>
      <c r="J1146" s="10">
        <v>600</v>
      </c>
      <c r="K1146" s="104">
        <v>45598</v>
      </c>
      <c r="L1146" s="104">
        <v>45622</v>
      </c>
      <c r="M1146" s="10" t="b">
        <v>0</v>
      </c>
      <c r="N1146" s="10">
        <v>25</v>
      </c>
      <c r="O1146" s="11">
        <v>1300</v>
      </c>
      <c r="P1146" s="85">
        <v>2.1666666666666665</v>
      </c>
      <c r="Q1146" s="11">
        <v>1300</v>
      </c>
      <c r="R1146" s="85">
        <v>2.1666666666666665</v>
      </c>
      <c r="S1146" s="29" t="s">
        <v>2719</v>
      </c>
      <c r="T1146" s="29" t="s">
        <v>2807</v>
      </c>
    </row>
    <row r="1147">
      <c r="B1147" s="29" t="s">
        <v>1221</v>
      </c>
      <c r="C1147" s="29" t="s">
        <v>1249</v>
      </c>
      <c r="D1147" s="8" t="s">
        <v>1284</v>
      </c>
      <c r="E1147" s="10" t="s">
        <v>2446</v>
      </c>
      <c r="F1147" s="10">
        <v>3</v>
      </c>
      <c r="G1147" s="10">
        <v>1</v>
      </c>
      <c r="H1147" s="10">
        <v>1</v>
      </c>
      <c r="I1147" s="10"/>
      <c r="J1147" s="10">
        <v>600</v>
      </c>
      <c r="K1147" s="104">
        <v>45524</v>
      </c>
      <c r="L1147" s="104">
        <v>45618</v>
      </c>
      <c r="M1147" s="10" t="b">
        <v>0</v>
      </c>
      <c r="N1147" s="10">
        <v>95</v>
      </c>
      <c r="O1147" s="11">
        <v>1300</v>
      </c>
      <c r="P1147" s="85">
        <v>2.1666666666666665</v>
      </c>
      <c r="Q1147" s="11">
        <v>1300</v>
      </c>
      <c r="R1147" s="85">
        <v>2.1666666666666665</v>
      </c>
      <c r="S1147" s="29" t="s">
        <v>2719</v>
      </c>
      <c r="T1147" s="29" t="s">
        <v>2807</v>
      </c>
    </row>
    <row r="1148">
      <c r="B1148" s="29" t="s">
        <v>1221</v>
      </c>
      <c r="C1148" s="29" t="s">
        <v>1249</v>
      </c>
      <c r="D1148" s="8" t="s">
        <v>1280</v>
      </c>
      <c r="E1148" s="10" t="s">
        <v>2447</v>
      </c>
      <c r="F1148" s="10"/>
      <c r="G1148" s="10">
        <v>1</v>
      </c>
      <c r="H1148" s="10">
        <v>1</v>
      </c>
      <c r="I1148" s="10"/>
      <c r="J1148" s="10">
        <v>600</v>
      </c>
      <c r="K1148" s="104">
        <v>45154</v>
      </c>
      <c r="L1148" s="104">
        <v>45180</v>
      </c>
      <c r="M1148" s="10" t="b">
        <v>0</v>
      </c>
      <c r="N1148" s="10">
        <v>27</v>
      </c>
      <c r="O1148" s="11">
        <v>1313</v>
      </c>
      <c r="P1148" s="85">
        <v>2.1883333333333335</v>
      </c>
      <c r="Q1148" s="11">
        <v>1313</v>
      </c>
      <c r="R1148" s="85">
        <v>2.1883333333333335</v>
      </c>
      <c r="S1148" s="29" t="s">
        <v>2719</v>
      </c>
      <c r="T1148" s="29" t="s">
        <v>2719</v>
      </c>
    </row>
    <row r="1149">
      <c r="B1149" s="29" t="s">
        <v>1221</v>
      </c>
      <c r="C1149" s="29" t="s">
        <v>1249</v>
      </c>
      <c r="D1149" s="8" t="s">
        <v>1281</v>
      </c>
      <c r="E1149" s="10" t="s">
        <v>2448</v>
      </c>
      <c r="F1149" s="10"/>
      <c r="G1149" s="10">
        <v>1</v>
      </c>
      <c r="H1149" s="10">
        <v>1</v>
      </c>
      <c r="I1149" s="10"/>
      <c r="J1149" s="10">
        <v>600</v>
      </c>
      <c r="K1149" s="104">
        <v>45160</v>
      </c>
      <c r="L1149" s="104">
        <v>45162</v>
      </c>
      <c r="M1149" s="10" t="b">
        <v>0</v>
      </c>
      <c r="N1149" s="10">
        <v>3</v>
      </c>
      <c r="O1149" s="11">
        <v>1324</v>
      </c>
      <c r="P1149" s="85">
        <v>2.2066666666666666</v>
      </c>
      <c r="Q1149" s="11">
        <v>1324</v>
      </c>
      <c r="R1149" s="85">
        <v>2.2066666666666666</v>
      </c>
      <c r="S1149" s="29" t="s">
        <v>2719</v>
      </c>
      <c r="T1149" s="29" t="s">
        <v>2797</v>
      </c>
    </row>
    <row r="1150">
      <c r="B1150" s="29" t="s">
        <v>1221</v>
      </c>
      <c r="C1150" s="29" t="s">
        <v>1249</v>
      </c>
      <c r="D1150" s="8" t="s">
        <v>1281</v>
      </c>
      <c r="E1150" s="10" t="s">
        <v>2449</v>
      </c>
      <c r="F1150" s="10"/>
      <c r="G1150" s="10">
        <v>1</v>
      </c>
      <c r="H1150" s="10">
        <v>1</v>
      </c>
      <c r="I1150" s="10"/>
      <c r="J1150" s="10">
        <v>600</v>
      </c>
      <c r="K1150" s="104">
        <v>45154</v>
      </c>
      <c r="L1150" s="104">
        <v>45167</v>
      </c>
      <c r="M1150" s="10" t="b">
        <v>0</v>
      </c>
      <c r="N1150" s="10">
        <v>14</v>
      </c>
      <c r="O1150" s="11">
        <v>1327</v>
      </c>
      <c r="P1150" s="85">
        <v>2.2116666666666664</v>
      </c>
      <c r="Q1150" s="11">
        <v>1327</v>
      </c>
      <c r="R1150" s="85">
        <v>2.2116666666666664</v>
      </c>
      <c r="S1150" s="29" t="s">
        <v>2719</v>
      </c>
      <c r="T1150" s="29" t="s">
        <v>2797</v>
      </c>
    </row>
    <row r="1151">
      <c r="B1151" s="29" t="s">
        <v>1221</v>
      </c>
      <c r="C1151" s="29" t="s">
        <v>1249</v>
      </c>
      <c r="D1151" s="8" t="s">
        <v>1280</v>
      </c>
      <c r="E1151" s="10" t="s">
        <v>2450</v>
      </c>
      <c r="F1151" s="10"/>
      <c r="G1151" s="10">
        <v>1</v>
      </c>
      <c r="H1151" s="10">
        <v>1</v>
      </c>
      <c r="I1151" s="10"/>
      <c r="J1151" s="10">
        <v>600</v>
      </c>
      <c r="K1151" s="104">
        <v>45153</v>
      </c>
      <c r="L1151" s="104">
        <v>45165</v>
      </c>
      <c r="M1151" s="10" t="b">
        <v>0</v>
      </c>
      <c r="N1151" s="10">
        <v>13</v>
      </c>
      <c r="O1151" s="11">
        <v>1339</v>
      </c>
      <c r="P1151" s="85">
        <v>2.2316666666666665</v>
      </c>
      <c r="Q1151" s="11">
        <v>1339</v>
      </c>
      <c r="R1151" s="85">
        <v>2.2316666666666665</v>
      </c>
      <c r="S1151" s="29" t="s">
        <v>2719</v>
      </c>
      <c r="T1151" s="29" t="s">
        <v>2719</v>
      </c>
    </row>
    <row r="1152">
      <c r="B1152" s="29" t="s">
        <v>1221</v>
      </c>
      <c r="C1152" s="29" t="s">
        <v>1249</v>
      </c>
      <c r="D1152" s="8" t="s">
        <v>1284</v>
      </c>
      <c r="E1152" s="10" t="s">
        <v>2451</v>
      </c>
      <c r="F1152" s="10">
        <v>4</v>
      </c>
      <c r="G1152" s="10">
        <v>1</v>
      </c>
      <c r="H1152" s="10">
        <v>1</v>
      </c>
      <c r="I1152" s="10"/>
      <c r="J1152" s="10">
        <v>600</v>
      </c>
      <c r="K1152" s="104">
        <v>45772</v>
      </c>
      <c r="L1152" s="104">
        <v>45778</v>
      </c>
      <c r="M1152" s="10" t="b">
        <v>0</v>
      </c>
      <c r="N1152" s="10">
        <v>7</v>
      </c>
      <c r="O1152" s="11">
        <v>1350</v>
      </c>
      <c r="P1152" s="85">
        <v>2.25</v>
      </c>
      <c r="Q1152" s="11">
        <v>1350</v>
      </c>
      <c r="R1152" s="85">
        <v>2.25</v>
      </c>
      <c r="S1152" s="29" t="s">
        <v>2719</v>
      </c>
      <c r="T1152" s="29" t="s">
        <v>2807</v>
      </c>
    </row>
    <row r="1153">
      <c r="B1153" s="29" t="s">
        <v>1221</v>
      </c>
      <c r="C1153" s="29" t="s">
        <v>1249</v>
      </c>
      <c r="D1153" s="8" t="s">
        <v>1284</v>
      </c>
      <c r="E1153" s="10" t="s">
        <v>2452</v>
      </c>
      <c r="F1153" s="10">
        <v>4</v>
      </c>
      <c r="G1153" s="10">
        <v>1</v>
      </c>
      <c r="H1153" s="10">
        <v>1</v>
      </c>
      <c r="I1153" s="10"/>
      <c r="J1153" s="10">
        <v>600</v>
      </c>
      <c r="K1153" s="104">
        <v>45735</v>
      </c>
      <c r="L1153" s="104">
        <v>45770</v>
      </c>
      <c r="M1153" s="10" t="b">
        <v>0</v>
      </c>
      <c r="N1153" s="10">
        <v>36</v>
      </c>
      <c r="O1153" s="11">
        <v>1350</v>
      </c>
      <c r="P1153" s="85">
        <v>2.25</v>
      </c>
      <c r="Q1153" s="11">
        <v>1350</v>
      </c>
      <c r="R1153" s="85">
        <v>2.25</v>
      </c>
      <c r="S1153" s="29" t="s">
        <v>2719</v>
      </c>
      <c r="T1153" s="29" t="s">
        <v>2807</v>
      </c>
    </row>
    <row r="1154">
      <c r="B1154" s="29" t="s">
        <v>1221</v>
      </c>
      <c r="C1154" s="29" t="s">
        <v>1249</v>
      </c>
      <c r="D1154" s="8" t="s">
        <v>1280</v>
      </c>
      <c r="E1154" s="10" t="s">
        <v>2453</v>
      </c>
      <c r="F1154" s="10">
        <v>3</v>
      </c>
      <c r="G1154" s="10">
        <v>1</v>
      </c>
      <c r="H1154" s="10">
        <v>1</v>
      </c>
      <c r="I1154" s="10"/>
      <c r="J1154" s="10">
        <v>600</v>
      </c>
      <c r="K1154" s="104">
        <v>45287</v>
      </c>
      <c r="L1154" s="104">
        <v>45288</v>
      </c>
      <c r="M1154" s="10" t="b">
        <v>0</v>
      </c>
      <c r="N1154" s="10">
        <v>2</v>
      </c>
      <c r="O1154" s="11">
        <v>1350</v>
      </c>
      <c r="P1154" s="85">
        <v>2.25</v>
      </c>
      <c r="Q1154" s="11">
        <v>1350</v>
      </c>
      <c r="R1154" s="85">
        <v>2.25</v>
      </c>
      <c r="S1154" s="29" t="s">
        <v>2719</v>
      </c>
      <c r="T1154" s="29" t="s">
        <v>2719</v>
      </c>
    </row>
    <row r="1155">
      <c r="B1155" s="29" t="s">
        <v>1221</v>
      </c>
      <c r="C1155" s="29" t="s">
        <v>1249</v>
      </c>
      <c r="D1155" s="8" t="s">
        <v>1284</v>
      </c>
      <c r="E1155" s="10" t="s">
        <v>2454</v>
      </c>
      <c r="F1155" s="10"/>
      <c r="G1155" s="10">
        <v>1</v>
      </c>
      <c r="H1155" s="10">
        <v>1</v>
      </c>
      <c r="I1155" s="10"/>
      <c r="J1155" s="10">
        <v>600</v>
      </c>
      <c r="K1155" s="104">
        <v>45673</v>
      </c>
      <c r="L1155" s="104"/>
      <c r="M1155" s="10" t="b">
        <v>1</v>
      </c>
      <c r="N1155" s="10"/>
      <c r="O1155" s="11">
        <v>1350</v>
      </c>
      <c r="P1155" s="85">
        <v>2.25</v>
      </c>
      <c r="Q1155" s="11">
        <v>1350</v>
      </c>
      <c r="R1155" s="85">
        <v>2.25</v>
      </c>
      <c r="S1155" s="29" t="s">
        <v>2719</v>
      </c>
      <c r="T1155" s="29" t="s">
        <v>2807</v>
      </c>
    </row>
    <row r="1156">
      <c r="B1156" s="29" t="s">
        <v>1221</v>
      </c>
      <c r="C1156" s="29" t="s">
        <v>1249</v>
      </c>
      <c r="D1156" s="8" t="s">
        <v>1281</v>
      </c>
      <c r="E1156" s="10" t="s">
        <v>2455</v>
      </c>
      <c r="F1156" s="10"/>
      <c r="G1156" s="10">
        <v>1</v>
      </c>
      <c r="H1156" s="10">
        <v>1</v>
      </c>
      <c r="I1156" s="10"/>
      <c r="J1156" s="10">
        <v>600</v>
      </c>
      <c r="K1156" s="104">
        <v>45153</v>
      </c>
      <c r="L1156" s="104">
        <v>45183</v>
      </c>
      <c r="M1156" s="10" t="b">
        <v>0</v>
      </c>
      <c r="N1156" s="10">
        <v>31</v>
      </c>
      <c r="O1156" s="11">
        <v>1367</v>
      </c>
      <c r="P1156" s="85">
        <v>2.2783333333333333</v>
      </c>
      <c r="Q1156" s="11">
        <v>1367</v>
      </c>
      <c r="R1156" s="85">
        <v>2.2783333333333333</v>
      </c>
      <c r="S1156" s="29" t="s">
        <v>2719</v>
      </c>
      <c r="T1156" s="29" t="s">
        <v>2797</v>
      </c>
    </row>
    <row r="1157">
      <c r="B1157" s="29" t="s">
        <v>1221</v>
      </c>
      <c r="C1157" s="29" t="s">
        <v>1249</v>
      </c>
      <c r="D1157" s="8" t="s">
        <v>1280</v>
      </c>
      <c r="E1157" s="10" t="s">
        <v>2456</v>
      </c>
      <c r="F1157" s="10">
        <v>4</v>
      </c>
      <c r="G1157" s="10">
        <v>1</v>
      </c>
      <c r="H1157" s="10">
        <v>1</v>
      </c>
      <c r="I1157" s="10"/>
      <c r="J1157" s="10">
        <v>600</v>
      </c>
      <c r="K1157" s="104">
        <v>45153</v>
      </c>
      <c r="L1157" s="104">
        <v>45157</v>
      </c>
      <c r="M1157" s="10" t="b">
        <v>0</v>
      </c>
      <c r="N1157" s="10">
        <v>5</v>
      </c>
      <c r="O1157" s="11">
        <v>1553</v>
      </c>
      <c r="P1157" s="85">
        <v>2.5883333333333334</v>
      </c>
      <c r="Q1157" s="11">
        <v>1553</v>
      </c>
      <c r="R1157" s="85">
        <v>2.5883333333333334</v>
      </c>
      <c r="S1157" s="29" t="s">
        <v>2719</v>
      </c>
      <c r="T1157" s="29" t="s">
        <v>2719</v>
      </c>
    </row>
    <row r="1158">
      <c r="B1158" s="29" t="s">
        <v>1221</v>
      </c>
      <c r="C1158" s="29" t="s">
        <v>1249</v>
      </c>
      <c r="D1158" s="8" t="s">
        <v>1280</v>
      </c>
      <c r="E1158" s="10" t="s">
        <v>2457</v>
      </c>
      <c r="F1158" s="10">
        <v>3</v>
      </c>
      <c r="G1158" s="10">
        <v>1</v>
      </c>
      <c r="H1158" s="10">
        <v>1</v>
      </c>
      <c r="I1158" s="10"/>
      <c r="J1158" s="10">
        <v>600</v>
      </c>
      <c r="K1158" s="104">
        <v>45153</v>
      </c>
      <c r="L1158" s="104">
        <v>45157</v>
      </c>
      <c r="M1158" s="10" t="b">
        <v>0</v>
      </c>
      <c r="N1158" s="10">
        <v>5</v>
      </c>
      <c r="O1158" s="11">
        <v>1553</v>
      </c>
      <c r="P1158" s="85">
        <v>2.5883333333333334</v>
      </c>
      <c r="Q1158" s="11">
        <v>1553</v>
      </c>
      <c r="R1158" s="85">
        <v>2.5883333333333334</v>
      </c>
      <c r="S1158" s="29" t="s">
        <v>2719</v>
      </c>
      <c r="T1158" s="29" t="s">
        <v>2719</v>
      </c>
    </row>
    <row r="1159">
      <c r="B1159" s="29" t="s">
        <v>1221</v>
      </c>
      <c r="C1159" s="29" t="s">
        <v>1249</v>
      </c>
      <c r="D1159" s="8" t="s">
        <v>1280</v>
      </c>
      <c r="E1159" s="10" t="s">
        <v>2458</v>
      </c>
      <c r="F1159" s="10"/>
      <c r="G1159" s="10">
        <v>1</v>
      </c>
      <c r="H1159" s="10">
        <v>1</v>
      </c>
      <c r="I1159" s="10"/>
      <c r="J1159" s="10">
        <v>600</v>
      </c>
      <c r="K1159" s="104">
        <v>45233</v>
      </c>
      <c r="L1159" s="104">
        <v>45248</v>
      </c>
      <c r="M1159" s="10" t="b">
        <v>0</v>
      </c>
      <c r="N1159" s="10">
        <v>16</v>
      </c>
      <c r="O1159" s="11">
        <v>1556</v>
      </c>
      <c r="P1159" s="85">
        <v>2.5933333333333333</v>
      </c>
      <c r="Q1159" s="11">
        <v>1556</v>
      </c>
      <c r="R1159" s="85">
        <v>2.5933333333333333</v>
      </c>
      <c r="S1159" s="29" t="s">
        <v>2719</v>
      </c>
      <c r="T1159" s="29" t="s">
        <v>2719</v>
      </c>
    </row>
    <row r="1160">
      <c r="B1160" s="29" t="s">
        <v>1221</v>
      </c>
      <c r="C1160" s="29" t="s">
        <v>1249</v>
      </c>
      <c r="D1160" s="8" t="s">
        <v>1285</v>
      </c>
      <c r="E1160" s="10" t="s">
        <v>2459</v>
      </c>
      <c r="F1160" s="10"/>
      <c r="G1160" s="10">
        <v>1</v>
      </c>
      <c r="H1160" s="10">
        <v>1</v>
      </c>
      <c r="I1160" s="10"/>
      <c r="J1160" s="10">
        <v>645</v>
      </c>
      <c r="K1160" s="104">
        <v>45629</v>
      </c>
      <c r="L1160" s="104">
        <v>45633</v>
      </c>
      <c r="M1160" s="10" t="b">
        <v>0</v>
      </c>
      <c r="N1160" s="10">
        <v>5</v>
      </c>
      <c r="O1160" s="11">
        <v>1200</v>
      </c>
      <c r="P1160" s="85">
        <v>1.8604651162790697</v>
      </c>
      <c r="Q1160" s="11">
        <v>1200</v>
      </c>
      <c r="R1160" s="85">
        <v>1.8604651162790697</v>
      </c>
      <c r="S1160" s="29" t="s">
        <v>2719</v>
      </c>
      <c r="T1160" s="29" t="s">
        <v>2719</v>
      </c>
    </row>
    <row r="1161">
      <c r="B1161" s="29" t="s">
        <v>1221</v>
      </c>
      <c r="C1161" s="29" t="s">
        <v>1249</v>
      </c>
      <c r="D1161" s="8" t="s">
        <v>1285</v>
      </c>
      <c r="E1161" s="10" t="s">
        <v>2460</v>
      </c>
      <c r="F1161" s="10">
        <v>4</v>
      </c>
      <c r="G1161" s="10">
        <v>1</v>
      </c>
      <c r="H1161" s="10">
        <v>1</v>
      </c>
      <c r="I1161" s="10"/>
      <c r="J1161" s="10">
        <v>645</v>
      </c>
      <c r="K1161" s="104">
        <v>45714</v>
      </c>
      <c r="L1161" s="104">
        <v>45719</v>
      </c>
      <c r="M1161" s="10" t="b">
        <v>0</v>
      </c>
      <c r="N1161" s="10">
        <v>6</v>
      </c>
      <c r="O1161" s="11">
        <v>1250</v>
      </c>
      <c r="P1161" s="85">
        <v>1.937984496124031</v>
      </c>
      <c r="Q1161" s="11">
        <v>1250</v>
      </c>
      <c r="R1161" s="85">
        <v>1.937984496124031</v>
      </c>
      <c r="S1161" s="29" t="s">
        <v>2719</v>
      </c>
      <c r="T1161" s="29" t="s">
        <v>2719</v>
      </c>
    </row>
    <row r="1162">
      <c r="B1162" s="29" t="s">
        <v>1221</v>
      </c>
      <c r="C1162" s="29" t="s">
        <v>1249</v>
      </c>
      <c r="D1162" s="8" t="s">
        <v>1286</v>
      </c>
      <c r="E1162" s="10"/>
      <c r="F1162" s="10"/>
      <c r="G1162" s="10">
        <v>1</v>
      </c>
      <c r="H1162" s="10">
        <v>1</v>
      </c>
      <c r="I1162" s="10"/>
      <c r="J1162" s="10">
        <v>645</v>
      </c>
      <c r="K1162" s="104">
        <v>45204</v>
      </c>
      <c r="L1162" s="104">
        <v>45211</v>
      </c>
      <c r="M1162" s="10" t="b">
        <v>0</v>
      </c>
      <c r="N1162" s="10">
        <v>8</v>
      </c>
      <c r="O1162" s="11">
        <v>1272</v>
      </c>
      <c r="P1162" s="85">
        <v>1.972093023255814</v>
      </c>
      <c r="Q1162" s="11">
        <v>1272</v>
      </c>
      <c r="R1162" s="85">
        <v>1.972093023255814</v>
      </c>
      <c r="S1162" s="29" t="s">
        <v>2719</v>
      </c>
      <c r="T1162" s="29" t="s">
        <v>2719</v>
      </c>
    </row>
    <row r="1163">
      <c r="B1163" s="29" t="s">
        <v>1221</v>
      </c>
      <c r="C1163" s="29" t="s">
        <v>1249</v>
      </c>
      <c r="D1163" s="8" t="s">
        <v>1287</v>
      </c>
      <c r="E1163" s="10" t="s">
        <v>2461</v>
      </c>
      <c r="F1163" s="10"/>
      <c r="G1163" s="10">
        <v>1</v>
      </c>
      <c r="H1163" s="10">
        <v>1</v>
      </c>
      <c r="I1163" s="10"/>
      <c r="J1163" s="10">
        <v>660</v>
      </c>
      <c r="K1163" s="104">
        <v>45363</v>
      </c>
      <c r="L1163" s="104">
        <v>45421</v>
      </c>
      <c r="M1163" s="10" t="b">
        <v>0</v>
      </c>
      <c r="N1163" s="10">
        <v>59</v>
      </c>
      <c r="O1163" s="11">
        <v>1363</v>
      </c>
      <c r="P1163" s="85">
        <v>2.065151515151515</v>
      </c>
      <c r="Q1163" s="11">
        <v>1363</v>
      </c>
      <c r="R1163" s="85">
        <v>2.065151515151515</v>
      </c>
      <c r="S1163" s="29" t="s">
        <v>2780</v>
      </c>
      <c r="T1163" s="29" t="s">
        <v>2805</v>
      </c>
    </row>
    <row r="1164">
      <c r="B1164" s="29" t="s">
        <v>1221</v>
      </c>
      <c r="C1164" s="29" t="s">
        <v>1249</v>
      </c>
      <c r="D1164" s="8" t="s">
        <v>1287</v>
      </c>
      <c r="E1164" s="10" t="s">
        <v>2462</v>
      </c>
      <c r="F1164" s="10"/>
      <c r="G1164" s="10">
        <v>1</v>
      </c>
      <c r="H1164" s="10">
        <v>1</v>
      </c>
      <c r="I1164" s="10"/>
      <c r="J1164" s="10">
        <v>660</v>
      </c>
      <c r="K1164" s="104">
        <v>45366</v>
      </c>
      <c r="L1164" s="104">
        <v>45414</v>
      </c>
      <c r="M1164" s="10" t="b">
        <v>0</v>
      </c>
      <c r="N1164" s="10">
        <v>49</v>
      </c>
      <c r="O1164" s="11">
        <v>1424</v>
      </c>
      <c r="P1164" s="85">
        <v>2.1575757575757577</v>
      </c>
      <c r="Q1164" s="11">
        <v>1424</v>
      </c>
      <c r="R1164" s="85">
        <v>2.1575757575757577</v>
      </c>
      <c r="S1164" s="29" t="s">
        <v>2780</v>
      </c>
      <c r="T1164" s="29" t="s">
        <v>2805</v>
      </c>
    </row>
    <row r="1165">
      <c r="B1165" s="29" t="s">
        <v>1221</v>
      </c>
      <c r="C1165" s="29" t="s">
        <v>1249</v>
      </c>
      <c r="D1165" s="8" t="s">
        <v>1287</v>
      </c>
      <c r="E1165" s="10" t="s">
        <v>2463</v>
      </c>
      <c r="F1165" s="10"/>
      <c r="G1165" s="10">
        <v>1</v>
      </c>
      <c r="H1165" s="10">
        <v>1</v>
      </c>
      <c r="I1165" s="10"/>
      <c r="J1165" s="10">
        <v>660</v>
      </c>
      <c r="K1165" s="104">
        <v>45261</v>
      </c>
      <c r="L1165" s="104">
        <v>45334</v>
      </c>
      <c r="M1165" s="10" t="b">
        <v>0</v>
      </c>
      <c r="N1165" s="10">
        <v>74</v>
      </c>
      <c r="O1165" s="11">
        <v>1050</v>
      </c>
      <c r="P1165" s="85">
        <v>1.5909090909090908</v>
      </c>
      <c r="Q1165" s="11">
        <v>1050</v>
      </c>
      <c r="R1165" s="85">
        <v>1.5909090909090908</v>
      </c>
      <c r="S1165" s="29" t="s">
        <v>2719</v>
      </c>
      <c r="T1165" s="29" t="s">
        <v>2719</v>
      </c>
    </row>
    <row r="1166">
      <c r="B1166" s="29" t="s">
        <v>1221</v>
      </c>
      <c r="C1166" s="29" t="s">
        <v>1249</v>
      </c>
      <c r="D1166" s="8" t="s">
        <v>1287</v>
      </c>
      <c r="E1166" s="10" t="s">
        <v>2464</v>
      </c>
      <c r="F1166" s="10"/>
      <c r="G1166" s="10">
        <v>1</v>
      </c>
      <c r="H1166" s="10">
        <v>1</v>
      </c>
      <c r="I1166" s="10"/>
      <c r="J1166" s="10">
        <v>660</v>
      </c>
      <c r="K1166" s="104">
        <v>45245</v>
      </c>
      <c r="L1166" s="104">
        <v>45263</v>
      </c>
      <c r="M1166" s="10" t="b">
        <v>0</v>
      </c>
      <c r="N1166" s="10">
        <v>19</v>
      </c>
      <c r="O1166" s="11">
        <v>1174</v>
      </c>
      <c r="P1166" s="85">
        <v>1.7787878787878788</v>
      </c>
      <c r="Q1166" s="11">
        <v>1174</v>
      </c>
      <c r="R1166" s="85">
        <v>1.7787878787878788</v>
      </c>
      <c r="S1166" s="29" t="s">
        <v>2719</v>
      </c>
      <c r="T1166" s="29" t="s">
        <v>2719</v>
      </c>
    </row>
    <row r="1167">
      <c r="B1167" s="29" t="s">
        <v>1221</v>
      </c>
      <c r="C1167" s="29" t="s">
        <v>1249</v>
      </c>
      <c r="D1167" s="8" t="s">
        <v>1288</v>
      </c>
      <c r="E1167" s="10" t="s">
        <v>2465</v>
      </c>
      <c r="F1167" s="10"/>
      <c r="G1167" s="10">
        <v>1</v>
      </c>
      <c r="H1167" s="10">
        <v>1</v>
      </c>
      <c r="I1167" s="10"/>
      <c r="J1167" s="10">
        <v>660</v>
      </c>
      <c r="K1167" s="104">
        <v>45432</v>
      </c>
      <c r="L1167" s="104">
        <v>45434</v>
      </c>
      <c r="M1167" s="10" t="b">
        <v>0</v>
      </c>
      <c r="N1167" s="10">
        <v>3</v>
      </c>
      <c r="O1167" s="11">
        <v>1200</v>
      </c>
      <c r="P1167" s="85">
        <v>1.8181818181818181</v>
      </c>
      <c r="Q1167" s="11">
        <v>1200</v>
      </c>
      <c r="R1167" s="85">
        <v>1.8181818181818181</v>
      </c>
      <c r="S1167" s="29" t="s">
        <v>2719</v>
      </c>
      <c r="T1167" s="29" t="s">
        <v>2719</v>
      </c>
    </row>
    <row r="1168">
      <c r="B1168" s="29" t="s">
        <v>1221</v>
      </c>
      <c r="C1168" s="29" t="s">
        <v>1249</v>
      </c>
      <c r="D1168" s="8" t="s">
        <v>1289</v>
      </c>
      <c r="E1168" s="10" t="s">
        <v>2466</v>
      </c>
      <c r="F1168" s="10">
        <v>2</v>
      </c>
      <c r="G1168" s="10">
        <v>1</v>
      </c>
      <c r="H1168" s="10">
        <v>1</v>
      </c>
      <c r="I1168" s="10"/>
      <c r="J1168" s="10">
        <v>660</v>
      </c>
      <c r="K1168" s="104">
        <v>45503</v>
      </c>
      <c r="L1168" s="104">
        <v>45512</v>
      </c>
      <c r="M1168" s="10" t="b">
        <v>0</v>
      </c>
      <c r="N1168" s="10">
        <v>10</v>
      </c>
      <c r="O1168" s="11">
        <v>1200</v>
      </c>
      <c r="P1168" s="85">
        <v>1.8181818181818181</v>
      </c>
      <c r="Q1168" s="11">
        <v>1200</v>
      </c>
      <c r="R1168" s="85">
        <v>1.8181818181818181</v>
      </c>
      <c r="S1168" s="29" t="s">
        <v>2719</v>
      </c>
      <c r="T1168" s="29" t="s">
        <v>2807</v>
      </c>
    </row>
    <row r="1169">
      <c r="B1169" s="29" t="s">
        <v>1221</v>
      </c>
      <c r="C1169" s="29" t="s">
        <v>1249</v>
      </c>
      <c r="D1169" s="8" t="s">
        <v>1290</v>
      </c>
      <c r="E1169" s="10" t="s">
        <v>2467</v>
      </c>
      <c r="F1169" s="10">
        <v>2</v>
      </c>
      <c r="G1169" s="10">
        <v>1</v>
      </c>
      <c r="H1169" s="10">
        <v>1</v>
      </c>
      <c r="I1169" s="10"/>
      <c r="J1169" s="10">
        <v>660</v>
      </c>
      <c r="K1169" s="104">
        <v>45653</v>
      </c>
      <c r="L1169" s="104">
        <v>45660</v>
      </c>
      <c r="M1169" s="10" t="b">
        <v>0</v>
      </c>
      <c r="N1169" s="10">
        <v>8</v>
      </c>
      <c r="O1169" s="11">
        <v>1200</v>
      </c>
      <c r="P1169" s="85">
        <v>1.8181818181818181</v>
      </c>
      <c r="Q1169" s="11">
        <v>1200</v>
      </c>
      <c r="R1169" s="85">
        <v>1.8181818181818181</v>
      </c>
      <c r="S1169" s="29" t="s">
        <v>2719</v>
      </c>
      <c r="T1169" s="29" t="s">
        <v>2719</v>
      </c>
    </row>
    <row r="1170">
      <c r="B1170" s="29" t="s">
        <v>1221</v>
      </c>
      <c r="C1170" s="29" t="s">
        <v>1249</v>
      </c>
      <c r="D1170" s="8" t="s">
        <v>1287</v>
      </c>
      <c r="E1170" s="10" t="s">
        <v>2468</v>
      </c>
      <c r="F1170" s="10"/>
      <c r="G1170" s="10">
        <v>1</v>
      </c>
      <c r="H1170" s="10">
        <v>1</v>
      </c>
      <c r="I1170" s="10"/>
      <c r="J1170" s="10">
        <v>660</v>
      </c>
      <c r="K1170" s="104">
        <v>45247</v>
      </c>
      <c r="L1170" s="104">
        <v>45258</v>
      </c>
      <c r="M1170" s="10" t="b">
        <v>0</v>
      </c>
      <c r="N1170" s="10">
        <v>12</v>
      </c>
      <c r="O1170" s="11">
        <v>1233</v>
      </c>
      <c r="P1170" s="85">
        <v>1.8681818181818182</v>
      </c>
      <c r="Q1170" s="11">
        <v>1233</v>
      </c>
      <c r="R1170" s="85">
        <v>1.8681818181818182</v>
      </c>
      <c r="S1170" s="29" t="s">
        <v>2719</v>
      </c>
      <c r="T1170" s="29" t="s">
        <v>2719</v>
      </c>
    </row>
    <row r="1171">
      <c r="B1171" s="29" t="s">
        <v>1221</v>
      </c>
      <c r="C1171" s="29" t="s">
        <v>1249</v>
      </c>
      <c r="D1171" s="8" t="s">
        <v>1290</v>
      </c>
      <c r="E1171" s="10" t="s">
        <v>2469</v>
      </c>
      <c r="F1171" s="10">
        <v>1</v>
      </c>
      <c r="G1171" s="10">
        <v>1</v>
      </c>
      <c r="H1171" s="10">
        <v>1</v>
      </c>
      <c r="I1171" s="10"/>
      <c r="J1171" s="10">
        <v>660</v>
      </c>
      <c r="K1171" s="104">
        <v>45764</v>
      </c>
      <c r="L1171" s="104">
        <v>45778</v>
      </c>
      <c r="M1171" s="10" t="b">
        <v>0</v>
      </c>
      <c r="N1171" s="10">
        <v>15</v>
      </c>
      <c r="O1171" s="11">
        <v>1250</v>
      </c>
      <c r="P1171" s="85">
        <v>1.893939393939394</v>
      </c>
      <c r="Q1171" s="11">
        <v>1250</v>
      </c>
      <c r="R1171" s="85">
        <v>1.893939393939394</v>
      </c>
      <c r="S1171" s="29" t="s">
        <v>2719</v>
      </c>
      <c r="T1171" s="29" t="s">
        <v>2719</v>
      </c>
    </row>
    <row r="1172">
      <c r="B1172" s="29" t="s">
        <v>1221</v>
      </c>
      <c r="C1172" s="29" t="s">
        <v>1249</v>
      </c>
      <c r="D1172" s="8" t="s">
        <v>1290</v>
      </c>
      <c r="E1172" s="10" t="s">
        <v>2470</v>
      </c>
      <c r="F1172" s="10">
        <v>2</v>
      </c>
      <c r="G1172" s="10">
        <v>1</v>
      </c>
      <c r="H1172" s="10">
        <v>1</v>
      </c>
      <c r="I1172" s="10"/>
      <c r="J1172" s="10">
        <v>660</v>
      </c>
      <c r="K1172" s="104">
        <v>45688</v>
      </c>
      <c r="L1172" s="104">
        <v>45701</v>
      </c>
      <c r="M1172" s="10" t="b">
        <v>0</v>
      </c>
      <c r="N1172" s="10">
        <v>14</v>
      </c>
      <c r="O1172" s="11">
        <v>1250</v>
      </c>
      <c r="P1172" s="85">
        <v>1.893939393939394</v>
      </c>
      <c r="Q1172" s="11">
        <v>1250</v>
      </c>
      <c r="R1172" s="85">
        <v>1.893939393939394</v>
      </c>
      <c r="S1172" s="29" t="s">
        <v>2719</v>
      </c>
      <c r="T1172" s="29" t="s">
        <v>2719</v>
      </c>
    </row>
    <row r="1173">
      <c r="B1173" s="29" t="s">
        <v>1221</v>
      </c>
      <c r="C1173" s="29" t="s">
        <v>1249</v>
      </c>
      <c r="D1173" s="8" t="s">
        <v>1290</v>
      </c>
      <c r="E1173" s="10" t="s">
        <v>2471</v>
      </c>
      <c r="F1173" s="10">
        <v>2</v>
      </c>
      <c r="G1173" s="10">
        <v>1</v>
      </c>
      <c r="H1173" s="10">
        <v>1</v>
      </c>
      <c r="I1173" s="10"/>
      <c r="J1173" s="10">
        <v>660</v>
      </c>
      <c r="K1173" s="104">
        <v>45763</v>
      </c>
      <c r="L1173" s="104">
        <v>45784</v>
      </c>
      <c r="M1173" s="10" t="b">
        <v>0</v>
      </c>
      <c r="N1173" s="10">
        <v>22</v>
      </c>
      <c r="O1173" s="11">
        <v>1250</v>
      </c>
      <c r="P1173" s="85">
        <v>1.893939393939394</v>
      </c>
      <c r="Q1173" s="11">
        <v>1250</v>
      </c>
      <c r="R1173" s="85">
        <v>1.893939393939394</v>
      </c>
      <c r="S1173" s="29" t="s">
        <v>2719</v>
      </c>
      <c r="T1173" s="29" t="s">
        <v>2719</v>
      </c>
    </row>
    <row r="1174">
      <c r="B1174" s="29" t="s">
        <v>1221</v>
      </c>
      <c r="C1174" s="29" t="s">
        <v>1249</v>
      </c>
      <c r="D1174" s="8" t="s">
        <v>1290</v>
      </c>
      <c r="E1174" s="10" t="s">
        <v>2472</v>
      </c>
      <c r="F1174" s="10">
        <v>4</v>
      </c>
      <c r="G1174" s="10">
        <v>1</v>
      </c>
      <c r="H1174" s="10">
        <v>1</v>
      </c>
      <c r="I1174" s="10"/>
      <c r="J1174" s="10">
        <v>660</v>
      </c>
      <c r="K1174" s="104">
        <v>45677</v>
      </c>
      <c r="L1174" s="104">
        <v>45690</v>
      </c>
      <c r="M1174" s="10" t="b">
        <v>0</v>
      </c>
      <c r="N1174" s="10">
        <v>14</v>
      </c>
      <c r="O1174" s="11">
        <v>1250</v>
      </c>
      <c r="P1174" s="85">
        <v>1.893939393939394</v>
      </c>
      <c r="Q1174" s="11">
        <v>1250</v>
      </c>
      <c r="R1174" s="85">
        <v>1.893939393939394</v>
      </c>
      <c r="S1174" s="29" t="s">
        <v>2719</v>
      </c>
      <c r="T1174" s="29" t="s">
        <v>2719</v>
      </c>
    </row>
    <row r="1175">
      <c r="B1175" s="29" t="s">
        <v>1221</v>
      </c>
      <c r="C1175" s="29" t="s">
        <v>1249</v>
      </c>
      <c r="D1175" s="8" t="s">
        <v>1287</v>
      </c>
      <c r="E1175" s="10"/>
      <c r="F1175" s="10"/>
      <c r="G1175" s="10">
        <v>1</v>
      </c>
      <c r="H1175" s="10">
        <v>1</v>
      </c>
      <c r="I1175" s="10"/>
      <c r="J1175" s="10">
        <v>660</v>
      </c>
      <c r="K1175" s="104"/>
      <c r="L1175" s="104">
        <v>45211</v>
      </c>
      <c r="M1175" s="10" t="b">
        <v>0</v>
      </c>
      <c r="N1175" s="10"/>
      <c r="O1175" s="11">
        <v>1292</v>
      </c>
      <c r="P1175" s="85">
        <v>1.9575757575757575</v>
      </c>
      <c r="Q1175" s="11">
        <v>1292</v>
      </c>
      <c r="R1175" s="85">
        <v>1.9575757575757575</v>
      </c>
      <c r="S1175" s="29" t="s">
        <v>2719</v>
      </c>
      <c r="T1175" s="29" t="s">
        <v>2719</v>
      </c>
    </row>
    <row r="1176">
      <c r="B1176" s="29" t="s">
        <v>1221</v>
      </c>
      <c r="C1176" s="29" t="s">
        <v>1249</v>
      </c>
      <c r="D1176" s="8" t="s">
        <v>1289</v>
      </c>
      <c r="E1176" s="10" t="s">
        <v>2473</v>
      </c>
      <c r="F1176" s="10"/>
      <c r="G1176" s="10">
        <v>1</v>
      </c>
      <c r="H1176" s="10">
        <v>1</v>
      </c>
      <c r="I1176" s="10"/>
      <c r="J1176" s="10">
        <v>660</v>
      </c>
      <c r="K1176" s="104">
        <v>45784</v>
      </c>
      <c r="L1176" s="104"/>
      <c r="M1176" s="10" t="b">
        <v>1</v>
      </c>
      <c r="N1176" s="10"/>
      <c r="O1176" s="11">
        <v>1350</v>
      </c>
      <c r="P1176" s="85">
        <v>2.0454545454545454</v>
      </c>
      <c r="Q1176" s="11">
        <v>1350</v>
      </c>
      <c r="R1176" s="85">
        <v>2.0454545454545454</v>
      </c>
      <c r="S1176" s="29" t="s">
        <v>2719</v>
      </c>
      <c r="T1176" s="29" t="s">
        <v>2807</v>
      </c>
    </row>
    <row r="1177">
      <c r="B1177" s="29" t="s">
        <v>1221</v>
      </c>
      <c r="C1177" s="29" t="s">
        <v>1249</v>
      </c>
      <c r="D1177" s="8" t="s">
        <v>1287</v>
      </c>
      <c r="E1177" s="10" t="s">
        <v>2474</v>
      </c>
      <c r="F1177" s="10"/>
      <c r="G1177" s="10">
        <v>1</v>
      </c>
      <c r="H1177" s="10">
        <v>1</v>
      </c>
      <c r="I1177" s="10"/>
      <c r="J1177" s="10">
        <v>660</v>
      </c>
      <c r="K1177" s="104">
        <v>45328</v>
      </c>
      <c r="L1177" s="104">
        <v>45330</v>
      </c>
      <c r="M1177" s="10" t="b">
        <v>0</v>
      </c>
      <c r="N1177" s="10">
        <v>3</v>
      </c>
      <c r="O1177" s="11">
        <v>1375</v>
      </c>
      <c r="P1177" s="85">
        <v>2.0833333333333335</v>
      </c>
      <c r="Q1177" s="11">
        <v>1375</v>
      </c>
      <c r="R1177" s="85">
        <v>2.0833333333333335</v>
      </c>
      <c r="S1177" s="29" t="s">
        <v>2719</v>
      </c>
      <c r="T1177" s="29" t="s">
        <v>2719</v>
      </c>
    </row>
    <row r="1178">
      <c r="B1178" s="29" t="s">
        <v>1221</v>
      </c>
      <c r="C1178" s="29" t="s">
        <v>1249</v>
      </c>
      <c r="D1178" s="8" t="s">
        <v>1291</v>
      </c>
      <c r="E1178" s="10" t="s">
        <v>2475</v>
      </c>
      <c r="F1178" s="10"/>
      <c r="G1178" s="10">
        <v>2</v>
      </c>
      <c r="H1178" s="10">
        <v>1</v>
      </c>
      <c r="I1178" s="10"/>
      <c r="J1178" s="10">
        <v>750</v>
      </c>
      <c r="K1178" s="104">
        <v>45390</v>
      </c>
      <c r="L1178" s="104">
        <v>45409</v>
      </c>
      <c r="M1178" s="10" t="b">
        <v>0</v>
      </c>
      <c r="N1178" s="10">
        <v>20</v>
      </c>
      <c r="O1178" s="11">
        <v>1149</v>
      </c>
      <c r="P1178" s="85">
        <v>1.532</v>
      </c>
      <c r="Q1178" s="11">
        <v>1149</v>
      </c>
      <c r="R1178" s="85">
        <v>1.532</v>
      </c>
      <c r="S1178" s="29" t="s">
        <v>2779</v>
      </c>
      <c r="T1178" s="29" t="s">
        <v>2805</v>
      </c>
    </row>
    <row r="1179">
      <c r="B1179" s="29" t="s">
        <v>1221</v>
      </c>
      <c r="C1179" s="29" t="s">
        <v>1249</v>
      </c>
      <c r="D1179" s="8" t="s">
        <v>1292</v>
      </c>
      <c r="E1179" s="10" t="s">
        <v>2476</v>
      </c>
      <c r="F1179" s="10">
        <v>2</v>
      </c>
      <c r="G1179" s="10">
        <v>2</v>
      </c>
      <c r="H1179" s="10">
        <v>1</v>
      </c>
      <c r="I1179" s="10"/>
      <c r="J1179" s="10">
        <v>750</v>
      </c>
      <c r="K1179" s="104">
        <v>45356</v>
      </c>
      <c r="L1179" s="104">
        <v>45409</v>
      </c>
      <c r="M1179" s="10" t="b">
        <v>0</v>
      </c>
      <c r="N1179" s="10">
        <v>54</v>
      </c>
      <c r="O1179" s="11">
        <v>1151</v>
      </c>
      <c r="P1179" s="85">
        <v>1.5346666666666666</v>
      </c>
      <c r="Q1179" s="11">
        <v>1151</v>
      </c>
      <c r="R1179" s="85">
        <v>1.5346666666666666</v>
      </c>
      <c r="S1179" s="29" t="s">
        <v>2779</v>
      </c>
      <c r="T1179" s="29" t="s">
        <v>2805</v>
      </c>
    </row>
    <row r="1180">
      <c r="B1180" s="29" t="s">
        <v>1221</v>
      </c>
      <c r="C1180" s="29" t="s">
        <v>1249</v>
      </c>
      <c r="D1180" s="8" t="s">
        <v>1292</v>
      </c>
      <c r="E1180" s="10" t="s">
        <v>2477</v>
      </c>
      <c r="F1180" s="10"/>
      <c r="G1180" s="10">
        <v>2</v>
      </c>
      <c r="H1180" s="10">
        <v>1</v>
      </c>
      <c r="I1180" s="10"/>
      <c r="J1180" s="10">
        <v>750</v>
      </c>
      <c r="K1180" s="104">
        <v>45334</v>
      </c>
      <c r="L1180" s="104">
        <v>45348</v>
      </c>
      <c r="M1180" s="10" t="b">
        <v>0</v>
      </c>
      <c r="N1180" s="10">
        <v>15</v>
      </c>
      <c r="O1180" s="11">
        <v>1215</v>
      </c>
      <c r="P1180" s="85">
        <v>1.62</v>
      </c>
      <c r="Q1180" s="11">
        <v>1215</v>
      </c>
      <c r="R1180" s="85">
        <v>1.62</v>
      </c>
      <c r="S1180" s="29" t="s">
        <v>2779</v>
      </c>
      <c r="T1180" s="29" t="s">
        <v>2805</v>
      </c>
    </row>
    <row r="1181">
      <c r="B1181" s="29" t="s">
        <v>1221</v>
      </c>
      <c r="C1181" s="29" t="s">
        <v>1249</v>
      </c>
      <c r="D1181" s="8" t="s">
        <v>1292</v>
      </c>
      <c r="E1181" s="10" t="s">
        <v>2478</v>
      </c>
      <c r="F1181" s="10"/>
      <c r="G1181" s="10">
        <v>2</v>
      </c>
      <c r="H1181" s="10">
        <v>1</v>
      </c>
      <c r="I1181" s="10"/>
      <c r="J1181" s="10">
        <v>750</v>
      </c>
      <c r="K1181" s="104">
        <v>45334</v>
      </c>
      <c r="L1181" s="104">
        <v>45348</v>
      </c>
      <c r="M1181" s="10" t="b">
        <v>0</v>
      </c>
      <c r="N1181" s="10">
        <v>15</v>
      </c>
      <c r="O1181" s="11">
        <v>1215</v>
      </c>
      <c r="P1181" s="85">
        <v>1.62</v>
      </c>
      <c r="Q1181" s="11">
        <v>1215</v>
      </c>
      <c r="R1181" s="85">
        <v>1.62</v>
      </c>
      <c r="S1181" s="29" t="s">
        <v>2779</v>
      </c>
      <c r="T1181" s="29" t="s">
        <v>2805</v>
      </c>
    </row>
    <row r="1182">
      <c r="B1182" s="29" t="s">
        <v>1221</v>
      </c>
      <c r="C1182" s="29" t="s">
        <v>1249</v>
      </c>
      <c r="D1182" s="8" t="s">
        <v>1292</v>
      </c>
      <c r="E1182" s="10" t="s">
        <v>2479</v>
      </c>
      <c r="F1182" s="10"/>
      <c r="G1182" s="10">
        <v>2</v>
      </c>
      <c r="H1182" s="10">
        <v>1</v>
      </c>
      <c r="I1182" s="10"/>
      <c r="J1182" s="10">
        <v>750</v>
      </c>
      <c r="K1182" s="104">
        <v>45334</v>
      </c>
      <c r="L1182" s="104">
        <v>45345</v>
      </c>
      <c r="M1182" s="10" t="b">
        <v>0</v>
      </c>
      <c r="N1182" s="10">
        <v>12</v>
      </c>
      <c r="O1182" s="11">
        <v>1221</v>
      </c>
      <c r="P1182" s="85">
        <v>1.628</v>
      </c>
      <c r="Q1182" s="11">
        <v>1221</v>
      </c>
      <c r="R1182" s="85">
        <v>1.628</v>
      </c>
      <c r="S1182" s="29" t="s">
        <v>2779</v>
      </c>
      <c r="T1182" s="29" t="s">
        <v>2805</v>
      </c>
    </row>
    <row r="1183">
      <c r="B1183" s="29" t="s">
        <v>1221</v>
      </c>
      <c r="C1183" s="29" t="s">
        <v>1249</v>
      </c>
      <c r="D1183" s="8" t="s">
        <v>1293</v>
      </c>
      <c r="E1183" s="10" t="s">
        <v>2480</v>
      </c>
      <c r="F1183" s="10"/>
      <c r="G1183" s="10">
        <v>2</v>
      </c>
      <c r="H1183" s="10">
        <v>1</v>
      </c>
      <c r="I1183" s="10"/>
      <c r="J1183" s="10">
        <v>750</v>
      </c>
      <c r="K1183" s="104">
        <v>45334</v>
      </c>
      <c r="L1183" s="104">
        <v>45407</v>
      </c>
      <c r="M1183" s="10" t="b">
        <v>0</v>
      </c>
      <c r="N1183" s="10">
        <v>74</v>
      </c>
      <c r="O1183" s="11">
        <v>1250</v>
      </c>
      <c r="P1183" s="85">
        <v>1.6666666666666667</v>
      </c>
      <c r="Q1183" s="11">
        <v>1250</v>
      </c>
      <c r="R1183" s="85">
        <v>1.6666666666666667</v>
      </c>
      <c r="S1183" s="29" t="s">
        <v>2779</v>
      </c>
      <c r="T1183" s="29" t="s">
        <v>2806</v>
      </c>
    </row>
    <row r="1184">
      <c r="B1184" s="29" t="s">
        <v>1221</v>
      </c>
      <c r="C1184" s="29" t="s">
        <v>1249</v>
      </c>
      <c r="D1184" s="8" t="s">
        <v>1292</v>
      </c>
      <c r="E1184" s="10" t="s">
        <v>2481</v>
      </c>
      <c r="F1184" s="10">
        <v>4</v>
      </c>
      <c r="G1184" s="10">
        <v>2</v>
      </c>
      <c r="H1184" s="10">
        <v>1</v>
      </c>
      <c r="I1184" s="10"/>
      <c r="J1184" s="10">
        <v>750</v>
      </c>
      <c r="K1184" s="104">
        <v>45355</v>
      </c>
      <c r="L1184" s="104">
        <v>45407</v>
      </c>
      <c r="M1184" s="10" t="b">
        <v>0</v>
      </c>
      <c r="N1184" s="10">
        <v>53</v>
      </c>
      <c r="O1184" s="11">
        <v>1253</v>
      </c>
      <c r="P1184" s="85">
        <v>1.6706666666666667</v>
      </c>
      <c r="Q1184" s="11">
        <v>1253</v>
      </c>
      <c r="R1184" s="85">
        <v>1.6706666666666667</v>
      </c>
      <c r="S1184" s="29" t="s">
        <v>2779</v>
      </c>
      <c r="T1184" s="29" t="s">
        <v>2805</v>
      </c>
    </row>
    <row r="1185">
      <c r="B1185" s="29" t="s">
        <v>1221</v>
      </c>
      <c r="C1185" s="29" t="s">
        <v>1249</v>
      </c>
      <c r="D1185" s="8" t="s">
        <v>1294</v>
      </c>
      <c r="E1185" s="10" t="s">
        <v>2482</v>
      </c>
      <c r="F1185" s="10"/>
      <c r="G1185" s="10">
        <v>2</v>
      </c>
      <c r="H1185" s="10">
        <v>1</v>
      </c>
      <c r="I1185" s="10"/>
      <c r="J1185" s="10">
        <v>750</v>
      </c>
      <c r="K1185" s="104">
        <v>45405</v>
      </c>
      <c r="L1185" s="104">
        <v>45412</v>
      </c>
      <c r="M1185" s="10" t="b">
        <v>0</v>
      </c>
      <c r="N1185" s="10">
        <v>8</v>
      </c>
      <c r="O1185" s="11">
        <v>1262</v>
      </c>
      <c r="P1185" s="85">
        <v>1.6826666666666668</v>
      </c>
      <c r="Q1185" s="11">
        <v>1262</v>
      </c>
      <c r="R1185" s="85">
        <v>1.6826666666666668</v>
      </c>
      <c r="S1185" s="29" t="s">
        <v>2779</v>
      </c>
      <c r="T1185" s="29" t="s">
        <v>2806</v>
      </c>
    </row>
    <row r="1186">
      <c r="B1186" s="29" t="s">
        <v>1221</v>
      </c>
      <c r="C1186" s="29" t="s">
        <v>1249</v>
      </c>
      <c r="D1186" s="8" t="s">
        <v>1292</v>
      </c>
      <c r="E1186" s="10" t="s">
        <v>2483</v>
      </c>
      <c r="F1186" s="10"/>
      <c r="G1186" s="10">
        <v>2</v>
      </c>
      <c r="H1186" s="10">
        <v>1</v>
      </c>
      <c r="I1186" s="10"/>
      <c r="J1186" s="10">
        <v>750</v>
      </c>
      <c r="K1186" s="104">
        <v>45337</v>
      </c>
      <c r="L1186" s="104">
        <v>45351</v>
      </c>
      <c r="M1186" s="10" t="b">
        <v>0</v>
      </c>
      <c r="N1186" s="10">
        <v>15</v>
      </c>
      <c r="O1186" s="11">
        <v>1274</v>
      </c>
      <c r="P1186" s="85">
        <v>1.6986666666666668</v>
      </c>
      <c r="Q1186" s="11">
        <v>1274</v>
      </c>
      <c r="R1186" s="85">
        <v>1.6986666666666668</v>
      </c>
      <c r="S1186" s="29" t="s">
        <v>2779</v>
      </c>
      <c r="T1186" s="29" t="s">
        <v>2805</v>
      </c>
    </row>
    <row r="1187">
      <c r="B1187" s="29" t="s">
        <v>1221</v>
      </c>
      <c r="C1187" s="29" t="s">
        <v>1249</v>
      </c>
      <c r="D1187" s="8" t="s">
        <v>1292</v>
      </c>
      <c r="E1187" s="10" t="s">
        <v>2484</v>
      </c>
      <c r="F1187" s="10"/>
      <c r="G1187" s="10">
        <v>2</v>
      </c>
      <c r="H1187" s="10">
        <v>1</v>
      </c>
      <c r="I1187" s="10"/>
      <c r="J1187" s="10">
        <v>750</v>
      </c>
      <c r="K1187" s="104">
        <v>45334</v>
      </c>
      <c r="L1187" s="104">
        <v>45353</v>
      </c>
      <c r="M1187" s="10" t="b">
        <v>0</v>
      </c>
      <c r="N1187" s="10">
        <v>20</v>
      </c>
      <c r="O1187" s="11">
        <v>1289</v>
      </c>
      <c r="P1187" s="85">
        <v>1.7186666666666666</v>
      </c>
      <c r="Q1187" s="11">
        <v>1289</v>
      </c>
      <c r="R1187" s="85">
        <v>1.7186666666666666</v>
      </c>
      <c r="S1187" s="29" t="s">
        <v>2779</v>
      </c>
      <c r="T1187" s="29" t="s">
        <v>2805</v>
      </c>
    </row>
    <row r="1188">
      <c r="B1188" s="29" t="s">
        <v>1221</v>
      </c>
      <c r="C1188" s="29" t="s">
        <v>1249</v>
      </c>
      <c r="D1188" s="8" t="s">
        <v>1293</v>
      </c>
      <c r="E1188" s="10" t="s">
        <v>2485</v>
      </c>
      <c r="F1188" s="10"/>
      <c r="G1188" s="10">
        <v>2</v>
      </c>
      <c r="H1188" s="10">
        <v>1</v>
      </c>
      <c r="I1188" s="10"/>
      <c r="J1188" s="10">
        <v>750</v>
      </c>
      <c r="K1188" s="104">
        <v>45353</v>
      </c>
      <c r="L1188" s="104">
        <v>45354</v>
      </c>
      <c r="M1188" s="10" t="b">
        <v>0</v>
      </c>
      <c r="N1188" s="10">
        <v>2</v>
      </c>
      <c r="O1188" s="11">
        <v>1289</v>
      </c>
      <c r="P1188" s="85">
        <v>1.7186666666666666</v>
      </c>
      <c r="Q1188" s="11">
        <v>1289</v>
      </c>
      <c r="R1188" s="85">
        <v>1.7186666666666666</v>
      </c>
      <c r="S1188" s="29" t="s">
        <v>2779</v>
      </c>
      <c r="T1188" s="29" t="s">
        <v>2806</v>
      </c>
    </row>
    <row r="1189">
      <c r="B1189" s="29" t="s">
        <v>1221</v>
      </c>
      <c r="C1189" s="29" t="s">
        <v>1249</v>
      </c>
      <c r="D1189" s="8" t="s">
        <v>1295</v>
      </c>
      <c r="E1189" s="10" t="s">
        <v>2486</v>
      </c>
      <c r="F1189" s="10"/>
      <c r="G1189" s="10">
        <v>2</v>
      </c>
      <c r="H1189" s="10">
        <v>1</v>
      </c>
      <c r="I1189" s="10"/>
      <c r="J1189" s="10">
        <v>750</v>
      </c>
      <c r="K1189" s="104">
        <v>45400</v>
      </c>
      <c r="L1189" s="104">
        <v>45415</v>
      </c>
      <c r="M1189" s="10" t="b">
        <v>0</v>
      </c>
      <c r="N1189" s="10">
        <v>16</v>
      </c>
      <c r="O1189" s="11">
        <v>1308</v>
      </c>
      <c r="P1189" s="85">
        <v>1.744</v>
      </c>
      <c r="Q1189" s="11">
        <v>1308</v>
      </c>
      <c r="R1189" s="85">
        <v>1.744</v>
      </c>
      <c r="S1189" s="29" t="s">
        <v>2779</v>
      </c>
      <c r="T1189" s="29" t="s">
        <v>2805</v>
      </c>
    </row>
    <row r="1190">
      <c r="B1190" s="29" t="s">
        <v>1221</v>
      </c>
      <c r="C1190" s="29" t="s">
        <v>1249</v>
      </c>
      <c r="D1190" s="8" t="s">
        <v>1295</v>
      </c>
      <c r="E1190" s="10" t="s">
        <v>2487</v>
      </c>
      <c r="F1190" s="10"/>
      <c r="G1190" s="10">
        <v>2</v>
      </c>
      <c r="H1190" s="10">
        <v>1</v>
      </c>
      <c r="I1190" s="10"/>
      <c r="J1190" s="10">
        <v>750</v>
      </c>
      <c r="K1190" s="104">
        <v>45355</v>
      </c>
      <c r="L1190" s="104">
        <v>45367</v>
      </c>
      <c r="M1190" s="10" t="b">
        <v>0</v>
      </c>
      <c r="N1190" s="10">
        <v>13</v>
      </c>
      <c r="O1190" s="11">
        <v>1339</v>
      </c>
      <c r="P1190" s="85">
        <v>1.7853333333333334</v>
      </c>
      <c r="Q1190" s="11">
        <v>1339</v>
      </c>
      <c r="R1190" s="85">
        <v>1.7853333333333334</v>
      </c>
      <c r="S1190" s="29" t="s">
        <v>2779</v>
      </c>
      <c r="T1190" s="29" t="s">
        <v>2805</v>
      </c>
    </row>
    <row r="1191">
      <c r="B1191" s="29" t="s">
        <v>1221</v>
      </c>
      <c r="C1191" s="29" t="s">
        <v>1249</v>
      </c>
      <c r="D1191" s="8" t="s">
        <v>1296</v>
      </c>
      <c r="E1191" s="10" t="s">
        <v>2488</v>
      </c>
      <c r="F1191" s="10"/>
      <c r="G1191" s="10">
        <v>2</v>
      </c>
      <c r="H1191" s="10">
        <v>1</v>
      </c>
      <c r="I1191" s="10"/>
      <c r="J1191" s="10">
        <v>750</v>
      </c>
      <c r="K1191" s="104">
        <v>45398</v>
      </c>
      <c r="L1191" s="104">
        <v>45407</v>
      </c>
      <c r="M1191" s="10" t="b">
        <v>0</v>
      </c>
      <c r="N1191" s="10">
        <v>10</v>
      </c>
      <c r="O1191" s="11">
        <v>1341</v>
      </c>
      <c r="P1191" s="85">
        <v>1.788</v>
      </c>
      <c r="Q1191" s="11">
        <v>1341</v>
      </c>
      <c r="R1191" s="85">
        <v>1.788</v>
      </c>
      <c r="S1191" s="29" t="s">
        <v>2781</v>
      </c>
      <c r="T1191" s="29" t="s">
        <v>2808</v>
      </c>
    </row>
    <row r="1192">
      <c r="B1192" s="29" t="s">
        <v>1221</v>
      </c>
      <c r="C1192" s="29" t="s">
        <v>1249</v>
      </c>
      <c r="D1192" s="8" t="s">
        <v>1293</v>
      </c>
      <c r="E1192" s="10" t="s">
        <v>2489</v>
      </c>
      <c r="F1192" s="10"/>
      <c r="G1192" s="10">
        <v>2</v>
      </c>
      <c r="H1192" s="10">
        <v>1</v>
      </c>
      <c r="I1192" s="10"/>
      <c r="J1192" s="10">
        <v>750</v>
      </c>
      <c r="K1192" s="104">
        <v>45334</v>
      </c>
      <c r="L1192" s="104">
        <v>45359</v>
      </c>
      <c r="M1192" s="10" t="b">
        <v>0</v>
      </c>
      <c r="N1192" s="10">
        <v>26</v>
      </c>
      <c r="O1192" s="11">
        <v>1353</v>
      </c>
      <c r="P1192" s="85">
        <v>1.804</v>
      </c>
      <c r="Q1192" s="11">
        <v>1353</v>
      </c>
      <c r="R1192" s="85">
        <v>1.804</v>
      </c>
      <c r="S1192" s="29" t="s">
        <v>2779</v>
      </c>
      <c r="T1192" s="29" t="s">
        <v>2806</v>
      </c>
    </row>
    <row r="1193">
      <c r="B1193" s="29" t="s">
        <v>1221</v>
      </c>
      <c r="C1193" s="29" t="s">
        <v>1249</v>
      </c>
      <c r="D1193" s="8" t="s">
        <v>1294</v>
      </c>
      <c r="E1193" s="10" t="s">
        <v>2490</v>
      </c>
      <c r="F1193" s="10">
        <v>2</v>
      </c>
      <c r="G1193" s="10">
        <v>2</v>
      </c>
      <c r="H1193" s="10">
        <v>1</v>
      </c>
      <c r="I1193" s="10"/>
      <c r="J1193" s="10">
        <v>750</v>
      </c>
      <c r="K1193" s="104">
        <v>45353</v>
      </c>
      <c r="L1193" s="104">
        <v>45359</v>
      </c>
      <c r="M1193" s="10" t="b">
        <v>0</v>
      </c>
      <c r="N1193" s="10">
        <v>7</v>
      </c>
      <c r="O1193" s="11">
        <v>1353</v>
      </c>
      <c r="P1193" s="85">
        <v>1.804</v>
      </c>
      <c r="Q1193" s="11">
        <v>1353</v>
      </c>
      <c r="R1193" s="85">
        <v>1.804</v>
      </c>
      <c r="S1193" s="29" t="s">
        <v>2779</v>
      </c>
      <c r="T1193" s="29" t="s">
        <v>2806</v>
      </c>
    </row>
    <row r="1194">
      <c r="B1194" s="29" t="s">
        <v>1221</v>
      </c>
      <c r="C1194" s="29" t="s">
        <v>1249</v>
      </c>
      <c r="D1194" s="8" t="s">
        <v>1293</v>
      </c>
      <c r="E1194" s="10" t="s">
        <v>2491</v>
      </c>
      <c r="F1194" s="10">
        <v>4</v>
      </c>
      <c r="G1194" s="10">
        <v>2</v>
      </c>
      <c r="H1194" s="10">
        <v>1</v>
      </c>
      <c r="I1194" s="10"/>
      <c r="J1194" s="10">
        <v>750</v>
      </c>
      <c r="K1194" s="104">
        <v>45392</v>
      </c>
      <c r="L1194" s="104">
        <v>45396</v>
      </c>
      <c r="M1194" s="10" t="b">
        <v>0</v>
      </c>
      <c r="N1194" s="10">
        <v>5</v>
      </c>
      <c r="O1194" s="11">
        <v>1360</v>
      </c>
      <c r="P1194" s="85">
        <v>1.8133333333333332</v>
      </c>
      <c r="Q1194" s="11">
        <v>1360</v>
      </c>
      <c r="R1194" s="85">
        <v>1.8133333333333332</v>
      </c>
      <c r="S1194" s="29" t="s">
        <v>2779</v>
      </c>
      <c r="T1194" s="29" t="s">
        <v>2806</v>
      </c>
    </row>
    <row r="1195">
      <c r="B1195" s="29" t="s">
        <v>1221</v>
      </c>
      <c r="C1195" s="29" t="s">
        <v>1249</v>
      </c>
      <c r="D1195" s="8" t="s">
        <v>1292</v>
      </c>
      <c r="E1195" s="10" t="s">
        <v>2492</v>
      </c>
      <c r="F1195" s="10"/>
      <c r="G1195" s="10">
        <v>2</v>
      </c>
      <c r="H1195" s="10">
        <v>1</v>
      </c>
      <c r="I1195" s="10"/>
      <c r="J1195" s="10">
        <v>750</v>
      </c>
      <c r="K1195" s="104">
        <v>45334</v>
      </c>
      <c r="L1195" s="104">
        <v>45368</v>
      </c>
      <c r="M1195" s="10" t="b">
        <v>0</v>
      </c>
      <c r="N1195" s="10">
        <v>35</v>
      </c>
      <c r="O1195" s="11">
        <v>1366</v>
      </c>
      <c r="P1195" s="85">
        <v>1.8213333333333332</v>
      </c>
      <c r="Q1195" s="11">
        <v>1366</v>
      </c>
      <c r="R1195" s="85">
        <v>1.8213333333333332</v>
      </c>
      <c r="S1195" s="29" t="s">
        <v>2779</v>
      </c>
      <c r="T1195" s="29" t="s">
        <v>2805</v>
      </c>
    </row>
    <row r="1196">
      <c r="B1196" s="29" t="s">
        <v>1221</v>
      </c>
      <c r="C1196" s="29" t="s">
        <v>1249</v>
      </c>
      <c r="D1196" s="8" t="s">
        <v>1292</v>
      </c>
      <c r="E1196" s="10" t="s">
        <v>2493</v>
      </c>
      <c r="F1196" s="10">
        <v>1</v>
      </c>
      <c r="G1196" s="10">
        <v>2</v>
      </c>
      <c r="H1196" s="10">
        <v>1</v>
      </c>
      <c r="I1196" s="10"/>
      <c r="J1196" s="10">
        <v>750</v>
      </c>
      <c r="K1196" s="104">
        <v>45334</v>
      </c>
      <c r="L1196" s="104">
        <v>45418</v>
      </c>
      <c r="M1196" s="10" t="b">
        <v>0</v>
      </c>
      <c r="N1196" s="10">
        <v>85</v>
      </c>
      <c r="O1196" s="11">
        <v>1371</v>
      </c>
      <c r="P1196" s="85">
        <v>1.828</v>
      </c>
      <c r="Q1196" s="11">
        <v>1371</v>
      </c>
      <c r="R1196" s="85">
        <v>1.828</v>
      </c>
      <c r="S1196" s="29" t="s">
        <v>2779</v>
      </c>
      <c r="T1196" s="29" t="s">
        <v>2805</v>
      </c>
    </row>
    <row r="1197">
      <c r="B1197" s="29" t="s">
        <v>1221</v>
      </c>
      <c r="C1197" s="29" t="s">
        <v>1249</v>
      </c>
      <c r="D1197" s="8" t="s">
        <v>1296</v>
      </c>
      <c r="E1197" s="10" t="s">
        <v>2494</v>
      </c>
      <c r="F1197" s="10"/>
      <c r="G1197" s="10">
        <v>2</v>
      </c>
      <c r="H1197" s="10">
        <v>1</v>
      </c>
      <c r="I1197" s="10"/>
      <c r="J1197" s="10">
        <v>750</v>
      </c>
      <c r="K1197" s="104">
        <v>45365</v>
      </c>
      <c r="L1197" s="104">
        <v>45415</v>
      </c>
      <c r="M1197" s="10" t="b">
        <v>0</v>
      </c>
      <c r="N1197" s="10">
        <v>51</v>
      </c>
      <c r="O1197" s="11">
        <v>1371</v>
      </c>
      <c r="P1197" s="85">
        <v>1.828</v>
      </c>
      <c r="Q1197" s="11">
        <v>1371</v>
      </c>
      <c r="R1197" s="85">
        <v>1.828</v>
      </c>
      <c r="S1197" s="29" t="s">
        <v>2781</v>
      </c>
      <c r="T1197" s="29" t="s">
        <v>2808</v>
      </c>
    </row>
    <row r="1198">
      <c r="B1198" s="29" t="s">
        <v>1221</v>
      </c>
      <c r="C1198" s="29" t="s">
        <v>1249</v>
      </c>
      <c r="D1198" s="8" t="s">
        <v>1296</v>
      </c>
      <c r="E1198" s="10" t="s">
        <v>2495</v>
      </c>
      <c r="F1198" s="10"/>
      <c r="G1198" s="10">
        <v>2</v>
      </c>
      <c r="H1198" s="10">
        <v>1</v>
      </c>
      <c r="I1198" s="10"/>
      <c r="J1198" s="10">
        <v>750</v>
      </c>
      <c r="K1198" s="104">
        <v>45334</v>
      </c>
      <c r="L1198" s="104">
        <v>45364</v>
      </c>
      <c r="M1198" s="10" t="b">
        <v>0</v>
      </c>
      <c r="N1198" s="10">
        <v>31</v>
      </c>
      <c r="O1198" s="11">
        <v>1372</v>
      </c>
      <c r="P1198" s="85">
        <v>1.8293333333333333</v>
      </c>
      <c r="Q1198" s="11">
        <v>1372</v>
      </c>
      <c r="R1198" s="85">
        <v>1.8293333333333333</v>
      </c>
      <c r="S1198" s="29" t="s">
        <v>2781</v>
      </c>
      <c r="T1198" s="29" t="s">
        <v>2808</v>
      </c>
    </row>
    <row r="1199">
      <c r="B1199" s="29" t="s">
        <v>1221</v>
      </c>
      <c r="C1199" s="29" t="s">
        <v>1249</v>
      </c>
      <c r="D1199" s="8" t="s">
        <v>1296</v>
      </c>
      <c r="E1199" s="10" t="s">
        <v>2496</v>
      </c>
      <c r="F1199" s="10"/>
      <c r="G1199" s="10">
        <v>2</v>
      </c>
      <c r="H1199" s="10">
        <v>1</v>
      </c>
      <c r="I1199" s="10"/>
      <c r="J1199" s="10">
        <v>750</v>
      </c>
      <c r="K1199" s="104">
        <v>45394</v>
      </c>
      <c r="L1199" s="104">
        <v>45415</v>
      </c>
      <c r="M1199" s="10" t="b">
        <v>0</v>
      </c>
      <c r="N1199" s="10">
        <v>22</v>
      </c>
      <c r="O1199" s="11">
        <v>1374</v>
      </c>
      <c r="P1199" s="85">
        <v>1.832</v>
      </c>
      <c r="Q1199" s="11">
        <v>1374</v>
      </c>
      <c r="R1199" s="85">
        <v>1.832</v>
      </c>
      <c r="S1199" s="29" t="s">
        <v>2781</v>
      </c>
      <c r="T1199" s="29" t="s">
        <v>2808</v>
      </c>
    </row>
    <row r="1200">
      <c r="B1200" s="29" t="s">
        <v>1221</v>
      </c>
      <c r="C1200" s="29" t="s">
        <v>1249</v>
      </c>
      <c r="D1200" s="8" t="s">
        <v>1292</v>
      </c>
      <c r="E1200" s="10" t="s">
        <v>2497</v>
      </c>
      <c r="F1200" s="10"/>
      <c r="G1200" s="10">
        <v>2</v>
      </c>
      <c r="H1200" s="10">
        <v>1</v>
      </c>
      <c r="I1200" s="10"/>
      <c r="J1200" s="10">
        <v>750</v>
      </c>
      <c r="K1200" s="104">
        <v>45357</v>
      </c>
      <c r="L1200" s="104">
        <v>45369</v>
      </c>
      <c r="M1200" s="10" t="b">
        <v>0</v>
      </c>
      <c r="N1200" s="10">
        <v>13</v>
      </c>
      <c r="O1200" s="11">
        <v>1399</v>
      </c>
      <c r="P1200" s="85">
        <v>1.8653333333333333</v>
      </c>
      <c r="Q1200" s="11">
        <v>1399</v>
      </c>
      <c r="R1200" s="85">
        <v>1.8653333333333333</v>
      </c>
      <c r="S1200" s="29" t="s">
        <v>2779</v>
      </c>
      <c r="T1200" s="29" t="s">
        <v>2805</v>
      </c>
    </row>
    <row r="1201">
      <c r="B1201" s="29" t="s">
        <v>1221</v>
      </c>
      <c r="C1201" s="29" t="s">
        <v>1249</v>
      </c>
      <c r="D1201" s="8" t="s">
        <v>1292</v>
      </c>
      <c r="E1201" s="10" t="s">
        <v>2498</v>
      </c>
      <c r="F1201" s="10">
        <v>1</v>
      </c>
      <c r="G1201" s="10">
        <v>2</v>
      </c>
      <c r="H1201" s="10">
        <v>1</v>
      </c>
      <c r="I1201" s="10"/>
      <c r="J1201" s="10">
        <v>750</v>
      </c>
      <c r="K1201" s="104">
        <v>45351</v>
      </c>
      <c r="L1201" s="104">
        <v>45419</v>
      </c>
      <c r="M1201" s="10" t="b">
        <v>0</v>
      </c>
      <c r="N1201" s="10">
        <v>69</v>
      </c>
      <c r="O1201" s="11">
        <v>1451</v>
      </c>
      <c r="P1201" s="85">
        <v>1.9346666666666668</v>
      </c>
      <c r="Q1201" s="11">
        <v>1451</v>
      </c>
      <c r="R1201" s="85">
        <v>1.9346666666666668</v>
      </c>
      <c r="S1201" s="29" t="s">
        <v>2779</v>
      </c>
      <c r="T1201" s="29" t="s">
        <v>2805</v>
      </c>
    </row>
    <row r="1202">
      <c r="B1202" s="29" t="s">
        <v>1221</v>
      </c>
      <c r="C1202" s="29" t="s">
        <v>1249</v>
      </c>
      <c r="D1202" s="8" t="s">
        <v>1296</v>
      </c>
      <c r="E1202" s="10" t="s">
        <v>2499</v>
      </c>
      <c r="F1202" s="10"/>
      <c r="G1202" s="10">
        <v>2</v>
      </c>
      <c r="H1202" s="10">
        <v>1</v>
      </c>
      <c r="I1202" s="10"/>
      <c r="J1202" s="10">
        <v>750</v>
      </c>
      <c r="K1202" s="104">
        <v>45351</v>
      </c>
      <c r="L1202" s="104">
        <v>45373</v>
      </c>
      <c r="M1202" s="10" t="b">
        <v>0</v>
      </c>
      <c r="N1202" s="10">
        <v>23</v>
      </c>
      <c r="O1202" s="11">
        <v>1453</v>
      </c>
      <c r="P1202" s="85">
        <v>1.9373333333333334</v>
      </c>
      <c r="Q1202" s="11">
        <v>1453</v>
      </c>
      <c r="R1202" s="85">
        <v>1.9373333333333334</v>
      </c>
      <c r="S1202" s="29" t="s">
        <v>2781</v>
      </c>
      <c r="T1202" s="29" t="s">
        <v>2808</v>
      </c>
    </row>
    <row r="1203">
      <c r="B1203" s="29" t="s">
        <v>1221</v>
      </c>
      <c r="C1203" s="29" t="s">
        <v>1249</v>
      </c>
      <c r="D1203" s="8" t="s">
        <v>1296</v>
      </c>
      <c r="E1203" s="10" t="s">
        <v>2500</v>
      </c>
      <c r="F1203" s="10">
        <v>1</v>
      </c>
      <c r="G1203" s="10">
        <v>2</v>
      </c>
      <c r="H1203" s="10">
        <v>1</v>
      </c>
      <c r="I1203" s="10"/>
      <c r="J1203" s="10">
        <v>750</v>
      </c>
      <c r="K1203" s="104">
        <v>45334</v>
      </c>
      <c r="L1203" s="104">
        <v>45371</v>
      </c>
      <c r="M1203" s="10" t="b">
        <v>0</v>
      </c>
      <c r="N1203" s="10">
        <v>38</v>
      </c>
      <c r="O1203" s="11">
        <v>1456</v>
      </c>
      <c r="P1203" s="85">
        <v>1.9413333333333334</v>
      </c>
      <c r="Q1203" s="11">
        <v>1456</v>
      </c>
      <c r="R1203" s="85">
        <v>1.9413333333333334</v>
      </c>
      <c r="S1203" s="29" t="s">
        <v>2781</v>
      </c>
      <c r="T1203" s="29" t="s">
        <v>2808</v>
      </c>
    </row>
    <row r="1204">
      <c r="B1204" s="29" t="s">
        <v>1221</v>
      </c>
      <c r="C1204" s="29" t="s">
        <v>1249</v>
      </c>
      <c r="D1204" s="8" t="s">
        <v>1296</v>
      </c>
      <c r="E1204" s="10" t="s">
        <v>2501</v>
      </c>
      <c r="F1204" s="10"/>
      <c r="G1204" s="10">
        <v>2</v>
      </c>
      <c r="H1204" s="10">
        <v>1</v>
      </c>
      <c r="I1204" s="10"/>
      <c r="J1204" s="10">
        <v>750</v>
      </c>
      <c r="K1204" s="104">
        <v>45337</v>
      </c>
      <c r="L1204" s="104">
        <v>45398</v>
      </c>
      <c r="M1204" s="10" t="b">
        <v>0</v>
      </c>
      <c r="N1204" s="10">
        <v>62</v>
      </c>
      <c r="O1204" s="11">
        <v>1482</v>
      </c>
      <c r="P1204" s="85">
        <v>1.976</v>
      </c>
      <c r="Q1204" s="11">
        <v>1482</v>
      </c>
      <c r="R1204" s="85">
        <v>1.976</v>
      </c>
      <c r="S1204" s="29" t="s">
        <v>2781</v>
      </c>
      <c r="T1204" s="29" t="s">
        <v>2808</v>
      </c>
    </row>
    <row r="1205">
      <c r="B1205" s="29" t="s">
        <v>1221</v>
      </c>
      <c r="C1205" s="29" t="s">
        <v>1249</v>
      </c>
      <c r="D1205" s="8" t="s">
        <v>1296</v>
      </c>
      <c r="E1205" s="10" t="s">
        <v>2502</v>
      </c>
      <c r="F1205" s="10">
        <v>4</v>
      </c>
      <c r="G1205" s="10">
        <v>2</v>
      </c>
      <c r="H1205" s="10">
        <v>1</v>
      </c>
      <c r="I1205" s="10"/>
      <c r="J1205" s="10">
        <v>750</v>
      </c>
      <c r="K1205" s="104">
        <v>45394</v>
      </c>
      <c r="L1205" s="104">
        <v>45421</v>
      </c>
      <c r="M1205" s="10" t="b">
        <v>0</v>
      </c>
      <c r="N1205" s="10">
        <v>28</v>
      </c>
      <c r="O1205" s="11">
        <v>1510</v>
      </c>
      <c r="P1205" s="85">
        <v>2.013333333333333</v>
      </c>
      <c r="Q1205" s="11">
        <v>1510</v>
      </c>
      <c r="R1205" s="85">
        <v>2.013333333333333</v>
      </c>
      <c r="S1205" s="29" t="s">
        <v>2781</v>
      </c>
      <c r="T1205" s="29" t="s">
        <v>2808</v>
      </c>
    </row>
    <row r="1206">
      <c r="B1206" s="29" t="s">
        <v>1221</v>
      </c>
      <c r="C1206" s="29" t="s">
        <v>1249</v>
      </c>
      <c r="D1206" s="8" t="s">
        <v>1292</v>
      </c>
      <c r="E1206" s="10" t="s">
        <v>2503</v>
      </c>
      <c r="F1206" s="10"/>
      <c r="G1206" s="10">
        <v>2</v>
      </c>
      <c r="H1206" s="10">
        <v>1</v>
      </c>
      <c r="I1206" s="10"/>
      <c r="J1206" s="10">
        <v>750</v>
      </c>
      <c r="K1206" s="104">
        <v>45355</v>
      </c>
      <c r="L1206" s="104">
        <v>45421</v>
      </c>
      <c r="M1206" s="10" t="b">
        <v>0</v>
      </c>
      <c r="N1206" s="10">
        <v>67</v>
      </c>
      <c r="O1206" s="11">
        <v>1521</v>
      </c>
      <c r="P1206" s="85">
        <v>2.028</v>
      </c>
      <c r="Q1206" s="11">
        <v>1521</v>
      </c>
      <c r="R1206" s="85">
        <v>2.028</v>
      </c>
      <c r="S1206" s="29" t="s">
        <v>2779</v>
      </c>
      <c r="T1206" s="29" t="s">
        <v>2805</v>
      </c>
    </row>
    <row r="1207">
      <c r="B1207" s="29" t="s">
        <v>1221</v>
      </c>
      <c r="C1207" s="29" t="s">
        <v>1249</v>
      </c>
      <c r="D1207" s="8" t="s">
        <v>1292</v>
      </c>
      <c r="E1207" s="10" t="s">
        <v>2504</v>
      </c>
      <c r="F1207" s="10">
        <v>3</v>
      </c>
      <c r="G1207" s="10">
        <v>2</v>
      </c>
      <c r="H1207" s="10">
        <v>1</v>
      </c>
      <c r="I1207" s="10"/>
      <c r="J1207" s="10">
        <v>750</v>
      </c>
      <c r="K1207" s="104">
        <v>45334</v>
      </c>
      <c r="L1207" s="104">
        <v>45421</v>
      </c>
      <c r="M1207" s="10" t="b">
        <v>0</v>
      </c>
      <c r="N1207" s="10">
        <v>88</v>
      </c>
      <c r="O1207" s="11">
        <v>1524</v>
      </c>
      <c r="P1207" s="85">
        <v>2.032</v>
      </c>
      <c r="Q1207" s="11">
        <v>1524</v>
      </c>
      <c r="R1207" s="85">
        <v>2.032</v>
      </c>
      <c r="S1207" s="29" t="s">
        <v>2779</v>
      </c>
      <c r="T1207" s="29" t="s">
        <v>2805</v>
      </c>
    </row>
    <row r="1208">
      <c r="B1208" s="29" t="s">
        <v>1221</v>
      </c>
      <c r="C1208" s="29" t="s">
        <v>1249</v>
      </c>
      <c r="D1208" s="8" t="s">
        <v>1292</v>
      </c>
      <c r="E1208" s="10" t="s">
        <v>2505</v>
      </c>
      <c r="F1208" s="10">
        <v>4</v>
      </c>
      <c r="G1208" s="10">
        <v>2</v>
      </c>
      <c r="H1208" s="10">
        <v>1</v>
      </c>
      <c r="I1208" s="10"/>
      <c r="J1208" s="10">
        <v>750</v>
      </c>
      <c r="K1208" s="104">
        <v>45334</v>
      </c>
      <c r="L1208" s="104">
        <v>45421</v>
      </c>
      <c r="M1208" s="10" t="b">
        <v>0</v>
      </c>
      <c r="N1208" s="10">
        <v>88</v>
      </c>
      <c r="O1208" s="11">
        <v>1524</v>
      </c>
      <c r="P1208" s="85">
        <v>2.032</v>
      </c>
      <c r="Q1208" s="11">
        <v>1524</v>
      </c>
      <c r="R1208" s="85">
        <v>2.032</v>
      </c>
      <c r="S1208" s="29" t="s">
        <v>2779</v>
      </c>
      <c r="T1208" s="29" t="s">
        <v>2805</v>
      </c>
    </row>
    <row r="1209">
      <c r="B1209" s="29" t="s">
        <v>1221</v>
      </c>
      <c r="C1209" s="29" t="s">
        <v>1249</v>
      </c>
      <c r="D1209" s="8" t="s">
        <v>1292</v>
      </c>
      <c r="E1209" s="10" t="s">
        <v>2506</v>
      </c>
      <c r="F1209" s="10"/>
      <c r="G1209" s="10">
        <v>2</v>
      </c>
      <c r="H1209" s="10">
        <v>1</v>
      </c>
      <c r="I1209" s="10"/>
      <c r="J1209" s="10">
        <v>750</v>
      </c>
      <c r="K1209" s="104">
        <v>45334</v>
      </c>
      <c r="L1209" s="104">
        <v>45421</v>
      </c>
      <c r="M1209" s="10" t="b">
        <v>0</v>
      </c>
      <c r="N1209" s="10">
        <v>88</v>
      </c>
      <c r="O1209" s="11">
        <v>1524</v>
      </c>
      <c r="P1209" s="85">
        <v>2.032</v>
      </c>
      <c r="Q1209" s="11">
        <v>1524</v>
      </c>
      <c r="R1209" s="85">
        <v>2.032</v>
      </c>
      <c r="S1209" s="29" t="s">
        <v>2779</v>
      </c>
      <c r="T1209" s="29" t="s">
        <v>2805</v>
      </c>
    </row>
    <row r="1210">
      <c r="B1210" s="29" t="s">
        <v>1221</v>
      </c>
      <c r="C1210" s="29" t="s">
        <v>1249</v>
      </c>
      <c r="D1210" s="8" t="s">
        <v>1292</v>
      </c>
      <c r="E1210" s="10" t="s">
        <v>2507</v>
      </c>
      <c r="F1210" s="10">
        <v>1</v>
      </c>
      <c r="G1210" s="10">
        <v>2</v>
      </c>
      <c r="H1210" s="10">
        <v>1</v>
      </c>
      <c r="I1210" s="10"/>
      <c r="J1210" s="10">
        <v>750</v>
      </c>
      <c r="K1210" s="104">
        <v>45344</v>
      </c>
      <c r="L1210" s="104">
        <v>45421</v>
      </c>
      <c r="M1210" s="10" t="b">
        <v>0</v>
      </c>
      <c r="N1210" s="10">
        <v>78</v>
      </c>
      <c r="O1210" s="11">
        <v>1524</v>
      </c>
      <c r="P1210" s="85">
        <v>2.032</v>
      </c>
      <c r="Q1210" s="11">
        <v>1524</v>
      </c>
      <c r="R1210" s="85">
        <v>2.032</v>
      </c>
      <c r="S1210" s="29" t="s">
        <v>2779</v>
      </c>
      <c r="T1210" s="29" t="s">
        <v>2805</v>
      </c>
    </row>
    <row r="1211">
      <c r="B1211" s="29" t="s">
        <v>1221</v>
      </c>
      <c r="C1211" s="29" t="s">
        <v>1249</v>
      </c>
      <c r="D1211" s="8" t="s">
        <v>1291</v>
      </c>
      <c r="E1211" s="10" t="s">
        <v>2508</v>
      </c>
      <c r="F1211" s="10"/>
      <c r="G1211" s="10">
        <v>2</v>
      </c>
      <c r="H1211" s="10">
        <v>1</v>
      </c>
      <c r="I1211" s="10"/>
      <c r="J1211" s="10">
        <v>750</v>
      </c>
      <c r="K1211" s="104">
        <v>45404</v>
      </c>
      <c r="L1211" s="104">
        <v>45421</v>
      </c>
      <c r="M1211" s="10" t="b">
        <v>0</v>
      </c>
      <c r="N1211" s="10">
        <v>18</v>
      </c>
      <c r="O1211" s="11">
        <v>1524</v>
      </c>
      <c r="P1211" s="85">
        <v>2.032</v>
      </c>
      <c r="Q1211" s="11">
        <v>1524</v>
      </c>
      <c r="R1211" s="85">
        <v>2.032</v>
      </c>
      <c r="S1211" s="29" t="s">
        <v>2779</v>
      </c>
      <c r="T1211" s="29" t="s">
        <v>2805</v>
      </c>
    </row>
    <row r="1212">
      <c r="B1212" s="29" t="s">
        <v>1221</v>
      </c>
      <c r="C1212" s="29" t="s">
        <v>1249</v>
      </c>
      <c r="D1212" s="8" t="s">
        <v>1292</v>
      </c>
      <c r="E1212" s="10" t="s">
        <v>2509</v>
      </c>
      <c r="F1212" s="10"/>
      <c r="G1212" s="10">
        <v>2</v>
      </c>
      <c r="H1212" s="10">
        <v>1</v>
      </c>
      <c r="I1212" s="10"/>
      <c r="J1212" s="10">
        <v>750</v>
      </c>
      <c r="K1212" s="104">
        <v>45394</v>
      </c>
      <c r="L1212" s="104">
        <v>45421</v>
      </c>
      <c r="M1212" s="10" t="b">
        <v>0</v>
      </c>
      <c r="N1212" s="10">
        <v>28</v>
      </c>
      <c r="O1212" s="11">
        <v>1524</v>
      </c>
      <c r="P1212" s="85">
        <v>2.032</v>
      </c>
      <c r="Q1212" s="11">
        <v>1524</v>
      </c>
      <c r="R1212" s="85">
        <v>2.032</v>
      </c>
      <c r="S1212" s="29" t="s">
        <v>2779</v>
      </c>
      <c r="T1212" s="29" t="s">
        <v>2805</v>
      </c>
    </row>
    <row r="1213">
      <c r="B1213" s="29" t="s">
        <v>1221</v>
      </c>
      <c r="C1213" s="29" t="s">
        <v>1249</v>
      </c>
      <c r="D1213" s="8" t="s">
        <v>1292</v>
      </c>
      <c r="E1213" s="10" t="s">
        <v>2510</v>
      </c>
      <c r="F1213" s="10">
        <v>2</v>
      </c>
      <c r="G1213" s="10">
        <v>2</v>
      </c>
      <c r="H1213" s="10">
        <v>1</v>
      </c>
      <c r="I1213" s="10"/>
      <c r="J1213" s="10">
        <v>750</v>
      </c>
      <c r="K1213" s="104">
        <v>45334</v>
      </c>
      <c r="L1213" s="104">
        <v>45421</v>
      </c>
      <c r="M1213" s="10" t="b">
        <v>0</v>
      </c>
      <c r="N1213" s="10">
        <v>88</v>
      </c>
      <c r="O1213" s="11">
        <v>1524</v>
      </c>
      <c r="P1213" s="85">
        <v>2.032</v>
      </c>
      <c r="Q1213" s="11">
        <v>1524</v>
      </c>
      <c r="R1213" s="85">
        <v>2.032</v>
      </c>
      <c r="S1213" s="29" t="s">
        <v>2779</v>
      </c>
      <c r="T1213" s="29" t="s">
        <v>2805</v>
      </c>
    </row>
    <row r="1214">
      <c r="B1214" s="29" t="s">
        <v>1221</v>
      </c>
      <c r="C1214" s="29" t="s">
        <v>1249</v>
      </c>
      <c r="D1214" s="8" t="s">
        <v>1292</v>
      </c>
      <c r="E1214" s="10" t="s">
        <v>2511</v>
      </c>
      <c r="F1214" s="10"/>
      <c r="G1214" s="10">
        <v>2</v>
      </c>
      <c r="H1214" s="10">
        <v>1</v>
      </c>
      <c r="I1214" s="10"/>
      <c r="J1214" s="10">
        <v>750</v>
      </c>
      <c r="K1214" s="104">
        <v>45334</v>
      </c>
      <c r="L1214" s="104">
        <v>45421</v>
      </c>
      <c r="M1214" s="10" t="b">
        <v>0</v>
      </c>
      <c r="N1214" s="10">
        <v>88</v>
      </c>
      <c r="O1214" s="11">
        <v>1544</v>
      </c>
      <c r="P1214" s="85">
        <v>2.058666666666667</v>
      </c>
      <c r="Q1214" s="11">
        <v>1544</v>
      </c>
      <c r="R1214" s="85">
        <v>2.058666666666667</v>
      </c>
      <c r="S1214" s="29" t="s">
        <v>2782</v>
      </c>
      <c r="T1214" s="29" t="s">
        <v>2805</v>
      </c>
    </row>
    <row r="1215">
      <c r="B1215" s="29" t="s">
        <v>1221</v>
      </c>
      <c r="C1215" s="29" t="s">
        <v>1249</v>
      </c>
      <c r="D1215" s="8" t="s">
        <v>1293</v>
      </c>
      <c r="E1215" s="10" t="s">
        <v>2512</v>
      </c>
      <c r="F1215" s="10"/>
      <c r="G1215" s="10">
        <v>2</v>
      </c>
      <c r="H1215" s="10">
        <v>1</v>
      </c>
      <c r="I1215" s="10"/>
      <c r="J1215" s="10">
        <v>750</v>
      </c>
      <c r="K1215" s="104">
        <v>45334</v>
      </c>
      <c r="L1215" s="104">
        <v>45421</v>
      </c>
      <c r="M1215" s="10" t="b">
        <v>0</v>
      </c>
      <c r="N1215" s="10">
        <v>88</v>
      </c>
      <c r="O1215" s="11">
        <v>1620</v>
      </c>
      <c r="P1215" s="85">
        <v>2.16</v>
      </c>
      <c r="Q1215" s="11">
        <v>1620</v>
      </c>
      <c r="R1215" s="85">
        <v>2.16</v>
      </c>
      <c r="S1215" s="29" t="s">
        <v>2783</v>
      </c>
      <c r="T1215" s="29" t="s">
        <v>2806</v>
      </c>
    </row>
    <row r="1216">
      <c r="B1216" s="29" t="s">
        <v>1221</v>
      </c>
      <c r="C1216" s="29" t="s">
        <v>1249</v>
      </c>
      <c r="D1216" s="8" t="s">
        <v>1296</v>
      </c>
      <c r="E1216" s="10" t="s">
        <v>2513</v>
      </c>
      <c r="F1216" s="10"/>
      <c r="G1216" s="10">
        <v>2</v>
      </c>
      <c r="H1216" s="10">
        <v>1</v>
      </c>
      <c r="I1216" s="10"/>
      <c r="J1216" s="10">
        <v>750</v>
      </c>
      <c r="K1216" s="104">
        <v>45334</v>
      </c>
      <c r="L1216" s="104">
        <v>45384</v>
      </c>
      <c r="M1216" s="10" t="b">
        <v>0</v>
      </c>
      <c r="N1216" s="10">
        <v>51</v>
      </c>
      <c r="O1216" s="11">
        <v>1666</v>
      </c>
      <c r="P1216" s="85">
        <v>2.2213333333333334</v>
      </c>
      <c r="Q1216" s="11">
        <v>1666</v>
      </c>
      <c r="R1216" s="85">
        <v>2.2213333333333334</v>
      </c>
      <c r="S1216" s="29" t="s">
        <v>2781</v>
      </c>
      <c r="T1216" s="29" t="s">
        <v>2808</v>
      </c>
    </row>
    <row r="1217">
      <c r="B1217" s="29" t="s">
        <v>1221</v>
      </c>
      <c r="C1217" s="29" t="s">
        <v>1249</v>
      </c>
      <c r="D1217" s="8" t="s">
        <v>1297</v>
      </c>
      <c r="E1217" s="10" t="s">
        <v>2514</v>
      </c>
      <c r="F1217" s="10"/>
      <c r="G1217" s="10">
        <v>2</v>
      </c>
      <c r="H1217" s="10">
        <v>1</v>
      </c>
      <c r="I1217" s="10"/>
      <c r="J1217" s="10">
        <v>750</v>
      </c>
      <c r="K1217" s="104">
        <v>45432</v>
      </c>
      <c r="L1217" s="104">
        <v>45449</v>
      </c>
      <c r="M1217" s="10" t="b">
        <v>0</v>
      </c>
      <c r="N1217" s="10">
        <v>18</v>
      </c>
      <c r="O1217" s="11">
        <v>1325</v>
      </c>
      <c r="P1217" s="85">
        <v>1.7666666666666666</v>
      </c>
      <c r="Q1217" s="11">
        <v>1325</v>
      </c>
      <c r="R1217" s="85">
        <v>1.7666666666666666</v>
      </c>
      <c r="S1217" s="29" t="s">
        <v>2719</v>
      </c>
      <c r="T1217" s="29" t="s">
        <v>2719</v>
      </c>
    </row>
    <row r="1218">
      <c r="B1218" s="29" t="s">
        <v>1221</v>
      </c>
      <c r="C1218" s="29" t="s">
        <v>1249</v>
      </c>
      <c r="D1218" s="8" t="s">
        <v>1298</v>
      </c>
      <c r="E1218" s="10" t="s">
        <v>2515</v>
      </c>
      <c r="F1218" s="10"/>
      <c r="G1218" s="10">
        <v>2</v>
      </c>
      <c r="H1218" s="10">
        <v>1</v>
      </c>
      <c r="I1218" s="10"/>
      <c r="J1218" s="10">
        <v>750</v>
      </c>
      <c r="K1218" s="104">
        <v>45552</v>
      </c>
      <c r="L1218" s="104">
        <v>45633</v>
      </c>
      <c r="M1218" s="10" t="b">
        <v>0</v>
      </c>
      <c r="N1218" s="10">
        <v>82</v>
      </c>
      <c r="O1218" s="11">
        <v>1325</v>
      </c>
      <c r="P1218" s="85">
        <v>1.7666666666666666</v>
      </c>
      <c r="Q1218" s="11">
        <v>1325</v>
      </c>
      <c r="R1218" s="85">
        <v>1.7666666666666666</v>
      </c>
      <c r="S1218" s="29" t="s">
        <v>2719</v>
      </c>
      <c r="T1218" s="29" t="s">
        <v>2719</v>
      </c>
    </row>
    <row r="1219">
      <c r="B1219" s="29" t="s">
        <v>1221</v>
      </c>
      <c r="C1219" s="29" t="s">
        <v>1249</v>
      </c>
      <c r="D1219" s="8" t="s">
        <v>1299</v>
      </c>
      <c r="E1219" s="10" t="s">
        <v>2516</v>
      </c>
      <c r="F1219" s="10"/>
      <c r="G1219" s="10">
        <v>2</v>
      </c>
      <c r="H1219" s="10">
        <v>1</v>
      </c>
      <c r="I1219" s="10"/>
      <c r="J1219" s="10">
        <v>750</v>
      </c>
      <c r="K1219" s="104">
        <v>45611</v>
      </c>
      <c r="L1219" s="104">
        <v>45627</v>
      </c>
      <c r="M1219" s="10" t="b">
        <v>0</v>
      </c>
      <c r="N1219" s="10">
        <v>17</v>
      </c>
      <c r="O1219" s="11">
        <v>1325</v>
      </c>
      <c r="P1219" s="85">
        <v>1.7666666666666666</v>
      </c>
      <c r="Q1219" s="11">
        <v>1325</v>
      </c>
      <c r="R1219" s="85">
        <v>1.7666666666666666</v>
      </c>
      <c r="S1219" s="29" t="s">
        <v>2719</v>
      </c>
      <c r="T1219" s="29" t="s">
        <v>2797</v>
      </c>
    </row>
    <row r="1220">
      <c r="B1220" s="29" t="s">
        <v>1221</v>
      </c>
      <c r="C1220" s="29" t="s">
        <v>1249</v>
      </c>
      <c r="D1220" s="8" t="s">
        <v>1300</v>
      </c>
      <c r="E1220" s="10" t="s">
        <v>2517</v>
      </c>
      <c r="F1220" s="10"/>
      <c r="G1220" s="10">
        <v>2</v>
      </c>
      <c r="H1220" s="10">
        <v>1</v>
      </c>
      <c r="I1220" s="10"/>
      <c r="J1220" s="10">
        <v>750</v>
      </c>
      <c r="K1220" s="104">
        <v>45608</v>
      </c>
      <c r="L1220" s="104">
        <v>45615</v>
      </c>
      <c r="M1220" s="10" t="b">
        <v>0</v>
      </c>
      <c r="N1220" s="10">
        <v>8</v>
      </c>
      <c r="O1220" s="11">
        <v>1325</v>
      </c>
      <c r="P1220" s="85">
        <v>1.7666666666666666</v>
      </c>
      <c r="Q1220" s="11">
        <v>1325</v>
      </c>
      <c r="R1220" s="85">
        <v>1.7666666666666666</v>
      </c>
      <c r="S1220" s="29" t="s">
        <v>2719</v>
      </c>
      <c r="T1220" s="29" t="s">
        <v>2797</v>
      </c>
    </row>
    <row r="1221">
      <c r="B1221" s="29" t="s">
        <v>1221</v>
      </c>
      <c r="C1221" s="29" t="s">
        <v>1249</v>
      </c>
      <c r="D1221" s="8" t="s">
        <v>1300</v>
      </c>
      <c r="E1221" s="10" t="s">
        <v>2518</v>
      </c>
      <c r="F1221" s="10"/>
      <c r="G1221" s="10">
        <v>2</v>
      </c>
      <c r="H1221" s="10">
        <v>1</v>
      </c>
      <c r="I1221" s="10"/>
      <c r="J1221" s="10">
        <v>750</v>
      </c>
      <c r="K1221" s="104">
        <v>45520</v>
      </c>
      <c r="L1221" s="104">
        <v>45589</v>
      </c>
      <c r="M1221" s="10" t="b">
        <v>0</v>
      </c>
      <c r="N1221" s="10">
        <v>70</v>
      </c>
      <c r="O1221" s="11">
        <v>1325</v>
      </c>
      <c r="P1221" s="85">
        <v>1.7666666666666666</v>
      </c>
      <c r="Q1221" s="11">
        <v>1300</v>
      </c>
      <c r="R1221" s="85">
        <v>1.7333333333333334</v>
      </c>
      <c r="S1221" s="29" t="s">
        <v>2719</v>
      </c>
      <c r="T1221" s="29" t="s">
        <v>2797</v>
      </c>
    </row>
    <row r="1222">
      <c r="B1222" s="29" t="s">
        <v>1221</v>
      </c>
      <c r="C1222" s="29" t="s">
        <v>1249</v>
      </c>
      <c r="D1222" s="8" t="s">
        <v>1300</v>
      </c>
      <c r="E1222" s="10" t="s">
        <v>2519</v>
      </c>
      <c r="F1222" s="10"/>
      <c r="G1222" s="10">
        <v>2</v>
      </c>
      <c r="H1222" s="10">
        <v>1</v>
      </c>
      <c r="I1222" s="10"/>
      <c r="J1222" s="10">
        <v>750</v>
      </c>
      <c r="K1222" s="104">
        <v>45580</v>
      </c>
      <c r="L1222" s="104">
        <v>45585</v>
      </c>
      <c r="M1222" s="10" t="b">
        <v>0</v>
      </c>
      <c r="N1222" s="10">
        <v>6</v>
      </c>
      <c r="O1222" s="11">
        <v>1325</v>
      </c>
      <c r="P1222" s="85">
        <v>1.7666666666666666</v>
      </c>
      <c r="Q1222" s="11">
        <v>1300</v>
      </c>
      <c r="R1222" s="85">
        <v>1.7333333333333334</v>
      </c>
      <c r="S1222" s="29" t="s">
        <v>2719</v>
      </c>
      <c r="T1222" s="29" t="s">
        <v>2797</v>
      </c>
    </row>
    <row r="1223">
      <c r="B1223" s="29" t="s">
        <v>1221</v>
      </c>
      <c r="C1223" s="29" t="s">
        <v>1249</v>
      </c>
      <c r="D1223" s="8" t="s">
        <v>1299</v>
      </c>
      <c r="E1223" s="10" t="s">
        <v>2520</v>
      </c>
      <c r="F1223" s="10"/>
      <c r="G1223" s="10">
        <v>2</v>
      </c>
      <c r="H1223" s="10">
        <v>1</v>
      </c>
      <c r="I1223" s="10"/>
      <c r="J1223" s="10">
        <v>750</v>
      </c>
      <c r="K1223" s="104">
        <v>45561</v>
      </c>
      <c r="L1223" s="104">
        <v>45584</v>
      </c>
      <c r="M1223" s="10" t="b">
        <v>0</v>
      </c>
      <c r="N1223" s="10">
        <v>24</v>
      </c>
      <c r="O1223" s="11">
        <v>1325</v>
      </c>
      <c r="P1223" s="85">
        <v>1.7666666666666666</v>
      </c>
      <c r="Q1223" s="11">
        <v>1300</v>
      </c>
      <c r="R1223" s="85">
        <v>1.7333333333333334</v>
      </c>
      <c r="S1223" s="29" t="s">
        <v>2719</v>
      </c>
      <c r="T1223" s="29" t="s">
        <v>2797</v>
      </c>
    </row>
    <row r="1224">
      <c r="B1224" s="29" t="s">
        <v>1221</v>
      </c>
      <c r="C1224" s="29" t="s">
        <v>1249</v>
      </c>
      <c r="D1224" s="8" t="s">
        <v>1298</v>
      </c>
      <c r="E1224" s="10" t="s">
        <v>2521</v>
      </c>
      <c r="F1224" s="10"/>
      <c r="G1224" s="10">
        <v>2</v>
      </c>
      <c r="H1224" s="10">
        <v>1</v>
      </c>
      <c r="I1224" s="10"/>
      <c r="J1224" s="10">
        <v>750</v>
      </c>
      <c r="K1224" s="104">
        <v>45553</v>
      </c>
      <c r="L1224" s="104">
        <v>45569</v>
      </c>
      <c r="M1224" s="10" t="b">
        <v>0</v>
      </c>
      <c r="N1224" s="10">
        <v>17</v>
      </c>
      <c r="O1224" s="11">
        <v>1325</v>
      </c>
      <c r="P1224" s="85">
        <v>1.7666666666666666</v>
      </c>
      <c r="Q1224" s="11">
        <v>1300</v>
      </c>
      <c r="R1224" s="85">
        <v>1.7333333333333334</v>
      </c>
      <c r="S1224" s="29" t="s">
        <v>2719</v>
      </c>
      <c r="T1224" s="29" t="s">
        <v>2719</v>
      </c>
    </row>
    <row r="1225">
      <c r="B1225" s="29" t="s">
        <v>1221</v>
      </c>
      <c r="C1225" s="29" t="s">
        <v>1249</v>
      </c>
      <c r="D1225" s="8" t="s">
        <v>1299</v>
      </c>
      <c r="E1225" s="10" t="s">
        <v>2522</v>
      </c>
      <c r="F1225" s="10">
        <v>3</v>
      </c>
      <c r="G1225" s="10">
        <v>2</v>
      </c>
      <c r="H1225" s="10">
        <v>1</v>
      </c>
      <c r="I1225" s="10"/>
      <c r="J1225" s="10">
        <v>750</v>
      </c>
      <c r="K1225" s="104">
        <v>45524</v>
      </c>
      <c r="L1225" s="104">
        <v>45566</v>
      </c>
      <c r="M1225" s="10" t="b">
        <v>0</v>
      </c>
      <c r="N1225" s="10">
        <v>43</v>
      </c>
      <c r="O1225" s="11">
        <v>1325</v>
      </c>
      <c r="P1225" s="85">
        <v>1.7666666666666666</v>
      </c>
      <c r="Q1225" s="11">
        <v>1325</v>
      </c>
      <c r="R1225" s="85">
        <v>1.7666666666666666</v>
      </c>
      <c r="S1225" s="29" t="s">
        <v>2719</v>
      </c>
      <c r="T1225" s="29" t="s">
        <v>2797</v>
      </c>
    </row>
    <row r="1226">
      <c r="B1226" s="29" t="s">
        <v>1221</v>
      </c>
      <c r="C1226" s="29" t="s">
        <v>1249</v>
      </c>
      <c r="D1226" s="8" t="s">
        <v>1298</v>
      </c>
      <c r="E1226" s="10" t="s">
        <v>2523</v>
      </c>
      <c r="F1226" s="10">
        <v>1</v>
      </c>
      <c r="G1226" s="10">
        <v>2</v>
      </c>
      <c r="H1226" s="10">
        <v>1</v>
      </c>
      <c r="I1226" s="10"/>
      <c r="J1226" s="10">
        <v>750</v>
      </c>
      <c r="K1226" s="104">
        <v>45472</v>
      </c>
      <c r="L1226" s="104">
        <v>45566</v>
      </c>
      <c r="M1226" s="10" t="b">
        <v>0</v>
      </c>
      <c r="N1226" s="10">
        <v>95</v>
      </c>
      <c r="O1226" s="11">
        <v>1325</v>
      </c>
      <c r="P1226" s="85">
        <v>1.7666666666666666</v>
      </c>
      <c r="Q1226" s="11">
        <v>1325</v>
      </c>
      <c r="R1226" s="85">
        <v>1.7666666666666666</v>
      </c>
      <c r="S1226" s="29" t="s">
        <v>2719</v>
      </c>
      <c r="T1226" s="29" t="s">
        <v>2719</v>
      </c>
    </row>
    <row r="1227">
      <c r="B1227" s="29" t="s">
        <v>1221</v>
      </c>
      <c r="C1227" s="29" t="s">
        <v>1249</v>
      </c>
      <c r="D1227" s="8" t="s">
        <v>1301</v>
      </c>
      <c r="E1227" s="10" t="s">
        <v>2524</v>
      </c>
      <c r="F1227" s="10"/>
      <c r="G1227" s="10">
        <v>2</v>
      </c>
      <c r="H1227" s="10">
        <v>1</v>
      </c>
      <c r="I1227" s="10"/>
      <c r="J1227" s="10">
        <v>750</v>
      </c>
      <c r="K1227" s="104">
        <v>45520</v>
      </c>
      <c r="L1227" s="104">
        <v>45560</v>
      </c>
      <c r="M1227" s="10" t="b">
        <v>0</v>
      </c>
      <c r="N1227" s="10">
        <v>41</v>
      </c>
      <c r="O1227" s="11">
        <v>1325</v>
      </c>
      <c r="P1227" s="85">
        <v>1.7666666666666666</v>
      </c>
      <c r="Q1227" s="11">
        <v>1325</v>
      </c>
      <c r="R1227" s="85">
        <v>1.7666666666666666</v>
      </c>
      <c r="S1227" s="29" t="s">
        <v>2719</v>
      </c>
      <c r="T1227" s="29" t="s">
        <v>2719</v>
      </c>
    </row>
    <row r="1228">
      <c r="B1228" s="29" t="s">
        <v>1221</v>
      </c>
      <c r="C1228" s="29" t="s">
        <v>1249</v>
      </c>
      <c r="D1228" s="8" t="s">
        <v>1298</v>
      </c>
      <c r="E1228" s="10" t="s">
        <v>2525</v>
      </c>
      <c r="F1228" s="10"/>
      <c r="G1228" s="10">
        <v>2</v>
      </c>
      <c r="H1228" s="10">
        <v>1</v>
      </c>
      <c r="I1228" s="10"/>
      <c r="J1228" s="10">
        <v>750</v>
      </c>
      <c r="K1228" s="104">
        <v>45495</v>
      </c>
      <c r="L1228" s="104">
        <v>45524</v>
      </c>
      <c r="M1228" s="10" t="b">
        <v>0</v>
      </c>
      <c r="N1228" s="10">
        <v>30</v>
      </c>
      <c r="O1228" s="11">
        <v>1325</v>
      </c>
      <c r="P1228" s="85">
        <v>1.7666666666666666</v>
      </c>
      <c r="Q1228" s="11">
        <v>1325</v>
      </c>
      <c r="R1228" s="85">
        <v>1.7666666666666666</v>
      </c>
      <c r="S1228" s="29" t="s">
        <v>2719</v>
      </c>
      <c r="T1228" s="29" t="s">
        <v>2719</v>
      </c>
    </row>
    <row r="1229">
      <c r="B1229" s="29" t="s">
        <v>1221</v>
      </c>
      <c r="C1229" s="29" t="s">
        <v>1249</v>
      </c>
      <c r="D1229" s="8" t="s">
        <v>1299</v>
      </c>
      <c r="E1229" s="10" t="s">
        <v>2526</v>
      </c>
      <c r="F1229" s="10"/>
      <c r="G1229" s="10">
        <v>2</v>
      </c>
      <c r="H1229" s="10">
        <v>1</v>
      </c>
      <c r="I1229" s="10"/>
      <c r="J1229" s="10">
        <v>750</v>
      </c>
      <c r="K1229" s="104">
        <v>45457</v>
      </c>
      <c r="L1229" s="104">
        <v>45516</v>
      </c>
      <c r="M1229" s="10" t="b">
        <v>0</v>
      </c>
      <c r="N1229" s="10">
        <v>60</v>
      </c>
      <c r="O1229" s="11">
        <v>1325</v>
      </c>
      <c r="P1229" s="85">
        <v>1.7666666666666666</v>
      </c>
      <c r="Q1229" s="11">
        <v>1325</v>
      </c>
      <c r="R1229" s="85">
        <v>1.7666666666666666</v>
      </c>
      <c r="S1229" s="29" t="s">
        <v>2719</v>
      </c>
      <c r="T1229" s="29" t="s">
        <v>2797</v>
      </c>
    </row>
    <row r="1230">
      <c r="B1230" s="29" t="s">
        <v>1221</v>
      </c>
      <c r="C1230" s="29" t="s">
        <v>1249</v>
      </c>
      <c r="D1230" s="8" t="s">
        <v>1298</v>
      </c>
      <c r="E1230" s="10" t="s">
        <v>2527</v>
      </c>
      <c r="F1230" s="10"/>
      <c r="G1230" s="10">
        <v>2</v>
      </c>
      <c r="H1230" s="10">
        <v>1</v>
      </c>
      <c r="I1230" s="10"/>
      <c r="J1230" s="10">
        <v>750</v>
      </c>
      <c r="K1230" s="104">
        <v>45441</v>
      </c>
      <c r="L1230" s="104">
        <v>45497</v>
      </c>
      <c r="M1230" s="10" t="b">
        <v>0</v>
      </c>
      <c r="N1230" s="10">
        <v>57</v>
      </c>
      <c r="O1230" s="11">
        <v>1325</v>
      </c>
      <c r="P1230" s="85">
        <v>1.7666666666666666</v>
      </c>
      <c r="Q1230" s="11">
        <v>1325</v>
      </c>
      <c r="R1230" s="85">
        <v>1.7666666666666666</v>
      </c>
      <c r="S1230" s="29" t="s">
        <v>2719</v>
      </c>
      <c r="T1230" s="29" t="s">
        <v>2719</v>
      </c>
    </row>
    <row r="1231">
      <c r="B1231" s="29" t="s">
        <v>1221</v>
      </c>
      <c r="C1231" s="29" t="s">
        <v>1249</v>
      </c>
      <c r="D1231" s="8" t="s">
        <v>1302</v>
      </c>
      <c r="E1231" s="10" t="s">
        <v>2528</v>
      </c>
      <c r="F1231" s="10"/>
      <c r="G1231" s="10">
        <v>2</v>
      </c>
      <c r="H1231" s="10">
        <v>1</v>
      </c>
      <c r="I1231" s="10"/>
      <c r="J1231" s="10">
        <v>750</v>
      </c>
      <c r="K1231" s="104">
        <v>45434</v>
      </c>
      <c r="L1231" s="104">
        <v>45465</v>
      </c>
      <c r="M1231" s="10" t="b">
        <v>0</v>
      </c>
      <c r="N1231" s="10">
        <v>32</v>
      </c>
      <c r="O1231" s="11">
        <v>1325</v>
      </c>
      <c r="P1231" s="85">
        <v>1.7666666666666666</v>
      </c>
      <c r="Q1231" s="11">
        <v>1325</v>
      </c>
      <c r="R1231" s="85">
        <v>1.7666666666666666</v>
      </c>
      <c r="S1231" s="29" t="s">
        <v>2719</v>
      </c>
      <c r="T1231" s="29" t="s">
        <v>2797</v>
      </c>
    </row>
    <row r="1232">
      <c r="B1232" s="29" t="s">
        <v>1221</v>
      </c>
      <c r="C1232" s="29" t="s">
        <v>1249</v>
      </c>
      <c r="D1232" s="8" t="s">
        <v>1303</v>
      </c>
      <c r="E1232" s="10" t="s">
        <v>2529</v>
      </c>
      <c r="F1232" s="10">
        <v>2</v>
      </c>
      <c r="G1232" s="10">
        <v>2</v>
      </c>
      <c r="H1232" s="10">
        <v>1</v>
      </c>
      <c r="I1232" s="10"/>
      <c r="J1232" s="10">
        <v>750</v>
      </c>
      <c r="K1232" s="104">
        <v>45460</v>
      </c>
      <c r="L1232" s="104">
        <v>45461</v>
      </c>
      <c r="M1232" s="10" t="b">
        <v>0</v>
      </c>
      <c r="N1232" s="10">
        <v>2</v>
      </c>
      <c r="O1232" s="11">
        <v>1325</v>
      </c>
      <c r="P1232" s="85">
        <v>1.7666666666666666</v>
      </c>
      <c r="Q1232" s="11">
        <v>1325</v>
      </c>
      <c r="R1232" s="85">
        <v>1.7666666666666666</v>
      </c>
      <c r="S1232" s="29" t="s">
        <v>2719</v>
      </c>
      <c r="T1232" s="29" t="s">
        <v>2719</v>
      </c>
    </row>
    <row r="1233">
      <c r="B1233" s="29" t="s">
        <v>1221</v>
      </c>
      <c r="C1233" s="29" t="s">
        <v>1249</v>
      </c>
      <c r="D1233" s="8" t="s">
        <v>1303</v>
      </c>
      <c r="E1233" s="10" t="s">
        <v>2530</v>
      </c>
      <c r="F1233" s="10">
        <v>1</v>
      </c>
      <c r="G1233" s="10">
        <v>2</v>
      </c>
      <c r="H1233" s="10">
        <v>1</v>
      </c>
      <c r="I1233" s="10"/>
      <c r="J1233" s="10">
        <v>750</v>
      </c>
      <c r="K1233" s="104">
        <v>45432</v>
      </c>
      <c r="L1233" s="104">
        <v>45456</v>
      </c>
      <c r="M1233" s="10" t="b">
        <v>0</v>
      </c>
      <c r="N1233" s="10">
        <v>25</v>
      </c>
      <c r="O1233" s="11">
        <v>1325</v>
      </c>
      <c r="P1233" s="85">
        <v>1.7666666666666666</v>
      </c>
      <c r="Q1233" s="11">
        <v>1325</v>
      </c>
      <c r="R1233" s="85">
        <v>1.7666666666666666</v>
      </c>
      <c r="S1233" s="29" t="s">
        <v>2719</v>
      </c>
      <c r="T1233" s="29" t="s">
        <v>2719</v>
      </c>
    </row>
    <row r="1234">
      <c r="B1234" s="29" t="s">
        <v>1221</v>
      </c>
      <c r="C1234" s="29" t="s">
        <v>1249</v>
      </c>
      <c r="D1234" s="8" t="s">
        <v>1304</v>
      </c>
      <c r="E1234" s="10" t="s">
        <v>2531</v>
      </c>
      <c r="F1234" s="10"/>
      <c r="G1234" s="10">
        <v>2</v>
      </c>
      <c r="H1234" s="10">
        <v>1</v>
      </c>
      <c r="I1234" s="10"/>
      <c r="J1234" s="10">
        <v>750</v>
      </c>
      <c r="K1234" s="104">
        <v>45432</v>
      </c>
      <c r="L1234" s="104">
        <v>45455</v>
      </c>
      <c r="M1234" s="10" t="b">
        <v>0</v>
      </c>
      <c r="N1234" s="10">
        <v>24</v>
      </c>
      <c r="O1234" s="11">
        <v>1325</v>
      </c>
      <c r="P1234" s="85">
        <v>1.7666666666666666</v>
      </c>
      <c r="Q1234" s="11">
        <v>1325</v>
      </c>
      <c r="R1234" s="85">
        <v>1.7666666666666666</v>
      </c>
      <c r="S1234" s="29" t="s">
        <v>2719</v>
      </c>
      <c r="T1234" s="29" t="s">
        <v>2719</v>
      </c>
    </row>
    <row r="1235">
      <c r="B1235" s="29" t="s">
        <v>1221</v>
      </c>
      <c r="C1235" s="29" t="s">
        <v>1249</v>
      </c>
      <c r="D1235" s="8" t="s">
        <v>1304</v>
      </c>
      <c r="E1235" s="10" t="s">
        <v>2532</v>
      </c>
      <c r="F1235" s="10"/>
      <c r="G1235" s="10">
        <v>2</v>
      </c>
      <c r="H1235" s="10">
        <v>1</v>
      </c>
      <c r="I1235" s="10"/>
      <c r="J1235" s="10">
        <v>750</v>
      </c>
      <c r="K1235" s="104">
        <v>45443</v>
      </c>
      <c r="L1235" s="104">
        <v>45454</v>
      </c>
      <c r="M1235" s="10" t="b">
        <v>0</v>
      </c>
      <c r="N1235" s="10">
        <v>12</v>
      </c>
      <c r="O1235" s="11">
        <v>1325</v>
      </c>
      <c r="P1235" s="85">
        <v>1.7666666666666666</v>
      </c>
      <c r="Q1235" s="11">
        <v>1325</v>
      </c>
      <c r="R1235" s="85">
        <v>1.7666666666666666</v>
      </c>
      <c r="S1235" s="29" t="s">
        <v>2719</v>
      </c>
      <c r="T1235" s="29" t="s">
        <v>2719</v>
      </c>
    </row>
    <row r="1236">
      <c r="B1236" s="29" t="s">
        <v>1221</v>
      </c>
      <c r="C1236" s="29" t="s">
        <v>1249</v>
      </c>
      <c r="D1236" s="8" t="s">
        <v>1304</v>
      </c>
      <c r="E1236" s="10" t="s">
        <v>2533</v>
      </c>
      <c r="F1236" s="10"/>
      <c r="G1236" s="10">
        <v>2</v>
      </c>
      <c r="H1236" s="10">
        <v>1</v>
      </c>
      <c r="I1236" s="10"/>
      <c r="J1236" s="10">
        <v>750</v>
      </c>
      <c r="K1236" s="104">
        <v>45443</v>
      </c>
      <c r="L1236" s="104">
        <v>45453</v>
      </c>
      <c r="M1236" s="10" t="b">
        <v>0</v>
      </c>
      <c r="N1236" s="10">
        <v>11</v>
      </c>
      <c r="O1236" s="11">
        <v>1325</v>
      </c>
      <c r="P1236" s="85">
        <v>1.7666666666666666</v>
      </c>
      <c r="Q1236" s="11">
        <v>1325</v>
      </c>
      <c r="R1236" s="85">
        <v>1.7666666666666666</v>
      </c>
      <c r="S1236" s="29" t="s">
        <v>2719</v>
      </c>
      <c r="T1236" s="29" t="s">
        <v>2719</v>
      </c>
    </row>
    <row r="1237">
      <c r="B1237" s="29" t="s">
        <v>1221</v>
      </c>
      <c r="C1237" s="29" t="s">
        <v>1249</v>
      </c>
      <c r="D1237" s="8" t="s">
        <v>1303</v>
      </c>
      <c r="E1237" s="10" t="s">
        <v>2534</v>
      </c>
      <c r="F1237" s="10">
        <v>3</v>
      </c>
      <c r="G1237" s="10">
        <v>2</v>
      </c>
      <c r="H1237" s="10">
        <v>1</v>
      </c>
      <c r="I1237" s="10"/>
      <c r="J1237" s="10">
        <v>750</v>
      </c>
      <c r="K1237" s="104">
        <v>45441</v>
      </c>
      <c r="L1237" s="104">
        <v>45446</v>
      </c>
      <c r="M1237" s="10" t="b">
        <v>0</v>
      </c>
      <c r="N1237" s="10">
        <v>6</v>
      </c>
      <c r="O1237" s="11">
        <v>1325</v>
      </c>
      <c r="P1237" s="85">
        <v>1.7666666666666666</v>
      </c>
      <c r="Q1237" s="11">
        <v>1325</v>
      </c>
      <c r="R1237" s="85">
        <v>1.7666666666666666</v>
      </c>
      <c r="S1237" s="29" t="s">
        <v>2719</v>
      </c>
      <c r="T1237" s="29" t="s">
        <v>2719</v>
      </c>
    </row>
    <row r="1238">
      <c r="B1238" s="29" t="s">
        <v>1221</v>
      </c>
      <c r="C1238" s="29" t="s">
        <v>1249</v>
      </c>
      <c r="D1238" s="8" t="s">
        <v>1305</v>
      </c>
      <c r="E1238" s="10" t="s">
        <v>2535</v>
      </c>
      <c r="F1238" s="10"/>
      <c r="G1238" s="10">
        <v>2</v>
      </c>
      <c r="H1238" s="10">
        <v>1</v>
      </c>
      <c r="I1238" s="10"/>
      <c r="J1238" s="10">
        <v>750</v>
      </c>
      <c r="K1238" s="104">
        <v>45432</v>
      </c>
      <c r="L1238" s="104">
        <v>45435</v>
      </c>
      <c r="M1238" s="10" t="b">
        <v>0</v>
      </c>
      <c r="N1238" s="10">
        <v>4</v>
      </c>
      <c r="O1238" s="11">
        <v>1325</v>
      </c>
      <c r="P1238" s="85">
        <v>1.7666666666666666</v>
      </c>
      <c r="Q1238" s="11">
        <v>1325</v>
      </c>
      <c r="R1238" s="85">
        <v>1.7666666666666666</v>
      </c>
      <c r="S1238" s="29" t="s">
        <v>2784</v>
      </c>
      <c r="T1238" s="29" t="s">
        <v>2719</v>
      </c>
    </row>
    <row r="1239">
      <c r="B1239" s="29" t="s">
        <v>1221</v>
      </c>
      <c r="C1239" s="29" t="s">
        <v>1249</v>
      </c>
      <c r="D1239" s="8" t="s">
        <v>1293</v>
      </c>
      <c r="E1239" s="10" t="s">
        <v>2536</v>
      </c>
      <c r="F1239" s="10"/>
      <c r="G1239" s="10">
        <v>2</v>
      </c>
      <c r="H1239" s="10">
        <v>1</v>
      </c>
      <c r="I1239" s="10"/>
      <c r="J1239" s="10">
        <v>750</v>
      </c>
      <c r="K1239" s="104">
        <v>45287</v>
      </c>
      <c r="L1239" s="104">
        <v>45288</v>
      </c>
      <c r="M1239" s="10" t="b">
        <v>0</v>
      </c>
      <c r="N1239" s="10">
        <v>2</v>
      </c>
      <c r="O1239" s="11">
        <v>1332</v>
      </c>
      <c r="P1239" s="85">
        <v>1.776</v>
      </c>
      <c r="Q1239" s="11">
        <v>1332</v>
      </c>
      <c r="R1239" s="85">
        <v>1.776</v>
      </c>
      <c r="S1239" s="29" t="s">
        <v>2719</v>
      </c>
      <c r="T1239" s="29" t="s">
        <v>2797</v>
      </c>
    </row>
    <row r="1240">
      <c r="B1240" s="29" t="s">
        <v>1221</v>
      </c>
      <c r="C1240" s="29" t="s">
        <v>1249</v>
      </c>
      <c r="D1240" s="8" t="s">
        <v>1292</v>
      </c>
      <c r="E1240" s="10" t="s">
        <v>2537</v>
      </c>
      <c r="F1240" s="10"/>
      <c r="G1240" s="10">
        <v>2</v>
      </c>
      <c r="H1240" s="10">
        <v>1</v>
      </c>
      <c r="I1240" s="10"/>
      <c r="J1240" s="10">
        <v>750</v>
      </c>
      <c r="K1240" s="104">
        <v>45289</v>
      </c>
      <c r="L1240" s="104">
        <v>45322</v>
      </c>
      <c r="M1240" s="10" t="b">
        <v>0</v>
      </c>
      <c r="N1240" s="10">
        <v>34</v>
      </c>
      <c r="O1240" s="11">
        <v>1353</v>
      </c>
      <c r="P1240" s="85">
        <v>1.804</v>
      </c>
      <c r="Q1240" s="11">
        <v>1353</v>
      </c>
      <c r="R1240" s="85">
        <v>1.804</v>
      </c>
      <c r="S1240" s="29" t="s">
        <v>2719</v>
      </c>
      <c r="T1240" s="29" t="s">
        <v>2719</v>
      </c>
    </row>
    <row r="1241">
      <c r="B1241" s="29" t="s">
        <v>1221</v>
      </c>
      <c r="C1241" s="29" t="s">
        <v>1249</v>
      </c>
      <c r="D1241" s="8" t="s">
        <v>1294</v>
      </c>
      <c r="E1241" s="10" t="s">
        <v>2538</v>
      </c>
      <c r="F1241" s="10"/>
      <c r="G1241" s="10">
        <v>2</v>
      </c>
      <c r="H1241" s="10">
        <v>1</v>
      </c>
      <c r="I1241" s="10"/>
      <c r="J1241" s="10">
        <v>750</v>
      </c>
      <c r="K1241" s="104">
        <v>45180</v>
      </c>
      <c r="L1241" s="104">
        <v>45182</v>
      </c>
      <c r="M1241" s="10" t="b">
        <v>0</v>
      </c>
      <c r="N1241" s="10">
        <v>3</v>
      </c>
      <c r="O1241" s="11">
        <v>1358</v>
      </c>
      <c r="P1241" s="85">
        <v>1.8106666666666666</v>
      </c>
      <c r="Q1241" s="11">
        <v>1358</v>
      </c>
      <c r="R1241" s="85">
        <v>1.8106666666666666</v>
      </c>
      <c r="S1241" s="29" t="s">
        <v>2719</v>
      </c>
      <c r="T1241" s="29" t="s">
        <v>2797</v>
      </c>
    </row>
    <row r="1242">
      <c r="B1242" s="29" t="s">
        <v>1221</v>
      </c>
      <c r="C1242" s="29" t="s">
        <v>1249</v>
      </c>
      <c r="D1242" s="8" t="s">
        <v>1299</v>
      </c>
      <c r="E1242" s="10" t="s">
        <v>2539</v>
      </c>
      <c r="F1242" s="10"/>
      <c r="G1242" s="10">
        <v>2</v>
      </c>
      <c r="H1242" s="10">
        <v>1</v>
      </c>
      <c r="I1242" s="10"/>
      <c r="J1242" s="10">
        <v>750</v>
      </c>
      <c r="K1242" s="104">
        <v>45741</v>
      </c>
      <c r="L1242" s="104"/>
      <c r="M1242" s="10" t="b">
        <v>1</v>
      </c>
      <c r="N1242" s="10"/>
      <c r="O1242" s="11">
        <v>1375</v>
      </c>
      <c r="P1242" s="85">
        <v>1.8333333333333333</v>
      </c>
      <c r="Q1242" s="11">
        <v>1375</v>
      </c>
      <c r="R1242" s="85">
        <v>1.8333333333333333</v>
      </c>
      <c r="S1242" s="29" t="s">
        <v>2719</v>
      </c>
      <c r="T1242" s="29" t="s">
        <v>2797</v>
      </c>
    </row>
    <row r="1243">
      <c r="B1243" s="29" t="s">
        <v>1221</v>
      </c>
      <c r="C1243" s="29" t="s">
        <v>1249</v>
      </c>
      <c r="D1243" s="8" t="s">
        <v>1306</v>
      </c>
      <c r="E1243" s="10" t="s">
        <v>2540</v>
      </c>
      <c r="F1243" s="10"/>
      <c r="G1243" s="10">
        <v>2</v>
      </c>
      <c r="H1243" s="10">
        <v>1</v>
      </c>
      <c r="I1243" s="10"/>
      <c r="J1243" s="10">
        <v>750</v>
      </c>
      <c r="K1243" s="104">
        <v>45495</v>
      </c>
      <c r="L1243" s="104">
        <v>45677</v>
      </c>
      <c r="M1243" s="10" t="b">
        <v>0</v>
      </c>
      <c r="N1243" s="10">
        <v>183</v>
      </c>
      <c r="O1243" s="11">
        <v>1375</v>
      </c>
      <c r="P1243" s="85">
        <v>1.8333333333333333</v>
      </c>
      <c r="Q1243" s="11">
        <v>1375</v>
      </c>
      <c r="R1243" s="85">
        <v>1.8333333333333333</v>
      </c>
      <c r="S1243" s="29" t="s">
        <v>2719</v>
      </c>
      <c r="T1243" s="29" t="s">
        <v>2719</v>
      </c>
    </row>
    <row r="1244">
      <c r="B1244" s="29" t="s">
        <v>1221</v>
      </c>
      <c r="C1244" s="29" t="s">
        <v>1249</v>
      </c>
      <c r="D1244" s="8" t="s">
        <v>1298</v>
      </c>
      <c r="E1244" s="10" t="s">
        <v>2541</v>
      </c>
      <c r="F1244" s="10"/>
      <c r="G1244" s="10">
        <v>2</v>
      </c>
      <c r="H1244" s="10">
        <v>1</v>
      </c>
      <c r="I1244" s="10"/>
      <c r="J1244" s="10">
        <v>750</v>
      </c>
      <c r="K1244" s="104">
        <v>45636</v>
      </c>
      <c r="L1244" s="104">
        <v>45680</v>
      </c>
      <c r="M1244" s="10" t="b">
        <v>0</v>
      </c>
      <c r="N1244" s="10">
        <v>45</v>
      </c>
      <c r="O1244" s="11">
        <v>1375</v>
      </c>
      <c r="P1244" s="85">
        <v>1.8333333333333333</v>
      </c>
      <c r="Q1244" s="11">
        <v>1375</v>
      </c>
      <c r="R1244" s="85">
        <v>1.8333333333333333</v>
      </c>
      <c r="S1244" s="29" t="s">
        <v>2719</v>
      </c>
      <c r="T1244" s="29" t="s">
        <v>2719</v>
      </c>
    </row>
    <row r="1245">
      <c r="B1245" s="29" t="s">
        <v>1221</v>
      </c>
      <c r="C1245" s="29" t="s">
        <v>1249</v>
      </c>
      <c r="D1245" s="8" t="s">
        <v>1298</v>
      </c>
      <c r="E1245" s="10" t="s">
        <v>2542</v>
      </c>
      <c r="F1245" s="10"/>
      <c r="G1245" s="10">
        <v>2</v>
      </c>
      <c r="H1245" s="10">
        <v>1</v>
      </c>
      <c r="I1245" s="10"/>
      <c r="J1245" s="10">
        <v>750</v>
      </c>
      <c r="K1245" s="104">
        <v>45645</v>
      </c>
      <c r="L1245" s="104">
        <v>45682</v>
      </c>
      <c r="M1245" s="10" t="b">
        <v>0</v>
      </c>
      <c r="N1245" s="10">
        <v>38</v>
      </c>
      <c r="O1245" s="11">
        <v>1375</v>
      </c>
      <c r="P1245" s="85">
        <v>1.8333333333333333</v>
      </c>
      <c r="Q1245" s="11">
        <v>1375</v>
      </c>
      <c r="R1245" s="85">
        <v>1.8333333333333333</v>
      </c>
      <c r="S1245" s="29" t="s">
        <v>2719</v>
      </c>
      <c r="T1245" s="29" t="s">
        <v>2719</v>
      </c>
    </row>
    <row r="1246">
      <c r="B1246" s="29" t="s">
        <v>1221</v>
      </c>
      <c r="C1246" s="29" t="s">
        <v>1249</v>
      </c>
      <c r="D1246" s="8" t="s">
        <v>1298</v>
      </c>
      <c r="E1246" s="10" t="s">
        <v>2543</v>
      </c>
      <c r="F1246" s="10">
        <v>1</v>
      </c>
      <c r="G1246" s="10">
        <v>2</v>
      </c>
      <c r="H1246" s="10">
        <v>1</v>
      </c>
      <c r="I1246" s="10"/>
      <c r="J1246" s="10">
        <v>750</v>
      </c>
      <c r="K1246" s="104">
        <v>45757</v>
      </c>
      <c r="L1246" s="104">
        <v>45781</v>
      </c>
      <c r="M1246" s="10" t="b">
        <v>0</v>
      </c>
      <c r="N1246" s="10">
        <v>25</v>
      </c>
      <c r="O1246" s="11">
        <v>1375</v>
      </c>
      <c r="P1246" s="85">
        <v>1.8333333333333333</v>
      </c>
      <c r="Q1246" s="11">
        <v>1375</v>
      </c>
      <c r="R1246" s="85">
        <v>1.8333333333333333</v>
      </c>
      <c r="S1246" s="29" t="s">
        <v>2719</v>
      </c>
      <c r="T1246" s="29" t="s">
        <v>2719</v>
      </c>
    </row>
    <row r="1247">
      <c r="B1247" s="29" t="s">
        <v>1221</v>
      </c>
      <c r="C1247" s="29" t="s">
        <v>1249</v>
      </c>
      <c r="D1247" s="8" t="s">
        <v>1299</v>
      </c>
      <c r="E1247" s="10" t="s">
        <v>2544</v>
      </c>
      <c r="F1247" s="10">
        <v>3</v>
      </c>
      <c r="G1247" s="10">
        <v>2</v>
      </c>
      <c r="H1247" s="10">
        <v>1</v>
      </c>
      <c r="I1247" s="10"/>
      <c r="J1247" s="10">
        <v>750</v>
      </c>
      <c r="K1247" s="104">
        <v>45693</v>
      </c>
      <c r="L1247" s="104">
        <v>45695</v>
      </c>
      <c r="M1247" s="10" t="b">
        <v>0</v>
      </c>
      <c r="N1247" s="10">
        <v>3</v>
      </c>
      <c r="O1247" s="11">
        <v>1375</v>
      </c>
      <c r="P1247" s="85">
        <v>1.8333333333333333</v>
      </c>
      <c r="Q1247" s="11">
        <v>1375</v>
      </c>
      <c r="R1247" s="85">
        <v>1.8333333333333333</v>
      </c>
      <c r="S1247" s="29" t="s">
        <v>2719</v>
      </c>
      <c r="T1247" s="29" t="s">
        <v>2797</v>
      </c>
    </row>
    <row r="1248">
      <c r="B1248" s="29" t="s">
        <v>1221</v>
      </c>
      <c r="C1248" s="29" t="s">
        <v>1249</v>
      </c>
      <c r="D1248" s="8" t="s">
        <v>1298</v>
      </c>
      <c r="E1248" s="10" t="s">
        <v>2545</v>
      </c>
      <c r="F1248" s="10"/>
      <c r="G1248" s="10">
        <v>2</v>
      </c>
      <c r="H1248" s="10">
        <v>1</v>
      </c>
      <c r="I1248" s="10"/>
      <c r="J1248" s="10">
        <v>750</v>
      </c>
      <c r="K1248" s="104">
        <v>45713</v>
      </c>
      <c r="L1248" s="104">
        <v>45728</v>
      </c>
      <c r="M1248" s="10" t="b">
        <v>0</v>
      </c>
      <c r="N1248" s="10">
        <v>16</v>
      </c>
      <c r="O1248" s="11">
        <v>1375</v>
      </c>
      <c r="P1248" s="85">
        <v>1.8333333333333333</v>
      </c>
      <c r="Q1248" s="11">
        <v>1375</v>
      </c>
      <c r="R1248" s="85">
        <v>1.8333333333333333</v>
      </c>
      <c r="S1248" s="29" t="s">
        <v>2719</v>
      </c>
      <c r="T1248" s="29" t="s">
        <v>2719</v>
      </c>
    </row>
    <row r="1249">
      <c r="B1249" s="29" t="s">
        <v>1221</v>
      </c>
      <c r="C1249" s="29" t="s">
        <v>1249</v>
      </c>
      <c r="D1249" s="8" t="s">
        <v>1300</v>
      </c>
      <c r="E1249" s="10" t="s">
        <v>2546</v>
      </c>
      <c r="F1249" s="10"/>
      <c r="G1249" s="10">
        <v>2</v>
      </c>
      <c r="H1249" s="10">
        <v>1</v>
      </c>
      <c r="I1249" s="10"/>
      <c r="J1249" s="10">
        <v>750</v>
      </c>
      <c r="K1249" s="104">
        <v>45713</v>
      </c>
      <c r="L1249" s="104">
        <v>45716</v>
      </c>
      <c r="M1249" s="10" t="b">
        <v>0</v>
      </c>
      <c r="N1249" s="10">
        <v>4</v>
      </c>
      <c r="O1249" s="11">
        <v>1375</v>
      </c>
      <c r="P1249" s="85">
        <v>1.8333333333333333</v>
      </c>
      <c r="Q1249" s="11">
        <v>1375</v>
      </c>
      <c r="R1249" s="85">
        <v>1.8333333333333333</v>
      </c>
      <c r="S1249" s="29" t="s">
        <v>2719</v>
      </c>
      <c r="T1249" s="29" t="s">
        <v>2797</v>
      </c>
    </row>
    <row r="1250">
      <c r="B1250" s="29" t="s">
        <v>1221</v>
      </c>
      <c r="C1250" s="29" t="s">
        <v>1249</v>
      </c>
      <c r="D1250" s="8" t="s">
        <v>1306</v>
      </c>
      <c r="E1250" s="10" t="s">
        <v>2547</v>
      </c>
      <c r="F1250" s="10"/>
      <c r="G1250" s="10">
        <v>2</v>
      </c>
      <c r="H1250" s="10">
        <v>1</v>
      </c>
      <c r="I1250" s="10"/>
      <c r="J1250" s="10">
        <v>750</v>
      </c>
      <c r="K1250" s="104">
        <v>45701</v>
      </c>
      <c r="L1250" s="104">
        <v>45707</v>
      </c>
      <c r="M1250" s="10" t="b">
        <v>0</v>
      </c>
      <c r="N1250" s="10">
        <v>7</v>
      </c>
      <c r="O1250" s="11">
        <v>1375</v>
      </c>
      <c r="P1250" s="85">
        <v>1.8333333333333333</v>
      </c>
      <c r="Q1250" s="11">
        <v>1375</v>
      </c>
      <c r="R1250" s="85">
        <v>1.8333333333333333</v>
      </c>
      <c r="S1250" s="29" t="s">
        <v>2719</v>
      </c>
      <c r="T1250" s="29" t="s">
        <v>2719</v>
      </c>
    </row>
    <row r="1251">
      <c r="B1251" s="29" t="s">
        <v>1221</v>
      </c>
      <c r="C1251" s="29" t="s">
        <v>1249</v>
      </c>
      <c r="D1251" s="8" t="s">
        <v>1298</v>
      </c>
      <c r="E1251" s="10" t="s">
        <v>2548</v>
      </c>
      <c r="F1251" s="10"/>
      <c r="G1251" s="10">
        <v>2</v>
      </c>
      <c r="H1251" s="10">
        <v>1</v>
      </c>
      <c r="I1251" s="10"/>
      <c r="J1251" s="10">
        <v>750</v>
      </c>
      <c r="K1251" s="104">
        <v>45664</v>
      </c>
      <c r="L1251" s="104">
        <v>45700</v>
      </c>
      <c r="M1251" s="10" t="b">
        <v>0</v>
      </c>
      <c r="N1251" s="10">
        <v>37</v>
      </c>
      <c r="O1251" s="11">
        <v>1375</v>
      </c>
      <c r="P1251" s="85">
        <v>1.8333333333333333</v>
      </c>
      <c r="Q1251" s="11">
        <v>1375</v>
      </c>
      <c r="R1251" s="85">
        <v>1.8333333333333333</v>
      </c>
      <c r="S1251" s="29" t="s">
        <v>2719</v>
      </c>
      <c r="T1251" s="29" t="s">
        <v>2719</v>
      </c>
    </row>
    <row r="1252">
      <c r="B1252" s="29" t="s">
        <v>1221</v>
      </c>
      <c r="C1252" s="29" t="s">
        <v>1249</v>
      </c>
      <c r="D1252" s="8" t="s">
        <v>1299</v>
      </c>
      <c r="E1252" s="10" t="s">
        <v>2549</v>
      </c>
      <c r="F1252" s="10"/>
      <c r="G1252" s="10">
        <v>2</v>
      </c>
      <c r="H1252" s="10">
        <v>1</v>
      </c>
      <c r="I1252" s="10"/>
      <c r="J1252" s="10">
        <v>750</v>
      </c>
      <c r="K1252" s="104">
        <v>45771</v>
      </c>
      <c r="L1252" s="104"/>
      <c r="M1252" s="10" t="b">
        <v>1</v>
      </c>
      <c r="N1252" s="10"/>
      <c r="O1252" s="11">
        <v>1375</v>
      </c>
      <c r="P1252" s="85">
        <v>1.8333333333333333</v>
      </c>
      <c r="Q1252" s="11">
        <v>1375</v>
      </c>
      <c r="R1252" s="85">
        <v>1.8333333333333333</v>
      </c>
      <c r="S1252" s="29" t="s">
        <v>2719</v>
      </c>
      <c r="T1252" s="29" t="s">
        <v>2797</v>
      </c>
    </row>
    <row r="1253">
      <c r="B1253" s="29" t="s">
        <v>1221</v>
      </c>
      <c r="C1253" s="29" t="s">
        <v>1249</v>
      </c>
      <c r="D1253" s="8" t="s">
        <v>1298</v>
      </c>
      <c r="E1253" s="10" t="s">
        <v>2550</v>
      </c>
      <c r="F1253" s="10"/>
      <c r="G1253" s="10">
        <v>2</v>
      </c>
      <c r="H1253" s="10">
        <v>1</v>
      </c>
      <c r="I1253" s="10"/>
      <c r="J1253" s="10">
        <v>750</v>
      </c>
      <c r="K1253" s="104">
        <v>45693</v>
      </c>
      <c r="L1253" s="104">
        <v>45707</v>
      </c>
      <c r="M1253" s="10" t="b">
        <v>0</v>
      </c>
      <c r="N1253" s="10">
        <v>15</v>
      </c>
      <c r="O1253" s="11">
        <v>1375</v>
      </c>
      <c r="P1253" s="85">
        <v>1.8333333333333333</v>
      </c>
      <c r="Q1253" s="11">
        <v>1375</v>
      </c>
      <c r="R1253" s="85">
        <v>1.8333333333333333</v>
      </c>
      <c r="S1253" s="29" t="s">
        <v>2719</v>
      </c>
      <c r="T1253" s="29" t="s">
        <v>2719</v>
      </c>
    </row>
    <row r="1254">
      <c r="B1254" s="29" t="s">
        <v>1221</v>
      </c>
      <c r="C1254" s="29" t="s">
        <v>1249</v>
      </c>
      <c r="D1254" s="8" t="s">
        <v>1306</v>
      </c>
      <c r="E1254" s="10" t="s">
        <v>2551</v>
      </c>
      <c r="F1254" s="10"/>
      <c r="G1254" s="10">
        <v>2</v>
      </c>
      <c r="H1254" s="10">
        <v>1</v>
      </c>
      <c r="I1254" s="10"/>
      <c r="J1254" s="10">
        <v>750</v>
      </c>
      <c r="K1254" s="104">
        <v>45735</v>
      </c>
      <c r="L1254" s="104"/>
      <c r="M1254" s="10" t="b">
        <v>1</v>
      </c>
      <c r="N1254" s="10"/>
      <c r="O1254" s="11">
        <v>1375</v>
      </c>
      <c r="P1254" s="85">
        <v>1.8333333333333333</v>
      </c>
      <c r="Q1254" s="11">
        <v>1375</v>
      </c>
      <c r="R1254" s="85">
        <v>1.8333333333333333</v>
      </c>
      <c r="S1254" s="29" t="s">
        <v>2719</v>
      </c>
      <c r="T1254" s="29" t="s">
        <v>2719</v>
      </c>
    </row>
    <row r="1255">
      <c r="B1255" s="29" t="s">
        <v>1221</v>
      </c>
      <c r="C1255" s="29" t="s">
        <v>1249</v>
      </c>
      <c r="D1255" s="8" t="s">
        <v>1306</v>
      </c>
      <c r="E1255" s="10" t="s">
        <v>2552</v>
      </c>
      <c r="F1255" s="10">
        <v>1</v>
      </c>
      <c r="G1255" s="10">
        <v>2</v>
      </c>
      <c r="H1255" s="10">
        <v>1</v>
      </c>
      <c r="I1255" s="10"/>
      <c r="J1255" s="10">
        <v>750</v>
      </c>
      <c r="K1255" s="104">
        <v>45755</v>
      </c>
      <c r="L1255" s="104"/>
      <c r="M1255" s="10" t="b">
        <v>1</v>
      </c>
      <c r="N1255" s="10"/>
      <c r="O1255" s="11">
        <v>1375</v>
      </c>
      <c r="P1255" s="85">
        <v>1.8333333333333333</v>
      </c>
      <c r="Q1255" s="11">
        <v>1375</v>
      </c>
      <c r="R1255" s="85">
        <v>1.8333333333333333</v>
      </c>
      <c r="S1255" s="29" t="s">
        <v>2719</v>
      </c>
      <c r="T1255" s="29" t="s">
        <v>2719</v>
      </c>
    </row>
    <row r="1256">
      <c r="B1256" s="29" t="s">
        <v>1221</v>
      </c>
      <c r="C1256" s="29" t="s">
        <v>1249</v>
      </c>
      <c r="D1256" s="8" t="s">
        <v>1300</v>
      </c>
      <c r="E1256" s="10" t="s">
        <v>2553</v>
      </c>
      <c r="F1256" s="10"/>
      <c r="G1256" s="10">
        <v>2</v>
      </c>
      <c r="H1256" s="10">
        <v>1</v>
      </c>
      <c r="I1256" s="10"/>
      <c r="J1256" s="10">
        <v>750</v>
      </c>
      <c r="K1256" s="104">
        <v>45748</v>
      </c>
      <c r="L1256" s="104">
        <v>45769</v>
      </c>
      <c r="M1256" s="10" t="b">
        <v>0</v>
      </c>
      <c r="N1256" s="10">
        <v>22</v>
      </c>
      <c r="O1256" s="11">
        <v>1375</v>
      </c>
      <c r="P1256" s="85">
        <v>1.8333333333333333</v>
      </c>
      <c r="Q1256" s="11">
        <v>1375</v>
      </c>
      <c r="R1256" s="85">
        <v>1.8333333333333333</v>
      </c>
      <c r="S1256" s="29" t="s">
        <v>2719</v>
      </c>
      <c r="T1256" s="29" t="s">
        <v>2797</v>
      </c>
    </row>
    <row r="1257">
      <c r="B1257" s="29" t="s">
        <v>1221</v>
      </c>
      <c r="C1257" s="29" t="s">
        <v>1249</v>
      </c>
      <c r="D1257" s="8" t="s">
        <v>1298</v>
      </c>
      <c r="E1257" s="10" t="s">
        <v>2554</v>
      </c>
      <c r="F1257" s="10"/>
      <c r="G1257" s="10">
        <v>2</v>
      </c>
      <c r="H1257" s="10">
        <v>1</v>
      </c>
      <c r="I1257" s="10"/>
      <c r="J1257" s="10">
        <v>750</v>
      </c>
      <c r="K1257" s="104">
        <v>45783</v>
      </c>
      <c r="L1257" s="104"/>
      <c r="M1257" s="10" t="b">
        <v>1</v>
      </c>
      <c r="N1257" s="10"/>
      <c r="O1257" s="11">
        <v>1375</v>
      </c>
      <c r="P1257" s="85">
        <v>1.8333333333333333</v>
      </c>
      <c r="Q1257" s="11">
        <v>1375</v>
      </c>
      <c r="R1257" s="85">
        <v>1.8333333333333333</v>
      </c>
      <c r="S1257" s="29" t="s">
        <v>2719</v>
      </c>
      <c r="T1257" s="29" t="s">
        <v>2719</v>
      </c>
    </row>
    <row r="1258">
      <c r="B1258" s="29" t="s">
        <v>1221</v>
      </c>
      <c r="C1258" s="29" t="s">
        <v>1249</v>
      </c>
      <c r="D1258" s="8" t="s">
        <v>1299</v>
      </c>
      <c r="E1258" s="10" t="s">
        <v>2555</v>
      </c>
      <c r="F1258" s="10"/>
      <c r="G1258" s="10">
        <v>2</v>
      </c>
      <c r="H1258" s="10">
        <v>1</v>
      </c>
      <c r="I1258" s="10"/>
      <c r="J1258" s="10">
        <v>750</v>
      </c>
      <c r="K1258" s="104">
        <v>45778</v>
      </c>
      <c r="L1258" s="104"/>
      <c r="M1258" s="10" t="b">
        <v>1</v>
      </c>
      <c r="N1258" s="10"/>
      <c r="O1258" s="11">
        <v>1375</v>
      </c>
      <c r="P1258" s="85">
        <v>1.8333333333333333</v>
      </c>
      <c r="Q1258" s="11">
        <v>1375</v>
      </c>
      <c r="R1258" s="85">
        <v>1.8333333333333333</v>
      </c>
      <c r="S1258" s="29" t="s">
        <v>2719</v>
      </c>
      <c r="T1258" s="29" t="s">
        <v>2797</v>
      </c>
    </row>
    <row r="1259">
      <c r="B1259" s="29" t="s">
        <v>1221</v>
      </c>
      <c r="C1259" s="29" t="s">
        <v>1249</v>
      </c>
      <c r="D1259" s="8" t="s">
        <v>1300</v>
      </c>
      <c r="E1259" s="10" t="s">
        <v>2556</v>
      </c>
      <c r="F1259" s="10"/>
      <c r="G1259" s="10">
        <v>2</v>
      </c>
      <c r="H1259" s="10">
        <v>1</v>
      </c>
      <c r="I1259" s="10"/>
      <c r="J1259" s="10">
        <v>750</v>
      </c>
      <c r="K1259" s="104">
        <v>45686</v>
      </c>
      <c r="L1259" s="104">
        <v>45688</v>
      </c>
      <c r="M1259" s="10" t="b">
        <v>0</v>
      </c>
      <c r="N1259" s="10">
        <v>3</v>
      </c>
      <c r="O1259" s="11">
        <v>1375</v>
      </c>
      <c r="P1259" s="85">
        <v>1.8333333333333333</v>
      </c>
      <c r="Q1259" s="11">
        <v>1375</v>
      </c>
      <c r="R1259" s="85">
        <v>1.8333333333333333</v>
      </c>
      <c r="S1259" s="29" t="s">
        <v>2719</v>
      </c>
      <c r="T1259" s="29" t="s">
        <v>2797</v>
      </c>
    </row>
    <row r="1260">
      <c r="B1260" s="29" t="s">
        <v>1221</v>
      </c>
      <c r="C1260" s="29" t="s">
        <v>1249</v>
      </c>
      <c r="D1260" s="8" t="s">
        <v>1293</v>
      </c>
      <c r="E1260" s="10" t="s">
        <v>2557</v>
      </c>
      <c r="F1260" s="10"/>
      <c r="G1260" s="10">
        <v>2</v>
      </c>
      <c r="H1260" s="10">
        <v>1</v>
      </c>
      <c r="I1260" s="10"/>
      <c r="J1260" s="10">
        <v>750</v>
      </c>
      <c r="K1260" s="104">
        <v>45170</v>
      </c>
      <c r="L1260" s="104">
        <v>45177</v>
      </c>
      <c r="M1260" s="10" t="b">
        <v>0</v>
      </c>
      <c r="N1260" s="10">
        <v>8</v>
      </c>
      <c r="O1260" s="11">
        <v>1378</v>
      </c>
      <c r="P1260" s="85">
        <v>1.8373333333333333</v>
      </c>
      <c r="Q1260" s="11">
        <v>1378</v>
      </c>
      <c r="R1260" s="85">
        <v>1.8373333333333333</v>
      </c>
      <c r="S1260" s="29" t="s">
        <v>2719</v>
      </c>
      <c r="T1260" s="29" t="s">
        <v>2797</v>
      </c>
    </row>
    <row r="1261">
      <c r="B1261" s="29" t="s">
        <v>1221</v>
      </c>
      <c r="C1261" s="29" t="s">
        <v>1249</v>
      </c>
      <c r="D1261" s="8" t="s">
        <v>1292</v>
      </c>
      <c r="E1261" s="10" t="s">
        <v>2558</v>
      </c>
      <c r="F1261" s="10">
        <v>2</v>
      </c>
      <c r="G1261" s="10">
        <v>2</v>
      </c>
      <c r="H1261" s="10">
        <v>1</v>
      </c>
      <c r="I1261" s="10"/>
      <c r="J1261" s="10">
        <v>750</v>
      </c>
      <c r="K1261" s="104">
        <v>45162</v>
      </c>
      <c r="L1261" s="104">
        <v>45163</v>
      </c>
      <c r="M1261" s="10" t="b">
        <v>0</v>
      </c>
      <c r="N1261" s="10">
        <v>2</v>
      </c>
      <c r="O1261" s="11">
        <v>1380</v>
      </c>
      <c r="P1261" s="85">
        <v>1.84</v>
      </c>
      <c r="Q1261" s="11">
        <v>1380</v>
      </c>
      <c r="R1261" s="85">
        <v>1.84</v>
      </c>
      <c r="S1261" s="29" t="s">
        <v>2719</v>
      </c>
      <c r="T1261" s="29" t="s">
        <v>2719</v>
      </c>
    </row>
    <row r="1262">
      <c r="B1262" s="29" t="s">
        <v>1221</v>
      </c>
      <c r="C1262" s="29" t="s">
        <v>1249</v>
      </c>
      <c r="D1262" s="8" t="s">
        <v>1307</v>
      </c>
      <c r="E1262" s="10" t="s">
        <v>2559</v>
      </c>
      <c r="F1262" s="10"/>
      <c r="G1262" s="10">
        <v>2</v>
      </c>
      <c r="H1262" s="10">
        <v>1</v>
      </c>
      <c r="I1262" s="10"/>
      <c r="J1262" s="10">
        <v>750</v>
      </c>
      <c r="K1262" s="104">
        <v>45432</v>
      </c>
      <c r="L1262" s="104">
        <v>45580</v>
      </c>
      <c r="M1262" s="10" t="b">
        <v>0</v>
      </c>
      <c r="N1262" s="10">
        <v>149</v>
      </c>
      <c r="O1262" s="11">
        <v>1400</v>
      </c>
      <c r="P1262" s="85">
        <v>1.8666666666666667</v>
      </c>
      <c r="Q1262" s="11">
        <v>1375</v>
      </c>
      <c r="R1262" s="85">
        <v>1.8333333333333333</v>
      </c>
      <c r="S1262" s="29" t="s">
        <v>2719</v>
      </c>
      <c r="T1262" s="29" t="s">
        <v>2807</v>
      </c>
    </row>
    <row r="1263">
      <c r="B1263" s="29" t="s">
        <v>1221</v>
      </c>
      <c r="C1263" s="29" t="s">
        <v>1249</v>
      </c>
      <c r="D1263" s="8" t="s">
        <v>1307</v>
      </c>
      <c r="E1263" s="10" t="s">
        <v>2560</v>
      </c>
      <c r="F1263" s="10"/>
      <c r="G1263" s="10">
        <v>2</v>
      </c>
      <c r="H1263" s="10">
        <v>1</v>
      </c>
      <c r="I1263" s="10"/>
      <c r="J1263" s="10">
        <v>750</v>
      </c>
      <c r="K1263" s="104">
        <v>45502</v>
      </c>
      <c r="L1263" s="104">
        <v>45516</v>
      </c>
      <c r="M1263" s="10" t="b">
        <v>0</v>
      </c>
      <c r="N1263" s="10">
        <v>15</v>
      </c>
      <c r="O1263" s="11">
        <v>1400</v>
      </c>
      <c r="P1263" s="85">
        <v>1.8666666666666667</v>
      </c>
      <c r="Q1263" s="11">
        <v>1400</v>
      </c>
      <c r="R1263" s="85">
        <v>1.8666666666666667</v>
      </c>
      <c r="S1263" s="29" t="s">
        <v>2719</v>
      </c>
      <c r="T1263" s="29" t="s">
        <v>2807</v>
      </c>
    </row>
    <row r="1264">
      <c r="B1264" s="29" t="s">
        <v>1221</v>
      </c>
      <c r="C1264" s="29" t="s">
        <v>1249</v>
      </c>
      <c r="D1264" s="8" t="s">
        <v>1308</v>
      </c>
      <c r="E1264" s="10" t="s">
        <v>2561</v>
      </c>
      <c r="F1264" s="10"/>
      <c r="G1264" s="10">
        <v>2</v>
      </c>
      <c r="H1264" s="10">
        <v>1</v>
      </c>
      <c r="I1264" s="10"/>
      <c r="J1264" s="10">
        <v>750</v>
      </c>
      <c r="K1264" s="104">
        <v>45463</v>
      </c>
      <c r="L1264" s="104">
        <v>45540</v>
      </c>
      <c r="M1264" s="10" t="b">
        <v>0</v>
      </c>
      <c r="N1264" s="10">
        <v>78</v>
      </c>
      <c r="O1264" s="11">
        <v>1400</v>
      </c>
      <c r="P1264" s="85">
        <v>1.8666666666666667</v>
      </c>
      <c r="Q1264" s="11">
        <v>1400</v>
      </c>
      <c r="R1264" s="85">
        <v>1.8666666666666667</v>
      </c>
      <c r="S1264" s="29" t="s">
        <v>2719</v>
      </c>
      <c r="T1264" s="29" t="s">
        <v>2807</v>
      </c>
    </row>
    <row r="1265">
      <c r="B1265" s="29" t="s">
        <v>1221</v>
      </c>
      <c r="C1265" s="29" t="s">
        <v>1249</v>
      </c>
      <c r="D1265" s="8" t="s">
        <v>1309</v>
      </c>
      <c r="E1265" s="10" t="s">
        <v>2562</v>
      </c>
      <c r="F1265" s="10">
        <v>2</v>
      </c>
      <c r="G1265" s="10">
        <v>2</v>
      </c>
      <c r="H1265" s="10">
        <v>1</v>
      </c>
      <c r="I1265" s="10"/>
      <c r="J1265" s="10">
        <v>750</v>
      </c>
      <c r="K1265" s="104">
        <v>45483</v>
      </c>
      <c r="L1265" s="104">
        <v>45546</v>
      </c>
      <c r="M1265" s="10" t="b">
        <v>0</v>
      </c>
      <c r="N1265" s="10">
        <v>64</v>
      </c>
      <c r="O1265" s="11">
        <v>1400</v>
      </c>
      <c r="P1265" s="85">
        <v>1.8666666666666667</v>
      </c>
      <c r="Q1265" s="11">
        <v>1400</v>
      </c>
      <c r="R1265" s="85">
        <v>1.8666666666666667</v>
      </c>
      <c r="S1265" s="29" t="s">
        <v>2719</v>
      </c>
      <c r="T1265" s="29" t="s">
        <v>2807</v>
      </c>
    </row>
    <row r="1266">
      <c r="B1266" s="29" t="s">
        <v>1221</v>
      </c>
      <c r="C1266" s="29" t="s">
        <v>1249</v>
      </c>
      <c r="D1266" s="8" t="s">
        <v>1310</v>
      </c>
      <c r="E1266" s="10" t="s">
        <v>2563</v>
      </c>
      <c r="F1266" s="10">
        <v>2</v>
      </c>
      <c r="G1266" s="10">
        <v>2</v>
      </c>
      <c r="H1266" s="10">
        <v>1</v>
      </c>
      <c r="I1266" s="10"/>
      <c r="J1266" s="10">
        <v>750</v>
      </c>
      <c r="K1266" s="104">
        <v>45524</v>
      </c>
      <c r="L1266" s="104">
        <v>45549</v>
      </c>
      <c r="M1266" s="10" t="b">
        <v>0</v>
      </c>
      <c r="N1266" s="10">
        <v>26</v>
      </c>
      <c r="O1266" s="11">
        <v>1400</v>
      </c>
      <c r="P1266" s="85">
        <v>1.8666666666666667</v>
      </c>
      <c r="Q1266" s="11">
        <v>1400</v>
      </c>
      <c r="R1266" s="85">
        <v>1.8666666666666667</v>
      </c>
      <c r="S1266" s="29" t="s">
        <v>2719</v>
      </c>
      <c r="T1266" s="29" t="s">
        <v>2807</v>
      </c>
    </row>
    <row r="1267">
      <c r="B1267" s="29" t="s">
        <v>1221</v>
      </c>
      <c r="C1267" s="29" t="s">
        <v>1249</v>
      </c>
      <c r="D1267" s="8" t="s">
        <v>1309</v>
      </c>
      <c r="E1267" s="10" t="s">
        <v>2564</v>
      </c>
      <c r="F1267" s="10"/>
      <c r="G1267" s="10">
        <v>2</v>
      </c>
      <c r="H1267" s="10">
        <v>1</v>
      </c>
      <c r="I1267" s="10"/>
      <c r="J1267" s="10">
        <v>750</v>
      </c>
      <c r="K1267" s="104">
        <v>45474</v>
      </c>
      <c r="L1267" s="104">
        <v>45573</v>
      </c>
      <c r="M1267" s="10" t="b">
        <v>0</v>
      </c>
      <c r="N1267" s="10">
        <v>100</v>
      </c>
      <c r="O1267" s="11">
        <v>1400</v>
      </c>
      <c r="P1267" s="85">
        <v>1.8666666666666667</v>
      </c>
      <c r="Q1267" s="11">
        <v>1375</v>
      </c>
      <c r="R1267" s="85">
        <v>1.8333333333333333</v>
      </c>
      <c r="S1267" s="29" t="s">
        <v>2719</v>
      </c>
      <c r="T1267" s="29" t="s">
        <v>2807</v>
      </c>
    </row>
    <row r="1268">
      <c r="B1268" s="29" t="s">
        <v>1221</v>
      </c>
      <c r="C1268" s="29" t="s">
        <v>1249</v>
      </c>
      <c r="D1268" s="8" t="s">
        <v>1310</v>
      </c>
      <c r="E1268" s="10" t="s">
        <v>2565</v>
      </c>
      <c r="F1268" s="10"/>
      <c r="G1268" s="10">
        <v>2</v>
      </c>
      <c r="H1268" s="10">
        <v>1</v>
      </c>
      <c r="I1268" s="10"/>
      <c r="J1268" s="10">
        <v>750</v>
      </c>
      <c r="K1268" s="104">
        <v>45502</v>
      </c>
      <c r="L1268" s="104">
        <v>45575</v>
      </c>
      <c r="M1268" s="10" t="b">
        <v>0</v>
      </c>
      <c r="N1268" s="10">
        <v>74</v>
      </c>
      <c r="O1268" s="11">
        <v>1400</v>
      </c>
      <c r="P1268" s="85">
        <v>1.8666666666666667</v>
      </c>
      <c r="Q1268" s="11">
        <v>1375</v>
      </c>
      <c r="R1268" s="85">
        <v>1.8333333333333333</v>
      </c>
      <c r="S1268" s="29" t="s">
        <v>2719</v>
      </c>
      <c r="T1268" s="29" t="s">
        <v>2807</v>
      </c>
    </row>
    <row r="1269">
      <c r="B1269" s="29" t="s">
        <v>1221</v>
      </c>
      <c r="C1269" s="29" t="s">
        <v>1249</v>
      </c>
      <c r="D1269" s="8" t="s">
        <v>1311</v>
      </c>
      <c r="E1269" s="10" t="s">
        <v>2566</v>
      </c>
      <c r="F1269" s="10"/>
      <c r="G1269" s="10">
        <v>2</v>
      </c>
      <c r="H1269" s="10">
        <v>1</v>
      </c>
      <c r="I1269" s="10"/>
      <c r="J1269" s="10">
        <v>750</v>
      </c>
      <c r="K1269" s="104">
        <v>45453</v>
      </c>
      <c r="L1269" s="104">
        <v>45583</v>
      </c>
      <c r="M1269" s="10" t="b">
        <v>0</v>
      </c>
      <c r="N1269" s="10">
        <v>131</v>
      </c>
      <c r="O1269" s="11">
        <v>1400</v>
      </c>
      <c r="P1269" s="85">
        <v>1.8666666666666667</v>
      </c>
      <c r="Q1269" s="11">
        <v>1375</v>
      </c>
      <c r="R1269" s="85">
        <v>1.8333333333333333</v>
      </c>
      <c r="S1269" s="29" t="s">
        <v>2719</v>
      </c>
      <c r="T1269" s="29" t="s">
        <v>2807</v>
      </c>
    </row>
    <row r="1270">
      <c r="B1270" s="29" t="s">
        <v>1221</v>
      </c>
      <c r="C1270" s="29" t="s">
        <v>1249</v>
      </c>
      <c r="D1270" s="8" t="s">
        <v>1308</v>
      </c>
      <c r="E1270" s="10" t="s">
        <v>2567</v>
      </c>
      <c r="F1270" s="10">
        <v>1</v>
      </c>
      <c r="G1270" s="10">
        <v>2</v>
      </c>
      <c r="H1270" s="10">
        <v>1</v>
      </c>
      <c r="I1270" s="10"/>
      <c r="J1270" s="10">
        <v>750</v>
      </c>
      <c r="K1270" s="104">
        <v>45602</v>
      </c>
      <c r="L1270" s="104">
        <v>45604</v>
      </c>
      <c r="M1270" s="10" t="b">
        <v>0</v>
      </c>
      <c r="N1270" s="10">
        <v>3</v>
      </c>
      <c r="O1270" s="11">
        <v>1400</v>
      </c>
      <c r="P1270" s="85">
        <v>1.8666666666666667</v>
      </c>
      <c r="Q1270" s="11">
        <v>1400</v>
      </c>
      <c r="R1270" s="85">
        <v>1.8666666666666667</v>
      </c>
      <c r="S1270" s="29" t="s">
        <v>2719</v>
      </c>
      <c r="T1270" s="29" t="s">
        <v>2807</v>
      </c>
    </row>
    <row r="1271">
      <c r="B1271" s="29" t="s">
        <v>1221</v>
      </c>
      <c r="C1271" s="29" t="s">
        <v>1249</v>
      </c>
      <c r="D1271" s="8" t="s">
        <v>1293</v>
      </c>
      <c r="E1271" s="10" t="s">
        <v>2568</v>
      </c>
      <c r="F1271" s="10"/>
      <c r="G1271" s="10">
        <v>2</v>
      </c>
      <c r="H1271" s="10">
        <v>1</v>
      </c>
      <c r="I1271" s="10"/>
      <c r="J1271" s="10">
        <v>750</v>
      </c>
      <c r="K1271" s="104">
        <v>45153</v>
      </c>
      <c r="L1271" s="104">
        <v>45155</v>
      </c>
      <c r="M1271" s="10" t="b">
        <v>0</v>
      </c>
      <c r="N1271" s="10">
        <v>3</v>
      </c>
      <c r="O1271" s="11">
        <v>1406</v>
      </c>
      <c r="P1271" s="85">
        <v>1.8746666666666667</v>
      </c>
      <c r="Q1271" s="11">
        <v>1406</v>
      </c>
      <c r="R1271" s="85">
        <v>1.8746666666666667</v>
      </c>
      <c r="S1271" s="29" t="s">
        <v>2719</v>
      </c>
      <c r="T1271" s="29" t="s">
        <v>2797</v>
      </c>
    </row>
    <row r="1272">
      <c r="B1272" s="29" t="s">
        <v>1221</v>
      </c>
      <c r="C1272" s="29" t="s">
        <v>1249</v>
      </c>
      <c r="D1272" s="8" t="s">
        <v>1292</v>
      </c>
      <c r="E1272" s="10" t="s">
        <v>2569</v>
      </c>
      <c r="F1272" s="10"/>
      <c r="G1272" s="10">
        <v>2</v>
      </c>
      <c r="H1272" s="10">
        <v>1</v>
      </c>
      <c r="I1272" s="10"/>
      <c r="J1272" s="10">
        <v>750</v>
      </c>
      <c r="K1272" s="104">
        <v>45268</v>
      </c>
      <c r="L1272" s="104">
        <v>45269</v>
      </c>
      <c r="M1272" s="10" t="b">
        <v>0</v>
      </c>
      <c r="N1272" s="10">
        <v>2</v>
      </c>
      <c r="O1272" s="11">
        <v>1407</v>
      </c>
      <c r="P1272" s="85">
        <v>1.876</v>
      </c>
      <c r="Q1272" s="11">
        <v>1407</v>
      </c>
      <c r="R1272" s="85">
        <v>1.876</v>
      </c>
      <c r="S1272" s="29" t="s">
        <v>2719</v>
      </c>
      <c r="T1272" s="29" t="s">
        <v>2719</v>
      </c>
    </row>
    <row r="1273">
      <c r="B1273" s="29" t="s">
        <v>1221</v>
      </c>
      <c r="C1273" s="29" t="s">
        <v>1249</v>
      </c>
      <c r="D1273" s="8" t="s">
        <v>1308</v>
      </c>
      <c r="E1273" s="10" t="s">
        <v>2570</v>
      </c>
      <c r="F1273" s="10"/>
      <c r="G1273" s="10">
        <v>2</v>
      </c>
      <c r="H1273" s="10">
        <v>1</v>
      </c>
      <c r="I1273" s="10"/>
      <c r="J1273" s="10">
        <v>750</v>
      </c>
      <c r="K1273" s="104">
        <v>45461</v>
      </c>
      <c r="L1273" s="104">
        <v>45476</v>
      </c>
      <c r="M1273" s="10" t="b">
        <v>0</v>
      </c>
      <c r="N1273" s="10">
        <v>16</v>
      </c>
      <c r="O1273" s="11">
        <v>1425</v>
      </c>
      <c r="P1273" s="85">
        <v>1.9</v>
      </c>
      <c r="Q1273" s="11">
        <v>1425</v>
      </c>
      <c r="R1273" s="85">
        <v>1.9</v>
      </c>
      <c r="S1273" s="29" t="s">
        <v>2719</v>
      </c>
      <c r="T1273" s="29" t="s">
        <v>2807</v>
      </c>
    </row>
    <row r="1274">
      <c r="B1274" s="29" t="s">
        <v>1221</v>
      </c>
      <c r="C1274" s="29" t="s">
        <v>1249</v>
      </c>
      <c r="D1274" s="8" t="s">
        <v>1311</v>
      </c>
      <c r="E1274" s="10" t="s">
        <v>2571</v>
      </c>
      <c r="F1274" s="10"/>
      <c r="G1274" s="10">
        <v>2</v>
      </c>
      <c r="H1274" s="10">
        <v>1</v>
      </c>
      <c r="I1274" s="10"/>
      <c r="J1274" s="10">
        <v>750</v>
      </c>
      <c r="K1274" s="104">
        <v>45604</v>
      </c>
      <c r="L1274" s="104">
        <v>45614</v>
      </c>
      <c r="M1274" s="10" t="b">
        <v>0</v>
      </c>
      <c r="N1274" s="10">
        <v>11</v>
      </c>
      <c r="O1274" s="11">
        <v>1425</v>
      </c>
      <c r="P1274" s="85">
        <v>1.9</v>
      </c>
      <c r="Q1274" s="11">
        <v>1425</v>
      </c>
      <c r="R1274" s="85">
        <v>1.9</v>
      </c>
      <c r="S1274" s="29" t="s">
        <v>2719</v>
      </c>
      <c r="T1274" s="29" t="s">
        <v>2807</v>
      </c>
    </row>
    <row r="1275">
      <c r="B1275" s="29" t="s">
        <v>1221</v>
      </c>
      <c r="C1275" s="29" t="s">
        <v>1249</v>
      </c>
      <c r="D1275" s="8" t="s">
        <v>1307</v>
      </c>
      <c r="E1275" s="10" t="s">
        <v>2572</v>
      </c>
      <c r="F1275" s="10"/>
      <c r="G1275" s="10">
        <v>2</v>
      </c>
      <c r="H1275" s="10">
        <v>1</v>
      </c>
      <c r="I1275" s="10"/>
      <c r="J1275" s="10">
        <v>750</v>
      </c>
      <c r="K1275" s="104">
        <v>45441</v>
      </c>
      <c r="L1275" s="104">
        <v>45472</v>
      </c>
      <c r="M1275" s="10" t="b">
        <v>0</v>
      </c>
      <c r="N1275" s="10">
        <v>32</v>
      </c>
      <c r="O1275" s="11">
        <v>1425</v>
      </c>
      <c r="P1275" s="85">
        <v>1.9</v>
      </c>
      <c r="Q1275" s="11">
        <v>1425</v>
      </c>
      <c r="R1275" s="85">
        <v>1.9</v>
      </c>
      <c r="S1275" s="29" t="s">
        <v>2719</v>
      </c>
      <c r="T1275" s="29" t="s">
        <v>2807</v>
      </c>
    </row>
    <row r="1276">
      <c r="B1276" s="29" t="s">
        <v>1221</v>
      </c>
      <c r="C1276" s="29" t="s">
        <v>1249</v>
      </c>
      <c r="D1276" s="8" t="s">
        <v>1307</v>
      </c>
      <c r="E1276" s="10" t="s">
        <v>2573</v>
      </c>
      <c r="F1276" s="10"/>
      <c r="G1276" s="10">
        <v>2</v>
      </c>
      <c r="H1276" s="10">
        <v>1</v>
      </c>
      <c r="I1276" s="10"/>
      <c r="J1276" s="10">
        <v>750</v>
      </c>
      <c r="K1276" s="104">
        <v>45483</v>
      </c>
      <c r="L1276" s="104">
        <v>45497</v>
      </c>
      <c r="M1276" s="10" t="b">
        <v>0</v>
      </c>
      <c r="N1276" s="10">
        <v>15</v>
      </c>
      <c r="O1276" s="11">
        <v>1425</v>
      </c>
      <c r="P1276" s="85">
        <v>1.9</v>
      </c>
      <c r="Q1276" s="11">
        <v>1425</v>
      </c>
      <c r="R1276" s="85">
        <v>1.9</v>
      </c>
      <c r="S1276" s="29" t="s">
        <v>2719</v>
      </c>
      <c r="T1276" s="29" t="s">
        <v>2807</v>
      </c>
    </row>
    <row r="1277">
      <c r="B1277" s="29" t="s">
        <v>1221</v>
      </c>
      <c r="C1277" s="29" t="s">
        <v>1249</v>
      </c>
      <c r="D1277" s="8" t="s">
        <v>1310</v>
      </c>
      <c r="E1277" s="10" t="s">
        <v>2574</v>
      </c>
      <c r="F1277" s="10">
        <v>1</v>
      </c>
      <c r="G1277" s="10">
        <v>2</v>
      </c>
      <c r="H1277" s="10">
        <v>1</v>
      </c>
      <c r="I1277" s="10"/>
      <c r="J1277" s="10">
        <v>750</v>
      </c>
      <c r="K1277" s="104">
        <v>45432</v>
      </c>
      <c r="L1277" s="104">
        <v>45495</v>
      </c>
      <c r="M1277" s="10" t="b">
        <v>0</v>
      </c>
      <c r="N1277" s="10">
        <v>64</v>
      </c>
      <c r="O1277" s="11">
        <v>1425</v>
      </c>
      <c r="P1277" s="85">
        <v>1.9</v>
      </c>
      <c r="Q1277" s="11">
        <v>1425</v>
      </c>
      <c r="R1277" s="85">
        <v>1.9</v>
      </c>
      <c r="S1277" s="29" t="s">
        <v>2719</v>
      </c>
      <c r="T1277" s="29" t="s">
        <v>2807</v>
      </c>
    </row>
    <row r="1278">
      <c r="B1278" s="29" t="s">
        <v>1221</v>
      </c>
      <c r="C1278" s="29" t="s">
        <v>1249</v>
      </c>
      <c r="D1278" s="8" t="s">
        <v>1310</v>
      </c>
      <c r="E1278" s="10" t="s">
        <v>2575</v>
      </c>
      <c r="F1278" s="10"/>
      <c r="G1278" s="10">
        <v>2</v>
      </c>
      <c r="H1278" s="10">
        <v>1</v>
      </c>
      <c r="I1278" s="10"/>
      <c r="J1278" s="10">
        <v>750</v>
      </c>
      <c r="K1278" s="104">
        <v>45432</v>
      </c>
      <c r="L1278" s="104">
        <v>45481</v>
      </c>
      <c r="M1278" s="10" t="b">
        <v>0</v>
      </c>
      <c r="N1278" s="10">
        <v>50</v>
      </c>
      <c r="O1278" s="11">
        <v>1425</v>
      </c>
      <c r="P1278" s="85">
        <v>1.9</v>
      </c>
      <c r="Q1278" s="11">
        <v>1425</v>
      </c>
      <c r="R1278" s="85">
        <v>1.9</v>
      </c>
      <c r="S1278" s="29" t="s">
        <v>2719</v>
      </c>
      <c r="T1278" s="29" t="s">
        <v>2807</v>
      </c>
    </row>
    <row r="1279">
      <c r="B1279" s="29" t="s">
        <v>1221</v>
      </c>
      <c r="C1279" s="29" t="s">
        <v>1249</v>
      </c>
      <c r="D1279" s="8" t="s">
        <v>1307</v>
      </c>
      <c r="E1279" s="10" t="s">
        <v>2576</v>
      </c>
      <c r="F1279" s="10">
        <v>2</v>
      </c>
      <c r="G1279" s="10">
        <v>2</v>
      </c>
      <c r="H1279" s="10">
        <v>1</v>
      </c>
      <c r="I1279" s="10"/>
      <c r="J1279" s="10">
        <v>750</v>
      </c>
      <c r="K1279" s="104">
        <v>45432</v>
      </c>
      <c r="L1279" s="104">
        <v>45480</v>
      </c>
      <c r="M1279" s="10" t="b">
        <v>0</v>
      </c>
      <c r="N1279" s="10">
        <v>49</v>
      </c>
      <c r="O1279" s="11">
        <v>1425</v>
      </c>
      <c r="P1279" s="85">
        <v>1.9</v>
      </c>
      <c r="Q1279" s="11">
        <v>1425</v>
      </c>
      <c r="R1279" s="85">
        <v>1.9</v>
      </c>
      <c r="S1279" s="29" t="s">
        <v>2719</v>
      </c>
      <c r="T1279" s="29" t="s">
        <v>2807</v>
      </c>
    </row>
    <row r="1280">
      <c r="B1280" s="29" t="s">
        <v>1221</v>
      </c>
      <c r="C1280" s="29" t="s">
        <v>1249</v>
      </c>
      <c r="D1280" s="8" t="s">
        <v>1296</v>
      </c>
      <c r="E1280" s="10" t="s">
        <v>2577</v>
      </c>
      <c r="F1280" s="10"/>
      <c r="G1280" s="10">
        <v>2</v>
      </c>
      <c r="H1280" s="10">
        <v>1</v>
      </c>
      <c r="I1280" s="10"/>
      <c r="J1280" s="10">
        <v>750</v>
      </c>
      <c r="K1280" s="104">
        <v>45289</v>
      </c>
      <c r="L1280" s="104">
        <v>45318</v>
      </c>
      <c r="M1280" s="10" t="b">
        <v>0</v>
      </c>
      <c r="N1280" s="10">
        <v>30</v>
      </c>
      <c r="O1280" s="11">
        <v>1444</v>
      </c>
      <c r="P1280" s="85">
        <v>1.9253333333333333</v>
      </c>
      <c r="Q1280" s="11">
        <v>1444</v>
      </c>
      <c r="R1280" s="85">
        <v>1.9253333333333333</v>
      </c>
      <c r="S1280" s="29" t="s">
        <v>2719</v>
      </c>
      <c r="T1280" s="29" t="s">
        <v>2798</v>
      </c>
    </row>
    <row r="1281">
      <c r="B1281" s="29" t="s">
        <v>1221</v>
      </c>
      <c r="C1281" s="29" t="s">
        <v>1249</v>
      </c>
      <c r="D1281" s="8" t="s">
        <v>1291</v>
      </c>
      <c r="E1281" s="10" t="s">
        <v>2578</v>
      </c>
      <c r="F1281" s="10"/>
      <c r="G1281" s="10">
        <v>2</v>
      </c>
      <c r="H1281" s="10">
        <v>1</v>
      </c>
      <c r="I1281" s="10"/>
      <c r="J1281" s="10">
        <v>750</v>
      </c>
      <c r="K1281" s="104">
        <v>45171</v>
      </c>
      <c r="L1281" s="104">
        <v>45175</v>
      </c>
      <c r="M1281" s="10" t="b">
        <v>0</v>
      </c>
      <c r="N1281" s="10">
        <v>5</v>
      </c>
      <c r="O1281" s="11">
        <v>1450</v>
      </c>
      <c r="P1281" s="85">
        <v>1.9333333333333333</v>
      </c>
      <c r="Q1281" s="11">
        <v>1450</v>
      </c>
      <c r="R1281" s="85">
        <v>1.9333333333333333</v>
      </c>
      <c r="S1281" s="29" t="s">
        <v>2719</v>
      </c>
      <c r="T1281" s="29" t="s">
        <v>2719</v>
      </c>
    </row>
    <row r="1282">
      <c r="B1282" s="29" t="s">
        <v>1221</v>
      </c>
      <c r="C1282" s="29" t="s">
        <v>1249</v>
      </c>
      <c r="D1282" s="8" t="s">
        <v>1312</v>
      </c>
      <c r="E1282" s="10" t="s">
        <v>2579</v>
      </c>
      <c r="F1282" s="10">
        <v>4</v>
      </c>
      <c r="G1282" s="10">
        <v>2</v>
      </c>
      <c r="H1282" s="10">
        <v>1</v>
      </c>
      <c r="I1282" s="10"/>
      <c r="J1282" s="10">
        <v>750</v>
      </c>
      <c r="K1282" s="104">
        <v>45548</v>
      </c>
      <c r="L1282" s="104">
        <v>45577</v>
      </c>
      <c r="M1282" s="10" t="b">
        <v>0</v>
      </c>
      <c r="N1282" s="10">
        <v>30</v>
      </c>
      <c r="O1282" s="11">
        <v>1450</v>
      </c>
      <c r="P1282" s="85">
        <v>1.9333333333333333</v>
      </c>
      <c r="Q1282" s="11">
        <v>1425</v>
      </c>
      <c r="R1282" s="85">
        <v>1.9</v>
      </c>
      <c r="S1282" s="29" t="s">
        <v>2785</v>
      </c>
      <c r="T1282" s="29" t="s">
        <v>2798</v>
      </c>
    </row>
    <row r="1283">
      <c r="B1283" s="29" t="s">
        <v>1221</v>
      </c>
      <c r="C1283" s="29" t="s">
        <v>1249</v>
      </c>
      <c r="D1283" s="8" t="s">
        <v>1312</v>
      </c>
      <c r="E1283" s="10" t="s">
        <v>2580</v>
      </c>
      <c r="F1283" s="10"/>
      <c r="G1283" s="10">
        <v>2</v>
      </c>
      <c r="H1283" s="10">
        <v>1</v>
      </c>
      <c r="I1283" s="10"/>
      <c r="J1283" s="10">
        <v>750</v>
      </c>
      <c r="K1283" s="104">
        <v>45476</v>
      </c>
      <c r="L1283" s="104">
        <v>45479</v>
      </c>
      <c r="M1283" s="10" t="b">
        <v>0</v>
      </c>
      <c r="N1283" s="10">
        <v>4</v>
      </c>
      <c r="O1283" s="11">
        <v>1450</v>
      </c>
      <c r="P1283" s="85">
        <v>1.9333333333333333</v>
      </c>
      <c r="Q1283" s="11">
        <v>1450</v>
      </c>
      <c r="R1283" s="85">
        <v>1.9333333333333333</v>
      </c>
      <c r="S1283" s="29" t="s">
        <v>2785</v>
      </c>
      <c r="T1283" s="29" t="s">
        <v>2798</v>
      </c>
    </row>
    <row r="1284">
      <c r="B1284" s="29" t="s">
        <v>1221</v>
      </c>
      <c r="C1284" s="29" t="s">
        <v>1249</v>
      </c>
      <c r="D1284" s="8" t="s">
        <v>1309</v>
      </c>
      <c r="E1284" s="10" t="s">
        <v>2581</v>
      </c>
      <c r="F1284" s="10">
        <v>2</v>
      </c>
      <c r="G1284" s="10">
        <v>2</v>
      </c>
      <c r="H1284" s="10">
        <v>1</v>
      </c>
      <c r="I1284" s="10"/>
      <c r="J1284" s="10">
        <v>750</v>
      </c>
      <c r="K1284" s="104">
        <v>45645</v>
      </c>
      <c r="L1284" s="104">
        <v>45668</v>
      </c>
      <c r="M1284" s="10" t="b">
        <v>0</v>
      </c>
      <c r="N1284" s="10">
        <v>24</v>
      </c>
      <c r="O1284" s="11">
        <v>1475</v>
      </c>
      <c r="P1284" s="85">
        <v>1.9666666666666666</v>
      </c>
      <c r="Q1284" s="11">
        <v>1475</v>
      </c>
      <c r="R1284" s="85">
        <v>1.9666666666666666</v>
      </c>
      <c r="S1284" s="29" t="s">
        <v>2719</v>
      </c>
      <c r="T1284" s="29" t="s">
        <v>2807</v>
      </c>
    </row>
    <row r="1285">
      <c r="B1285" s="29" t="s">
        <v>1221</v>
      </c>
      <c r="C1285" s="29" t="s">
        <v>1249</v>
      </c>
      <c r="D1285" s="8" t="s">
        <v>1310</v>
      </c>
      <c r="E1285" s="10" t="s">
        <v>2582</v>
      </c>
      <c r="F1285" s="10"/>
      <c r="G1285" s="10">
        <v>2</v>
      </c>
      <c r="H1285" s="10">
        <v>1</v>
      </c>
      <c r="I1285" s="10"/>
      <c r="J1285" s="10">
        <v>750</v>
      </c>
      <c r="K1285" s="104">
        <v>45756</v>
      </c>
      <c r="L1285" s="104">
        <v>45783</v>
      </c>
      <c r="M1285" s="10" t="b">
        <v>0</v>
      </c>
      <c r="N1285" s="10">
        <v>28</v>
      </c>
      <c r="O1285" s="11">
        <v>1475</v>
      </c>
      <c r="P1285" s="85">
        <v>1.9666666666666666</v>
      </c>
      <c r="Q1285" s="11">
        <v>1475</v>
      </c>
      <c r="R1285" s="85">
        <v>1.9666666666666666</v>
      </c>
      <c r="S1285" s="29" t="s">
        <v>2719</v>
      </c>
      <c r="T1285" s="29" t="s">
        <v>2807</v>
      </c>
    </row>
    <row r="1286">
      <c r="B1286" s="29" t="s">
        <v>1221</v>
      </c>
      <c r="C1286" s="29" t="s">
        <v>1249</v>
      </c>
      <c r="D1286" s="8" t="s">
        <v>1309</v>
      </c>
      <c r="E1286" s="10" t="s">
        <v>2583</v>
      </c>
      <c r="F1286" s="10"/>
      <c r="G1286" s="10">
        <v>2</v>
      </c>
      <c r="H1286" s="10">
        <v>1</v>
      </c>
      <c r="I1286" s="10"/>
      <c r="J1286" s="10">
        <v>750</v>
      </c>
      <c r="K1286" s="104">
        <v>45772</v>
      </c>
      <c r="L1286" s="104">
        <v>45778</v>
      </c>
      <c r="M1286" s="10" t="b">
        <v>0</v>
      </c>
      <c r="N1286" s="10">
        <v>7</v>
      </c>
      <c r="O1286" s="11">
        <v>1475</v>
      </c>
      <c r="P1286" s="85">
        <v>1.9666666666666666</v>
      </c>
      <c r="Q1286" s="11">
        <v>1475</v>
      </c>
      <c r="R1286" s="85">
        <v>1.9666666666666666</v>
      </c>
      <c r="S1286" s="29" t="s">
        <v>2719</v>
      </c>
      <c r="T1286" s="29" t="s">
        <v>2807</v>
      </c>
    </row>
    <row r="1287">
      <c r="B1287" s="29" t="s">
        <v>1221</v>
      </c>
      <c r="C1287" s="29" t="s">
        <v>1249</v>
      </c>
      <c r="D1287" s="8" t="s">
        <v>1310</v>
      </c>
      <c r="E1287" s="10" t="s">
        <v>2584</v>
      </c>
      <c r="F1287" s="10"/>
      <c r="G1287" s="10">
        <v>2</v>
      </c>
      <c r="H1287" s="10">
        <v>1</v>
      </c>
      <c r="I1287" s="10"/>
      <c r="J1287" s="10">
        <v>750</v>
      </c>
      <c r="K1287" s="104">
        <v>45743</v>
      </c>
      <c r="L1287" s="104">
        <v>45762</v>
      </c>
      <c r="M1287" s="10" t="b">
        <v>0</v>
      </c>
      <c r="N1287" s="10">
        <v>20</v>
      </c>
      <c r="O1287" s="11">
        <v>1475</v>
      </c>
      <c r="P1287" s="85">
        <v>1.9666666666666666</v>
      </c>
      <c r="Q1287" s="11">
        <v>1475</v>
      </c>
      <c r="R1287" s="85">
        <v>1.9666666666666666</v>
      </c>
      <c r="S1287" s="29" t="s">
        <v>2719</v>
      </c>
      <c r="T1287" s="29" t="s">
        <v>2807</v>
      </c>
    </row>
    <row r="1288">
      <c r="B1288" s="29" t="s">
        <v>1221</v>
      </c>
      <c r="C1288" s="29" t="s">
        <v>1249</v>
      </c>
      <c r="D1288" s="8" t="s">
        <v>1309</v>
      </c>
      <c r="E1288" s="10" t="s">
        <v>2585</v>
      </c>
      <c r="F1288" s="10"/>
      <c r="G1288" s="10">
        <v>2</v>
      </c>
      <c r="H1288" s="10">
        <v>1</v>
      </c>
      <c r="I1288" s="10"/>
      <c r="J1288" s="10">
        <v>750</v>
      </c>
      <c r="K1288" s="104">
        <v>45772</v>
      </c>
      <c r="L1288" s="104">
        <v>45782</v>
      </c>
      <c r="M1288" s="10" t="b">
        <v>0</v>
      </c>
      <c r="N1288" s="10">
        <v>11</v>
      </c>
      <c r="O1288" s="11">
        <v>1475</v>
      </c>
      <c r="P1288" s="85">
        <v>1.9666666666666666</v>
      </c>
      <c r="Q1288" s="11">
        <v>1475</v>
      </c>
      <c r="R1288" s="85">
        <v>1.9666666666666666</v>
      </c>
      <c r="S1288" s="29" t="s">
        <v>2719</v>
      </c>
      <c r="T1288" s="29" t="s">
        <v>2807</v>
      </c>
    </row>
    <row r="1289">
      <c r="B1289" s="29" t="s">
        <v>1221</v>
      </c>
      <c r="C1289" s="29" t="s">
        <v>1249</v>
      </c>
      <c r="D1289" s="8" t="s">
        <v>1310</v>
      </c>
      <c r="E1289" s="10" t="s">
        <v>2586</v>
      </c>
      <c r="F1289" s="10">
        <v>1</v>
      </c>
      <c r="G1289" s="10">
        <v>2</v>
      </c>
      <c r="H1289" s="10">
        <v>1</v>
      </c>
      <c r="I1289" s="10"/>
      <c r="J1289" s="10">
        <v>750</v>
      </c>
      <c r="K1289" s="104">
        <v>45778</v>
      </c>
      <c r="L1289" s="104">
        <v>45782</v>
      </c>
      <c r="M1289" s="10" t="b">
        <v>0</v>
      </c>
      <c r="N1289" s="10">
        <v>5</v>
      </c>
      <c r="O1289" s="11">
        <v>1475</v>
      </c>
      <c r="P1289" s="85">
        <v>1.9666666666666666</v>
      </c>
      <c r="Q1289" s="11">
        <v>1475</v>
      </c>
      <c r="R1289" s="85">
        <v>1.9666666666666666</v>
      </c>
      <c r="S1289" s="29" t="s">
        <v>2719</v>
      </c>
      <c r="T1289" s="29" t="s">
        <v>2807</v>
      </c>
    </row>
    <row r="1290">
      <c r="B1290" s="29" t="s">
        <v>1221</v>
      </c>
      <c r="C1290" s="29" t="s">
        <v>1249</v>
      </c>
      <c r="D1290" s="8" t="s">
        <v>1308</v>
      </c>
      <c r="E1290" s="10" t="s">
        <v>2587</v>
      </c>
      <c r="F1290" s="10"/>
      <c r="G1290" s="10">
        <v>2</v>
      </c>
      <c r="H1290" s="10">
        <v>1</v>
      </c>
      <c r="I1290" s="10"/>
      <c r="J1290" s="10">
        <v>750</v>
      </c>
      <c r="K1290" s="104">
        <v>45645</v>
      </c>
      <c r="L1290" s="104">
        <v>45691</v>
      </c>
      <c r="M1290" s="10" t="b">
        <v>0</v>
      </c>
      <c r="N1290" s="10">
        <v>47</v>
      </c>
      <c r="O1290" s="11">
        <v>1475</v>
      </c>
      <c r="P1290" s="85">
        <v>1.9666666666666666</v>
      </c>
      <c r="Q1290" s="11">
        <v>1475</v>
      </c>
      <c r="R1290" s="85">
        <v>1.9666666666666666</v>
      </c>
      <c r="S1290" s="29" t="s">
        <v>2719</v>
      </c>
      <c r="T1290" s="29" t="s">
        <v>2807</v>
      </c>
    </row>
    <row r="1291">
      <c r="B1291" s="29" t="s">
        <v>1221</v>
      </c>
      <c r="C1291" s="29" t="s">
        <v>1249</v>
      </c>
      <c r="D1291" s="8" t="s">
        <v>1309</v>
      </c>
      <c r="E1291" s="10" t="s">
        <v>2588</v>
      </c>
      <c r="F1291" s="10">
        <v>4</v>
      </c>
      <c r="G1291" s="10">
        <v>2</v>
      </c>
      <c r="H1291" s="10">
        <v>1</v>
      </c>
      <c r="I1291" s="10"/>
      <c r="J1291" s="10">
        <v>750</v>
      </c>
      <c r="K1291" s="104">
        <v>45677</v>
      </c>
      <c r="L1291" s="104">
        <v>45704</v>
      </c>
      <c r="M1291" s="10" t="b">
        <v>0</v>
      </c>
      <c r="N1291" s="10">
        <v>28</v>
      </c>
      <c r="O1291" s="11">
        <v>1475</v>
      </c>
      <c r="P1291" s="85">
        <v>1.9666666666666666</v>
      </c>
      <c r="Q1291" s="11">
        <v>1475</v>
      </c>
      <c r="R1291" s="85">
        <v>1.9666666666666666</v>
      </c>
      <c r="S1291" s="29" t="s">
        <v>2719</v>
      </c>
      <c r="T1291" s="29" t="s">
        <v>2807</v>
      </c>
    </row>
    <row r="1292">
      <c r="B1292" s="29" t="s">
        <v>1221</v>
      </c>
      <c r="C1292" s="29" t="s">
        <v>1249</v>
      </c>
      <c r="D1292" s="8" t="s">
        <v>1312</v>
      </c>
      <c r="E1292" s="10" t="s">
        <v>2589</v>
      </c>
      <c r="F1292" s="10">
        <v>4</v>
      </c>
      <c r="G1292" s="10">
        <v>2</v>
      </c>
      <c r="H1292" s="10">
        <v>1</v>
      </c>
      <c r="I1292" s="10"/>
      <c r="J1292" s="10">
        <v>750</v>
      </c>
      <c r="K1292" s="104">
        <v>45694</v>
      </c>
      <c r="L1292" s="104">
        <v>45741</v>
      </c>
      <c r="M1292" s="10" t="b">
        <v>0</v>
      </c>
      <c r="N1292" s="10">
        <v>48</v>
      </c>
      <c r="O1292" s="11">
        <v>1500</v>
      </c>
      <c r="P1292" s="85">
        <v>2</v>
      </c>
      <c r="Q1292" s="11">
        <v>1500</v>
      </c>
      <c r="R1292" s="85">
        <v>2</v>
      </c>
      <c r="S1292" s="29" t="s">
        <v>2785</v>
      </c>
      <c r="T1292" s="29" t="s">
        <v>2798</v>
      </c>
    </row>
    <row r="1293">
      <c r="B1293" s="29" t="s">
        <v>1221</v>
      </c>
      <c r="C1293" s="29" t="s">
        <v>1249</v>
      </c>
      <c r="D1293" s="8" t="s">
        <v>1312</v>
      </c>
      <c r="E1293" s="10" t="s">
        <v>2590</v>
      </c>
      <c r="F1293" s="10"/>
      <c r="G1293" s="10">
        <v>2</v>
      </c>
      <c r="H1293" s="10">
        <v>1</v>
      </c>
      <c r="I1293" s="10"/>
      <c r="J1293" s="10">
        <v>750</v>
      </c>
      <c r="K1293" s="104">
        <v>45713</v>
      </c>
      <c r="L1293" s="104">
        <v>45759</v>
      </c>
      <c r="M1293" s="10" t="b">
        <v>0</v>
      </c>
      <c r="N1293" s="10">
        <v>47</v>
      </c>
      <c r="O1293" s="11">
        <v>1500</v>
      </c>
      <c r="P1293" s="85">
        <v>2</v>
      </c>
      <c r="Q1293" s="11">
        <v>1500</v>
      </c>
      <c r="R1293" s="85">
        <v>2</v>
      </c>
      <c r="S1293" s="29" t="s">
        <v>2785</v>
      </c>
      <c r="T1293" s="29" t="s">
        <v>2798</v>
      </c>
    </row>
    <row r="1294">
      <c r="B1294" s="29" t="s">
        <v>1221</v>
      </c>
      <c r="C1294" s="29" t="s">
        <v>1249</v>
      </c>
      <c r="D1294" s="8" t="s">
        <v>1312</v>
      </c>
      <c r="E1294" s="10" t="s">
        <v>2591</v>
      </c>
      <c r="F1294" s="10"/>
      <c r="G1294" s="10">
        <v>2</v>
      </c>
      <c r="H1294" s="10">
        <v>1</v>
      </c>
      <c r="I1294" s="10"/>
      <c r="J1294" s="10">
        <v>750</v>
      </c>
      <c r="K1294" s="104">
        <v>45607</v>
      </c>
      <c r="L1294" s="104">
        <v>45692</v>
      </c>
      <c r="M1294" s="10" t="b">
        <v>0</v>
      </c>
      <c r="N1294" s="10">
        <v>86</v>
      </c>
      <c r="O1294" s="11">
        <v>1500</v>
      </c>
      <c r="P1294" s="85">
        <v>2</v>
      </c>
      <c r="Q1294" s="11">
        <v>1500</v>
      </c>
      <c r="R1294" s="85">
        <v>2</v>
      </c>
      <c r="S1294" s="29" t="s">
        <v>2785</v>
      </c>
      <c r="T1294" s="29" t="s">
        <v>2798</v>
      </c>
    </row>
    <row r="1295">
      <c r="B1295" s="29" t="s">
        <v>1221</v>
      </c>
      <c r="C1295" s="29" t="s">
        <v>1249</v>
      </c>
      <c r="D1295" s="8" t="s">
        <v>1312</v>
      </c>
      <c r="E1295" s="10" t="s">
        <v>2592</v>
      </c>
      <c r="F1295" s="10"/>
      <c r="G1295" s="10">
        <v>2</v>
      </c>
      <c r="H1295" s="10">
        <v>1</v>
      </c>
      <c r="I1295" s="10"/>
      <c r="J1295" s="10">
        <v>750</v>
      </c>
      <c r="K1295" s="104">
        <v>45693</v>
      </c>
      <c r="L1295" s="104">
        <v>45727</v>
      </c>
      <c r="M1295" s="10" t="b">
        <v>0</v>
      </c>
      <c r="N1295" s="10">
        <v>35</v>
      </c>
      <c r="O1295" s="11">
        <v>1500</v>
      </c>
      <c r="P1295" s="85">
        <v>2</v>
      </c>
      <c r="Q1295" s="11">
        <v>1500</v>
      </c>
      <c r="R1295" s="85">
        <v>2</v>
      </c>
      <c r="S1295" s="29" t="s">
        <v>2786</v>
      </c>
      <c r="T1295" s="29" t="s">
        <v>2798</v>
      </c>
    </row>
    <row r="1296">
      <c r="B1296" s="29" t="s">
        <v>1221</v>
      </c>
      <c r="C1296" s="29" t="s">
        <v>1249</v>
      </c>
      <c r="D1296" s="8" t="s">
        <v>1312</v>
      </c>
      <c r="E1296" s="10" t="s">
        <v>2593</v>
      </c>
      <c r="F1296" s="10"/>
      <c r="G1296" s="10">
        <v>2</v>
      </c>
      <c r="H1296" s="10">
        <v>1</v>
      </c>
      <c r="I1296" s="10"/>
      <c r="J1296" s="10">
        <v>750</v>
      </c>
      <c r="K1296" s="104">
        <v>45752</v>
      </c>
      <c r="L1296" s="104"/>
      <c r="M1296" s="10" t="b">
        <v>1</v>
      </c>
      <c r="N1296" s="10"/>
      <c r="O1296" s="11">
        <v>1500</v>
      </c>
      <c r="P1296" s="85">
        <v>2</v>
      </c>
      <c r="Q1296" s="11">
        <v>1500</v>
      </c>
      <c r="R1296" s="85">
        <v>2</v>
      </c>
      <c r="S1296" s="29" t="s">
        <v>2785</v>
      </c>
      <c r="T1296" s="29" t="s">
        <v>2798</v>
      </c>
    </row>
    <row r="1297">
      <c r="B1297" s="29" t="s">
        <v>1221</v>
      </c>
      <c r="C1297" s="29" t="s">
        <v>1249</v>
      </c>
      <c r="D1297" s="8" t="s">
        <v>1312</v>
      </c>
      <c r="E1297" s="10" t="s">
        <v>2594</v>
      </c>
      <c r="F1297" s="10"/>
      <c r="G1297" s="10">
        <v>2</v>
      </c>
      <c r="H1297" s="10">
        <v>1</v>
      </c>
      <c r="I1297" s="10"/>
      <c r="J1297" s="10">
        <v>750</v>
      </c>
      <c r="K1297" s="104">
        <v>45735</v>
      </c>
      <c r="L1297" s="104">
        <v>45749</v>
      </c>
      <c r="M1297" s="10" t="b">
        <v>0</v>
      </c>
      <c r="N1297" s="10">
        <v>15</v>
      </c>
      <c r="O1297" s="11">
        <v>1500</v>
      </c>
      <c r="P1297" s="85">
        <v>2</v>
      </c>
      <c r="Q1297" s="11">
        <v>1500</v>
      </c>
      <c r="R1297" s="85">
        <v>2</v>
      </c>
      <c r="S1297" s="29" t="s">
        <v>2785</v>
      </c>
      <c r="T1297" s="29" t="s">
        <v>2798</v>
      </c>
    </row>
    <row r="1298">
      <c r="B1298" s="29" t="s">
        <v>1221</v>
      </c>
      <c r="C1298" s="29" t="s">
        <v>1249</v>
      </c>
      <c r="D1298" s="8" t="s">
        <v>1296</v>
      </c>
      <c r="E1298" s="10" t="s">
        <v>2595</v>
      </c>
      <c r="F1298" s="10">
        <v>4</v>
      </c>
      <c r="G1298" s="10">
        <v>2</v>
      </c>
      <c r="H1298" s="10">
        <v>1</v>
      </c>
      <c r="I1298" s="10"/>
      <c r="J1298" s="10">
        <v>750</v>
      </c>
      <c r="K1298" s="104">
        <v>45289</v>
      </c>
      <c r="L1298" s="104">
        <v>45300</v>
      </c>
      <c r="M1298" s="10" t="b">
        <v>0</v>
      </c>
      <c r="N1298" s="10">
        <v>12</v>
      </c>
      <c r="O1298" s="11">
        <v>1525</v>
      </c>
      <c r="P1298" s="85">
        <v>2.033333333333333</v>
      </c>
      <c r="Q1298" s="11">
        <v>1525</v>
      </c>
      <c r="R1298" s="85">
        <v>2.033333333333333</v>
      </c>
      <c r="S1298" s="29" t="s">
        <v>2719</v>
      </c>
      <c r="T1298" s="29" t="s">
        <v>2798</v>
      </c>
    </row>
    <row r="1299">
      <c r="B1299" s="29" t="s">
        <v>1221</v>
      </c>
      <c r="C1299" s="29" t="s">
        <v>1249</v>
      </c>
      <c r="D1299" s="8" t="s">
        <v>1292</v>
      </c>
      <c r="E1299" s="10" t="s">
        <v>2596</v>
      </c>
      <c r="F1299" s="10"/>
      <c r="G1299" s="10">
        <v>2</v>
      </c>
      <c r="H1299" s="10">
        <v>1</v>
      </c>
      <c r="I1299" s="10"/>
      <c r="J1299" s="10">
        <v>750</v>
      </c>
      <c r="K1299" s="104">
        <v>45258</v>
      </c>
      <c r="L1299" s="104">
        <v>45259</v>
      </c>
      <c r="M1299" s="10" t="b">
        <v>0</v>
      </c>
      <c r="N1299" s="10">
        <v>2</v>
      </c>
      <c r="O1299" s="11">
        <v>1541</v>
      </c>
      <c r="P1299" s="85">
        <v>2.054666666666667</v>
      </c>
      <c r="Q1299" s="11">
        <v>1541</v>
      </c>
      <c r="R1299" s="85">
        <v>2.054666666666667</v>
      </c>
      <c r="S1299" s="29" t="s">
        <v>2719</v>
      </c>
      <c r="T1299" s="29" t="s">
        <v>2719</v>
      </c>
    </row>
    <row r="1300">
      <c r="B1300" s="29" t="s">
        <v>1221</v>
      </c>
      <c r="C1300" s="29" t="s">
        <v>1249</v>
      </c>
      <c r="D1300" s="8" t="s">
        <v>1313</v>
      </c>
      <c r="E1300" s="10" t="s">
        <v>2597</v>
      </c>
      <c r="F1300" s="10"/>
      <c r="G1300" s="10">
        <v>2</v>
      </c>
      <c r="H1300" s="10">
        <v>1</v>
      </c>
      <c r="I1300" s="10"/>
      <c r="J1300" s="10">
        <v>750</v>
      </c>
      <c r="K1300" s="104">
        <v>45574</v>
      </c>
      <c r="L1300" s="104">
        <v>45656</v>
      </c>
      <c r="M1300" s="10" t="b">
        <v>0</v>
      </c>
      <c r="N1300" s="10">
        <v>83</v>
      </c>
      <c r="O1300" s="11">
        <v>1550</v>
      </c>
      <c r="P1300" s="85">
        <v>2.066666666666667</v>
      </c>
      <c r="Q1300" s="11">
        <v>1550</v>
      </c>
      <c r="R1300" s="85">
        <v>2.066666666666667</v>
      </c>
      <c r="S1300" s="29" t="s">
        <v>2719</v>
      </c>
      <c r="T1300" s="29" t="s">
        <v>2809</v>
      </c>
    </row>
    <row r="1301">
      <c r="B1301" s="29" t="s">
        <v>1221</v>
      </c>
      <c r="C1301" s="29" t="s">
        <v>1249</v>
      </c>
      <c r="D1301" s="8" t="s">
        <v>1313</v>
      </c>
      <c r="E1301" s="10" t="s">
        <v>2598</v>
      </c>
      <c r="F1301" s="10"/>
      <c r="G1301" s="10">
        <v>2</v>
      </c>
      <c r="H1301" s="10">
        <v>1</v>
      </c>
      <c r="I1301" s="10"/>
      <c r="J1301" s="10">
        <v>750</v>
      </c>
      <c r="K1301" s="104">
        <v>45484</v>
      </c>
      <c r="L1301" s="104">
        <v>45505</v>
      </c>
      <c r="M1301" s="10" t="b">
        <v>0</v>
      </c>
      <c r="N1301" s="10">
        <v>22</v>
      </c>
      <c r="O1301" s="11">
        <v>1550</v>
      </c>
      <c r="P1301" s="85">
        <v>2.066666666666667</v>
      </c>
      <c r="Q1301" s="11">
        <v>1550</v>
      </c>
      <c r="R1301" s="85">
        <v>2.066666666666667</v>
      </c>
      <c r="S1301" s="29" t="s">
        <v>2719</v>
      </c>
      <c r="T1301" s="29" t="s">
        <v>2809</v>
      </c>
    </row>
    <row r="1302">
      <c r="B1302" s="29" t="s">
        <v>1221</v>
      </c>
      <c r="C1302" s="29" t="s">
        <v>1249</v>
      </c>
      <c r="D1302" s="8" t="s">
        <v>1292</v>
      </c>
      <c r="E1302" s="10" t="s">
        <v>2599</v>
      </c>
      <c r="F1302" s="10"/>
      <c r="G1302" s="10">
        <v>2</v>
      </c>
      <c r="H1302" s="10">
        <v>1</v>
      </c>
      <c r="I1302" s="10"/>
      <c r="J1302" s="10">
        <v>750</v>
      </c>
      <c r="K1302" s="104">
        <v>45289</v>
      </c>
      <c r="L1302" s="104">
        <v>45290</v>
      </c>
      <c r="M1302" s="10" t="b">
        <v>0</v>
      </c>
      <c r="N1302" s="10">
        <v>2</v>
      </c>
      <c r="O1302" s="11">
        <v>1573</v>
      </c>
      <c r="P1302" s="85">
        <v>2.0973333333333333</v>
      </c>
      <c r="Q1302" s="11">
        <v>1573</v>
      </c>
      <c r="R1302" s="85">
        <v>2.0973333333333333</v>
      </c>
      <c r="S1302" s="29" t="s">
        <v>2719</v>
      </c>
      <c r="T1302" s="29" t="s">
        <v>2719</v>
      </c>
    </row>
    <row r="1303">
      <c r="B1303" s="29" t="s">
        <v>1221</v>
      </c>
      <c r="C1303" s="29" t="s">
        <v>1249</v>
      </c>
      <c r="D1303" s="8" t="s">
        <v>1293</v>
      </c>
      <c r="E1303" s="10" t="s">
        <v>2600</v>
      </c>
      <c r="F1303" s="10"/>
      <c r="G1303" s="10">
        <v>2</v>
      </c>
      <c r="H1303" s="10">
        <v>1</v>
      </c>
      <c r="I1303" s="10"/>
      <c r="J1303" s="10">
        <v>750</v>
      </c>
      <c r="K1303" s="104">
        <v>45188</v>
      </c>
      <c r="L1303" s="104">
        <v>45191</v>
      </c>
      <c r="M1303" s="10" t="b">
        <v>0</v>
      </c>
      <c r="N1303" s="10">
        <v>4</v>
      </c>
      <c r="O1303" s="11">
        <v>1580</v>
      </c>
      <c r="P1303" s="85">
        <v>2.1066666666666665</v>
      </c>
      <c r="Q1303" s="11">
        <v>1580</v>
      </c>
      <c r="R1303" s="85">
        <v>2.1066666666666665</v>
      </c>
      <c r="S1303" s="29" t="s">
        <v>2719</v>
      </c>
      <c r="T1303" s="29" t="s">
        <v>2797</v>
      </c>
    </row>
    <row r="1304">
      <c r="B1304" s="29" t="s">
        <v>1221</v>
      </c>
      <c r="C1304" s="29" t="s">
        <v>1249</v>
      </c>
      <c r="D1304" s="8" t="s">
        <v>1294</v>
      </c>
      <c r="E1304" s="10" t="s">
        <v>2601</v>
      </c>
      <c r="F1304" s="10"/>
      <c r="G1304" s="10">
        <v>2</v>
      </c>
      <c r="H1304" s="10">
        <v>1</v>
      </c>
      <c r="I1304" s="10"/>
      <c r="J1304" s="10">
        <v>750</v>
      </c>
      <c r="K1304" s="104">
        <v>45153</v>
      </c>
      <c r="L1304" s="104">
        <v>45167</v>
      </c>
      <c r="M1304" s="10" t="b">
        <v>0</v>
      </c>
      <c r="N1304" s="10">
        <v>15</v>
      </c>
      <c r="O1304" s="11">
        <v>1595</v>
      </c>
      <c r="P1304" s="85">
        <v>2.1266666666666665</v>
      </c>
      <c r="Q1304" s="11">
        <v>1595</v>
      </c>
      <c r="R1304" s="85">
        <v>2.1266666666666665</v>
      </c>
      <c r="S1304" s="29" t="s">
        <v>2719</v>
      </c>
      <c r="T1304" s="29" t="s">
        <v>2797</v>
      </c>
    </row>
    <row r="1305">
      <c r="B1305" s="29" t="s">
        <v>1221</v>
      </c>
      <c r="C1305" s="29" t="s">
        <v>1249</v>
      </c>
      <c r="D1305" s="8" t="s">
        <v>1292</v>
      </c>
      <c r="E1305" s="10" t="s">
        <v>2602</v>
      </c>
      <c r="F1305" s="10"/>
      <c r="G1305" s="10">
        <v>2</v>
      </c>
      <c r="H1305" s="10">
        <v>1</v>
      </c>
      <c r="I1305" s="10"/>
      <c r="J1305" s="10">
        <v>750</v>
      </c>
      <c r="K1305" s="104">
        <v>45191</v>
      </c>
      <c r="L1305" s="104">
        <v>45195</v>
      </c>
      <c r="M1305" s="10" t="b">
        <v>0</v>
      </c>
      <c r="N1305" s="10">
        <v>5</v>
      </c>
      <c r="O1305" s="11">
        <v>1600</v>
      </c>
      <c r="P1305" s="85">
        <v>2.1333333333333333</v>
      </c>
      <c r="Q1305" s="11">
        <v>1600</v>
      </c>
      <c r="R1305" s="85">
        <v>2.1333333333333333</v>
      </c>
      <c r="S1305" s="29" t="s">
        <v>2719</v>
      </c>
      <c r="T1305" s="29" t="s">
        <v>2719</v>
      </c>
    </row>
    <row r="1306">
      <c r="B1306" s="29" t="s">
        <v>1221</v>
      </c>
      <c r="C1306" s="29" t="s">
        <v>1249</v>
      </c>
      <c r="D1306" s="8" t="s">
        <v>1293</v>
      </c>
      <c r="E1306" s="10" t="s">
        <v>2603</v>
      </c>
      <c r="F1306" s="10">
        <v>2</v>
      </c>
      <c r="G1306" s="10">
        <v>2</v>
      </c>
      <c r="H1306" s="10">
        <v>1</v>
      </c>
      <c r="I1306" s="10"/>
      <c r="J1306" s="10">
        <v>750</v>
      </c>
      <c r="K1306" s="104">
        <v>45153</v>
      </c>
      <c r="L1306" s="104">
        <v>45178</v>
      </c>
      <c r="M1306" s="10" t="b">
        <v>0</v>
      </c>
      <c r="N1306" s="10">
        <v>26</v>
      </c>
      <c r="O1306" s="11">
        <v>1606</v>
      </c>
      <c r="P1306" s="85">
        <v>2.1413333333333333</v>
      </c>
      <c r="Q1306" s="11">
        <v>1606</v>
      </c>
      <c r="R1306" s="85">
        <v>2.1413333333333333</v>
      </c>
      <c r="S1306" s="29" t="s">
        <v>2719</v>
      </c>
      <c r="T1306" s="29" t="s">
        <v>2797</v>
      </c>
    </row>
    <row r="1307">
      <c r="B1307" s="29" t="s">
        <v>1221</v>
      </c>
      <c r="C1307" s="29" t="s">
        <v>1249</v>
      </c>
      <c r="D1307" s="8" t="s">
        <v>1291</v>
      </c>
      <c r="E1307" s="10"/>
      <c r="F1307" s="10"/>
      <c r="G1307" s="10">
        <v>2</v>
      </c>
      <c r="H1307" s="10">
        <v>1</v>
      </c>
      <c r="I1307" s="10"/>
      <c r="J1307" s="10">
        <v>750</v>
      </c>
      <c r="K1307" s="104"/>
      <c r="L1307" s="104">
        <v>45211</v>
      </c>
      <c r="M1307" s="10" t="b">
        <v>0</v>
      </c>
      <c r="N1307" s="10"/>
      <c r="O1307" s="11">
        <v>1636</v>
      </c>
      <c r="P1307" s="85">
        <v>2.1813333333333333</v>
      </c>
      <c r="Q1307" s="11">
        <v>1636</v>
      </c>
      <c r="R1307" s="85">
        <v>2.1813333333333333</v>
      </c>
      <c r="S1307" s="29" t="s">
        <v>2719</v>
      </c>
      <c r="T1307" s="29" t="s">
        <v>2719</v>
      </c>
    </row>
    <row r="1308">
      <c r="B1308" s="29" t="s">
        <v>1221</v>
      </c>
      <c r="C1308" s="29" t="s">
        <v>1249</v>
      </c>
      <c r="D1308" s="8" t="s">
        <v>1292</v>
      </c>
      <c r="E1308" s="10"/>
      <c r="F1308" s="10"/>
      <c r="G1308" s="10">
        <v>2</v>
      </c>
      <c r="H1308" s="10">
        <v>1</v>
      </c>
      <c r="I1308" s="10"/>
      <c r="J1308" s="10">
        <v>750</v>
      </c>
      <c r="K1308" s="104"/>
      <c r="L1308" s="104">
        <v>45211</v>
      </c>
      <c r="M1308" s="10" t="b">
        <v>0</v>
      </c>
      <c r="N1308" s="10"/>
      <c r="O1308" s="11">
        <v>1636</v>
      </c>
      <c r="P1308" s="85">
        <v>2.1813333333333333</v>
      </c>
      <c r="Q1308" s="11">
        <v>1636</v>
      </c>
      <c r="R1308" s="85">
        <v>2.1813333333333333</v>
      </c>
      <c r="S1308" s="29" t="s">
        <v>2719</v>
      </c>
      <c r="T1308" s="29" t="s">
        <v>2719</v>
      </c>
    </row>
    <row r="1309">
      <c r="B1309" s="29" t="s">
        <v>1221</v>
      </c>
      <c r="C1309" s="29" t="s">
        <v>1249</v>
      </c>
      <c r="D1309" s="8" t="s">
        <v>1295</v>
      </c>
      <c r="E1309" s="10"/>
      <c r="F1309" s="10"/>
      <c r="G1309" s="10">
        <v>2</v>
      </c>
      <c r="H1309" s="10">
        <v>1</v>
      </c>
      <c r="I1309" s="10"/>
      <c r="J1309" s="10">
        <v>750</v>
      </c>
      <c r="K1309" s="104"/>
      <c r="L1309" s="104">
        <v>45211</v>
      </c>
      <c r="M1309" s="10" t="b">
        <v>0</v>
      </c>
      <c r="N1309" s="10"/>
      <c r="O1309" s="11">
        <v>1636</v>
      </c>
      <c r="P1309" s="85">
        <v>2.1813333333333333</v>
      </c>
      <c r="Q1309" s="11">
        <v>1636</v>
      </c>
      <c r="R1309" s="85">
        <v>2.1813333333333333</v>
      </c>
      <c r="S1309" s="29" t="s">
        <v>2719</v>
      </c>
      <c r="T1309" s="29" t="s">
        <v>2719</v>
      </c>
    </row>
    <row r="1310">
      <c r="B1310" s="29" t="s">
        <v>1221</v>
      </c>
      <c r="C1310" s="29" t="s">
        <v>1249</v>
      </c>
      <c r="D1310" s="8" t="s">
        <v>1294</v>
      </c>
      <c r="E1310" s="10"/>
      <c r="F1310" s="10"/>
      <c r="G1310" s="10">
        <v>2</v>
      </c>
      <c r="H1310" s="10">
        <v>1</v>
      </c>
      <c r="I1310" s="10"/>
      <c r="J1310" s="10">
        <v>750</v>
      </c>
      <c r="K1310" s="104"/>
      <c r="L1310" s="104">
        <v>45211</v>
      </c>
      <c r="M1310" s="10" t="b">
        <v>0</v>
      </c>
      <c r="N1310" s="10"/>
      <c r="O1310" s="11">
        <v>1636</v>
      </c>
      <c r="P1310" s="85">
        <v>2.1813333333333333</v>
      </c>
      <c r="Q1310" s="11">
        <v>1636</v>
      </c>
      <c r="R1310" s="85">
        <v>2.1813333333333333</v>
      </c>
      <c r="S1310" s="29" t="s">
        <v>2719</v>
      </c>
      <c r="T1310" s="29" t="s">
        <v>2797</v>
      </c>
    </row>
    <row r="1311">
      <c r="B1311" s="29" t="s">
        <v>1221</v>
      </c>
      <c r="C1311" s="29" t="s">
        <v>1249</v>
      </c>
      <c r="D1311" s="8" t="s">
        <v>1291</v>
      </c>
      <c r="E1311" s="10" t="s">
        <v>2604</v>
      </c>
      <c r="F1311" s="10"/>
      <c r="G1311" s="10">
        <v>2</v>
      </c>
      <c r="H1311" s="10">
        <v>1</v>
      </c>
      <c r="I1311" s="10"/>
      <c r="J1311" s="10">
        <v>750</v>
      </c>
      <c r="K1311" s="104">
        <v>45180</v>
      </c>
      <c r="L1311" s="104">
        <v>45193</v>
      </c>
      <c r="M1311" s="10" t="b">
        <v>0</v>
      </c>
      <c r="N1311" s="10">
        <v>14</v>
      </c>
      <c r="O1311" s="11">
        <v>1642</v>
      </c>
      <c r="P1311" s="85">
        <v>2.1893333333333334</v>
      </c>
      <c r="Q1311" s="11">
        <v>1642</v>
      </c>
      <c r="R1311" s="85">
        <v>2.1893333333333334</v>
      </c>
      <c r="S1311" s="29" t="s">
        <v>2719</v>
      </c>
      <c r="T1311" s="29" t="s">
        <v>2719</v>
      </c>
    </row>
    <row r="1312">
      <c r="B1312" s="29" t="s">
        <v>1221</v>
      </c>
      <c r="C1312" s="29" t="s">
        <v>1249</v>
      </c>
      <c r="D1312" s="8" t="s">
        <v>1293</v>
      </c>
      <c r="E1312" s="10"/>
      <c r="F1312" s="10"/>
      <c r="G1312" s="10">
        <v>2</v>
      </c>
      <c r="H1312" s="10">
        <v>1</v>
      </c>
      <c r="I1312" s="10"/>
      <c r="J1312" s="10">
        <v>750</v>
      </c>
      <c r="K1312" s="104"/>
      <c r="L1312" s="104">
        <v>45211</v>
      </c>
      <c r="M1312" s="10" t="b">
        <v>0</v>
      </c>
      <c r="N1312" s="10"/>
      <c r="O1312" s="11">
        <v>1649</v>
      </c>
      <c r="P1312" s="85">
        <v>2.1986666666666665</v>
      </c>
      <c r="Q1312" s="11">
        <v>1649</v>
      </c>
      <c r="R1312" s="85">
        <v>2.1986666666666665</v>
      </c>
      <c r="S1312" s="29" t="s">
        <v>2719</v>
      </c>
      <c r="T1312" s="29" t="s">
        <v>2797</v>
      </c>
    </row>
    <row r="1313">
      <c r="B1313" s="29" t="s">
        <v>1221</v>
      </c>
      <c r="C1313" s="29" t="s">
        <v>1249</v>
      </c>
      <c r="D1313" s="8" t="s">
        <v>1296</v>
      </c>
      <c r="E1313" s="10"/>
      <c r="F1313" s="10"/>
      <c r="G1313" s="10">
        <v>2</v>
      </c>
      <c r="H1313" s="10">
        <v>1</v>
      </c>
      <c r="I1313" s="10"/>
      <c r="J1313" s="10">
        <v>750</v>
      </c>
      <c r="K1313" s="104"/>
      <c r="L1313" s="104">
        <v>45211</v>
      </c>
      <c r="M1313" s="10" t="b">
        <v>0</v>
      </c>
      <c r="N1313" s="10"/>
      <c r="O1313" s="11">
        <v>1695</v>
      </c>
      <c r="P1313" s="85">
        <v>2.26</v>
      </c>
      <c r="Q1313" s="11">
        <v>1695</v>
      </c>
      <c r="R1313" s="85">
        <v>2.26</v>
      </c>
      <c r="S1313" s="29" t="s">
        <v>2719</v>
      </c>
      <c r="T1313" s="29" t="s">
        <v>2798</v>
      </c>
    </row>
    <row r="1314">
      <c r="B1314" s="29" t="s">
        <v>1221</v>
      </c>
      <c r="C1314" s="29" t="s">
        <v>1249</v>
      </c>
      <c r="D1314" s="8" t="s">
        <v>1292</v>
      </c>
      <c r="E1314" s="10" t="s">
        <v>2605</v>
      </c>
      <c r="F1314" s="10"/>
      <c r="G1314" s="10">
        <v>2</v>
      </c>
      <c r="H1314" s="10">
        <v>1</v>
      </c>
      <c r="I1314" s="10"/>
      <c r="J1314" s="10">
        <v>750</v>
      </c>
      <c r="K1314" s="104">
        <v>45330</v>
      </c>
      <c r="L1314" s="104">
        <v>45334</v>
      </c>
      <c r="M1314" s="10" t="b">
        <v>0</v>
      </c>
      <c r="N1314" s="10">
        <v>5</v>
      </c>
      <c r="O1314" s="11">
        <v>1697</v>
      </c>
      <c r="P1314" s="85">
        <v>2.2626666666666666</v>
      </c>
      <c r="Q1314" s="11">
        <v>1697</v>
      </c>
      <c r="R1314" s="85">
        <v>2.2626666666666666</v>
      </c>
      <c r="S1314" s="29" t="s">
        <v>2719</v>
      </c>
      <c r="T1314" s="29" t="s">
        <v>2719</v>
      </c>
    </row>
    <row r="1315">
      <c r="B1315" s="29" t="s">
        <v>1221</v>
      </c>
      <c r="C1315" s="29" t="s">
        <v>1249</v>
      </c>
      <c r="D1315" s="8" t="s">
        <v>1292</v>
      </c>
      <c r="E1315" s="10" t="s">
        <v>2606</v>
      </c>
      <c r="F1315" s="10"/>
      <c r="G1315" s="10">
        <v>2</v>
      </c>
      <c r="H1315" s="10">
        <v>1</v>
      </c>
      <c r="I1315" s="10"/>
      <c r="J1315" s="10">
        <v>750</v>
      </c>
      <c r="K1315" s="104">
        <v>45330</v>
      </c>
      <c r="L1315" s="104">
        <v>45334</v>
      </c>
      <c r="M1315" s="10" t="b">
        <v>0</v>
      </c>
      <c r="N1315" s="10">
        <v>5</v>
      </c>
      <c r="O1315" s="11">
        <v>1697</v>
      </c>
      <c r="P1315" s="85">
        <v>2.2626666666666666</v>
      </c>
      <c r="Q1315" s="11">
        <v>1697</v>
      </c>
      <c r="R1315" s="85">
        <v>2.2626666666666666</v>
      </c>
      <c r="S1315" s="29" t="s">
        <v>2719</v>
      </c>
      <c r="T1315" s="29" t="s">
        <v>2719</v>
      </c>
    </row>
    <row r="1316">
      <c r="B1316" s="29" t="s">
        <v>1221</v>
      </c>
      <c r="C1316" s="29" t="s">
        <v>1249</v>
      </c>
      <c r="D1316" s="8" t="s">
        <v>1292</v>
      </c>
      <c r="E1316" s="10" t="s">
        <v>2607</v>
      </c>
      <c r="F1316" s="10"/>
      <c r="G1316" s="10">
        <v>2</v>
      </c>
      <c r="H1316" s="10">
        <v>1</v>
      </c>
      <c r="I1316" s="10"/>
      <c r="J1316" s="10">
        <v>750</v>
      </c>
      <c r="K1316" s="104">
        <v>45328</v>
      </c>
      <c r="L1316" s="104">
        <v>45334</v>
      </c>
      <c r="M1316" s="10" t="b">
        <v>0</v>
      </c>
      <c r="N1316" s="10">
        <v>7</v>
      </c>
      <c r="O1316" s="11">
        <v>1701</v>
      </c>
      <c r="P1316" s="85">
        <v>2.268</v>
      </c>
      <c r="Q1316" s="11">
        <v>1701</v>
      </c>
      <c r="R1316" s="85">
        <v>2.268</v>
      </c>
      <c r="S1316" s="29" t="s">
        <v>2719</v>
      </c>
      <c r="T1316" s="29" t="s">
        <v>2719</v>
      </c>
    </row>
    <row r="1317">
      <c r="B1317" s="29" t="s">
        <v>1221</v>
      </c>
      <c r="C1317" s="29" t="s">
        <v>1249</v>
      </c>
      <c r="D1317" s="8" t="s">
        <v>1293</v>
      </c>
      <c r="E1317" s="10" t="s">
        <v>2608</v>
      </c>
      <c r="F1317" s="10"/>
      <c r="G1317" s="10">
        <v>2</v>
      </c>
      <c r="H1317" s="10">
        <v>1</v>
      </c>
      <c r="I1317" s="10"/>
      <c r="J1317" s="10">
        <v>750</v>
      </c>
      <c r="K1317" s="104">
        <v>45253</v>
      </c>
      <c r="L1317" s="104">
        <v>45334</v>
      </c>
      <c r="M1317" s="10" t="b">
        <v>0</v>
      </c>
      <c r="N1317" s="10">
        <v>82</v>
      </c>
      <c r="O1317" s="11">
        <v>1701</v>
      </c>
      <c r="P1317" s="85">
        <v>2.268</v>
      </c>
      <c r="Q1317" s="11">
        <v>1701</v>
      </c>
      <c r="R1317" s="85">
        <v>2.268</v>
      </c>
      <c r="S1317" s="29" t="s">
        <v>2719</v>
      </c>
      <c r="T1317" s="29" t="s">
        <v>2797</v>
      </c>
    </row>
    <row r="1318">
      <c r="B1318" s="29" t="s">
        <v>1221</v>
      </c>
      <c r="C1318" s="29" t="s">
        <v>1249</v>
      </c>
      <c r="D1318" s="8" t="s">
        <v>1293</v>
      </c>
      <c r="E1318" s="10" t="s">
        <v>2609</v>
      </c>
      <c r="F1318" s="10"/>
      <c r="G1318" s="10">
        <v>2</v>
      </c>
      <c r="H1318" s="10">
        <v>1</v>
      </c>
      <c r="I1318" s="10"/>
      <c r="J1318" s="10">
        <v>750</v>
      </c>
      <c r="K1318" s="104">
        <v>45233</v>
      </c>
      <c r="L1318" s="104">
        <v>45334</v>
      </c>
      <c r="M1318" s="10" t="b">
        <v>0</v>
      </c>
      <c r="N1318" s="10">
        <v>102</v>
      </c>
      <c r="O1318" s="11">
        <v>1701</v>
      </c>
      <c r="P1318" s="85">
        <v>2.268</v>
      </c>
      <c r="Q1318" s="11">
        <v>1701</v>
      </c>
      <c r="R1318" s="85">
        <v>2.268</v>
      </c>
      <c r="S1318" s="29" t="s">
        <v>2719</v>
      </c>
      <c r="T1318" s="29" t="s">
        <v>2797</v>
      </c>
    </row>
    <row r="1319">
      <c r="B1319" s="29" t="s">
        <v>1221</v>
      </c>
      <c r="C1319" s="29" t="s">
        <v>1249</v>
      </c>
      <c r="D1319" s="8" t="s">
        <v>1296</v>
      </c>
      <c r="E1319" s="10" t="s">
        <v>2610</v>
      </c>
      <c r="F1319" s="10"/>
      <c r="G1319" s="10">
        <v>2</v>
      </c>
      <c r="H1319" s="10">
        <v>1</v>
      </c>
      <c r="I1319" s="10"/>
      <c r="J1319" s="10">
        <v>750</v>
      </c>
      <c r="K1319" s="104">
        <v>45330</v>
      </c>
      <c r="L1319" s="104">
        <v>45334</v>
      </c>
      <c r="M1319" s="10" t="b">
        <v>0</v>
      </c>
      <c r="N1319" s="10">
        <v>5</v>
      </c>
      <c r="O1319" s="11">
        <v>1749</v>
      </c>
      <c r="P1319" s="85">
        <v>2.332</v>
      </c>
      <c r="Q1319" s="11">
        <v>1749</v>
      </c>
      <c r="R1319" s="85">
        <v>2.332</v>
      </c>
      <c r="S1319" s="29" t="s">
        <v>2719</v>
      </c>
      <c r="T1319" s="29" t="s">
        <v>2798</v>
      </c>
    </row>
    <row r="1320">
      <c r="B1320" s="29" t="s">
        <v>1221</v>
      </c>
      <c r="C1320" s="29" t="s">
        <v>1249</v>
      </c>
      <c r="D1320" s="8" t="s">
        <v>1291</v>
      </c>
      <c r="E1320" s="10" t="s">
        <v>2611</v>
      </c>
      <c r="F1320" s="10"/>
      <c r="G1320" s="10">
        <v>2</v>
      </c>
      <c r="H1320" s="10">
        <v>1</v>
      </c>
      <c r="I1320" s="10"/>
      <c r="J1320" s="10">
        <v>750</v>
      </c>
      <c r="K1320" s="104">
        <v>45155</v>
      </c>
      <c r="L1320" s="104">
        <v>45170</v>
      </c>
      <c r="M1320" s="10" t="b">
        <v>0</v>
      </c>
      <c r="N1320" s="10">
        <v>16</v>
      </c>
      <c r="O1320" s="11">
        <v>1750</v>
      </c>
      <c r="P1320" s="85">
        <v>2.3333333333333335</v>
      </c>
      <c r="Q1320" s="11">
        <v>1750</v>
      </c>
      <c r="R1320" s="85">
        <v>2.3333333333333335</v>
      </c>
      <c r="S1320" s="29" t="s">
        <v>2719</v>
      </c>
      <c r="T1320" s="29" t="s">
        <v>2719</v>
      </c>
    </row>
    <row r="1321">
      <c r="B1321" s="29" t="s">
        <v>1221</v>
      </c>
      <c r="C1321" s="29" t="s">
        <v>1249</v>
      </c>
      <c r="D1321" s="8" t="s">
        <v>1291</v>
      </c>
      <c r="E1321" s="10" t="s">
        <v>2612</v>
      </c>
      <c r="F1321" s="10"/>
      <c r="G1321" s="10">
        <v>2</v>
      </c>
      <c r="H1321" s="10">
        <v>1</v>
      </c>
      <c r="I1321" s="10"/>
      <c r="J1321" s="10">
        <v>750</v>
      </c>
      <c r="K1321" s="104">
        <v>45167</v>
      </c>
      <c r="L1321" s="104">
        <v>45169</v>
      </c>
      <c r="M1321" s="10" t="b">
        <v>0</v>
      </c>
      <c r="N1321" s="10">
        <v>3</v>
      </c>
      <c r="O1321" s="11">
        <v>1750</v>
      </c>
      <c r="P1321" s="85">
        <v>2.3333333333333335</v>
      </c>
      <c r="Q1321" s="11">
        <v>1750</v>
      </c>
      <c r="R1321" s="85">
        <v>2.3333333333333335</v>
      </c>
      <c r="S1321" s="29" t="s">
        <v>2719</v>
      </c>
      <c r="T1321" s="29" t="s">
        <v>2719</v>
      </c>
    </row>
    <row r="1322">
      <c r="B1322" s="29" t="s">
        <v>1221</v>
      </c>
      <c r="C1322" s="29" t="s">
        <v>1249</v>
      </c>
      <c r="D1322" s="8" t="s">
        <v>1291</v>
      </c>
      <c r="E1322" s="10" t="s">
        <v>2613</v>
      </c>
      <c r="F1322" s="10"/>
      <c r="G1322" s="10">
        <v>2</v>
      </c>
      <c r="H1322" s="10">
        <v>1</v>
      </c>
      <c r="I1322" s="10"/>
      <c r="J1322" s="10">
        <v>750</v>
      </c>
      <c r="K1322" s="104">
        <v>45156</v>
      </c>
      <c r="L1322" s="104">
        <v>45175</v>
      </c>
      <c r="M1322" s="10" t="b">
        <v>0</v>
      </c>
      <c r="N1322" s="10">
        <v>20</v>
      </c>
      <c r="O1322" s="11">
        <v>1774</v>
      </c>
      <c r="P1322" s="85">
        <v>2.3653333333333335</v>
      </c>
      <c r="Q1322" s="11">
        <v>1774</v>
      </c>
      <c r="R1322" s="85">
        <v>2.3653333333333335</v>
      </c>
      <c r="S1322" s="29" t="s">
        <v>2719</v>
      </c>
      <c r="T1322" s="29" t="s">
        <v>2719</v>
      </c>
    </row>
    <row r="1323">
      <c r="B1323" s="29" t="s">
        <v>1221</v>
      </c>
      <c r="C1323" s="29" t="s">
        <v>1249</v>
      </c>
      <c r="D1323" s="8" t="s">
        <v>1294</v>
      </c>
      <c r="E1323" s="10" t="s">
        <v>2614</v>
      </c>
      <c r="F1323" s="10"/>
      <c r="G1323" s="10">
        <v>2</v>
      </c>
      <c r="H1323" s="10">
        <v>1</v>
      </c>
      <c r="I1323" s="10"/>
      <c r="J1323" s="10">
        <v>750</v>
      </c>
      <c r="K1323" s="104">
        <v>45266</v>
      </c>
      <c r="L1323" s="104">
        <v>45275</v>
      </c>
      <c r="M1323" s="10" t="b">
        <v>0</v>
      </c>
      <c r="N1323" s="10">
        <v>10</v>
      </c>
      <c r="O1323" s="11">
        <v>1785</v>
      </c>
      <c r="P1323" s="85">
        <v>2.38</v>
      </c>
      <c r="Q1323" s="11">
        <v>1785</v>
      </c>
      <c r="R1323" s="85">
        <v>2.38</v>
      </c>
      <c r="S1323" s="29" t="s">
        <v>2719</v>
      </c>
      <c r="T1323" s="29" t="s">
        <v>2797</v>
      </c>
    </row>
    <row r="1324">
      <c r="B1324" s="29" t="s">
        <v>1221</v>
      </c>
      <c r="C1324" s="29" t="s">
        <v>1249</v>
      </c>
      <c r="D1324" s="8" t="s">
        <v>1291</v>
      </c>
      <c r="E1324" s="10" t="s">
        <v>2615</v>
      </c>
      <c r="F1324" s="10"/>
      <c r="G1324" s="10">
        <v>2</v>
      </c>
      <c r="H1324" s="10">
        <v>1</v>
      </c>
      <c r="I1324" s="10"/>
      <c r="J1324" s="10">
        <v>750</v>
      </c>
      <c r="K1324" s="104">
        <v>45296</v>
      </c>
      <c r="L1324" s="104">
        <v>45314</v>
      </c>
      <c r="M1324" s="10" t="b">
        <v>0</v>
      </c>
      <c r="N1324" s="10">
        <v>19</v>
      </c>
      <c r="O1324" s="11">
        <v>1816</v>
      </c>
      <c r="P1324" s="85">
        <v>2.421333333333333</v>
      </c>
      <c r="Q1324" s="11">
        <v>1816</v>
      </c>
      <c r="R1324" s="85">
        <v>2.421333333333333</v>
      </c>
      <c r="S1324" s="29" t="s">
        <v>2719</v>
      </c>
      <c r="T1324" s="29" t="s">
        <v>2719</v>
      </c>
    </row>
    <row r="1325">
      <c r="B1325" s="29" t="s">
        <v>1221</v>
      </c>
      <c r="C1325" s="29" t="s">
        <v>1249</v>
      </c>
      <c r="D1325" s="8" t="s">
        <v>1293</v>
      </c>
      <c r="E1325" s="10" t="s">
        <v>2616</v>
      </c>
      <c r="F1325" s="10"/>
      <c r="G1325" s="10">
        <v>2</v>
      </c>
      <c r="H1325" s="10">
        <v>1</v>
      </c>
      <c r="I1325" s="10"/>
      <c r="J1325" s="10">
        <v>750</v>
      </c>
      <c r="K1325" s="104">
        <v>45260</v>
      </c>
      <c r="L1325" s="104">
        <v>45334</v>
      </c>
      <c r="M1325" s="10" t="b">
        <v>0</v>
      </c>
      <c r="N1325" s="10">
        <v>75</v>
      </c>
      <c r="O1325" s="11">
        <v>1821</v>
      </c>
      <c r="P1325" s="85">
        <v>2.428</v>
      </c>
      <c r="Q1325" s="11">
        <v>1821</v>
      </c>
      <c r="R1325" s="85">
        <v>2.428</v>
      </c>
      <c r="S1325" s="29" t="s">
        <v>2719</v>
      </c>
      <c r="T1325" s="29" t="s">
        <v>2797</v>
      </c>
    </row>
    <row r="1326">
      <c r="B1326" s="29" t="s">
        <v>1221</v>
      </c>
      <c r="C1326" s="29" t="s">
        <v>1249</v>
      </c>
      <c r="D1326" s="8" t="s">
        <v>1295</v>
      </c>
      <c r="E1326" s="10" t="s">
        <v>2617</v>
      </c>
      <c r="F1326" s="10"/>
      <c r="G1326" s="10">
        <v>2</v>
      </c>
      <c r="H1326" s="10">
        <v>1</v>
      </c>
      <c r="I1326" s="10"/>
      <c r="J1326" s="10">
        <v>750</v>
      </c>
      <c r="K1326" s="104">
        <v>45176</v>
      </c>
      <c r="L1326" s="104">
        <v>45241</v>
      </c>
      <c r="M1326" s="10" t="b">
        <v>0</v>
      </c>
      <c r="N1326" s="10">
        <v>66</v>
      </c>
      <c r="O1326" s="11">
        <v>2106</v>
      </c>
      <c r="P1326" s="85">
        <v>2.808</v>
      </c>
      <c r="Q1326" s="11">
        <v>2106</v>
      </c>
      <c r="R1326" s="85">
        <v>2.808</v>
      </c>
      <c r="S1326" s="29" t="s">
        <v>2719</v>
      </c>
      <c r="T1326" s="29" t="s">
        <v>2719</v>
      </c>
    </row>
    <row r="1327">
      <c r="B1327" s="29" t="s">
        <v>1221</v>
      </c>
      <c r="C1327" s="29" t="s">
        <v>1249</v>
      </c>
      <c r="D1327" s="8" t="s">
        <v>1314</v>
      </c>
      <c r="E1327" s="10"/>
      <c r="F1327" s="10"/>
      <c r="G1327" s="10">
        <v>3</v>
      </c>
      <c r="H1327" s="10">
        <v>1</v>
      </c>
      <c r="I1327" s="10"/>
      <c r="J1327" s="10">
        <v>1115</v>
      </c>
      <c r="K1327" s="104">
        <v>45204</v>
      </c>
      <c r="L1327" s="104">
        <v>45211</v>
      </c>
      <c r="M1327" s="10" t="b">
        <v>0</v>
      </c>
      <c r="N1327" s="10">
        <v>8</v>
      </c>
      <c r="O1327" s="11">
        <v>1950</v>
      </c>
      <c r="P1327" s="85">
        <v>1.748878923766816</v>
      </c>
      <c r="Q1327" s="11">
        <v>1950</v>
      </c>
      <c r="R1327" s="85">
        <v>1.748878923766816</v>
      </c>
      <c r="S1327" s="29" t="s">
        <v>2719</v>
      </c>
      <c r="T1327" s="29" t="s">
        <v>2719</v>
      </c>
    </row>
    <row r="1328">
      <c r="B1328" s="29" t="s">
        <v>1222</v>
      </c>
      <c r="C1328" s="29" t="s">
        <v>1250</v>
      </c>
      <c r="D1328" s="8" t="s">
        <v>1252</v>
      </c>
      <c r="E1328" s="10" t="s">
        <v>2618</v>
      </c>
      <c r="F1328" s="10"/>
      <c r="G1328" s="10">
        <v>1</v>
      </c>
      <c r="H1328" s="10">
        <v>1</v>
      </c>
      <c r="I1328" s="10"/>
      <c r="J1328" s="10">
        <v>550</v>
      </c>
      <c r="K1328" s="104">
        <v>45709</v>
      </c>
      <c r="L1328" s="104">
        <v>45772</v>
      </c>
      <c r="M1328" s="10" t="b">
        <v>0</v>
      </c>
      <c r="N1328" s="10">
        <v>64</v>
      </c>
      <c r="O1328" s="11">
        <v>1259</v>
      </c>
      <c r="P1328" s="85">
        <v>2.289090909090909</v>
      </c>
      <c r="Q1328" s="11">
        <v>1259</v>
      </c>
      <c r="R1328" s="85">
        <v>2.289090909090909</v>
      </c>
      <c r="S1328" s="29" t="s">
        <v>2719</v>
      </c>
      <c r="T1328" s="29" t="s">
        <v>2719</v>
      </c>
    </row>
    <row r="1329">
      <c r="B1329" s="29" t="s">
        <v>1222</v>
      </c>
      <c r="C1329" s="29" t="s">
        <v>1250</v>
      </c>
      <c r="D1329" s="8" t="s">
        <v>1315</v>
      </c>
      <c r="E1329" s="10" t="s">
        <v>2619</v>
      </c>
      <c r="F1329" s="10"/>
      <c r="G1329" s="10">
        <v>1</v>
      </c>
      <c r="H1329" s="10">
        <v>1</v>
      </c>
      <c r="I1329" s="10"/>
      <c r="J1329" s="10">
        <v>550</v>
      </c>
      <c r="K1329" s="104">
        <v>45546</v>
      </c>
      <c r="L1329" s="104">
        <v>45586</v>
      </c>
      <c r="M1329" s="10" t="b">
        <v>0</v>
      </c>
      <c r="N1329" s="10">
        <v>41</v>
      </c>
      <c r="O1329" s="11">
        <v>1289</v>
      </c>
      <c r="P1329" s="85">
        <v>2.3436363636363637</v>
      </c>
      <c r="Q1329" s="11">
        <v>1289</v>
      </c>
      <c r="R1329" s="85">
        <v>2.3436363636363637</v>
      </c>
      <c r="S1329" s="29" t="s">
        <v>2719</v>
      </c>
      <c r="T1329" s="29" t="s">
        <v>2719</v>
      </c>
    </row>
    <row r="1330">
      <c r="B1330" s="29" t="s">
        <v>1222</v>
      </c>
      <c r="C1330" s="29" t="s">
        <v>1250</v>
      </c>
      <c r="D1330" s="8" t="s">
        <v>1315</v>
      </c>
      <c r="E1330" s="10" t="s">
        <v>2620</v>
      </c>
      <c r="F1330" s="10">
        <v>4</v>
      </c>
      <c r="G1330" s="10">
        <v>1</v>
      </c>
      <c r="H1330" s="10">
        <v>1</v>
      </c>
      <c r="I1330" s="10"/>
      <c r="J1330" s="10">
        <v>550</v>
      </c>
      <c r="K1330" s="104">
        <v>45233</v>
      </c>
      <c r="L1330" s="104">
        <v>45237</v>
      </c>
      <c r="M1330" s="10" t="b">
        <v>0</v>
      </c>
      <c r="N1330" s="10">
        <v>5</v>
      </c>
      <c r="O1330" s="11">
        <v>1299</v>
      </c>
      <c r="P1330" s="85">
        <v>2.361818181818182</v>
      </c>
      <c r="Q1330" s="11">
        <v>1299</v>
      </c>
      <c r="R1330" s="85">
        <v>2.361818181818182</v>
      </c>
      <c r="S1330" s="29" t="s">
        <v>2719</v>
      </c>
      <c r="T1330" s="29" t="s">
        <v>2719</v>
      </c>
    </row>
    <row r="1331">
      <c r="B1331" s="29" t="s">
        <v>1222</v>
      </c>
      <c r="C1331" s="29" t="s">
        <v>1250</v>
      </c>
      <c r="D1331" s="8" t="s">
        <v>1315</v>
      </c>
      <c r="E1331" s="10" t="s">
        <v>2621</v>
      </c>
      <c r="F1331" s="10"/>
      <c r="G1331" s="10">
        <v>1</v>
      </c>
      <c r="H1331" s="10">
        <v>1</v>
      </c>
      <c r="I1331" s="10"/>
      <c r="J1331" s="10">
        <v>550</v>
      </c>
      <c r="K1331" s="104">
        <v>45667</v>
      </c>
      <c r="L1331" s="104">
        <v>45725</v>
      </c>
      <c r="M1331" s="10" t="b">
        <v>0</v>
      </c>
      <c r="N1331" s="10">
        <v>59</v>
      </c>
      <c r="O1331" s="11">
        <v>1299</v>
      </c>
      <c r="P1331" s="85">
        <v>2.361818181818182</v>
      </c>
      <c r="Q1331" s="11">
        <v>1299</v>
      </c>
      <c r="R1331" s="85">
        <v>2.361818181818182</v>
      </c>
      <c r="S1331" s="29" t="s">
        <v>2719</v>
      </c>
      <c r="T1331" s="29" t="s">
        <v>2719</v>
      </c>
    </row>
    <row r="1332">
      <c r="B1332" s="29" t="s">
        <v>1222</v>
      </c>
      <c r="C1332" s="29" t="s">
        <v>1250</v>
      </c>
      <c r="D1332" s="8" t="s">
        <v>1315</v>
      </c>
      <c r="E1332" s="10" t="s">
        <v>2622</v>
      </c>
      <c r="F1332" s="10"/>
      <c r="G1332" s="10">
        <v>1</v>
      </c>
      <c r="H1332" s="10">
        <v>1</v>
      </c>
      <c r="I1332" s="10"/>
      <c r="J1332" s="10">
        <v>550</v>
      </c>
      <c r="K1332" s="104">
        <v>45259</v>
      </c>
      <c r="L1332" s="104">
        <v>45360</v>
      </c>
      <c r="M1332" s="10" t="b">
        <v>0</v>
      </c>
      <c r="N1332" s="10">
        <v>102</v>
      </c>
      <c r="O1332" s="11">
        <v>1299</v>
      </c>
      <c r="P1332" s="85">
        <v>2.361818181818182</v>
      </c>
      <c r="Q1332" s="11">
        <v>1191</v>
      </c>
      <c r="R1332" s="85">
        <v>2.1654545454545455</v>
      </c>
      <c r="S1332" s="29" t="s">
        <v>2719</v>
      </c>
      <c r="T1332" s="29" t="s">
        <v>2719</v>
      </c>
    </row>
    <row r="1333">
      <c r="B1333" s="29" t="s">
        <v>1222</v>
      </c>
      <c r="C1333" s="29" t="s">
        <v>1250</v>
      </c>
      <c r="D1333" s="8" t="s">
        <v>1252</v>
      </c>
      <c r="E1333" s="10" t="s">
        <v>2623</v>
      </c>
      <c r="F1333" s="10"/>
      <c r="G1333" s="10">
        <v>1</v>
      </c>
      <c r="H1333" s="10">
        <v>1</v>
      </c>
      <c r="I1333" s="10"/>
      <c r="J1333" s="10">
        <v>550</v>
      </c>
      <c r="K1333" s="104">
        <v>45345</v>
      </c>
      <c r="L1333" s="104">
        <v>45390</v>
      </c>
      <c r="M1333" s="10" t="b">
        <v>0</v>
      </c>
      <c r="N1333" s="10">
        <v>46</v>
      </c>
      <c r="O1333" s="11">
        <v>1299</v>
      </c>
      <c r="P1333" s="85">
        <v>2.361818181818182</v>
      </c>
      <c r="Q1333" s="11">
        <v>1191</v>
      </c>
      <c r="R1333" s="85">
        <v>2.1654545454545455</v>
      </c>
      <c r="S1333" s="29" t="s">
        <v>2719</v>
      </c>
      <c r="T1333" s="29" t="s">
        <v>2719</v>
      </c>
    </row>
    <row r="1334">
      <c r="B1334" s="29" t="s">
        <v>1222</v>
      </c>
      <c r="C1334" s="29" t="s">
        <v>1250</v>
      </c>
      <c r="D1334" s="8" t="s">
        <v>1315</v>
      </c>
      <c r="E1334" s="10" t="s">
        <v>2624</v>
      </c>
      <c r="F1334" s="10"/>
      <c r="G1334" s="10">
        <v>1</v>
      </c>
      <c r="H1334" s="10">
        <v>1</v>
      </c>
      <c r="I1334" s="10"/>
      <c r="J1334" s="10">
        <v>550</v>
      </c>
      <c r="K1334" s="104">
        <v>45483</v>
      </c>
      <c r="L1334" s="104">
        <v>45616</v>
      </c>
      <c r="M1334" s="10" t="b">
        <v>0</v>
      </c>
      <c r="N1334" s="10">
        <v>134</v>
      </c>
      <c r="O1334" s="11">
        <v>1299</v>
      </c>
      <c r="P1334" s="85">
        <v>2.361818181818182</v>
      </c>
      <c r="Q1334" s="11">
        <v>1299</v>
      </c>
      <c r="R1334" s="85">
        <v>2.361818181818182</v>
      </c>
      <c r="S1334" s="29" t="s">
        <v>2719</v>
      </c>
      <c r="T1334" s="29" t="s">
        <v>2719</v>
      </c>
    </row>
    <row r="1335">
      <c r="B1335" s="29" t="s">
        <v>1222</v>
      </c>
      <c r="C1335" s="29" t="s">
        <v>1250</v>
      </c>
      <c r="D1335" s="8" t="s">
        <v>1315</v>
      </c>
      <c r="E1335" s="10" t="s">
        <v>2625</v>
      </c>
      <c r="F1335" s="10"/>
      <c r="G1335" s="10">
        <v>1</v>
      </c>
      <c r="H1335" s="10">
        <v>1</v>
      </c>
      <c r="I1335" s="10"/>
      <c r="J1335" s="10">
        <v>550</v>
      </c>
      <c r="K1335" s="104">
        <v>45561</v>
      </c>
      <c r="L1335" s="104">
        <v>45664</v>
      </c>
      <c r="M1335" s="10" t="b">
        <v>0</v>
      </c>
      <c r="N1335" s="10">
        <v>104</v>
      </c>
      <c r="O1335" s="11">
        <v>1299</v>
      </c>
      <c r="P1335" s="85">
        <v>2.361818181818182</v>
      </c>
      <c r="Q1335" s="11">
        <v>1299</v>
      </c>
      <c r="R1335" s="85">
        <v>2.361818181818182</v>
      </c>
      <c r="S1335" s="29" t="s">
        <v>2719</v>
      </c>
      <c r="T1335" s="29" t="s">
        <v>2719</v>
      </c>
    </row>
    <row r="1336">
      <c r="B1336" s="29" t="s">
        <v>1222</v>
      </c>
      <c r="C1336" s="29" t="s">
        <v>1250</v>
      </c>
      <c r="D1336" s="8" t="s">
        <v>1315</v>
      </c>
      <c r="E1336" s="10" t="s">
        <v>2626</v>
      </c>
      <c r="F1336" s="10"/>
      <c r="G1336" s="10">
        <v>1</v>
      </c>
      <c r="H1336" s="10">
        <v>1</v>
      </c>
      <c r="I1336" s="10"/>
      <c r="J1336" s="10">
        <v>550</v>
      </c>
      <c r="K1336" s="104"/>
      <c r="L1336" s="104">
        <v>45102</v>
      </c>
      <c r="M1336" s="10" t="b">
        <v>0</v>
      </c>
      <c r="N1336" s="10"/>
      <c r="O1336" s="11">
        <v>1329</v>
      </c>
      <c r="P1336" s="85">
        <v>2.4163636363636365</v>
      </c>
      <c r="Q1336" s="11">
        <v>1329</v>
      </c>
      <c r="R1336" s="85">
        <v>2.4163636363636365</v>
      </c>
      <c r="S1336" s="29" t="s">
        <v>2719</v>
      </c>
      <c r="T1336" s="29" t="s">
        <v>2719</v>
      </c>
    </row>
    <row r="1337">
      <c r="B1337" s="29" t="s">
        <v>1222</v>
      </c>
      <c r="C1337" s="29" t="s">
        <v>1250</v>
      </c>
      <c r="D1337" s="8" t="s">
        <v>1252</v>
      </c>
      <c r="E1337" s="10" t="s">
        <v>2627</v>
      </c>
      <c r="F1337" s="10"/>
      <c r="G1337" s="10">
        <v>1</v>
      </c>
      <c r="H1337" s="10">
        <v>1</v>
      </c>
      <c r="I1337" s="10"/>
      <c r="J1337" s="10">
        <v>550</v>
      </c>
      <c r="K1337" s="104">
        <v>45552</v>
      </c>
      <c r="L1337" s="104">
        <v>45592</v>
      </c>
      <c r="M1337" s="10" t="b">
        <v>0</v>
      </c>
      <c r="N1337" s="10">
        <v>41</v>
      </c>
      <c r="O1337" s="11">
        <v>1329</v>
      </c>
      <c r="P1337" s="85">
        <v>2.4163636363636365</v>
      </c>
      <c r="Q1337" s="11">
        <v>1329</v>
      </c>
      <c r="R1337" s="85">
        <v>2.4163636363636365</v>
      </c>
      <c r="S1337" s="29" t="s">
        <v>2719</v>
      </c>
      <c r="T1337" s="29" t="s">
        <v>2719</v>
      </c>
    </row>
    <row r="1338">
      <c r="B1338" s="29" t="s">
        <v>1222</v>
      </c>
      <c r="C1338" s="29" t="s">
        <v>1250</v>
      </c>
      <c r="D1338" s="8" t="s">
        <v>1315</v>
      </c>
      <c r="E1338" s="10" t="s">
        <v>2628</v>
      </c>
      <c r="F1338" s="10"/>
      <c r="G1338" s="10">
        <v>1</v>
      </c>
      <c r="H1338" s="10">
        <v>1</v>
      </c>
      <c r="I1338" s="10"/>
      <c r="J1338" s="10">
        <v>550</v>
      </c>
      <c r="K1338" s="104">
        <v>45513</v>
      </c>
      <c r="L1338" s="104">
        <v>45647</v>
      </c>
      <c r="M1338" s="10" t="b">
        <v>0</v>
      </c>
      <c r="N1338" s="10">
        <v>135</v>
      </c>
      <c r="O1338" s="11">
        <v>1379</v>
      </c>
      <c r="P1338" s="85">
        <v>2.5072727272727273</v>
      </c>
      <c r="Q1338" s="11">
        <v>1379</v>
      </c>
      <c r="R1338" s="85">
        <v>2.5072727272727273</v>
      </c>
      <c r="S1338" s="29" t="s">
        <v>2719</v>
      </c>
      <c r="T1338" s="29" t="s">
        <v>2719</v>
      </c>
    </row>
    <row r="1339">
      <c r="B1339" s="29" t="s">
        <v>1222</v>
      </c>
      <c r="C1339" s="29" t="s">
        <v>1250</v>
      </c>
      <c r="D1339" s="8" t="s">
        <v>1252</v>
      </c>
      <c r="E1339" s="10" t="s">
        <v>2629</v>
      </c>
      <c r="F1339" s="10"/>
      <c r="G1339" s="10">
        <v>1</v>
      </c>
      <c r="H1339" s="10">
        <v>1</v>
      </c>
      <c r="I1339" s="10"/>
      <c r="J1339" s="10">
        <v>550</v>
      </c>
      <c r="K1339" s="104">
        <v>45520</v>
      </c>
      <c r="L1339" s="104">
        <v>45595</v>
      </c>
      <c r="M1339" s="10" t="b">
        <v>0</v>
      </c>
      <c r="N1339" s="10">
        <v>76</v>
      </c>
      <c r="O1339" s="11">
        <v>1389</v>
      </c>
      <c r="P1339" s="85">
        <v>2.5254545454545454</v>
      </c>
      <c r="Q1339" s="11">
        <v>1389</v>
      </c>
      <c r="R1339" s="85">
        <v>2.5254545454545454</v>
      </c>
      <c r="S1339" s="29" t="s">
        <v>2719</v>
      </c>
      <c r="T1339" s="29" t="s">
        <v>2719</v>
      </c>
    </row>
    <row r="1340">
      <c r="B1340" s="29" t="s">
        <v>1222</v>
      </c>
      <c r="C1340" s="29" t="s">
        <v>1250</v>
      </c>
      <c r="D1340" s="8" t="s">
        <v>1315</v>
      </c>
      <c r="E1340" s="10" t="s">
        <v>2630</v>
      </c>
      <c r="F1340" s="10">
        <v>4</v>
      </c>
      <c r="G1340" s="10">
        <v>1</v>
      </c>
      <c r="H1340" s="10">
        <v>1</v>
      </c>
      <c r="I1340" s="10"/>
      <c r="J1340" s="10">
        <v>550</v>
      </c>
      <c r="K1340" s="104">
        <v>45486</v>
      </c>
      <c r="L1340" s="104">
        <v>45741</v>
      </c>
      <c r="M1340" s="10" t="b">
        <v>0</v>
      </c>
      <c r="N1340" s="10">
        <v>256</v>
      </c>
      <c r="O1340" s="11">
        <v>1409</v>
      </c>
      <c r="P1340" s="85">
        <v>2.561818181818182</v>
      </c>
      <c r="Q1340" s="11">
        <v>1292</v>
      </c>
      <c r="R1340" s="85">
        <v>2.349090909090909</v>
      </c>
      <c r="S1340" s="29" t="s">
        <v>2719</v>
      </c>
      <c r="T1340" s="29" t="s">
        <v>2719</v>
      </c>
    </row>
    <row r="1341">
      <c r="B1341" s="29" t="s">
        <v>1222</v>
      </c>
      <c r="C1341" s="29" t="s">
        <v>1250</v>
      </c>
      <c r="D1341" s="8" t="s">
        <v>1316</v>
      </c>
      <c r="E1341" s="10" t="s">
        <v>2631</v>
      </c>
      <c r="F1341" s="10"/>
      <c r="G1341" s="10">
        <v>2</v>
      </c>
      <c r="H1341" s="10">
        <v>1</v>
      </c>
      <c r="I1341" s="10"/>
      <c r="J1341" s="10">
        <v>630</v>
      </c>
      <c r="K1341" s="104">
        <v>45650</v>
      </c>
      <c r="L1341" s="104">
        <v>45753</v>
      </c>
      <c r="M1341" s="10" t="b">
        <v>0</v>
      </c>
      <c r="N1341" s="10">
        <v>104</v>
      </c>
      <c r="O1341" s="11">
        <v>1269</v>
      </c>
      <c r="P1341" s="85">
        <v>2.0142857142857142</v>
      </c>
      <c r="Q1341" s="11">
        <v>1163</v>
      </c>
      <c r="R1341" s="85">
        <v>1.8460317460317461</v>
      </c>
      <c r="S1341" s="29" t="s">
        <v>2719</v>
      </c>
      <c r="T1341" s="29" t="s">
        <v>2719</v>
      </c>
    </row>
    <row r="1342">
      <c r="B1342" s="29" t="s">
        <v>1222</v>
      </c>
      <c r="C1342" s="29" t="s">
        <v>1250</v>
      </c>
      <c r="D1342" s="8" t="s">
        <v>1316</v>
      </c>
      <c r="E1342" s="10" t="s">
        <v>2632</v>
      </c>
      <c r="F1342" s="10">
        <v>4</v>
      </c>
      <c r="G1342" s="10">
        <v>2</v>
      </c>
      <c r="H1342" s="10">
        <v>1</v>
      </c>
      <c r="I1342" s="10"/>
      <c r="J1342" s="10">
        <v>630</v>
      </c>
      <c r="K1342" s="104">
        <v>45489</v>
      </c>
      <c r="L1342" s="104">
        <v>45695</v>
      </c>
      <c r="M1342" s="10" t="b">
        <v>0</v>
      </c>
      <c r="N1342" s="10">
        <v>207</v>
      </c>
      <c r="O1342" s="11">
        <v>1299</v>
      </c>
      <c r="P1342" s="85">
        <v>2.0619047619047617</v>
      </c>
      <c r="Q1342" s="11">
        <v>1299</v>
      </c>
      <c r="R1342" s="85">
        <v>2.0619047619047617</v>
      </c>
      <c r="S1342" s="29" t="s">
        <v>2719</v>
      </c>
      <c r="T1342" s="29" t="s">
        <v>2719</v>
      </c>
    </row>
    <row r="1343">
      <c r="B1343" s="29" t="s">
        <v>1222</v>
      </c>
      <c r="C1343" s="29" t="s">
        <v>1250</v>
      </c>
      <c r="D1343" s="8" t="s">
        <v>1316</v>
      </c>
      <c r="E1343" s="10" t="s">
        <v>2633</v>
      </c>
      <c r="F1343" s="10"/>
      <c r="G1343" s="10">
        <v>2</v>
      </c>
      <c r="H1343" s="10">
        <v>1</v>
      </c>
      <c r="I1343" s="10"/>
      <c r="J1343" s="10">
        <v>630</v>
      </c>
      <c r="K1343" s="104">
        <v>45724</v>
      </c>
      <c r="L1343" s="104">
        <v>45761</v>
      </c>
      <c r="M1343" s="10" t="b">
        <v>0</v>
      </c>
      <c r="N1343" s="10">
        <v>38</v>
      </c>
      <c r="O1343" s="11">
        <v>1299</v>
      </c>
      <c r="P1343" s="85">
        <v>2.0619047619047617</v>
      </c>
      <c r="Q1343" s="11">
        <v>1191</v>
      </c>
      <c r="R1343" s="85">
        <v>1.8904761904761904</v>
      </c>
      <c r="S1343" s="29" t="s">
        <v>2719</v>
      </c>
      <c r="T1343" s="29" t="s">
        <v>2719</v>
      </c>
    </row>
    <row r="1344">
      <c r="B1344" s="29" t="s">
        <v>1222</v>
      </c>
      <c r="C1344" s="29" t="s">
        <v>1250</v>
      </c>
      <c r="D1344" s="8" t="s">
        <v>1316</v>
      </c>
      <c r="E1344" s="10" t="s">
        <v>2634</v>
      </c>
      <c r="F1344" s="10"/>
      <c r="G1344" s="10">
        <v>2</v>
      </c>
      <c r="H1344" s="10">
        <v>1</v>
      </c>
      <c r="I1344" s="10"/>
      <c r="J1344" s="10">
        <v>630</v>
      </c>
      <c r="K1344" s="104">
        <v>45287</v>
      </c>
      <c r="L1344" s="104">
        <v>45303</v>
      </c>
      <c r="M1344" s="10" t="b">
        <v>0</v>
      </c>
      <c r="N1344" s="10">
        <v>17</v>
      </c>
      <c r="O1344" s="11">
        <v>1299</v>
      </c>
      <c r="P1344" s="85">
        <v>2.0619047619047617</v>
      </c>
      <c r="Q1344" s="11">
        <v>1299</v>
      </c>
      <c r="R1344" s="85">
        <v>2.0619047619047617</v>
      </c>
      <c r="S1344" s="29" t="s">
        <v>2719</v>
      </c>
      <c r="T1344" s="29" t="s">
        <v>2719</v>
      </c>
    </row>
    <row r="1345">
      <c r="B1345" s="29" t="s">
        <v>1222</v>
      </c>
      <c r="C1345" s="29" t="s">
        <v>1250</v>
      </c>
      <c r="D1345" s="8" t="s">
        <v>1254</v>
      </c>
      <c r="E1345" s="10" t="s">
        <v>2635</v>
      </c>
      <c r="F1345" s="10"/>
      <c r="G1345" s="10">
        <v>2</v>
      </c>
      <c r="H1345" s="10">
        <v>1</v>
      </c>
      <c r="I1345" s="10"/>
      <c r="J1345" s="10">
        <v>630</v>
      </c>
      <c r="K1345" s="104">
        <v>45713</v>
      </c>
      <c r="L1345" s="104">
        <v>45733</v>
      </c>
      <c r="M1345" s="10" t="b">
        <v>0</v>
      </c>
      <c r="N1345" s="10">
        <v>21</v>
      </c>
      <c r="O1345" s="11">
        <v>1299</v>
      </c>
      <c r="P1345" s="85">
        <v>2.0619047619047617</v>
      </c>
      <c r="Q1345" s="11">
        <v>1299</v>
      </c>
      <c r="R1345" s="85">
        <v>2.0619047619047617</v>
      </c>
      <c r="S1345" s="29" t="s">
        <v>2719</v>
      </c>
      <c r="T1345" s="29" t="s">
        <v>2719</v>
      </c>
    </row>
    <row r="1346">
      <c r="B1346" s="29" t="s">
        <v>1222</v>
      </c>
      <c r="C1346" s="29" t="s">
        <v>1250</v>
      </c>
      <c r="D1346" s="8" t="s">
        <v>1316</v>
      </c>
      <c r="E1346" s="10" t="s">
        <v>2636</v>
      </c>
      <c r="F1346" s="10"/>
      <c r="G1346" s="10">
        <v>2</v>
      </c>
      <c r="H1346" s="10">
        <v>1</v>
      </c>
      <c r="I1346" s="10"/>
      <c r="J1346" s="10">
        <v>630</v>
      </c>
      <c r="K1346" s="104">
        <v>45709</v>
      </c>
      <c r="L1346" s="104">
        <v>45751</v>
      </c>
      <c r="M1346" s="10" t="b">
        <v>0</v>
      </c>
      <c r="N1346" s="10">
        <v>43</v>
      </c>
      <c r="O1346" s="11">
        <v>1299</v>
      </c>
      <c r="P1346" s="85">
        <v>2.0619047619047617</v>
      </c>
      <c r="Q1346" s="11">
        <v>1191</v>
      </c>
      <c r="R1346" s="85">
        <v>1.8904761904761904</v>
      </c>
      <c r="S1346" s="29" t="s">
        <v>2719</v>
      </c>
      <c r="T1346" s="29" t="s">
        <v>2719</v>
      </c>
    </row>
    <row r="1347">
      <c r="B1347" s="29" t="s">
        <v>1222</v>
      </c>
      <c r="C1347" s="29" t="s">
        <v>1250</v>
      </c>
      <c r="D1347" s="8" t="s">
        <v>1316</v>
      </c>
      <c r="E1347" s="10" t="s">
        <v>2637</v>
      </c>
      <c r="F1347" s="10"/>
      <c r="G1347" s="10">
        <v>2</v>
      </c>
      <c r="H1347" s="10">
        <v>1</v>
      </c>
      <c r="I1347" s="10"/>
      <c r="J1347" s="10">
        <v>630</v>
      </c>
      <c r="K1347" s="104">
        <v>45351</v>
      </c>
      <c r="L1347" s="104">
        <v>45367</v>
      </c>
      <c r="M1347" s="10" t="b">
        <v>0</v>
      </c>
      <c r="N1347" s="10">
        <v>17</v>
      </c>
      <c r="O1347" s="11">
        <v>1319</v>
      </c>
      <c r="P1347" s="85">
        <v>2.0936507936507938</v>
      </c>
      <c r="Q1347" s="11">
        <v>1209</v>
      </c>
      <c r="R1347" s="85">
        <v>1.9190476190476191</v>
      </c>
      <c r="S1347" s="29" t="s">
        <v>2719</v>
      </c>
      <c r="T1347" s="29" t="s">
        <v>2719</v>
      </c>
    </row>
    <row r="1348">
      <c r="B1348" s="29" t="s">
        <v>1222</v>
      </c>
      <c r="C1348" s="29" t="s">
        <v>1250</v>
      </c>
      <c r="D1348" s="8" t="s">
        <v>1254</v>
      </c>
      <c r="E1348" s="10" t="s">
        <v>2638</v>
      </c>
      <c r="F1348" s="10"/>
      <c r="G1348" s="10">
        <v>2</v>
      </c>
      <c r="H1348" s="10">
        <v>1</v>
      </c>
      <c r="I1348" s="10"/>
      <c r="J1348" s="10">
        <v>630</v>
      </c>
      <c r="K1348" s="104">
        <v>45373</v>
      </c>
      <c r="L1348" s="104">
        <v>45387</v>
      </c>
      <c r="M1348" s="10" t="b">
        <v>0</v>
      </c>
      <c r="N1348" s="10">
        <v>15</v>
      </c>
      <c r="O1348" s="11">
        <v>1319</v>
      </c>
      <c r="P1348" s="85">
        <v>2.0936507936507938</v>
      </c>
      <c r="Q1348" s="11">
        <v>1209</v>
      </c>
      <c r="R1348" s="85">
        <v>1.9190476190476191</v>
      </c>
      <c r="S1348" s="29" t="s">
        <v>2719</v>
      </c>
      <c r="T1348" s="29" t="s">
        <v>2719</v>
      </c>
    </row>
    <row r="1349">
      <c r="B1349" s="29" t="s">
        <v>1222</v>
      </c>
      <c r="C1349" s="29" t="s">
        <v>1250</v>
      </c>
      <c r="D1349" s="8" t="s">
        <v>1316</v>
      </c>
      <c r="E1349" s="10" t="s">
        <v>2639</v>
      </c>
      <c r="F1349" s="10"/>
      <c r="G1349" s="10">
        <v>2</v>
      </c>
      <c r="H1349" s="10">
        <v>1</v>
      </c>
      <c r="I1349" s="10"/>
      <c r="J1349" s="10">
        <v>630</v>
      </c>
      <c r="K1349" s="104">
        <v>45318</v>
      </c>
      <c r="L1349" s="104">
        <v>45363</v>
      </c>
      <c r="M1349" s="10" t="b">
        <v>0</v>
      </c>
      <c r="N1349" s="10">
        <v>46</v>
      </c>
      <c r="O1349" s="11">
        <v>1319</v>
      </c>
      <c r="P1349" s="85">
        <v>2.0936507936507938</v>
      </c>
      <c r="Q1349" s="11">
        <v>1209</v>
      </c>
      <c r="R1349" s="85">
        <v>1.9190476190476191</v>
      </c>
      <c r="S1349" s="29" t="s">
        <v>2719</v>
      </c>
      <c r="T1349" s="29" t="s">
        <v>2719</v>
      </c>
    </row>
    <row r="1350">
      <c r="B1350" s="29" t="s">
        <v>1222</v>
      </c>
      <c r="C1350" s="29" t="s">
        <v>1250</v>
      </c>
      <c r="D1350" s="8" t="s">
        <v>1316</v>
      </c>
      <c r="E1350" s="10" t="s">
        <v>2640</v>
      </c>
      <c r="F1350" s="10"/>
      <c r="G1350" s="10">
        <v>2</v>
      </c>
      <c r="H1350" s="10">
        <v>1</v>
      </c>
      <c r="I1350" s="10"/>
      <c r="J1350" s="10">
        <v>630</v>
      </c>
      <c r="K1350" s="104">
        <v>45702</v>
      </c>
      <c r="L1350" s="104">
        <v>45757</v>
      </c>
      <c r="M1350" s="10" t="b">
        <v>0</v>
      </c>
      <c r="N1350" s="10">
        <v>56</v>
      </c>
      <c r="O1350" s="11">
        <v>1329</v>
      </c>
      <c r="P1350" s="85">
        <v>2.1095238095238096</v>
      </c>
      <c r="Q1350" s="11">
        <v>1218</v>
      </c>
      <c r="R1350" s="85">
        <v>1.9333333333333333</v>
      </c>
      <c r="S1350" s="29" t="s">
        <v>2719</v>
      </c>
      <c r="T1350" s="29" t="s">
        <v>2719</v>
      </c>
    </row>
    <row r="1351">
      <c r="B1351" s="29" t="s">
        <v>1222</v>
      </c>
      <c r="C1351" s="29" t="s">
        <v>1250</v>
      </c>
      <c r="D1351" s="8" t="s">
        <v>1316</v>
      </c>
      <c r="E1351" s="10" t="s">
        <v>2641</v>
      </c>
      <c r="F1351" s="10"/>
      <c r="G1351" s="10">
        <v>2</v>
      </c>
      <c r="H1351" s="10">
        <v>1</v>
      </c>
      <c r="I1351" s="10"/>
      <c r="J1351" s="10">
        <v>630</v>
      </c>
      <c r="K1351" s="104">
        <v>45337</v>
      </c>
      <c r="L1351" s="104">
        <v>45387</v>
      </c>
      <c r="M1351" s="10" t="b">
        <v>0</v>
      </c>
      <c r="N1351" s="10">
        <v>51</v>
      </c>
      <c r="O1351" s="11">
        <v>1349</v>
      </c>
      <c r="P1351" s="85">
        <v>2.141269841269841</v>
      </c>
      <c r="Q1351" s="11">
        <v>1237</v>
      </c>
      <c r="R1351" s="85">
        <v>1.9634920634920634</v>
      </c>
      <c r="S1351" s="29" t="s">
        <v>2719</v>
      </c>
      <c r="T1351" s="29" t="s">
        <v>2719</v>
      </c>
    </row>
    <row r="1352">
      <c r="B1352" s="29" t="s">
        <v>1222</v>
      </c>
      <c r="C1352" s="29" t="s">
        <v>1250</v>
      </c>
      <c r="D1352" s="8" t="s">
        <v>1316</v>
      </c>
      <c r="E1352" s="10" t="s">
        <v>2642</v>
      </c>
      <c r="F1352" s="10"/>
      <c r="G1352" s="10">
        <v>2</v>
      </c>
      <c r="H1352" s="10">
        <v>1</v>
      </c>
      <c r="I1352" s="10"/>
      <c r="J1352" s="10">
        <v>630</v>
      </c>
      <c r="K1352" s="104">
        <v>45321</v>
      </c>
      <c r="L1352" s="104">
        <v>45370</v>
      </c>
      <c r="M1352" s="10" t="b">
        <v>0</v>
      </c>
      <c r="N1352" s="10">
        <v>50</v>
      </c>
      <c r="O1352" s="11">
        <v>1349</v>
      </c>
      <c r="P1352" s="85">
        <v>2.141269841269841</v>
      </c>
      <c r="Q1352" s="11">
        <v>1237</v>
      </c>
      <c r="R1352" s="85">
        <v>1.9634920634920634</v>
      </c>
      <c r="S1352" s="29" t="s">
        <v>2719</v>
      </c>
      <c r="T1352" s="29" t="s">
        <v>2719</v>
      </c>
    </row>
    <row r="1353">
      <c r="B1353" s="29" t="s">
        <v>1222</v>
      </c>
      <c r="C1353" s="29" t="s">
        <v>1250</v>
      </c>
      <c r="D1353" s="8" t="s">
        <v>1317</v>
      </c>
      <c r="E1353" s="10" t="s">
        <v>2643</v>
      </c>
      <c r="F1353" s="10">
        <v>4</v>
      </c>
      <c r="G1353" s="10">
        <v>2</v>
      </c>
      <c r="H1353" s="10">
        <v>1</v>
      </c>
      <c r="I1353" s="10"/>
      <c r="J1353" s="10">
        <v>630</v>
      </c>
      <c r="K1353" s="104">
        <v>45268</v>
      </c>
      <c r="L1353" s="104">
        <v>45314</v>
      </c>
      <c r="M1353" s="10" t="b">
        <v>0</v>
      </c>
      <c r="N1353" s="10">
        <v>47</v>
      </c>
      <c r="O1353" s="11">
        <v>1349</v>
      </c>
      <c r="P1353" s="85">
        <v>2.141269841269841</v>
      </c>
      <c r="Q1353" s="11">
        <v>1349</v>
      </c>
      <c r="R1353" s="85">
        <v>2.141269841269841</v>
      </c>
      <c r="S1353" s="29" t="s">
        <v>2719</v>
      </c>
      <c r="T1353" s="29" t="s">
        <v>2719</v>
      </c>
    </row>
    <row r="1354">
      <c r="B1354" s="29" t="s">
        <v>1222</v>
      </c>
      <c r="C1354" s="29" t="s">
        <v>1250</v>
      </c>
      <c r="D1354" s="8" t="s">
        <v>1316</v>
      </c>
      <c r="E1354" s="10" t="s">
        <v>2644</v>
      </c>
      <c r="F1354" s="10">
        <v>4</v>
      </c>
      <c r="G1354" s="10">
        <v>2</v>
      </c>
      <c r="H1354" s="10">
        <v>1</v>
      </c>
      <c r="I1354" s="10"/>
      <c r="J1354" s="10">
        <v>630</v>
      </c>
      <c r="K1354" s="104">
        <v>45627</v>
      </c>
      <c r="L1354" s="104">
        <v>45778</v>
      </c>
      <c r="M1354" s="10" t="b">
        <v>0</v>
      </c>
      <c r="N1354" s="10">
        <v>152</v>
      </c>
      <c r="O1354" s="11">
        <v>1349</v>
      </c>
      <c r="P1354" s="85">
        <v>2.141269841269841</v>
      </c>
      <c r="Q1354" s="11">
        <v>1237</v>
      </c>
      <c r="R1354" s="85">
        <v>1.9634920634920634</v>
      </c>
      <c r="S1354" s="29" t="s">
        <v>2719</v>
      </c>
      <c r="T1354" s="29" t="s">
        <v>2719</v>
      </c>
    </row>
    <row r="1355">
      <c r="B1355" s="29" t="s">
        <v>1222</v>
      </c>
      <c r="C1355" s="29" t="s">
        <v>1250</v>
      </c>
      <c r="D1355" s="8" t="s">
        <v>1316</v>
      </c>
      <c r="E1355" s="10" t="s">
        <v>2645</v>
      </c>
      <c r="F1355" s="10">
        <v>4</v>
      </c>
      <c r="G1355" s="10">
        <v>2</v>
      </c>
      <c r="H1355" s="10">
        <v>1</v>
      </c>
      <c r="I1355" s="10"/>
      <c r="J1355" s="10">
        <v>630</v>
      </c>
      <c r="K1355" s="104">
        <v>45233</v>
      </c>
      <c r="L1355" s="104">
        <v>45266</v>
      </c>
      <c r="M1355" s="10" t="b">
        <v>0</v>
      </c>
      <c r="N1355" s="10">
        <v>34</v>
      </c>
      <c r="O1355" s="11">
        <v>1349</v>
      </c>
      <c r="P1355" s="85">
        <v>2.141269841269841</v>
      </c>
      <c r="Q1355" s="11">
        <v>1349</v>
      </c>
      <c r="R1355" s="85">
        <v>2.141269841269841</v>
      </c>
      <c r="S1355" s="29" t="s">
        <v>2719</v>
      </c>
      <c r="T1355" s="29" t="s">
        <v>2719</v>
      </c>
    </row>
    <row r="1356">
      <c r="B1356" s="29" t="s">
        <v>1222</v>
      </c>
      <c r="C1356" s="29" t="s">
        <v>1250</v>
      </c>
      <c r="D1356" s="8" t="s">
        <v>1316</v>
      </c>
      <c r="E1356" s="10" t="s">
        <v>2646</v>
      </c>
      <c r="F1356" s="10"/>
      <c r="G1356" s="10">
        <v>2</v>
      </c>
      <c r="H1356" s="10">
        <v>1</v>
      </c>
      <c r="I1356" s="10"/>
      <c r="J1356" s="10">
        <v>630</v>
      </c>
      <c r="K1356" s="104">
        <v>45246</v>
      </c>
      <c r="L1356" s="104">
        <v>45247</v>
      </c>
      <c r="M1356" s="10" t="b">
        <v>0</v>
      </c>
      <c r="N1356" s="10">
        <v>2</v>
      </c>
      <c r="O1356" s="11">
        <v>1349</v>
      </c>
      <c r="P1356" s="85">
        <v>2.141269841269841</v>
      </c>
      <c r="Q1356" s="11">
        <v>1349</v>
      </c>
      <c r="R1356" s="85">
        <v>2.141269841269841</v>
      </c>
      <c r="S1356" s="29" t="s">
        <v>2719</v>
      </c>
      <c r="T1356" s="29" t="s">
        <v>2719</v>
      </c>
    </row>
    <row r="1357">
      <c r="B1357" s="29" t="s">
        <v>1222</v>
      </c>
      <c r="C1357" s="29" t="s">
        <v>1250</v>
      </c>
      <c r="D1357" s="8" t="s">
        <v>1316</v>
      </c>
      <c r="E1357" s="10" t="s">
        <v>2647</v>
      </c>
      <c r="F1357" s="10"/>
      <c r="G1357" s="10">
        <v>2</v>
      </c>
      <c r="H1357" s="10">
        <v>1</v>
      </c>
      <c r="I1357" s="10"/>
      <c r="J1357" s="10">
        <v>630</v>
      </c>
      <c r="K1357" s="104">
        <v>45757</v>
      </c>
      <c r="L1357" s="104">
        <v>45762</v>
      </c>
      <c r="M1357" s="10" t="b">
        <v>0</v>
      </c>
      <c r="N1357" s="10">
        <v>6</v>
      </c>
      <c r="O1357" s="11">
        <v>1349</v>
      </c>
      <c r="P1357" s="85">
        <v>2.141269841269841</v>
      </c>
      <c r="Q1357" s="11">
        <v>1237</v>
      </c>
      <c r="R1357" s="85">
        <v>1.9634920634920634</v>
      </c>
      <c r="S1357" s="29" t="s">
        <v>2719</v>
      </c>
      <c r="T1357" s="29" t="s">
        <v>2719</v>
      </c>
    </row>
    <row r="1358">
      <c r="B1358" s="29" t="s">
        <v>1222</v>
      </c>
      <c r="C1358" s="29" t="s">
        <v>1250</v>
      </c>
      <c r="D1358" s="8" t="s">
        <v>1316</v>
      </c>
      <c r="E1358" s="10" t="s">
        <v>2648</v>
      </c>
      <c r="F1358" s="10"/>
      <c r="G1358" s="10">
        <v>2</v>
      </c>
      <c r="H1358" s="10">
        <v>1</v>
      </c>
      <c r="I1358" s="10"/>
      <c r="J1358" s="10">
        <v>630</v>
      </c>
      <c r="K1358" s="104">
        <v>45604</v>
      </c>
      <c r="L1358" s="104">
        <v>45698</v>
      </c>
      <c r="M1358" s="10" t="b">
        <v>0</v>
      </c>
      <c r="N1358" s="10">
        <v>95</v>
      </c>
      <c r="O1358" s="11">
        <v>1349</v>
      </c>
      <c r="P1358" s="85">
        <v>2.141269841269841</v>
      </c>
      <c r="Q1358" s="11">
        <v>1349</v>
      </c>
      <c r="R1358" s="85">
        <v>2.141269841269841</v>
      </c>
      <c r="S1358" s="29" t="s">
        <v>2719</v>
      </c>
      <c r="T1358" s="29" t="s">
        <v>2719</v>
      </c>
    </row>
    <row r="1359">
      <c r="B1359" s="29" t="s">
        <v>1222</v>
      </c>
      <c r="C1359" s="29" t="s">
        <v>1250</v>
      </c>
      <c r="D1359" s="8" t="s">
        <v>1254</v>
      </c>
      <c r="E1359" s="10" t="s">
        <v>2649</v>
      </c>
      <c r="F1359" s="10"/>
      <c r="G1359" s="10">
        <v>2</v>
      </c>
      <c r="H1359" s="10">
        <v>1</v>
      </c>
      <c r="I1359" s="10"/>
      <c r="J1359" s="10">
        <v>630</v>
      </c>
      <c r="K1359" s="104">
        <v>45408</v>
      </c>
      <c r="L1359" s="104">
        <v>45529</v>
      </c>
      <c r="M1359" s="10" t="b">
        <v>0</v>
      </c>
      <c r="N1359" s="10">
        <v>122</v>
      </c>
      <c r="O1359" s="11">
        <v>1359</v>
      </c>
      <c r="P1359" s="85">
        <v>2.157142857142857</v>
      </c>
      <c r="Q1359" s="11">
        <v>1359</v>
      </c>
      <c r="R1359" s="85">
        <v>2.157142857142857</v>
      </c>
      <c r="S1359" s="29" t="s">
        <v>2719</v>
      </c>
      <c r="T1359" s="29" t="s">
        <v>2719</v>
      </c>
    </row>
    <row r="1360">
      <c r="B1360" s="29" t="s">
        <v>1222</v>
      </c>
      <c r="C1360" s="29" t="s">
        <v>1250</v>
      </c>
      <c r="D1360" s="8" t="s">
        <v>1317</v>
      </c>
      <c r="E1360" s="10" t="s">
        <v>2650</v>
      </c>
      <c r="F1360" s="10"/>
      <c r="G1360" s="10">
        <v>2</v>
      </c>
      <c r="H1360" s="10">
        <v>1</v>
      </c>
      <c r="I1360" s="10"/>
      <c r="J1360" s="10">
        <v>630</v>
      </c>
      <c r="K1360" s="104">
        <v>45553</v>
      </c>
      <c r="L1360" s="104">
        <v>45613</v>
      </c>
      <c r="M1360" s="10" t="b">
        <v>0</v>
      </c>
      <c r="N1360" s="10">
        <v>61</v>
      </c>
      <c r="O1360" s="11">
        <v>1369</v>
      </c>
      <c r="P1360" s="85">
        <v>2.173015873015873</v>
      </c>
      <c r="Q1360" s="11">
        <v>1369</v>
      </c>
      <c r="R1360" s="85">
        <v>2.173015873015873</v>
      </c>
      <c r="S1360" s="29" t="s">
        <v>2719</v>
      </c>
      <c r="T1360" s="29" t="s">
        <v>2719</v>
      </c>
    </row>
    <row r="1361">
      <c r="B1361" s="29" t="s">
        <v>1222</v>
      </c>
      <c r="C1361" s="29" t="s">
        <v>1250</v>
      </c>
      <c r="D1361" s="8" t="s">
        <v>1317</v>
      </c>
      <c r="E1361" s="10" t="s">
        <v>2651</v>
      </c>
      <c r="F1361" s="10">
        <v>4</v>
      </c>
      <c r="G1361" s="10">
        <v>2</v>
      </c>
      <c r="H1361" s="10">
        <v>1</v>
      </c>
      <c r="I1361" s="10"/>
      <c r="J1361" s="10">
        <v>630</v>
      </c>
      <c r="K1361" s="104">
        <v>45315</v>
      </c>
      <c r="L1361" s="104">
        <v>45384</v>
      </c>
      <c r="M1361" s="10" t="b">
        <v>0</v>
      </c>
      <c r="N1361" s="10">
        <v>70</v>
      </c>
      <c r="O1361" s="11">
        <v>1369</v>
      </c>
      <c r="P1361" s="85">
        <v>2.173015873015873</v>
      </c>
      <c r="Q1361" s="11">
        <v>1255</v>
      </c>
      <c r="R1361" s="85">
        <v>1.992063492063492</v>
      </c>
      <c r="S1361" s="29" t="s">
        <v>2719</v>
      </c>
      <c r="T1361" s="29" t="s">
        <v>2719</v>
      </c>
    </row>
    <row r="1362">
      <c r="B1362" s="29" t="s">
        <v>1222</v>
      </c>
      <c r="C1362" s="29" t="s">
        <v>1250</v>
      </c>
      <c r="D1362" s="8" t="s">
        <v>1316</v>
      </c>
      <c r="E1362" s="10" t="s">
        <v>2652</v>
      </c>
      <c r="F1362" s="10"/>
      <c r="G1362" s="10">
        <v>2</v>
      </c>
      <c r="H1362" s="10">
        <v>1</v>
      </c>
      <c r="I1362" s="10"/>
      <c r="J1362" s="10">
        <v>630</v>
      </c>
      <c r="K1362" s="104">
        <v>45268</v>
      </c>
      <c r="L1362" s="104">
        <v>45275</v>
      </c>
      <c r="M1362" s="10" t="b">
        <v>0</v>
      </c>
      <c r="N1362" s="10">
        <v>8</v>
      </c>
      <c r="O1362" s="11">
        <v>1369</v>
      </c>
      <c r="P1362" s="85">
        <v>2.173015873015873</v>
      </c>
      <c r="Q1362" s="11">
        <v>1369</v>
      </c>
      <c r="R1362" s="85">
        <v>2.173015873015873</v>
      </c>
      <c r="S1362" s="29" t="s">
        <v>2719</v>
      </c>
      <c r="T1362" s="29" t="s">
        <v>2719</v>
      </c>
    </row>
    <row r="1363">
      <c r="B1363" s="29" t="s">
        <v>1222</v>
      </c>
      <c r="C1363" s="29" t="s">
        <v>1250</v>
      </c>
      <c r="D1363" s="8" t="s">
        <v>1316</v>
      </c>
      <c r="E1363" s="10" t="s">
        <v>2653</v>
      </c>
      <c r="F1363" s="10">
        <v>4</v>
      </c>
      <c r="G1363" s="10">
        <v>2</v>
      </c>
      <c r="H1363" s="10">
        <v>1</v>
      </c>
      <c r="I1363" s="10"/>
      <c r="J1363" s="10">
        <v>630</v>
      </c>
      <c r="K1363" s="104">
        <v>45189</v>
      </c>
      <c r="L1363" s="104">
        <v>45202</v>
      </c>
      <c r="M1363" s="10" t="b">
        <v>0</v>
      </c>
      <c r="N1363" s="10">
        <v>14</v>
      </c>
      <c r="O1363" s="11">
        <v>1369</v>
      </c>
      <c r="P1363" s="85">
        <v>2.173015873015873</v>
      </c>
      <c r="Q1363" s="11">
        <v>1255</v>
      </c>
      <c r="R1363" s="85">
        <v>1.992063492063492</v>
      </c>
      <c r="S1363" s="29" t="s">
        <v>2719</v>
      </c>
      <c r="T1363" s="29" t="s">
        <v>2719</v>
      </c>
    </row>
    <row r="1364">
      <c r="B1364" s="29" t="s">
        <v>1222</v>
      </c>
      <c r="C1364" s="29" t="s">
        <v>1250</v>
      </c>
      <c r="D1364" s="8" t="s">
        <v>1316</v>
      </c>
      <c r="E1364" s="10" t="s">
        <v>2654</v>
      </c>
      <c r="F1364" s="10"/>
      <c r="G1364" s="10">
        <v>2</v>
      </c>
      <c r="H1364" s="10">
        <v>1</v>
      </c>
      <c r="I1364" s="10"/>
      <c r="J1364" s="10">
        <v>630</v>
      </c>
      <c r="K1364" s="104">
        <v>45413</v>
      </c>
      <c r="L1364" s="104">
        <v>45515</v>
      </c>
      <c r="M1364" s="10" t="b">
        <v>0</v>
      </c>
      <c r="N1364" s="10">
        <v>103</v>
      </c>
      <c r="O1364" s="11">
        <v>1379</v>
      </c>
      <c r="P1364" s="85">
        <v>2.188888888888889</v>
      </c>
      <c r="Q1364" s="11">
        <v>1379</v>
      </c>
      <c r="R1364" s="85">
        <v>2.188888888888889</v>
      </c>
      <c r="S1364" s="29" t="s">
        <v>2719</v>
      </c>
      <c r="T1364" s="29" t="s">
        <v>2719</v>
      </c>
    </row>
    <row r="1365">
      <c r="B1365" s="29" t="s">
        <v>1222</v>
      </c>
      <c r="C1365" s="29" t="s">
        <v>1250</v>
      </c>
      <c r="D1365" s="8" t="s">
        <v>1316</v>
      </c>
      <c r="E1365" s="10" t="s">
        <v>2655</v>
      </c>
      <c r="F1365" s="10"/>
      <c r="G1365" s="10">
        <v>2</v>
      </c>
      <c r="H1365" s="10">
        <v>1</v>
      </c>
      <c r="I1365" s="10"/>
      <c r="J1365" s="10">
        <v>630</v>
      </c>
      <c r="K1365" s="104">
        <v>45407</v>
      </c>
      <c r="L1365" s="104">
        <v>45509</v>
      </c>
      <c r="M1365" s="10" t="b">
        <v>0</v>
      </c>
      <c r="N1365" s="10">
        <v>103</v>
      </c>
      <c r="O1365" s="11">
        <v>1389</v>
      </c>
      <c r="P1365" s="85">
        <v>2.204761904761905</v>
      </c>
      <c r="Q1365" s="11">
        <v>1389</v>
      </c>
      <c r="R1365" s="85">
        <v>2.204761904761905</v>
      </c>
      <c r="S1365" s="29" t="s">
        <v>2719</v>
      </c>
      <c r="T1365" s="29" t="s">
        <v>2719</v>
      </c>
    </row>
    <row r="1366">
      <c r="B1366" s="29" t="s">
        <v>1222</v>
      </c>
      <c r="C1366" s="29" t="s">
        <v>1250</v>
      </c>
      <c r="D1366" s="8" t="s">
        <v>1317</v>
      </c>
      <c r="E1366" s="10" t="s">
        <v>2656</v>
      </c>
      <c r="F1366" s="10">
        <v>4</v>
      </c>
      <c r="G1366" s="10">
        <v>2</v>
      </c>
      <c r="H1366" s="10">
        <v>1</v>
      </c>
      <c r="I1366" s="10"/>
      <c r="J1366" s="10">
        <v>630</v>
      </c>
      <c r="K1366" s="104">
        <v>45247</v>
      </c>
      <c r="L1366" s="104">
        <v>45370</v>
      </c>
      <c r="M1366" s="10" t="b">
        <v>0</v>
      </c>
      <c r="N1366" s="10">
        <v>124</v>
      </c>
      <c r="O1366" s="11">
        <v>1389</v>
      </c>
      <c r="P1366" s="85">
        <v>2.204761904761905</v>
      </c>
      <c r="Q1366" s="11">
        <v>1273</v>
      </c>
      <c r="R1366" s="85">
        <v>2.0206349206349206</v>
      </c>
      <c r="S1366" s="29" t="s">
        <v>2719</v>
      </c>
      <c r="T1366" s="29" t="s">
        <v>2719</v>
      </c>
    </row>
    <row r="1367">
      <c r="B1367" s="29" t="s">
        <v>1222</v>
      </c>
      <c r="C1367" s="29" t="s">
        <v>1250</v>
      </c>
      <c r="D1367" s="8" t="s">
        <v>1316</v>
      </c>
      <c r="E1367" s="10" t="s">
        <v>2657</v>
      </c>
      <c r="F1367" s="10"/>
      <c r="G1367" s="10">
        <v>2</v>
      </c>
      <c r="H1367" s="10">
        <v>1</v>
      </c>
      <c r="I1367" s="10"/>
      <c r="J1367" s="10">
        <v>630</v>
      </c>
      <c r="K1367" s="104">
        <v>45535</v>
      </c>
      <c r="L1367" s="104">
        <v>45777</v>
      </c>
      <c r="M1367" s="10" t="b">
        <v>0</v>
      </c>
      <c r="N1367" s="10">
        <v>243</v>
      </c>
      <c r="O1367" s="11">
        <v>1389</v>
      </c>
      <c r="P1367" s="85">
        <v>2.204761904761905</v>
      </c>
      <c r="Q1367" s="11">
        <v>1389</v>
      </c>
      <c r="R1367" s="85">
        <v>2.204761904761905</v>
      </c>
      <c r="S1367" s="29" t="s">
        <v>2719</v>
      </c>
      <c r="T1367" s="29" t="s">
        <v>2719</v>
      </c>
    </row>
    <row r="1368">
      <c r="B1368" s="29" t="s">
        <v>1222</v>
      </c>
      <c r="C1368" s="29" t="s">
        <v>1250</v>
      </c>
      <c r="D1368" s="8" t="s">
        <v>1316</v>
      </c>
      <c r="E1368" s="10" t="s">
        <v>2658</v>
      </c>
      <c r="F1368" s="10">
        <v>4</v>
      </c>
      <c r="G1368" s="10">
        <v>2</v>
      </c>
      <c r="H1368" s="10">
        <v>1</v>
      </c>
      <c r="I1368" s="10"/>
      <c r="J1368" s="10">
        <v>630</v>
      </c>
      <c r="K1368" s="104">
        <v>45621</v>
      </c>
      <c r="L1368" s="104">
        <v>45709</v>
      </c>
      <c r="M1368" s="10" t="b">
        <v>0</v>
      </c>
      <c r="N1368" s="10">
        <v>89</v>
      </c>
      <c r="O1368" s="11">
        <v>1394</v>
      </c>
      <c r="P1368" s="85">
        <v>2.212698412698413</v>
      </c>
      <c r="Q1368" s="11">
        <v>1394</v>
      </c>
      <c r="R1368" s="85">
        <v>2.212698412698413</v>
      </c>
      <c r="S1368" s="29" t="s">
        <v>2719</v>
      </c>
      <c r="T1368" s="29" t="s">
        <v>2719</v>
      </c>
    </row>
    <row r="1369">
      <c r="B1369" s="29" t="s">
        <v>1222</v>
      </c>
      <c r="C1369" s="29" t="s">
        <v>1250</v>
      </c>
      <c r="D1369" s="8" t="s">
        <v>1316</v>
      </c>
      <c r="E1369" s="10" t="s">
        <v>2659</v>
      </c>
      <c r="F1369" s="10">
        <v>4</v>
      </c>
      <c r="G1369" s="10">
        <v>2</v>
      </c>
      <c r="H1369" s="10">
        <v>1</v>
      </c>
      <c r="I1369" s="10"/>
      <c r="J1369" s="10">
        <v>630</v>
      </c>
      <c r="K1369" s="104">
        <v>45348</v>
      </c>
      <c r="L1369" s="104">
        <v>45384</v>
      </c>
      <c r="M1369" s="10" t="b">
        <v>0</v>
      </c>
      <c r="N1369" s="10">
        <v>37</v>
      </c>
      <c r="O1369" s="11">
        <v>1399</v>
      </c>
      <c r="P1369" s="85">
        <v>2.2206349206349207</v>
      </c>
      <c r="Q1369" s="11">
        <v>1282</v>
      </c>
      <c r="R1369" s="85">
        <v>2.034920634920635</v>
      </c>
      <c r="S1369" s="29" t="s">
        <v>2719</v>
      </c>
      <c r="T1369" s="29" t="s">
        <v>2719</v>
      </c>
    </row>
    <row r="1370">
      <c r="B1370" s="29" t="s">
        <v>1222</v>
      </c>
      <c r="C1370" s="29" t="s">
        <v>1250</v>
      </c>
      <c r="D1370" s="8" t="s">
        <v>1316</v>
      </c>
      <c r="E1370" s="10" t="s">
        <v>2660</v>
      </c>
      <c r="F1370" s="10"/>
      <c r="G1370" s="10">
        <v>2</v>
      </c>
      <c r="H1370" s="10">
        <v>1</v>
      </c>
      <c r="I1370" s="10"/>
      <c r="J1370" s="10">
        <v>630</v>
      </c>
      <c r="K1370" s="104">
        <v>45164</v>
      </c>
      <c r="L1370" s="104">
        <v>45176</v>
      </c>
      <c r="M1370" s="10" t="b">
        <v>0</v>
      </c>
      <c r="N1370" s="10">
        <v>13</v>
      </c>
      <c r="O1370" s="11">
        <v>1399</v>
      </c>
      <c r="P1370" s="85">
        <v>2.2206349206349207</v>
      </c>
      <c r="Q1370" s="11">
        <v>1399</v>
      </c>
      <c r="R1370" s="85">
        <v>2.2206349206349207</v>
      </c>
      <c r="S1370" s="29" t="s">
        <v>2719</v>
      </c>
      <c r="T1370" s="29" t="s">
        <v>2719</v>
      </c>
    </row>
    <row r="1371">
      <c r="B1371" s="29" t="s">
        <v>1222</v>
      </c>
      <c r="C1371" s="29" t="s">
        <v>1250</v>
      </c>
      <c r="D1371" s="8" t="s">
        <v>1316</v>
      </c>
      <c r="E1371" s="10" t="s">
        <v>2661</v>
      </c>
      <c r="F1371" s="10"/>
      <c r="G1371" s="10">
        <v>2</v>
      </c>
      <c r="H1371" s="10">
        <v>1</v>
      </c>
      <c r="I1371" s="10"/>
      <c r="J1371" s="10">
        <v>630</v>
      </c>
      <c r="K1371" s="104">
        <v>45121</v>
      </c>
      <c r="L1371" s="104">
        <v>45157</v>
      </c>
      <c r="M1371" s="10" t="b">
        <v>0</v>
      </c>
      <c r="N1371" s="10">
        <v>37</v>
      </c>
      <c r="O1371" s="11">
        <v>1399</v>
      </c>
      <c r="P1371" s="85">
        <v>2.2206349206349207</v>
      </c>
      <c r="Q1371" s="11">
        <v>1399</v>
      </c>
      <c r="R1371" s="85">
        <v>2.2206349206349207</v>
      </c>
      <c r="S1371" s="29" t="s">
        <v>2719</v>
      </c>
      <c r="T1371" s="29" t="s">
        <v>2719</v>
      </c>
    </row>
    <row r="1372">
      <c r="B1372" s="29" t="s">
        <v>1222</v>
      </c>
      <c r="C1372" s="29" t="s">
        <v>1250</v>
      </c>
      <c r="D1372" s="8" t="s">
        <v>1316</v>
      </c>
      <c r="E1372" s="10" t="s">
        <v>2662</v>
      </c>
      <c r="F1372" s="10"/>
      <c r="G1372" s="10">
        <v>2</v>
      </c>
      <c r="H1372" s="10">
        <v>1</v>
      </c>
      <c r="I1372" s="10"/>
      <c r="J1372" s="10">
        <v>630</v>
      </c>
      <c r="K1372" s="104"/>
      <c r="L1372" s="104">
        <v>45121</v>
      </c>
      <c r="M1372" s="10" t="b">
        <v>0</v>
      </c>
      <c r="N1372" s="10"/>
      <c r="O1372" s="11">
        <v>1399</v>
      </c>
      <c r="P1372" s="85">
        <v>2.2206349206349207</v>
      </c>
      <c r="Q1372" s="11">
        <v>1399</v>
      </c>
      <c r="R1372" s="85">
        <v>2.2206349206349207</v>
      </c>
      <c r="S1372" s="29" t="s">
        <v>2719</v>
      </c>
      <c r="T1372" s="29" t="s">
        <v>2719</v>
      </c>
    </row>
    <row r="1373">
      <c r="B1373" s="29" t="s">
        <v>1222</v>
      </c>
      <c r="C1373" s="29" t="s">
        <v>1250</v>
      </c>
      <c r="D1373" s="8" t="s">
        <v>1317</v>
      </c>
      <c r="E1373" s="10" t="s">
        <v>2663</v>
      </c>
      <c r="F1373" s="10"/>
      <c r="G1373" s="10">
        <v>2</v>
      </c>
      <c r="H1373" s="10">
        <v>1</v>
      </c>
      <c r="I1373" s="10"/>
      <c r="J1373" s="10">
        <v>630</v>
      </c>
      <c r="K1373" s="104">
        <v>45342</v>
      </c>
      <c r="L1373" s="104">
        <v>45415</v>
      </c>
      <c r="M1373" s="10" t="b">
        <v>0</v>
      </c>
      <c r="N1373" s="10">
        <v>74</v>
      </c>
      <c r="O1373" s="11">
        <v>1399</v>
      </c>
      <c r="P1373" s="85">
        <v>2.2206349206349207</v>
      </c>
      <c r="Q1373" s="11">
        <v>1399</v>
      </c>
      <c r="R1373" s="85">
        <v>2.2206349206349207</v>
      </c>
      <c r="S1373" s="29" t="s">
        <v>2719</v>
      </c>
      <c r="T1373" s="29" t="s">
        <v>2719</v>
      </c>
    </row>
    <row r="1374">
      <c r="B1374" s="29" t="s">
        <v>1222</v>
      </c>
      <c r="C1374" s="29" t="s">
        <v>1250</v>
      </c>
      <c r="D1374" s="8" t="s">
        <v>1317</v>
      </c>
      <c r="E1374" s="10" t="s">
        <v>2664</v>
      </c>
      <c r="F1374" s="10"/>
      <c r="G1374" s="10">
        <v>2</v>
      </c>
      <c r="H1374" s="10">
        <v>1</v>
      </c>
      <c r="I1374" s="10"/>
      <c r="J1374" s="10">
        <v>630</v>
      </c>
      <c r="K1374" s="104">
        <v>45476</v>
      </c>
      <c r="L1374" s="104">
        <v>45783</v>
      </c>
      <c r="M1374" s="10" t="b">
        <v>0</v>
      </c>
      <c r="N1374" s="10">
        <v>308</v>
      </c>
      <c r="O1374" s="11">
        <v>1399</v>
      </c>
      <c r="P1374" s="85">
        <v>2.2206349206349207</v>
      </c>
      <c r="Q1374" s="11">
        <v>1282</v>
      </c>
      <c r="R1374" s="85">
        <v>2.034920634920635</v>
      </c>
      <c r="S1374" s="29" t="s">
        <v>2719</v>
      </c>
      <c r="T1374" s="29" t="s">
        <v>2719</v>
      </c>
    </row>
    <row r="1375">
      <c r="B1375" s="29" t="s">
        <v>1222</v>
      </c>
      <c r="C1375" s="29" t="s">
        <v>1250</v>
      </c>
      <c r="D1375" s="8" t="s">
        <v>1316</v>
      </c>
      <c r="E1375" s="10" t="s">
        <v>2665</v>
      </c>
      <c r="F1375" s="10">
        <v>4</v>
      </c>
      <c r="G1375" s="10">
        <v>2</v>
      </c>
      <c r="H1375" s="10">
        <v>1</v>
      </c>
      <c r="I1375" s="10"/>
      <c r="J1375" s="10">
        <v>630</v>
      </c>
      <c r="K1375" s="104">
        <v>45552</v>
      </c>
      <c r="L1375" s="104">
        <v>45694</v>
      </c>
      <c r="M1375" s="10" t="b">
        <v>0</v>
      </c>
      <c r="N1375" s="10">
        <v>143</v>
      </c>
      <c r="O1375" s="11">
        <v>1409</v>
      </c>
      <c r="P1375" s="85">
        <v>2.2365079365079366</v>
      </c>
      <c r="Q1375" s="11">
        <v>1409</v>
      </c>
      <c r="R1375" s="85">
        <v>2.2365079365079366</v>
      </c>
      <c r="S1375" s="29" t="s">
        <v>2719</v>
      </c>
      <c r="T1375" s="29" t="s">
        <v>2719</v>
      </c>
    </row>
    <row r="1376">
      <c r="B1376" s="29" t="s">
        <v>1222</v>
      </c>
      <c r="C1376" s="29" t="s">
        <v>1250</v>
      </c>
      <c r="D1376" s="8" t="s">
        <v>1316</v>
      </c>
      <c r="E1376" s="10" t="s">
        <v>2666</v>
      </c>
      <c r="F1376" s="10"/>
      <c r="G1376" s="10">
        <v>2</v>
      </c>
      <c r="H1376" s="10">
        <v>1</v>
      </c>
      <c r="I1376" s="10"/>
      <c r="J1376" s="10">
        <v>630</v>
      </c>
      <c r="K1376" s="104">
        <v>45650</v>
      </c>
      <c r="L1376" s="104">
        <v>45737</v>
      </c>
      <c r="M1376" s="10" t="b">
        <v>0</v>
      </c>
      <c r="N1376" s="10">
        <v>88</v>
      </c>
      <c r="O1376" s="11">
        <v>1419</v>
      </c>
      <c r="P1376" s="85">
        <v>2.2523809523809524</v>
      </c>
      <c r="Q1376" s="11">
        <v>1419</v>
      </c>
      <c r="R1376" s="85">
        <v>2.2523809523809524</v>
      </c>
      <c r="S1376" s="29" t="s">
        <v>2719</v>
      </c>
      <c r="T1376" s="29" t="s">
        <v>2719</v>
      </c>
    </row>
    <row r="1377">
      <c r="B1377" s="29" t="s">
        <v>1222</v>
      </c>
      <c r="C1377" s="29" t="s">
        <v>1250</v>
      </c>
      <c r="D1377" s="8" t="s">
        <v>1316</v>
      </c>
      <c r="E1377" s="10" t="s">
        <v>2667</v>
      </c>
      <c r="F1377" s="10"/>
      <c r="G1377" s="10">
        <v>2</v>
      </c>
      <c r="H1377" s="10">
        <v>1</v>
      </c>
      <c r="I1377" s="10"/>
      <c r="J1377" s="10">
        <v>630</v>
      </c>
      <c r="K1377" s="104">
        <v>45364</v>
      </c>
      <c r="L1377" s="104">
        <v>45400</v>
      </c>
      <c r="M1377" s="10" t="b">
        <v>0</v>
      </c>
      <c r="N1377" s="10">
        <v>37</v>
      </c>
      <c r="O1377" s="11">
        <v>1419</v>
      </c>
      <c r="P1377" s="85">
        <v>2.2523809523809524</v>
      </c>
      <c r="Q1377" s="11">
        <v>1301</v>
      </c>
      <c r="R1377" s="85">
        <v>2.0650793650793653</v>
      </c>
      <c r="S1377" s="29" t="s">
        <v>2719</v>
      </c>
      <c r="T1377" s="29" t="s">
        <v>2719</v>
      </c>
    </row>
    <row r="1378">
      <c r="B1378" s="29" t="s">
        <v>1222</v>
      </c>
      <c r="C1378" s="29" t="s">
        <v>1250</v>
      </c>
      <c r="D1378" s="8" t="s">
        <v>1317</v>
      </c>
      <c r="E1378" s="10" t="s">
        <v>2668</v>
      </c>
      <c r="F1378" s="10">
        <v>4</v>
      </c>
      <c r="G1378" s="10">
        <v>2</v>
      </c>
      <c r="H1378" s="10">
        <v>1</v>
      </c>
      <c r="I1378" s="10"/>
      <c r="J1378" s="10">
        <v>630</v>
      </c>
      <c r="K1378" s="104">
        <v>45129</v>
      </c>
      <c r="L1378" s="104">
        <v>45134</v>
      </c>
      <c r="M1378" s="10" t="b">
        <v>0</v>
      </c>
      <c r="N1378" s="10">
        <v>6</v>
      </c>
      <c r="O1378" s="11">
        <v>1429</v>
      </c>
      <c r="P1378" s="85">
        <v>2.268253968253968</v>
      </c>
      <c r="Q1378" s="11">
        <v>1429</v>
      </c>
      <c r="R1378" s="85">
        <v>2.268253968253968</v>
      </c>
      <c r="S1378" s="29" t="s">
        <v>2719</v>
      </c>
      <c r="T1378" s="29" t="s">
        <v>2719</v>
      </c>
    </row>
    <row r="1379">
      <c r="B1379" s="29" t="s">
        <v>1222</v>
      </c>
      <c r="C1379" s="29" t="s">
        <v>1250</v>
      </c>
      <c r="D1379" s="8" t="s">
        <v>1317</v>
      </c>
      <c r="E1379" s="10" t="s">
        <v>2669</v>
      </c>
      <c r="F1379" s="10"/>
      <c r="G1379" s="10">
        <v>2</v>
      </c>
      <c r="H1379" s="10">
        <v>1</v>
      </c>
      <c r="I1379" s="10"/>
      <c r="J1379" s="10">
        <v>630</v>
      </c>
      <c r="K1379" s="104">
        <v>45581</v>
      </c>
      <c r="L1379" s="104"/>
      <c r="M1379" s="10" t="b">
        <v>1</v>
      </c>
      <c r="N1379" s="10"/>
      <c r="O1379" s="11">
        <v>1429</v>
      </c>
      <c r="P1379" s="85">
        <v>2.268253968253968</v>
      </c>
      <c r="Q1379" s="11">
        <v>1310</v>
      </c>
      <c r="R1379" s="85">
        <v>2.0793650793650795</v>
      </c>
      <c r="S1379" s="29" t="s">
        <v>2719</v>
      </c>
      <c r="T1379" s="29" t="s">
        <v>2719</v>
      </c>
    </row>
    <row r="1380">
      <c r="B1380" s="29" t="s">
        <v>1222</v>
      </c>
      <c r="C1380" s="29" t="s">
        <v>1250</v>
      </c>
      <c r="D1380" s="8" t="s">
        <v>1317</v>
      </c>
      <c r="E1380" s="10" t="s">
        <v>2670</v>
      </c>
      <c r="F1380" s="10">
        <v>4</v>
      </c>
      <c r="G1380" s="10">
        <v>2</v>
      </c>
      <c r="H1380" s="10">
        <v>1</v>
      </c>
      <c r="I1380" s="10"/>
      <c r="J1380" s="10">
        <v>630</v>
      </c>
      <c r="K1380" s="104">
        <v>45105</v>
      </c>
      <c r="L1380" s="104">
        <v>45128</v>
      </c>
      <c r="M1380" s="10" t="b">
        <v>0</v>
      </c>
      <c r="N1380" s="10">
        <v>24</v>
      </c>
      <c r="O1380" s="11">
        <v>1429</v>
      </c>
      <c r="P1380" s="85">
        <v>2.268253968253968</v>
      </c>
      <c r="Q1380" s="11">
        <v>1429</v>
      </c>
      <c r="R1380" s="85">
        <v>2.268253968253968</v>
      </c>
      <c r="S1380" s="29" t="s">
        <v>2719</v>
      </c>
      <c r="T1380" s="29" t="s">
        <v>2719</v>
      </c>
    </row>
    <row r="1381">
      <c r="B1381" s="29" t="s">
        <v>1222</v>
      </c>
      <c r="C1381" s="29" t="s">
        <v>1250</v>
      </c>
      <c r="D1381" s="8" t="s">
        <v>1316</v>
      </c>
      <c r="E1381" s="10" t="s">
        <v>2671</v>
      </c>
      <c r="F1381" s="10"/>
      <c r="G1381" s="10">
        <v>2</v>
      </c>
      <c r="H1381" s="10">
        <v>1</v>
      </c>
      <c r="I1381" s="10"/>
      <c r="J1381" s="10">
        <v>630</v>
      </c>
      <c r="K1381" s="104">
        <v>45695</v>
      </c>
      <c r="L1381" s="104">
        <v>45749</v>
      </c>
      <c r="M1381" s="10" t="b">
        <v>0</v>
      </c>
      <c r="N1381" s="10">
        <v>55</v>
      </c>
      <c r="O1381" s="11">
        <v>1434</v>
      </c>
      <c r="P1381" s="85">
        <v>2.276190476190476</v>
      </c>
      <c r="Q1381" s="11">
        <v>1314</v>
      </c>
      <c r="R1381" s="85">
        <v>2.085714285714286</v>
      </c>
      <c r="S1381" s="29" t="s">
        <v>2719</v>
      </c>
      <c r="T1381" s="29" t="s">
        <v>2719</v>
      </c>
    </row>
    <row r="1382">
      <c r="B1382" s="29" t="s">
        <v>1222</v>
      </c>
      <c r="C1382" s="29" t="s">
        <v>1250</v>
      </c>
      <c r="D1382" s="8" t="s">
        <v>1316</v>
      </c>
      <c r="E1382" s="10" t="s">
        <v>2672</v>
      </c>
      <c r="F1382" s="10"/>
      <c r="G1382" s="10">
        <v>2</v>
      </c>
      <c r="H1382" s="10">
        <v>1</v>
      </c>
      <c r="I1382" s="10"/>
      <c r="J1382" s="10">
        <v>630</v>
      </c>
      <c r="K1382" s="104">
        <v>45552</v>
      </c>
      <c r="L1382" s="104">
        <v>45595</v>
      </c>
      <c r="M1382" s="10" t="b">
        <v>0</v>
      </c>
      <c r="N1382" s="10">
        <v>44</v>
      </c>
      <c r="O1382" s="11">
        <v>1434</v>
      </c>
      <c r="P1382" s="85">
        <v>2.276190476190476</v>
      </c>
      <c r="Q1382" s="11">
        <v>1434</v>
      </c>
      <c r="R1382" s="85">
        <v>2.276190476190476</v>
      </c>
      <c r="S1382" s="29" t="s">
        <v>2719</v>
      </c>
      <c r="T1382" s="29" t="s">
        <v>2719</v>
      </c>
    </row>
    <row r="1383">
      <c r="B1383" s="29" t="s">
        <v>1222</v>
      </c>
      <c r="C1383" s="29" t="s">
        <v>1250</v>
      </c>
      <c r="D1383" s="8" t="s">
        <v>1316</v>
      </c>
      <c r="E1383" s="10" t="s">
        <v>2673</v>
      </c>
      <c r="F1383" s="10">
        <v>4</v>
      </c>
      <c r="G1383" s="10">
        <v>2</v>
      </c>
      <c r="H1383" s="10">
        <v>1</v>
      </c>
      <c r="I1383" s="10"/>
      <c r="J1383" s="10">
        <v>630</v>
      </c>
      <c r="K1383" s="104">
        <v>45454</v>
      </c>
      <c r="L1383" s="104">
        <v>45521</v>
      </c>
      <c r="M1383" s="10" t="b">
        <v>0</v>
      </c>
      <c r="N1383" s="10">
        <v>68</v>
      </c>
      <c r="O1383" s="11">
        <v>1434</v>
      </c>
      <c r="P1383" s="85">
        <v>2.276190476190476</v>
      </c>
      <c r="Q1383" s="11">
        <v>1434</v>
      </c>
      <c r="R1383" s="85">
        <v>2.276190476190476</v>
      </c>
      <c r="S1383" s="29" t="s">
        <v>2719</v>
      </c>
      <c r="T1383" s="29" t="s">
        <v>2719</v>
      </c>
    </row>
    <row r="1384">
      <c r="B1384" s="29" t="s">
        <v>1222</v>
      </c>
      <c r="C1384" s="29" t="s">
        <v>1250</v>
      </c>
      <c r="D1384" s="8" t="s">
        <v>1317</v>
      </c>
      <c r="E1384" s="10" t="s">
        <v>2674</v>
      </c>
      <c r="F1384" s="10"/>
      <c r="G1384" s="10">
        <v>2</v>
      </c>
      <c r="H1384" s="10">
        <v>1</v>
      </c>
      <c r="I1384" s="10"/>
      <c r="J1384" s="10">
        <v>630</v>
      </c>
      <c r="K1384" s="104">
        <v>45149</v>
      </c>
      <c r="L1384" s="104">
        <v>45150</v>
      </c>
      <c r="M1384" s="10" t="b">
        <v>0</v>
      </c>
      <c r="N1384" s="10">
        <v>2</v>
      </c>
      <c r="O1384" s="11">
        <v>1434</v>
      </c>
      <c r="P1384" s="85">
        <v>2.276190476190476</v>
      </c>
      <c r="Q1384" s="11">
        <v>1434</v>
      </c>
      <c r="R1384" s="85">
        <v>2.276190476190476</v>
      </c>
      <c r="S1384" s="29" t="s">
        <v>2719</v>
      </c>
      <c r="T1384" s="29" t="s">
        <v>2719</v>
      </c>
    </row>
    <row r="1385">
      <c r="B1385" s="29" t="s">
        <v>1222</v>
      </c>
      <c r="C1385" s="29" t="s">
        <v>1250</v>
      </c>
      <c r="D1385" s="8" t="s">
        <v>1317</v>
      </c>
      <c r="E1385" s="10" t="s">
        <v>2675</v>
      </c>
      <c r="F1385" s="10"/>
      <c r="G1385" s="10">
        <v>2</v>
      </c>
      <c r="H1385" s="10">
        <v>1</v>
      </c>
      <c r="I1385" s="10"/>
      <c r="J1385" s="10">
        <v>630</v>
      </c>
      <c r="K1385" s="104">
        <v>45756</v>
      </c>
      <c r="L1385" s="104"/>
      <c r="M1385" s="10" t="b">
        <v>1</v>
      </c>
      <c r="N1385" s="10"/>
      <c r="O1385" s="11">
        <v>1439</v>
      </c>
      <c r="P1385" s="85">
        <v>2.284126984126984</v>
      </c>
      <c r="Q1385" s="11">
        <v>1319</v>
      </c>
      <c r="R1385" s="85">
        <v>2.0936507936507938</v>
      </c>
      <c r="S1385" s="29" t="s">
        <v>2719</v>
      </c>
      <c r="T1385" s="29" t="s">
        <v>2719</v>
      </c>
    </row>
    <row r="1386">
      <c r="B1386" s="29" t="s">
        <v>1222</v>
      </c>
      <c r="C1386" s="29" t="s">
        <v>1250</v>
      </c>
      <c r="D1386" s="8" t="s">
        <v>1316</v>
      </c>
      <c r="E1386" s="10" t="s">
        <v>2676</v>
      </c>
      <c r="F1386" s="10">
        <v>4</v>
      </c>
      <c r="G1386" s="10">
        <v>2</v>
      </c>
      <c r="H1386" s="10">
        <v>1</v>
      </c>
      <c r="I1386" s="10"/>
      <c r="J1386" s="10">
        <v>630</v>
      </c>
      <c r="K1386" s="104">
        <v>45682</v>
      </c>
      <c r="L1386" s="104">
        <v>45721</v>
      </c>
      <c r="M1386" s="10" t="b">
        <v>0</v>
      </c>
      <c r="N1386" s="10">
        <v>40</v>
      </c>
      <c r="O1386" s="11">
        <v>1439</v>
      </c>
      <c r="P1386" s="85">
        <v>2.284126984126984</v>
      </c>
      <c r="Q1386" s="11">
        <v>1439</v>
      </c>
      <c r="R1386" s="85">
        <v>2.284126984126984</v>
      </c>
      <c r="S1386" s="29" t="s">
        <v>2719</v>
      </c>
      <c r="T1386" s="29" t="s">
        <v>2719</v>
      </c>
    </row>
    <row r="1387">
      <c r="B1387" s="29" t="s">
        <v>1222</v>
      </c>
      <c r="C1387" s="29" t="s">
        <v>1250</v>
      </c>
      <c r="D1387" s="8" t="s">
        <v>1317</v>
      </c>
      <c r="E1387" s="10" t="s">
        <v>2677</v>
      </c>
      <c r="F1387" s="10"/>
      <c r="G1387" s="10">
        <v>2</v>
      </c>
      <c r="H1387" s="10">
        <v>1</v>
      </c>
      <c r="I1387" s="10"/>
      <c r="J1387" s="10">
        <v>630</v>
      </c>
      <c r="K1387" s="104">
        <v>45115</v>
      </c>
      <c r="L1387" s="104">
        <v>45127</v>
      </c>
      <c r="M1387" s="10" t="b">
        <v>0</v>
      </c>
      <c r="N1387" s="10">
        <v>13</v>
      </c>
      <c r="O1387" s="11">
        <v>1449</v>
      </c>
      <c r="P1387" s="85">
        <v>2.3</v>
      </c>
      <c r="Q1387" s="11">
        <v>1449</v>
      </c>
      <c r="R1387" s="85">
        <v>2.3</v>
      </c>
      <c r="S1387" s="29" t="s">
        <v>2719</v>
      </c>
      <c r="T1387" s="29" t="s">
        <v>2719</v>
      </c>
    </row>
    <row r="1388">
      <c r="B1388" s="29" t="s">
        <v>1222</v>
      </c>
      <c r="C1388" s="29" t="s">
        <v>1250</v>
      </c>
      <c r="D1388" s="8" t="s">
        <v>1254</v>
      </c>
      <c r="E1388" s="10" t="s">
        <v>2678</v>
      </c>
      <c r="F1388" s="10"/>
      <c r="G1388" s="10">
        <v>2</v>
      </c>
      <c r="H1388" s="10">
        <v>1</v>
      </c>
      <c r="I1388" s="10"/>
      <c r="J1388" s="10">
        <v>630</v>
      </c>
      <c r="K1388" s="104">
        <v>45682</v>
      </c>
      <c r="L1388" s="104">
        <v>45734</v>
      </c>
      <c r="M1388" s="10" t="b">
        <v>0</v>
      </c>
      <c r="N1388" s="10">
        <v>53</v>
      </c>
      <c r="O1388" s="11">
        <v>1449</v>
      </c>
      <c r="P1388" s="85">
        <v>2.3</v>
      </c>
      <c r="Q1388" s="11">
        <v>1449</v>
      </c>
      <c r="R1388" s="85">
        <v>2.3</v>
      </c>
      <c r="S1388" s="29" t="s">
        <v>2719</v>
      </c>
      <c r="T1388" s="29" t="s">
        <v>2719</v>
      </c>
    </row>
    <row r="1389">
      <c r="B1389" s="29" t="s">
        <v>1222</v>
      </c>
      <c r="C1389" s="29" t="s">
        <v>1250</v>
      </c>
      <c r="D1389" s="8" t="s">
        <v>1317</v>
      </c>
      <c r="E1389" s="10" t="s">
        <v>2679</v>
      </c>
      <c r="F1389" s="10"/>
      <c r="G1389" s="10">
        <v>2</v>
      </c>
      <c r="H1389" s="10">
        <v>1</v>
      </c>
      <c r="I1389" s="10"/>
      <c r="J1389" s="10">
        <v>630</v>
      </c>
      <c r="K1389" s="104">
        <v>45370</v>
      </c>
      <c r="L1389" s="104">
        <v>45476</v>
      </c>
      <c r="M1389" s="10" t="b">
        <v>0</v>
      </c>
      <c r="N1389" s="10">
        <v>107</v>
      </c>
      <c r="O1389" s="11">
        <v>1449</v>
      </c>
      <c r="P1389" s="85">
        <v>2.3</v>
      </c>
      <c r="Q1389" s="11">
        <v>1449</v>
      </c>
      <c r="R1389" s="85">
        <v>2.3</v>
      </c>
      <c r="S1389" s="29" t="s">
        <v>2719</v>
      </c>
      <c r="T1389" s="29" t="s">
        <v>2719</v>
      </c>
    </row>
    <row r="1390">
      <c r="B1390" s="29" t="s">
        <v>1222</v>
      </c>
      <c r="C1390" s="29" t="s">
        <v>1250</v>
      </c>
      <c r="D1390" s="8" t="s">
        <v>1317</v>
      </c>
      <c r="E1390" s="10" t="s">
        <v>2680</v>
      </c>
      <c r="F1390" s="10"/>
      <c r="G1390" s="10">
        <v>2</v>
      </c>
      <c r="H1390" s="10">
        <v>1</v>
      </c>
      <c r="I1390" s="10"/>
      <c r="J1390" s="10">
        <v>630</v>
      </c>
      <c r="K1390" s="104">
        <v>45154</v>
      </c>
      <c r="L1390" s="104">
        <v>45169</v>
      </c>
      <c r="M1390" s="10" t="b">
        <v>0</v>
      </c>
      <c r="N1390" s="10">
        <v>16</v>
      </c>
      <c r="O1390" s="11">
        <v>1449</v>
      </c>
      <c r="P1390" s="85">
        <v>2.3</v>
      </c>
      <c r="Q1390" s="11">
        <v>1449</v>
      </c>
      <c r="R1390" s="85">
        <v>2.3</v>
      </c>
      <c r="S1390" s="29" t="s">
        <v>2719</v>
      </c>
      <c r="T1390" s="29" t="s">
        <v>2719</v>
      </c>
    </row>
    <row r="1391">
      <c r="B1391" s="29" t="s">
        <v>1222</v>
      </c>
      <c r="C1391" s="29" t="s">
        <v>1250</v>
      </c>
      <c r="D1391" s="8" t="s">
        <v>1317</v>
      </c>
      <c r="E1391" s="10" t="s">
        <v>2681</v>
      </c>
      <c r="F1391" s="10"/>
      <c r="G1391" s="10">
        <v>2</v>
      </c>
      <c r="H1391" s="10">
        <v>1</v>
      </c>
      <c r="I1391" s="10"/>
      <c r="J1391" s="10">
        <v>630</v>
      </c>
      <c r="K1391" s="104">
        <v>45617</v>
      </c>
      <c r="L1391" s="104">
        <v>45756</v>
      </c>
      <c r="M1391" s="10" t="b">
        <v>0</v>
      </c>
      <c r="N1391" s="10">
        <v>140</v>
      </c>
      <c r="O1391" s="11">
        <v>1449</v>
      </c>
      <c r="P1391" s="85">
        <v>2.3</v>
      </c>
      <c r="Q1391" s="11">
        <v>1328</v>
      </c>
      <c r="R1391" s="85">
        <v>2.107936507936508</v>
      </c>
      <c r="S1391" s="29" t="s">
        <v>2719</v>
      </c>
      <c r="T1391" s="29" t="s">
        <v>2719</v>
      </c>
    </row>
    <row r="1392">
      <c r="B1392" s="29" t="s">
        <v>1222</v>
      </c>
      <c r="C1392" s="29" t="s">
        <v>1250</v>
      </c>
      <c r="D1392" s="8" t="s">
        <v>1317</v>
      </c>
      <c r="E1392" s="10" t="s">
        <v>2682</v>
      </c>
      <c r="F1392" s="10"/>
      <c r="G1392" s="10">
        <v>2</v>
      </c>
      <c r="H1392" s="10">
        <v>1</v>
      </c>
      <c r="I1392" s="10"/>
      <c r="J1392" s="10">
        <v>630</v>
      </c>
      <c r="K1392" s="104">
        <v>45445</v>
      </c>
      <c r="L1392" s="104">
        <v>45446</v>
      </c>
      <c r="M1392" s="10" t="b">
        <v>0</v>
      </c>
      <c r="N1392" s="10">
        <v>2</v>
      </c>
      <c r="O1392" s="11">
        <v>1454</v>
      </c>
      <c r="P1392" s="85">
        <v>2.3079365079365077</v>
      </c>
      <c r="Q1392" s="11">
        <v>1454</v>
      </c>
      <c r="R1392" s="85">
        <v>2.3079365079365077</v>
      </c>
      <c r="S1392" s="29" t="s">
        <v>2719</v>
      </c>
      <c r="T1392" s="29" t="s">
        <v>2719</v>
      </c>
    </row>
    <row r="1393">
      <c r="B1393" s="29" t="s">
        <v>1222</v>
      </c>
      <c r="C1393" s="29" t="s">
        <v>1250</v>
      </c>
      <c r="D1393" s="8" t="s">
        <v>1317</v>
      </c>
      <c r="E1393" s="10" t="s">
        <v>2683</v>
      </c>
      <c r="F1393" s="10"/>
      <c r="G1393" s="10">
        <v>2</v>
      </c>
      <c r="H1393" s="10">
        <v>1</v>
      </c>
      <c r="I1393" s="10"/>
      <c r="J1393" s="10">
        <v>630</v>
      </c>
      <c r="K1393" s="104"/>
      <c r="L1393" s="104">
        <v>45115</v>
      </c>
      <c r="M1393" s="10" t="b">
        <v>0</v>
      </c>
      <c r="N1393" s="10"/>
      <c r="O1393" s="11">
        <v>1469</v>
      </c>
      <c r="P1393" s="85">
        <v>2.331746031746032</v>
      </c>
      <c r="Q1393" s="11">
        <v>1469</v>
      </c>
      <c r="R1393" s="85">
        <v>2.331746031746032</v>
      </c>
      <c r="S1393" s="29" t="s">
        <v>2719</v>
      </c>
      <c r="T1393" s="29" t="s">
        <v>2719</v>
      </c>
    </row>
    <row r="1394">
      <c r="B1394" s="29" t="s">
        <v>1222</v>
      </c>
      <c r="C1394" s="29" t="s">
        <v>1250</v>
      </c>
      <c r="D1394" s="8" t="s">
        <v>1317</v>
      </c>
      <c r="E1394" s="10" t="s">
        <v>2684</v>
      </c>
      <c r="F1394" s="10"/>
      <c r="G1394" s="10">
        <v>2</v>
      </c>
      <c r="H1394" s="10">
        <v>1</v>
      </c>
      <c r="I1394" s="10"/>
      <c r="J1394" s="10">
        <v>630</v>
      </c>
      <c r="K1394" s="104">
        <v>45456</v>
      </c>
      <c r="L1394" s="104">
        <v>45555</v>
      </c>
      <c r="M1394" s="10" t="b">
        <v>0</v>
      </c>
      <c r="N1394" s="10">
        <v>100</v>
      </c>
      <c r="O1394" s="11">
        <v>1469</v>
      </c>
      <c r="P1394" s="85">
        <v>2.331746031746032</v>
      </c>
      <c r="Q1394" s="11">
        <v>1469</v>
      </c>
      <c r="R1394" s="85">
        <v>2.331746031746032</v>
      </c>
      <c r="S1394" s="29" t="s">
        <v>2719</v>
      </c>
      <c r="T1394" s="29" t="s">
        <v>2719</v>
      </c>
    </row>
    <row r="1395">
      <c r="B1395" s="29" t="s">
        <v>1222</v>
      </c>
      <c r="C1395" s="29" t="s">
        <v>1250</v>
      </c>
      <c r="D1395" s="8" t="s">
        <v>1316</v>
      </c>
      <c r="E1395" s="10" t="s">
        <v>2685</v>
      </c>
      <c r="F1395" s="10">
        <v>4</v>
      </c>
      <c r="G1395" s="10">
        <v>2</v>
      </c>
      <c r="H1395" s="10">
        <v>1</v>
      </c>
      <c r="I1395" s="10"/>
      <c r="J1395" s="10">
        <v>630</v>
      </c>
      <c r="K1395" s="104">
        <v>45449</v>
      </c>
      <c r="L1395" s="104">
        <v>45490</v>
      </c>
      <c r="M1395" s="10" t="b">
        <v>0</v>
      </c>
      <c r="N1395" s="10">
        <v>42</v>
      </c>
      <c r="O1395" s="11">
        <v>1469</v>
      </c>
      <c r="P1395" s="85">
        <v>2.331746031746032</v>
      </c>
      <c r="Q1395" s="11">
        <v>1469</v>
      </c>
      <c r="R1395" s="85">
        <v>2.331746031746032</v>
      </c>
      <c r="S1395" s="29" t="s">
        <v>2719</v>
      </c>
      <c r="T1395" s="29" t="s">
        <v>2719</v>
      </c>
    </row>
    <row r="1396">
      <c r="B1396" s="29" t="s">
        <v>1222</v>
      </c>
      <c r="C1396" s="29" t="s">
        <v>1250</v>
      </c>
      <c r="D1396" s="8" t="s">
        <v>1317</v>
      </c>
      <c r="E1396" s="10" t="s">
        <v>2686</v>
      </c>
      <c r="F1396" s="10"/>
      <c r="G1396" s="10">
        <v>2</v>
      </c>
      <c r="H1396" s="10">
        <v>1</v>
      </c>
      <c r="I1396" s="10"/>
      <c r="J1396" s="10">
        <v>630</v>
      </c>
      <c r="K1396" s="104">
        <v>45472</v>
      </c>
      <c r="L1396" s="104">
        <v>45485</v>
      </c>
      <c r="M1396" s="10" t="b">
        <v>0</v>
      </c>
      <c r="N1396" s="10">
        <v>14</v>
      </c>
      <c r="O1396" s="11">
        <v>1469</v>
      </c>
      <c r="P1396" s="85">
        <v>2.331746031746032</v>
      </c>
      <c r="Q1396" s="11">
        <v>1469</v>
      </c>
      <c r="R1396" s="85">
        <v>2.331746031746032</v>
      </c>
      <c r="S1396" s="29" t="s">
        <v>2719</v>
      </c>
      <c r="T1396" s="29" t="s">
        <v>2719</v>
      </c>
    </row>
    <row r="1397">
      <c r="B1397" s="29" t="s">
        <v>1222</v>
      </c>
      <c r="C1397" s="29" t="s">
        <v>1250</v>
      </c>
      <c r="D1397" s="8" t="s">
        <v>1317</v>
      </c>
      <c r="E1397" s="10" t="s">
        <v>2687</v>
      </c>
      <c r="F1397" s="10"/>
      <c r="G1397" s="10">
        <v>2</v>
      </c>
      <c r="H1397" s="10">
        <v>1</v>
      </c>
      <c r="I1397" s="10"/>
      <c r="J1397" s="10">
        <v>630</v>
      </c>
      <c r="K1397" s="104">
        <v>45373</v>
      </c>
      <c r="L1397" s="104">
        <v>45443</v>
      </c>
      <c r="M1397" s="10" t="b">
        <v>0</v>
      </c>
      <c r="N1397" s="10">
        <v>71</v>
      </c>
      <c r="O1397" s="11">
        <v>1469</v>
      </c>
      <c r="P1397" s="85">
        <v>2.331746031746032</v>
      </c>
      <c r="Q1397" s="11">
        <v>1469</v>
      </c>
      <c r="R1397" s="85">
        <v>2.331746031746032</v>
      </c>
      <c r="S1397" s="29" t="s">
        <v>2719</v>
      </c>
      <c r="T1397" s="29" t="s">
        <v>2719</v>
      </c>
    </row>
    <row r="1398">
      <c r="B1398" s="29" t="s">
        <v>1222</v>
      </c>
      <c r="C1398" s="29" t="s">
        <v>1250</v>
      </c>
      <c r="D1398" s="8" t="s">
        <v>1317</v>
      </c>
      <c r="E1398" s="10" t="s">
        <v>2688</v>
      </c>
      <c r="F1398" s="10"/>
      <c r="G1398" s="10">
        <v>2</v>
      </c>
      <c r="H1398" s="10">
        <v>1</v>
      </c>
      <c r="I1398" s="10"/>
      <c r="J1398" s="10">
        <v>630</v>
      </c>
      <c r="K1398" s="104">
        <v>45393</v>
      </c>
      <c r="L1398" s="104">
        <v>45402</v>
      </c>
      <c r="M1398" s="10" t="b">
        <v>0</v>
      </c>
      <c r="N1398" s="10">
        <v>10</v>
      </c>
      <c r="O1398" s="11">
        <v>1469</v>
      </c>
      <c r="P1398" s="85">
        <v>2.331746031746032</v>
      </c>
      <c r="Q1398" s="11">
        <v>1347</v>
      </c>
      <c r="R1398" s="85">
        <v>2.138095238095238</v>
      </c>
      <c r="S1398" s="29" t="s">
        <v>2719</v>
      </c>
      <c r="T1398" s="29" t="s">
        <v>2719</v>
      </c>
    </row>
    <row r="1399">
      <c r="B1399" s="29" t="s">
        <v>1222</v>
      </c>
      <c r="C1399" s="29" t="s">
        <v>1250</v>
      </c>
      <c r="D1399" s="8" t="s">
        <v>1316</v>
      </c>
      <c r="E1399" s="10" t="s">
        <v>2689</v>
      </c>
      <c r="F1399" s="10"/>
      <c r="G1399" s="10">
        <v>2</v>
      </c>
      <c r="H1399" s="10">
        <v>1</v>
      </c>
      <c r="I1399" s="10"/>
      <c r="J1399" s="10">
        <v>630</v>
      </c>
      <c r="K1399" s="104">
        <v>45757</v>
      </c>
      <c r="L1399" s="104"/>
      <c r="M1399" s="10" t="b">
        <v>1</v>
      </c>
      <c r="N1399" s="10"/>
      <c r="O1399" s="11">
        <v>1469</v>
      </c>
      <c r="P1399" s="85">
        <v>2.331746031746032</v>
      </c>
      <c r="Q1399" s="11">
        <v>1347</v>
      </c>
      <c r="R1399" s="85">
        <v>2.138095238095238</v>
      </c>
      <c r="S1399" s="29" t="s">
        <v>2719</v>
      </c>
      <c r="T1399" s="29" t="s">
        <v>2719</v>
      </c>
    </row>
    <row r="1400">
      <c r="B1400" s="29" t="s">
        <v>1222</v>
      </c>
      <c r="C1400" s="29" t="s">
        <v>1250</v>
      </c>
      <c r="D1400" s="8" t="s">
        <v>1317</v>
      </c>
      <c r="E1400" s="10" t="s">
        <v>2690</v>
      </c>
      <c r="F1400" s="10"/>
      <c r="G1400" s="10">
        <v>2</v>
      </c>
      <c r="H1400" s="10">
        <v>1</v>
      </c>
      <c r="I1400" s="10"/>
      <c r="J1400" s="10">
        <v>630</v>
      </c>
      <c r="K1400" s="104">
        <v>45682</v>
      </c>
      <c r="L1400" s="104">
        <v>45702</v>
      </c>
      <c r="M1400" s="10" t="b">
        <v>0</v>
      </c>
      <c r="N1400" s="10">
        <v>21</v>
      </c>
      <c r="O1400" s="11">
        <v>1469</v>
      </c>
      <c r="P1400" s="85">
        <v>2.331746031746032</v>
      </c>
      <c r="Q1400" s="11">
        <v>1469</v>
      </c>
      <c r="R1400" s="85">
        <v>2.331746031746032</v>
      </c>
      <c r="S1400" s="29" t="s">
        <v>2719</v>
      </c>
      <c r="T1400" s="29" t="s">
        <v>2719</v>
      </c>
    </row>
    <row r="1401">
      <c r="B1401" s="29" t="s">
        <v>1222</v>
      </c>
      <c r="C1401" s="29" t="s">
        <v>1250</v>
      </c>
      <c r="D1401" s="8" t="s">
        <v>1317</v>
      </c>
      <c r="E1401" s="10" t="s">
        <v>2691</v>
      </c>
      <c r="F1401" s="10"/>
      <c r="G1401" s="10">
        <v>2</v>
      </c>
      <c r="H1401" s="10">
        <v>1</v>
      </c>
      <c r="I1401" s="10"/>
      <c r="J1401" s="10">
        <v>630</v>
      </c>
      <c r="K1401" s="104">
        <v>45101</v>
      </c>
      <c r="L1401" s="104">
        <v>45189</v>
      </c>
      <c r="M1401" s="10" t="b">
        <v>0</v>
      </c>
      <c r="N1401" s="10">
        <v>89</v>
      </c>
      <c r="O1401" s="11">
        <v>1469</v>
      </c>
      <c r="P1401" s="85">
        <v>2.331746031746032</v>
      </c>
      <c r="Q1401" s="11">
        <v>1469</v>
      </c>
      <c r="R1401" s="85">
        <v>2.331746031746032</v>
      </c>
      <c r="S1401" s="29" t="s">
        <v>2719</v>
      </c>
      <c r="T1401" s="29" t="s">
        <v>2719</v>
      </c>
    </row>
    <row r="1402">
      <c r="B1402" s="29" t="s">
        <v>1222</v>
      </c>
      <c r="C1402" s="29" t="s">
        <v>1250</v>
      </c>
      <c r="D1402" s="8" t="s">
        <v>1316</v>
      </c>
      <c r="E1402" s="10" t="s">
        <v>2692</v>
      </c>
      <c r="F1402" s="10">
        <v>4</v>
      </c>
      <c r="G1402" s="10">
        <v>2</v>
      </c>
      <c r="H1402" s="10">
        <v>1</v>
      </c>
      <c r="I1402" s="10"/>
      <c r="J1402" s="10">
        <v>630</v>
      </c>
      <c r="K1402" s="104">
        <v>45751</v>
      </c>
      <c r="L1402" s="104">
        <v>45779</v>
      </c>
      <c r="M1402" s="10" t="b">
        <v>0</v>
      </c>
      <c r="N1402" s="10">
        <v>29</v>
      </c>
      <c r="O1402" s="11">
        <v>1474</v>
      </c>
      <c r="P1402" s="85">
        <v>2.33968253968254</v>
      </c>
      <c r="Q1402" s="11">
        <v>1351</v>
      </c>
      <c r="R1402" s="85">
        <v>2.1444444444444444</v>
      </c>
      <c r="S1402" s="29" t="s">
        <v>2719</v>
      </c>
      <c r="T1402" s="29" t="s">
        <v>2719</v>
      </c>
    </row>
    <row r="1403">
      <c r="B1403" s="29" t="s">
        <v>1222</v>
      </c>
      <c r="C1403" s="29" t="s">
        <v>1250</v>
      </c>
      <c r="D1403" s="8" t="s">
        <v>1316</v>
      </c>
      <c r="E1403" s="10" t="s">
        <v>2693</v>
      </c>
      <c r="F1403" s="10"/>
      <c r="G1403" s="10">
        <v>2</v>
      </c>
      <c r="H1403" s="10">
        <v>1</v>
      </c>
      <c r="I1403" s="10"/>
      <c r="J1403" s="10">
        <v>630</v>
      </c>
      <c r="K1403" s="104">
        <v>45764</v>
      </c>
      <c r="L1403" s="104"/>
      <c r="M1403" s="10" t="b">
        <v>1</v>
      </c>
      <c r="N1403" s="10"/>
      <c r="O1403" s="11">
        <v>1479</v>
      </c>
      <c r="P1403" s="85">
        <v>2.3476190476190477</v>
      </c>
      <c r="Q1403" s="11">
        <v>1356</v>
      </c>
      <c r="R1403" s="85">
        <v>2.1523809523809523</v>
      </c>
      <c r="S1403" s="29" t="s">
        <v>2719</v>
      </c>
      <c r="T1403" s="29" t="s">
        <v>2719</v>
      </c>
    </row>
    <row r="1404">
      <c r="B1404" s="29" t="s">
        <v>1222</v>
      </c>
      <c r="C1404" s="29" t="s">
        <v>1250</v>
      </c>
      <c r="D1404" s="8" t="s">
        <v>1316</v>
      </c>
      <c r="E1404" s="10" t="s">
        <v>2694</v>
      </c>
      <c r="F1404" s="10"/>
      <c r="G1404" s="10">
        <v>2</v>
      </c>
      <c r="H1404" s="10">
        <v>1</v>
      </c>
      <c r="I1404" s="10"/>
      <c r="J1404" s="10">
        <v>630</v>
      </c>
      <c r="K1404" s="104">
        <v>45245</v>
      </c>
      <c r="L1404" s="104">
        <v>45331</v>
      </c>
      <c r="M1404" s="10" t="b">
        <v>0</v>
      </c>
      <c r="N1404" s="10">
        <v>87</v>
      </c>
      <c r="O1404" s="11">
        <v>1479</v>
      </c>
      <c r="P1404" s="85">
        <v>2.3476190476190477</v>
      </c>
      <c r="Q1404" s="11">
        <v>1356</v>
      </c>
      <c r="R1404" s="85">
        <v>2.1523809523809523</v>
      </c>
      <c r="S1404" s="29" t="s">
        <v>2719</v>
      </c>
      <c r="T1404" s="29" t="s">
        <v>2719</v>
      </c>
    </row>
    <row r="1405">
      <c r="B1405" s="29" t="s">
        <v>1222</v>
      </c>
      <c r="C1405" s="29" t="s">
        <v>1250</v>
      </c>
      <c r="D1405" s="8" t="s">
        <v>1317</v>
      </c>
      <c r="E1405" s="10" t="s">
        <v>2695</v>
      </c>
      <c r="F1405" s="10"/>
      <c r="G1405" s="10">
        <v>2</v>
      </c>
      <c r="H1405" s="10">
        <v>1</v>
      </c>
      <c r="I1405" s="10"/>
      <c r="J1405" s="10">
        <v>630</v>
      </c>
      <c r="K1405" s="104">
        <v>45542</v>
      </c>
      <c r="L1405" s="104">
        <v>45647</v>
      </c>
      <c r="M1405" s="10" t="b">
        <v>0</v>
      </c>
      <c r="N1405" s="10">
        <v>106</v>
      </c>
      <c r="O1405" s="11">
        <v>1479</v>
      </c>
      <c r="P1405" s="85">
        <v>2.3476190476190477</v>
      </c>
      <c r="Q1405" s="11">
        <v>1479</v>
      </c>
      <c r="R1405" s="85">
        <v>2.3476190476190477</v>
      </c>
      <c r="S1405" s="29" t="s">
        <v>2719</v>
      </c>
      <c r="T1405" s="29" t="s">
        <v>2719</v>
      </c>
    </row>
    <row r="1406">
      <c r="B1406" s="29" t="s">
        <v>1222</v>
      </c>
      <c r="C1406" s="29" t="s">
        <v>1250</v>
      </c>
      <c r="D1406" s="8" t="s">
        <v>1316</v>
      </c>
      <c r="E1406" s="10" t="s">
        <v>2696</v>
      </c>
      <c r="F1406" s="10"/>
      <c r="G1406" s="10">
        <v>2</v>
      </c>
      <c r="H1406" s="10">
        <v>1</v>
      </c>
      <c r="I1406" s="10"/>
      <c r="J1406" s="10">
        <v>630</v>
      </c>
      <c r="K1406" s="104">
        <v>45518</v>
      </c>
      <c r="L1406" s="104">
        <v>45645</v>
      </c>
      <c r="M1406" s="10" t="b">
        <v>0</v>
      </c>
      <c r="N1406" s="10">
        <v>128</v>
      </c>
      <c r="O1406" s="11">
        <v>1479</v>
      </c>
      <c r="P1406" s="85">
        <v>2.3476190476190477</v>
      </c>
      <c r="Q1406" s="11">
        <v>1479</v>
      </c>
      <c r="R1406" s="85">
        <v>2.3476190476190477</v>
      </c>
      <c r="S1406" s="29" t="s">
        <v>2719</v>
      </c>
      <c r="T1406" s="29" t="s">
        <v>2719</v>
      </c>
    </row>
    <row r="1407">
      <c r="B1407" s="29" t="s">
        <v>1222</v>
      </c>
      <c r="C1407" s="29" t="s">
        <v>1250</v>
      </c>
      <c r="D1407" s="8" t="s">
        <v>1317</v>
      </c>
      <c r="E1407" s="10" t="s">
        <v>2697</v>
      </c>
      <c r="F1407" s="10"/>
      <c r="G1407" s="10">
        <v>2</v>
      </c>
      <c r="H1407" s="10">
        <v>1</v>
      </c>
      <c r="I1407" s="10"/>
      <c r="J1407" s="10">
        <v>630</v>
      </c>
      <c r="K1407" s="104">
        <v>45484</v>
      </c>
      <c r="L1407" s="104">
        <v>45549</v>
      </c>
      <c r="M1407" s="10" t="b">
        <v>0</v>
      </c>
      <c r="N1407" s="10">
        <v>66</v>
      </c>
      <c r="O1407" s="11">
        <v>1479</v>
      </c>
      <c r="P1407" s="85">
        <v>2.3476190476190477</v>
      </c>
      <c r="Q1407" s="11">
        <v>1479</v>
      </c>
      <c r="R1407" s="85">
        <v>2.3476190476190477</v>
      </c>
      <c r="S1407" s="29" t="s">
        <v>2719</v>
      </c>
      <c r="T1407" s="29" t="s">
        <v>2719</v>
      </c>
    </row>
    <row r="1408">
      <c r="B1408" s="29" t="s">
        <v>1222</v>
      </c>
      <c r="C1408" s="29" t="s">
        <v>1250</v>
      </c>
      <c r="D1408" s="8" t="s">
        <v>1316</v>
      </c>
      <c r="E1408" s="10" t="s">
        <v>2698</v>
      </c>
      <c r="F1408" s="10"/>
      <c r="G1408" s="10">
        <v>2</v>
      </c>
      <c r="H1408" s="10">
        <v>1</v>
      </c>
      <c r="I1408" s="10"/>
      <c r="J1408" s="10">
        <v>630</v>
      </c>
      <c r="K1408" s="104">
        <v>45757</v>
      </c>
      <c r="L1408" s="104"/>
      <c r="M1408" s="10" t="b">
        <v>1</v>
      </c>
      <c r="N1408" s="10"/>
      <c r="O1408" s="11">
        <v>1484</v>
      </c>
      <c r="P1408" s="85">
        <v>2.3555555555555556</v>
      </c>
      <c r="Q1408" s="11">
        <v>1360</v>
      </c>
      <c r="R1408" s="85">
        <v>2.1587301587301586</v>
      </c>
      <c r="S1408" s="29" t="s">
        <v>2719</v>
      </c>
      <c r="T1408" s="29" t="s">
        <v>2719</v>
      </c>
    </row>
    <row r="1409">
      <c r="B1409" s="29" t="s">
        <v>1222</v>
      </c>
      <c r="C1409" s="29" t="s">
        <v>1250</v>
      </c>
      <c r="D1409" s="8" t="s">
        <v>1317</v>
      </c>
      <c r="E1409" s="10" t="s">
        <v>2699</v>
      </c>
      <c r="F1409" s="10">
        <v>4</v>
      </c>
      <c r="G1409" s="10">
        <v>2</v>
      </c>
      <c r="H1409" s="10">
        <v>1</v>
      </c>
      <c r="I1409" s="10"/>
      <c r="J1409" s="10">
        <v>630</v>
      </c>
      <c r="K1409" s="104">
        <v>45428</v>
      </c>
      <c r="L1409" s="104">
        <v>45454</v>
      </c>
      <c r="M1409" s="10" t="b">
        <v>0</v>
      </c>
      <c r="N1409" s="10">
        <v>27</v>
      </c>
      <c r="O1409" s="11">
        <v>1489</v>
      </c>
      <c r="P1409" s="85">
        <v>2.3634920634920635</v>
      </c>
      <c r="Q1409" s="11">
        <v>1489</v>
      </c>
      <c r="R1409" s="85">
        <v>2.3634920634920635</v>
      </c>
      <c r="S1409" s="29" t="s">
        <v>2719</v>
      </c>
      <c r="T1409" s="29" t="s">
        <v>2719</v>
      </c>
    </row>
    <row r="1410">
      <c r="B1410" s="29" t="s">
        <v>1222</v>
      </c>
      <c r="C1410" s="29" t="s">
        <v>1250</v>
      </c>
      <c r="D1410" s="8" t="s">
        <v>1317</v>
      </c>
      <c r="E1410" s="10" t="s">
        <v>2700</v>
      </c>
      <c r="F1410" s="10"/>
      <c r="G1410" s="10">
        <v>2</v>
      </c>
      <c r="H1410" s="10">
        <v>1</v>
      </c>
      <c r="I1410" s="10"/>
      <c r="J1410" s="10">
        <v>630</v>
      </c>
      <c r="K1410" s="104">
        <v>45720</v>
      </c>
      <c r="L1410" s="104"/>
      <c r="M1410" s="10" t="b">
        <v>1</v>
      </c>
      <c r="N1410" s="10"/>
      <c r="O1410" s="11">
        <v>1489</v>
      </c>
      <c r="P1410" s="85">
        <v>2.3634920634920635</v>
      </c>
      <c r="Q1410" s="11">
        <v>1365</v>
      </c>
      <c r="R1410" s="85">
        <v>2.1666666666666665</v>
      </c>
      <c r="S1410" s="29" t="s">
        <v>2719</v>
      </c>
      <c r="T1410" s="29" t="s">
        <v>2719</v>
      </c>
    </row>
    <row r="1411">
      <c r="B1411" s="29" t="s">
        <v>1222</v>
      </c>
      <c r="C1411" s="29" t="s">
        <v>1250</v>
      </c>
      <c r="D1411" s="8" t="s">
        <v>1317</v>
      </c>
      <c r="E1411" s="10" t="s">
        <v>2701</v>
      </c>
      <c r="F1411" s="10"/>
      <c r="G1411" s="10">
        <v>2</v>
      </c>
      <c r="H1411" s="10">
        <v>1</v>
      </c>
      <c r="I1411" s="10"/>
      <c r="J1411" s="10">
        <v>630</v>
      </c>
      <c r="K1411" s="104">
        <v>45534</v>
      </c>
      <c r="L1411" s="104">
        <v>45693</v>
      </c>
      <c r="M1411" s="10" t="b">
        <v>0</v>
      </c>
      <c r="N1411" s="10">
        <v>160</v>
      </c>
      <c r="O1411" s="11">
        <v>1489</v>
      </c>
      <c r="P1411" s="85">
        <v>2.3634920634920635</v>
      </c>
      <c r="Q1411" s="11">
        <v>1489</v>
      </c>
      <c r="R1411" s="85">
        <v>2.3634920634920635</v>
      </c>
      <c r="S1411" s="29" t="s">
        <v>2719</v>
      </c>
      <c r="T1411" s="29" t="s">
        <v>2719</v>
      </c>
    </row>
    <row r="1412">
      <c r="B1412" s="29" t="s">
        <v>1222</v>
      </c>
      <c r="C1412" s="29" t="s">
        <v>1250</v>
      </c>
      <c r="D1412" s="8" t="s">
        <v>1317</v>
      </c>
      <c r="E1412" s="10" t="s">
        <v>2702</v>
      </c>
      <c r="F1412" s="10"/>
      <c r="G1412" s="10">
        <v>2</v>
      </c>
      <c r="H1412" s="10">
        <v>1</v>
      </c>
      <c r="I1412" s="10"/>
      <c r="J1412" s="10">
        <v>630</v>
      </c>
      <c r="K1412" s="104">
        <v>45444</v>
      </c>
      <c r="L1412" s="104">
        <v>45471</v>
      </c>
      <c r="M1412" s="10" t="b">
        <v>0</v>
      </c>
      <c r="N1412" s="10">
        <v>28</v>
      </c>
      <c r="O1412" s="11">
        <v>1489</v>
      </c>
      <c r="P1412" s="85">
        <v>2.3634920634920635</v>
      </c>
      <c r="Q1412" s="11">
        <v>1489</v>
      </c>
      <c r="R1412" s="85">
        <v>2.3634920634920635</v>
      </c>
      <c r="S1412" s="29" t="s">
        <v>2719</v>
      </c>
      <c r="T1412" s="29" t="s">
        <v>2719</v>
      </c>
    </row>
    <row r="1413">
      <c r="B1413" s="29" t="s">
        <v>1222</v>
      </c>
      <c r="C1413" s="29" t="s">
        <v>1250</v>
      </c>
      <c r="D1413" s="8" t="s">
        <v>1317</v>
      </c>
      <c r="E1413" s="10" t="s">
        <v>2703</v>
      </c>
      <c r="F1413" s="10">
        <v>4</v>
      </c>
      <c r="G1413" s="10">
        <v>2</v>
      </c>
      <c r="H1413" s="10">
        <v>1</v>
      </c>
      <c r="I1413" s="10"/>
      <c r="J1413" s="10">
        <v>630</v>
      </c>
      <c r="K1413" s="104">
        <v>45128</v>
      </c>
      <c r="L1413" s="104">
        <v>45196</v>
      </c>
      <c r="M1413" s="10" t="b">
        <v>0</v>
      </c>
      <c r="N1413" s="10">
        <v>69</v>
      </c>
      <c r="O1413" s="11">
        <v>1489</v>
      </c>
      <c r="P1413" s="85">
        <v>2.3634920634920635</v>
      </c>
      <c r="Q1413" s="11">
        <v>1489</v>
      </c>
      <c r="R1413" s="85">
        <v>2.3634920634920635</v>
      </c>
      <c r="S1413" s="29" t="s">
        <v>2719</v>
      </c>
      <c r="T1413" s="29" t="s">
        <v>2719</v>
      </c>
    </row>
    <row r="1414">
      <c r="B1414" s="29" t="s">
        <v>1222</v>
      </c>
      <c r="C1414" s="29" t="s">
        <v>1250</v>
      </c>
      <c r="D1414" s="8" t="s">
        <v>1317</v>
      </c>
      <c r="E1414" s="10" t="s">
        <v>2704</v>
      </c>
      <c r="F1414" s="10"/>
      <c r="G1414" s="10">
        <v>2</v>
      </c>
      <c r="H1414" s="10">
        <v>1</v>
      </c>
      <c r="I1414" s="10"/>
      <c r="J1414" s="10">
        <v>630</v>
      </c>
      <c r="K1414" s="104">
        <v>45504</v>
      </c>
      <c r="L1414" s="104">
        <v>45614</v>
      </c>
      <c r="M1414" s="10" t="b">
        <v>0</v>
      </c>
      <c r="N1414" s="10">
        <v>111</v>
      </c>
      <c r="O1414" s="11">
        <v>1499</v>
      </c>
      <c r="P1414" s="85">
        <v>2.3793650793650793</v>
      </c>
      <c r="Q1414" s="11">
        <v>1499</v>
      </c>
      <c r="R1414" s="85">
        <v>2.3793650793650793</v>
      </c>
      <c r="S1414" s="29" t="s">
        <v>2719</v>
      </c>
      <c r="T1414" s="29" t="s">
        <v>2719</v>
      </c>
    </row>
    <row r="1415">
      <c r="B1415" s="29" t="s">
        <v>1222</v>
      </c>
      <c r="C1415" s="29" t="s">
        <v>1250</v>
      </c>
      <c r="D1415" s="8" t="s">
        <v>1316</v>
      </c>
      <c r="E1415" s="10" t="s">
        <v>2705</v>
      </c>
      <c r="F1415" s="10"/>
      <c r="G1415" s="10">
        <v>2</v>
      </c>
      <c r="H1415" s="10">
        <v>1</v>
      </c>
      <c r="I1415" s="10"/>
      <c r="J1415" s="10">
        <v>630</v>
      </c>
      <c r="K1415" s="104">
        <v>45233</v>
      </c>
      <c r="L1415" s="104">
        <v>45249</v>
      </c>
      <c r="M1415" s="10" t="b">
        <v>0</v>
      </c>
      <c r="N1415" s="10">
        <v>17</v>
      </c>
      <c r="O1415" s="11">
        <v>1499</v>
      </c>
      <c r="P1415" s="85">
        <v>2.3793650793650793</v>
      </c>
      <c r="Q1415" s="11">
        <v>1499</v>
      </c>
      <c r="R1415" s="85">
        <v>2.3793650793650793</v>
      </c>
      <c r="S1415" s="29" t="s">
        <v>2719</v>
      </c>
      <c r="T1415" s="29" t="s">
        <v>2719</v>
      </c>
    </row>
    <row r="1416">
      <c r="B1416" s="29" t="s">
        <v>1222</v>
      </c>
      <c r="C1416" s="29" t="s">
        <v>1250</v>
      </c>
      <c r="D1416" s="8" t="s">
        <v>1317</v>
      </c>
      <c r="E1416" s="10" t="s">
        <v>2706</v>
      </c>
      <c r="F1416" s="10"/>
      <c r="G1416" s="10">
        <v>2</v>
      </c>
      <c r="H1416" s="10">
        <v>1</v>
      </c>
      <c r="I1416" s="10"/>
      <c r="J1416" s="10">
        <v>630</v>
      </c>
      <c r="K1416" s="104">
        <v>45705</v>
      </c>
      <c r="L1416" s="104">
        <v>45709</v>
      </c>
      <c r="M1416" s="10" t="b">
        <v>0</v>
      </c>
      <c r="N1416" s="10">
        <v>5</v>
      </c>
      <c r="O1416" s="11">
        <v>1499</v>
      </c>
      <c r="P1416" s="85">
        <v>2.3793650793650793</v>
      </c>
      <c r="Q1416" s="11">
        <v>1499</v>
      </c>
      <c r="R1416" s="85">
        <v>2.3793650793650793</v>
      </c>
      <c r="S1416" s="29" t="s">
        <v>2719</v>
      </c>
      <c r="T1416" s="29" t="s">
        <v>2719</v>
      </c>
    </row>
    <row r="1417">
      <c r="B1417" s="29" t="s">
        <v>1222</v>
      </c>
      <c r="C1417" s="29" t="s">
        <v>1250</v>
      </c>
      <c r="D1417" s="8" t="s">
        <v>1317</v>
      </c>
      <c r="E1417" s="10" t="s">
        <v>2707</v>
      </c>
      <c r="F1417" s="10">
        <v>4</v>
      </c>
      <c r="G1417" s="10">
        <v>2</v>
      </c>
      <c r="H1417" s="10">
        <v>1</v>
      </c>
      <c r="I1417" s="10"/>
      <c r="J1417" s="10">
        <v>630</v>
      </c>
      <c r="K1417" s="104"/>
      <c r="L1417" s="104">
        <v>45154</v>
      </c>
      <c r="M1417" s="10" t="b">
        <v>0</v>
      </c>
      <c r="N1417" s="10"/>
      <c r="O1417" s="11">
        <v>1499</v>
      </c>
      <c r="P1417" s="85">
        <v>2.3793650793650793</v>
      </c>
      <c r="Q1417" s="11">
        <v>1499</v>
      </c>
      <c r="R1417" s="85">
        <v>2.3793650793650793</v>
      </c>
      <c r="S1417" s="29" t="s">
        <v>2719</v>
      </c>
      <c r="T1417" s="29" t="s">
        <v>2719</v>
      </c>
    </row>
    <row r="1418">
      <c r="B1418" s="29" t="s">
        <v>1222</v>
      </c>
      <c r="C1418" s="29" t="s">
        <v>1250</v>
      </c>
      <c r="D1418" s="8" t="s">
        <v>1317</v>
      </c>
      <c r="E1418" s="10" t="s">
        <v>2708</v>
      </c>
      <c r="F1418" s="10"/>
      <c r="G1418" s="10">
        <v>2</v>
      </c>
      <c r="H1418" s="10">
        <v>1</v>
      </c>
      <c r="I1418" s="10"/>
      <c r="J1418" s="10">
        <v>630</v>
      </c>
      <c r="K1418" s="104">
        <v>45410</v>
      </c>
      <c r="L1418" s="104">
        <v>45471</v>
      </c>
      <c r="M1418" s="10" t="b">
        <v>0</v>
      </c>
      <c r="N1418" s="10">
        <v>62</v>
      </c>
      <c r="O1418" s="11">
        <v>1499</v>
      </c>
      <c r="P1418" s="85">
        <v>2.3793650793650793</v>
      </c>
      <c r="Q1418" s="11">
        <v>1499</v>
      </c>
      <c r="R1418" s="85">
        <v>2.3793650793650793</v>
      </c>
      <c r="S1418" s="29" t="s">
        <v>2719</v>
      </c>
      <c r="T1418" s="29" t="s">
        <v>2719</v>
      </c>
    </row>
    <row r="1419">
      <c r="B1419" s="29" t="s">
        <v>1222</v>
      </c>
      <c r="C1419" s="29" t="s">
        <v>1250</v>
      </c>
      <c r="D1419" s="8" t="s">
        <v>1316</v>
      </c>
      <c r="E1419" s="10" t="s">
        <v>2709</v>
      </c>
      <c r="F1419" s="10"/>
      <c r="G1419" s="10">
        <v>2</v>
      </c>
      <c r="H1419" s="10">
        <v>1</v>
      </c>
      <c r="I1419" s="10"/>
      <c r="J1419" s="10">
        <v>630</v>
      </c>
      <c r="K1419" s="104">
        <v>45371</v>
      </c>
      <c r="L1419" s="104">
        <v>45496</v>
      </c>
      <c r="M1419" s="10" t="b">
        <v>0</v>
      </c>
      <c r="N1419" s="10">
        <v>126</v>
      </c>
      <c r="O1419" s="11">
        <v>1499</v>
      </c>
      <c r="P1419" s="85">
        <v>2.3793650793650793</v>
      </c>
      <c r="Q1419" s="11">
        <v>1499</v>
      </c>
      <c r="R1419" s="85">
        <v>2.3793650793650793</v>
      </c>
      <c r="S1419" s="29" t="s">
        <v>2719</v>
      </c>
      <c r="T1419" s="29" t="s">
        <v>2719</v>
      </c>
    </row>
    <row r="1420">
      <c r="B1420" s="29" t="s">
        <v>1222</v>
      </c>
      <c r="C1420" s="29" t="s">
        <v>1250</v>
      </c>
      <c r="D1420" s="8" t="s">
        <v>1317</v>
      </c>
      <c r="E1420" s="10" t="s">
        <v>2710</v>
      </c>
      <c r="F1420" s="10"/>
      <c r="G1420" s="10">
        <v>2</v>
      </c>
      <c r="H1420" s="10">
        <v>1</v>
      </c>
      <c r="I1420" s="10"/>
      <c r="J1420" s="10">
        <v>630</v>
      </c>
      <c r="K1420" s="104">
        <v>45702</v>
      </c>
      <c r="L1420" s="104">
        <v>45781</v>
      </c>
      <c r="M1420" s="10" t="b">
        <v>0</v>
      </c>
      <c r="N1420" s="10">
        <v>80</v>
      </c>
      <c r="O1420" s="11">
        <v>1509</v>
      </c>
      <c r="P1420" s="85">
        <v>2.395238095238095</v>
      </c>
      <c r="Q1420" s="11">
        <v>1383</v>
      </c>
      <c r="R1420" s="85">
        <v>2.1952380952380954</v>
      </c>
      <c r="S1420" s="29" t="s">
        <v>2719</v>
      </c>
      <c r="T1420" s="29" t="s">
        <v>2719</v>
      </c>
    </row>
    <row r="1421">
      <c r="B1421" s="29" t="s">
        <v>1222</v>
      </c>
      <c r="C1421" s="29" t="s">
        <v>1250</v>
      </c>
      <c r="D1421" s="8" t="s">
        <v>1316</v>
      </c>
      <c r="E1421" s="10" t="s">
        <v>2711</v>
      </c>
      <c r="F1421" s="10"/>
      <c r="G1421" s="10">
        <v>2</v>
      </c>
      <c r="H1421" s="10">
        <v>1</v>
      </c>
      <c r="I1421" s="10"/>
      <c r="J1421" s="10">
        <v>630</v>
      </c>
      <c r="K1421" s="104">
        <v>45433</v>
      </c>
      <c r="L1421" s="104">
        <v>45605</v>
      </c>
      <c r="M1421" s="10" t="b">
        <v>0</v>
      </c>
      <c r="N1421" s="10">
        <v>173</v>
      </c>
      <c r="O1421" s="11">
        <v>1519</v>
      </c>
      <c r="P1421" s="85">
        <v>2.411111111111111</v>
      </c>
      <c r="Q1421" s="11">
        <v>1519</v>
      </c>
      <c r="R1421" s="85">
        <v>2.411111111111111</v>
      </c>
      <c r="S1421" s="29" t="s">
        <v>2719</v>
      </c>
      <c r="T1421" s="29" t="s">
        <v>2719</v>
      </c>
    </row>
    <row r="1422">
      <c r="B1422" s="29" t="s">
        <v>1222</v>
      </c>
      <c r="C1422" s="29" t="s">
        <v>1250</v>
      </c>
      <c r="D1422" s="8" t="s">
        <v>1317</v>
      </c>
      <c r="E1422" s="10" t="s">
        <v>2712</v>
      </c>
      <c r="F1422" s="10">
        <v>4</v>
      </c>
      <c r="G1422" s="10">
        <v>2</v>
      </c>
      <c r="H1422" s="10">
        <v>1</v>
      </c>
      <c r="I1422" s="10"/>
      <c r="J1422" s="10">
        <v>630</v>
      </c>
      <c r="K1422" s="104">
        <v>45702</v>
      </c>
      <c r="L1422" s="104">
        <v>45705</v>
      </c>
      <c r="M1422" s="10" t="b">
        <v>0</v>
      </c>
      <c r="N1422" s="10">
        <v>4</v>
      </c>
      <c r="O1422" s="11">
        <v>1519</v>
      </c>
      <c r="P1422" s="85">
        <v>2.411111111111111</v>
      </c>
      <c r="Q1422" s="11">
        <v>1519</v>
      </c>
      <c r="R1422" s="85">
        <v>2.411111111111111</v>
      </c>
      <c r="S1422" s="29" t="s">
        <v>2719</v>
      </c>
      <c r="T1422" s="29" t="s">
        <v>2719</v>
      </c>
    </row>
    <row r="1423">
      <c r="B1423" s="29" t="s">
        <v>1222</v>
      </c>
      <c r="C1423" s="29" t="s">
        <v>1250</v>
      </c>
      <c r="D1423" s="8" t="s">
        <v>1316</v>
      </c>
      <c r="E1423" s="10" t="s">
        <v>2713</v>
      </c>
      <c r="F1423" s="10"/>
      <c r="G1423" s="10">
        <v>2</v>
      </c>
      <c r="H1423" s="10">
        <v>1</v>
      </c>
      <c r="I1423" s="10"/>
      <c r="J1423" s="10">
        <v>630</v>
      </c>
      <c r="K1423" s="104">
        <v>45379</v>
      </c>
      <c r="L1423" s="104">
        <v>45407</v>
      </c>
      <c r="M1423" s="10" t="b">
        <v>0</v>
      </c>
      <c r="N1423" s="10">
        <v>29</v>
      </c>
      <c r="O1423" s="11">
        <v>1519</v>
      </c>
      <c r="P1423" s="85">
        <v>2.411111111111111</v>
      </c>
      <c r="Q1423" s="11">
        <v>1392</v>
      </c>
      <c r="R1423" s="85">
        <v>2.2095238095238097</v>
      </c>
      <c r="S1423" s="29" t="s">
        <v>2719</v>
      </c>
      <c r="T1423" s="29" t="s">
        <v>2719</v>
      </c>
    </row>
    <row r="1424">
      <c r="B1424" s="29" t="s">
        <v>1222</v>
      </c>
      <c r="C1424" s="29" t="s">
        <v>1250</v>
      </c>
      <c r="D1424" s="8" t="s">
        <v>1317</v>
      </c>
      <c r="E1424" s="10" t="s">
        <v>2714</v>
      </c>
      <c r="F1424" s="10"/>
      <c r="G1424" s="10">
        <v>2</v>
      </c>
      <c r="H1424" s="10">
        <v>1</v>
      </c>
      <c r="I1424" s="10"/>
      <c r="J1424" s="10">
        <v>630</v>
      </c>
      <c r="K1424" s="104">
        <v>45385</v>
      </c>
      <c r="L1424" s="104">
        <v>45471</v>
      </c>
      <c r="M1424" s="10" t="b">
        <v>0</v>
      </c>
      <c r="N1424" s="10">
        <v>87</v>
      </c>
      <c r="O1424" s="11">
        <v>1539</v>
      </c>
      <c r="P1424" s="85">
        <v>2.442857142857143</v>
      </c>
      <c r="Q1424" s="11">
        <v>1539</v>
      </c>
      <c r="R1424" s="85">
        <v>2.442857142857143</v>
      </c>
      <c r="S1424" s="29" t="s">
        <v>2719</v>
      </c>
      <c r="T1424" s="29" t="s">
        <v>2719</v>
      </c>
    </row>
    <row r="1425">
      <c r="B1425" s="29" t="s">
        <v>1222</v>
      </c>
      <c r="C1425" s="29" t="s">
        <v>1250</v>
      </c>
      <c r="D1425" s="8" t="s">
        <v>1316</v>
      </c>
      <c r="E1425" s="10" t="s">
        <v>2715</v>
      </c>
      <c r="F1425" s="10"/>
      <c r="G1425" s="10">
        <v>2</v>
      </c>
      <c r="H1425" s="10">
        <v>1</v>
      </c>
      <c r="I1425" s="10"/>
      <c r="J1425" s="10">
        <v>630</v>
      </c>
      <c r="K1425" s="104">
        <v>45582</v>
      </c>
      <c r="L1425" s="104">
        <v>45618</v>
      </c>
      <c r="M1425" s="10" t="b">
        <v>0</v>
      </c>
      <c r="N1425" s="10">
        <v>37</v>
      </c>
      <c r="O1425" s="11">
        <v>1539</v>
      </c>
      <c r="P1425" s="85">
        <v>2.442857142857143</v>
      </c>
      <c r="Q1425" s="11">
        <v>1539</v>
      </c>
      <c r="R1425" s="85">
        <v>2.442857142857143</v>
      </c>
      <c r="S1425" s="29" t="s">
        <v>2719</v>
      </c>
      <c r="T1425" s="29" t="s">
        <v>2719</v>
      </c>
    </row>
    <row r="1426">
      <c r="B1426" s="29" t="s">
        <v>1222</v>
      </c>
      <c r="C1426" s="29" t="s">
        <v>1250</v>
      </c>
      <c r="D1426" s="8" t="s">
        <v>1316</v>
      </c>
      <c r="E1426" s="10" t="s">
        <v>2716</v>
      </c>
      <c r="F1426" s="10"/>
      <c r="G1426" s="10">
        <v>2</v>
      </c>
      <c r="H1426" s="10">
        <v>1</v>
      </c>
      <c r="I1426" s="10"/>
      <c r="J1426" s="10">
        <v>630</v>
      </c>
      <c r="K1426" s="104">
        <v>45779</v>
      </c>
      <c r="L1426" s="104"/>
      <c r="M1426" s="10" t="b">
        <v>1</v>
      </c>
      <c r="N1426" s="10"/>
      <c r="O1426" s="11">
        <v>1614</v>
      </c>
      <c r="P1426" s="85">
        <v>2.5619047619047617</v>
      </c>
      <c r="Q1426" s="11">
        <v>1480</v>
      </c>
      <c r="R1426" s="85">
        <v>2.3492063492063493</v>
      </c>
      <c r="S1426" s="29" t="s">
        <v>2719</v>
      </c>
      <c r="T1426" s="29" t="s">
        <v>2719</v>
      </c>
    </row>
    <row r="1427">
      <c r="B1427" s="29" t="s">
        <v>1214</v>
      </c>
      <c r="C1427" s="29" t="s">
        <v>1251</v>
      </c>
      <c r="D1427" s="8" t="s">
        <v>1255</v>
      </c>
      <c r="E1427" s="10" t="s">
        <v>2717</v>
      </c>
      <c r="F1427" s="10"/>
      <c r="G1427" s="10">
        <v>1</v>
      </c>
      <c r="H1427" s="10">
        <v>1</v>
      </c>
      <c r="I1427" s="10"/>
      <c r="J1427" s="10">
        <v>588</v>
      </c>
      <c r="K1427" s="104">
        <v>45760</v>
      </c>
      <c r="L1427" s="104">
        <v>45782</v>
      </c>
      <c r="M1427" s="10" t="b">
        <v>0</v>
      </c>
      <c r="N1427" s="10">
        <v>23</v>
      </c>
      <c r="O1427" s="11">
        <v>1068</v>
      </c>
      <c r="P1427" s="85">
        <v>1.816326530612245</v>
      </c>
      <c r="Q1427" s="11">
        <v>1068</v>
      </c>
      <c r="R1427" s="85">
        <v>1.816326530612245</v>
      </c>
      <c r="S1427" s="29" t="s">
        <v>2787</v>
      </c>
      <c r="T1427" s="29" t="s">
        <v>2810</v>
      </c>
    </row>
    <row r="1428">
      <c r="B1428" s="29" t="s">
        <v>1214</v>
      </c>
      <c r="C1428" s="29" t="s">
        <v>1251</v>
      </c>
      <c r="D1428" s="8" t="s">
        <v>1255</v>
      </c>
      <c r="E1428" s="10" t="s">
        <v>2718</v>
      </c>
      <c r="F1428" s="10"/>
      <c r="G1428" s="10">
        <v>1</v>
      </c>
      <c r="H1428" s="10">
        <v>1</v>
      </c>
      <c r="I1428" s="10"/>
      <c r="J1428" s="10">
        <v>588</v>
      </c>
      <c r="K1428" s="104">
        <v>45784</v>
      </c>
      <c r="L1428" s="104"/>
      <c r="M1428" s="10" t="b">
        <v>1</v>
      </c>
      <c r="N1428" s="10"/>
      <c r="O1428" s="11">
        <v>1103</v>
      </c>
      <c r="P1428" s="85">
        <v>1.8758503401360545</v>
      </c>
      <c r="Q1428" s="11">
        <v>1103</v>
      </c>
      <c r="R1428" s="85">
        <v>1.8758503401360545</v>
      </c>
      <c r="S1428" s="29" t="s">
        <v>2787</v>
      </c>
      <c r="T1428" s="29" t="s">
        <v>2810</v>
      </c>
    </row>
  </sheetData>
  <pageMargins left="0.25" right="0.25" top="0.75" bottom="0.75" header="0.3" footer="0.3"/>
  <pageSetup fitToHeight="0" r:id="rId1" orientation="landscape" scale="52"/>
  <headerFooter>
    <oddHeader>&amp;L&amp;"-,Bold"&amp;K4438CAMarket Analysis Report&amp;R&amp;"-,Bold"&amp;K4438CAAs of: &amp;D</oddHeader>
    <oddFooter>&amp;L&amp;"-,Bold"&amp;K4438CAHelloData.ai</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624FD-AD06-48FB-AA5E-403F55EE4D61}">
  <sheetPr codeName="Sheet10">
    <pageSetUpPr fitToPage="true"/>
  </sheetPr>
  <dimension ref="B1:AI506"/>
  <sheetViews>
    <sheetView showGridLines="false" zoomScaleNormal="100" workbookViewId="0"/>
  </sheetViews>
  <sheetFormatPr defaultColWidth="8.7265625" defaultRowHeight="13"/>
  <cols>
    <col customWidth="true" max="1" min="1" style="1" width="2.54296875"/>
    <col customWidth="true" max="2" min="2" style="24" width="28.54296875"/>
    <col customWidth="true" max="3" min="3" style="4" width="20.6328125"/>
    <col customWidth="true" max="5" min="4" style="4" width="5.7265625"/>
    <col bestFit="true" customWidth="true" max="6" min="6" style="4" width="8.6328125"/>
    <col customWidth="true" max="7" min="7" style="4" width="8.1796875"/>
    <col customWidth="true" max="8" min="8" style="4" width="10.81640625"/>
    <col customWidth="true" max="9" min="9" style="4" width="6.08984375"/>
    <col customWidth="true" max="17" min="10" style="5" width="8.1796875"/>
    <col customWidth="true" max="18" min="18" style="6" width="8.1796875"/>
    <col customWidth="true" max="22" min="19" style="5" width="8.1796875"/>
    <col customWidth="true" max="25" min="23" style="1" width="8.1796875"/>
    <col customWidth="true" max="26" min="26" style="1" width="2.6328125"/>
    <col customWidth="true" max="27" min="27" style="1" width="9.81640625"/>
    <col customWidth="true" max="28" min="28" style="1" width="14.36328125"/>
    <col customWidth="true" max="29" min="29" style="1" width="10.7265625"/>
    <col customWidth="true" max="30" min="30" style="1" width="9.08984375"/>
    <col customWidth="true" max="31" min="31" style="1" width="13.54296875"/>
    <col customWidth="true" max="32" min="32" style="1" width="13.453125"/>
    <col customWidth="true" max="33" min="33" style="1" width="2.6328125"/>
    <col customWidth="true" max="35" min="34" style="1" width="7"/>
    <col max="16384" min="36" style="1" width="8.7265625"/>
  </cols>
  <sheetData>
    <row r="1" spans="2:35" ht="8" customHeight="true"/>
    <row r="2" spans="2:35" ht="23.5">
      <c r="B2" s="746" t="s">
        <v>761</v>
      </c>
      <c r="C2" s="748"/>
      <c r="D2" s="748"/>
      <c r="E2" s="748"/>
      <c r="F2" s="748"/>
      <c r="G2" s="748"/>
      <c r="H2" s="748"/>
      <c r="I2" s="748"/>
      <c r="J2" s="117"/>
      <c r="K2" s="117"/>
      <c r="L2" s="117"/>
      <c r="M2" s="117"/>
      <c r="Q2" s="117"/>
      <c r="R2" s="118"/>
      <c r="S2" s="117"/>
      <c r="T2" s="117"/>
      <c r="U2" s="117"/>
      <c r="V2" s="117"/>
      <c r="W2" s="747"/>
      <c r="X2" s="799">
        <v>45785</v>
      </c>
      <c r="Y2" s="799"/>
      <c r="AA2" s="746" t="s">
        <v>1194</v>
      </c>
      <c r="AB2" s="747"/>
      <c r="AC2" s="747"/>
      <c r="AD2" s="747"/>
      <c r="AE2" s="747"/>
      <c r="AF2" s="747"/>
    </row>
    <row r="3" spans="2:35" ht="14.5">
      <c r="B3" s="705" t="s">
        <v>1062</v>
      </c>
      <c r="C3" s="1"/>
      <c r="D3" s="1"/>
      <c r="E3" s="1"/>
      <c r="F3" s="1"/>
      <c r="G3" s="1"/>
      <c r="H3" s="1"/>
      <c r="I3" s="1"/>
      <c r="L3" s="1"/>
      <c r="M3" s="1"/>
      <c r="N3" s="750" t="s">
        <v>1189</v>
      </c>
      <c r="O3" s="802" t="s">
        <v>1196</v>
      </c>
      <c r="P3" s="802"/>
      <c r="Q3" s="153"/>
      <c r="R3" s="153"/>
      <c r="S3" s="153"/>
      <c r="T3" s="721"/>
      <c r="U3" s="721"/>
      <c r="V3" s="721"/>
      <c r="W3" s="721"/>
      <c r="X3" s="721"/>
      <c r="Y3" s="721"/>
      <c r="AA3" s="749" t="s">
        <v>1197</v>
      </c>
      <c r="AB3" s="753" t="s">
        <v>1187</v>
      </c>
      <c r="AC3" s="750" t="s">
        <v>1185</v>
      </c>
      <c r="AD3" s="754">
        <v>180</v>
      </c>
      <c r="AE3" s="750" t="s">
        <v>1189</v>
      </c>
      <c r="AF3" s="754" t="s">
        <v>1057</v>
      </c>
    </row>
    <row r="4" spans="2:35" ht="8" customHeight="true">
      <c r="B4" s="1"/>
      <c r="H4" s="51"/>
      <c r="N4" s="756"/>
      <c r="O4" s="803"/>
      <c r="P4" s="803"/>
      <c r="Z4" s="741"/>
    </row>
    <row r="5" spans="2:35" s="7" customFormat="true" ht="15.5">
      <c r="C5" s="742"/>
      <c r="D5" s="742"/>
      <c r="E5" s="742"/>
      <c r="F5" s="742"/>
      <c r="G5" s="742"/>
      <c r="H5" s="742"/>
      <c r="I5" s="742"/>
      <c r="J5" s="797" t="s">
        <v>1061</v>
      </c>
      <c r="K5" s="798"/>
      <c r="L5" s="798"/>
      <c r="M5" s="798"/>
      <c r="N5" s="797" t="s">
        <v>1198</v>
      </c>
      <c r="O5" s="798"/>
      <c r="P5" s="798"/>
      <c r="Q5" s="755">
        <v>30</v>
      </c>
      <c r="R5" s="757" t="s">
        <v>1199</v>
      </c>
      <c r="S5" s="751"/>
      <c r="T5" s="755">
        <v>60</v>
      </c>
      <c r="U5" s="757" t="s">
        <v>1199</v>
      </c>
      <c r="V5" s="752"/>
      <c r="W5" s="755">
        <v>90</v>
      </c>
      <c r="X5" s="757" t="s">
        <v>1199</v>
      </c>
      <c r="Y5" s="752"/>
      <c r="Z5" s="758"/>
      <c r="AA5" s="800" t="str">
        <f>"Units Tagged With "&amp;AB3</f>
        <v>Units Tagged With [Select Amenity]</v>
      </c>
      <c r="AB5" s="801"/>
      <c r="AC5" s="801"/>
      <c r="AD5" s="795" t="str">
        <f>"Units NOT Tagged with "&amp;AB3</f>
        <v>Units NOT Tagged with [Select Amenity]</v>
      </c>
      <c r="AE5" s="796"/>
      <c r="AF5" s="796"/>
      <c r="AG5" s="736"/>
      <c r="AH5" s="1"/>
      <c r="AI5" s="721"/>
    </row>
    <row r="6" spans="2:35">
      <c r="B6" s="42" t="s">
        <v>21</v>
      </c>
      <c r="C6" s="42" t="s">
        <v>268</v>
      </c>
      <c r="D6" s="84" t="s">
        <v>25</v>
      </c>
      <c r="E6" s="84" t="s">
        <v>26</v>
      </c>
      <c r="F6" s="84" t="s">
        <v>1200</v>
      </c>
      <c r="G6" s="84" t="s">
        <v>3</v>
      </c>
      <c r="H6" s="84" t="s">
        <v>289</v>
      </c>
      <c r="I6" s="84" t="s">
        <v>28</v>
      </c>
      <c r="J6" s="556" t="s">
        <v>758</v>
      </c>
      <c r="K6" s="556" t="s">
        <v>1060</v>
      </c>
      <c r="L6" s="556" t="s">
        <v>759</v>
      </c>
      <c r="M6" s="556" t="s">
        <v>760</v>
      </c>
      <c r="N6" s="762" t="str">
        <f>IF($O$3="Chunk Rent","Rent","Rent PSF")</f>
        <v>Rent</v>
      </c>
      <c r="O6" s="762" t="str">
        <f>IF($O$3="Chunk Rent","NER","NER PSF")</f>
        <v>NER</v>
      </c>
      <c r="P6" s="762" t="s">
        <v>1201</v>
      </c>
      <c r="Q6" s="762" t="str">
        <f>IF($O$3="Chunk Rent","Rent","Rent PSF")</f>
        <v>Rent</v>
      </c>
      <c r="R6" s="763" t="str">
        <f>IF($O$3="Chunk Rent","NER","NER PSF")</f>
        <v>NER</v>
      </c>
      <c r="S6" s="762" t="s">
        <v>647</v>
      </c>
      <c r="T6" s="762" t="str">
        <f>IF($O$3="Chunk Rent","Rent","Rent PSF")</f>
        <v>Rent</v>
      </c>
      <c r="U6" s="763" t="str">
        <f>IF($O$3="Chunk Rent","NER","NER PSF")</f>
        <v>NER</v>
      </c>
      <c r="V6" s="762" t="s">
        <v>647</v>
      </c>
      <c r="W6" s="762" t="str">
        <f>IF($O$3="Chunk Rent","Rent","Rent PSF")</f>
        <v>Rent</v>
      </c>
      <c r="X6" s="763" t="str">
        <f>IF($O$3="Chunk Rent","NER","NER PSF")</f>
        <v>NER</v>
      </c>
      <c r="Y6" s="762" t="s">
        <v>647</v>
      </c>
      <c r="Z6" s="759"/>
      <c r="AA6" s="722" t="s">
        <v>592</v>
      </c>
      <c r="AB6" s="722" t="str">
        <f>AF3</f>
        <v>Leased Rent</v>
      </c>
      <c r="AC6" s="722" t="s">
        <v>647</v>
      </c>
      <c r="AD6" s="740" t="s">
        <v>592</v>
      </c>
      <c r="AE6" s="740" t="str">
        <f>AF3</f>
        <v>Leased Rent</v>
      </c>
      <c r="AF6" s="740" t="s">
        <v>647</v>
      </c>
      <c r="AG6" s="737"/>
      <c r="AH6" s="743" t="s">
        <v>836</v>
      </c>
      <c r="AI6" s="744" t="s">
        <v>837</v>
      </c>
    </row>
    <row r="7" spans="2:35">
      <c r="B7" s="1" t="s">
        <v>1214</v>
      </c>
      <c r="C7" s="80" t="s">
        <v>1255</v>
      </c>
      <c r="D7" s="4">
        <v>1</v>
      </c>
      <c r="E7" s="303">
        <v>1</v>
      </c>
      <c r="F7" s="303" t="s">
        <v>1191</v>
      </c>
      <c r="G7" s="4">
        <v>330</v>
      </c>
      <c r="H7" s="4">
        <v>12.5</v>
      </c>
      <c r="I7" s="4">
        <v>588</v>
      </c>
      <c r="J7" s="345">
        <v>1085.5</v>
      </c>
      <c r="K7" s="6">
        <v>1.8460884353741496</v>
      </c>
      <c r="L7" s="5">
        <v>1085.5</v>
      </c>
      <c r="M7" s="6">
        <v>1.8460884353741496</v>
      </c>
      <c r="N7" s="738" t="str" cm="1">
        <f t="array" aca="true" ref="N7" ca="true">IFERROR(IF($O$3="Chunk Rent",
AVERAGEIFS('Unit-Level Data'!$O:$O,'Unit-Level Data'!$M:$M,TRUE,
          'Unit-Level Data'!$D:$D, INDIRECT("C"&amp;ROW()),
          'Unit-Level Data'!$B:$B, INDIRECT("B"&amp;ROW())),
AVERAGEIFS('Unit-Level Data'!$P:$P,'Unit-Level Data'!$M:$M,TRUE,
          'Unit-Level Data'!$D:$D, INDIRECT("C"&amp;ROW()),
          'Unit-Level Data'!$B:$B, INDIRECT("B"&amp;ROW()))),"")</f>
      </c>
      <c r="O7" s="760" t="str" cm="1">
        <f t="array" aca="true" ref="O7" ca="true">IFERROR(IF($O$3="Chunk Rent",
AVERAGEIFS('Unit-Level Data'!$Q:$Q,'Unit-Level Data'!$M:$M,TRUE,
          'Unit-Level Data'!$D:$D, INDIRECT("C"&amp;ROW()),
          'Unit-Level Data'!$B:$B, INDIRECT("B"&amp;ROW())),
AVERAGEIFS('Unit-Level Data'!$R:$R,'Unit-Level Data'!$M:$M,TRUE,
          'Unit-Level Data'!$D:$D, INDIRECT("C"&amp;ROW()),
          'Unit-Level Data'!$B:$B, INDIRECT("B"&amp;ROW()))),"")</f>
      </c>
      <c r="P7" s="733" cm="1">
        <f t="array" aca="true" ref="P7" ca="true">COUNTIFS('Unit-Level Data'!$M:$M,TRUE,
          'Unit-Level Data'!$D:$D, INDIRECT("C"&amp;ROW()),
          'Unit-Level Data'!$B:$B, INDIRECT("B"&amp;ROW()))</f>
        <v>0</v>
      </c>
      <c r="Q7" s="738" t="str" cm="1">
        <f t="array" aca="true" ref="Q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 s="760" t="str" cm="1">
        <f t="array" aca="true" ref="R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 s="733" cm="1">
        <f t="array" aca="true" ref="S7" ca="true">COUNTIFS('Unit-Level Data'!$L:$L, "&gt;=" &amp; ($X$2 - Q$5),
          'Unit-Level Data'!$L:$L, "&lt;" &amp; $X$2,
          'Unit-Level Data'!$D:$D, INDIRECT("C"&amp;ROW()),
          'Unit-Level Data'!$B:$B, INDIRECT("B"&amp;ROW()))</f>
        <v>0</v>
      </c>
      <c r="T7" s="738" t="str" cm="1">
        <f t="array" aca="true" ref="T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 s="760" t="str" cm="1">
        <f t="array" aca="true" ref="U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 s="733" cm="1">
        <f t="array" aca="true" ref="V7" ca="true">COUNTIFS('Unit-Level Data'!$L:$L, "&gt;=" &amp; ($X$2 - T$5),
          'Unit-Level Data'!$L:$L, "&lt;" &amp; $X$2,
          'Unit-Level Data'!$D:$D, INDIRECT("C"&amp;ROW()),
          'Unit-Level Data'!$B:$B, INDIRECT("B"&amp;ROW()))</f>
        <v>0</v>
      </c>
      <c r="W7" s="738" t="str" cm="1">
        <f t="array" aca="true" ref="W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 s="760" t="str" cm="1">
        <f t="array" aca="true" ref="X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 s="733" cm="1">
        <f t="array" aca="true" ref="Y7" ca="true">COUNTIFS('Unit-Level Data'!$L:$L, "&gt;=" &amp; ($X$2 - W$5),
          'Unit-Level Data'!$L:$L, "&lt;" &amp; $X$2,
          'Unit-Level Data'!$D:$D, INDIRECT("C"&amp;ROW()),
          'Unit-Level Data'!$B:$B, INDIRECT("B"&amp;ROW()))</f>
        <v>0</v>
      </c>
      <c r="Z7" s="761"/>
      <c r="AA7" s="735" cm="1">
        <f t="array" aca="true" ref="AA7" ca="true">IFERROR(AVERAGEIFS(
  unit_details[Sqft],
  unit_details[Property Name], INDIRECT("B"&amp;ROW()),
  unit_details[Floorplan Name], INDIRECT("C"&amp;ROW()),
  unit_details[Beds], INDIRECT("D"&amp;ROW()),
  unit_details[Detected Unit Amenities], "*"&amp;$AB$3&amp;"*",
  unit_details[Leased Date], "&gt;=" &amp; ($X$2 - $AD$3)
),0)</f>
        <v>0</v>
      </c>
      <c r="AB7" s="734" cm="1">
        <f t="array" aca="true" ref="AB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 s="733" cm="1">
        <f t="array" aca="true" ref="AC7" ca="true">IFERROR(COUNTIFS(
  unit_details[Property Name], INDIRECT("B"&amp;ROW()),
  unit_details[Floorplan Name], INDIRECT("C"&amp;ROW()),
  unit_details[Beds], INDIRECT("D"&amp;ROW()),
  unit_details[Detected Unit Amenities], "*"&amp;$AB$3&amp;"*",
  unit_details[Leased Date], "&gt;=" &amp; ($X$2 - $AD$3)
),0)</f>
        <v>0</v>
      </c>
      <c r="AD7" s="735" cm="1">
        <f t="array" aca="true" ref="AD7" ca="true">IFERROR(AVERAGEIFS(
  unit_details[Sqft],
  unit_details[Property Name], INDIRECT("B"&amp;ROW()),
  unit_details[Floorplan Name], INDIRECT("C"&amp;ROW()),
  unit_details[Beds], INDIRECT("D"&amp;ROW()),
  unit_details[Detected Unit Amenities], "&lt;&gt;*"&amp;$AB$3&amp;"*",
  unit_details[Leased Date], "&gt;=" &amp; ($X$2 - $AD$3)
),0)</f>
        <v>0</v>
      </c>
      <c r="AE7" s="734" cm="1">
        <f t="array" aca="true" ref="AE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 s="733" cm="1">
        <f t="array" aca="true" ref="AF7" ca="true">IFERROR(COUNTIFS(
  unit_details[Property Name], INDIRECT("B"&amp;ROW()),
  unit_details[Floorplan Name], INDIRECT("C"&amp;ROW()),
  unit_details[Beds], INDIRECT("D"&amp;ROW()),
  unit_details[Detected Unit Amenities], "&lt;&gt;*"&amp;$AB$3&amp;"*",
  unit_details[Leased Date], "&gt;=" &amp; ($X$2 - $AD$3)
),0)</f>
        <v>0</v>
      </c>
      <c r="AG7" s="735"/>
      <c r="AH7" s="738">
        <f t="shared" ref="AH7:AH8" ca="true" si="0">IF(OR(AB7=0,AE7=0),0,IFERROR(AB7-AE7,0))</f>
        <v>0</v>
      </c>
      <c r="AI7" s="739">
        <f t="shared" ref="AI7:AI8" ca="true" si="1">IFERROR(AH7/AE7,0)</f>
        <v>0</v>
      </c>
    </row>
    <row r="8" spans="2:35">
      <c r="B8" s="1" t="s">
        <v>1216</v>
      </c>
      <c r="C8" s="80" t="s">
        <v>1252</v>
      </c>
      <c r="D8" s="4">
        <v>1</v>
      </c>
      <c r="E8" s="303">
        <v>1</v>
      </c>
      <c r="F8" s="303"/>
      <c r="G8" s="4">
        <v>99</v>
      </c>
      <c r="H8" s="4">
        <v>416</v>
      </c>
      <c r="I8" s="4">
        <v>741</v>
      </c>
      <c r="J8" s="345">
        <v>1150</v>
      </c>
      <c r="K8" s="6">
        <v>1.5519568151147098</v>
      </c>
      <c r="L8" s="5">
        <v>1150</v>
      </c>
      <c r="M8" s="6">
        <v>1.5519568151147098</v>
      </c>
      <c r="N8" s="738" t="str" cm="1">
        <f t="array" aca="true" ref="N8" ca="true">IFERROR(IF($O$3="Chunk Rent",
AVERAGEIFS('Unit-Level Data'!$O:$O,'Unit-Level Data'!$M:$M,TRUE,
          'Unit-Level Data'!$D:$D, INDIRECT("C"&amp;ROW()),
          'Unit-Level Data'!$B:$B, INDIRECT("B"&amp;ROW())),
AVERAGEIFS('Unit-Level Data'!$P:$P,'Unit-Level Data'!$M:$M,TRUE,
          'Unit-Level Data'!$D:$D, INDIRECT("C"&amp;ROW()),
          'Unit-Level Data'!$B:$B, INDIRECT("B"&amp;ROW()))),"")</f>
      </c>
      <c r="O8" s="760" t="str" cm="1">
        <f t="array" aca="true" ref="O8" ca="true">IFERROR(IF($O$3="Chunk Rent",
AVERAGEIFS('Unit-Level Data'!$Q:$Q,'Unit-Level Data'!$M:$M,TRUE,
          'Unit-Level Data'!$D:$D, INDIRECT("C"&amp;ROW()),
          'Unit-Level Data'!$B:$B, INDIRECT("B"&amp;ROW())),
AVERAGEIFS('Unit-Level Data'!$R:$R,'Unit-Level Data'!$M:$M,TRUE,
          'Unit-Level Data'!$D:$D, INDIRECT("C"&amp;ROW()),
          'Unit-Level Data'!$B:$B, INDIRECT("B"&amp;ROW()))),"")</f>
      </c>
      <c r="P8" s="733" cm="1">
        <f t="array" aca="true" ref="P8" ca="true">COUNTIFS('Unit-Level Data'!$M:$M,TRUE,
          'Unit-Level Data'!$D:$D, INDIRECT("C"&amp;ROW()),
          'Unit-Level Data'!$B:$B, INDIRECT("B"&amp;ROW()))</f>
        <v>0</v>
      </c>
      <c r="Q8" s="738" t="str" cm="1">
        <f t="array" aca="true" ref="Q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 s="760" t="str" cm="1">
        <f t="array" aca="true" ref="R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 s="733" cm="1">
        <f t="array" aca="true" ref="S8" ca="true">COUNTIFS('Unit-Level Data'!$L:$L, "&gt;=" &amp; ($X$2 - Q$5),
          'Unit-Level Data'!$L:$L, "&lt;" &amp; $X$2,
          'Unit-Level Data'!$D:$D, INDIRECT("C"&amp;ROW()),
          'Unit-Level Data'!$B:$B, INDIRECT("B"&amp;ROW()))</f>
        <v>0</v>
      </c>
      <c r="T8" s="738" t="str" cm="1">
        <f t="array" aca="true" ref="T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 s="760" t="str" cm="1">
        <f t="array" aca="true" ref="U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 s="733" cm="1">
        <f t="array" aca="true" ref="V8" ca="true">COUNTIFS('Unit-Level Data'!$L:$L, "&gt;=" &amp; ($X$2 - T$5),
          'Unit-Level Data'!$L:$L, "&lt;" &amp; $X$2,
          'Unit-Level Data'!$D:$D, INDIRECT("C"&amp;ROW()),
          'Unit-Level Data'!$B:$B, INDIRECT("B"&amp;ROW()))</f>
        <v>0</v>
      </c>
      <c r="W8" s="738" t="str" cm="1">
        <f t="array" aca="true" ref="W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 s="760" t="str" cm="1">
        <f t="array" aca="true" ref="X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 s="733" cm="1">
        <f t="array" aca="true" ref="Y8" ca="true">COUNTIFS('Unit-Level Data'!$L:$L, "&gt;=" &amp; ($X$2 - W$5),
          'Unit-Level Data'!$L:$L, "&lt;" &amp; $X$2,
          'Unit-Level Data'!$D:$D, INDIRECT("C"&amp;ROW()),
          'Unit-Level Data'!$B:$B, INDIRECT("B"&amp;ROW()))</f>
        <v>0</v>
      </c>
      <c r="Z8" s="761"/>
      <c r="AA8" s="735" cm="1">
        <f t="array" aca="true" ref="AA8" ca="true">IFERROR(AVERAGEIFS(
  unit_details[Sqft],
  unit_details[Property Name], INDIRECT("B"&amp;ROW()),
  unit_details[Floorplan Name], INDIRECT("C"&amp;ROW()),
  unit_details[Beds], INDIRECT("D"&amp;ROW()),
  unit_details[Detected Unit Amenities], "*"&amp;$AB$3&amp;"*",
  unit_details[Leased Date], "&gt;=" &amp; ($X$2 - $AD$3)
),0)</f>
        <v>0</v>
      </c>
      <c r="AB8" s="734" cm="1">
        <f t="array" aca="true" ref="AB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 s="733" cm="1">
        <f t="array" aca="true" ref="AC8" ca="true">IFERROR(COUNTIFS(
  unit_details[Property Name], INDIRECT("B"&amp;ROW()),
  unit_details[Floorplan Name], INDIRECT("C"&amp;ROW()),
  unit_details[Beds], INDIRECT("D"&amp;ROW()),
  unit_details[Detected Unit Amenities], "*"&amp;$AB$3&amp;"*",
  unit_details[Leased Date], "&gt;=" &amp; ($X$2 - $AD$3)
),0)</f>
        <v>0</v>
      </c>
      <c r="AD8" s="735" cm="1">
        <f t="array" aca="true" ref="AD8" ca="true">IFERROR(AVERAGEIFS(
  unit_details[Sqft],
  unit_details[Property Name], INDIRECT("B"&amp;ROW()),
  unit_details[Floorplan Name], INDIRECT("C"&amp;ROW()),
  unit_details[Beds], INDIRECT("D"&amp;ROW()),
  unit_details[Detected Unit Amenities], "&lt;&gt;*"&amp;$AB$3&amp;"*",
  unit_details[Leased Date], "&gt;=" &amp; ($X$2 - $AD$3)
),0)</f>
        <v>0</v>
      </c>
      <c r="AE8" s="734" cm="1">
        <f t="array" aca="true" ref="AE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 s="733" cm="1">
        <f t="array" aca="true" ref="AF8" ca="true">IFERROR(COUNTIFS(
  unit_details[Property Name], INDIRECT("B"&amp;ROW()),
  unit_details[Floorplan Name], INDIRECT("C"&amp;ROW()),
  unit_details[Beds], INDIRECT("D"&amp;ROW()),
  unit_details[Detected Unit Amenities], "&lt;&gt;*"&amp;$AB$3&amp;"*",
  unit_details[Leased Date], "&gt;=" &amp; ($X$2 - $AD$3)
),0)</f>
        <v>0</v>
      </c>
      <c r="AG8" s="735"/>
      <c r="AH8" s="738">
        <f t="shared" ca="true" si="0"/>
        <v>0</v>
      </c>
      <c r="AI8" s="739">
        <f t="shared" ca="true" si="1"/>
        <v>0</v>
      </c>
    </row>
    <row r="9" spans="2:35">
      <c r="B9" s="1" t="s">
        <v>1216</v>
      </c>
      <c r="C9" s="80" t="s">
        <v>1253</v>
      </c>
      <c r="D9" s="4">
        <v>1</v>
      </c>
      <c r="E9" s="303">
        <v>1</v>
      </c>
      <c r="F9" s="303"/>
      <c r="G9" s="4">
        <v>99</v>
      </c>
      <c r="H9" s="4">
        <v>416</v>
      </c>
      <c r="I9" s="4">
        <v>852</v>
      </c>
      <c r="J9" s="345">
        <v>1256</v>
      </c>
      <c r="K9" s="6">
        <v>1.4741784037558685</v>
      </c>
      <c r="L9" s="5">
        <v>1256</v>
      </c>
      <c r="M9" s="6">
        <v>1.4741784037558685</v>
      </c>
      <c r="N9" s="738" t="str" cm="1">
        <f t="array" aca="true" ref="N9" ca="true">IFERROR(IF($O$3="Chunk Rent",
AVERAGEIFS('Unit-Level Data'!$O:$O,'Unit-Level Data'!$M:$M,TRUE,
          'Unit-Level Data'!$D:$D, INDIRECT("C"&amp;ROW()),
          'Unit-Level Data'!$B:$B, INDIRECT("B"&amp;ROW())),
AVERAGEIFS('Unit-Level Data'!$P:$P,'Unit-Level Data'!$M:$M,TRUE,
          'Unit-Level Data'!$D:$D, INDIRECT("C"&amp;ROW()),
          'Unit-Level Data'!$B:$B, INDIRECT("B"&amp;ROW()))),"")</f>
      </c>
      <c r="O9" s="760" t="str" cm="1">
        <f t="array" aca="true" ref="O9" ca="true">IFERROR(IF($O$3="Chunk Rent",
AVERAGEIFS('Unit-Level Data'!$Q:$Q,'Unit-Level Data'!$M:$M,TRUE,
          'Unit-Level Data'!$D:$D, INDIRECT("C"&amp;ROW()),
          'Unit-Level Data'!$B:$B, INDIRECT("B"&amp;ROW())),
AVERAGEIFS('Unit-Level Data'!$R:$R,'Unit-Level Data'!$M:$M,TRUE,
          'Unit-Level Data'!$D:$D, INDIRECT("C"&amp;ROW()),
          'Unit-Level Data'!$B:$B, INDIRECT("B"&amp;ROW()))),"")</f>
      </c>
      <c r="P9" s="733" cm="1">
        <f t="array" aca="true" ref="P9" ca="true">COUNTIFS('Unit-Level Data'!$M:$M,TRUE,
          'Unit-Level Data'!$D:$D, INDIRECT("C"&amp;ROW()),
          'Unit-Level Data'!$B:$B, INDIRECT("B"&amp;ROW()))</f>
        <v>0</v>
      </c>
      <c r="Q9" s="738" t="str" cm="1">
        <f t="array" aca="true" ref="Q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 s="760" t="str" cm="1">
        <f t="array" aca="true" ref="R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 s="733" cm="1">
        <f t="array" aca="true" ref="S9" ca="true">COUNTIFS('Unit-Level Data'!$L:$L, "&gt;=" &amp; ($X$2 - Q$5),
          'Unit-Level Data'!$L:$L, "&lt;" &amp; $X$2,
          'Unit-Level Data'!$D:$D, INDIRECT("C"&amp;ROW()),
          'Unit-Level Data'!$B:$B, INDIRECT("B"&amp;ROW()))</f>
        <v>0</v>
      </c>
      <c r="T9" s="738" t="str" cm="1">
        <f t="array" aca="true" ref="T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 s="760" t="str" cm="1">
        <f t="array" aca="true" ref="U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 s="733" cm="1">
        <f t="array" aca="true" ref="V9" ca="true">COUNTIFS('Unit-Level Data'!$L:$L, "&gt;=" &amp; ($X$2 - T$5),
          'Unit-Level Data'!$L:$L, "&lt;" &amp; $X$2,
          'Unit-Level Data'!$D:$D, INDIRECT("C"&amp;ROW()),
          'Unit-Level Data'!$B:$B, INDIRECT("B"&amp;ROW()))</f>
        <v>0</v>
      </c>
      <c r="W9" s="738" t="str" cm="1">
        <f t="array" aca="true" ref="W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 s="760" t="str" cm="1">
        <f t="array" aca="true" ref="X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 s="733" cm="1">
        <f t="array" aca="true" ref="Y9" ca="true">COUNTIFS('Unit-Level Data'!$L:$L, "&gt;=" &amp; ($X$2 - W$5),
          'Unit-Level Data'!$L:$L, "&lt;" &amp; $X$2,
          'Unit-Level Data'!$D:$D, INDIRECT("C"&amp;ROW()),
          'Unit-Level Data'!$B:$B, INDIRECT("B"&amp;ROW()))</f>
        <v>0</v>
      </c>
      <c r="Z9" s="761"/>
      <c r="AA9" s="735" cm="1">
        <f t="array" aca="true" ref="AA9" ca="true">IFERROR(AVERAGEIFS(
  unit_details[Sqft],
  unit_details[Property Name], INDIRECT("B"&amp;ROW()),
  unit_details[Floorplan Name], INDIRECT("C"&amp;ROW()),
  unit_details[Beds], INDIRECT("D"&amp;ROW()),
  unit_details[Detected Unit Amenities], "*"&amp;$AB$3&amp;"*",
  unit_details[Leased Date], "&gt;=" &amp; ($X$2 - $AD$3)
),0)</f>
        <v>0</v>
      </c>
      <c r="AB9" s="734" cm="1">
        <f t="array" aca="true" ref="AB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 s="733" cm="1">
        <f t="array" aca="true" ref="AC9" ca="true">IFERROR(COUNTIFS(
  unit_details[Property Name], INDIRECT("B"&amp;ROW()),
  unit_details[Floorplan Name], INDIRECT("C"&amp;ROW()),
  unit_details[Beds], INDIRECT("D"&amp;ROW()),
  unit_details[Detected Unit Amenities], "*"&amp;$AB$3&amp;"*",
  unit_details[Leased Date], "&gt;=" &amp; ($X$2 - $AD$3)
),0)</f>
        <v>0</v>
      </c>
      <c r="AD9" s="735" cm="1">
        <f t="array" aca="true" ref="AD9" ca="true">IFERROR(AVERAGEIFS(
  unit_details[Sqft],
  unit_details[Property Name], INDIRECT("B"&amp;ROW()),
  unit_details[Floorplan Name], INDIRECT("C"&amp;ROW()),
  unit_details[Beds], INDIRECT("D"&amp;ROW()),
  unit_details[Detected Unit Amenities], "&lt;&gt;*"&amp;$AB$3&amp;"*",
  unit_details[Leased Date], "&gt;=" &amp; ($X$2 - $AD$3)
),0)</f>
        <v>0</v>
      </c>
      <c r="AE9" s="734" cm="1">
        <f t="array" aca="true" ref="AE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 s="733" cm="1">
        <f t="array" aca="true" ref="AF9" ca="true">IFERROR(COUNTIFS(
  unit_details[Property Name], INDIRECT("B"&amp;ROW()),
  unit_details[Floorplan Name], INDIRECT("C"&amp;ROW()),
  unit_details[Beds], INDIRECT("D"&amp;ROW()),
  unit_details[Detected Unit Amenities], "&lt;&gt;*"&amp;$AB$3&amp;"*",
  unit_details[Leased Date], "&gt;=" &amp; ($X$2 - $AD$3)
),0)</f>
        <v>0</v>
      </c>
      <c r="AG9" s="735"/>
      <c r="AH9" s="738">
        <f t="shared" ref="AH9:AH72" ca="true" si="2">IF(OR(AB9=0,AE9=0),0,IFERROR(AB9-AE9,0))</f>
        <v>0</v>
      </c>
      <c r="AI9" s="739">
        <f t="shared" ref="AI9:AI72" ca="true" si="3">IFERROR(AH9/AE9,0)</f>
        <v>0</v>
      </c>
    </row>
    <row r="10" spans="2:35">
      <c r="B10" s="1" t="s">
        <v>1216</v>
      </c>
      <c r="C10" s="80" t="s">
        <v>1254</v>
      </c>
      <c r="D10" s="4">
        <v>2</v>
      </c>
      <c r="E10" s="303">
        <v>1</v>
      </c>
      <c r="F10" s="303"/>
      <c r="G10" s="4">
        <v>98</v>
      </c>
      <c r="H10" s="4">
        <v>416</v>
      </c>
      <c r="I10" s="4">
        <v>960</v>
      </c>
      <c r="J10" s="345">
        <v>1329</v>
      </c>
      <c r="K10" s="6">
        <v>1.384375</v>
      </c>
      <c r="L10" s="5">
        <v>1329</v>
      </c>
      <c r="M10" s="6">
        <v>1.384375</v>
      </c>
      <c r="N10" s="738" t="str" cm="1">
        <f t="array" aca="true" ref="N10" ca="true">IFERROR(IF($O$3="Chunk Rent",
AVERAGEIFS('Unit-Level Data'!$O:$O,'Unit-Level Data'!$M:$M,TRUE,
          'Unit-Level Data'!$D:$D, INDIRECT("C"&amp;ROW()),
          'Unit-Level Data'!$B:$B, INDIRECT("B"&amp;ROW())),
AVERAGEIFS('Unit-Level Data'!$P:$P,'Unit-Level Data'!$M:$M,TRUE,
          'Unit-Level Data'!$D:$D, INDIRECT("C"&amp;ROW()),
          'Unit-Level Data'!$B:$B, INDIRECT("B"&amp;ROW()))),"")</f>
      </c>
      <c r="O10" s="760" t="str" cm="1">
        <f t="array" aca="true" ref="O10" ca="true">IFERROR(IF($O$3="Chunk Rent",
AVERAGEIFS('Unit-Level Data'!$Q:$Q,'Unit-Level Data'!$M:$M,TRUE,
          'Unit-Level Data'!$D:$D, INDIRECT("C"&amp;ROW()),
          'Unit-Level Data'!$B:$B, INDIRECT("B"&amp;ROW())),
AVERAGEIFS('Unit-Level Data'!$R:$R,'Unit-Level Data'!$M:$M,TRUE,
          'Unit-Level Data'!$D:$D, INDIRECT("C"&amp;ROW()),
          'Unit-Level Data'!$B:$B, INDIRECT("B"&amp;ROW()))),"")</f>
      </c>
      <c r="P10" s="733" cm="1">
        <f t="array" aca="true" ref="P10" ca="true">COUNTIFS('Unit-Level Data'!$M:$M,TRUE,
          'Unit-Level Data'!$D:$D, INDIRECT("C"&amp;ROW()),
          'Unit-Level Data'!$B:$B, INDIRECT("B"&amp;ROW()))</f>
        <v>0</v>
      </c>
      <c r="Q10" s="738" t="str" cm="1">
        <f t="array" aca="true" ref="Q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 s="760" t="str" cm="1">
        <f t="array" aca="true" ref="R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 s="733" cm="1">
        <f t="array" aca="true" ref="S10" ca="true">COUNTIFS('Unit-Level Data'!$L:$L, "&gt;=" &amp; ($X$2 - Q$5),
          'Unit-Level Data'!$L:$L, "&lt;" &amp; $X$2,
          'Unit-Level Data'!$D:$D, INDIRECT("C"&amp;ROW()),
          'Unit-Level Data'!$B:$B, INDIRECT("B"&amp;ROW()))</f>
        <v>0</v>
      </c>
      <c r="T10" s="738" t="str" cm="1">
        <f t="array" aca="true" ref="T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 s="760" t="str" cm="1">
        <f t="array" aca="true" ref="U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 s="733" cm="1">
        <f t="array" aca="true" ref="V10" ca="true">COUNTIFS('Unit-Level Data'!$L:$L, "&gt;=" &amp; ($X$2 - T$5),
          'Unit-Level Data'!$L:$L, "&lt;" &amp; $X$2,
          'Unit-Level Data'!$D:$D, INDIRECT("C"&amp;ROW()),
          'Unit-Level Data'!$B:$B, INDIRECT("B"&amp;ROW()))</f>
        <v>0</v>
      </c>
      <c r="W10" s="738" t="str" cm="1">
        <f t="array" aca="true" ref="W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 s="760" t="str" cm="1">
        <f t="array" aca="true" ref="X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 s="733" cm="1">
        <f t="array" aca="true" ref="Y10" ca="true">COUNTIFS('Unit-Level Data'!$L:$L, "&gt;=" &amp; ($X$2 - W$5),
          'Unit-Level Data'!$L:$L, "&lt;" &amp; $X$2,
          'Unit-Level Data'!$D:$D, INDIRECT("C"&amp;ROW()),
          'Unit-Level Data'!$B:$B, INDIRECT("B"&amp;ROW()))</f>
        <v>0</v>
      </c>
      <c r="Z10" s="761"/>
      <c r="AA10" s="735" cm="1">
        <f t="array" aca="true" ref="AA10" ca="true">IFERROR(AVERAGEIFS(
  unit_details[Sqft],
  unit_details[Property Name], INDIRECT("B"&amp;ROW()),
  unit_details[Floorplan Name], INDIRECT("C"&amp;ROW()),
  unit_details[Beds], INDIRECT("D"&amp;ROW()),
  unit_details[Detected Unit Amenities], "*"&amp;$AB$3&amp;"*",
  unit_details[Leased Date], "&gt;=" &amp; ($X$2 - $AD$3)
),0)</f>
        <v>0</v>
      </c>
      <c r="AB10" s="734" cm="1">
        <f t="array" aca="true" ref="AB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 s="733" cm="1">
        <f t="array" aca="true" ref="AC10" ca="true">IFERROR(COUNTIFS(
  unit_details[Property Name], INDIRECT("B"&amp;ROW()),
  unit_details[Floorplan Name], INDIRECT("C"&amp;ROW()),
  unit_details[Beds], INDIRECT("D"&amp;ROW()),
  unit_details[Detected Unit Amenities], "*"&amp;$AB$3&amp;"*",
  unit_details[Leased Date], "&gt;=" &amp; ($X$2 - $AD$3)
),0)</f>
        <v>0</v>
      </c>
      <c r="AD10" s="735" cm="1">
        <f t="array" aca="true" ref="AD10" ca="true">IFERROR(AVERAGEIFS(
  unit_details[Sqft],
  unit_details[Property Name], INDIRECT("B"&amp;ROW()),
  unit_details[Floorplan Name], INDIRECT("C"&amp;ROW()),
  unit_details[Beds], INDIRECT("D"&amp;ROW()),
  unit_details[Detected Unit Amenities], "&lt;&gt;*"&amp;$AB$3&amp;"*",
  unit_details[Leased Date], "&gt;=" &amp; ($X$2 - $AD$3)
),0)</f>
        <v>0</v>
      </c>
      <c r="AE10" s="734" cm="1">
        <f t="array" aca="true" ref="AE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 s="733" cm="1">
        <f t="array" aca="true" ref="AF10" ca="true">IFERROR(COUNTIFS(
  unit_details[Property Name], INDIRECT("B"&amp;ROW()),
  unit_details[Floorplan Name], INDIRECT("C"&amp;ROW()),
  unit_details[Beds], INDIRECT("D"&amp;ROW()),
  unit_details[Detected Unit Amenities], "&lt;&gt;*"&amp;$AB$3&amp;"*",
  unit_details[Leased Date], "&gt;=" &amp; ($X$2 - $AD$3)
),0)</f>
        <v>0</v>
      </c>
      <c r="AG10" s="735"/>
      <c r="AH10" s="738">
        <f t="shared" ca="true" si="2"/>
        <v>0</v>
      </c>
      <c r="AI10" s="739">
        <f t="shared" ca="true" si="3"/>
        <v>0</v>
      </c>
    </row>
    <row r="11" spans="2:35">
      <c r="B11" s="1" t="s">
        <v>1217</v>
      </c>
      <c r="C11" s="80" t="s">
        <v>1255</v>
      </c>
      <c r="D11" s="4">
        <v>1</v>
      </c>
      <c r="E11" s="303">
        <v>1</v>
      </c>
      <c r="F11" s="303"/>
      <c r="G11" s="4">
        <v>155</v>
      </c>
      <c r="H11" s="4">
        <v>62.642857142857146</v>
      </c>
      <c r="I11" s="4">
        <v>729.010989010989</v>
      </c>
      <c r="J11" s="345">
        <v>1281.6483516483515</v>
      </c>
      <c r="K11" s="6">
        <v>1.7580645161290323</v>
      </c>
      <c r="L11" s="5">
        <v>1268.032967032967</v>
      </c>
      <c r="M11" s="6">
        <v>1.7393880012059089</v>
      </c>
      <c r="N11" s="738" t="str" cm="1">
        <f t="array" aca="true" ref="N11" ca="true">IFERROR(IF($O$3="Chunk Rent",
AVERAGEIFS('Unit-Level Data'!$O:$O,'Unit-Level Data'!$M:$M,TRUE,
          'Unit-Level Data'!$D:$D, INDIRECT("C"&amp;ROW()),
          'Unit-Level Data'!$B:$B, INDIRECT("B"&amp;ROW())),
AVERAGEIFS('Unit-Level Data'!$P:$P,'Unit-Level Data'!$M:$M,TRUE,
          'Unit-Level Data'!$D:$D, INDIRECT("C"&amp;ROW()),
          'Unit-Level Data'!$B:$B, INDIRECT("B"&amp;ROW()))),"")</f>
      </c>
      <c r="O11" s="760" t="str" cm="1">
        <f t="array" aca="true" ref="O11" ca="true">IFERROR(IF($O$3="Chunk Rent",
AVERAGEIFS('Unit-Level Data'!$Q:$Q,'Unit-Level Data'!$M:$M,TRUE,
          'Unit-Level Data'!$D:$D, INDIRECT("C"&amp;ROW()),
          'Unit-Level Data'!$B:$B, INDIRECT("B"&amp;ROW())),
AVERAGEIFS('Unit-Level Data'!$R:$R,'Unit-Level Data'!$M:$M,TRUE,
          'Unit-Level Data'!$D:$D, INDIRECT("C"&amp;ROW()),
          'Unit-Level Data'!$B:$B, INDIRECT("B"&amp;ROW()))),"")</f>
      </c>
      <c r="P11" s="733" cm="1">
        <f t="array" aca="true" ref="P11" ca="true">COUNTIFS('Unit-Level Data'!$M:$M,TRUE,
          'Unit-Level Data'!$D:$D, INDIRECT("C"&amp;ROW()),
          'Unit-Level Data'!$B:$B, INDIRECT("B"&amp;ROW()))</f>
        <v>0</v>
      </c>
      <c r="Q11" s="738" t="str" cm="1">
        <f t="array" aca="true" ref="Q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 s="760" t="str" cm="1">
        <f t="array" aca="true" ref="R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 s="733" cm="1">
        <f t="array" aca="true" ref="S11" ca="true">COUNTIFS('Unit-Level Data'!$L:$L, "&gt;=" &amp; ($X$2 - Q$5),
          'Unit-Level Data'!$L:$L, "&lt;" &amp; $X$2,
          'Unit-Level Data'!$D:$D, INDIRECT("C"&amp;ROW()),
          'Unit-Level Data'!$B:$B, INDIRECT("B"&amp;ROW()))</f>
        <v>0</v>
      </c>
      <c r="T11" s="738" t="str" cm="1">
        <f t="array" aca="true" ref="T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 s="760" t="str" cm="1">
        <f t="array" aca="true" ref="U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 s="733" cm="1">
        <f t="array" aca="true" ref="V11" ca="true">COUNTIFS('Unit-Level Data'!$L:$L, "&gt;=" &amp; ($X$2 - T$5),
          'Unit-Level Data'!$L:$L, "&lt;" &amp; $X$2,
          'Unit-Level Data'!$D:$D, INDIRECT("C"&amp;ROW()),
          'Unit-Level Data'!$B:$B, INDIRECT("B"&amp;ROW()))</f>
        <v>0</v>
      </c>
      <c r="W11" s="738" t="str" cm="1">
        <f t="array" aca="true" ref="W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 s="760" t="str" cm="1">
        <f t="array" aca="true" ref="X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 s="733" cm="1">
        <f t="array" aca="true" ref="Y11" ca="true">COUNTIFS('Unit-Level Data'!$L:$L, "&gt;=" &amp; ($X$2 - W$5),
          'Unit-Level Data'!$L:$L, "&lt;" &amp; $X$2,
          'Unit-Level Data'!$D:$D, INDIRECT("C"&amp;ROW()),
          'Unit-Level Data'!$B:$B, INDIRECT("B"&amp;ROW()))</f>
        <v>0</v>
      </c>
      <c r="Z11" s="761"/>
      <c r="AA11" s="735" cm="1">
        <f t="array" aca="true" ref="AA11" ca="true">IFERROR(AVERAGEIFS(
  unit_details[Sqft],
  unit_details[Property Name], INDIRECT("B"&amp;ROW()),
  unit_details[Floorplan Name], INDIRECT("C"&amp;ROW()),
  unit_details[Beds], INDIRECT("D"&amp;ROW()),
  unit_details[Detected Unit Amenities], "*"&amp;$AB$3&amp;"*",
  unit_details[Leased Date], "&gt;=" &amp; ($X$2 - $AD$3)
),0)</f>
        <v>0</v>
      </c>
      <c r="AB11" s="734" cm="1">
        <f t="array" aca="true" ref="AB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 s="733" cm="1">
        <f t="array" aca="true" ref="AC11" ca="true">IFERROR(COUNTIFS(
  unit_details[Property Name], INDIRECT("B"&amp;ROW()),
  unit_details[Floorplan Name], INDIRECT("C"&amp;ROW()),
  unit_details[Beds], INDIRECT("D"&amp;ROW()),
  unit_details[Detected Unit Amenities], "*"&amp;$AB$3&amp;"*",
  unit_details[Leased Date], "&gt;=" &amp; ($X$2 - $AD$3)
),0)</f>
        <v>0</v>
      </c>
      <c r="AD11" s="735" cm="1">
        <f t="array" aca="true" ref="AD11" ca="true">IFERROR(AVERAGEIFS(
  unit_details[Sqft],
  unit_details[Property Name], INDIRECT("B"&amp;ROW()),
  unit_details[Floorplan Name], INDIRECT("C"&amp;ROW()),
  unit_details[Beds], INDIRECT("D"&amp;ROW()),
  unit_details[Detected Unit Amenities], "&lt;&gt;*"&amp;$AB$3&amp;"*",
  unit_details[Leased Date], "&gt;=" &amp; ($X$2 - $AD$3)
),0)</f>
        <v>0</v>
      </c>
      <c r="AE11" s="734" cm="1">
        <f t="array" aca="true" ref="AE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 s="733" cm="1">
        <f t="array" aca="true" ref="AF11" ca="true">IFERROR(COUNTIFS(
  unit_details[Property Name], INDIRECT("B"&amp;ROW()),
  unit_details[Floorplan Name], INDIRECT("C"&amp;ROW()),
  unit_details[Beds], INDIRECT("D"&amp;ROW()),
  unit_details[Detected Unit Amenities], "&lt;&gt;*"&amp;$AB$3&amp;"*",
  unit_details[Leased Date], "&gt;=" &amp; ($X$2 - $AD$3)
),0)</f>
        <v>0</v>
      </c>
      <c r="AG11" s="735"/>
      <c r="AH11" s="738">
        <f t="shared" ca="true" si="2"/>
        <v>0</v>
      </c>
      <c r="AI11" s="739">
        <f t="shared" ca="true" si="3"/>
        <v>0</v>
      </c>
    </row>
    <row r="12" spans="2:35">
      <c r="B12" s="1" t="s">
        <v>1217</v>
      </c>
      <c r="C12" s="80" t="s">
        <v>1256</v>
      </c>
      <c r="D12" s="4">
        <v>1</v>
      </c>
      <c r="E12" s="303">
        <v>1</v>
      </c>
      <c r="F12" s="303"/>
      <c r="G12" s="4">
        <v>14</v>
      </c>
      <c r="H12" s="4">
        <v>52</v>
      </c>
      <c r="I12" s="4">
        <v>728</v>
      </c>
      <c r="J12" s="345">
        <v>1222.5</v>
      </c>
      <c r="K12" s="6">
        <v>1.6792582417582418</v>
      </c>
      <c r="L12" s="5">
        <v>1222.5</v>
      </c>
      <c r="M12" s="6">
        <v>1.6792582417582418</v>
      </c>
      <c r="N12" s="738" t="str" cm="1">
        <f t="array" aca="true" ref="N12" ca="true">IFERROR(IF($O$3="Chunk Rent",
AVERAGEIFS('Unit-Level Data'!$O:$O,'Unit-Level Data'!$M:$M,TRUE,
          'Unit-Level Data'!$D:$D, INDIRECT("C"&amp;ROW()),
          'Unit-Level Data'!$B:$B, INDIRECT("B"&amp;ROW())),
AVERAGEIFS('Unit-Level Data'!$P:$P,'Unit-Level Data'!$M:$M,TRUE,
          'Unit-Level Data'!$D:$D, INDIRECT("C"&amp;ROW()),
          'Unit-Level Data'!$B:$B, INDIRECT("B"&amp;ROW()))),"")</f>
      </c>
      <c r="O12" s="760" t="str" cm="1">
        <f t="array" aca="true" ref="O12" ca="true">IFERROR(IF($O$3="Chunk Rent",
AVERAGEIFS('Unit-Level Data'!$Q:$Q,'Unit-Level Data'!$M:$M,TRUE,
          'Unit-Level Data'!$D:$D, INDIRECT("C"&amp;ROW()),
          'Unit-Level Data'!$B:$B, INDIRECT("B"&amp;ROW())),
AVERAGEIFS('Unit-Level Data'!$R:$R,'Unit-Level Data'!$M:$M,TRUE,
          'Unit-Level Data'!$D:$D, INDIRECT("C"&amp;ROW()),
          'Unit-Level Data'!$B:$B, INDIRECT("B"&amp;ROW()))),"")</f>
      </c>
      <c r="P12" s="733" cm="1">
        <f t="array" aca="true" ref="P12" ca="true">COUNTIFS('Unit-Level Data'!$M:$M,TRUE,
          'Unit-Level Data'!$D:$D, INDIRECT("C"&amp;ROW()),
          'Unit-Level Data'!$B:$B, INDIRECT("B"&amp;ROW()))</f>
        <v>0</v>
      </c>
      <c r="Q12" s="738" t="str" cm="1">
        <f t="array" aca="true" ref="Q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 s="760" t="str" cm="1">
        <f t="array" aca="true" ref="R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 s="733" cm="1">
        <f t="array" aca="true" ref="S12" ca="true">COUNTIFS('Unit-Level Data'!$L:$L, "&gt;=" &amp; ($X$2 - Q$5),
          'Unit-Level Data'!$L:$L, "&lt;" &amp; $X$2,
          'Unit-Level Data'!$D:$D, INDIRECT("C"&amp;ROW()),
          'Unit-Level Data'!$B:$B, INDIRECT("B"&amp;ROW()))</f>
        <v>0</v>
      </c>
      <c r="T12" s="738" t="str" cm="1">
        <f t="array" aca="true" ref="T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 s="760" t="str" cm="1">
        <f t="array" aca="true" ref="U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 s="733" cm="1">
        <f t="array" aca="true" ref="V12" ca="true">COUNTIFS('Unit-Level Data'!$L:$L, "&gt;=" &amp; ($X$2 - T$5),
          'Unit-Level Data'!$L:$L, "&lt;" &amp; $X$2,
          'Unit-Level Data'!$D:$D, INDIRECT("C"&amp;ROW()),
          'Unit-Level Data'!$B:$B, INDIRECT("B"&amp;ROW()))</f>
        <v>0</v>
      </c>
      <c r="W12" s="738" t="str" cm="1">
        <f t="array" aca="true" ref="W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 s="760" t="str" cm="1">
        <f t="array" aca="true" ref="X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 s="733" cm="1">
        <f t="array" aca="true" ref="Y12" ca="true">COUNTIFS('Unit-Level Data'!$L:$L, "&gt;=" &amp; ($X$2 - W$5),
          'Unit-Level Data'!$L:$L, "&lt;" &amp; $X$2,
          'Unit-Level Data'!$D:$D, INDIRECT("C"&amp;ROW()),
          'Unit-Level Data'!$B:$B, INDIRECT("B"&amp;ROW()))</f>
        <v>0</v>
      </c>
      <c r="Z12" s="761"/>
      <c r="AA12" s="735" cm="1">
        <f t="array" aca="true" ref="AA12" ca="true">IFERROR(AVERAGEIFS(
  unit_details[Sqft],
  unit_details[Property Name], INDIRECT("B"&amp;ROW()),
  unit_details[Floorplan Name], INDIRECT("C"&amp;ROW()),
  unit_details[Beds], INDIRECT("D"&amp;ROW()),
  unit_details[Detected Unit Amenities], "*"&amp;$AB$3&amp;"*",
  unit_details[Leased Date], "&gt;=" &amp; ($X$2 - $AD$3)
),0)</f>
        <v>0</v>
      </c>
      <c r="AB12" s="734" cm="1">
        <f t="array" aca="true" ref="AB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 s="733" cm="1">
        <f t="array" aca="true" ref="AC12" ca="true">IFERROR(COUNTIFS(
  unit_details[Property Name], INDIRECT("B"&amp;ROW()),
  unit_details[Floorplan Name], INDIRECT("C"&amp;ROW()),
  unit_details[Beds], INDIRECT("D"&amp;ROW()),
  unit_details[Detected Unit Amenities], "*"&amp;$AB$3&amp;"*",
  unit_details[Leased Date], "&gt;=" &amp; ($X$2 - $AD$3)
),0)</f>
        <v>0</v>
      </c>
      <c r="AD12" s="735" cm="1">
        <f t="array" aca="true" ref="AD12" ca="true">IFERROR(AVERAGEIFS(
  unit_details[Sqft],
  unit_details[Property Name], INDIRECT("B"&amp;ROW()),
  unit_details[Floorplan Name], INDIRECT("C"&amp;ROW()),
  unit_details[Beds], INDIRECT("D"&amp;ROW()),
  unit_details[Detected Unit Amenities], "&lt;&gt;*"&amp;$AB$3&amp;"*",
  unit_details[Leased Date], "&gt;=" &amp; ($X$2 - $AD$3)
),0)</f>
        <v>0</v>
      </c>
      <c r="AE12" s="734" cm="1">
        <f t="array" aca="true" ref="AE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 s="733" cm="1">
        <f t="array" aca="true" ref="AF12" ca="true">IFERROR(COUNTIFS(
  unit_details[Property Name], INDIRECT("B"&amp;ROW()),
  unit_details[Floorplan Name], INDIRECT("C"&amp;ROW()),
  unit_details[Beds], INDIRECT("D"&amp;ROW()),
  unit_details[Detected Unit Amenities], "&lt;&gt;*"&amp;$AB$3&amp;"*",
  unit_details[Leased Date], "&gt;=" &amp; ($X$2 - $AD$3)
),0)</f>
        <v>0</v>
      </c>
      <c r="AG12" s="735"/>
      <c r="AH12" s="738">
        <f t="shared" ca="true" si="2"/>
        <v>0</v>
      </c>
      <c r="AI12" s="739">
        <f t="shared" ca="true" si="3"/>
        <v>0</v>
      </c>
    </row>
    <row r="13" spans="2:35">
      <c r="B13" s="1" t="s">
        <v>1217</v>
      </c>
      <c r="C13" s="80" t="s">
        <v>1257</v>
      </c>
      <c r="D13" s="4">
        <v>1</v>
      </c>
      <c r="E13" s="303">
        <v>1</v>
      </c>
      <c r="F13" s="303"/>
      <c r="G13" s="4">
        <v>65</v>
      </c>
      <c r="H13" s="4">
        <v>69.84210526315789</v>
      </c>
      <c r="I13" s="4">
        <v>830</v>
      </c>
      <c r="J13" s="345">
        <v>1340.921052631579</v>
      </c>
      <c r="K13" s="6">
        <v>1.615567533291059</v>
      </c>
      <c r="L13" s="5">
        <v>1330.3684210526317</v>
      </c>
      <c r="M13" s="6">
        <v>1.60285351934052</v>
      </c>
      <c r="N13" s="738" t="str" cm="1">
        <f t="array" aca="true" ref="N13" ca="true">IFERROR(IF($O$3="Chunk Rent",
AVERAGEIFS('Unit-Level Data'!$O:$O,'Unit-Level Data'!$M:$M,TRUE,
          'Unit-Level Data'!$D:$D, INDIRECT("C"&amp;ROW()),
          'Unit-Level Data'!$B:$B, INDIRECT("B"&amp;ROW())),
AVERAGEIFS('Unit-Level Data'!$P:$P,'Unit-Level Data'!$M:$M,TRUE,
          'Unit-Level Data'!$D:$D, INDIRECT("C"&amp;ROW()),
          'Unit-Level Data'!$B:$B, INDIRECT("B"&amp;ROW()))),"")</f>
      </c>
      <c r="O13" s="760" t="str" cm="1">
        <f t="array" aca="true" ref="O13" ca="true">IFERROR(IF($O$3="Chunk Rent",
AVERAGEIFS('Unit-Level Data'!$Q:$Q,'Unit-Level Data'!$M:$M,TRUE,
          'Unit-Level Data'!$D:$D, INDIRECT("C"&amp;ROW()),
          'Unit-Level Data'!$B:$B, INDIRECT("B"&amp;ROW())),
AVERAGEIFS('Unit-Level Data'!$R:$R,'Unit-Level Data'!$M:$M,TRUE,
          'Unit-Level Data'!$D:$D, INDIRECT("C"&amp;ROW()),
          'Unit-Level Data'!$B:$B, INDIRECT("B"&amp;ROW()))),"")</f>
      </c>
      <c r="P13" s="733" cm="1">
        <f t="array" aca="true" ref="P13" ca="true">COUNTIFS('Unit-Level Data'!$M:$M,TRUE,
          'Unit-Level Data'!$D:$D, INDIRECT("C"&amp;ROW()),
          'Unit-Level Data'!$B:$B, INDIRECT("B"&amp;ROW()))</f>
        <v>0</v>
      </c>
      <c r="Q13" s="738" t="str" cm="1">
        <f t="array" aca="true" ref="Q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 s="760" t="str" cm="1">
        <f t="array" aca="true" ref="R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 s="733" cm="1">
        <f t="array" aca="true" ref="S13" ca="true">COUNTIFS('Unit-Level Data'!$L:$L, "&gt;=" &amp; ($X$2 - Q$5),
          'Unit-Level Data'!$L:$L, "&lt;" &amp; $X$2,
          'Unit-Level Data'!$D:$D, INDIRECT("C"&amp;ROW()),
          'Unit-Level Data'!$B:$B, INDIRECT("B"&amp;ROW()))</f>
        <v>0</v>
      </c>
      <c r="T13" s="738" t="str" cm="1">
        <f t="array" aca="true" ref="T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 s="760" t="str" cm="1">
        <f t="array" aca="true" ref="U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 s="733" cm="1">
        <f t="array" aca="true" ref="V13" ca="true">COUNTIFS('Unit-Level Data'!$L:$L, "&gt;=" &amp; ($X$2 - T$5),
          'Unit-Level Data'!$L:$L, "&lt;" &amp; $X$2,
          'Unit-Level Data'!$D:$D, INDIRECT("C"&amp;ROW()),
          'Unit-Level Data'!$B:$B, INDIRECT("B"&amp;ROW()))</f>
        <v>0</v>
      </c>
      <c r="W13" s="738" t="str" cm="1">
        <f t="array" aca="true" ref="W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 s="760" t="str" cm="1">
        <f t="array" aca="true" ref="X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 s="733" cm="1">
        <f t="array" aca="true" ref="Y13" ca="true">COUNTIFS('Unit-Level Data'!$L:$L, "&gt;=" &amp; ($X$2 - W$5),
          'Unit-Level Data'!$L:$L, "&lt;" &amp; $X$2,
          'Unit-Level Data'!$D:$D, INDIRECT("C"&amp;ROW()),
          'Unit-Level Data'!$B:$B, INDIRECT("B"&amp;ROW()))</f>
        <v>0</v>
      </c>
      <c r="Z13" s="761"/>
      <c r="AA13" s="735" cm="1">
        <f t="array" aca="true" ref="AA13" ca="true">IFERROR(AVERAGEIFS(
  unit_details[Sqft],
  unit_details[Property Name], INDIRECT("B"&amp;ROW()),
  unit_details[Floorplan Name], INDIRECT("C"&amp;ROW()),
  unit_details[Beds], INDIRECT("D"&amp;ROW()),
  unit_details[Detected Unit Amenities], "*"&amp;$AB$3&amp;"*",
  unit_details[Leased Date], "&gt;=" &amp; ($X$2 - $AD$3)
),0)</f>
        <v>0</v>
      </c>
      <c r="AB13" s="734" cm="1">
        <f t="array" aca="true" ref="AB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 s="733" cm="1">
        <f t="array" aca="true" ref="AC13" ca="true">IFERROR(COUNTIFS(
  unit_details[Property Name], INDIRECT("B"&amp;ROW()),
  unit_details[Floorplan Name], INDIRECT("C"&amp;ROW()),
  unit_details[Beds], INDIRECT("D"&amp;ROW()),
  unit_details[Detected Unit Amenities], "*"&amp;$AB$3&amp;"*",
  unit_details[Leased Date], "&gt;=" &amp; ($X$2 - $AD$3)
),0)</f>
        <v>0</v>
      </c>
      <c r="AD13" s="735" cm="1">
        <f t="array" aca="true" ref="AD13" ca="true">IFERROR(AVERAGEIFS(
  unit_details[Sqft],
  unit_details[Property Name], INDIRECT("B"&amp;ROW()),
  unit_details[Floorplan Name], INDIRECT("C"&amp;ROW()),
  unit_details[Beds], INDIRECT("D"&amp;ROW()),
  unit_details[Detected Unit Amenities], "&lt;&gt;*"&amp;$AB$3&amp;"*",
  unit_details[Leased Date], "&gt;=" &amp; ($X$2 - $AD$3)
),0)</f>
        <v>0</v>
      </c>
      <c r="AE13" s="734" cm="1">
        <f t="array" aca="true" ref="AE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 s="733" cm="1">
        <f t="array" aca="true" ref="AF13" ca="true">IFERROR(COUNTIFS(
  unit_details[Property Name], INDIRECT("B"&amp;ROW()),
  unit_details[Floorplan Name], INDIRECT("C"&amp;ROW()),
  unit_details[Beds], INDIRECT("D"&amp;ROW()),
  unit_details[Detected Unit Amenities], "&lt;&gt;*"&amp;$AB$3&amp;"*",
  unit_details[Leased Date], "&gt;=" &amp; ($X$2 - $AD$3)
),0)</f>
        <v>0</v>
      </c>
      <c r="AG13" s="735"/>
      <c r="AH13" s="738">
        <f t="shared" ca="true" si="2"/>
        <v>0</v>
      </c>
      <c r="AI13" s="739">
        <f t="shared" ca="true" si="3"/>
        <v>0</v>
      </c>
    </row>
    <row r="14" spans="2:35">
      <c r="B14" s="1" t="s">
        <v>1217</v>
      </c>
      <c r="C14" s="80" t="s">
        <v>1258</v>
      </c>
      <c r="D14" s="4">
        <v>1</v>
      </c>
      <c r="E14" s="303">
        <v>1</v>
      </c>
      <c r="F14" s="303"/>
      <c r="G14" s="4">
        <v>7</v>
      </c>
      <c r="H14" s="4">
        <v>20</v>
      </c>
      <c r="I14" s="4">
        <v>830</v>
      </c>
      <c r="J14" s="345">
        <v>1327.5</v>
      </c>
      <c r="K14" s="6">
        <v>1.5993975903614457</v>
      </c>
      <c r="L14" s="5">
        <v>1216.75</v>
      </c>
      <c r="M14" s="6">
        <v>1.4659638554216867</v>
      </c>
      <c r="N14" s="738" t="str" cm="1">
        <f t="array" aca="true" ref="N14" ca="true">IFERROR(IF($O$3="Chunk Rent",
AVERAGEIFS('Unit-Level Data'!$O:$O,'Unit-Level Data'!$M:$M,TRUE,
          'Unit-Level Data'!$D:$D, INDIRECT("C"&amp;ROW()),
          'Unit-Level Data'!$B:$B, INDIRECT("B"&amp;ROW())),
AVERAGEIFS('Unit-Level Data'!$P:$P,'Unit-Level Data'!$M:$M,TRUE,
          'Unit-Level Data'!$D:$D, INDIRECT("C"&amp;ROW()),
          'Unit-Level Data'!$B:$B, INDIRECT("B"&amp;ROW()))),"")</f>
      </c>
      <c r="O14" s="760" t="str" cm="1">
        <f t="array" aca="true" ref="O14" ca="true">IFERROR(IF($O$3="Chunk Rent",
AVERAGEIFS('Unit-Level Data'!$Q:$Q,'Unit-Level Data'!$M:$M,TRUE,
          'Unit-Level Data'!$D:$D, INDIRECT("C"&amp;ROW()),
          'Unit-Level Data'!$B:$B, INDIRECT("B"&amp;ROW())),
AVERAGEIFS('Unit-Level Data'!$R:$R,'Unit-Level Data'!$M:$M,TRUE,
          'Unit-Level Data'!$D:$D, INDIRECT("C"&amp;ROW()),
          'Unit-Level Data'!$B:$B, INDIRECT("B"&amp;ROW()))),"")</f>
      </c>
      <c r="P14" s="733" cm="1">
        <f t="array" aca="true" ref="P14" ca="true">COUNTIFS('Unit-Level Data'!$M:$M,TRUE,
          'Unit-Level Data'!$D:$D, INDIRECT("C"&amp;ROW()),
          'Unit-Level Data'!$B:$B, INDIRECT("B"&amp;ROW()))</f>
        <v>0</v>
      </c>
      <c r="Q14" s="738" t="str" cm="1">
        <f t="array" aca="true" ref="Q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 s="760" t="str" cm="1">
        <f t="array" aca="true" ref="R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 s="733" cm="1">
        <f t="array" aca="true" ref="S14" ca="true">COUNTIFS('Unit-Level Data'!$L:$L, "&gt;=" &amp; ($X$2 - Q$5),
          'Unit-Level Data'!$L:$L, "&lt;" &amp; $X$2,
          'Unit-Level Data'!$D:$D, INDIRECT("C"&amp;ROW()),
          'Unit-Level Data'!$B:$B, INDIRECT("B"&amp;ROW()))</f>
        <v>0</v>
      </c>
      <c r="T14" s="738" t="str" cm="1">
        <f t="array" aca="true" ref="T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 s="760" t="str" cm="1">
        <f t="array" aca="true" ref="U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 s="733" cm="1">
        <f t="array" aca="true" ref="V14" ca="true">COUNTIFS('Unit-Level Data'!$L:$L, "&gt;=" &amp; ($X$2 - T$5),
          'Unit-Level Data'!$L:$L, "&lt;" &amp; $X$2,
          'Unit-Level Data'!$D:$D, INDIRECT("C"&amp;ROW()),
          'Unit-Level Data'!$B:$B, INDIRECT("B"&amp;ROW()))</f>
        <v>0</v>
      </c>
      <c r="W14" s="738" t="str" cm="1">
        <f t="array" aca="true" ref="W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 s="760" t="str" cm="1">
        <f t="array" aca="true" ref="X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 s="733" cm="1">
        <f t="array" aca="true" ref="Y14" ca="true">COUNTIFS('Unit-Level Data'!$L:$L, "&gt;=" &amp; ($X$2 - W$5),
          'Unit-Level Data'!$L:$L, "&lt;" &amp; $X$2,
          'Unit-Level Data'!$D:$D, INDIRECT("C"&amp;ROW()),
          'Unit-Level Data'!$B:$B, INDIRECT("B"&amp;ROW()))</f>
        <v>0</v>
      </c>
      <c r="Z14" s="761"/>
      <c r="AA14" s="735" cm="1">
        <f t="array" aca="true" ref="AA14" ca="true">IFERROR(AVERAGEIFS(
  unit_details[Sqft],
  unit_details[Property Name], INDIRECT("B"&amp;ROW()),
  unit_details[Floorplan Name], INDIRECT("C"&amp;ROW()),
  unit_details[Beds], INDIRECT("D"&amp;ROW()),
  unit_details[Detected Unit Amenities], "*"&amp;$AB$3&amp;"*",
  unit_details[Leased Date], "&gt;=" &amp; ($X$2 - $AD$3)
),0)</f>
        <v>0</v>
      </c>
      <c r="AB14" s="734" cm="1">
        <f t="array" aca="true" ref="AB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 s="733" cm="1">
        <f t="array" aca="true" ref="AC14" ca="true">IFERROR(COUNTIFS(
  unit_details[Property Name], INDIRECT("B"&amp;ROW()),
  unit_details[Floorplan Name], INDIRECT("C"&amp;ROW()),
  unit_details[Beds], INDIRECT("D"&amp;ROW()),
  unit_details[Detected Unit Amenities], "*"&amp;$AB$3&amp;"*",
  unit_details[Leased Date], "&gt;=" &amp; ($X$2 - $AD$3)
),0)</f>
        <v>0</v>
      </c>
      <c r="AD14" s="735" cm="1">
        <f t="array" aca="true" ref="AD14" ca="true">IFERROR(AVERAGEIFS(
  unit_details[Sqft],
  unit_details[Property Name], INDIRECT("B"&amp;ROW()),
  unit_details[Floorplan Name], INDIRECT("C"&amp;ROW()),
  unit_details[Beds], INDIRECT("D"&amp;ROW()),
  unit_details[Detected Unit Amenities], "&lt;&gt;*"&amp;$AB$3&amp;"*",
  unit_details[Leased Date], "&gt;=" &amp; ($X$2 - $AD$3)
),0)</f>
        <v>0</v>
      </c>
      <c r="AE14" s="734" cm="1">
        <f t="array" aca="true" ref="AE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 s="733" cm="1">
        <f t="array" aca="true" ref="AF14" ca="true">IFERROR(COUNTIFS(
  unit_details[Property Name], INDIRECT("B"&amp;ROW()),
  unit_details[Floorplan Name], INDIRECT("C"&amp;ROW()),
  unit_details[Beds], INDIRECT("D"&amp;ROW()),
  unit_details[Detected Unit Amenities], "&lt;&gt;*"&amp;$AB$3&amp;"*",
  unit_details[Leased Date], "&gt;=" &amp; ($X$2 - $AD$3)
),0)</f>
        <v>0</v>
      </c>
      <c r="AG14" s="735"/>
      <c r="AH14" s="738">
        <f t="shared" ca="true" si="2"/>
        <v>0</v>
      </c>
      <c r="AI14" s="739">
        <f t="shared" ca="true" si="3"/>
        <v>0</v>
      </c>
    </row>
    <row r="15" spans="2:35">
      <c r="B15" s="1" t="s">
        <v>1217</v>
      </c>
      <c r="C15" s="80" t="s">
        <v>1259</v>
      </c>
      <c r="D15" s="4">
        <v>2</v>
      </c>
      <c r="E15" s="303">
        <v>1</v>
      </c>
      <c r="F15" s="303"/>
      <c r="G15" s="4">
        <v>184</v>
      </c>
      <c r="H15" s="4">
        <v>86.1047619047619</v>
      </c>
      <c r="I15" s="4">
        <v>975</v>
      </c>
      <c r="J15" s="345">
        <v>1364.9907407407406</v>
      </c>
      <c r="K15" s="6">
        <v>1.3999905033238367</v>
      </c>
      <c r="L15" s="5">
        <v>1353.0277777777778</v>
      </c>
      <c r="M15" s="6">
        <v>1.3877207977207977</v>
      </c>
      <c r="N15" s="738" t="str" cm="1">
        <f t="array" aca="true" ref="N15" ca="true">IFERROR(IF($O$3="Chunk Rent",
AVERAGEIFS('Unit-Level Data'!$O:$O,'Unit-Level Data'!$M:$M,TRUE,
          'Unit-Level Data'!$D:$D, INDIRECT("C"&amp;ROW()),
          'Unit-Level Data'!$B:$B, INDIRECT("B"&amp;ROW())),
AVERAGEIFS('Unit-Level Data'!$P:$P,'Unit-Level Data'!$M:$M,TRUE,
          'Unit-Level Data'!$D:$D, INDIRECT("C"&amp;ROW()),
          'Unit-Level Data'!$B:$B, INDIRECT("B"&amp;ROW()))),"")</f>
      </c>
      <c r="O15" s="760" t="str" cm="1">
        <f t="array" aca="true" ref="O15" ca="true">IFERROR(IF($O$3="Chunk Rent",
AVERAGEIFS('Unit-Level Data'!$Q:$Q,'Unit-Level Data'!$M:$M,TRUE,
          'Unit-Level Data'!$D:$D, INDIRECT("C"&amp;ROW()),
          'Unit-Level Data'!$B:$B, INDIRECT("B"&amp;ROW())),
AVERAGEIFS('Unit-Level Data'!$R:$R,'Unit-Level Data'!$M:$M,TRUE,
          'Unit-Level Data'!$D:$D, INDIRECT("C"&amp;ROW()),
          'Unit-Level Data'!$B:$B, INDIRECT("B"&amp;ROW()))),"")</f>
      </c>
      <c r="P15" s="733" cm="1">
        <f t="array" aca="true" ref="P15" ca="true">COUNTIFS('Unit-Level Data'!$M:$M,TRUE,
          'Unit-Level Data'!$D:$D, INDIRECT("C"&amp;ROW()),
          'Unit-Level Data'!$B:$B, INDIRECT("B"&amp;ROW()))</f>
        <v>0</v>
      </c>
      <c r="Q15" s="738" t="str" cm="1">
        <f t="array" aca="true" ref="Q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 s="760" t="str" cm="1">
        <f t="array" aca="true" ref="R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 s="733" cm="1">
        <f t="array" aca="true" ref="S15" ca="true">COUNTIFS('Unit-Level Data'!$L:$L, "&gt;=" &amp; ($X$2 - Q$5),
          'Unit-Level Data'!$L:$L, "&lt;" &amp; $X$2,
          'Unit-Level Data'!$D:$D, INDIRECT("C"&amp;ROW()),
          'Unit-Level Data'!$B:$B, INDIRECT("B"&amp;ROW()))</f>
        <v>0</v>
      </c>
      <c r="T15" s="738" t="str" cm="1">
        <f t="array" aca="true" ref="T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 s="760" t="str" cm="1">
        <f t="array" aca="true" ref="U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 s="733" cm="1">
        <f t="array" aca="true" ref="V15" ca="true">COUNTIFS('Unit-Level Data'!$L:$L, "&gt;=" &amp; ($X$2 - T$5),
          'Unit-Level Data'!$L:$L, "&lt;" &amp; $X$2,
          'Unit-Level Data'!$D:$D, INDIRECT("C"&amp;ROW()),
          'Unit-Level Data'!$B:$B, INDIRECT("B"&amp;ROW()))</f>
        <v>0</v>
      </c>
      <c r="W15" s="738" t="str" cm="1">
        <f t="array" aca="true" ref="W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 s="760" t="str" cm="1">
        <f t="array" aca="true" ref="X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 s="733" cm="1">
        <f t="array" aca="true" ref="Y15" ca="true">COUNTIFS('Unit-Level Data'!$L:$L, "&gt;=" &amp; ($X$2 - W$5),
          'Unit-Level Data'!$L:$L, "&lt;" &amp; $X$2,
          'Unit-Level Data'!$D:$D, INDIRECT("C"&amp;ROW()),
          'Unit-Level Data'!$B:$B, INDIRECT("B"&amp;ROW()))</f>
        <v>0</v>
      </c>
      <c r="Z15" s="761"/>
      <c r="AA15" s="735" cm="1">
        <f t="array" aca="true" ref="AA15" ca="true">IFERROR(AVERAGEIFS(
  unit_details[Sqft],
  unit_details[Property Name], INDIRECT("B"&amp;ROW()),
  unit_details[Floorplan Name], INDIRECT("C"&amp;ROW()),
  unit_details[Beds], INDIRECT("D"&amp;ROW()),
  unit_details[Detected Unit Amenities], "*"&amp;$AB$3&amp;"*",
  unit_details[Leased Date], "&gt;=" &amp; ($X$2 - $AD$3)
),0)</f>
        <v>0</v>
      </c>
      <c r="AB15" s="734" cm="1">
        <f t="array" aca="true" ref="AB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 s="733" cm="1">
        <f t="array" aca="true" ref="AC15" ca="true">IFERROR(COUNTIFS(
  unit_details[Property Name], INDIRECT("B"&amp;ROW()),
  unit_details[Floorplan Name], INDIRECT("C"&amp;ROW()),
  unit_details[Beds], INDIRECT("D"&amp;ROW()),
  unit_details[Detected Unit Amenities], "*"&amp;$AB$3&amp;"*",
  unit_details[Leased Date], "&gt;=" &amp; ($X$2 - $AD$3)
),0)</f>
        <v>0</v>
      </c>
      <c r="AD15" s="735" cm="1">
        <f t="array" aca="true" ref="AD15" ca="true">IFERROR(AVERAGEIFS(
  unit_details[Sqft],
  unit_details[Property Name], INDIRECT("B"&amp;ROW()),
  unit_details[Floorplan Name], INDIRECT("C"&amp;ROW()),
  unit_details[Beds], INDIRECT("D"&amp;ROW()),
  unit_details[Detected Unit Amenities], "&lt;&gt;*"&amp;$AB$3&amp;"*",
  unit_details[Leased Date], "&gt;=" &amp; ($X$2 - $AD$3)
),0)</f>
        <v>0</v>
      </c>
      <c r="AE15" s="734" cm="1">
        <f t="array" aca="true" ref="AE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 s="733" cm="1">
        <f t="array" aca="true" ref="AF15" ca="true">IFERROR(COUNTIFS(
  unit_details[Property Name], INDIRECT("B"&amp;ROW()),
  unit_details[Floorplan Name], INDIRECT("C"&amp;ROW()),
  unit_details[Beds], INDIRECT("D"&amp;ROW()),
  unit_details[Detected Unit Amenities], "&lt;&gt;*"&amp;$AB$3&amp;"*",
  unit_details[Leased Date], "&gt;=" &amp; ($X$2 - $AD$3)
),0)</f>
        <v>0</v>
      </c>
      <c r="AG15" s="735"/>
      <c r="AH15" s="738">
        <f t="shared" ca="true" si="2"/>
        <v>0</v>
      </c>
      <c r="AI15" s="739">
        <f t="shared" ca="true" si="3"/>
        <v>0</v>
      </c>
    </row>
    <row r="16" spans="2:35">
      <c r="B16" s="1" t="s">
        <v>1217</v>
      </c>
      <c r="C16" s="80" t="s">
        <v>1260</v>
      </c>
      <c r="D16" s="4">
        <v>2</v>
      </c>
      <c r="E16" s="303">
        <v>1</v>
      </c>
      <c r="F16" s="303"/>
      <c r="G16" s="4">
        <v>29</v>
      </c>
      <c r="H16" s="4">
        <v>36.75</v>
      </c>
      <c r="I16" s="4">
        <v>975</v>
      </c>
      <c r="J16" s="345">
        <v>1357.6470588235295</v>
      </c>
      <c r="K16" s="6">
        <v>1.3924585218702865</v>
      </c>
      <c r="L16" s="5">
        <v>1291.1764705882354</v>
      </c>
      <c r="M16" s="6">
        <v>1.3242835595776772</v>
      </c>
      <c r="N16" s="738" t="str" cm="1">
        <f t="array" aca="true" ref="N16" ca="true">IFERROR(IF($O$3="Chunk Rent",
AVERAGEIFS('Unit-Level Data'!$O:$O,'Unit-Level Data'!$M:$M,TRUE,
          'Unit-Level Data'!$D:$D, INDIRECT("C"&amp;ROW()),
          'Unit-Level Data'!$B:$B, INDIRECT("B"&amp;ROW())),
AVERAGEIFS('Unit-Level Data'!$P:$P,'Unit-Level Data'!$M:$M,TRUE,
          'Unit-Level Data'!$D:$D, INDIRECT("C"&amp;ROW()),
          'Unit-Level Data'!$B:$B, INDIRECT("B"&amp;ROW()))),"")</f>
      </c>
      <c r="O16" s="760" t="str" cm="1">
        <f t="array" aca="true" ref="O16" ca="true">IFERROR(IF($O$3="Chunk Rent",
AVERAGEIFS('Unit-Level Data'!$Q:$Q,'Unit-Level Data'!$M:$M,TRUE,
          'Unit-Level Data'!$D:$D, INDIRECT("C"&amp;ROW()),
          'Unit-Level Data'!$B:$B, INDIRECT("B"&amp;ROW())),
AVERAGEIFS('Unit-Level Data'!$R:$R,'Unit-Level Data'!$M:$M,TRUE,
          'Unit-Level Data'!$D:$D, INDIRECT("C"&amp;ROW()),
          'Unit-Level Data'!$B:$B, INDIRECT("B"&amp;ROW()))),"")</f>
      </c>
      <c r="P16" s="733" cm="1">
        <f t="array" aca="true" ref="P16" ca="true">COUNTIFS('Unit-Level Data'!$M:$M,TRUE,
          'Unit-Level Data'!$D:$D, INDIRECT("C"&amp;ROW()),
          'Unit-Level Data'!$B:$B, INDIRECT("B"&amp;ROW()))</f>
        <v>0</v>
      </c>
      <c r="Q16" s="738" t="str" cm="1">
        <f t="array" aca="true" ref="Q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 s="760" t="str" cm="1">
        <f t="array" aca="true" ref="R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 s="733" cm="1">
        <f t="array" aca="true" ref="S16" ca="true">COUNTIFS('Unit-Level Data'!$L:$L, "&gt;=" &amp; ($X$2 - Q$5),
          'Unit-Level Data'!$L:$L, "&lt;" &amp; $X$2,
          'Unit-Level Data'!$D:$D, INDIRECT("C"&amp;ROW()),
          'Unit-Level Data'!$B:$B, INDIRECT("B"&amp;ROW()))</f>
        <v>0</v>
      </c>
      <c r="T16" s="738" t="str" cm="1">
        <f t="array" aca="true" ref="T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 s="760" t="str" cm="1">
        <f t="array" aca="true" ref="U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 s="733" cm="1">
        <f t="array" aca="true" ref="V16" ca="true">COUNTIFS('Unit-Level Data'!$L:$L, "&gt;=" &amp; ($X$2 - T$5),
          'Unit-Level Data'!$L:$L, "&lt;" &amp; $X$2,
          'Unit-Level Data'!$D:$D, INDIRECT("C"&amp;ROW()),
          'Unit-Level Data'!$B:$B, INDIRECT("B"&amp;ROW()))</f>
        <v>0</v>
      </c>
      <c r="W16" s="738" t="str" cm="1">
        <f t="array" aca="true" ref="W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 s="760" t="str" cm="1">
        <f t="array" aca="true" ref="X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 s="733" cm="1">
        <f t="array" aca="true" ref="Y16" ca="true">COUNTIFS('Unit-Level Data'!$L:$L, "&gt;=" &amp; ($X$2 - W$5),
          'Unit-Level Data'!$L:$L, "&lt;" &amp; $X$2,
          'Unit-Level Data'!$D:$D, INDIRECT("C"&amp;ROW()),
          'Unit-Level Data'!$B:$B, INDIRECT("B"&amp;ROW()))</f>
        <v>0</v>
      </c>
      <c r="Z16" s="761"/>
      <c r="AA16" s="735" cm="1">
        <f t="array" aca="true" ref="AA16" ca="true">IFERROR(AVERAGEIFS(
  unit_details[Sqft],
  unit_details[Property Name], INDIRECT("B"&amp;ROW()),
  unit_details[Floorplan Name], INDIRECT("C"&amp;ROW()),
  unit_details[Beds], INDIRECT("D"&amp;ROW()),
  unit_details[Detected Unit Amenities], "*"&amp;$AB$3&amp;"*",
  unit_details[Leased Date], "&gt;=" &amp; ($X$2 - $AD$3)
),0)</f>
        <v>0</v>
      </c>
      <c r="AB16" s="734" cm="1">
        <f t="array" aca="true" ref="AB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 s="733" cm="1">
        <f t="array" aca="true" ref="AC16" ca="true">IFERROR(COUNTIFS(
  unit_details[Property Name], INDIRECT("B"&amp;ROW()),
  unit_details[Floorplan Name], INDIRECT("C"&amp;ROW()),
  unit_details[Beds], INDIRECT("D"&amp;ROW()),
  unit_details[Detected Unit Amenities], "*"&amp;$AB$3&amp;"*",
  unit_details[Leased Date], "&gt;=" &amp; ($X$2 - $AD$3)
),0)</f>
        <v>0</v>
      </c>
      <c r="AD16" s="735" cm="1">
        <f t="array" aca="true" ref="AD16" ca="true">IFERROR(AVERAGEIFS(
  unit_details[Sqft],
  unit_details[Property Name], INDIRECT("B"&amp;ROW()),
  unit_details[Floorplan Name], INDIRECT("C"&amp;ROW()),
  unit_details[Beds], INDIRECT("D"&amp;ROW()),
  unit_details[Detected Unit Amenities], "&lt;&gt;*"&amp;$AB$3&amp;"*",
  unit_details[Leased Date], "&gt;=" &amp; ($X$2 - $AD$3)
),0)</f>
        <v>0</v>
      </c>
      <c r="AE16" s="734" cm="1">
        <f t="array" aca="true" ref="AE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 s="733" cm="1">
        <f t="array" aca="true" ref="AF16" ca="true">IFERROR(COUNTIFS(
  unit_details[Property Name], INDIRECT("B"&amp;ROW()),
  unit_details[Floorplan Name], INDIRECT("C"&amp;ROW()),
  unit_details[Beds], INDIRECT("D"&amp;ROW()),
  unit_details[Detected Unit Amenities], "&lt;&gt;*"&amp;$AB$3&amp;"*",
  unit_details[Leased Date], "&gt;=" &amp; ($X$2 - $AD$3)
),0)</f>
        <v>0</v>
      </c>
      <c r="AG16" s="735"/>
      <c r="AH16" s="738">
        <f t="shared" ca="true" si="2"/>
        <v>0</v>
      </c>
      <c r="AI16" s="739">
        <f t="shared" ca="true" si="3"/>
        <v>0</v>
      </c>
    </row>
    <row r="17" spans="2:35">
      <c r="B17" s="1" t="s">
        <v>1217</v>
      </c>
      <c r="C17" s="80" t="s">
        <v>1261</v>
      </c>
      <c r="D17" s="4">
        <v>2</v>
      </c>
      <c r="E17" s="303">
        <v>1</v>
      </c>
      <c r="F17" s="303"/>
      <c r="G17" s="4">
        <v>8</v>
      </c>
      <c r="H17" s="4">
        <v>70.75</v>
      </c>
      <c r="I17" s="4">
        <v>975</v>
      </c>
      <c r="J17" s="345">
        <v>1398</v>
      </c>
      <c r="K17" s="6">
        <v>1.4338461538461538</v>
      </c>
      <c r="L17" s="5">
        <v>1398</v>
      </c>
      <c r="M17" s="6">
        <v>1.4338461538461538</v>
      </c>
      <c r="N17" s="738" t="str" cm="1">
        <f t="array" aca="true" ref="N17" ca="true">IFERROR(IF($O$3="Chunk Rent",
AVERAGEIFS('Unit-Level Data'!$O:$O,'Unit-Level Data'!$M:$M,TRUE,
          'Unit-Level Data'!$D:$D, INDIRECT("C"&amp;ROW()),
          'Unit-Level Data'!$B:$B, INDIRECT("B"&amp;ROW())),
AVERAGEIFS('Unit-Level Data'!$P:$P,'Unit-Level Data'!$M:$M,TRUE,
          'Unit-Level Data'!$D:$D, INDIRECT("C"&amp;ROW()),
          'Unit-Level Data'!$B:$B, INDIRECT("B"&amp;ROW()))),"")</f>
      </c>
      <c r="O17" s="760" t="str" cm="1">
        <f t="array" aca="true" ref="O17" ca="true">IFERROR(IF($O$3="Chunk Rent",
AVERAGEIFS('Unit-Level Data'!$Q:$Q,'Unit-Level Data'!$M:$M,TRUE,
          'Unit-Level Data'!$D:$D, INDIRECT("C"&amp;ROW()),
          'Unit-Level Data'!$B:$B, INDIRECT("B"&amp;ROW())),
AVERAGEIFS('Unit-Level Data'!$R:$R,'Unit-Level Data'!$M:$M,TRUE,
          'Unit-Level Data'!$D:$D, INDIRECT("C"&amp;ROW()),
          'Unit-Level Data'!$B:$B, INDIRECT("B"&amp;ROW()))),"")</f>
      </c>
      <c r="P17" s="733" cm="1">
        <f t="array" aca="true" ref="P17" ca="true">COUNTIFS('Unit-Level Data'!$M:$M,TRUE,
          'Unit-Level Data'!$D:$D, INDIRECT("C"&amp;ROW()),
          'Unit-Level Data'!$B:$B, INDIRECT("B"&amp;ROW()))</f>
        <v>0</v>
      </c>
      <c r="Q17" s="738" t="str" cm="1">
        <f t="array" aca="true" ref="Q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 s="760" t="str" cm="1">
        <f t="array" aca="true" ref="R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 s="733" cm="1">
        <f t="array" aca="true" ref="S17" ca="true">COUNTIFS('Unit-Level Data'!$L:$L, "&gt;=" &amp; ($X$2 - Q$5),
          'Unit-Level Data'!$L:$L, "&lt;" &amp; $X$2,
          'Unit-Level Data'!$D:$D, INDIRECT("C"&amp;ROW()),
          'Unit-Level Data'!$B:$B, INDIRECT("B"&amp;ROW()))</f>
        <v>0</v>
      </c>
      <c r="T17" s="738" t="str" cm="1">
        <f t="array" aca="true" ref="T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 s="760" t="str" cm="1">
        <f t="array" aca="true" ref="U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 s="733" cm="1">
        <f t="array" aca="true" ref="V17" ca="true">COUNTIFS('Unit-Level Data'!$L:$L, "&gt;=" &amp; ($X$2 - T$5),
          'Unit-Level Data'!$L:$L, "&lt;" &amp; $X$2,
          'Unit-Level Data'!$D:$D, INDIRECT("C"&amp;ROW()),
          'Unit-Level Data'!$B:$B, INDIRECT("B"&amp;ROW()))</f>
        <v>0</v>
      </c>
      <c r="W17" s="738" t="str" cm="1">
        <f t="array" aca="true" ref="W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 s="760" t="str" cm="1">
        <f t="array" aca="true" ref="X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 s="733" cm="1">
        <f t="array" aca="true" ref="Y17" ca="true">COUNTIFS('Unit-Level Data'!$L:$L, "&gt;=" &amp; ($X$2 - W$5),
          'Unit-Level Data'!$L:$L, "&lt;" &amp; $X$2,
          'Unit-Level Data'!$D:$D, INDIRECT("C"&amp;ROW()),
          'Unit-Level Data'!$B:$B, INDIRECT("B"&amp;ROW()))</f>
        <v>0</v>
      </c>
      <c r="Z17" s="761"/>
      <c r="AA17" s="735" cm="1">
        <f t="array" aca="true" ref="AA17" ca="true">IFERROR(AVERAGEIFS(
  unit_details[Sqft],
  unit_details[Property Name], INDIRECT("B"&amp;ROW()),
  unit_details[Floorplan Name], INDIRECT("C"&amp;ROW()),
  unit_details[Beds], INDIRECT("D"&amp;ROW()),
  unit_details[Detected Unit Amenities], "*"&amp;$AB$3&amp;"*",
  unit_details[Leased Date], "&gt;=" &amp; ($X$2 - $AD$3)
),0)</f>
        <v>0</v>
      </c>
      <c r="AB17" s="734" cm="1">
        <f t="array" aca="true" ref="AB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 s="733" cm="1">
        <f t="array" aca="true" ref="AC17" ca="true">IFERROR(COUNTIFS(
  unit_details[Property Name], INDIRECT("B"&amp;ROW()),
  unit_details[Floorplan Name], INDIRECT("C"&amp;ROW()),
  unit_details[Beds], INDIRECT("D"&amp;ROW()),
  unit_details[Detected Unit Amenities], "*"&amp;$AB$3&amp;"*",
  unit_details[Leased Date], "&gt;=" &amp; ($X$2 - $AD$3)
),0)</f>
        <v>0</v>
      </c>
      <c r="AD17" s="735" cm="1">
        <f t="array" aca="true" ref="AD17" ca="true">IFERROR(AVERAGEIFS(
  unit_details[Sqft],
  unit_details[Property Name], INDIRECT("B"&amp;ROW()),
  unit_details[Floorplan Name], INDIRECT("C"&amp;ROW()),
  unit_details[Beds], INDIRECT("D"&amp;ROW()),
  unit_details[Detected Unit Amenities], "&lt;&gt;*"&amp;$AB$3&amp;"*",
  unit_details[Leased Date], "&gt;=" &amp; ($X$2 - $AD$3)
),0)</f>
        <v>0</v>
      </c>
      <c r="AE17" s="734" cm="1">
        <f t="array" aca="true" ref="AE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 s="733" cm="1">
        <f t="array" aca="true" ref="AF17" ca="true">IFERROR(COUNTIFS(
  unit_details[Property Name], INDIRECT("B"&amp;ROW()),
  unit_details[Floorplan Name], INDIRECT("C"&amp;ROW()),
  unit_details[Beds], INDIRECT("D"&amp;ROW()),
  unit_details[Detected Unit Amenities], "&lt;&gt;*"&amp;$AB$3&amp;"*",
  unit_details[Leased Date], "&gt;=" &amp; ($X$2 - $AD$3)
),0)</f>
        <v>0</v>
      </c>
      <c r="AG17" s="735"/>
      <c r="AH17" s="738">
        <f t="shared" ca="true" si="2"/>
        <v>0</v>
      </c>
      <c r="AI17" s="739">
        <f t="shared" ca="true" si="3"/>
        <v>0</v>
      </c>
    </row>
    <row r="18" spans="2:35">
      <c r="B18" s="1" t="s">
        <v>1217</v>
      </c>
      <c r="C18" s="80" t="s">
        <v>1262</v>
      </c>
      <c r="D18" s="4">
        <v>2</v>
      </c>
      <c r="E18" s="303">
        <v>1</v>
      </c>
      <c r="F18" s="303"/>
      <c r="G18" s="4">
        <v>3</v>
      </c>
      <c r="H18" s="4">
        <v>81.5</v>
      </c>
      <c r="I18" s="4">
        <v>1020</v>
      </c>
      <c r="J18" s="345">
        <v>1422.5</v>
      </c>
      <c r="K18" s="6">
        <v>1.3946078431372548</v>
      </c>
      <c r="L18" s="5">
        <v>1378</v>
      </c>
      <c r="M18" s="6">
        <v>1.3509803921568628</v>
      </c>
      <c r="N18" s="738" t="str" cm="1">
        <f t="array" aca="true" ref="N18" ca="true">IFERROR(IF($O$3="Chunk Rent",
AVERAGEIFS('Unit-Level Data'!$O:$O,'Unit-Level Data'!$M:$M,TRUE,
          'Unit-Level Data'!$D:$D, INDIRECT("C"&amp;ROW()),
          'Unit-Level Data'!$B:$B, INDIRECT("B"&amp;ROW())),
AVERAGEIFS('Unit-Level Data'!$P:$P,'Unit-Level Data'!$M:$M,TRUE,
          'Unit-Level Data'!$D:$D, INDIRECT("C"&amp;ROW()),
          'Unit-Level Data'!$B:$B, INDIRECT("B"&amp;ROW()))),"")</f>
      </c>
      <c r="O18" s="760" t="str" cm="1">
        <f t="array" aca="true" ref="O18" ca="true">IFERROR(IF($O$3="Chunk Rent",
AVERAGEIFS('Unit-Level Data'!$Q:$Q,'Unit-Level Data'!$M:$M,TRUE,
          'Unit-Level Data'!$D:$D, INDIRECT("C"&amp;ROW()),
          'Unit-Level Data'!$B:$B, INDIRECT("B"&amp;ROW())),
AVERAGEIFS('Unit-Level Data'!$R:$R,'Unit-Level Data'!$M:$M,TRUE,
          'Unit-Level Data'!$D:$D, INDIRECT("C"&amp;ROW()),
          'Unit-Level Data'!$B:$B, INDIRECT("B"&amp;ROW()))),"")</f>
      </c>
      <c r="P18" s="733" cm="1">
        <f t="array" aca="true" ref="P18" ca="true">COUNTIFS('Unit-Level Data'!$M:$M,TRUE,
          'Unit-Level Data'!$D:$D, INDIRECT("C"&amp;ROW()),
          'Unit-Level Data'!$B:$B, INDIRECT("B"&amp;ROW()))</f>
        <v>0</v>
      </c>
      <c r="Q18" s="738" t="str" cm="1">
        <f t="array" aca="true" ref="Q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 s="760" t="str" cm="1">
        <f t="array" aca="true" ref="R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 s="733" cm="1">
        <f t="array" aca="true" ref="S18" ca="true">COUNTIFS('Unit-Level Data'!$L:$L, "&gt;=" &amp; ($X$2 - Q$5),
          'Unit-Level Data'!$L:$L, "&lt;" &amp; $X$2,
          'Unit-Level Data'!$D:$D, INDIRECT("C"&amp;ROW()),
          'Unit-Level Data'!$B:$B, INDIRECT("B"&amp;ROW()))</f>
        <v>0</v>
      </c>
      <c r="T18" s="738" t="str" cm="1">
        <f t="array" aca="true" ref="T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 s="760" t="str" cm="1">
        <f t="array" aca="true" ref="U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 s="733" cm="1">
        <f t="array" aca="true" ref="V18" ca="true">COUNTIFS('Unit-Level Data'!$L:$L, "&gt;=" &amp; ($X$2 - T$5),
          'Unit-Level Data'!$L:$L, "&lt;" &amp; $X$2,
          'Unit-Level Data'!$D:$D, INDIRECT("C"&amp;ROW()),
          'Unit-Level Data'!$B:$B, INDIRECT("B"&amp;ROW()))</f>
        <v>0</v>
      </c>
      <c r="W18" s="738" t="str" cm="1">
        <f t="array" aca="true" ref="W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 s="760" t="str" cm="1">
        <f t="array" aca="true" ref="X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 s="733" cm="1">
        <f t="array" aca="true" ref="Y18" ca="true">COUNTIFS('Unit-Level Data'!$L:$L, "&gt;=" &amp; ($X$2 - W$5),
          'Unit-Level Data'!$L:$L, "&lt;" &amp; $X$2,
          'Unit-Level Data'!$D:$D, INDIRECT("C"&amp;ROW()),
          'Unit-Level Data'!$B:$B, INDIRECT("B"&amp;ROW()))</f>
        <v>0</v>
      </c>
      <c r="Z18" s="761"/>
      <c r="AA18" s="735" cm="1">
        <f t="array" aca="true" ref="AA18" ca="true">IFERROR(AVERAGEIFS(
  unit_details[Sqft],
  unit_details[Property Name], INDIRECT("B"&amp;ROW()),
  unit_details[Floorplan Name], INDIRECT("C"&amp;ROW()),
  unit_details[Beds], INDIRECT("D"&amp;ROW()),
  unit_details[Detected Unit Amenities], "*"&amp;$AB$3&amp;"*",
  unit_details[Leased Date], "&gt;=" &amp; ($X$2 - $AD$3)
),0)</f>
        <v>0</v>
      </c>
      <c r="AB18" s="734" cm="1">
        <f t="array" aca="true" ref="AB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 s="733" cm="1">
        <f t="array" aca="true" ref="AC18" ca="true">IFERROR(COUNTIFS(
  unit_details[Property Name], INDIRECT("B"&amp;ROW()),
  unit_details[Floorplan Name], INDIRECT("C"&amp;ROW()),
  unit_details[Beds], INDIRECT("D"&amp;ROW()),
  unit_details[Detected Unit Amenities], "*"&amp;$AB$3&amp;"*",
  unit_details[Leased Date], "&gt;=" &amp; ($X$2 - $AD$3)
),0)</f>
        <v>0</v>
      </c>
      <c r="AD18" s="735" cm="1">
        <f t="array" aca="true" ref="AD18" ca="true">IFERROR(AVERAGEIFS(
  unit_details[Sqft],
  unit_details[Property Name], INDIRECT("B"&amp;ROW()),
  unit_details[Floorplan Name], INDIRECT("C"&amp;ROW()),
  unit_details[Beds], INDIRECT("D"&amp;ROW()),
  unit_details[Detected Unit Amenities], "&lt;&gt;*"&amp;$AB$3&amp;"*",
  unit_details[Leased Date], "&gt;=" &amp; ($X$2 - $AD$3)
),0)</f>
        <v>0</v>
      </c>
      <c r="AE18" s="734" cm="1">
        <f t="array" aca="true" ref="AE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 s="733" cm="1">
        <f t="array" aca="true" ref="AF18" ca="true">IFERROR(COUNTIFS(
  unit_details[Property Name], INDIRECT("B"&amp;ROW()),
  unit_details[Floorplan Name], INDIRECT("C"&amp;ROW()),
  unit_details[Beds], INDIRECT("D"&amp;ROW()),
  unit_details[Detected Unit Amenities], "&lt;&gt;*"&amp;$AB$3&amp;"*",
  unit_details[Leased Date], "&gt;=" &amp; ($X$2 - $AD$3)
),0)</f>
        <v>0</v>
      </c>
      <c r="AG18" s="735"/>
      <c r="AH18" s="738">
        <f t="shared" ca="true" si="2"/>
        <v>0</v>
      </c>
      <c r="AI18" s="739">
        <f t="shared" ca="true" si="3"/>
        <v>0</v>
      </c>
    </row>
    <row r="19" spans="2:35">
      <c r="B19" s="1" t="s">
        <v>1218</v>
      </c>
      <c r="C19" s="80" t="s">
        <v>1264</v>
      </c>
      <c r="D19" s="4">
        <v>1</v>
      </c>
      <c r="E19" s="303">
        <v>1</v>
      </c>
      <c r="F19" s="303"/>
      <c r="G19" s="4">
        <v>114</v>
      </c>
      <c r="H19" s="4">
        <v>289</v>
      </c>
      <c r="I19" s="4">
        <v>600</v>
      </c>
      <c r="J19" s="345">
        <v>1065</v>
      </c>
      <c r="K19" s="6">
        <v>1.775</v>
      </c>
      <c r="L19" s="5">
        <v>1065</v>
      </c>
      <c r="M19" s="6">
        <v>1.775</v>
      </c>
      <c r="N19" s="738" t="str" cm="1">
        <f t="array" aca="true" ref="N19" ca="true">IFERROR(IF($O$3="Chunk Rent",
AVERAGEIFS('Unit-Level Data'!$O:$O,'Unit-Level Data'!$M:$M,TRUE,
          'Unit-Level Data'!$D:$D, INDIRECT("C"&amp;ROW()),
          'Unit-Level Data'!$B:$B, INDIRECT("B"&amp;ROW())),
AVERAGEIFS('Unit-Level Data'!$P:$P,'Unit-Level Data'!$M:$M,TRUE,
          'Unit-Level Data'!$D:$D, INDIRECT("C"&amp;ROW()),
          'Unit-Level Data'!$B:$B, INDIRECT("B"&amp;ROW()))),"")</f>
      </c>
      <c r="O19" s="760" t="str" cm="1">
        <f t="array" aca="true" ref="O19" ca="true">IFERROR(IF($O$3="Chunk Rent",
AVERAGEIFS('Unit-Level Data'!$Q:$Q,'Unit-Level Data'!$M:$M,TRUE,
          'Unit-Level Data'!$D:$D, INDIRECT("C"&amp;ROW()),
          'Unit-Level Data'!$B:$B, INDIRECT("B"&amp;ROW())),
AVERAGEIFS('Unit-Level Data'!$R:$R,'Unit-Level Data'!$M:$M,TRUE,
          'Unit-Level Data'!$D:$D, INDIRECT("C"&amp;ROW()),
          'Unit-Level Data'!$B:$B, INDIRECT("B"&amp;ROW()))),"")</f>
      </c>
      <c r="P19" s="733" cm="1">
        <f t="array" aca="true" ref="P19" ca="true">COUNTIFS('Unit-Level Data'!$M:$M,TRUE,
          'Unit-Level Data'!$D:$D, INDIRECT("C"&amp;ROW()),
          'Unit-Level Data'!$B:$B, INDIRECT("B"&amp;ROW()))</f>
        <v>0</v>
      </c>
      <c r="Q19" s="738" t="str" cm="1">
        <f t="array" aca="true" ref="Q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 s="760" t="str" cm="1">
        <f t="array" aca="true" ref="R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 s="733" cm="1">
        <f t="array" aca="true" ref="S19" ca="true">COUNTIFS('Unit-Level Data'!$L:$L, "&gt;=" &amp; ($X$2 - Q$5),
          'Unit-Level Data'!$L:$L, "&lt;" &amp; $X$2,
          'Unit-Level Data'!$D:$D, INDIRECT("C"&amp;ROW()),
          'Unit-Level Data'!$B:$B, INDIRECT("B"&amp;ROW()))</f>
        <v>0</v>
      </c>
      <c r="T19" s="738" t="str" cm="1">
        <f t="array" aca="true" ref="T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 s="760" t="str" cm="1">
        <f t="array" aca="true" ref="U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 s="733" cm="1">
        <f t="array" aca="true" ref="V19" ca="true">COUNTIFS('Unit-Level Data'!$L:$L, "&gt;=" &amp; ($X$2 - T$5),
          'Unit-Level Data'!$L:$L, "&lt;" &amp; $X$2,
          'Unit-Level Data'!$D:$D, INDIRECT("C"&amp;ROW()),
          'Unit-Level Data'!$B:$B, INDIRECT("B"&amp;ROW()))</f>
        <v>0</v>
      </c>
      <c r="W19" s="738" t="str" cm="1">
        <f t="array" aca="true" ref="W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 s="760" t="str" cm="1">
        <f t="array" aca="true" ref="X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 s="733" cm="1">
        <f t="array" aca="true" ref="Y19" ca="true">COUNTIFS('Unit-Level Data'!$L:$L, "&gt;=" &amp; ($X$2 - W$5),
          'Unit-Level Data'!$L:$L, "&lt;" &amp; $X$2,
          'Unit-Level Data'!$D:$D, INDIRECT("C"&amp;ROW()),
          'Unit-Level Data'!$B:$B, INDIRECT("B"&amp;ROW()))</f>
        <v>0</v>
      </c>
      <c r="Z19" s="761"/>
      <c r="AA19" s="735" cm="1">
        <f t="array" aca="true" ref="AA19" ca="true">IFERROR(AVERAGEIFS(
  unit_details[Sqft],
  unit_details[Property Name], INDIRECT("B"&amp;ROW()),
  unit_details[Floorplan Name], INDIRECT("C"&amp;ROW()),
  unit_details[Beds], INDIRECT("D"&amp;ROW()),
  unit_details[Detected Unit Amenities], "*"&amp;$AB$3&amp;"*",
  unit_details[Leased Date], "&gt;=" &amp; ($X$2 - $AD$3)
),0)</f>
        <v>0</v>
      </c>
      <c r="AB19" s="734" cm="1">
        <f t="array" aca="true" ref="AB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 s="733" cm="1">
        <f t="array" aca="true" ref="AC19" ca="true">IFERROR(COUNTIFS(
  unit_details[Property Name], INDIRECT("B"&amp;ROW()),
  unit_details[Floorplan Name], INDIRECT("C"&amp;ROW()),
  unit_details[Beds], INDIRECT("D"&amp;ROW()),
  unit_details[Detected Unit Amenities], "*"&amp;$AB$3&amp;"*",
  unit_details[Leased Date], "&gt;=" &amp; ($X$2 - $AD$3)
),0)</f>
        <v>0</v>
      </c>
      <c r="AD19" s="735" cm="1">
        <f t="array" aca="true" ref="AD19" ca="true">IFERROR(AVERAGEIFS(
  unit_details[Sqft],
  unit_details[Property Name], INDIRECT("B"&amp;ROW()),
  unit_details[Floorplan Name], INDIRECT("C"&amp;ROW()),
  unit_details[Beds], INDIRECT("D"&amp;ROW()),
  unit_details[Detected Unit Amenities], "&lt;&gt;*"&amp;$AB$3&amp;"*",
  unit_details[Leased Date], "&gt;=" &amp; ($X$2 - $AD$3)
),0)</f>
        <v>0</v>
      </c>
      <c r="AE19" s="734" cm="1">
        <f t="array" aca="true" ref="AE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 s="733" cm="1">
        <f t="array" aca="true" ref="AF19" ca="true">IFERROR(COUNTIFS(
  unit_details[Property Name], INDIRECT("B"&amp;ROW()),
  unit_details[Floorplan Name], INDIRECT("C"&amp;ROW()),
  unit_details[Beds], INDIRECT("D"&amp;ROW()),
  unit_details[Detected Unit Amenities], "&lt;&gt;*"&amp;$AB$3&amp;"*",
  unit_details[Leased Date], "&gt;=" &amp; ($X$2 - $AD$3)
),0)</f>
        <v>0</v>
      </c>
      <c r="AG19" s="735"/>
      <c r="AH19" s="738">
        <f t="shared" ca="true" si="2"/>
        <v>0</v>
      </c>
      <c r="AI19" s="739">
        <f t="shared" ca="true" si="3"/>
        <v>0</v>
      </c>
    </row>
    <row r="20" spans="2:35">
      <c r="B20" s="1" t="s">
        <v>1218</v>
      </c>
      <c r="C20" s="80" t="s">
        <v>1265</v>
      </c>
      <c r="D20" s="4">
        <v>1</v>
      </c>
      <c r="E20" s="303">
        <v>1</v>
      </c>
      <c r="F20" s="303"/>
      <c r="G20" s="4">
        <v>114</v>
      </c>
      <c r="H20" s="4"/>
      <c r="I20" s="4">
        <v>600</v>
      </c>
      <c r="J20" s="345">
        <v>1170</v>
      </c>
      <c r="K20" s="6">
        <v>1.95</v>
      </c>
      <c r="L20" s="5">
        <v>1170</v>
      </c>
      <c r="M20" s="6">
        <v>1.95</v>
      </c>
      <c r="N20" s="738" t="str" cm="1">
        <f t="array" aca="true" ref="N20" ca="true">IFERROR(IF($O$3="Chunk Rent",
AVERAGEIFS('Unit-Level Data'!$O:$O,'Unit-Level Data'!$M:$M,TRUE,
          'Unit-Level Data'!$D:$D, INDIRECT("C"&amp;ROW()),
          'Unit-Level Data'!$B:$B, INDIRECT("B"&amp;ROW())),
AVERAGEIFS('Unit-Level Data'!$P:$P,'Unit-Level Data'!$M:$M,TRUE,
          'Unit-Level Data'!$D:$D, INDIRECT("C"&amp;ROW()),
          'Unit-Level Data'!$B:$B, INDIRECT("B"&amp;ROW()))),"")</f>
      </c>
      <c r="O20" s="760" t="str" cm="1">
        <f t="array" aca="true" ref="O20" ca="true">IFERROR(IF($O$3="Chunk Rent",
AVERAGEIFS('Unit-Level Data'!$Q:$Q,'Unit-Level Data'!$M:$M,TRUE,
          'Unit-Level Data'!$D:$D, INDIRECT("C"&amp;ROW()),
          'Unit-Level Data'!$B:$B, INDIRECT("B"&amp;ROW())),
AVERAGEIFS('Unit-Level Data'!$R:$R,'Unit-Level Data'!$M:$M,TRUE,
          'Unit-Level Data'!$D:$D, INDIRECT("C"&amp;ROW()),
          'Unit-Level Data'!$B:$B, INDIRECT("B"&amp;ROW()))),"")</f>
      </c>
      <c r="P20" s="733" cm="1">
        <f t="array" aca="true" ref="P20" ca="true">COUNTIFS('Unit-Level Data'!$M:$M,TRUE,
          'Unit-Level Data'!$D:$D, INDIRECT("C"&amp;ROW()),
          'Unit-Level Data'!$B:$B, INDIRECT("B"&amp;ROW()))</f>
        <v>0</v>
      </c>
      <c r="Q20" s="738" t="str" cm="1">
        <f t="array" aca="true" ref="Q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 s="760" t="str" cm="1">
        <f t="array" aca="true" ref="R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 s="733" cm="1">
        <f t="array" aca="true" ref="S20" ca="true">COUNTIFS('Unit-Level Data'!$L:$L, "&gt;=" &amp; ($X$2 - Q$5),
          'Unit-Level Data'!$L:$L, "&lt;" &amp; $X$2,
          'Unit-Level Data'!$D:$D, INDIRECT("C"&amp;ROW()),
          'Unit-Level Data'!$B:$B, INDIRECT("B"&amp;ROW()))</f>
        <v>0</v>
      </c>
      <c r="T20" s="738" t="str" cm="1">
        <f t="array" aca="true" ref="T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 s="760" t="str" cm="1">
        <f t="array" aca="true" ref="U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 s="733" cm="1">
        <f t="array" aca="true" ref="V20" ca="true">COUNTIFS('Unit-Level Data'!$L:$L, "&gt;=" &amp; ($X$2 - T$5),
          'Unit-Level Data'!$L:$L, "&lt;" &amp; $X$2,
          'Unit-Level Data'!$D:$D, INDIRECT("C"&amp;ROW()),
          'Unit-Level Data'!$B:$B, INDIRECT("B"&amp;ROW()))</f>
        <v>0</v>
      </c>
      <c r="W20" s="738" t="str" cm="1">
        <f t="array" aca="true" ref="W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 s="760" t="str" cm="1">
        <f t="array" aca="true" ref="X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 s="733" cm="1">
        <f t="array" aca="true" ref="Y20" ca="true">COUNTIFS('Unit-Level Data'!$L:$L, "&gt;=" &amp; ($X$2 - W$5),
          'Unit-Level Data'!$L:$L, "&lt;" &amp; $X$2,
          'Unit-Level Data'!$D:$D, INDIRECT("C"&amp;ROW()),
          'Unit-Level Data'!$B:$B, INDIRECT("B"&amp;ROW()))</f>
        <v>0</v>
      </c>
      <c r="Z20" s="761"/>
      <c r="AA20" s="735" cm="1">
        <f t="array" aca="true" ref="AA20" ca="true">IFERROR(AVERAGEIFS(
  unit_details[Sqft],
  unit_details[Property Name], INDIRECT("B"&amp;ROW()),
  unit_details[Floorplan Name], INDIRECT("C"&amp;ROW()),
  unit_details[Beds], INDIRECT("D"&amp;ROW()),
  unit_details[Detected Unit Amenities], "*"&amp;$AB$3&amp;"*",
  unit_details[Leased Date], "&gt;=" &amp; ($X$2 - $AD$3)
),0)</f>
        <v>0</v>
      </c>
      <c r="AB20" s="734" cm="1">
        <f t="array" aca="true" ref="AB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 s="733" cm="1">
        <f t="array" aca="true" ref="AC20" ca="true">IFERROR(COUNTIFS(
  unit_details[Property Name], INDIRECT("B"&amp;ROW()),
  unit_details[Floorplan Name], INDIRECT("C"&amp;ROW()),
  unit_details[Beds], INDIRECT("D"&amp;ROW()),
  unit_details[Detected Unit Amenities], "*"&amp;$AB$3&amp;"*",
  unit_details[Leased Date], "&gt;=" &amp; ($X$2 - $AD$3)
),0)</f>
        <v>0</v>
      </c>
      <c r="AD20" s="735" cm="1">
        <f t="array" aca="true" ref="AD20" ca="true">IFERROR(AVERAGEIFS(
  unit_details[Sqft],
  unit_details[Property Name], INDIRECT("B"&amp;ROW()),
  unit_details[Floorplan Name], INDIRECT("C"&amp;ROW()),
  unit_details[Beds], INDIRECT("D"&amp;ROW()),
  unit_details[Detected Unit Amenities], "&lt;&gt;*"&amp;$AB$3&amp;"*",
  unit_details[Leased Date], "&gt;=" &amp; ($X$2 - $AD$3)
),0)</f>
        <v>0</v>
      </c>
      <c r="AE20" s="734" cm="1">
        <f t="array" aca="true" ref="AE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 s="733" cm="1">
        <f t="array" aca="true" ref="AF20" ca="true">IFERROR(COUNTIFS(
  unit_details[Property Name], INDIRECT("B"&amp;ROW()),
  unit_details[Floorplan Name], INDIRECT("C"&amp;ROW()),
  unit_details[Beds], INDIRECT("D"&amp;ROW()),
  unit_details[Detected Unit Amenities], "&lt;&gt;*"&amp;$AB$3&amp;"*",
  unit_details[Leased Date], "&gt;=" &amp; ($X$2 - $AD$3)
),0)</f>
        <v>0</v>
      </c>
      <c r="AG20" s="735"/>
      <c r="AH20" s="738">
        <f t="shared" ca="true" si="2"/>
        <v>0</v>
      </c>
      <c r="AI20" s="739">
        <f t="shared" ca="true" si="3"/>
        <v>0</v>
      </c>
    </row>
    <row r="21" spans="2:35">
      <c r="B21" s="1" t="s">
        <v>1219</v>
      </c>
      <c r="C21" s="80" t="s">
        <v>1266</v>
      </c>
      <c r="D21" s="4">
        <v>1</v>
      </c>
      <c r="E21" s="303">
        <v>1</v>
      </c>
      <c r="F21" s="303"/>
      <c r="G21" s="4">
        <v>104</v>
      </c>
      <c r="H21" s="4">
        <v>7.520325203252033</v>
      </c>
      <c r="I21" s="4">
        <v>550</v>
      </c>
      <c r="J21" s="345">
        <v>1300</v>
      </c>
      <c r="K21" s="6">
        <v>2.3636363636363638</v>
      </c>
      <c r="L21" s="5">
        <v>1300</v>
      </c>
      <c r="M21" s="6">
        <v>2.3636363636363638</v>
      </c>
      <c r="N21" s="738" t="str" cm="1">
        <f t="array" aca="true" ref="N21" ca="true">IFERROR(IF($O$3="Chunk Rent",
AVERAGEIFS('Unit-Level Data'!$O:$O,'Unit-Level Data'!$M:$M,TRUE,
          'Unit-Level Data'!$D:$D, INDIRECT("C"&amp;ROW()),
          'Unit-Level Data'!$B:$B, INDIRECT("B"&amp;ROW())),
AVERAGEIFS('Unit-Level Data'!$P:$P,'Unit-Level Data'!$M:$M,TRUE,
          'Unit-Level Data'!$D:$D, INDIRECT("C"&amp;ROW()),
          'Unit-Level Data'!$B:$B, INDIRECT("B"&amp;ROW()))),"")</f>
      </c>
      <c r="O21" s="760" t="str" cm="1">
        <f t="array" aca="true" ref="O21" ca="true">IFERROR(IF($O$3="Chunk Rent",
AVERAGEIFS('Unit-Level Data'!$Q:$Q,'Unit-Level Data'!$M:$M,TRUE,
          'Unit-Level Data'!$D:$D, INDIRECT("C"&amp;ROW()),
          'Unit-Level Data'!$B:$B, INDIRECT("B"&amp;ROW())),
AVERAGEIFS('Unit-Level Data'!$R:$R,'Unit-Level Data'!$M:$M,TRUE,
          'Unit-Level Data'!$D:$D, INDIRECT("C"&amp;ROW()),
          'Unit-Level Data'!$B:$B, INDIRECT("B"&amp;ROW()))),"")</f>
      </c>
      <c r="P21" s="733" cm="1">
        <f t="array" aca="true" ref="P21" ca="true">COUNTIFS('Unit-Level Data'!$M:$M,TRUE,
          'Unit-Level Data'!$D:$D, INDIRECT("C"&amp;ROW()),
          'Unit-Level Data'!$B:$B, INDIRECT("B"&amp;ROW()))</f>
        <v>0</v>
      </c>
      <c r="Q21" s="738" t="str" cm="1">
        <f t="array" aca="true" ref="Q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 s="760" t="str" cm="1">
        <f t="array" aca="true" ref="R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 s="733" cm="1">
        <f t="array" aca="true" ref="S21" ca="true">COUNTIFS('Unit-Level Data'!$L:$L, "&gt;=" &amp; ($X$2 - Q$5),
          'Unit-Level Data'!$L:$L, "&lt;" &amp; $X$2,
          'Unit-Level Data'!$D:$D, INDIRECT("C"&amp;ROW()),
          'Unit-Level Data'!$B:$B, INDIRECT("B"&amp;ROW()))</f>
        <v>0</v>
      </c>
      <c r="T21" s="738" t="str" cm="1">
        <f t="array" aca="true" ref="T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 s="760" t="str" cm="1">
        <f t="array" aca="true" ref="U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 s="733" cm="1">
        <f t="array" aca="true" ref="V21" ca="true">COUNTIFS('Unit-Level Data'!$L:$L, "&gt;=" &amp; ($X$2 - T$5),
          'Unit-Level Data'!$L:$L, "&lt;" &amp; $X$2,
          'Unit-Level Data'!$D:$D, INDIRECT("C"&amp;ROW()),
          'Unit-Level Data'!$B:$B, INDIRECT("B"&amp;ROW()))</f>
        <v>0</v>
      </c>
      <c r="W21" s="738" t="str" cm="1">
        <f t="array" aca="true" ref="W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 s="760" t="str" cm="1">
        <f t="array" aca="true" ref="X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 s="733" cm="1">
        <f t="array" aca="true" ref="Y21" ca="true">COUNTIFS('Unit-Level Data'!$L:$L, "&gt;=" &amp; ($X$2 - W$5),
          'Unit-Level Data'!$L:$L, "&lt;" &amp; $X$2,
          'Unit-Level Data'!$D:$D, INDIRECT("C"&amp;ROW()),
          'Unit-Level Data'!$B:$B, INDIRECT("B"&amp;ROW()))</f>
        <v>0</v>
      </c>
      <c r="Z21" s="761"/>
      <c r="AA21" s="735" cm="1">
        <f t="array" aca="true" ref="AA21" ca="true">IFERROR(AVERAGEIFS(
  unit_details[Sqft],
  unit_details[Property Name], INDIRECT("B"&amp;ROW()),
  unit_details[Floorplan Name], INDIRECT("C"&amp;ROW()),
  unit_details[Beds], INDIRECT("D"&amp;ROW()),
  unit_details[Detected Unit Amenities], "*"&amp;$AB$3&amp;"*",
  unit_details[Leased Date], "&gt;=" &amp; ($X$2 - $AD$3)
),0)</f>
        <v>0</v>
      </c>
      <c r="AB21" s="734" cm="1">
        <f t="array" aca="true" ref="AB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 s="733" cm="1">
        <f t="array" aca="true" ref="AC21" ca="true">IFERROR(COUNTIFS(
  unit_details[Property Name], INDIRECT("B"&amp;ROW()),
  unit_details[Floorplan Name], INDIRECT("C"&amp;ROW()),
  unit_details[Beds], INDIRECT("D"&amp;ROW()),
  unit_details[Detected Unit Amenities], "*"&amp;$AB$3&amp;"*",
  unit_details[Leased Date], "&gt;=" &amp; ($X$2 - $AD$3)
),0)</f>
        <v>0</v>
      </c>
      <c r="AD21" s="735" cm="1">
        <f t="array" aca="true" ref="AD21" ca="true">IFERROR(AVERAGEIFS(
  unit_details[Sqft],
  unit_details[Property Name], INDIRECT("B"&amp;ROW()),
  unit_details[Floorplan Name], INDIRECT("C"&amp;ROW()),
  unit_details[Beds], INDIRECT("D"&amp;ROW()),
  unit_details[Detected Unit Amenities], "&lt;&gt;*"&amp;$AB$3&amp;"*",
  unit_details[Leased Date], "&gt;=" &amp; ($X$2 - $AD$3)
),0)</f>
        <v>0</v>
      </c>
      <c r="AE21" s="734" cm="1">
        <f t="array" aca="true" ref="AE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 s="733" cm="1">
        <f t="array" aca="true" ref="AF21" ca="true">IFERROR(COUNTIFS(
  unit_details[Property Name], INDIRECT("B"&amp;ROW()),
  unit_details[Floorplan Name], INDIRECT("C"&amp;ROW()),
  unit_details[Beds], INDIRECT("D"&amp;ROW()),
  unit_details[Detected Unit Amenities], "&lt;&gt;*"&amp;$AB$3&amp;"*",
  unit_details[Leased Date], "&gt;=" &amp; ($X$2 - $AD$3)
),0)</f>
        <v>0</v>
      </c>
      <c r="AG21" s="735"/>
      <c r="AH21" s="738">
        <f t="shared" ca="true" si="2"/>
        <v>0</v>
      </c>
      <c r="AI21" s="739">
        <f t="shared" ca="true" si="3"/>
        <v>0</v>
      </c>
    </row>
    <row r="22" spans="2:35">
      <c r="B22" s="1" t="s">
        <v>1219</v>
      </c>
      <c r="C22" s="80" t="s">
        <v>1267</v>
      </c>
      <c r="D22" s="4">
        <v>1</v>
      </c>
      <c r="E22" s="303">
        <v>1</v>
      </c>
      <c r="F22" s="303"/>
      <c r="G22" s="4">
        <v>52</v>
      </c>
      <c r="H22" s="4">
        <v>8.62295081967213</v>
      </c>
      <c r="I22" s="4">
        <v>606</v>
      </c>
      <c r="J22" s="345">
        <v>1302.4590163934427</v>
      </c>
      <c r="K22" s="6">
        <v>2.1492723042796085</v>
      </c>
      <c r="L22" s="5">
        <v>1302.4590163934427</v>
      </c>
      <c r="M22" s="6">
        <v>2.1492723042796085</v>
      </c>
      <c r="N22" s="738" t="str" cm="1">
        <f t="array" aca="true" ref="N22" ca="true">IFERROR(IF($O$3="Chunk Rent",
AVERAGEIFS('Unit-Level Data'!$O:$O,'Unit-Level Data'!$M:$M,TRUE,
          'Unit-Level Data'!$D:$D, INDIRECT("C"&amp;ROW()),
          'Unit-Level Data'!$B:$B, INDIRECT("B"&amp;ROW())),
AVERAGEIFS('Unit-Level Data'!$P:$P,'Unit-Level Data'!$M:$M,TRUE,
          'Unit-Level Data'!$D:$D, INDIRECT("C"&amp;ROW()),
          'Unit-Level Data'!$B:$B, INDIRECT("B"&amp;ROW()))),"")</f>
      </c>
      <c r="O22" s="760" t="str" cm="1">
        <f t="array" aca="true" ref="O22" ca="true">IFERROR(IF($O$3="Chunk Rent",
AVERAGEIFS('Unit-Level Data'!$Q:$Q,'Unit-Level Data'!$M:$M,TRUE,
          'Unit-Level Data'!$D:$D, INDIRECT("C"&amp;ROW()),
          'Unit-Level Data'!$B:$B, INDIRECT("B"&amp;ROW())),
AVERAGEIFS('Unit-Level Data'!$R:$R,'Unit-Level Data'!$M:$M,TRUE,
          'Unit-Level Data'!$D:$D, INDIRECT("C"&amp;ROW()),
          'Unit-Level Data'!$B:$B, INDIRECT("B"&amp;ROW()))),"")</f>
      </c>
      <c r="P22" s="733" cm="1">
        <f t="array" aca="true" ref="P22" ca="true">COUNTIFS('Unit-Level Data'!$M:$M,TRUE,
          'Unit-Level Data'!$D:$D, INDIRECT("C"&amp;ROW()),
          'Unit-Level Data'!$B:$B, INDIRECT("B"&amp;ROW()))</f>
        <v>0</v>
      </c>
      <c r="Q22" s="738" t="str" cm="1">
        <f t="array" aca="true" ref="Q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 s="760" t="str" cm="1">
        <f t="array" aca="true" ref="R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 s="733" cm="1">
        <f t="array" aca="true" ref="S22" ca="true">COUNTIFS('Unit-Level Data'!$L:$L, "&gt;=" &amp; ($X$2 - Q$5),
          'Unit-Level Data'!$L:$L, "&lt;" &amp; $X$2,
          'Unit-Level Data'!$D:$D, INDIRECT("C"&amp;ROW()),
          'Unit-Level Data'!$B:$B, INDIRECT("B"&amp;ROW()))</f>
        <v>0</v>
      </c>
      <c r="T22" s="738" t="str" cm="1">
        <f t="array" aca="true" ref="T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 s="760" t="str" cm="1">
        <f t="array" aca="true" ref="U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 s="733" cm="1">
        <f t="array" aca="true" ref="V22" ca="true">COUNTIFS('Unit-Level Data'!$L:$L, "&gt;=" &amp; ($X$2 - T$5),
          'Unit-Level Data'!$L:$L, "&lt;" &amp; $X$2,
          'Unit-Level Data'!$D:$D, INDIRECT("C"&amp;ROW()),
          'Unit-Level Data'!$B:$B, INDIRECT("B"&amp;ROW()))</f>
        <v>0</v>
      </c>
      <c r="W22" s="738" t="str" cm="1">
        <f t="array" aca="true" ref="W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 s="760" t="str" cm="1">
        <f t="array" aca="true" ref="X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 s="733" cm="1">
        <f t="array" aca="true" ref="Y22" ca="true">COUNTIFS('Unit-Level Data'!$L:$L, "&gt;=" &amp; ($X$2 - W$5),
          'Unit-Level Data'!$L:$L, "&lt;" &amp; $X$2,
          'Unit-Level Data'!$D:$D, INDIRECT("C"&amp;ROW()),
          'Unit-Level Data'!$B:$B, INDIRECT("B"&amp;ROW()))</f>
        <v>0</v>
      </c>
      <c r="Z22" s="761"/>
      <c r="AA22" s="735" cm="1">
        <f t="array" aca="true" ref="AA22" ca="true">IFERROR(AVERAGEIFS(
  unit_details[Sqft],
  unit_details[Property Name], INDIRECT("B"&amp;ROW()),
  unit_details[Floorplan Name], INDIRECT("C"&amp;ROW()),
  unit_details[Beds], INDIRECT("D"&amp;ROW()),
  unit_details[Detected Unit Amenities], "*"&amp;$AB$3&amp;"*",
  unit_details[Leased Date], "&gt;=" &amp; ($X$2 - $AD$3)
),0)</f>
        <v>0</v>
      </c>
      <c r="AB22" s="734" cm="1">
        <f t="array" aca="true" ref="AB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 s="733" cm="1">
        <f t="array" aca="true" ref="AC22" ca="true">IFERROR(COUNTIFS(
  unit_details[Property Name], INDIRECT("B"&amp;ROW()),
  unit_details[Floorplan Name], INDIRECT("C"&amp;ROW()),
  unit_details[Beds], INDIRECT("D"&amp;ROW()),
  unit_details[Detected Unit Amenities], "*"&amp;$AB$3&amp;"*",
  unit_details[Leased Date], "&gt;=" &amp; ($X$2 - $AD$3)
),0)</f>
        <v>0</v>
      </c>
      <c r="AD22" s="735" cm="1">
        <f t="array" aca="true" ref="AD22" ca="true">IFERROR(AVERAGEIFS(
  unit_details[Sqft],
  unit_details[Property Name], INDIRECT("B"&amp;ROW()),
  unit_details[Floorplan Name], INDIRECT("C"&amp;ROW()),
  unit_details[Beds], INDIRECT("D"&amp;ROW()),
  unit_details[Detected Unit Amenities], "&lt;&gt;*"&amp;$AB$3&amp;"*",
  unit_details[Leased Date], "&gt;=" &amp; ($X$2 - $AD$3)
),0)</f>
        <v>0</v>
      </c>
      <c r="AE22" s="734" cm="1">
        <f t="array" aca="true" ref="AE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 s="733" cm="1">
        <f t="array" aca="true" ref="AF22" ca="true">IFERROR(COUNTIFS(
  unit_details[Property Name], INDIRECT("B"&amp;ROW()),
  unit_details[Floorplan Name], INDIRECT("C"&amp;ROW()),
  unit_details[Beds], INDIRECT("D"&amp;ROW()),
  unit_details[Detected Unit Amenities], "&lt;&gt;*"&amp;$AB$3&amp;"*",
  unit_details[Leased Date], "&gt;=" &amp; ($X$2 - $AD$3)
),0)</f>
        <v>0</v>
      </c>
      <c r="AG22" s="735"/>
      <c r="AH22" s="738">
        <f t="shared" ca="true" si="2"/>
        <v>0</v>
      </c>
      <c r="AI22" s="739">
        <f t="shared" ca="true" si="3"/>
        <v>0</v>
      </c>
    </row>
    <row r="23" spans="2:35">
      <c r="B23" s="1" t="s">
        <v>1219</v>
      </c>
      <c r="C23" s="80" t="s">
        <v>1268</v>
      </c>
      <c r="D23" s="4">
        <v>2</v>
      </c>
      <c r="E23" s="303">
        <v>1</v>
      </c>
      <c r="F23" s="303"/>
      <c r="G23" s="4">
        <v>19</v>
      </c>
      <c r="H23" s="4">
        <v>10.043478260869565</v>
      </c>
      <c r="I23" s="4">
        <v>728</v>
      </c>
      <c r="J23" s="345">
        <v>1602.1739130434783</v>
      </c>
      <c r="K23" s="6">
        <v>2.20078834209269</v>
      </c>
      <c r="L23" s="5">
        <v>1602.1739130434783</v>
      </c>
      <c r="M23" s="6">
        <v>2.20078834209269</v>
      </c>
      <c r="N23" s="738" t="str" cm="1">
        <f t="array" aca="true" ref="N23" ca="true">IFERROR(IF($O$3="Chunk Rent",
AVERAGEIFS('Unit-Level Data'!$O:$O,'Unit-Level Data'!$M:$M,TRUE,
          'Unit-Level Data'!$D:$D, INDIRECT("C"&amp;ROW()),
          'Unit-Level Data'!$B:$B, INDIRECT("B"&amp;ROW())),
AVERAGEIFS('Unit-Level Data'!$P:$P,'Unit-Level Data'!$M:$M,TRUE,
          'Unit-Level Data'!$D:$D, INDIRECT("C"&amp;ROW()),
          'Unit-Level Data'!$B:$B, INDIRECT("B"&amp;ROW()))),"")</f>
      </c>
      <c r="O23" s="760" t="str" cm="1">
        <f t="array" aca="true" ref="O23" ca="true">IFERROR(IF($O$3="Chunk Rent",
AVERAGEIFS('Unit-Level Data'!$Q:$Q,'Unit-Level Data'!$M:$M,TRUE,
          'Unit-Level Data'!$D:$D, INDIRECT("C"&amp;ROW()),
          'Unit-Level Data'!$B:$B, INDIRECT("B"&amp;ROW())),
AVERAGEIFS('Unit-Level Data'!$R:$R,'Unit-Level Data'!$M:$M,TRUE,
          'Unit-Level Data'!$D:$D, INDIRECT("C"&amp;ROW()),
          'Unit-Level Data'!$B:$B, INDIRECT("B"&amp;ROW()))),"")</f>
      </c>
      <c r="P23" s="733" cm="1">
        <f t="array" aca="true" ref="P23" ca="true">COUNTIFS('Unit-Level Data'!$M:$M,TRUE,
          'Unit-Level Data'!$D:$D, INDIRECT("C"&amp;ROW()),
          'Unit-Level Data'!$B:$B, INDIRECT("B"&amp;ROW()))</f>
        <v>0</v>
      </c>
      <c r="Q23" s="738" t="str" cm="1">
        <f t="array" aca="true" ref="Q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 s="760" t="str" cm="1">
        <f t="array" aca="true" ref="R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 s="733" cm="1">
        <f t="array" aca="true" ref="S23" ca="true">COUNTIFS('Unit-Level Data'!$L:$L, "&gt;=" &amp; ($X$2 - Q$5),
          'Unit-Level Data'!$L:$L, "&lt;" &amp; $X$2,
          'Unit-Level Data'!$D:$D, INDIRECT("C"&amp;ROW()),
          'Unit-Level Data'!$B:$B, INDIRECT("B"&amp;ROW()))</f>
        <v>0</v>
      </c>
      <c r="T23" s="738" t="str" cm="1">
        <f t="array" aca="true" ref="T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 s="760" t="str" cm="1">
        <f t="array" aca="true" ref="U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 s="733" cm="1">
        <f t="array" aca="true" ref="V23" ca="true">COUNTIFS('Unit-Level Data'!$L:$L, "&gt;=" &amp; ($X$2 - T$5),
          'Unit-Level Data'!$L:$L, "&lt;" &amp; $X$2,
          'Unit-Level Data'!$D:$D, INDIRECT("C"&amp;ROW()),
          'Unit-Level Data'!$B:$B, INDIRECT("B"&amp;ROW()))</f>
        <v>0</v>
      </c>
      <c r="W23" s="738" t="str" cm="1">
        <f t="array" aca="true" ref="W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 s="760" t="str" cm="1">
        <f t="array" aca="true" ref="X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 s="733" cm="1">
        <f t="array" aca="true" ref="Y23" ca="true">COUNTIFS('Unit-Level Data'!$L:$L, "&gt;=" &amp; ($X$2 - W$5),
          'Unit-Level Data'!$L:$L, "&lt;" &amp; $X$2,
          'Unit-Level Data'!$D:$D, INDIRECT("C"&amp;ROW()),
          'Unit-Level Data'!$B:$B, INDIRECT("B"&amp;ROW()))</f>
        <v>0</v>
      </c>
      <c r="Z23" s="761"/>
      <c r="AA23" s="735" cm="1">
        <f t="array" aca="true" ref="AA23" ca="true">IFERROR(AVERAGEIFS(
  unit_details[Sqft],
  unit_details[Property Name], INDIRECT("B"&amp;ROW()),
  unit_details[Floorplan Name], INDIRECT("C"&amp;ROW()),
  unit_details[Beds], INDIRECT("D"&amp;ROW()),
  unit_details[Detected Unit Amenities], "*"&amp;$AB$3&amp;"*",
  unit_details[Leased Date], "&gt;=" &amp; ($X$2 - $AD$3)
),0)</f>
        <v>0</v>
      </c>
      <c r="AB23" s="734" cm="1">
        <f t="array" aca="true" ref="AB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 s="733" cm="1">
        <f t="array" aca="true" ref="AC23" ca="true">IFERROR(COUNTIFS(
  unit_details[Property Name], INDIRECT("B"&amp;ROW()),
  unit_details[Floorplan Name], INDIRECT("C"&amp;ROW()),
  unit_details[Beds], INDIRECT("D"&amp;ROW()),
  unit_details[Detected Unit Amenities], "*"&amp;$AB$3&amp;"*",
  unit_details[Leased Date], "&gt;=" &amp; ($X$2 - $AD$3)
),0)</f>
        <v>0</v>
      </c>
      <c r="AD23" s="735" cm="1">
        <f t="array" aca="true" ref="AD23" ca="true">IFERROR(AVERAGEIFS(
  unit_details[Sqft],
  unit_details[Property Name], INDIRECT("B"&amp;ROW()),
  unit_details[Floorplan Name], INDIRECT("C"&amp;ROW()),
  unit_details[Beds], INDIRECT("D"&amp;ROW()),
  unit_details[Detected Unit Amenities], "&lt;&gt;*"&amp;$AB$3&amp;"*",
  unit_details[Leased Date], "&gt;=" &amp; ($X$2 - $AD$3)
),0)</f>
        <v>0</v>
      </c>
      <c r="AE23" s="734" cm="1">
        <f t="array" aca="true" ref="AE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 s="733" cm="1">
        <f t="array" aca="true" ref="AF23" ca="true">IFERROR(COUNTIFS(
  unit_details[Property Name], INDIRECT("B"&amp;ROW()),
  unit_details[Floorplan Name], INDIRECT("C"&amp;ROW()),
  unit_details[Beds], INDIRECT("D"&amp;ROW()),
  unit_details[Detected Unit Amenities], "&lt;&gt;*"&amp;$AB$3&amp;"*",
  unit_details[Leased Date], "&gt;=" &amp; ($X$2 - $AD$3)
),0)</f>
        <v>0</v>
      </c>
      <c r="AG23" s="735"/>
      <c r="AH23" s="738">
        <f t="shared" ca="true" si="2"/>
        <v>0</v>
      </c>
      <c r="AI23" s="739">
        <f t="shared" ca="true" si="3"/>
        <v>0</v>
      </c>
    </row>
    <row r="24" spans="2:35">
      <c r="B24" s="1" t="s">
        <v>1219</v>
      </c>
      <c r="C24" s="80" t="s">
        <v>1269</v>
      </c>
      <c r="D24" s="4">
        <v>2</v>
      </c>
      <c r="E24" s="303">
        <v>1</v>
      </c>
      <c r="F24" s="303"/>
      <c r="G24" s="4">
        <v>305</v>
      </c>
      <c r="H24" s="4">
        <v>9.812154696132596</v>
      </c>
      <c r="I24" s="4">
        <v>837.4834254143647</v>
      </c>
      <c r="J24" s="345">
        <v>1600.828729281768</v>
      </c>
      <c r="K24" s="6">
        <v>1.9114751178385654</v>
      </c>
      <c r="L24" s="5">
        <v>1600.828729281768</v>
      </c>
      <c r="M24" s="6">
        <v>1.9114751178385654</v>
      </c>
      <c r="N24" s="738" t="str" cm="1">
        <f t="array" aca="true" ref="N24" ca="true">IFERROR(IF($O$3="Chunk Rent",
AVERAGEIFS('Unit-Level Data'!$O:$O,'Unit-Level Data'!$M:$M,TRUE,
          'Unit-Level Data'!$D:$D, INDIRECT("C"&amp;ROW()),
          'Unit-Level Data'!$B:$B, INDIRECT("B"&amp;ROW())),
AVERAGEIFS('Unit-Level Data'!$P:$P,'Unit-Level Data'!$M:$M,TRUE,
          'Unit-Level Data'!$D:$D, INDIRECT("C"&amp;ROW()),
          'Unit-Level Data'!$B:$B, INDIRECT("B"&amp;ROW()))),"")</f>
      </c>
      <c r="O24" s="760" t="str" cm="1">
        <f t="array" aca="true" ref="O24" ca="true">IFERROR(IF($O$3="Chunk Rent",
AVERAGEIFS('Unit-Level Data'!$Q:$Q,'Unit-Level Data'!$M:$M,TRUE,
          'Unit-Level Data'!$D:$D, INDIRECT("C"&amp;ROW()),
          'Unit-Level Data'!$B:$B, INDIRECT("B"&amp;ROW())),
AVERAGEIFS('Unit-Level Data'!$R:$R,'Unit-Level Data'!$M:$M,TRUE,
          'Unit-Level Data'!$D:$D, INDIRECT("C"&amp;ROW()),
          'Unit-Level Data'!$B:$B, INDIRECT("B"&amp;ROW()))),"")</f>
      </c>
      <c r="P24" s="733" cm="1">
        <f t="array" aca="true" ref="P24" ca="true">COUNTIFS('Unit-Level Data'!$M:$M,TRUE,
          'Unit-Level Data'!$D:$D, INDIRECT("C"&amp;ROW()),
          'Unit-Level Data'!$B:$B, INDIRECT("B"&amp;ROW()))</f>
        <v>0</v>
      </c>
      <c r="Q24" s="738" t="str" cm="1">
        <f t="array" aca="true" ref="Q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 s="760" t="str" cm="1">
        <f t="array" aca="true" ref="R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 s="733" cm="1">
        <f t="array" aca="true" ref="S24" ca="true">COUNTIFS('Unit-Level Data'!$L:$L, "&gt;=" &amp; ($X$2 - Q$5),
          'Unit-Level Data'!$L:$L, "&lt;" &amp; $X$2,
          'Unit-Level Data'!$D:$D, INDIRECT("C"&amp;ROW()),
          'Unit-Level Data'!$B:$B, INDIRECT("B"&amp;ROW()))</f>
        <v>0</v>
      </c>
      <c r="T24" s="738" t="str" cm="1">
        <f t="array" aca="true" ref="T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 s="760" t="str" cm="1">
        <f t="array" aca="true" ref="U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 s="733" cm="1">
        <f t="array" aca="true" ref="V24" ca="true">COUNTIFS('Unit-Level Data'!$L:$L, "&gt;=" &amp; ($X$2 - T$5),
          'Unit-Level Data'!$L:$L, "&lt;" &amp; $X$2,
          'Unit-Level Data'!$D:$D, INDIRECT("C"&amp;ROW()),
          'Unit-Level Data'!$B:$B, INDIRECT("B"&amp;ROW()))</f>
        <v>0</v>
      </c>
      <c r="W24" s="738" t="str" cm="1">
        <f t="array" aca="true" ref="W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 s="760" t="str" cm="1">
        <f t="array" aca="true" ref="X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 s="733" cm="1">
        <f t="array" aca="true" ref="Y24" ca="true">COUNTIFS('Unit-Level Data'!$L:$L, "&gt;=" &amp; ($X$2 - W$5),
          'Unit-Level Data'!$L:$L, "&lt;" &amp; $X$2,
          'Unit-Level Data'!$D:$D, INDIRECT("C"&amp;ROW()),
          'Unit-Level Data'!$B:$B, INDIRECT("B"&amp;ROW()))</f>
        <v>0</v>
      </c>
      <c r="Z24" s="761"/>
      <c r="AA24" s="735" cm="1">
        <f t="array" aca="true" ref="AA24" ca="true">IFERROR(AVERAGEIFS(
  unit_details[Sqft],
  unit_details[Property Name], INDIRECT("B"&amp;ROW()),
  unit_details[Floorplan Name], INDIRECT("C"&amp;ROW()),
  unit_details[Beds], INDIRECT("D"&amp;ROW()),
  unit_details[Detected Unit Amenities], "*"&amp;$AB$3&amp;"*",
  unit_details[Leased Date], "&gt;=" &amp; ($X$2 - $AD$3)
),0)</f>
        <v>0</v>
      </c>
      <c r="AB24" s="734" cm="1">
        <f t="array" aca="true" ref="AB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 s="733" cm="1">
        <f t="array" aca="true" ref="AC24" ca="true">IFERROR(COUNTIFS(
  unit_details[Property Name], INDIRECT("B"&amp;ROW()),
  unit_details[Floorplan Name], INDIRECT("C"&amp;ROW()),
  unit_details[Beds], INDIRECT("D"&amp;ROW()),
  unit_details[Detected Unit Amenities], "*"&amp;$AB$3&amp;"*",
  unit_details[Leased Date], "&gt;=" &amp; ($X$2 - $AD$3)
),0)</f>
        <v>0</v>
      </c>
      <c r="AD24" s="735" cm="1">
        <f t="array" aca="true" ref="AD24" ca="true">IFERROR(AVERAGEIFS(
  unit_details[Sqft],
  unit_details[Property Name], INDIRECT("B"&amp;ROW()),
  unit_details[Floorplan Name], INDIRECT("C"&amp;ROW()),
  unit_details[Beds], INDIRECT("D"&amp;ROW()),
  unit_details[Detected Unit Amenities], "&lt;&gt;*"&amp;$AB$3&amp;"*",
  unit_details[Leased Date], "&gt;=" &amp; ($X$2 - $AD$3)
),0)</f>
        <v>0</v>
      </c>
      <c r="AE24" s="734" cm="1">
        <f t="array" aca="true" ref="AE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 s="733" cm="1">
        <f t="array" aca="true" ref="AF24" ca="true">IFERROR(COUNTIFS(
  unit_details[Property Name], INDIRECT("B"&amp;ROW()),
  unit_details[Floorplan Name], INDIRECT("C"&amp;ROW()),
  unit_details[Beds], INDIRECT("D"&amp;ROW()),
  unit_details[Detected Unit Amenities], "&lt;&gt;*"&amp;$AB$3&amp;"*",
  unit_details[Leased Date], "&gt;=" &amp; ($X$2 - $AD$3)
),0)</f>
        <v>0</v>
      </c>
      <c r="AG24" s="735"/>
      <c r="AH24" s="738">
        <f t="shared" ca="true" si="2"/>
        <v>0</v>
      </c>
      <c r="AI24" s="739">
        <f t="shared" ca="true" si="3"/>
        <v>0</v>
      </c>
    </row>
    <row r="25" spans="2:35">
      <c r="B25" s="1" t="s">
        <v>1219</v>
      </c>
      <c r="C25" s="80" t="s">
        <v>1270</v>
      </c>
      <c r="D25" s="4">
        <v>3</v>
      </c>
      <c r="E25" s="303">
        <v>1</v>
      </c>
      <c r="F25" s="303"/>
      <c r="G25" s="4">
        <v>64</v>
      </c>
      <c r="H25" s="4">
        <v>15.013157894736842</v>
      </c>
      <c r="I25" s="4">
        <v>1012</v>
      </c>
      <c r="J25" s="345">
        <v>1806.578947368421</v>
      </c>
      <c r="K25" s="6">
        <v>1.7851570626170168</v>
      </c>
      <c r="L25" s="5">
        <v>1806.578947368421</v>
      </c>
      <c r="M25" s="6">
        <v>1.7851570626170168</v>
      </c>
      <c r="N25" s="738" t="str" cm="1">
        <f t="array" aca="true" ref="N25" ca="true">IFERROR(IF($O$3="Chunk Rent",
AVERAGEIFS('Unit-Level Data'!$O:$O,'Unit-Level Data'!$M:$M,TRUE,
          'Unit-Level Data'!$D:$D, INDIRECT("C"&amp;ROW()),
          'Unit-Level Data'!$B:$B, INDIRECT("B"&amp;ROW())),
AVERAGEIFS('Unit-Level Data'!$P:$P,'Unit-Level Data'!$M:$M,TRUE,
          'Unit-Level Data'!$D:$D, INDIRECT("C"&amp;ROW()),
          'Unit-Level Data'!$B:$B, INDIRECT("B"&amp;ROW()))),"")</f>
      </c>
      <c r="O25" s="760" t="str" cm="1">
        <f t="array" aca="true" ref="O25" ca="true">IFERROR(IF($O$3="Chunk Rent",
AVERAGEIFS('Unit-Level Data'!$Q:$Q,'Unit-Level Data'!$M:$M,TRUE,
          'Unit-Level Data'!$D:$D, INDIRECT("C"&amp;ROW()),
          'Unit-Level Data'!$B:$B, INDIRECT("B"&amp;ROW())),
AVERAGEIFS('Unit-Level Data'!$R:$R,'Unit-Level Data'!$M:$M,TRUE,
          'Unit-Level Data'!$D:$D, INDIRECT("C"&amp;ROW()),
          'Unit-Level Data'!$B:$B, INDIRECT("B"&amp;ROW()))),"")</f>
      </c>
      <c r="P25" s="733" cm="1">
        <f t="array" aca="true" ref="P25" ca="true">COUNTIFS('Unit-Level Data'!$M:$M,TRUE,
          'Unit-Level Data'!$D:$D, INDIRECT("C"&amp;ROW()),
          'Unit-Level Data'!$B:$B, INDIRECT("B"&amp;ROW()))</f>
        <v>0</v>
      </c>
      <c r="Q25" s="738" t="str" cm="1">
        <f t="array" aca="true" ref="Q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 s="760" t="str" cm="1">
        <f t="array" aca="true" ref="R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 s="733" cm="1">
        <f t="array" aca="true" ref="S25" ca="true">COUNTIFS('Unit-Level Data'!$L:$L, "&gt;=" &amp; ($X$2 - Q$5),
          'Unit-Level Data'!$L:$L, "&lt;" &amp; $X$2,
          'Unit-Level Data'!$D:$D, INDIRECT("C"&amp;ROW()),
          'Unit-Level Data'!$B:$B, INDIRECT("B"&amp;ROW()))</f>
        <v>0</v>
      </c>
      <c r="T25" s="738" t="str" cm="1">
        <f t="array" aca="true" ref="T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 s="760" t="str" cm="1">
        <f t="array" aca="true" ref="U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 s="733" cm="1">
        <f t="array" aca="true" ref="V25" ca="true">COUNTIFS('Unit-Level Data'!$L:$L, "&gt;=" &amp; ($X$2 - T$5),
          'Unit-Level Data'!$L:$L, "&lt;" &amp; $X$2,
          'Unit-Level Data'!$D:$D, INDIRECT("C"&amp;ROW()),
          'Unit-Level Data'!$B:$B, INDIRECT("B"&amp;ROW()))</f>
        <v>0</v>
      </c>
      <c r="W25" s="738" t="str" cm="1">
        <f t="array" aca="true" ref="W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 s="760" t="str" cm="1">
        <f t="array" aca="true" ref="X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 s="733" cm="1">
        <f t="array" aca="true" ref="Y25" ca="true">COUNTIFS('Unit-Level Data'!$L:$L, "&gt;=" &amp; ($X$2 - W$5),
          'Unit-Level Data'!$L:$L, "&lt;" &amp; $X$2,
          'Unit-Level Data'!$D:$D, INDIRECT("C"&amp;ROW()),
          'Unit-Level Data'!$B:$B, INDIRECT("B"&amp;ROW()))</f>
        <v>0</v>
      </c>
      <c r="Z25" s="761"/>
      <c r="AA25" s="735" cm="1">
        <f t="array" aca="true" ref="AA25" ca="true">IFERROR(AVERAGEIFS(
  unit_details[Sqft],
  unit_details[Property Name], INDIRECT("B"&amp;ROW()),
  unit_details[Floorplan Name], INDIRECT("C"&amp;ROW()),
  unit_details[Beds], INDIRECT("D"&amp;ROW()),
  unit_details[Detected Unit Amenities], "*"&amp;$AB$3&amp;"*",
  unit_details[Leased Date], "&gt;=" &amp; ($X$2 - $AD$3)
),0)</f>
        <v>0</v>
      </c>
      <c r="AB25" s="734" cm="1">
        <f t="array" aca="true" ref="AB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 s="733" cm="1">
        <f t="array" aca="true" ref="AC25" ca="true">IFERROR(COUNTIFS(
  unit_details[Property Name], INDIRECT("B"&amp;ROW()),
  unit_details[Floorplan Name], INDIRECT("C"&amp;ROW()),
  unit_details[Beds], INDIRECT("D"&amp;ROW()),
  unit_details[Detected Unit Amenities], "*"&amp;$AB$3&amp;"*",
  unit_details[Leased Date], "&gt;=" &amp; ($X$2 - $AD$3)
),0)</f>
        <v>0</v>
      </c>
      <c r="AD25" s="735" cm="1">
        <f t="array" aca="true" ref="AD25" ca="true">IFERROR(AVERAGEIFS(
  unit_details[Sqft],
  unit_details[Property Name], INDIRECT("B"&amp;ROW()),
  unit_details[Floorplan Name], INDIRECT("C"&amp;ROW()),
  unit_details[Beds], INDIRECT("D"&amp;ROW()),
  unit_details[Detected Unit Amenities], "&lt;&gt;*"&amp;$AB$3&amp;"*",
  unit_details[Leased Date], "&gt;=" &amp; ($X$2 - $AD$3)
),0)</f>
        <v>0</v>
      </c>
      <c r="AE25" s="734" cm="1">
        <f t="array" aca="true" ref="AE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 s="733" cm="1">
        <f t="array" aca="true" ref="AF25" ca="true">IFERROR(COUNTIFS(
  unit_details[Property Name], INDIRECT("B"&amp;ROW()),
  unit_details[Floorplan Name], INDIRECT("C"&amp;ROW()),
  unit_details[Beds], INDIRECT("D"&amp;ROW()),
  unit_details[Detected Unit Amenities], "&lt;&gt;*"&amp;$AB$3&amp;"*",
  unit_details[Leased Date], "&gt;=" &amp; ($X$2 - $AD$3)
),0)</f>
        <v>0</v>
      </c>
      <c r="AG25" s="735"/>
      <c r="AH25" s="738">
        <f t="shared" ca="true" si="2"/>
        <v>0</v>
      </c>
      <c r="AI25" s="739">
        <f t="shared" ca="true" si="3"/>
        <v>0</v>
      </c>
    </row>
    <row r="26" spans="2:35">
      <c r="B26" s="1" t="s">
        <v>1220</v>
      </c>
      <c r="C26" s="80" t="s">
        <v>1271</v>
      </c>
      <c r="D26" s="4">
        <v>0</v>
      </c>
      <c r="E26" s="303">
        <v>1</v>
      </c>
      <c r="F26" s="303"/>
      <c r="G26" s="4">
        <v>7</v>
      </c>
      <c r="H26" s="4">
        <v>61.666666666666664</v>
      </c>
      <c r="I26" s="4">
        <v>488</v>
      </c>
      <c r="J26" s="345">
        <v>1375.6666666666667</v>
      </c>
      <c r="K26" s="6">
        <v>2.8189890710382515</v>
      </c>
      <c r="L26" s="5">
        <v>1375.6666666666667</v>
      </c>
      <c r="M26" s="6">
        <v>2.8189890710382515</v>
      </c>
      <c r="N26" s="738" t="str" cm="1">
        <f t="array" aca="true" ref="N26" ca="true">IFERROR(IF($O$3="Chunk Rent",
AVERAGEIFS('Unit-Level Data'!$O:$O,'Unit-Level Data'!$M:$M,TRUE,
          'Unit-Level Data'!$D:$D, INDIRECT("C"&amp;ROW()),
          'Unit-Level Data'!$B:$B, INDIRECT("B"&amp;ROW())),
AVERAGEIFS('Unit-Level Data'!$P:$P,'Unit-Level Data'!$M:$M,TRUE,
          'Unit-Level Data'!$D:$D, INDIRECT("C"&amp;ROW()),
          'Unit-Level Data'!$B:$B, INDIRECT("B"&amp;ROW()))),"")</f>
      </c>
      <c r="O26" s="760" t="str" cm="1">
        <f t="array" aca="true" ref="O26" ca="true">IFERROR(IF($O$3="Chunk Rent",
AVERAGEIFS('Unit-Level Data'!$Q:$Q,'Unit-Level Data'!$M:$M,TRUE,
          'Unit-Level Data'!$D:$D, INDIRECT("C"&amp;ROW()),
          'Unit-Level Data'!$B:$B, INDIRECT("B"&amp;ROW())),
AVERAGEIFS('Unit-Level Data'!$R:$R,'Unit-Level Data'!$M:$M,TRUE,
          'Unit-Level Data'!$D:$D, INDIRECT("C"&amp;ROW()),
          'Unit-Level Data'!$B:$B, INDIRECT("B"&amp;ROW()))),"")</f>
      </c>
      <c r="P26" s="733" cm="1">
        <f t="array" aca="true" ref="P26" ca="true">COUNTIFS('Unit-Level Data'!$M:$M,TRUE,
          'Unit-Level Data'!$D:$D, INDIRECT("C"&amp;ROW()),
          'Unit-Level Data'!$B:$B, INDIRECT("B"&amp;ROW()))</f>
        <v>0</v>
      </c>
      <c r="Q26" s="738" t="str" cm="1">
        <f t="array" aca="true" ref="Q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 s="760" t="str" cm="1">
        <f t="array" aca="true" ref="R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 s="733" cm="1">
        <f t="array" aca="true" ref="S26" ca="true">COUNTIFS('Unit-Level Data'!$L:$L, "&gt;=" &amp; ($X$2 - Q$5),
          'Unit-Level Data'!$L:$L, "&lt;" &amp; $X$2,
          'Unit-Level Data'!$D:$D, INDIRECT("C"&amp;ROW()),
          'Unit-Level Data'!$B:$B, INDIRECT("B"&amp;ROW()))</f>
        <v>0</v>
      </c>
      <c r="T26" s="738" t="str" cm="1">
        <f t="array" aca="true" ref="T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 s="760" t="str" cm="1">
        <f t="array" aca="true" ref="U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 s="733" cm="1">
        <f t="array" aca="true" ref="V26" ca="true">COUNTIFS('Unit-Level Data'!$L:$L, "&gt;=" &amp; ($X$2 - T$5),
          'Unit-Level Data'!$L:$L, "&lt;" &amp; $X$2,
          'Unit-Level Data'!$D:$D, INDIRECT("C"&amp;ROW()),
          'Unit-Level Data'!$B:$B, INDIRECT("B"&amp;ROW()))</f>
        <v>0</v>
      </c>
      <c r="W26" s="738" t="str" cm="1">
        <f t="array" aca="true" ref="W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 s="760" t="str" cm="1">
        <f t="array" aca="true" ref="X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 s="733" cm="1">
        <f t="array" aca="true" ref="Y26" ca="true">COUNTIFS('Unit-Level Data'!$L:$L, "&gt;=" &amp; ($X$2 - W$5),
          'Unit-Level Data'!$L:$L, "&lt;" &amp; $X$2,
          'Unit-Level Data'!$D:$D, INDIRECT("C"&amp;ROW()),
          'Unit-Level Data'!$B:$B, INDIRECT("B"&amp;ROW()))</f>
        <v>0</v>
      </c>
      <c r="Z26" s="761"/>
      <c r="AA26" s="735" cm="1">
        <f t="array" aca="true" ref="AA26" ca="true">IFERROR(AVERAGEIFS(
  unit_details[Sqft],
  unit_details[Property Name], INDIRECT("B"&amp;ROW()),
  unit_details[Floorplan Name], INDIRECT("C"&amp;ROW()),
  unit_details[Beds], INDIRECT("D"&amp;ROW()),
  unit_details[Detected Unit Amenities], "*"&amp;$AB$3&amp;"*",
  unit_details[Leased Date], "&gt;=" &amp; ($X$2 - $AD$3)
),0)</f>
        <v>0</v>
      </c>
      <c r="AB26" s="734" cm="1">
        <f t="array" aca="true" ref="AB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 s="733" cm="1">
        <f t="array" aca="true" ref="AC26" ca="true">IFERROR(COUNTIFS(
  unit_details[Property Name], INDIRECT("B"&amp;ROW()),
  unit_details[Floorplan Name], INDIRECT("C"&amp;ROW()),
  unit_details[Beds], INDIRECT("D"&amp;ROW()),
  unit_details[Detected Unit Amenities], "*"&amp;$AB$3&amp;"*",
  unit_details[Leased Date], "&gt;=" &amp; ($X$2 - $AD$3)
),0)</f>
        <v>0</v>
      </c>
      <c r="AD26" s="735" cm="1">
        <f t="array" aca="true" ref="AD26" ca="true">IFERROR(AVERAGEIFS(
  unit_details[Sqft],
  unit_details[Property Name], INDIRECT("B"&amp;ROW()),
  unit_details[Floorplan Name], INDIRECT("C"&amp;ROW()),
  unit_details[Beds], INDIRECT("D"&amp;ROW()),
  unit_details[Detected Unit Amenities], "&lt;&gt;*"&amp;$AB$3&amp;"*",
  unit_details[Leased Date], "&gt;=" &amp; ($X$2 - $AD$3)
),0)</f>
        <v>0</v>
      </c>
      <c r="AE26" s="734" cm="1">
        <f t="array" aca="true" ref="AE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 s="733" cm="1">
        <f t="array" aca="true" ref="AF26" ca="true">IFERROR(COUNTIFS(
  unit_details[Property Name], INDIRECT("B"&amp;ROW()),
  unit_details[Floorplan Name], INDIRECT("C"&amp;ROW()),
  unit_details[Beds], INDIRECT("D"&amp;ROW()),
  unit_details[Detected Unit Amenities], "&lt;&gt;*"&amp;$AB$3&amp;"*",
  unit_details[Leased Date], "&gt;=" &amp; ($X$2 - $AD$3)
),0)</f>
        <v>0</v>
      </c>
      <c r="AG26" s="735"/>
      <c r="AH26" s="738">
        <f t="shared" ca="true" si="2"/>
        <v>0</v>
      </c>
      <c r="AI26" s="739">
        <f t="shared" ca="true" si="3"/>
        <v>0</v>
      </c>
    </row>
    <row r="27" spans="2:35">
      <c r="B27" s="1" t="s">
        <v>1220</v>
      </c>
      <c r="C27" s="80" t="s">
        <v>1272</v>
      </c>
      <c r="D27" s="4">
        <v>1</v>
      </c>
      <c r="E27" s="303">
        <v>1</v>
      </c>
      <c r="F27" s="303"/>
      <c r="G27" s="4">
        <v>5</v>
      </c>
      <c r="H27" s="4">
        <v>25.5</v>
      </c>
      <c r="I27" s="4">
        <v>864</v>
      </c>
      <c r="J27" s="345">
        <v>1440.5</v>
      </c>
      <c r="K27" s="6">
        <v>1.6672453703703705</v>
      </c>
      <c r="L27" s="5">
        <v>1440.5</v>
      </c>
      <c r="M27" s="6">
        <v>1.6672453703703705</v>
      </c>
      <c r="N27" s="738" t="str" cm="1">
        <f t="array" aca="true" ref="N27" ca="true">IFERROR(IF($O$3="Chunk Rent",
AVERAGEIFS('Unit-Level Data'!$O:$O,'Unit-Level Data'!$M:$M,TRUE,
          'Unit-Level Data'!$D:$D, INDIRECT("C"&amp;ROW()),
          'Unit-Level Data'!$B:$B, INDIRECT("B"&amp;ROW())),
AVERAGEIFS('Unit-Level Data'!$P:$P,'Unit-Level Data'!$M:$M,TRUE,
          'Unit-Level Data'!$D:$D, INDIRECT("C"&amp;ROW()),
          'Unit-Level Data'!$B:$B, INDIRECT("B"&amp;ROW()))),"")</f>
      </c>
      <c r="O27" s="760" t="str" cm="1">
        <f t="array" aca="true" ref="O27" ca="true">IFERROR(IF($O$3="Chunk Rent",
AVERAGEIFS('Unit-Level Data'!$Q:$Q,'Unit-Level Data'!$M:$M,TRUE,
          'Unit-Level Data'!$D:$D, INDIRECT("C"&amp;ROW()),
          'Unit-Level Data'!$B:$B, INDIRECT("B"&amp;ROW())),
AVERAGEIFS('Unit-Level Data'!$R:$R,'Unit-Level Data'!$M:$M,TRUE,
          'Unit-Level Data'!$D:$D, INDIRECT("C"&amp;ROW()),
          'Unit-Level Data'!$B:$B, INDIRECT("B"&amp;ROW()))),"")</f>
      </c>
      <c r="P27" s="733" cm="1">
        <f t="array" aca="true" ref="P27" ca="true">COUNTIFS('Unit-Level Data'!$M:$M,TRUE,
          'Unit-Level Data'!$D:$D, INDIRECT("C"&amp;ROW()),
          'Unit-Level Data'!$B:$B, INDIRECT("B"&amp;ROW()))</f>
        <v>0</v>
      </c>
      <c r="Q27" s="738" t="str" cm="1">
        <f t="array" aca="true" ref="Q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 s="760" t="str" cm="1">
        <f t="array" aca="true" ref="R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 s="733" cm="1">
        <f t="array" aca="true" ref="S27" ca="true">COUNTIFS('Unit-Level Data'!$L:$L, "&gt;=" &amp; ($X$2 - Q$5),
          'Unit-Level Data'!$L:$L, "&lt;" &amp; $X$2,
          'Unit-Level Data'!$D:$D, INDIRECT("C"&amp;ROW()),
          'Unit-Level Data'!$B:$B, INDIRECT("B"&amp;ROW()))</f>
        <v>0</v>
      </c>
      <c r="T27" s="738" t="str" cm="1">
        <f t="array" aca="true" ref="T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 s="760" t="str" cm="1">
        <f t="array" aca="true" ref="U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 s="733" cm="1">
        <f t="array" aca="true" ref="V27" ca="true">COUNTIFS('Unit-Level Data'!$L:$L, "&gt;=" &amp; ($X$2 - T$5),
          'Unit-Level Data'!$L:$L, "&lt;" &amp; $X$2,
          'Unit-Level Data'!$D:$D, INDIRECT("C"&amp;ROW()),
          'Unit-Level Data'!$B:$B, INDIRECT("B"&amp;ROW()))</f>
        <v>0</v>
      </c>
      <c r="W27" s="738" t="str" cm="1">
        <f t="array" aca="true" ref="W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 s="760" t="str" cm="1">
        <f t="array" aca="true" ref="X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 s="733" cm="1">
        <f t="array" aca="true" ref="Y27" ca="true">COUNTIFS('Unit-Level Data'!$L:$L, "&gt;=" &amp; ($X$2 - W$5),
          'Unit-Level Data'!$L:$L, "&lt;" &amp; $X$2,
          'Unit-Level Data'!$D:$D, INDIRECT("C"&amp;ROW()),
          'Unit-Level Data'!$B:$B, INDIRECT("B"&amp;ROW()))</f>
        <v>0</v>
      </c>
      <c r="Z27" s="761"/>
      <c r="AA27" s="735" cm="1">
        <f t="array" aca="true" ref="AA27" ca="true">IFERROR(AVERAGEIFS(
  unit_details[Sqft],
  unit_details[Property Name], INDIRECT("B"&amp;ROW()),
  unit_details[Floorplan Name], INDIRECT("C"&amp;ROW()),
  unit_details[Beds], INDIRECT("D"&amp;ROW()),
  unit_details[Detected Unit Amenities], "*"&amp;$AB$3&amp;"*",
  unit_details[Leased Date], "&gt;=" &amp; ($X$2 - $AD$3)
),0)</f>
        <v>0</v>
      </c>
      <c r="AB27" s="734" cm="1">
        <f t="array" aca="true" ref="AB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 s="733" cm="1">
        <f t="array" aca="true" ref="AC27" ca="true">IFERROR(COUNTIFS(
  unit_details[Property Name], INDIRECT("B"&amp;ROW()),
  unit_details[Floorplan Name], INDIRECT("C"&amp;ROW()),
  unit_details[Beds], INDIRECT("D"&amp;ROW()),
  unit_details[Detected Unit Amenities], "*"&amp;$AB$3&amp;"*",
  unit_details[Leased Date], "&gt;=" &amp; ($X$2 - $AD$3)
),0)</f>
        <v>0</v>
      </c>
      <c r="AD27" s="735" cm="1">
        <f t="array" aca="true" ref="AD27" ca="true">IFERROR(AVERAGEIFS(
  unit_details[Sqft],
  unit_details[Property Name], INDIRECT("B"&amp;ROW()),
  unit_details[Floorplan Name], INDIRECT("C"&amp;ROW()),
  unit_details[Beds], INDIRECT("D"&amp;ROW()),
  unit_details[Detected Unit Amenities], "&lt;&gt;*"&amp;$AB$3&amp;"*",
  unit_details[Leased Date], "&gt;=" &amp; ($X$2 - $AD$3)
),0)</f>
        <v>0</v>
      </c>
      <c r="AE27" s="734" cm="1">
        <f t="array" aca="true" ref="AE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 s="733" cm="1">
        <f t="array" aca="true" ref="AF27" ca="true">IFERROR(COUNTIFS(
  unit_details[Property Name], INDIRECT("B"&amp;ROW()),
  unit_details[Floorplan Name], INDIRECT("C"&amp;ROW()),
  unit_details[Beds], INDIRECT("D"&amp;ROW()),
  unit_details[Detected Unit Amenities], "&lt;&gt;*"&amp;$AB$3&amp;"*",
  unit_details[Leased Date], "&gt;=" &amp; ($X$2 - $AD$3)
),0)</f>
        <v>0</v>
      </c>
      <c r="AG27" s="735"/>
      <c r="AH27" s="738">
        <f t="shared" ca="true" si="2"/>
        <v>0</v>
      </c>
      <c r="AI27" s="739">
        <f t="shared" ca="true" si="3"/>
        <v>0</v>
      </c>
    </row>
    <row r="28" spans="2:35">
      <c r="B28" s="1" t="s">
        <v>1220</v>
      </c>
      <c r="C28" s="80" t="s">
        <v>1273</v>
      </c>
      <c r="D28" s="4">
        <v>1</v>
      </c>
      <c r="E28" s="303">
        <v>1</v>
      </c>
      <c r="F28" s="303"/>
      <c r="G28" s="4">
        <v>114</v>
      </c>
      <c r="H28" s="4">
        <v>80.51020408163265</v>
      </c>
      <c r="I28" s="4">
        <v>926</v>
      </c>
      <c r="J28" s="345">
        <v>1562</v>
      </c>
      <c r="K28" s="6">
        <v>1.6868250539956804</v>
      </c>
      <c r="L28" s="5">
        <v>1562</v>
      </c>
      <c r="M28" s="6">
        <v>1.6868250539956804</v>
      </c>
      <c r="N28" s="738" t="str" cm="1">
        <f t="array" aca="true" ref="N28" ca="true">IFERROR(IF($O$3="Chunk Rent",
AVERAGEIFS('Unit-Level Data'!$O:$O,'Unit-Level Data'!$M:$M,TRUE,
          'Unit-Level Data'!$D:$D, INDIRECT("C"&amp;ROW()),
          'Unit-Level Data'!$B:$B, INDIRECT("B"&amp;ROW())),
AVERAGEIFS('Unit-Level Data'!$P:$P,'Unit-Level Data'!$M:$M,TRUE,
          'Unit-Level Data'!$D:$D, INDIRECT("C"&amp;ROW()),
          'Unit-Level Data'!$B:$B, INDIRECT("B"&amp;ROW()))),"")</f>
      </c>
      <c r="O28" s="760" t="str" cm="1">
        <f t="array" aca="true" ref="O28" ca="true">IFERROR(IF($O$3="Chunk Rent",
AVERAGEIFS('Unit-Level Data'!$Q:$Q,'Unit-Level Data'!$M:$M,TRUE,
          'Unit-Level Data'!$D:$D, INDIRECT("C"&amp;ROW()),
          'Unit-Level Data'!$B:$B, INDIRECT("B"&amp;ROW())),
AVERAGEIFS('Unit-Level Data'!$R:$R,'Unit-Level Data'!$M:$M,TRUE,
          'Unit-Level Data'!$D:$D, INDIRECT("C"&amp;ROW()),
          'Unit-Level Data'!$B:$B, INDIRECT("B"&amp;ROW()))),"")</f>
      </c>
      <c r="P28" s="733" cm="1">
        <f t="array" aca="true" ref="P28" ca="true">COUNTIFS('Unit-Level Data'!$M:$M,TRUE,
          'Unit-Level Data'!$D:$D, INDIRECT("C"&amp;ROW()),
          'Unit-Level Data'!$B:$B, INDIRECT("B"&amp;ROW()))</f>
        <v>0</v>
      </c>
      <c r="Q28" s="738" t="str" cm="1">
        <f t="array" aca="true" ref="Q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 s="760" t="str" cm="1">
        <f t="array" aca="true" ref="R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 s="733" cm="1">
        <f t="array" aca="true" ref="S28" ca="true">COUNTIFS('Unit-Level Data'!$L:$L, "&gt;=" &amp; ($X$2 - Q$5),
          'Unit-Level Data'!$L:$L, "&lt;" &amp; $X$2,
          'Unit-Level Data'!$D:$D, INDIRECT("C"&amp;ROW()),
          'Unit-Level Data'!$B:$B, INDIRECT("B"&amp;ROW()))</f>
        <v>0</v>
      </c>
      <c r="T28" s="738" t="str" cm="1">
        <f t="array" aca="true" ref="T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 s="760" t="str" cm="1">
        <f t="array" aca="true" ref="U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 s="733" cm="1">
        <f t="array" aca="true" ref="V28" ca="true">COUNTIFS('Unit-Level Data'!$L:$L, "&gt;=" &amp; ($X$2 - T$5),
          'Unit-Level Data'!$L:$L, "&lt;" &amp; $X$2,
          'Unit-Level Data'!$D:$D, INDIRECT("C"&amp;ROW()),
          'Unit-Level Data'!$B:$B, INDIRECT("B"&amp;ROW()))</f>
        <v>0</v>
      </c>
      <c r="W28" s="738" t="str" cm="1">
        <f t="array" aca="true" ref="W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 s="760" t="str" cm="1">
        <f t="array" aca="true" ref="X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 s="733" cm="1">
        <f t="array" aca="true" ref="Y28" ca="true">COUNTIFS('Unit-Level Data'!$L:$L, "&gt;=" &amp; ($X$2 - W$5),
          'Unit-Level Data'!$L:$L, "&lt;" &amp; $X$2,
          'Unit-Level Data'!$D:$D, INDIRECT("C"&amp;ROW()),
          'Unit-Level Data'!$B:$B, INDIRECT("B"&amp;ROW()))</f>
        <v>0</v>
      </c>
      <c r="Z28" s="761"/>
      <c r="AA28" s="735" cm="1">
        <f t="array" aca="true" ref="AA28" ca="true">IFERROR(AVERAGEIFS(
  unit_details[Sqft],
  unit_details[Property Name], INDIRECT("B"&amp;ROW()),
  unit_details[Floorplan Name], INDIRECT("C"&amp;ROW()),
  unit_details[Beds], INDIRECT("D"&amp;ROW()),
  unit_details[Detected Unit Amenities], "*"&amp;$AB$3&amp;"*",
  unit_details[Leased Date], "&gt;=" &amp; ($X$2 - $AD$3)
),0)</f>
        <v>0</v>
      </c>
      <c r="AB28" s="734" cm="1">
        <f t="array" aca="true" ref="AB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 s="733" cm="1">
        <f t="array" aca="true" ref="AC28" ca="true">IFERROR(COUNTIFS(
  unit_details[Property Name], INDIRECT("B"&amp;ROW()),
  unit_details[Floorplan Name], INDIRECT("C"&amp;ROW()),
  unit_details[Beds], INDIRECT("D"&amp;ROW()),
  unit_details[Detected Unit Amenities], "*"&amp;$AB$3&amp;"*",
  unit_details[Leased Date], "&gt;=" &amp; ($X$2 - $AD$3)
),0)</f>
        <v>0</v>
      </c>
      <c r="AD28" s="735" cm="1">
        <f t="array" aca="true" ref="AD28" ca="true">IFERROR(AVERAGEIFS(
  unit_details[Sqft],
  unit_details[Property Name], INDIRECT("B"&amp;ROW()),
  unit_details[Floorplan Name], INDIRECT("C"&amp;ROW()),
  unit_details[Beds], INDIRECT("D"&amp;ROW()),
  unit_details[Detected Unit Amenities], "&lt;&gt;*"&amp;$AB$3&amp;"*",
  unit_details[Leased Date], "&gt;=" &amp; ($X$2 - $AD$3)
),0)</f>
        <v>0</v>
      </c>
      <c r="AE28" s="734" cm="1">
        <f t="array" aca="true" ref="AE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 s="733" cm="1">
        <f t="array" aca="true" ref="AF28" ca="true">IFERROR(COUNTIFS(
  unit_details[Property Name], INDIRECT("B"&amp;ROW()),
  unit_details[Floorplan Name], INDIRECT("C"&amp;ROW()),
  unit_details[Beds], INDIRECT("D"&amp;ROW()),
  unit_details[Detected Unit Amenities], "&lt;&gt;*"&amp;$AB$3&amp;"*",
  unit_details[Leased Date], "&gt;=" &amp; ($X$2 - $AD$3)
),0)</f>
        <v>0</v>
      </c>
      <c r="AG28" s="735"/>
      <c r="AH28" s="738">
        <f t="shared" ca="true" si="2"/>
        <v>0</v>
      </c>
      <c r="AI28" s="739">
        <f t="shared" ca="true" si="3"/>
        <v>0</v>
      </c>
    </row>
    <row r="29" spans="2:35">
      <c r="B29" s="1" t="s">
        <v>1220</v>
      </c>
      <c r="C29" s="80" t="s">
        <v>1274</v>
      </c>
      <c r="D29" s="4">
        <v>2</v>
      </c>
      <c r="E29" s="303">
        <v>2</v>
      </c>
      <c r="F29" s="303"/>
      <c r="G29" s="4">
        <v>23</v>
      </c>
      <c r="H29" s="4">
        <v>52.8</v>
      </c>
      <c r="I29" s="4">
        <v>1137</v>
      </c>
      <c r="J29" s="345">
        <v>1741.4</v>
      </c>
      <c r="K29" s="6">
        <v>1.5315743183817063</v>
      </c>
      <c r="L29" s="5">
        <v>1741.4</v>
      </c>
      <c r="M29" s="6">
        <v>1.5315743183817063</v>
      </c>
      <c r="N29" s="738" t="str" cm="1">
        <f t="array" aca="true" ref="N29" ca="true">IFERROR(IF($O$3="Chunk Rent",
AVERAGEIFS('Unit-Level Data'!$O:$O,'Unit-Level Data'!$M:$M,TRUE,
          'Unit-Level Data'!$D:$D, INDIRECT("C"&amp;ROW()),
          'Unit-Level Data'!$B:$B, INDIRECT("B"&amp;ROW())),
AVERAGEIFS('Unit-Level Data'!$P:$P,'Unit-Level Data'!$M:$M,TRUE,
          'Unit-Level Data'!$D:$D, INDIRECT("C"&amp;ROW()),
          'Unit-Level Data'!$B:$B, INDIRECT("B"&amp;ROW()))),"")</f>
      </c>
      <c r="O29" s="760" t="str" cm="1">
        <f t="array" aca="true" ref="O29" ca="true">IFERROR(IF($O$3="Chunk Rent",
AVERAGEIFS('Unit-Level Data'!$Q:$Q,'Unit-Level Data'!$M:$M,TRUE,
          'Unit-Level Data'!$D:$D, INDIRECT("C"&amp;ROW()),
          'Unit-Level Data'!$B:$B, INDIRECT("B"&amp;ROW())),
AVERAGEIFS('Unit-Level Data'!$R:$R,'Unit-Level Data'!$M:$M,TRUE,
          'Unit-Level Data'!$D:$D, INDIRECT("C"&amp;ROW()),
          'Unit-Level Data'!$B:$B, INDIRECT("B"&amp;ROW()))),"")</f>
      </c>
      <c r="P29" s="733" cm="1">
        <f t="array" aca="true" ref="P29" ca="true">COUNTIFS('Unit-Level Data'!$M:$M,TRUE,
          'Unit-Level Data'!$D:$D, INDIRECT("C"&amp;ROW()),
          'Unit-Level Data'!$B:$B, INDIRECT("B"&amp;ROW()))</f>
        <v>0</v>
      </c>
      <c r="Q29" s="738" t="str" cm="1">
        <f t="array" aca="true" ref="Q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 s="760" t="str" cm="1">
        <f t="array" aca="true" ref="R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 s="733" cm="1">
        <f t="array" aca="true" ref="S29" ca="true">COUNTIFS('Unit-Level Data'!$L:$L, "&gt;=" &amp; ($X$2 - Q$5),
          'Unit-Level Data'!$L:$L, "&lt;" &amp; $X$2,
          'Unit-Level Data'!$D:$D, INDIRECT("C"&amp;ROW()),
          'Unit-Level Data'!$B:$B, INDIRECT("B"&amp;ROW()))</f>
        <v>0</v>
      </c>
      <c r="T29" s="738" t="str" cm="1">
        <f t="array" aca="true" ref="T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 s="760" t="str" cm="1">
        <f t="array" aca="true" ref="U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 s="733" cm="1">
        <f t="array" aca="true" ref="V29" ca="true">COUNTIFS('Unit-Level Data'!$L:$L, "&gt;=" &amp; ($X$2 - T$5),
          'Unit-Level Data'!$L:$L, "&lt;" &amp; $X$2,
          'Unit-Level Data'!$D:$D, INDIRECT("C"&amp;ROW()),
          'Unit-Level Data'!$B:$B, INDIRECT("B"&amp;ROW()))</f>
        <v>0</v>
      </c>
      <c r="W29" s="738" t="str" cm="1">
        <f t="array" aca="true" ref="W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 s="760" t="str" cm="1">
        <f t="array" aca="true" ref="X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 s="733" cm="1">
        <f t="array" aca="true" ref="Y29" ca="true">COUNTIFS('Unit-Level Data'!$L:$L, "&gt;=" &amp; ($X$2 - W$5),
          'Unit-Level Data'!$L:$L, "&lt;" &amp; $X$2,
          'Unit-Level Data'!$D:$D, INDIRECT("C"&amp;ROW()),
          'Unit-Level Data'!$B:$B, INDIRECT("B"&amp;ROW()))</f>
        <v>0</v>
      </c>
      <c r="Z29" s="761"/>
      <c r="AA29" s="735" cm="1">
        <f t="array" aca="true" ref="AA29" ca="true">IFERROR(AVERAGEIFS(
  unit_details[Sqft],
  unit_details[Property Name], INDIRECT("B"&amp;ROW()),
  unit_details[Floorplan Name], INDIRECT("C"&amp;ROW()),
  unit_details[Beds], INDIRECT("D"&amp;ROW()),
  unit_details[Detected Unit Amenities], "*"&amp;$AB$3&amp;"*",
  unit_details[Leased Date], "&gt;=" &amp; ($X$2 - $AD$3)
),0)</f>
        <v>0</v>
      </c>
      <c r="AB29" s="734" cm="1">
        <f t="array" aca="true" ref="AB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 s="733" cm="1">
        <f t="array" aca="true" ref="AC29" ca="true">IFERROR(COUNTIFS(
  unit_details[Property Name], INDIRECT("B"&amp;ROW()),
  unit_details[Floorplan Name], INDIRECT("C"&amp;ROW()),
  unit_details[Beds], INDIRECT("D"&amp;ROW()),
  unit_details[Detected Unit Amenities], "*"&amp;$AB$3&amp;"*",
  unit_details[Leased Date], "&gt;=" &amp; ($X$2 - $AD$3)
),0)</f>
        <v>0</v>
      </c>
      <c r="AD29" s="735" cm="1">
        <f t="array" aca="true" ref="AD29" ca="true">IFERROR(AVERAGEIFS(
  unit_details[Sqft],
  unit_details[Property Name], INDIRECT("B"&amp;ROW()),
  unit_details[Floorplan Name], INDIRECT("C"&amp;ROW()),
  unit_details[Beds], INDIRECT("D"&amp;ROW()),
  unit_details[Detected Unit Amenities], "&lt;&gt;*"&amp;$AB$3&amp;"*",
  unit_details[Leased Date], "&gt;=" &amp; ($X$2 - $AD$3)
),0)</f>
        <v>0</v>
      </c>
      <c r="AE29" s="734" cm="1">
        <f t="array" aca="true" ref="AE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 s="733" cm="1">
        <f t="array" aca="true" ref="AF29" ca="true">IFERROR(COUNTIFS(
  unit_details[Property Name], INDIRECT("B"&amp;ROW()),
  unit_details[Floorplan Name], INDIRECT("C"&amp;ROW()),
  unit_details[Beds], INDIRECT("D"&amp;ROW()),
  unit_details[Detected Unit Amenities], "&lt;&gt;*"&amp;$AB$3&amp;"*",
  unit_details[Leased Date], "&gt;=" &amp; ($X$2 - $AD$3)
),0)</f>
        <v>0</v>
      </c>
      <c r="AG29" s="735"/>
      <c r="AH29" s="738">
        <f t="shared" ca="true" si="2"/>
        <v>0</v>
      </c>
      <c r="AI29" s="739">
        <f t="shared" ca="true" si="3"/>
        <v>0</v>
      </c>
    </row>
    <row r="30" spans="2:35">
      <c r="B30" s="1" t="s">
        <v>1220</v>
      </c>
      <c r="C30" s="80" t="s">
        <v>1275</v>
      </c>
      <c r="D30" s="4">
        <v>2</v>
      </c>
      <c r="E30" s="303">
        <v>2</v>
      </c>
      <c r="F30" s="303"/>
      <c r="G30" s="4">
        <v>12</v>
      </c>
      <c r="H30" s="4">
        <v>39.8</v>
      </c>
      <c r="I30" s="4">
        <v>1159</v>
      </c>
      <c r="J30" s="345">
        <v>1679.8</v>
      </c>
      <c r="K30" s="6">
        <v>1.4493528904227782</v>
      </c>
      <c r="L30" s="5">
        <v>1679.8</v>
      </c>
      <c r="M30" s="6">
        <v>1.4493528904227782</v>
      </c>
      <c r="N30" s="738" t="str" cm="1">
        <f t="array" aca="true" ref="N30" ca="true">IFERROR(IF($O$3="Chunk Rent",
AVERAGEIFS('Unit-Level Data'!$O:$O,'Unit-Level Data'!$M:$M,TRUE,
          'Unit-Level Data'!$D:$D, INDIRECT("C"&amp;ROW()),
          'Unit-Level Data'!$B:$B, INDIRECT("B"&amp;ROW())),
AVERAGEIFS('Unit-Level Data'!$P:$P,'Unit-Level Data'!$M:$M,TRUE,
          'Unit-Level Data'!$D:$D, INDIRECT("C"&amp;ROW()),
          'Unit-Level Data'!$B:$B, INDIRECT("B"&amp;ROW()))),"")</f>
      </c>
      <c r="O30" s="760" t="str" cm="1">
        <f t="array" aca="true" ref="O30" ca="true">IFERROR(IF($O$3="Chunk Rent",
AVERAGEIFS('Unit-Level Data'!$Q:$Q,'Unit-Level Data'!$M:$M,TRUE,
          'Unit-Level Data'!$D:$D, INDIRECT("C"&amp;ROW()),
          'Unit-Level Data'!$B:$B, INDIRECT("B"&amp;ROW())),
AVERAGEIFS('Unit-Level Data'!$R:$R,'Unit-Level Data'!$M:$M,TRUE,
          'Unit-Level Data'!$D:$D, INDIRECT("C"&amp;ROW()),
          'Unit-Level Data'!$B:$B, INDIRECT("B"&amp;ROW()))),"")</f>
      </c>
      <c r="P30" s="733" cm="1">
        <f t="array" aca="true" ref="P30" ca="true">COUNTIFS('Unit-Level Data'!$M:$M,TRUE,
          'Unit-Level Data'!$D:$D, INDIRECT("C"&amp;ROW()),
          'Unit-Level Data'!$B:$B, INDIRECT("B"&amp;ROW()))</f>
        <v>0</v>
      </c>
      <c r="Q30" s="738" t="str" cm="1">
        <f t="array" aca="true" ref="Q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 s="760" t="str" cm="1">
        <f t="array" aca="true" ref="R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 s="733" cm="1">
        <f t="array" aca="true" ref="S30" ca="true">COUNTIFS('Unit-Level Data'!$L:$L, "&gt;=" &amp; ($X$2 - Q$5),
          'Unit-Level Data'!$L:$L, "&lt;" &amp; $X$2,
          'Unit-Level Data'!$D:$D, INDIRECT("C"&amp;ROW()),
          'Unit-Level Data'!$B:$B, INDIRECT("B"&amp;ROW()))</f>
        <v>0</v>
      </c>
      <c r="T30" s="738" t="str" cm="1">
        <f t="array" aca="true" ref="T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 s="760" t="str" cm="1">
        <f t="array" aca="true" ref="U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 s="733" cm="1">
        <f t="array" aca="true" ref="V30" ca="true">COUNTIFS('Unit-Level Data'!$L:$L, "&gt;=" &amp; ($X$2 - T$5),
          'Unit-Level Data'!$L:$L, "&lt;" &amp; $X$2,
          'Unit-Level Data'!$D:$D, INDIRECT("C"&amp;ROW()),
          'Unit-Level Data'!$B:$B, INDIRECT("B"&amp;ROW()))</f>
        <v>0</v>
      </c>
      <c r="W30" s="738" t="str" cm="1">
        <f t="array" aca="true" ref="W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 s="760" t="str" cm="1">
        <f t="array" aca="true" ref="X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 s="733" cm="1">
        <f t="array" aca="true" ref="Y30" ca="true">COUNTIFS('Unit-Level Data'!$L:$L, "&gt;=" &amp; ($X$2 - W$5),
          'Unit-Level Data'!$L:$L, "&lt;" &amp; $X$2,
          'Unit-Level Data'!$D:$D, INDIRECT("C"&amp;ROW()),
          'Unit-Level Data'!$B:$B, INDIRECT("B"&amp;ROW()))</f>
        <v>0</v>
      </c>
      <c r="Z30" s="761"/>
      <c r="AA30" s="735" cm="1">
        <f t="array" aca="true" ref="AA30" ca="true">IFERROR(AVERAGEIFS(
  unit_details[Sqft],
  unit_details[Property Name], INDIRECT("B"&amp;ROW()),
  unit_details[Floorplan Name], INDIRECT("C"&amp;ROW()),
  unit_details[Beds], INDIRECT("D"&amp;ROW()),
  unit_details[Detected Unit Amenities], "*"&amp;$AB$3&amp;"*",
  unit_details[Leased Date], "&gt;=" &amp; ($X$2 - $AD$3)
),0)</f>
        <v>0</v>
      </c>
      <c r="AB30" s="734" cm="1">
        <f t="array" aca="true" ref="AB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 s="733" cm="1">
        <f t="array" aca="true" ref="AC30" ca="true">IFERROR(COUNTIFS(
  unit_details[Property Name], INDIRECT("B"&amp;ROW()),
  unit_details[Floorplan Name], INDIRECT("C"&amp;ROW()),
  unit_details[Beds], INDIRECT("D"&amp;ROW()),
  unit_details[Detected Unit Amenities], "*"&amp;$AB$3&amp;"*",
  unit_details[Leased Date], "&gt;=" &amp; ($X$2 - $AD$3)
),0)</f>
        <v>0</v>
      </c>
      <c r="AD30" s="735" cm="1">
        <f t="array" aca="true" ref="AD30" ca="true">IFERROR(AVERAGEIFS(
  unit_details[Sqft],
  unit_details[Property Name], INDIRECT("B"&amp;ROW()),
  unit_details[Floorplan Name], INDIRECT("C"&amp;ROW()),
  unit_details[Beds], INDIRECT("D"&amp;ROW()),
  unit_details[Detected Unit Amenities], "&lt;&gt;*"&amp;$AB$3&amp;"*",
  unit_details[Leased Date], "&gt;=" &amp; ($X$2 - $AD$3)
),0)</f>
        <v>0</v>
      </c>
      <c r="AE30" s="734" cm="1">
        <f t="array" aca="true" ref="AE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 s="733" cm="1">
        <f t="array" aca="true" ref="AF30" ca="true">IFERROR(COUNTIFS(
  unit_details[Property Name], INDIRECT("B"&amp;ROW()),
  unit_details[Floorplan Name], INDIRECT("C"&amp;ROW()),
  unit_details[Beds], INDIRECT("D"&amp;ROW()),
  unit_details[Detected Unit Amenities], "&lt;&gt;*"&amp;$AB$3&amp;"*",
  unit_details[Leased Date], "&gt;=" &amp; ($X$2 - $AD$3)
),0)</f>
        <v>0</v>
      </c>
      <c r="AG30" s="735"/>
      <c r="AH30" s="738">
        <f t="shared" ca="true" si="2"/>
        <v>0</v>
      </c>
      <c r="AI30" s="739">
        <f t="shared" ca="true" si="3"/>
        <v>0</v>
      </c>
    </row>
    <row r="31" spans="2:35">
      <c r="B31" s="1" t="s">
        <v>1220</v>
      </c>
      <c r="C31" s="80" t="s">
        <v>1276</v>
      </c>
      <c r="D31" s="4">
        <v>2</v>
      </c>
      <c r="E31" s="303">
        <v>2</v>
      </c>
      <c r="F31" s="303"/>
      <c r="G31" s="4">
        <v>28</v>
      </c>
      <c r="H31" s="4">
        <v>103.08333333333333</v>
      </c>
      <c r="I31" s="4">
        <v>1190</v>
      </c>
      <c r="J31" s="345">
        <v>1830.1666666666667</v>
      </c>
      <c r="K31" s="6">
        <v>1.5379551820728292</v>
      </c>
      <c r="L31" s="5">
        <v>1830.1666666666667</v>
      </c>
      <c r="M31" s="6">
        <v>1.5379551820728292</v>
      </c>
      <c r="N31" s="738" t="str" cm="1">
        <f t="array" aca="true" ref="N31" ca="true">IFERROR(IF($O$3="Chunk Rent",
AVERAGEIFS('Unit-Level Data'!$O:$O,'Unit-Level Data'!$M:$M,TRUE,
          'Unit-Level Data'!$D:$D, INDIRECT("C"&amp;ROW()),
          'Unit-Level Data'!$B:$B, INDIRECT("B"&amp;ROW())),
AVERAGEIFS('Unit-Level Data'!$P:$P,'Unit-Level Data'!$M:$M,TRUE,
          'Unit-Level Data'!$D:$D, INDIRECT("C"&amp;ROW()),
          'Unit-Level Data'!$B:$B, INDIRECT("B"&amp;ROW()))),"")</f>
      </c>
      <c r="O31" s="760" t="str" cm="1">
        <f t="array" aca="true" ref="O31" ca="true">IFERROR(IF($O$3="Chunk Rent",
AVERAGEIFS('Unit-Level Data'!$Q:$Q,'Unit-Level Data'!$M:$M,TRUE,
          'Unit-Level Data'!$D:$D, INDIRECT("C"&amp;ROW()),
          'Unit-Level Data'!$B:$B, INDIRECT("B"&amp;ROW())),
AVERAGEIFS('Unit-Level Data'!$R:$R,'Unit-Level Data'!$M:$M,TRUE,
          'Unit-Level Data'!$D:$D, INDIRECT("C"&amp;ROW()),
          'Unit-Level Data'!$B:$B, INDIRECT("B"&amp;ROW()))),"")</f>
      </c>
      <c r="P31" s="733" cm="1">
        <f t="array" aca="true" ref="P31" ca="true">COUNTIFS('Unit-Level Data'!$M:$M,TRUE,
          'Unit-Level Data'!$D:$D, INDIRECT("C"&amp;ROW()),
          'Unit-Level Data'!$B:$B, INDIRECT("B"&amp;ROW()))</f>
        <v>0</v>
      </c>
      <c r="Q31" s="738" t="str" cm="1">
        <f t="array" aca="true" ref="Q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 s="760" t="str" cm="1">
        <f t="array" aca="true" ref="R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 s="733" cm="1">
        <f t="array" aca="true" ref="S31" ca="true">COUNTIFS('Unit-Level Data'!$L:$L, "&gt;=" &amp; ($X$2 - Q$5),
          'Unit-Level Data'!$L:$L, "&lt;" &amp; $X$2,
          'Unit-Level Data'!$D:$D, INDIRECT("C"&amp;ROW()),
          'Unit-Level Data'!$B:$B, INDIRECT("B"&amp;ROW()))</f>
        <v>0</v>
      </c>
      <c r="T31" s="738" t="str" cm="1">
        <f t="array" aca="true" ref="T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 s="760" t="str" cm="1">
        <f t="array" aca="true" ref="U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 s="733" cm="1">
        <f t="array" aca="true" ref="V31" ca="true">COUNTIFS('Unit-Level Data'!$L:$L, "&gt;=" &amp; ($X$2 - T$5),
          'Unit-Level Data'!$L:$L, "&lt;" &amp; $X$2,
          'Unit-Level Data'!$D:$D, INDIRECT("C"&amp;ROW()),
          'Unit-Level Data'!$B:$B, INDIRECT("B"&amp;ROW()))</f>
        <v>0</v>
      </c>
      <c r="W31" s="738" t="str" cm="1">
        <f t="array" aca="true" ref="W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 s="760" t="str" cm="1">
        <f t="array" aca="true" ref="X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 s="733" cm="1">
        <f t="array" aca="true" ref="Y31" ca="true">COUNTIFS('Unit-Level Data'!$L:$L, "&gt;=" &amp; ($X$2 - W$5),
          'Unit-Level Data'!$L:$L, "&lt;" &amp; $X$2,
          'Unit-Level Data'!$D:$D, INDIRECT("C"&amp;ROW()),
          'Unit-Level Data'!$B:$B, INDIRECT("B"&amp;ROW()))</f>
        <v>0</v>
      </c>
      <c r="Z31" s="761"/>
      <c r="AA31" s="735" cm="1">
        <f t="array" aca="true" ref="AA31" ca="true">IFERROR(AVERAGEIFS(
  unit_details[Sqft],
  unit_details[Property Name], INDIRECT("B"&amp;ROW()),
  unit_details[Floorplan Name], INDIRECT("C"&amp;ROW()),
  unit_details[Beds], INDIRECT("D"&amp;ROW()),
  unit_details[Detected Unit Amenities], "*"&amp;$AB$3&amp;"*",
  unit_details[Leased Date], "&gt;=" &amp; ($X$2 - $AD$3)
),0)</f>
        <v>0</v>
      </c>
      <c r="AB31" s="734" cm="1">
        <f t="array" aca="true" ref="AB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 s="733" cm="1">
        <f t="array" aca="true" ref="AC31" ca="true">IFERROR(COUNTIFS(
  unit_details[Property Name], INDIRECT("B"&amp;ROW()),
  unit_details[Floorplan Name], INDIRECT("C"&amp;ROW()),
  unit_details[Beds], INDIRECT("D"&amp;ROW()),
  unit_details[Detected Unit Amenities], "*"&amp;$AB$3&amp;"*",
  unit_details[Leased Date], "&gt;=" &amp; ($X$2 - $AD$3)
),0)</f>
        <v>0</v>
      </c>
      <c r="AD31" s="735" cm="1">
        <f t="array" aca="true" ref="AD31" ca="true">IFERROR(AVERAGEIFS(
  unit_details[Sqft],
  unit_details[Property Name], INDIRECT("B"&amp;ROW()),
  unit_details[Floorplan Name], INDIRECT("C"&amp;ROW()),
  unit_details[Beds], INDIRECT("D"&amp;ROW()),
  unit_details[Detected Unit Amenities], "&lt;&gt;*"&amp;$AB$3&amp;"*",
  unit_details[Leased Date], "&gt;=" &amp; ($X$2 - $AD$3)
),0)</f>
        <v>0</v>
      </c>
      <c r="AE31" s="734" cm="1">
        <f t="array" aca="true" ref="AE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 s="733" cm="1">
        <f t="array" aca="true" ref="AF31" ca="true">IFERROR(COUNTIFS(
  unit_details[Property Name], INDIRECT("B"&amp;ROW()),
  unit_details[Floorplan Name], INDIRECT("C"&amp;ROW()),
  unit_details[Beds], INDIRECT("D"&amp;ROW()),
  unit_details[Detected Unit Amenities], "&lt;&gt;*"&amp;$AB$3&amp;"*",
  unit_details[Leased Date], "&gt;=" &amp; ($X$2 - $AD$3)
),0)</f>
        <v>0</v>
      </c>
      <c r="AG31" s="735"/>
      <c r="AH31" s="738">
        <f t="shared" ca="true" si="2"/>
        <v>0</v>
      </c>
      <c r="AI31" s="739">
        <f t="shared" ca="true" si="3"/>
        <v>0</v>
      </c>
    </row>
    <row r="32" spans="2:35">
      <c r="B32" s="1" t="s">
        <v>1220</v>
      </c>
      <c r="C32" s="80" t="s">
        <v>1277</v>
      </c>
      <c r="D32" s="4">
        <v>2</v>
      </c>
      <c r="E32" s="303">
        <v>2</v>
      </c>
      <c r="F32" s="303"/>
      <c r="G32" s="4">
        <v>33</v>
      </c>
      <c r="H32" s="4">
        <v>68.92857142857143</v>
      </c>
      <c r="I32" s="4">
        <v>1327</v>
      </c>
      <c r="J32" s="345">
        <v>1920.7857142857142</v>
      </c>
      <c r="K32" s="6">
        <v>1.447464743244698</v>
      </c>
      <c r="L32" s="5">
        <v>1920.7857142857142</v>
      </c>
      <c r="M32" s="6">
        <v>1.447464743244698</v>
      </c>
      <c r="N32" s="738" t="str" cm="1">
        <f t="array" aca="true" ref="N32" ca="true">IFERROR(IF($O$3="Chunk Rent",
AVERAGEIFS('Unit-Level Data'!$O:$O,'Unit-Level Data'!$M:$M,TRUE,
          'Unit-Level Data'!$D:$D, INDIRECT("C"&amp;ROW()),
          'Unit-Level Data'!$B:$B, INDIRECT("B"&amp;ROW())),
AVERAGEIFS('Unit-Level Data'!$P:$P,'Unit-Level Data'!$M:$M,TRUE,
          'Unit-Level Data'!$D:$D, INDIRECT("C"&amp;ROW()),
          'Unit-Level Data'!$B:$B, INDIRECT("B"&amp;ROW()))),"")</f>
      </c>
      <c r="O32" s="760" t="str" cm="1">
        <f t="array" aca="true" ref="O32" ca="true">IFERROR(IF($O$3="Chunk Rent",
AVERAGEIFS('Unit-Level Data'!$Q:$Q,'Unit-Level Data'!$M:$M,TRUE,
          'Unit-Level Data'!$D:$D, INDIRECT("C"&amp;ROW()),
          'Unit-Level Data'!$B:$B, INDIRECT("B"&amp;ROW())),
AVERAGEIFS('Unit-Level Data'!$R:$R,'Unit-Level Data'!$M:$M,TRUE,
          'Unit-Level Data'!$D:$D, INDIRECT("C"&amp;ROW()),
          'Unit-Level Data'!$B:$B, INDIRECT("B"&amp;ROW()))),"")</f>
      </c>
      <c r="P32" s="733" cm="1">
        <f t="array" aca="true" ref="P32" ca="true">COUNTIFS('Unit-Level Data'!$M:$M,TRUE,
          'Unit-Level Data'!$D:$D, INDIRECT("C"&amp;ROW()),
          'Unit-Level Data'!$B:$B, INDIRECT("B"&amp;ROW()))</f>
        <v>0</v>
      </c>
      <c r="Q32" s="738" t="str" cm="1">
        <f t="array" aca="true" ref="Q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 s="760" t="str" cm="1">
        <f t="array" aca="true" ref="R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 s="733" cm="1">
        <f t="array" aca="true" ref="S32" ca="true">COUNTIFS('Unit-Level Data'!$L:$L, "&gt;=" &amp; ($X$2 - Q$5),
          'Unit-Level Data'!$L:$L, "&lt;" &amp; $X$2,
          'Unit-Level Data'!$D:$D, INDIRECT("C"&amp;ROW()),
          'Unit-Level Data'!$B:$B, INDIRECT("B"&amp;ROW()))</f>
        <v>0</v>
      </c>
      <c r="T32" s="738" t="str" cm="1">
        <f t="array" aca="true" ref="T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 s="760" t="str" cm="1">
        <f t="array" aca="true" ref="U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 s="733" cm="1">
        <f t="array" aca="true" ref="V32" ca="true">COUNTIFS('Unit-Level Data'!$L:$L, "&gt;=" &amp; ($X$2 - T$5),
          'Unit-Level Data'!$L:$L, "&lt;" &amp; $X$2,
          'Unit-Level Data'!$D:$D, INDIRECT("C"&amp;ROW()),
          'Unit-Level Data'!$B:$B, INDIRECT("B"&amp;ROW()))</f>
        <v>0</v>
      </c>
      <c r="W32" s="738" t="str" cm="1">
        <f t="array" aca="true" ref="W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 s="760" t="str" cm="1">
        <f t="array" aca="true" ref="X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 s="733" cm="1">
        <f t="array" aca="true" ref="Y32" ca="true">COUNTIFS('Unit-Level Data'!$L:$L, "&gt;=" &amp; ($X$2 - W$5),
          'Unit-Level Data'!$L:$L, "&lt;" &amp; $X$2,
          'Unit-Level Data'!$D:$D, INDIRECT("C"&amp;ROW()),
          'Unit-Level Data'!$B:$B, INDIRECT("B"&amp;ROW()))</f>
        <v>0</v>
      </c>
      <c r="Z32" s="761"/>
      <c r="AA32" s="735" cm="1">
        <f t="array" aca="true" ref="AA32" ca="true">IFERROR(AVERAGEIFS(
  unit_details[Sqft],
  unit_details[Property Name], INDIRECT("B"&amp;ROW()),
  unit_details[Floorplan Name], INDIRECT("C"&amp;ROW()),
  unit_details[Beds], INDIRECT("D"&amp;ROW()),
  unit_details[Detected Unit Amenities], "*"&amp;$AB$3&amp;"*",
  unit_details[Leased Date], "&gt;=" &amp; ($X$2 - $AD$3)
),0)</f>
        <v>0</v>
      </c>
      <c r="AB32" s="734" cm="1">
        <f t="array" aca="true" ref="AB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 s="733" cm="1">
        <f t="array" aca="true" ref="AC32" ca="true">IFERROR(COUNTIFS(
  unit_details[Property Name], INDIRECT("B"&amp;ROW()),
  unit_details[Floorplan Name], INDIRECT("C"&amp;ROW()),
  unit_details[Beds], INDIRECT("D"&amp;ROW()),
  unit_details[Detected Unit Amenities], "*"&amp;$AB$3&amp;"*",
  unit_details[Leased Date], "&gt;=" &amp; ($X$2 - $AD$3)
),0)</f>
        <v>0</v>
      </c>
      <c r="AD32" s="735" cm="1">
        <f t="array" aca="true" ref="AD32" ca="true">IFERROR(AVERAGEIFS(
  unit_details[Sqft],
  unit_details[Property Name], INDIRECT("B"&amp;ROW()),
  unit_details[Floorplan Name], INDIRECT("C"&amp;ROW()),
  unit_details[Beds], INDIRECT("D"&amp;ROW()),
  unit_details[Detected Unit Amenities], "&lt;&gt;*"&amp;$AB$3&amp;"*",
  unit_details[Leased Date], "&gt;=" &amp; ($X$2 - $AD$3)
),0)</f>
        <v>0</v>
      </c>
      <c r="AE32" s="734" cm="1">
        <f t="array" aca="true" ref="AE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 s="733" cm="1">
        <f t="array" aca="true" ref="AF32" ca="true">IFERROR(COUNTIFS(
  unit_details[Property Name], INDIRECT("B"&amp;ROW()),
  unit_details[Floorplan Name], INDIRECT("C"&amp;ROW()),
  unit_details[Beds], INDIRECT("D"&amp;ROW()),
  unit_details[Detected Unit Amenities], "&lt;&gt;*"&amp;$AB$3&amp;"*",
  unit_details[Leased Date], "&gt;=" &amp; ($X$2 - $AD$3)
),0)</f>
        <v>0</v>
      </c>
      <c r="AG32" s="735"/>
      <c r="AH32" s="738">
        <f t="shared" ca="true" si="2"/>
        <v>0</v>
      </c>
      <c r="AI32" s="739">
        <f t="shared" ca="true" si="3"/>
        <v>0</v>
      </c>
    </row>
    <row r="33" spans="2:35">
      <c r="B33" s="1" t="s">
        <v>1220</v>
      </c>
      <c r="C33" s="80" t="s">
        <v>1278</v>
      </c>
      <c r="D33" s="4">
        <v>2</v>
      </c>
      <c r="E33" s="303">
        <v>2</v>
      </c>
      <c r="F33" s="303"/>
      <c r="G33" s="4">
        <v>32</v>
      </c>
      <c r="H33" s="4">
        <v>83.92857142857143</v>
      </c>
      <c r="I33" s="4">
        <v>1350</v>
      </c>
      <c r="J33" s="345">
        <v>1922.357142857143</v>
      </c>
      <c r="K33" s="6">
        <v>1.4239682539682539</v>
      </c>
      <c r="L33" s="5">
        <v>1922.357142857143</v>
      </c>
      <c r="M33" s="6">
        <v>1.4239682539682539</v>
      </c>
      <c r="N33" s="738" t="str" cm="1">
        <f t="array" aca="true" ref="N33" ca="true">IFERROR(IF($O$3="Chunk Rent",
AVERAGEIFS('Unit-Level Data'!$O:$O,'Unit-Level Data'!$M:$M,TRUE,
          'Unit-Level Data'!$D:$D, INDIRECT("C"&amp;ROW()),
          'Unit-Level Data'!$B:$B, INDIRECT("B"&amp;ROW())),
AVERAGEIFS('Unit-Level Data'!$P:$P,'Unit-Level Data'!$M:$M,TRUE,
          'Unit-Level Data'!$D:$D, INDIRECT("C"&amp;ROW()),
          'Unit-Level Data'!$B:$B, INDIRECT("B"&amp;ROW()))),"")</f>
      </c>
      <c r="O33" s="760" t="str" cm="1">
        <f t="array" aca="true" ref="O33" ca="true">IFERROR(IF($O$3="Chunk Rent",
AVERAGEIFS('Unit-Level Data'!$Q:$Q,'Unit-Level Data'!$M:$M,TRUE,
          'Unit-Level Data'!$D:$D, INDIRECT("C"&amp;ROW()),
          'Unit-Level Data'!$B:$B, INDIRECT("B"&amp;ROW())),
AVERAGEIFS('Unit-Level Data'!$R:$R,'Unit-Level Data'!$M:$M,TRUE,
          'Unit-Level Data'!$D:$D, INDIRECT("C"&amp;ROW()),
          'Unit-Level Data'!$B:$B, INDIRECT("B"&amp;ROW()))),"")</f>
      </c>
      <c r="P33" s="733" cm="1">
        <f t="array" aca="true" ref="P33" ca="true">COUNTIFS('Unit-Level Data'!$M:$M,TRUE,
          'Unit-Level Data'!$D:$D, INDIRECT("C"&amp;ROW()),
          'Unit-Level Data'!$B:$B, INDIRECT("B"&amp;ROW()))</f>
        <v>0</v>
      </c>
      <c r="Q33" s="738" t="str" cm="1">
        <f t="array" aca="true" ref="Q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 s="760" t="str" cm="1">
        <f t="array" aca="true" ref="R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 s="733" cm="1">
        <f t="array" aca="true" ref="S33" ca="true">COUNTIFS('Unit-Level Data'!$L:$L, "&gt;=" &amp; ($X$2 - Q$5),
          'Unit-Level Data'!$L:$L, "&lt;" &amp; $X$2,
          'Unit-Level Data'!$D:$D, INDIRECT("C"&amp;ROW()),
          'Unit-Level Data'!$B:$B, INDIRECT("B"&amp;ROW()))</f>
        <v>0</v>
      </c>
      <c r="T33" s="738" t="str" cm="1">
        <f t="array" aca="true" ref="T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 s="760" t="str" cm="1">
        <f t="array" aca="true" ref="U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 s="733" cm="1">
        <f t="array" aca="true" ref="V33" ca="true">COUNTIFS('Unit-Level Data'!$L:$L, "&gt;=" &amp; ($X$2 - T$5),
          'Unit-Level Data'!$L:$L, "&lt;" &amp; $X$2,
          'Unit-Level Data'!$D:$D, INDIRECT("C"&amp;ROW()),
          'Unit-Level Data'!$B:$B, INDIRECT("B"&amp;ROW()))</f>
        <v>0</v>
      </c>
      <c r="W33" s="738" t="str" cm="1">
        <f t="array" aca="true" ref="W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 s="760" t="str" cm="1">
        <f t="array" aca="true" ref="X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 s="733" cm="1">
        <f t="array" aca="true" ref="Y33" ca="true">COUNTIFS('Unit-Level Data'!$L:$L, "&gt;=" &amp; ($X$2 - W$5),
          'Unit-Level Data'!$L:$L, "&lt;" &amp; $X$2,
          'Unit-Level Data'!$D:$D, INDIRECT("C"&amp;ROW()),
          'Unit-Level Data'!$B:$B, INDIRECT("B"&amp;ROW()))</f>
        <v>0</v>
      </c>
      <c r="Z33" s="761"/>
      <c r="AA33" s="735" cm="1">
        <f t="array" aca="true" ref="AA33" ca="true">IFERROR(AVERAGEIFS(
  unit_details[Sqft],
  unit_details[Property Name], INDIRECT("B"&amp;ROW()),
  unit_details[Floorplan Name], INDIRECT("C"&amp;ROW()),
  unit_details[Beds], INDIRECT("D"&amp;ROW()),
  unit_details[Detected Unit Amenities], "*"&amp;$AB$3&amp;"*",
  unit_details[Leased Date], "&gt;=" &amp; ($X$2 - $AD$3)
),0)</f>
        <v>0</v>
      </c>
      <c r="AB33" s="734" cm="1">
        <f t="array" aca="true" ref="AB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 s="733" cm="1">
        <f t="array" aca="true" ref="AC33" ca="true">IFERROR(COUNTIFS(
  unit_details[Property Name], INDIRECT("B"&amp;ROW()),
  unit_details[Floorplan Name], INDIRECT("C"&amp;ROW()),
  unit_details[Beds], INDIRECT("D"&amp;ROW()),
  unit_details[Detected Unit Amenities], "*"&amp;$AB$3&amp;"*",
  unit_details[Leased Date], "&gt;=" &amp; ($X$2 - $AD$3)
),0)</f>
        <v>0</v>
      </c>
      <c r="AD33" s="735" cm="1">
        <f t="array" aca="true" ref="AD33" ca="true">IFERROR(AVERAGEIFS(
  unit_details[Sqft],
  unit_details[Property Name], INDIRECT("B"&amp;ROW()),
  unit_details[Floorplan Name], INDIRECT("C"&amp;ROW()),
  unit_details[Beds], INDIRECT("D"&amp;ROW()),
  unit_details[Detected Unit Amenities], "&lt;&gt;*"&amp;$AB$3&amp;"*",
  unit_details[Leased Date], "&gt;=" &amp; ($X$2 - $AD$3)
),0)</f>
        <v>0</v>
      </c>
      <c r="AE33" s="734" cm="1">
        <f t="array" aca="true" ref="AE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 s="733" cm="1">
        <f t="array" aca="true" ref="AF33" ca="true">IFERROR(COUNTIFS(
  unit_details[Property Name], INDIRECT("B"&amp;ROW()),
  unit_details[Floorplan Name], INDIRECT("C"&amp;ROW()),
  unit_details[Beds], INDIRECT("D"&amp;ROW()),
  unit_details[Detected Unit Amenities], "&lt;&gt;*"&amp;$AB$3&amp;"*",
  unit_details[Leased Date], "&gt;=" &amp; ($X$2 - $AD$3)
),0)</f>
        <v>0</v>
      </c>
      <c r="AG33" s="735"/>
      <c r="AH33" s="738">
        <f t="shared" ca="true" si="2"/>
        <v>0</v>
      </c>
      <c r="AI33" s="739">
        <f t="shared" ca="true" si="3"/>
        <v>0</v>
      </c>
    </row>
    <row r="34" spans="2:35">
      <c r="B34" s="1" t="s">
        <v>1221</v>
      </c>
      <c r="C34" s="80" t="s">
        <v>1279</v>
      </c>
      <c r="D34" s="4">
        <v>1</v>
      </c>
      <c r="E34" s="303">
        <v>1</v>
      </c>
      <c r="F34" s="303"/>
      <c r="G34" s="4">
        <v>6</v>
      </c>
      <c r="H34" s="4">
        <v>13.666666666666666</v>
      </c>
      <c r="I34" s="4">
        <v>450</v>
      </c>
      <c r="J34" s="345">
        <v>1035</v>
      </c>
      <c r="K34" s="6">
        <v>2.3</v>
      </c>
      <c r="L34" s="5">
        <v>1035</v>
      </c>
      <c r="M34" s="6">
        <v>2.3</v>
      </c>
      <c r="N34" s="738" t="str" cm="1">
        <f t="array" aca="true" ref="N34" ca="true">IFERROR(IF($O$3="Chunk Rent",
AVERAGEIFS('Unit-Level Data'!$O:$O,'Unit-Level Data'!$M:$M,TRUE,
          'Unit-Level Data'!$D:$D, INDIRECT("C"&amp;ROW()),
          'Unit-Level Data'!$B:$B, INDIRECT("B"&amp;ROW())),
AVERAGEIFS('Unit-Level Data'!$P:$P,'Unit-Level Data'!$M:$M,TRUE,
          'Unit-Level Data'!$D:$D, INDIRECT("C"&amp;ROW()),
          'Unit-Level Data'!$B:$B, INDIRECT("B"&amp;ROW()))),"")</f>
      </c>
      <c r="O34" s="760" t="str" cm="1">
        <f t="array" aca="true" ref="O34" ca="true">IFERROR(IF($O$3="Chunk Rent",
AVERAGEIFS('Unit-Level Data'!$Q:$Q,'Unit-Level Data'!$M:$M,TRUE,
          'Unit-Level Data'!$D:$D, INDIRECT("C"&amp;ROW()),
          'Unit-Level Data'!$B:$B, INDIRECT("B"&amp;ROW())),
AVERAGEIFS('Unit-Level Data'!$R:$R,'Unit-Level Data'!$M:$M,TRUE,
          'Unit-Level Data'!$D:$D, INDIRECT("C"&amp;ROW()),
          'Unit-Level Data'!$B:$B, INDIRECT("B"&amp;ROW()))),"")</f>
      </c>
      <c r="P34" s="733" cm="1">
        <f t="array" aca="true" ref="P34" ca="true">COUNTIFS('Unit-Level Data'!$M:$M,TRUE,
          'Unit-Level Data'!$D:$D, INDIRECT("C"&amp;ROW()),
          'Unit-Level Data'!$B:$B, INDIRECT("B"&amp;ROW()))</f>
        <v>0</v>
      </c>
      <c r="Q34" s="738" t="str" cm="1">
        <f t="array" aca="true" ref="Q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 s="760" t="str" cm="1">
        <f t="array" aca="true" ref="R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 s="733" cm="1">
        <f t="array" aca="true" ref="S34" ca="true">COUNTIFS('Unit-Level Data'!$L:$L, "&gt;=" &amp; ($X$2 - Q$5),
          'Unit-Level Data'!$L:$L, "&lt;" &amp; $X$2,
          'Unit-Level Data'!$D:$D, INDIRECT("C"&amp;ROW()),
          'Unit-Level Data'!$B:$B, INDIRECT("B"&amp;ROW()))</f>
        <v>0</v>
      </c>
      <c r="T34" s="738" t="str" cm="1">
        <f t="array" aca="true" ref="T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 s="760" t="str" cm="1">
        <f t="array" aca="true" ref="U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 s="733" cm="1">
        <f t="array" aca="true" ref="V34" ca="true">COUNTIFS('Unit-Level Data'!$L:$L, "&gt;=" &amp; ($X$2 - T$5),
          'Unit-Level Data'!$L:$L, "&lt;" &amp; $X$2,
          'Unit-Level Data'!$D:$D, INDIRECT("C"&amp;ROW()),
          'Unit-Level Data'!$B:$B, INDIRECT("B"&amp;ROW()))</f>
        <v>0</v>
      </c>
      <c r="W34" s="738" t="str" cm="1">
        <f t="array" aca="true" ref="W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 s="760" t="str" cm="1">
        <f t="array" aca="true" ref="X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 s="733" cm="1">
        <f t="array" aca="true" ref="Y34" ca="true">COUNTIFS('Unit-Level Data'!$L:$L, "&gt;=" &amp; ($X$2 - W$5),
          'Unit-Level Data'!$L:$L, "&lt;" &amp; $X$2,
          'Unit-Level Data'!$D:$D, INDIRECT("C"&amp;ROW()),
          'Unit-Level Data'!$B:$B, INDIRECT("B"&amp;ROW()))</f>
        <v>0</v>
      </c>
      <c r="Z34" s="761"/>
      <c r="AA34" s="735" cm="1">
        <f t="array" aca="true" ref="AA34" ca="true">IFERROR(AVERAGEIFS(
  unit_details[Sqft],
  unit_details[Property Name], INDIRECT("B"&amp;ROW()),
  unit_details[Floorplan Name], INDIRECT("C"&amp;ROW()),
  unit_details[Beds], INDIRECT("D"&amp;ROW()),
  unit_details[Detected Unit Amenities], "*"&amp;$AB$3&amp;"*",
  unit_details[Leased Date], "&gt;=" &amp; ($X$2 - $AD$3)
),0)</f>
        <v>0</v>
      </c>
      <c r="AB34" s="734" cm="1">
        <f t="array" aca="true" ref="AB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 s="733" cm="1">
        <f t="array" aca="true" ref="AC34" ca="true">IFERROR(COUNTIFS(
  unit_details[Property Name], INDIRECT("B"&amp;ROW()),
  unit_details[Floorplan Name], INDIRECT("C"&amp;ROW()),
  unit_details[Beds], INDIRECT("D"&amp;ROW()),
  unit_details[Detected Unit Amenities], "*"&amp;$AB$3&amp;"*",
  unit_details[Leased Date], "&gt;=" &amp; ($X$2 - $AD$3)
),0)</f>
        <v>0</v>
      </c>
      <c r="AD34" s="735" cm="1">
        <f t="array" aca="true" ref="AD34" ca="true">IFERROR(AVERAGEIFS(
  unit_details[Sqft],
  unit_details[Property Name], INDIRECT("B"&amp;ROW()),
  unit_details[Floorplan Name], INDIRECT("C"&amp;ROW()),
  unit_details[Beds], INDIRECT("D"&amp;ROW()),
  unit_details[Detected Unit Amenities], "&lt;&gt;*"&amp;$AB$3&amp;"*",
  unit_details[Leased Date], "&gt;=" &amp; ($X$2 - $AD$3)
),0)</f>
        <v>0</v>
      </c>
      <c r="AE34" s="734" cm="1">
        <f t="array" aca="true" ref="AE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 s="733" cm="1">
        <f t="array" aca="true" ref="AF34" ca="true">IFERROR(COUNTIFS(
  unit_details[Property Name], INDIRECT("B"&amp;ROW()),
  unit_details[Floorplan Name], INDIRECT("C"&amp;ROW()),
  unit_details[Beds], INDIRECT("D"&amp;ROW()),
  unit_details[Detected Unit Amenities], "&lt;&gt;*"&amp;$AB$3&amp;"*",
  unit_details[Leased Date], "&gt;=" &amp; ($X$2 - $AD$3)
),0)</f>
        <v>0</v>
      </c>
      <c r="AG34" s="735"/>
      <c r="AH34" s="738">
        <f t="shared" ca="true" si="2"/>
        <v>0</v>
      </c>
      <c r="AI34" s="739">
        <f t="shared" ca="true" si="3"/>
        <v>0</v>
      </c>
    </row>
    <row r="35" spans="2:35">
      <c r="B35" s="1" t="s">
        <v>1221</v>
      </c>
      <c r="C35" s="80" t="s">
        <v>1280</v>
      </c>
      <c r="D35" s="4">
        <v>1</v>
      </c>
      <c r="E35" s="303">
        <v>1</v>
      </c>
      <c r="F35" s="303"/>
      <c r="G35" s="4">
        <v>75</v>
      </c>
      <c r="H35" s="4">
        <v>20.575</v>
      </c>
      <c r="I35" s="4">
        <v>600</v>
      </c>
      <c r="J35" s="345">
        <v>1244.1</v>
      </c>
      <c r="K35" s="6">
        <v>2.0735</v>
      </c>
      <c r="L35" s="5">
        <v>1244.1</v>
      </c>
      <c r="M35" s="6">
        <v>2.0735</v>
      </c>
      <c r="N35" s="738" t="str" cm="1">
        <f t="array" aca="true" ref="N35" ca="true">IFERROR(IF($O$3="Chunk Rent",
AVERAGEIFS('Unit-Level Data'!$O:$O,'Unit-Level Data'!$M:$M,TRUE,
          'Unit-Level Data'!$D:$D, INDIRECT("C"&amp;ROW()),
          'Unit-Level Data'!$B:$B, INDIRECT("B"&amp;ROW())),
AVERAGEIFS('Unit-Level Data'!$P:$P,'Unit-Level Data'!$M:$M,TRUE,
          'Unit-Level Data'!$D:$D, INDIRECT("C"&amp;ROW()),
          'Unit-Level Data'!$B:$B, INDIRECT("B"&amp;ROW()))),"")</f>
      </c>
      <c r="O35" s="760" t="str" cm="1">
        <f t="array" aca="true" ref="O35" ca="true">IFERROR(IF($O$3="Chunk Rent",
AVERAGEIFS('Unit-Level Data'!$Q:$Q,'Unit-Level Data'!$M:$M,TRUE,
          'Unit-Level Data'!$D:$D, INDIRECT("C"&amp;ROW()),
          'Unit-Level Data'!$B:$B, INDIRECT("B"&amp;ROW())),
AVERAGEIFS('Unit-Level Data'!$R:$R,'Unit-Level Data'!$M:$M,TRUE,
          'Unit-Level Data'!$D:$D, INDIRECT("C"&amp;ROW()),
          'Unit-Level Data'!$B:$B, INDIRECT("B"&amp;ROW()))),"")</f>
      </c>
      <c r="P35" s="733" cm="1">
        <f t="array" aca="true" ref="P35" ca="true">COUNTIFS('Unit-Level Data'!$M:$M,TRUE,
          'Unit-Level Data'!$D:$D, INDIRECT("C"&amp;ROW()),
          'Unit-Level Data'!$B:$B, INDIRECT("B"&amp;ROW()))</f>
        <v>0</v>
      </c>
      <c r="Q35" s="738" t="str" cm="1">
        <f t="array" aca="true" ref="Q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 s="760" t="str" cm="1">
        <f t="array" aca="true" ref="R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 s="733" cm="1">
        <f t="array" aca="true" ref="S35" ca="true">COUNTIFS('Unit-Level Data'!$L:$L, "&gt;=" &amp; ($X$2 - Q$5),
          'Unit-Level Data'!$L:$L, "&lt;" &amp; $X$2,
          'Unit-Level Data'!$D:$D, INDIRECT("C"&amp;ROW()),
          'Unit-Level Data'!$B:$B, INDIRECT("B"&amp;ROW()))</f>
        <v>0</v>
      </c>
      <c r="T35" s="738" t="str" cm="1">
        <f t="array" aca="true" ref="T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 s="760" t="str" cm="1">
        <f t="array" aca="true" ref="U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 s="733" cm="1">
        <f t="array" aca="true" ref="V35" ca="true">COUNTIFS('Unit-Level Data'!$L:$L, "&gt;=" &amp; ($X$2 - T$5),
          'Unit-Level Data'!$L:$L, "&lt;" &amp; $X$2,
          'Unit-Level Data'!$D:$D, INDIRECT("C"&amp;ROW()),
          'Unit-Level Data'!$B:$B, INDIRECT("B"&amp;ROW()))</f>
        <v>0</v>
      </c>
      <c r="W35" s="738" t="str" cm="1">
        <f t="array" aca="true" ref="W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 s="760" t="str" cm="1">
        <f t="array" aca="true" ref="X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 s="733" cm="1">
        <f t="array" aca="true" ref="Y35" ca="true">COUNTIFS('Unit-Level Data'!$L:$L, "&gt;=" &amp; ($X$2 - W$5),
          'Unit-Level Data'!$L:$L, "&lt;" &amp; $X$2,
          'Unit-Level Data'!$D:$D, INDIRECT("C"&amp;ROW()),
          'Unit-Level Data'!$B:$B, INDIRECT("B"&amp;ROW()))</f>
        <v>0</v>
      </c>
      <c r="Z35" s="761"/>
      <c r="AA35" s="735" cm="1">
        <f t="array" aca="true" ref="AA35" ca="true">IFERROR(AVERAGEIFS(
  unit_details[Sqft],
  unit_details[Property Name], INDIRECT("B"&amp;ROW()),
  unit_details[Floorplan Name], INDIRECT("C"&amp;ROW()),
  unit_details[Beds], INDIRECT("D"&amp;ROW()),
  unit_details[Detected Unit Amenities], "*"&amp;$AB$3&amp;"*",
  unit_details[Leased Date], "&gt;=" &amp; ($X$2 - $AD$3)
),0)</f>
        <v>0</v>
      </c>
      <c r="AB35" s="734" cm="1">
        <f t="array" aca="true" ref="AB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 s="733" cm="1">
        <f t="array" aca="true" ref="AC35" ca="true">IFERROR(COUNTIFS(
  unit_details[Property Name], INDIRECT("B"&amp;ROW()),
  unit_details[Floorplan Name], INDIRECT("C"&amp;ROW()),
  unit_details[Beds], INDIRECT("D"&amp;ROW()),
  unit_details[Detected Unit Amenities], "*"&amp;$AB$3&amp;"*",
  unit_details[Leased Date], "&gt;=" &amp; ($X$2 - $AD$3)
),0)</f>
        <v>0</v>
      </c>
      <c r="AD35" s="735" cm="1">
        <f t="array" aca="true" ref="AD35" ca="true">IFERROR(AVERAGEIFS(
  unit_details[Sqft],
  unit_details[Property Name], INDIRECT("B"&amp;ROW()),
  unit_details[Floorplan Name], INDIRECT("C"&amp;ROW()),
  unit_details[Beds], INDIRECT("D"&amp;ROW()),
  unit_details[Detected Unit Amenities], "&lt;&gt;*"&amp;$AB$3&amp;"*",
  unit_details[Leased Date], "&gt;=" &amp; ($X$2 - $AD$3)
),0)</f>
        <v>0</v>
      </c>
      <c r="AE35" s="734" cm="1">
        <f t="array" aca="true" ref="AE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 s="733" cm="1">
        <f t="array" aca="true" ref="AF35" ca="true">IFERROR(COUNTIFS(
  unit_details[Property Name], INDIRECT("B"&amp;ROW()),
  unit_details[Floorplan Name], INDIRECT("C"&amp;ROW()),
  unit_details[Beds], INDIRECT("D"&amp;ROW()),
  unit_details[Detected Unit Amenities], "&lt;&gt;*"&amp;$AB$3&amp;"*",
  unit_details[Leased Date], "&gt;=" &amp; ($X$2 - $AD$3)
),0)</f>
        <v>0</v>
      </c>
      <c r="AG35" s="735"/>
      <c r="AH35" s="738">
        <f t="shared" ca="true" si="2"/>
        <v>0</v>
      </c>
      <c r="AI35" s="739">
        <f t="shared" ca="true" si="3"/>
        <v>0</v>
      </c>
    </row>
    <row r="36" spans="2:35">
      <c r="B36" s="1" t="s">
        <v>1221</v>
      </c>
      <c r="C36" s="80" t="s">
        <v>1281</v>
      </c>
      <c r="D36" s="4">
        <v>1</v>
      </c>
      <c r="E36" s="303">
        <v>1</v>
      </c>
      <c r="F36" s="303"/>
      <c r="G36" s="4">
        <v>21</v>
      </c>
      <c r="H36" s="4">
        <v>23.09090909090909</v>
      </c>
      <c r="I36" s="4">
        <v>600</v>
      </c>
      <c r="J36" s="345">
        <v>1253.2727272727273</v>
      </c>
      <c r="K36" s="6">
        <v>2.088787878787879</v>
      </c>
      <c r="L36" s="5">
        <v>1253.2727272727273</v>
      </c>
      <c r="M36" s="6">
        <v>2.088787878787879</v>
      </c>
      <c r="N36" s="738" t="str" cm="1">
        <f t="array" aca="true" ref="N36" ca="true">IFERROR(IF($O$3="Chunk Rent",
AVERAGEIFS('Unit-Level Data'!$O:$O,'Unit-Level Data'!$M:$M,TRUE,
          'Unit-Level Data'!$D:$D, INDIRECT("C"&amp;ROW()),
          'Unit-Level Data'!$B:$B, INDIRECT("B"&amp;ROW())),
AVERAGEIFS('Unit-Level Data'!$P:$P,'Unit-Level Data'!$M:$M,TRUE,
          'Unit-Level Data'!$D:$D, INDIRECT("C"&amp;ROW()),
          'Unit-Level Data'!$B:$B, INDIRECT("B"&amp;ROW()))),"")</f>
      </c>
      <c r="O36" s="760" t="str" cm="1">
        <f t="array" aca="true" ref="O36" ca="true">IFERROR(IF($O$3="Chunk Rent",
AVERAGEIFS('Unit-Level Data'!$Q:$Q,'Unit-Level Data'!$M:$M,TRUE,
          'Unit-Level Data'!$D:$D, INDIRECT("C"&amp;ROW()),
          'Unit-Level Data'!$B:$B, INDIRECT("B"&amp;ROW())),
AVERAGEIFS('Unit-Level Data'!$R:$R,'Unit-Level Data'!$M:$M,TRUE,
          'Unit-Level Data'!$D:$D, INDIRECT("C"&amp;ROW()),
          'Unit-Level Data'!$B:$B, INDIRECT("B"&amp;ROW()))),"")</f>
      </c>
      <c r="P36" s="733" cm="1">
        <f t="array" aca="true" ref="P36" ca="true">COUNTIFS('Unit-Level Data'!$M:$M,TRUE,
          'Unit-Level Data'!$D:$D, INDIRECT("C"&amp;ROW()),
          'Unit-Level Data'!$B:$B, INDIRECT("B"&amp;ROW()))</f>
        <v>0</v>
      </c>
      <c r="Q36" s="738" t="str" cm="1">
        <f t="array" aca="true" ref="Q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 s="760" t="str" cm="1">
        <f t="array" aca="true" ref="R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 s="733" cm="1">
        <f t="array" aca="true" ref="S36" ca="true">COUNTIFS('Unit-Level Data'!$L:$L, "&gt;=" &amp; ($X$2 - Q$5),
          'Unit-Level Data'!$L:$L, "&lt;" &amp; $X$2,
          'Unit-Level Data'!$D:$D, INDIRECT("C"&amp;ROW()),
          'Unit-Level Data'!$B:$B, INDIRECT("B"&amp;ROW()))</f>
        <v>0</v>
      </c>
      <c r="T36" s="738" t="str" cm="1">
        <f t="array" aca="true" ref="T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 s="760" t="str" cm="1">
        <f t="array" aca="true" ref="U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 s="733" cm="1">
        <f t="array" aca="true" ref="V36" ca="true">COUNTIFS('Unit-Level Data'!$L:$L, "&gt;=" &amp; ($X$2 - T$5),
          'Unit-Level Data'!$L:$L, "&lt;" &amp; $X$2,
          'Unit-Level Data'!$D:$D, INDIRECT("C"&amp;ROW()),
          'Unit-Level Data'!$B:$B, INDIRECT("B"&amp;ROW()))</f>
        <v>0</v>
      </c>
      <c r="W36" s="738" t="str" cm="1">
        <f t="array" aca="true" ref="W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 s="760" t="str" cm="1">
        <f t="array" aca="true" ref="X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 s="733" cm="1">
        <f t="array" aca="true" ref="Y36" ca="true">COUNTIFS('Unit-Level Data'!$L:$L, "&gt;=" &amp; ($X$2 - W$5),
          'Unit-Level Data'!$L:$L, "&lt;" &amp; $X$2,
          'Unit-Level Data'!$D:$D, INDIRECT("C"&amp;ROW()),
          'Unit-Level Data'!$B:$B, INDIRECT("B"&amp;ROW()))</f>
        <v>0</v>
      </c>
      <c r="Z36" s="761"/>
      <c r="AA36" s="735" cm="1">
        <f t="array" aca="true" ref="AA36" ca="true">IFERROR(AVERAGEIFS(
  unit_details[Sqft],
  unit_details[Property Name], INDIRECT("B"&amp;ROW()),
  unit_details[Floorplan Name], INDIRECT("C"&amp;ROW()),
  unit_details[Beds], INDIRECT("D"&amp;ROW()),
  unit_details[Detected Unit Amenities], "*"&amp;$AB$3&amp;"*",
  unit_details[Leased Date], "&gt;=" &amp; ($X$2 - $AD$3)
),0)</f>
        <v>0</v>
      </c>
      <c r="AB36" s="734" cm="1">
        <f t="array" aca="true" ref="AB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 s="733" cm="1">
        <f t="array" aca="true" ref="AC36" ca="true">IFERROR(COUNTIFS(
  unit_details[Property Name], INDIRECT("B"&amp;ROW()),
  unit_details[Floorplan Name], INDIRECT("C"&amp;ROW()),
  unit_details[Beds], INDIRECT("D"&amp;ROW()),
  unit_details[Detected Unit Amenities], "*"&amp;$AB$3&amp;"*",
  unit_details[Leased Date], "&gt;=" &amp; ($X$2 - $AD$3)
),0)</f>
        <v>0</v>
      </c>
      <c r="AD36" s="735" cm="1">
        <f t="array" aca="true" ref="AD36" ca="true">IFERROR(AVERAGEIFS(
  unit_details[Sqft],
  unit_details[Property Name], INDIRECT("B"&amp;ROW()),
  unit_details[Floorplan Name], INDIRECT("C"&amp;ROW()),
  unit_details[Beds], INDIRECT("D"&amp;ROW()),
  unit_details[Detected Unit Amenities], "&lt;&gt;*"&amp;$AB$3&amp;"*",
  unit_details[Leased Date], "&gt;=" &amp; ($X$2 - $AD$3)
),0)</f>
        <v>0</v>
      </c>
      <c r="AE36" s="734" cm="1">
        <f t="array" aca="true" ref="AE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 s="733" cm="1">
        <f t="array" aca="true" ref="AF36" ca="true">IFERROR(COUNTIFS(
  unit_details[Property Name], INDIRECT("B"&amp;ROW()),
  unit_details[Floorplan Name], INDIRECT("C"&amp;ROW()),
  unit_details[Beds], INDIRECT("D"&amp;ROW()),
  unit_details[Detected Unit Amenities], "&lt;&gt;*"&amp;$AB$3&amp;"*",
  unit_details[Leased Date], "&gt;=" &amp; ($X$2 - $AD$3)
),0)</f>
        <v>0</v>
      </c>
      <c r="AG36" s="735"/>
      <c r="AH36" s="738">
        <f t="shared" ca="true" si="2"/>
        <v>0</v>
      </c>
      <c r="AI36" s="739">
        <f t="shared" ca="true" si="3"/>
        <v>0</v>
      </c>
    </row>
    <row r="37" spans="2:35">
      <c r="B37" s="1" t="s">
        <v>1221</v>
      </c>
      <c r="C37" s="80" t="s">
        <v>1282</v>
      </c>
      <c r="D37" s="4">
        <v>1</v>
      </c>
      <c r="E37" s="303">
        <v>1</v>
      </c>
      <c r="F37" s="303"/>
      <c r="G37" s="4">
        <v>81</v>
      </c>
      <c r="H37" s="4">
        <v>40.51162790697674</v>
      </c>
      <c r="I37" s="4">
        <v>600</v>
      </c>
      <c r="J37" s="345">
        <v>1217.4418604651162</v>
      </c>
      <c r="K37" s="6">
        <v>2.0290697674418605</v>
      </c>
      <c r="L37" s="5">
        <v>1213.3720930232557</v>
      </c>
      <c r="M37" s="6">
        <v>2.022286821705426</v>
      </c>
      <c r="N37" s="738" t="str" cm="1">
        <f t="array" aca="true" ref="N37" ca="true">IFERROR(IF($O$3="Chunk Rent",
AVERAGEIFS('Unit-Level Data'!$O:$O,'Unit-Level Data'!$M:$M,TRUE,
          'Unit-Level Data'!$D:$D, INDIRECT("C"&amp;ROW()),
          'Unit-Level Data'!$B:$B, INDIRECT("B"&amp;ROW())),
AVERAGEIFS('Unit-Level Data'!$P:$P,'Unit-Level Data'!$M:$M,TRUE,
          'Unit-Level Data'!$D:$D, INDIRECT("C"&amp;ROW()),
          'Unit-Level Data'!$B:$B, INDIRECT("B"&amp;ROW()))),"")</f>
      </c>
      <c r="O37" s="760" t="str" cm="1">
        <f t="array" aca="true" ref="O37" ca="true">IFERROR(IF($O$3="Chunk Rent",
AVERAGEIFS('Unit-Level Data'!$Q:$Q,'Unit-Level Data'!$M:$M,TRUE,
          'Unit-Level Data'!$D:$D, INDIRECT("C"&amp;ROW()),
          'Unit-Level Data'!$B:$B, INDIRECT("B"&amp;ROW())),
AVERAGEIFS('Unit-Level Data'!$R:$R,'Unit-Level Data'!$M:$M,TRUE,
          'Unit-Level Data'!$D:$D, INDIRECT("C"&amp;ROW()),
          'Unit-Level Data'!$B:$B, INDIRECT("B"&amp;ROW()))),"")</f>
      </c>
      <c r="P37" s="733" cm="1">
        <f t="array" aca="true" ref="P37" ca="true">COUNTIFS('Unit-Level Data'!$M:$M,TRUE,
          'Unit-Level Data'!$D:$D, INDIRECT("C"&amp;ROW()),
          'Unit-Level Data'!$B:$B, INDIRECT("B"&amp;ROW()))</f>
        <v>0</v>
      </c>
      <c r="Q37" s="738" t="str" cm="1">
        <f t="array" aca="true" ref="Q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 s="760" t="str" cm="1">
        <f t="array" aca="true" ref="R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 s="733" cm="1">
        <f t="array" aca="true" ref="S37" ca="true">COUNTIFS('Unit-Level Data'!$L:$L, "&gt;=" &amp; ($X$2 - Q$5),
          'Unit-Level Data'!$L:$L, "&lt;" &amp; $X$2,
          'Unit-Level Data'!$D:$D, INDIRECT("C"&amp;ROW()),
          'Unit-Level Data'!$B:$B, INDIRECT("B"&amp;ROW()))</f>
        <v>0</v>
      </c>
      <c r="T37" s="738" t="str" cm="1">
        <f t="array" aca="true" ref="T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 s="760" t="str" cm="1">
        <f t="array" aca="true" ref="U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 s="733" cm="1">
        <f t="array" aca="true" ref="V37" ca="true">COUNTIFS('Unit-Level Data'!$L:$L, "&gt;=" &amp; ($X$2 - T$5),
          'Unit-Level Data'!$L:$L, "&lt;" &amp; $X$2,
          'Unit-Level Data'!$D:$D, INDIRECT("C"&amp;ROW()),
          'Unit-Level Data'!$B:$B, INDIRECT("B"&amp;ROW()))</f>
        <v>0</v>
      </c>
      <c r="W37" s="738" t="str" cm="1">
        <f t="array" aca="true" ref="W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 s="760" t="str" cm="1">
        <f t="array" aca="true" ref="X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 s="733" cm="1">
        <f t="array" aca="true" ref="Y37" ca="true">COUNTIFS('Unit-Level Data'!$L:$L, "&gt;=" &amp; ($X$2 - W$5),
          'Unit-Level Data'!$L:$L, "&lt;" &amp; $X$2,
          'Unit-Level Data'!$D:$D, INDIRECT("C"&amp;ROW()),
          'Unit-Level Data'!$B:$B, INDIRECT("B"&amp;ROW()))</f>
        <v>0</v>
      </c>
      <c r="Z37" s="761"/>
      <c r="AA37" s="735" cm="1">
        <f t="array" aca="true" ref="AA37" ca="true">IFERROR(AVERAGEIFS(
  unit_details[Sqft],
  unit_details[Property Name], INDIRECT("B"&amp;ROW()),
  unit_details[Floorplan Name], INDIRECT("C"&amp;ROW()),
  unit_details[Beds], INDIRECT("D"&amp;ROW()),
  unit_details[Detected Unit Amenities], "*"&amp;$AB$3&amp;"*",
  unit_details[Leased Date], "&gt;=" &amp; ($X$2 - $AD$3)
),0)</f>
        <v>0</v>
      </c>
      <c r="AB37" s="734" cm="1">
        <f t="array" aca="true" ref="AB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 s="733" cm="1">
        <f t="array" aca="true" ref="AC37" ca="true">IFERROR(COUNTIFS(
  unit_details[Property Name], INDIRECT("B"&amp;ROW()),
  unit_details[Floorplan Name], INDIRECT("C"&amp;ROW()),
  unit_details[Beds], INDIRECT("D"&amp;ROW()),
  unit_details[Detected Unit Amenities], "*"&amp;$AB$3&amp;"*",
  unit_details[Leased Date], "&gt;=" &amp; ($X$2 - $AD$3)
),0)</f>
        <v>0</v>
      </c>
      <c r="AD37" s="735" cm="1">
        <f t="array" aca="true" ref="AD37" ca="true">IFERROR(AVERAGEIFS(
  unit_details[Sqft],
  unit_details[Property Name], INDIRECT("B"&amp;ROW()),
  unit_details[Floorplan Name], INDIRECT("C"&amp;ROW()),
  unit_details[Beds], INDIRECT("D"&amp;ROW()),
  unit_details[Detected Unit Amenities], "&lt;&gt;*"&amp;$AB$3&amp;"*",
  unit_details[Leased Date], "&gt;=" &amp; ($X$2 - $AD$3)
),0)</f>
        <v>0</v>
      </c>
      <c r="AE37" s="734" cm="1">
        <f t="array" aca="true" ref="AE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 s="733" cm="1">
        <f t="array" aca="true" ref="AF37" ca="true">IFERROR(COUNTIFS(
  unit_details[Property Name], INDIRECT("B"&amp;ROW()),
  unit_details[Floorplan Name], INDIRECT("C"&amp;ROW()),
  unit_details[Beds], INDIRECT("D"&amp;ROW()),
  unit_details[Detected Unit Amenities], "&lt;&gt;*"&amp;$AB$3&amp;"*",
  unit_details[Leased Date], "&gt;=" &amp; ($X$2 - $AD$3)
),0)</f>
        <v>0</v>
      </c>
      <c r="AG37" s="735"/>
      <c r="AH37" s="738">
        <f t="shared" ca="true" si="2"/>
        <v>0</v>
      </c>
      <c r="AI37" s="739">
        <f t="shared" ca="true" si="3"/>
        <v>0</v>
      </c>
    </row>
    <row r="38" spans="2:35">
      <c r="B38" s="1" t="s">
        <v>1221</v>
      </c>
      <c r="C38" s="80" t="s">
        <v>1283</v>
      </c>
      <c r="D38" s="4">
        <v>1</v>
      </c>
      <c r="E38" s="303">
        <v>1</v>
      </c>
      <c r="F38" s="303"/>
      <c r="G38" s="4">
        <v>4</v>
      </c>
      <c r="H38" s="4">
        <v>24</v>
      </c>
      <c r="I38" s="4">
        <v>600</v>
      </c>
      <c r="J38" s="345">
        <v>1200</v>
      </c>
      <c r="K38" s="6">
        <v>2</v>
      </c>
      <c r="L38" s="5">
        <v>1200</v>
      </c>
      <c r="M38" s="6">
        <v>2</v>
      </c>
      <c r="N38" s="738" t="str" cm="1">
        <f t="array" aca="true" ref="N38" ca="true">IFERROR(IF($O$3="Chunk Rent",
AVERAGEIFS('Unit-Level Data'!$O:$O,'Unit-Level Data'!$M:$M,TRUE,
          'Unit-Level Data'!$D:$D, INDIRECT("C"&amp;ROW()),
          'Unit-Level Data'!$B:$B, INDIRECT("B"&amp;ROW())),
AVERAGEIFS('Unit-Level Data'!$P:$P,'Unit-Level Data'!$M:$M,TRUE,
          'Unit-Level Data'!$D:$D, INDIRECT("C"&amp;ROW()),
          'Unit-Level Data'!$B:$B, INDIRECT("B"&amp;ROW()))),"")</f>
      </c>
      <c r="O38" s="760" t="str" cm="1">
        <f t="array" aca="true" ref="O38" ca="true">IFERROR(IF($O$3="Chunk Rent",
AVERAGEIFS('Unit-Level Data'!$Q:$Q,'Unit-Level Data'!$M:$M,TRUE,
          'Unit-Level Data'!$D:$D, INDIRECT("C"&amp;ROW()),
          'Unit-Level Data'!$B:$B, INDIRECT("B"&amp;ROW())),
AVERAGEIFS('Unit-Level Data'!$R:$R,'Unit-Level Data'!$M:$M,TRUE,
          'Unit-Level Data'!$D:$D, INDIRECT("C"&amp;ROW()),
          'Unit-Level Data'!$B:$B, INDIRECT("B"&amp;ROW()))),"")</f>
      </c>
      <c r="P38" s="733" cm="1">
        <f t="array" aca="true" ref="P38" ca="true">COUNTIFS('Unit-Level Data'!$M:$M,TRUE,
          'Unit-Level Data'!$D:$D, INDIRECT("C"&amp;ROW()),
          'Unit-Level Data'!$B:$B, INDIRECT("B"&amp;ROW()))</f>
        <v>0</v>
      </c>
      <c r="Q38" s="738" t="str" cm="1">
        <f t="array" aca="true" ref="Q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 s="760" t="str" cm="1">
        <f t="array" aca="true" ref="R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 s="733" cm="1">
        <f t="array" aca="true" ref="S38" ca="true">COUNTIFS('Unit-Level Data'!$L:$L, "&gt;=" &amp; ($X$2 - Q$5),
          'Unit-Level Data'!$L:$L, "&lt;" &amp; $X$2,
          'Unit-Level Data'!$D:$D, INDIRECT("C"&amp;ROW()),
          'Unit-Level Data'!$B:$B, INDIRECT("B"&amp;ROW()))</f>
        <v>0</v>
      </c>
      <c r="T38" s="738" t="str" cm="1">
        <f t="array" aca="true" ref="T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 s="760" t="str" cm="1">
        <f t="array" aca="true" ref="U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 s="733" cm="1">
        <f t="array" aca="true" ref="V38" ca="true">COUNTIFS('Unit-Level Data'!$L:$L, "&gt;=" &amp; ($X$2 - T$5),
          'Unit-Level Data'!$L:$L, "&lt;" &amp; $X$2,
          'Unit-Level Data'!$D:$D, INDIRECT("C"&amp;ROW()),
          'Unit-Level Data'!$B:$B, INDIRECT("B"&amp;ROW()))</f>
        <v>0</v>
      </c>
      <c r="W38" s="738" t="str" cm="1">
        <f t="array" aca="true" ref="W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 s="760" t="str" cm="1">
        <f t="array" aca="true" ref="X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 s="733" cm="1">
        <f t="array" aca="true" ref="Y38" ca="true">COUNTIFS('Unit-Level Data'!$L:$L, "&gt;=" &amp; ($X$2 - W$5),
          'Unit-Level Data'!$L:$L, "&lt;" &amp; $X$2,
          'Unit-Level Data'!$D:$D, INDIRECT("C"&amp;ROW()),
          'Unit-Level Data'!$B:$B, INDIRECT("B"&amp;ROW()))</f>
        <v>0</v>
      </c>
      <c r="Z38" s="761"/>
      <c r="AA38" s="735" cm="1">
        <f t="array" aca="true" ref="AA38" ca="true">IFERROR(AVERAGEIFS(
  unit_details[Sqft],
  unit_details[Property Name], INDIRECT("B"&amp;ROW()),
  unit_details[Floorplan Name], INDIRECT("C"&amp;ROW()),
  unit_details[Beds], INDIRECT("D"&amp;ROW()),
  unit_details[Detected Unit Amenities], "*"&amp;$AB$3&amp;"*",
  unit_details[Leased Date], "&gt;=" &amp; ($X$2 - $AD$3)
),0)</f>
        <v>0</v>
      </c>
      <c r="AB38" s="734" cm="1">
        <f t="array" aca="true" ref="AB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 s="733" cm="1">
        <f t="array" aca="true" ref="AC38" ca="true">IFERROR(COUNTIFS(
  unit_details[Property Name], INDIRECT("B"&amp;ROW()),
  unit_details[Floorplan Name], INDIRECT("C"&amp;ROW()),
  unit_details[Beds], INDIRECT("D"&amp;ROW()),
  unit_details[Detected Unit Amenities], "*"&amp;$AB$3&amp;"*",
  unit_details[Leased Date], "&gt;=" &amp; ($X$2 - $AD$3)
),0)</f>
        <v>0</v>
      </c>
      <c r="AD38" s="735" cm="1">
        <f t="array" aca="true" ref="AD38" ca="true">IFERROR(AVERAGEIFS(
  unit_details[Sqft],
  unit_details[Property Name], INDIRECT("B"&amp;ROW()),
  unit_details[Floorplan Name], INDIRECT("C"&amp;ROW()),
  unit_details[Beds], INDIRECT("D"&amp;ROW()),
  unit_details[Detected Unit Amenities], "&lt;&gt;*"&amp;$AB$3&amp;"*",
  unit_details[Leased Date], "&gt;=" &amp; ($X$2 - $AD$3)
),0)</f>
        <v>0</v>
      </c>
      <c r="AE38" s="734" cm="1">
        <f t="array" aca="true" ref="AE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 s="733" cm="1">
        <f t="array" aca="true" ref="AF38" ca="true">IFERROR(COUNTIFS(
  unit_details[Property Name], INDIRECT("B"&amp;ROW()),
  unit_details[Floorplan Name], INDIRECT("C"&amp;ROW()),
  unit_details[Beds], INDIRECT("D"&amp;ROW()),
  unit_details[Detected Unit Amenities], "&lt;&gt;*"&amp;$AB$3&amp;"*",
  unit_details[Leased Date], "&gt;=" &amp; ($X$2 - $AD$3)
),0)</f>
        <v>0</v>
      </c>
      <c r="AG38" s="735"/>
      <c r="AH38" s="738">
        <f t="shared" ca="true" si="2"/>
        <v>0</v>
      </c>
      <c r="AI38" s="739">
        <f t="shared" ca="true" si="3"/>
        <v>0</v>
      </c>
    </row>
    <row r="39" spans="2:35">
      <c r="B39" s="1" t="s">
        <v>1221</v>
      </c>
      <c r="C39" s="80" t="s">
        <v>1284</v>
      </c>
      <c r="D39" s="4">
        <v>1</v>
      </c>
      <c r="E39" s="303">
        <v>1</v>
      </c>
      <c r="F39" s="303"/>
      <c r="G39" s="4">
        <v>28</v>
      </c>
      <c r="H39" s="4">
        <v>42.2</v>
      </c>
      <c r="I39" s="4">
        <v>600</v>
      </c>
      <c r="J39" s="345">
        <v>1296.6666666666667</v>
      </c>
      <c r="K39" s="6">
        <v>2.161111111111111</v>
      </c>
      <c r="L39" s="5">
        <v>1288.3333333333333</v>
      </c>
      <c r="M39" s="6">
        <v>2.147222222222222</v>
      </c>
      <c r="N39" s="738" t="str" cm="1">
        <f t="array" aca="true" ref="N39" ca="true">IFERROR(IF($O$3="Chunk Rent",
AVERAGEIFS('Unit-Level Data'!$O:$O,'Unit-Level Data'!$M:$M,TRUE,
          'Unit-Level Data'!$D:$D, INDIRECT("C"&amp;ROW()),
          'Unit-Level Data'!$B:$B, INDIRECT("B"&amp;ROW())),
AVERAGEIFS('Unit-Level Data'!$P:$P,'Unit-Level Data'!$M:$M,TRUE,
          'Unit-Level Data'!$D:$D, INDIRECT("C"&amp;ROW()),
          'Unit-Level Data'!$B:$B, INDIRECT("B"&amp;ROW()))),"")</f>
      </c>
      <c r="O39" s="760" t="str" cm="1">
        <f t="array" aca="true" ref="O39" ca="true">IFERROR(IF($O$3="Chunk Rent",
AVERAGEIFS('Unit-Level Data'!$Q:$Q,'Unit-Level Data'!$M:$M,TRUE,
          'Unit-Level Data'!$D:$D, INDIRECT("C"&amp;ROW()),
          'Unit-Level Data'!$B:$B, INDIRECT("B"&amp;ROW())),
AVERAGEIFS('Unit-Level Data'!$R:$R,'Unit-Level Data'!$M:$M,TRUE,
          'Unit-Level Data'!$D:$D, INDIRECT("C"&amp;ROW()),
          'Unit-Level Data'!$B:$B, INDIRECT("B"&amp;ROW()))),"")</f>
      </c>
      <c r="P39" s="733" cm="1">
        <f t="array" aca="true" ref="P39" ca="true">COUNTIFS('Unit-Level Data'!$M:$M,TRUE,
          'Unit-Level Data'!$D:$D, INDIRECT("C"&amp;ROW()),
          'Unit-Level Data'!$B:$B, INDIRECT("B"&amp;ROW()))</f>
        <v>0</v>
      </c>
      <c r="Q39" s="738" t="str" cm="1">
        <f t="array" aca="true" ref="Q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 s="760" t="str" cm="1">
        <f t="array" aca="true" ref="R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 s="733" cm="1">
        <f t="array" aca="true" ref="S39" ca="true">COUNTIFS('Unit-Level Data'!$L:$L, "&gt;=" &amp; ($X$2 - Q$5),
          'Unit-Level Data'!$L:$L, "&lt;" &amp; $X$2,
          'Unit-Level Data'!$D:$D, INDIRECT("C"&amp;ROW()),
          'Unit-Level Data'!$B:$B, INDIRECT("B"&amp;ROW()))</f>
        <v>0</v>
      </c>
      <c r="T39" s="738" t="str" cm="1">
        <f t="array" aca="true" ref="T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 s="760" t="str" cm="1">
        <f t="array" aca="true" ref="U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 s="733" cm="1">
        <f t="array" aca="true" ref="V39" ca="true">COUNTIFS('Unit-Level Data'!$L:$L, "&gt;=" &amp; ($X$2 - T$5),
          'Unit-Level Data'!$L:$L, "&lt;" &amp; $X$2,
          'Unit-Level Data'!$D:$D, INDIRECT("C"&amp;ROW()),
          'Unit-Level Data'!$B:$B, INDIRECT("B"&amp;ROW()))</f>
        <v>0</v>
      </c>
      <c r="W39" s="738" t="str" cm="1">
        <f t="array" aca="true" ref="W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 s="760" t="str" cm="1">
        <f t="array" aca="true" ref="X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 s="733" cm="1">
        <f t="array" aca="true" ref="Y39" ca="true">COUNTIFS('Unit-Level Data'!$L:$L, "&gt;=" &amp; ($X$2 - W$5),
          'Unit-Level Data'!$L:$L, "&lt;" &amp; $X$2,
          'Unit-Level Data'!$D:$D, INDIRECT("C"&amp;ROW()),
          'Unit-Level Data'!$B:$B, INDIRECT("B"&amp;ROW()))</f>
        <v>0</v>
      </c>
      <c r="Z39" s="761"/>
      <c r="AA39" s="735" cm="1">
        <f t="array" aca="true" ref="AA39" ca="true">IFERROR(AVERAGEIFS(
  unit_details[Sqft],
  unit_details[Property Name], INDIRECT("B"&amp;ROW()),
  unit_details[Floorplan Name], INDIRECT("C"&amp;ROW()),
  unit_details[Beds], INDIRECT("D"&amp;ROW()),
  unit_details[Detected Unit Amenities], "*"&amp;$AB$3&amp;"*",
  unit_details[Leased Date], "&gt;=" &amp; ($X$2 - $AD$3)
),0)</f>
        <v>0</v>
      </c>
      <c r="AB39" s="734" cm="1">
        <f t="array" aca="true" ref="AB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 s="733" cm="1">
        <f t="array" aca="true" ref="AC39" ca="true">IFERROR(COUNTIFS(
  unit_details[Property Name], INDIRECT("B"&amp;ROW()),
  unit_details[Floorplan Name], INDIRECT("C"&amp;ROW()),
  unit_details[Beds], INDIRECT("D"&amp;ROW()),
  unit_details[Detected Unit Amenities], "*"&amp;$AB$3&amp;"*",
  unit_details[Leased Date], "&gt;=" &amp; ($X$2 - $AD$3)
),0)</f>
        <v>0</v>
      </c>
      <c r="AD39" s="735" cm="1">
        <f t="array" aca="true" ref="AD39" ca="true">IFERROR(AVERAGEIFS(
  unit_details[Sqft],
  unit_details[Property Name], INDIRECT("B"&amp;ROW()),
  unit_details[Floorplan Name], INDIRECT("C"&amp;ROW()),
  unit_details[Beds], INDIRECT("D"&amp;ROW()),
  unit_details[Detected Unit Amenities], "&lt;&gt;*"&amp;$AB$3&amp;"*",
  unit_details[Leased Date], "&gt;=" &amp; ($X$2 - $AD$3)
),0)</f>
        <v>0</v>
      </c>
      <c r="AE39" s="734" cm="1">
        <f t="array" aca="true" ref="AE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 s="733" cm="1">
        <f t="array" aca="true" ref="AF39" ca="true">IFERROR(COUNTIFS(
  unit_details[Property Name], INDIRECT("B"&amp;ROW()),
  unit_details[Floorplan Name], INDIRECT("C"&amp;ROW()),
  unit_details[Beds], INDIRECT("D"&amp;ROW()),
  unit_details[Detected Unit Amenities], "&lt;&gt;*"&amp;$AB$3&amp;"*",
  unit_details[Leased Date], "&gt;=" &amp; ($X$2 - $AD$3)
),0)</f>
        <v>0</v>
      </c>
      <c r="AG39" s="735"/>
      <c r="AH39" s="738">
        <f t="shared" ca="true" si="2"/>
        <v>0</v>
      </c>
      <c r="AI39" s="739">
        <f t="shared" ca="true" si="3"/>
        <v>0</v>
      </c>
    </row>
    <row r="40" spans="2:35">
      <c r="B40" s="1" t="s">
        <v>1221</v>
      </c>
      <c r="C40" s="80" t="s">
        <v>1285</v>
      </c>
      <c r="D40" s="4">
        <v>1</v>
      </c>
      <c r="E40" s="303">
        <v>1</v>
      </c>
      <c r="F40" s="303"/>
      <c r="G40" s="4">
        <v>4</v>
      </c>
      <c r="H40" s="4">
        <v>5.5</v>
      </c>
      <c r="I40" s="4">
        <v>645</v>
      </c>
      <c r="J40" s="345">
        <v>1225</v>
      </c>
      <c r="K40" s="6">
        <v>1.8992248062015504</v>
      </c>
      <c r="L40" s="5">
        <v>1225</v>
      </c>
      <c r="M40" s="6">
        <v>1.8992248062015504</v>
      </c>
      <c r="N40" s="738" t="str" cm="1">
        <f t="array" aca="true" ref="N40" ca="true">IFERROR(IF($O$3="Chunk Rent",
AVERAGEIFS('Unit-Level Data'!$O:$O,'Unit-Level Data'!$M:$M,TRUE,
          'Unit-Level Data'!$D:$D, INDIRECT("C"&amp;ROW()),
          'Unit-Level Data'!$B:$B, INDIRECT("B"&amp;ROW())),
AVERAGEIFS('Unit-Level Data'!$P:$P,'Unit-Level Data'!$M:$M,TRUE,
          'Unit-Level Data'!$D:$D, INDIRECT("C"&amp;ROW()),
          'Unit-Level Data'!$B:$B, INDIRECT("B"&amp;ROW()))),"")</f>
      </c>
      <c r="O40" s="760" t="str" cm="1">
        <f t="array" aca="true" ref="O40" ca="true">IFERROR(IF($O$3="Chunk Rent",
AVERAGEIFS('Unit-Level Data'!$Q:$Q,'Unit-Level Data'!$M:$M,TRUE,
          'Unit-Level Data'!$D:$D, INDIRECT("C"&amp;ROW()),
          'Unit-Level Data'!$B:$B, INDIRECT("B"&amp;ROW())),
AVERAGEIFS('Unit-Level Data'!$R:$R,'Unit-Level Data'!$M:$M,TRUE,
          'Unit-Level Data'!$D:$D, INDIRECT("C"&amp;ROW()),
          'Unit-Level Data'!$B:$B, INDIRECT("B"&amp;ROW()))),"")</f>
      </c>
      <c r="P40" s="733" cm="1">
        <f t="array" aca="true" ref="P40" ca="true">COUNTIFS('Unit-Level Data'!$M:$M,TRUE,
          'Unit-Level Data'!$D:$D, INDIRECT("C"&amp;ROW()),
          'Unit-Level Data'!$B:$B, INDIRECT("B"&amp;ROW()))</f>
        <v>0</v>
      </c>
      <c r="Q40" s="738" t="str" cm="1">
        <f t="array" aca="true" ref="Q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 s="760" t="str" cm="1">
        <f t="array" aca="true" ref="R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 s="733" cm="1">
        <f t="array" aca="true" ref="S40" ca="true">COUNTIFS('Unit-Level Data'!$L:$L, "&gt;=" &amp; ($X$2 - Q$5),
          'Unit-Level Data'!$L:$L, "&lt;" &amp; $X$2,
          'Unit-Level Data'!$D:$D, INDIRECT("C"&amp;ROW()),
          'Unit-Level Data'!$B:$B, INDIRECT("B"&amp;ROW()))</f>
        <v>0</v>
      </c>
      <c r="T40" s="738" t="str" cm="1">
        <f t="array" aca="true" ref="T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 s="760" t="str" cm="1">
        <f t="array" aca="true" ref="U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 s="733" cm="1">
        <f t="array" aca="true" ref="V40" ca="true">COUNTIFS('Unit-Level Data'!$L:$L, "&gt;=" &amp; ($X$2 - T$5),
          'Unit-Level Data'!$L:$L, "&lt;" &amp; $X$2,
          'Unit-Level Data'!$D:$D, INDIRECT("C"&amp;ROW()),
          'Unit-Level Data'!$B:$B, INDIRECT("B"&amp;ROW()))</f>
        <v>0</v>
      </c>
      <c r="W40" s="738" t="str" cm="1">
        <f t="array" aca="true" ref="W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 s="760" t="str" cm="1">
        <f t="array" aca="true" ref="X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 s="733" cm="1">
        <f t="array" aca="true" ref="Y40" ca="true">COUNTIFS('Unit-Level Data'!$L:$L, "&gt;=" &amp; ($X$2 - W$5),
          'Unit-Level Data'!$L:$L, "&lt;" &amp; $X$2,
          'Unit-Level Data'!$D:$D, INDIRECT("C"&amp;ROW()),
          'Unit-Level Data'!$B:$B, INDIRECT("B"&amp;ROW()))</f>
        <v>0</v>
      </c>
      <c r="Z40" s="761"/>
      <c r="AA40" s="735" cm="1">
        <f t="array" aca="true" ref="AA40" ca="true">IFERROR(AVERAGEIFS(
  unit_details[Sqft],
  unit_details[Property Name], INDIRECT("B"&amp;ROW()),
  unit_details[Floorplan Name], INDIRECT("C"&amp;ROW()),
  unit_details[Beds], INDIRECT("D"&amp;ROW()),
  unit_details[Detected Unit Amenities], "*"&amp;$AB$3&amp;"*",
  unit_details[Leased Date], "&gt;=" &amp; ($X$2 - $AD$3)
),0)</f>
        <v>0</v>
      </c>
      <c r="AB40" s="734" cm="1">
        <f t="array" aca="true" ref="AB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 s="733" cm="1">
        <f t="array" aca="true" ref="AC40" ca="true">IFERROR(COUNTIFS(
  unit_details[Property Name], INDIRECT("B"&amp;ROW()),
  unit_details[Floorplan Name], INDIRECT("C"&amp;ROW()),
  unit_details[Beds], INDIRECT("D"&amp;ROW()),
  unit_details[Detected Unit Amenities], "*"&amp;$AB$3&amp;"*",
  unit_details[Leased Date], "&gt;=" &amp; ($X$2 - $AD$3)
),0)</f>
        <v>0</v>
      </c>
      <c r="AD40" s="735" cm="1">
        <f t="array" aca="true" ref="AD40" ca="true">IFERROR(AVERAGEIFS(
  unit_details[Sqft],
  unit_details[Property Name], INDIRECT("B"&amp;ROW()),
  unit_details[Floorplan Name], INDIRECT("C"&amp;ROW()),
  unit_details[Beds], INDIRECT("D"&amp;ROW()),
  unit_details[Detected Unit Amenities], "&lt;&gt;*"&amp;$AB$3&amp;"*",
  unit_details[Leased Date], "&gt;=" &amp; ($X$2 - $AD$3)
),0)</f>
        <v>0</v>
      </c>
      <c r="AE40" s="734" cm="1">
        <f t="array" aca="true" ref="AE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 s="733" cm="1">
        <f t="array" aca="true" ref="AF40" ca="true">IFERROR(COUNTIFS(
  unit_details[Property Name], INDIRECT("B"&amp;ROW()),
  unit_details[Floorplan Name], INDIRECT("C"&amp;ROW()),
  unit_details[Beds], INDIRECT("D"&amp;ROW()),
  unit_details[Detected Unit Amenities], "&lt;&gt;*"&amp;$AB$3&amp;"*",
  unit_details[Leased Date], "&gt;=" &amp; ($X$2 - $AD$3)
),0)</f>
        <v>0</v>
      </c>
      <c r="AG40" s="735"/>
      <c r="AH40" s="738">
        <f t="shared" ca="true" si="2"/>
        <v>0</v>
      </c>
      <c r="AI40" s="739">
        <f t="shared" ca="true" si="3"/>
        <v>0</v>
      </c>
    </row>
    <row r="41" spans="2:35">
      <c r="B41" s="1" t="s">
        <v>1221</v>
      </c>
      <c r="C41" s="80" t="s">
        <v>1287</v>
      </c>
      <c r="D41" s="4">
        <v>1</v>
      </c>
      <c r="E41" s="303">
        <v>1</v>
      </c>
      <c r="F41" s="303"/>
      <c r="G41" s="4">
        <v>11</v>
      </c>
      <c r="H41" s="4">
        <v>36</v>
      </c>
      <c r="I41" s="4">
        <v>660</v>
      </c>
      <c r="J41" s="345">
        <v>1269.8333333333333</v>
      </c>
      <c r="K41" s="6">
        <v>1.923989898989899</v>
      </c>
      <c r="L41" s="5">
        <v>1269.8333333333333</v>
      </c>
      <c r="M41" s="6">
        <v>1.923989898989899</v>
      </c>
      <c r="N41" s="738" t="str" cm="1">
        <f t="array" aca="true" ref="N41" ca="true">IFERROR(IF($O$3="Chunk Rent",
AVERAGEIFS('Unit-Level Data'!$O:$O,'Unit-Level Data'!$M:$M,TRUE,
          'Unit-Level Data'!$D:$D, INDIRECT("C"&amp;ROW()),
          'Unit-Level Data'!$B:$B, INDIRECT("B"&amp;ROW())),
AVERAGEIFS('Unit-Level Data'!$P:$P,'Unit-Level Data'!$M:$M,TRUE,
          'Unit-Level Data'!$D:$D, INDIRECT("C"&amp;ROW()),
          'Unit-Level Data'!$B:$B, INDIRECT("B"&amp;ROW()))),"")</f>
      </c>
      <c r="O41" s="760" t="str" cm="1">
        <f t="array" aca="true" ref="O41" ca="true">IFERROR(IF($O$3="Chunk Rent",
AVERAGEIFS('Unit-Level Data'!$Q:$Q,'Unit-Level Data'!$M:$M,TRUE,
          'Unit-Level Data'!$D:$D, INDIRECT("C"&amp;ROW()),
          'Unit-Level Data'!$B:$B, INDIRECT("B"&amp;ROW())),
AVERAGEIFS('Unit-Level Data'!$R:$R,'Unit-Level Data'!$M:$M,TRUE,
          'Unit-Level Data'!$D:$D, INDIRECT("C"&amp;ROW()),
          'Unit-Level Data'!$B:$B, INDIRECT("B"&amp;ROW()))),"")</f>
      </c>
      <c r="P41" s="733" cm="1">
        <f t="array" aca="true" ref="P41" ca="true">COUNTIFS('Unit-Level Data'!$M:$M,TRUE,
          'Unit-Level Data'!$D:$D, INDIRECT("C"&amp;ROW()),
          'Unit-Level Data'!$B:$B, INDIRECT("B"&amp;ROW()))</f>
        <v>0</v>
      </c>
      <c r="Q41" s="738" t="str" cm="1">
        <f t="array" aca="true" ref="Q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 s="760" t="str" cm="1">
        <f t="array" aca="true" ref="R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 s="733" cm="1">
        <f t="array" aca="true" ref="S41" ca="true">COUNTIFS('Unit-Level Data'!$L:$L, "&gt;=" &amp; ($X$2 - Q$5),
          'Unit-Level Data'!$L:$L, "&lt;" &amp; $X$2,
          'Unit-Level Data'!$D:$D, INDIRECT("C"&amp;ROW()),
          'Unit-Level Data'!$B:$B, INDIRECT("B"&amp;ROW()))</f>
        <v>0</v>
      </c>
      <c r="T41" s="738" t="str" cm="1">
        <f t="array" aca="true" ref="T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 s="760" t="str" cm="1">
        <f t="array" aca="true" ref="U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 s="733" cm="1">
        <f t="array" aca="true" ref="V41" ca="true">COUNTIFS('Unit-Level Data'!$L:$L, "&gt;=" &amp; ($X$2 - T$5),
          'Unit-Level Data'!$L:$L, "&lt;" &amp; $X$2,
          'Unit-Level Data'!$D:$D, INDIRECT("C"&amp;ROW()),
          'Unit-Level Data'!$B:$B, INDIRECT("B"&amp;ROW()))</f>
        <v>0</v>
      </c>
      <c r="W41" s="738" t="str" cm="1">
        <f t="array" aca="true" ref="W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 s="760" t="str" cm="1">
        <f t="array" aca="true" ref="X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 s="733" cm="1">
        <f t="array" aca="true" ref="Y41" ca="true">COUNTIFS('Unit-Level Data'!$L:$L, "&gt;=" &amp; ($X$2 - W$5),
          'Unit-Level Data'!$L:$L, "&lt;" &amp; $X$2,
          'Unit-Level Data'!$D:$D, INDIRECT("C"&amp;ROW()),
          'Unit-Level Data'!$B:$B, INDIRECT("B"&amp;ROW()))</f>
        <v>0</v>
      </c>
      <c r="Z41" s="761"/>
      <c r="AA41" s="735" cm="1">
        <f t="array" aca="true" ref="AA41" ca="true">IFERROR(AVERAGEIFS(
  unit_details[Sqft],
  unit_details[Property Name], INDIRECT("B"&amp;ROW()),
  unit_details[Floorplan Name], INDIRECT("C"&amp;ROW()),
  unit_details[Beds], INDIRECT("D"&amp;ROW()),
  unit_details[Detected Unit Amenities], "*"&amp;$AB$3&amp;"*",
  unit_details[Leased Date], "&gt;=" &amp; ($X$2 - $AD$3)
),0)</f>
        <v>0</v>
      </c>
      <c r="AB41" s="734" cm="1">
        <f t="array" aca="true" ref="AB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 s="733" cm="1">
        <f t="array" aca="true" ref="AC41" ca="true">IFERROR(COUNTIFS(
  unit_details[Property Name], INDIRECT("B"&amp;ROW()),
  unit_details[Floorplan Name], INDIRECT("C"&amp;ROW()),
  unit_details[Beds], INDIRECT("D"&amp;ROW()),
  unit_details[Detected Unit Amenities], "*"&amp;$AB$3&amp;"*",
  unit_details[Leased Date], "&gt;=" &amp; ($X$2 - $AD$3)
),0)</f>
        <v>0</v>
      </c>
      <c r="AD41" s="735" cm="1">
        <f t="array" aca="true" ref="AD41" ca="true">IFERROR(AVERAGEIFS(
  unit_details[Sqft],
  unit_details[Property Name], INDIRECT("B"&amp;ROW()),
  unit_details[Floorplan Name], INDIRECT("C"&amp;ROW()),
  unit_details[Beds], INDIRECT("D"&amp;ROW()),
  unit_details[Detected Unit Amenities], "&lt;&gt;*"&amp;$AB$3&amp;"*",
  unit_details[Leased Date], "&gt;=" &amp; ($X$2 - $AD$3)
),0)</f>
        <v>0</v>
      </c>
      <c r="AE41" s="734" cm="1">
        <f t="array" aca="true" ref="AE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 s="733" cm="1">
        <f t="array" aca="true" ref="AF41" ca="true">IFERROR(COUNTIFS(
  unit_details[Property Name], INDIRECT("B"&amp;ROW()),
  unit_details[Floorplan Name], INDIRECT("C"&amp;ROW()),
  unit_details[Beds], INDIRECT("D"&amp;ROW()),
  unit_details[Detected Unit Amenities], "&lt;&gt;*"&amp;$AB$3&amp;"*",
  unit_details[Leased Date], "&gt;=" &amp; ($X$2 - $AD$3)
),0)</f>
        <v>0</v>
      </c>
      <c r="AG41" s="735"/>
      <c r="AH41" s="738">
        <f t="shared" ca="true" si="2"/>
        <v>0</v>
      </c>
      <c r="AI41" s="739">
        <f t="shared" ca="true" si="3"/>
        <v>0</v>
      </c>
    </row>
    <row r="42" spans="2:35">
      <c r="B42" s="1" t="s">
        <v>1221</v>
      </c>
      <c r="C42" s="80" t="s">
        <v>1288</v>
      </c>
      <c r="D42" s="4">
        <v>1</v>
      </c>
      <c r="E42" s="303">
        <v>1</v>
      </c>
      <c r="F42" s="303"/>
      <c r="G42" s="4">
        <v>2</v>
      </c>
      <c r="H42" s="4">
        <v>3</v>
      </c>
      <c r="I42" s="4">
        <v>660</v>
      </c>
      <c r="J42" s="345">
        <v>1200</v>
      </c>
      <c r="K42" s="6">
        <v>1.8181818181818181</v>
      </c>
      <c r="L42" s="5">
        <v>1200</v>
      </c>
      <c r="M42" s="6">
        <v>1.8181818181818181</v>
      </c>
      <c r="N42" s="738" t="str" cm="1">
        <f t="array" aca="true" ref="N42" ca="true">IFERROR(IF($O$3="Chunk Rent",
AVERAGEIFS('Unit-Level Data'!$O:$O,'Unit-Level Data'!$M:$M,TRUE,
          'Unit-Level Data'!$D:$D, INDIRECT("C"&amp;ROW()),
          'Unit-Level Data'!$B:$B, INDIRECT("B"&amp;ROW())),
AVERAGEIFS('Unit-Level Data'!$P:$P,'Unit-Level Data'!$M:$M,TRUE,
          'Unit-Level Data'!$D:$D, INDIRECT("C"&amp;ROW()),
          'Unit-Level Data'!$B:$B, INDIRECT("B"&amp;ROW()))),"")</f>
      </c>
      <c r="O42" s="760" t="str" cm="1">
        <f t="array" aca="true" ref="O42" ca="true">IFERROR(IF($O$3="Chunk Rent",
AVERAGEIFS('Unit-Level Data'!$Q:$Q,'Unit-Level Data'!$M:$M,TRUE,
          'Unit-Level Data'!$D:$D, INDIRECT("C"&amp;ROW()),
          'Unit-Level Data'!$B:$B, INDIRECT("B"&amp;ROW())),
AVERAGEIFS('Unit-Level Data'!$R:$R,'Unit-Level Data'!$M:$M,TRUE,
          'Unit-Level Data'!$D:$D, INDIRECT("C"&amp;ROW()),
          'Unit-Level Data'!$B:$B, INDIRECT("B"&amp;ROW()))),"")</f>
      </c>
      <c r="P42" s="733" cm="1">
        <f t="array" aca="true" ref="P42" ca="true">COUNTIFS('Unit-Level Data'!$M:$M,TRUE,
          'Unit-Level Data'!$D:$D, INDIRECT("C"&amp;ROW()),
          'Unit-Level Data'!$B:$B, INDIRECT("B"&amp;ROW()))</f>
        <v>0</v>
      </c>
      <c r="Q42" s="738" t="str" cm="1">
        <f t="array" aca="true" ref="Q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 s="760" t="str" cm="1">
        <f t="array" aca="true" ref="R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 s="733" cm="1">
        <f t="array" aca="true" ref="S42" ca="true">COUNTIFS('Unit-Level Data'!$L:$L, "&gt;=" &amp; ($X$2 - Q$5),
          'Unit-Level Data'!$L:$L, "&lt;" &amp; $X$2,
          'Unit-Level Data'!$D:$D, INDIRECT("C"&amp;ROW()),
          'Unit-Level Data'!$B:$B, INDIRECT("B"&amp;ROW()))</f>
        <v>0</v>
      </c>
      <c r="T42" s="738" t="str" cm="1">
        <f t="array" aca="true" ref="T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 s="760" t="str" cm="1">
        <f t="array" aca="true" ref="U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 s="733" cm="1">
        <f t="array" aca="true" ref="V42" ca="true">COUNTIFS('Unit-Level Data'!$L:$L, "&gt;=" &amp; ($X$2 - T$5),
          'Unit-Level Data'!$L:$L, "&lt;" &amp; $X$2,
          'Unit-Level Data'!$D:$D, INDIRECT("C"&amp;ROW()),
          'Unit-Level Data'!$B:$B, INDIRECT("B"&amp;ROW()))</f>
        <v>0</v>
      </c>
      <c r="W42" s="738" t="str" cm="1">
        <f t="array" aca="true" ref="W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 s="760" t="str" cm="1">
        <f t="array" aca="true" ref="X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 s="733" cm="1">
        <f t="array" aca="true" ref="Y42" ca="true">COUNTIFS('Unit-Level Data'!$L:$L, "&gt;=" &amp; ($X$2 - W$5),
          'Unit-Level Data'!$L:$L, "&lt;" &amp; $X$2,
          'Unit-Level Data'!$D:$D, INDIRECT("C"&amp;ROW()),
          'Unit-Level Data'!$B:$B, INDIRECT("B"&amp;ROW()))</f>
        <v>0</v>
      </c>
      <c r="Z42" s="761"/>
      <c r="AA42" s="735" cm="1">
        <f t="array" aca="true" ref="AA42" ca="true">IFERROR(AVERAGEIFS(
  unit_details[Sqft],
  unit_details[Property Name], INDIRECT("B"&amp;ROW()),
  unit_details[Floorplan Name], INDIRECT("C"&amp;ROW()),
  unit_details[Beds], INDIRECT("D"&amp;ROW()),
  unit_details[Detected Unit Amenities], "*"&amp;$AB$3&amp;"*",
  unit_details[Leased Date], "&gt;=" &amp; ($X$2 - $AD$3)
),0)</f>
        <v>0</v>
      </c>
      <c r="AB42" s="734" cm="1">
        <f t="array" aca="true" ref="AB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 s="733" cm="1">
        <f t="array" aca="true" ref="AC42" ca="true">IFERROR(COUNTIFS(
  unit_details[Property Name], INDIRECT("B"&amp;ROW()),
  unit_details[Floorplan Name], INDIRECT("C"&amp;ROW()),
  unit_details[Beds], INDIRECT("D"&amp;ROW()),
  unit_details[Detected Unit Amenities], "*"&amp;$AB$3&amp;"*",
  unit_details[Leased Date], "&gt;=" &amp; ($X$2 - $AD$3)
),0)</f>
        <v>0</v>
      </c>
      <c r="AD42" s="735" cm="1">
        <f t="array" aca="true" ref="AD42" ca="true">IFERROR(AVERAGEIFS(
  unit_details[Sqft],
  unit_details[Property Name], INDIRECT("B"&amp;ROW()),
  unit_details[Floorplan Name], INDIRECT("C"&amp;ROW()),
  unit_details[Beds], INDIRECT("D"&amp;ROW()),
  unit_details[Detected Unit Amenities], "&lt;&gt;*"&amp;$AB$3&amp;"*",
  unit_details[Leased Date], "&gt;=" &amp; ($X$2 - $AD$3)
),0)</f>
        <v>0</v>
      </c>
      <c r="AE42" s="734" cm="1">
        <f t="array" aca="true" ref="AE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 s="733" cm="1">
        <f t="array" aca="true" ref="AF42" ca="true">IFERROR(COUNTIFS(
  unit_details[Property Name], INDIRECT("B"&amp;ROW()),
  unit_details[Floorplan Name], INDIRECT("C"&amp;ROW()),
  unit_details[Beds], INDIRECT("D"&amp;ROW()),
  unit_details[Detected Unit Amenities], "&lt;&gt;*"&amp;$AB$3&amp;"*",
  unit_details[Leased Date], "&gt;=" &amp; ($X$2 - $AD$3)
),0)</f>
        <v>0</v>
      </c>
      <c r="AG42" s="735"/>
      <c r="AH42" s="738">
        <f t="shared" ca="true" si="2"/>
        <v>0</v>
      </c>
      <c r="AI42" s="739">
        <f t="shared" ca="true" si="3"/>
        <v>0</v>
      </c>
    </row>
    <row r="43" spans="2:35">
      <c r="B43" s="1" t="s">
        <v>1221</v>
      </c>
      <c r="C43" s="80" t="s">
        <v>1289</v>
      </c>
      <c r="D43" s="4">
        <v>1</v>
      </c>
      <c r="E43" s="303">
        <v>1</v>
      </c>
      <c r="F43" s="303"/>
      <c r="G43" s="4">
        <v>4</v>
      </c>
      <c r="H43" s="4">
        <v>6</v>
      </c>
      <c r="I43" s="4">
        <v>660</v>
      </c>
      <c r="J43" s="345">
        <v>1275</v>
      </c>
      <c r="K43" s="6">
        <v>1.9318181818181819</v>
      </c>
      <c r="L43" s="5">
        <v>1275</v>
      </c>
      <c r="M43" s="6">
        <v>1.9318181818181819</v>
      </c>
      <c r="N43" s="738" t="str" cm="1">
        <f t="array" aca="true" ref="N43" ca="true">IFERROR(IF($O$3="Chunk Rent",
AVERAGEIFS('Unit-Level Data'!$O:$O,'Unit-Level Data'!$M:$M,TRUE,
          'Unit-Level Data'!$D:$D, INDIRECT("C"&amp;ROW()),
          'Unit-Level Data'!$B:$B, INDIRECT("B"&amp;ROW())),
AVERAGEIFS('Unit-Level Data'!$P:$P,'Unit-Level Data'!$M:$M,TRUE,
          'Unit-Level Data'!$D:$D, INDIRECT("C"&amp;ROW()),
          'Unit-Level Data'!$B:$B, INDIRECT("B"&amp;ROW()))),"")</f>
      </c>
      <c r="O43" s="760" t="str" cm="1">
        <f t="array" aca="true" ref="O43" ca="true">IFERROR(IF($O$3="Chunk Rent",
AVERAGEIFS('Unit-Level Data'!$Q:$Q,'Unit-Level Data'!$M:$M,TRUE,
          'Unit-Level Data'!$D:$D, INDIRECT("C"&amp;ROW()),
          'Unit-Level Data'!$B:$B, INDIRECT("B"&amp;ROW())),
AVERAGEIFS('Unit-Level Data'!$R:$R,'Unit-Level Data'!$M:$M,TRUE,
          'Unit-Level Data'!$D:$D, INDIRECT("C"&amp;ROW()),
          'Unit-Level Data'!$B:$B, INDIRECT("B"&amp;ROW()))),"")</f>
      </c>
      <c r="P43" s="733" cm="1">
        <f t="array" aca="true" ref="P43" ca="true">COUNTIFS('Unit-Level Data'!$M:$M,TRUE,
          'Unit-Level Data'!$D:$D, INDIRECT("C"&amp;ROW()),
          'Unit-Level Data'!$B:$B, INDIRECT("B"&amp;ROW()))</f>
        <v>0</v>
      </c>
      <c r="Q43" s="738" t="str" cm="1">
        <f t="array" aca="true" ref="Q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 s="760" t="str" cm="1">
        <f t="array" aca="true" ref="R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 s="733" cm="1">
        <f t="array" aca="true" ref="S43" ca="true">COUNTIFS('Unit-Level Data'!$L:$L, "&gt;=" &amp; ($X$2 - Q$5),
          'Unit-Level Data'!$L:$L, "&lt;" &amp; $X$2,
          'Unit-Level Data'!$D:$D, INDIRECT("C"&amp;ROW()),
          'Unit-Level Data'!$B:$B, INDIRECT("B"&amp;ROW()))</f>
        <v>0</v>
      </c>
      <c r="T43" s="738" t="str" cm="1">
        <f t="array" aca="true" ref="T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 s="760" t="str" cm="1">
        <f t="array" aca="true" ref="U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 s="733" cm="1">
        <f t="array" aca="true" ref="V43" ca="true">COUNTIFS('Unit-Level Data'!$L:$L, "&gt;=" &amp; ($X$2 - T$5),
          'Unit-Level Data'!$L:$L, "&lt;" &amp; $X$2,
          'Unit-Level Data'!$D:$D, INDIRECT("C"&amp;ROW()),
          'Unit-Level Data'!$B:$B, INDIRECT("B"&amp;ROW()))</f>
        <v>0</v>
      </c>
      <c r="W43" s="738" t="str" cm="1">
        <f t="array" aca="true" ref="W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 s="760" t="str" cm="1">
        <f t="array" aca="true" ref="X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 s="733" cm="1">
        <f t="array" aca="true" ref="Y43" ca="true">COUNTIFS('Unit-Level Data'!$L:$L, "&gt;=" &amp; ($X$2 - W$5),
          'Unit-Level Data'!$L:$L, "&lt;" &amp; $X$2,
          'Unit-Level Data'!$D:$D, INDIRECT("C"&amp;ROW()),
          'Unit-Level Data'!$B:$B, INDIRECT("B"&amp;ROW()))</f>
        <v>0</v>
      </c>
      <c r="Z43" s="761"/>
      <c r="AA43" s="735" cm="1">
        <f t="array" aca="true" ref="AA43" ca="true">IFERROR(AVERAGEIFS(
  unit_details[Sqft],
  unit_details[Property Name], INDIRECT("B"&amp;ROW()),
  unit_details[Floorplan Name], INDIRECT("C"&amp;ROW()),
  unit_details[Beds], INDIRECT("D"&amp;ROW()),
  unit_details[Detected Unit Amenities], "*"&amp;$AB$3&amp;"*",
  unit_details[Leased Date], "&gt;=" &amp; ($X$2 - $AD$3)
),0)</f>
        <v>0</v>
      </c>
      <c r="AB43" s="734" cm="1">
        <f t="array" aca="true" ref="AB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 s="733" cm="1">
        <f t="array" aca="true" ref="AC43" ca="true">IFERROR(COUNTIFS(
  unit_details[Property Name], INDIRECT("B"&amp;ROW()),
  unit_details[Floorplan Name], INDIRECT("C"&amp;ROW()),
  unit_details[Beds], INDIRECT("D"&amp;ROW()),
  unit_details[Detected Unit Amenities], "*"&amp;$AB$3&amp;"*",
  unit_details[Leased Date], "&gt;=" &amp; ($X$2 - $AD$3)
),0)</f>
        <v>0</v>
      </c>
      <c r="AD43" s="735" cm="1">
        <f t="array" aca="true" ref="AD43" ca="true">IFERROR(AVERAGEIFS(
  unit_details[Sqft],
  unit_details[Property Name], INDIRECT("B"&amp;ROW()),
  unit_details[Floorplan Name], INDIRECT("C"&amp;ROW()),
  unit_details[Beds], INDIRECT("D"&amp;ROW()),
  unit_details[Detected Unit Amenities], "&lt;&gt;*"&amp;$AB$3&amp;"*",
  unit_details[Leased Date], "&gt;=" &amp; ($X$2 - $AD$3)
),0)</f>
        <v>0</v>
      </c>
      <c r="AE43" s="734" cm="1">
        <f t="array" aca="true" ref="AE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 s="733" cm="1">
        <f t="array" aca="true" ref="AF43" ca="true">IFERROR(COUNTIFS(
  unit_details[Property Name], INDIRECT("B"&amp;ROW()),
  unit_details[Floorplan Name], INDIRECT("C"&amp;ROW()),
  unit_details[Beds], INDIRECT("D"&amp;ROW()),
  unit_details[Detected Unit Amenities], "&lt;&gt;*"&amp;$AB$3&amp;"*",
  unit_details[Leased Date], "&gt;=" &amp; ($X$2 - $AD$3)
),0)</f>
        <v>0</v>
      </c>
      <c r="AG43" s="735"/>
      <c r="AH43" s="738">
        <f t="shared" ca="true" si="2"/>
        <v>0</v>
      </c>
      <c r="AI43" s="739">
        <f t="shared" ca="true" si="3"/>
        <v>0</v>
      </c>
    </row>
    <row r="44" spans="2:35">
      <c r="B44" s="1" t="s">
        <v>1221</v>
      </c>
      <c r="C44" s="80" t="s">
        <v>1290</v>
      </c>
      <c r="D44" s="4">
        <v>1</v>
      </c>
      <c r="E44" s="303">
        <v>1</v>
      </c>
      <c r="F44" s="303"/>
      <c r="G44" s="4">
        <v>9</v>
      </c>
      <c r="H44" s="4">
        <v>14.6</v>
      </c>
      <c r="I44" s="4">
        <v>660</v>
      </c>
      <c r="J44" s="345">
        <v>1240</v>
      </c>
      <c r="K44" s="6">
        <v>1.878787878787879</v>
      </c>
      <c r="L44" s="5">
        <v>1240</v>
      </c>
      <c r="M44" s="6">
        <v>1.878787878787879</v>
      </c>
      <c r="N44" s="738" t="str" cm="1">
        <f t="array" aca="true" ref="N44" ca="true">IFERROR(IF($O$3="Chunk Rent",
AVERAGEIFS('Unit-Level Data'!$O:$O,'Unit-Level Data'!$M:$M,TRUE,
          'Unit-Level Data'!$D:$D, INDIRECT("C"&amp;ROW()),
          'Unit-Level Data'!$B:$B, INDIRECT("B"&amp;ROW())),
AVERAGEIFS('Unit-Level Data'!$P:$P,'Unit-Level Data'!$M:$M,TRUE,
          'Unit-Level Data'!$D:$D, INDIRECT("C"&amp;ROW()),
          'Unit-Level Data'!$B:$B, INDIRECT("B"&amp;ROW()))),"")</f>
      </c>
      <c r="O44" s="760" t="str" cm="1">
        <f t="array" aca="true" ref="O44" ca="true">IFERROR(IF($O$3="Chunk Rent",
AVERAGEIFS('Unit-Level Data'!$Q:$Q,'Unit-Level Data'!$M:$M,TRUE,
          'Unit-Level Data'!$D:$D, INDIRECT("C"&amp;ROW()),
          'Unit-Level Data'!$B:$B, INDIRECT("B"&amp;ROW())),
AVERAGEIFS('Unit-Level Data'!$R:$R,'Unit-Level Data'!$M:$M,TRUE,
          'Unit-Level Data'!$D:$D, INDIRECT("C"&amp;ROW()),
          'Unit-Level Data'!$B:$B, INDIRECT("B"&amp;ROW()))),"")</f>
      </c>
      <c r="P44" s="733" cm="1">
        <f t="array" aca="true" ref="P44" ca="true">COUNTIFS('Unit-Level Data'!$M:$M,TRUE,
          'Unit-Level Data'!$D:$D, INDIRECT("C"&amp;ROW()),
          'Unit-Level Data'!$B:$B, INDIRECT("B"&amp;ROW()))</f>
        <v>0</v>
      </c>
      <c r="Q44" s="738" t="str" cm="1">
        <f t="array" aca="true" ref="Q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 s="760" t="str" cm="1">
        <f t="array" aca="true" ref="R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 s="733" cm="1">
        <f t="array" aca="true" ref="S44" ca="true">COUNTIFS('Unit-Level Data'!$L:$L, "&gt;=" &amp; ($X$2 - Q$5),
          'Unit-Level Data'!$L:$L, "&lt;" &amp; $X$2,
          'Unit-Level Data'!$D:$D, INDIRECT("C"&amp;ROW()),
          'Unit-Level Data'!$B:$B, INDIRECT("B"&amp;ROW()))</f>
        <v>0</v>
      </c>
      <c r="T44" s="738" t="str" cm="1">
        <f t="array" aca="true" ref="T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 s="760" t="str" cm="1">
        <f t="array" aca="true" ref="U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 s="733" cm="1">
        <f t="array" aca="true" ref="V44" ca="true">COUNTIFS('Unit-Level Data'!$L:$L, "&gt;=" &amp; ($X$2 - T$5),
          'Unit-Level Data'!$L:$L, "&lt;" &amp; $X$2,
          'Unit-Level Data'!$D:$D, INDIRECT("C"&amp;ROW()),
          'Unit-Level Data'!$B:$B, INDIRECT("B"&amp;ROW()))</f>
        <v>0</v>
      </c>
      <c r="W44" s="738" t="str" cm="1">
        <f t="array" aca="true" ref="W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 s="760" t="str" cm="1">
        <f t="array" aca="true" ref="X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 s="733" cm="1">
        <f t="array" aca="true" ref="Y44" ca="true">COUNTIFS('Unit-Level Data'!$L:$L, "&gt;=" &amp; ($X$2 - W$5),
          'Unit-Level Data'!$L:$L, "&lt;" &amp; $X$2,
          'Unit-Level Data'!$D:$D, INDIRECT("C"&amp;ROW()),
          'Unit-Level Data'!$B:$B, INDIRECT("B"&amp;ROW()))</f>
        <v>0</v>
      </c>
      <c r="Z44" s="761"/>
      <c r="AA44" s="735" cm="1">
        <f t="array" aca="true" ref="AA44" ca="true">IFERROR(AVERAGEIFS(
  unit_details[Sqft],
  unit_details[Property Name], INDIRECT("B"&amp;ROW()),
  unit_details[Floorplan Name], INDIRECT("C"&amp;ROW()),
  unit_details[Beds], INDIRECT("D"&amp;ROW()),
  unit_details[Detected Unit Amenities], "*"&amp;$AB$3&amp;"*",
  unit_details[Leased Date], "&gt;=" &amp; ($X$2 - $AD$3)
),0)</f>
        <v>0</v>
      </c>
      <c r="AB44" s="734" cm="1">
        <f t="array" aca="true" ref="AB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 s="733" cm="1">
        <f t="array" aca="true" ref="AC44" ca="true">IFERROR(COUNTIFS(
  unit_details[Property Name], INDIRECT("B"&amp;ROW()),
  unit_details[Floorplan Name], INDIRECT("C"&amp;ROW()),
  unit_details[Beds], INDIRECT("D"&amp;ROW()),
  unit_details[Detected Unit Amenities], "*"&amp;$AB$3&amp;"*",
  unit_details[Leased Date], "&gt;=" &amp; ($X$2 - $AD$3)
),0)</f>
        <v>0</v>
      </c>
      <c r="AD44" s="735" cm="1">
        <f t="array" aca="true" ref="AD44" ca="true">IFERROR(AVERAGEIFS(
  unit_details[Sqft],
  unit_details[Property Name], INDIRECT("B"&amp;ROW()),
  unit_details[Floorplan Name], INDIRECT("C"&amp;ROW()),
  unit_details[Beds], INDIRECT("D"&amp;ROW()),
  unit_details[Detected Unit Amenities], "&lt;&gt;*"&amp;$AB$3&amp;"*",
  unit_details[Leased Date], "&gt;=" &amp; ($X$2 - $AD$3)
),0)</f>
        <v>0</v>
      </c>
      <c r="AE44" s="734" cm="1">
        <f t="array" aca="true" ref="AE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 s="733" cm="1">
        <f t="array" aca="true" ref="AF44" ca="true">IFERROR(COUNTIFS(
  unit_details[Property Name], INDIRECT("B"&amp;ROW()),
  unit_details[Floorplan Name], INDIRECT("C"&amp;ROW()),
  unit_details[Beds], INDIRECT("D"&amp;ROW()),
  unit_details[Detected Unit Amenities], "&lt;&gt;*"&amp;$AB$3&amp;"*",
  unit_details[Leased Date], "&gt;=" &amp; ($X$2 - $AD$3)
),0)</f>
        <v>0</v>
      </c>
      <c r="AG44" s="735"/>
      <c r="AH44" s="738">
        <f t="shared" ca="true" si="2"/>
        <v>0</v>
      </c>
      <c r="AI44" s="739">
        <f t="shared" ca="true" si="3"/>
        <v>0</v>
      </c>
    </row>
    <row r="45" spans="2:35">
      <c r="B45" s="1" t="s">
        <v>1221</v>
      </c>
      <c r="C45" s="80" t="s">
        <v>1291</v>
      </c>
      <c r="D45" s="4">
        <v>2</v>
      </c>
      <c r="E45" s="303">
        <v>1</v>
      </c>
      <c r="F45" s="303"/>
      <c r="G45" s="4">
        <v>15</v>
      </c>
      <c r="H45" s="4">
        <v>14.375</v>
      </c>
      <c r="I45" s="4">
        <v>750</v>
      </c>
      <c r="J45" s="345">
        <v>1606.875</v>
      </c>
      <c r="K45" s="6">
        <v>2.1425</v>
      </c>
      <c r="L45" s="5">
        <v>1606.875</v>
      </c>
      <c r="M45" s="6">
        <v>2.1425</v>
      </c>
      <c r="N45" s="738" t="str" cm="1">
        <f t="array" aca="true" ref="N45" ca="true">IFERROR(IF($O$3="Chunk Rent",
AVERAGEIFS('Unit-Level Data'!$O:$O,'Unit-Level Data'!$M:$M,TRUE,
          'Unit-Level Data'!$D:$D, INDIRECT("C"&amp;ROW()),
          'Unit-Level Data'!$B:$B, INDIRECT("B"&amp;ROW())),
AVERAGEIFS('Unit-Level Data'!$P:$P,'Unit-Level Data'!$M:$M,TRUE,
          'Unit-Level Data'!$D:$D, INDIRECT("C"&amp;ROW()),
          'Unit-Level Data'!$B:$B, INDIRECT("B"&amp;ROW()))),"")</f>
      </c>
      <c r="O45" s="760" t="str" cm="1">
        <f t="array" aca="true" ref="O45" ca="true">IFERROR(IF($O$3="Chunk Rent",
AVERAGEIFS('Unit-Level Data'!$Q:$Q,'Unit-Level Data'!$M:$M,TRUE,
          'Unit-Level Data'!$D:$D, INDIRECT("C"&amp;ROW()),
          'Unit-Level Data'!$B:$B, INDIRECT("B"&amp;ROW())),
AVERAGEIFS('Unit-Level Data'!$R:$R,'Unit-Level Data'!$M:$M,TRUE,
          'Unit-Level Data'!$D:$D, INDIRECT("C"&amp;ROW()),
          'Unit-Level Data'!$B:$B, INDIRECT("B"&amp;ROW()))),"")</f>
      </c>
      <c r="P45" s="733" cm="1">
        <f t="array" aca="true" ref="P45" ca="true">COUNTIFS('Unit-Level Data'!$M:$M,TRUE,
          'Unit-Level Data'!$D:$D, INDIRECT("C"&amp;ROW()),
          'Unit-Level Data'!$B:$B, INDIRECT("B"&amp;ROW()))</f>
        <v>0</v>
      </c>
      <c r="Q45" s="738" t="str" cm="1">
        <f t="array" aca="true" ref="Q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 s="760" t="str" cm="1">
        <f t="array" aca="true" ref="R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 s="733" cm="1">
        <f t="array" aca="true" ref="S45" ca="true">COUNTIFS('Unit-Level Data'!$L:$L, "&gt;=" &amp; ($X$2 - Q$5),
          'Unit-Level Data'!$L:$L, "&lt;" &amp; $X$2,
          'Unit-Level Data'!$D:$D, INDIRECT("C"&amp;ROW()),
          'Unit-Level Data'!$B:$B, INDIRECT("B"&amp;ROW()))</f>
        <v>0</v>
      </c>
      <c r="T45" s="738" t="str" cm="1">
        <f t="array" aca="true" ref="T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 s="760" t="str" cm="1">
        <f t="array" aca="true" ref="U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 s="733" cm="1">
        <f t="array" aca="true" ref="V45" ca="true">COUNTIFS('Unit-Level Data'!$L:$L, "&gt;=" &amp; ($X$2 - T$5),
          'Unit-Level Data'!$L:$L, "&lt;" &amp; $X$2,
          'Unit-Level Data'!$D:$D, INDIRECT("C"&amp;ROW()),
          'Unit-Level Data'!$B:$B, INDIRECT("B"&amp;ROW()))</f>
        <v>0</v>
      </c>
      <c r="W45" s="738" t="str" cm="1">
        <f t="array" aca="true" ref="W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 s="760" t="str" cm="1">
        <f t="array" aca="true" ref="X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 s="733" cm="1">
        <f t="array" aca="true" ref="Y45" ca="true">COUNTIFS('Unit-Level Data'!$L:$L, "&gt;=" &amp; ($X$2 - W$5),
          'Unit-Level Data'!$L:$L, "&lt;" &amp; $X$2,
          'Unit-Level Data'!$D:$D, INDIRECT("C"&amp;ROW()),
          'Unit-Level Data'!$B:$B, INDIRECT("B"&amp;ROW()))</f>
        <v>0</v>
      </c>
      <c r="Z45" s="761"/>
      <c r="AA45" s="735" cm="1">
        <f t="array" aca="true" ref="AA45" ca="true">IFERROR(AVERAGEIFS(
  unit_details[Sqft],
  unit_details[Property Name], INDIRECT("B"&amp;ROW()),
  unit_details[Floorplan Name], INDIRECT("C"&amp;ROW()),
  unit_details[Beds], INDIRECT("D"&amp;ROW()),
  unit_details[Detected Unit Amenities], "*"&amp;$AB$3&amp;"*",
  unit_details[Leased Date], "&gt;=" &amp; ($X$2 - $AD$3)
),0)</f>
        <v>0</v>
      </c>
      <c r="AB45" s="734" cm="1">
        <f t="array" aca="true" ref="AB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 s="733" cm="1">
        <f t="array" aca="true" ref="AC45" ca="true">IFERROR(COUNTIFS(
  unit_details[Property Name], INDIRECT("B"&amp;ROW()),
  unit_details[Floorplan Name], INDIRECT("C"&amp;ROW()),
  unit_details[Beds], INDIRECT("D"&amp;ROW()),
  unit_details[Detected Unit Amenities], "*"&amp;$AB$3&amp;"*",
  unit_details[Leased Date], "&gt;=" &amp; ($X$2 - $AD$3)
),0)</f>
        <v>0</v>
      </c>
      <c r="AD45" s="735" cm="1">
        <f t="array" aca="true" ref="AD45" ca="true">IFERROR(AVERAGEIFS(
  unit_details[Sqft],
  unit_details[Property Name], INDIRECT("B"&amp;ROW()),
  unit_details[Floorplan Name], INDIRECT("C"&amp;ROW()),
  unit_details[Beds], INDIRECT("D"&amp;ROW()),
  unit_details[Detected Unit Amenities], "&lt;&gt;*"&amp;$AB$3&amp;"*",
  unit_details[Leased Date], "&gt;=" &amp; ($X$2 - $AD$3)
),0)</f>
        <v>0</v>
      </c>
      <c r="AE45" s="734" cm="1">
        <f t="array" aca="true" ref="AE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 s="733" cm="1">
        <f t="array" aca="true" ref="AF45" ca="true">IFERROR(COUNTIFS(
  unit_details[Property Name], INDIRECT("B"&amp;ROW()),
  unit_details[Floorplan Name], INDIRECT("C"&amp;ROW()),
  unit_details[Beds], INDIRECT("D"&amp;ROW()),
  unit_details[Detected Unit Amenities], "&lt;&gt;*"&amp;$AB$3&amp;"*",
  unit_details[Leased Date], "&gt;=" &amp; ($X$2 - $AD$3)
),0)</f>
        <v>0</v>
      </c>
      <c r="AG45" s="735"/>
      <c r="AH45" s="738">
        <f t="shared" ca="true" si="2"/>
        <v>0</v>
      </c>
      <c r="AI45" s="739">
        <f t="shared" ca="true" si="3"/>
        <v>0</v>
      </c>
    </row>
    <row r="46" spans="2:35">
      <c r="B46" s="1" t="s">
        <v>1221</v>
      </c>
      <c r="C46" s="80" t="s">
        <v>1292</v>
      </c>
      <c r="D46" s="4">
        <v>2</v>
      </c>
      <c r="E46" s="303">
        <v>1</v>
      </c>
      <c r="F46" s="303"/>
      <c r="G46" s="4">
        <v>53</v>
      </c>
      <c r="H46" s="4">
        <v>37.964285714285715</v>
      </c>
      <c r="I46" s="4">
        <v>750</v>
      </c>
      <c r="J46" s="345">
        <v>1441.5357142857142</v>
      </c>
      <c r="K46" s="6">
        <v>1.922047619047619</v>
      </c>
      <c r="L46" s="5">
        <v>1441.5357142857142</v>
      </c>
      <c r="M46" s="6">
        <v>1.922047619047619</v>
      </c>
      <c r="N46" s="738" t="str" cm="1">
        <f t="array" aca="true" ref="N46" ca="true">IFERROR(IF($O$3="Chunk Rent",
AVERAGEIFS('Unit-Level Data'!$O:$O,'Unit-Level Data'!$M:$M,TRUE,
          'Unit-Level Data'!$D:$D, INDIRECT("C"&amp;ROW()),
          'Unit-Level Data'!$B:$B, INDIRECT("B"&amp;ROW())),
AVERAGEIFS('Unit-Level Data'!$P:$P,'Unit-Level Data'!$M:$M,TRUE,
          'Unit-Level Data'!$D:$D, INDIRECT("C"&amp;ROW()),
          'Unit-Level Data'!$B:$B, INDIRECT("B"&amp;ROW()))),"")</f>
      </c>
      <c r="O46" s="760" t="str" cm="1">
        <f t="array" aca="true" ref="O46" ca="true">IFERROR(IF($O$3="Chunk Rent",
AVERAGEIFS('Unit-Level Data'!$Q:$Q,'Unit-Level Data'!$M:$M,TRUE,
          'Unit-Level Data'!$D:$D, INDIRECT("C"&amp;ROW()),
          'Unit-Level Data'!$B:$B, INDIRECT("B"&amp;ROW())),
AVERAGEIFS('Unit-Level Data'!$R:$R,'Unit-Level Data'!$M:$M,TRUE,
          'Unit-Level Data'!$D:$D, INDIRECT("C"&amp;ROW()),
          'Unit-Level Data'!$B:$B, INDIRECT("B"&amp;ROW()))),"")</f>
      </c>
      <c r="P46" s="733" cm="1">
        <f t="array" aca="true" ref="P46" ca="true">COUNTIFS('Unit-Level Data'!$M:$M,TRUE,
          'Unit-Level Data'!$D:$D, INDIRECT("C"&amp;ROW()),
          'Unit-Level Data'!$B:$B, INDIRECT("B"&amp;ROW()))</f>
        <v>0</v>
      </c>
      <c r="Q46" s="738" t="str" cm="1">
        <f t="array" aca="true" ref="Q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 s="760" t="str" cm="1">
        <f t="array" aca="true" ref="R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 s="733" cm="1">
        <f t="array" aca="true" ref="S46" ca="true">COUNTIFS('Unit-Level Data'!$L:$L, "&gt;=" &amp; ($X$2 - Q$5),
          'Unit-Level Data'!$L:$L, "&lt;" &amp; $X$2,
          'Unit-Level Data'!$D:$D, INDIRECT("C"&amp;ROW()),
          'Unit-Level Data'!$B:$B, INDIRECT("B"&amp;ROW()))</f>
        <v>0</v>
      </c>
      <c r="T46" s="738" t="str" cm="1">
        <f t="array" aca="true" ref="T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 s="760" t="str" cm="1">
        <f t="array" aca="true" ref="U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 s="733" cm="1">
        <f t="array" aca="true" ref="V46" ca="true">COUNTIFS('Unit-Level Data'!$L:$L, "&gt;=" &amp; ($X$2 - T$5),
          'Unit-Level Data'!$L:$L, "&lt;" &amp; $X$2,
          'Unit-Level Data'!$D:$D, INDIRECT("C"&amp;ROW()),
          'Unit-Level Data'!$B:$B, INDIRECT("B"&amp;ROW()))</f>
        <v>0</v>
      </c>
      <c r="W46" s="738" t="str" cm="1">
        <f t="array" aca="true" ref="W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 s="760" t="str" cm="1">
        <f t="array" aca="true" ref="X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 s="733" cm="1">
        <f t="array" aca="true" ref="Y46" ca="true">COUNTIFS('Unit-Level Data'!$L:$L, "&gt;=" &amp; ($X$2 - W$5),
          'Unit-Level Data'!$L:$L, "&lt;" &amp; $X$2,
          'Unit-Level Data'!$D:$D, INDIRECT("C"&amp;ROW()),
          'Unit-Level Data'!$B:$B, INDIRECT("B"&amp;ROW()))</f>
        <v>0</v>
      </c>
      <c r="Z46" s="761"/>
      <c r="AA46" s="735" cm="1">
        <f t="array" aca="true" ref="AA46" ca="true">IFERROR(AVERAGEIFS(
  unit_details[Sqft],
  unit_details[Property Name], INDIRECT("B"&amp;ROW()),
  unit_details[Floorplan Name], INDIRECT("C"&amp;ROW()),
  unit_details[Beds], INDIRECT("D"&amp;ROW()),
  unit_details[Detected Unit Amenities], "*"&amp;$AB$3&amp;"*",
  unit_details[Leased Date], "&gt;=" &amp; ($X$2 - $AD$3)
),0)</f>
        <v>0</v>
      </c>
      <c r="AB46" s="734" cm="1">
        <f t="array" aca="true" ref="AB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 s="733" cm="1">
        <f t="array" aca="true" ref="AC46" ca="true">IFERROR(COUNTIFS(
  unit_details[Property Name], INDIRECT("B"&amp;ROW()),
  unit_details[Floorplan Name], INDIRECT("C"&amp;ROW()),
  unit_details[Beds], INDIRECT("D"&amp;ROW()),
  unit_details[Detected Unit Amenities], "*"&amp;$AB$3&amp;"*",
  unit_details[Leased Date], "&gt;=" &amp; ($X$2 - $AD$3)
),0)</f>
        <v>0</v>
      </c>
      <c r="AD46" s="735" cm="1">
        <f t="array" aca="true" ref="AD46" ca="true">IFERROR(AVERAGEIFS(
  unit_details[Sqft],
  unit_details[Property Name], INDIRECT("B"&amp;ROW()),
  unit_details[Floorplan Name], INDIRECT("C"&amp;ROW()),
  unit_details[Beds], INDIRECT("D"&amp;ROW()),
  unit_details[Detected Unit Amenities], "&lt;&gt;*"&amp;$AB$3&amp;"*",
  unit_details[Leased Date], "&gt;=" &amp; ($X$2 - $AD$3)
),0)</f>
        <v>0</v>
      </c>
      <c r="AE46" s="734" cm="1">
        <f t="array" aca="true" ref="AE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 s="733" cm="1">
        <f t="array" aca="true" ref="AF46" ca="true">IFERROR(COUNTIFS(
  unit_details[Property Name], INDIRECT("B"&amp;ROW()),
  unit_details[Floorplan Name], INDIRECT("C"&amp;ROW()),
  unit_details[Beds], INDIRECT("D"&amp;ROW()),
  unit_details[Detected Unit Amenities], "&lt;&gt;*"&amp;$AB$3&amp;"*",
  unit_details[Leased Date], "&gt;=" &amp; ($X$2 - $AD$3)
),0)</f>
        <v>0</v>
      </c>
      <c r="AG46" s="735"/>
      <c r="AH46" s="738">
        <f t="shared" ca="true" si="2"/>
        <v>0</v>
      </c>
      <c r="AI46" s="739">
        <f t="shared" ca="true" si="3"/>
        <v>0</v>
      </c>
    </row>
    <row r="47" spans="2:35">
      <c r="B47" s="1" t="s">
        <v>1221</v>
      </c>
      <c r="C47" s="80" t="s">
        <v>1293</v>
      </c>
      <c r="D47" s="4">
        <v>2</v>
      </c>
      <c r="E47" s="303">
        <v>1</v>
      </c>
      <c r="F47" s="303"/>
      <c r="G47" s="4">
        <v>24</v>
      </c>
      <c r="H47" s="4">
        <v>38.23076923076923</v>
      </c>
      <c r="I47" s="4">
        <v>750</v>
      </c>
      <c r="J47" s="345">
        <v>1492.076923076923</v>
      </c>
      <c r="K47" s="6">
        <v>1.9894358974358974</v>
      </c>
      <c r="L47" s="5">
        <v>1492.076923076923</v>
      </c>
      <c r="M47" s="6">
        <v>1.9894358974358974</v>
      </c>
      <c r="N47" s="738" t="str" cm="1">
        <f t="array" aca="true" ref="N47" ca="true">IFERROR(IF($O$3="Chunk Rent",
AVERAGEIFS('Unit-Level Data'!$O:$O,'Unit-Level Data'!$M:$M,TRUE,
          'Unit-Level Data'!$D:$D, INDIRECT("C"&amp;ROW()),
          'Unit-Level Data'!$B:$B, INDIRECT("B"&amp;ROW())),
AVERAGEIFS('Unit-Level Data'!$P:$P,'Unit-Level Data'!$M:$M,TRUE,
          'Unit-Level Data'!$D:$D, INDIRECT("C"&amp;ROW()),
          'Unit-Level Data'!$B:$B, INDIRECT("B"&amp;ROW()))),"")</f>
      </c>
      <c r="O47" s="760" t="str" cm="1">
        <f t="array" aca="true" ref="O47" ca="true">IFERROR(IF($O$3="Chunk Rent",
AVERAGEIFS('Unit-Level Data'!$Q:$Q,'Unit-Level Data'!$M:$M,TRUE,
          'Unit-Level Data'!$D:$D, INDIRECT("C"&amp;ROW()),
          'Unit-Level Data'!$B:$B, INDIRECT("B"&amp;ROW())),
AVERAGEIFS('Unit-Level Data'!$R:$R,'Unit-Level Data'!$M:$M,TRUE,
          'Unit-Level Data'!$D:$D, INDIRECT("C"&amp;ROW()),
          'Unit-Level Data'!$B:$B, INDIRECT("B"&amp;ROW()))),"")</f>
      </c>
      <c r="P47" s="733" cm="1">
        <f t="array" aca="true" ref="P47" ca="true">COUNTIFS('Unit-Level Data'!$M:$M,TRUE,
          'Unit-Level Data'!$D:$D, INDIRECT("C"&amp;ROW()),
          'Unit-Level Data'!$B:$B, INDIRECT("B"&amp;ROW()))</f>
        <v>0</v>
      </c>
      <c r="Q47" s="738" t="str" cm="1">
        <f t="array" aca="true" ref="Q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 s="760" t="str" cm="1">
        <f t="array" aca="true" ref="R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 s="733" cm="1">
        <f t="array" aca="true" ref="S47" ca="true">COUNTIFS('Unit-Level Data'!$L:$L, "&gt;=" &amp; ($X$2 - Q$5),
          'Unit-Level Data'!$L:$L, "&lt;" &amp; $X$2,
          'Unit-Level Data'!$D:$D, INDIRECT("C"&amp;ROW()),
          'Unit-Level Data'!$B:$B, INDIRECT("B"&amp;ROW()))</f>
        <v>0</v>
      </c>
      <c r="T47" s="738" t="str" cm="1">
        <f t="array" aca="true" ref="T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 s="760" t="str" cm="1">
        <f t="array" aca="true" ref="U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 s="733" cm="1">
        <f t="array" aca="true" ref="V47" ca="true">COUNTIFS('Unit-Level Data'!$L:$L, "&gt;=" &amp; ($X$2 - T$5),
          'Unit-Level Data'!$L:$L, "&lt;" &amp; $X$2,
          'Unit-Level Data'!$D:$D, INDIRECT("C"&amp;ROW()),
          'Unit-Level Data'!$B:$B, INDIRECT("B"&amp;ROW()))</f>
        <v>0</v>
      </c>
      <c r="W47" s="738" t="str" cm="1">
        <f t="array" aca="true" ref="W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 s="760" t="str" cm="1">
        <f t="array" aca="true" ref="X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 s="733" cm="1">
        <f t="array" aca="true" ref="Y47" ca="true">COUNTIFS('Unit-Level Data'!$L:$L, "&gt;=" &amp; ($X$2 - W$5),
          'Unit-Level Data'!$L:$L, "&lt;" &amp; $X$2,
          'Unit-Level Data'!$D:$D, INDIRECT("C"&amp;ROW()),
          'Unit-Level Data'!$B:$B, INDIRECT("B"&amp;ROW()))</f>
        <v>0</v>
      </c>
      <c r="Z47" s="761"/>
      <c r="AA47" s="735" cm="1">
        <f t="array" aca="true" ref="AA47" ca="true">IFERROR(AVERAGEIFS(
  unit_details[Sqft],
  unit_details[Property Name], INDIRECT("B"&amp;ROW()),
  unit_details[Floorplan Name], INDIRECT("C"&amp;ROW()),
  unit_details[Beds], INDIRECT("D"&amp;ROW()),
  unit_details[Detected Unit Amenities], "*"&amp;$AB$3&amp;"*",
  unit_details[Leased Date], "&gt;=" &amp; ($X$2 - $AD$3)
),0)</f>
        <v>0</v>
      </c>
      <c r="AB47" s="734" cm="1">
        <f t="array" aca="true" ref="AB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 s="733" cm="1">
        <f t="array" aca="true" ref="AC47" ca="true">IFERROR(COUNTIFS(
  unit_details[Property Name], INDIRECT("B"&amp;ROW()),
  unit_details[Floorplan Name], INDIRECT("C"&amp;ROW()),
  unit_details[Beds], INDIRECT("D"&amp;ROW()),
  unit_details[Detected Unit Amenities], "*"&amp;$AB$3&amp;"*",
  unit_details[Leased Date], "&gt;=" &amp; ($X$2 - $AD$3)
),0)</f>
        <v>0</v>
      </c>
      <c r="AD47" s="735" cm="1">
        <f t="array" aca="true" ref="AD47" ca="true">IFERROR(AVERAGEIFS(
  unit_details[Sqft],
  unit_details[Property Name], INDIRECT("B"&amp;ROW()),
  unit_details[Floorplan Name], INDIRECT("C"&amp;ROW()),
  unit_details[Beds], INDIRECT("D"&amp;ROW()),
  unit_details[Detected Unit Amenities], "&lt;&gt;*"&amp;$AB$3&amp;"*",
  unit_details[Leased Date], "&gt;=" &amp; ($X$2 - $AD$3)
),0)</f>
        <v>0</v>
      </c>
      <c r="AE47" s="734" cm="1">
        <f t="array" aca="true" ref="AE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 s="733" cm="1">
        <f t="array" aca="true" ref="AF47" ca="true">IFERROR(COUNTIFS(
  unit_details[Property Name], INDIRECT("B"&amp;ROW()),
  unit_details[Floorplan Name], INDIRECT("C"&amp;ROW()),
  unit_details[Beds], INDIRECT("D"&amp;ROW()),
  unit_details[Detected Unit Amenities], "&lt;&gt;*"&amp;$AB$3&amp;"*",
  unit_details[Leased Date], "&gt;=" &amp; ($X$2 - $AD$3)
),0)</f>
        <v>0</v>
      </c>
      <c r="AG47" s="735"/>
      <c r="AH47" s="738">
        <f t="shared" ca="true" si="2"/>
        <v>0</v>
      </c>
      <c r="AI47" s="739">
        <f t="shared" ca="true" si="3"/>
        <v>0</v>
      </c>
    </row>
    <row r="48" spans="2:35">
      <c r="B48" s="1" t="s">
        <v>1221</v>
      </c>
      <c r="C48" s="80" t="s">
        <v>1294</v>
      </c>
      <c r="D48" s="4">
        <v>2</v>
      </c>
      <c r="E48" s="303">
        <v>1</v>
      </c>
      <c r="F48" s="303"/>
      <c r="G48" s="4">
        <v>9</v>
      </c>
      <c r="H48" s="4">
        <v>8.6</v>
      </c>
      <c r="I48" s="4">
        <v>750</v>
      </c>
      <c r="J48" s="345">
        <v>1470.6</v>
      </c>
      <c r="K48" s="6">
        <v>1.9608</v>
      </c>
      <c r="L48" s="5">
        <v>1470.6</v>
      </c>
      <c r="M48" s="6">
        <v>1.9608</v>
      </c>
      <c r="N48" s="738" t="str" cm="1">
        <f t="array" aca="true" ref="N48" ca="true">IFERROR(IF($O$3="Chunk Rent",
AVERAGEIFS('Unit-Level Data'!$O:$O,'Unit-Level Data'!$M:$M,TRUE,
          'Unit-Level Data'!$D:$D, INDIRECT("C"&amp;ROW()),
          'Unit-Level Data'!$B:$B, INDIRECT("B"&amp;ROW())),
AVERAGEIFS('Unit-Level Data'!$P:$P,'Unit-Level Data'!$M:$M,TRUE,
          'Unit-Level Data'!$D:$D, INDIRECT("C"&amp;ROW()),
          'Unit-Level Data'!$B:$B, INDIRECT("B"&amp;ROW()))),"")</f>
      </c>
      <c r="O48" s="760" t="str" cm="1">
        <f t="array" aca="true" ref="O48" ca="true">IFERROR(IF($O$3="Chunk Rent",
AVERAGEIFS('Unit-Level Data'!$Q:$Q,'Unit-Level Data'!$M:$M,TRUE,
          'Unit-Level Data'!$D:$D, INDIRECT("C"&amp;ROW()),
          'Unit-Level Data'!$B:$B, INDIRECT("B"&amp;ROW())),
AVERAGEIFS('Unit-Level Data'!$R:$R,'Unit-Level Data'!$M:$M,TRUE,
          'Unit-Level Data'!$D:$D, INDIRECT("C"&amp;ROW()),
          'Unit-Level Data'!$B:$B, INDIRECT("B"&amp;ROW()))),"")</f>
      </c>
      <c r="P48" s="733" cm="1">
        <f t="array" aca="true" ref="P48" ca="true">COUNTIFS('Unit-Level Data'!$M:$M,TRUE,
          'Unit-Level Data'!$D:$D, INDIRECT("C"&amp;ROW()),
          'Unit-Level Data'!$B:$B, INDIRECT("B"&amp;ROW()))</f>
        <v>0</v>
      </c>
      <c r="Q48" s="738" t="str" cm="1">
        <f t="array" aca="true" ref="Q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 s="760" t="str" cm="1">
        <f t="array" aca="true" ref="R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 s="733" cm="1">
        <f t="array" aca="true" ref="S48" ca="true">COUNTIFS('Unit-Level Data'!$L:$L, "&gt;=" &amp; ($X$2 - Q$5),
          'Unit-Level Data'!$L:$L, "&lt;" &amp; $X$2,
          'Unit-Level Data'!$D:$D, INDIRECT("C"&amp;ROW()),
          'Unit-Level Data'!$B:$B, INDIRECT("B"&amp;ROW()))</f>
        <v>0</v>
      </c>
      <c r="T48" s="738" t="str" cm="1">
        <f t="array" aca="true" ref="T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 s="760" t="str" cm="1">
        <f t="array" aca="true" ref="U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 s="733" cm="1">
        <f t="array" aca="true" ref="V48" ca="true">COUNTIFS('Unit-Level Data'!$L:$L, "&gt;=" &amp; ($X$2 - T$5),
          'Unit-Level Data'!$L:$L, "&lt;" &amp; $X$2,
          'Unit-Level Data'!$D:$D, INDIRECT("C"&amp;ROW()),
          'Unit-Level Data'!$B:$B, INDIRECT("B"&amp;ROW()))</f>
        <v>0</v>
      </c>
      <c r="W48" s="738" t="str" cm="1">
        <f t="array" aca="true" ref="W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 s="760" t="str" cm="1">
        <f t="array" aca="true" ref="X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 s="733" cm="1">
        <f t="array" aca="true" ref="Y48" ca="true">COUNTIFS('Unit-Level Data'!$L:$L, "&gt;=" &amp; ($X$2 - W$5),
          'Unit-Level Data'!$L:$L, "&lt;" &amp; $X$2,
          'Unit-Level Data'!$D:$D, INDIRECT("C"&amp;ROW()),
          'Unit-Level Data'!$B:$B, INDIRECT("B"&amp;ROW()))</f>
        <v>0</v>
      </c>
      <c r="Z48" s="761"/>
      <c r="AA48" s="735" cm="1">
        <f t="array" aca="true" ref="AA48" ca="true">IFERROR(AVERAGEIFS(
  unit_details[Sqft],
  unit_details[Property Name], INDIRECT("B"&amp;ROW()),
  unit_details[Floorplan Name], INDIRECT("C"&amp;ROW()),
  unit_details[Beds], INDIRECT("D"&amp;ROW()),
  unit_details[Detected Unit Amenities], "*"&amp;$AB$3&amp;"*",
  unit_details[Leased Date], "&gt;=" &amp; ($X$2 - $AD$3)
),0)</f>
        <v>0</v>
      </c>
      <c r="AB48" s="734" cm="1">
        <f t="array" aca="true" ref="AB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 s="733" cm="1">
        <f t="array" aca="true" ref="AC48" ca="true">IFERROR(COUNTIFS(
  unit_details[Property Name], INDIRECT("B"&amp;ROW()),
  unit_details[Floorplan Name], INDIRECT("C"&amp;ROW()),
  unit_details[Beds], INDIRECT("D"&amp;ROW()),
  unit_details[Detected Unit Amenities], "*"&amp;$AB$3&amp;"*",
  unit_details[Leased Date], "&gt;=" &amp; ($X$2 - $AD$3)
),0)</f>
        <v>0</v>
      </c>
      <c r="AD48" s="735" cm="1">
        <f t="array" aca="true" ref="AD48" ca="true">IFERROR(AVERAGEIFS(
  unit_details[Sqft],
  unit_details[Property Name], INDIRECT("B"&amp;ROW()),
  unit_details[Floorplan Name], INDIRECT("C"&amp;ROW()),
  unit_details[Beds], INDIRECT("D"&amp;ROW()),
  unit_details[Detected Unit Amenities], "&lt;&gt;*"&amp;$AB$3&amp;"*",
  unit_details[Leased Date], "&gt;=" &amp; ($X$2 - $AD$3)
),0)</f>
        <v>0</v>
      </c>
      <c r="AE48" s="734" cm="1">
        <f t="array" aca="true" ref="AE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 s="733" cm="1">
        <f t="array" aca="true" ref="AF48" ca="true">IFERROR(COUNTIFS(
  unit_details[Property Name], INDIRECT("B"&amp;ROW()),
  unit_details[Floorplan Name], INDIRECT("C"&amp;ROW()),
  unit_details[Beds], INDIRECT("D"&amp;ROW()),
  unit_details[Detected Unit Amenities], "&lt;&gt;*"&amp;$AB$3&amp;"*",
  unit_details[Leased Date], "&gt;=" &amp; ($X$2 - $AD$3)
),0)</f>
        <v>0</v>
      </c>
      <c r="AG48" s="735"/>
      <c r="AH48" s="738">
        <f t="shared" ca="true" si="2"/>
        <v>0</v>
      </c>
      <c r="AI48" s="739">
        <f t="shared" ca="true" si="3"/>
        <v>0</v>
      </c>
    </row>
    <row r="49" spans="2:35">
      <c r="B49" s="1" t="s">
        <v>1221</v>
      </c>
      <c r="C49" s="80" t="s">
        <v>1295</v>
      </c>
      <c r="D49" s="4">
        <v>2</v>
      </c>
      <c r="E49" s="303">
        <v>1</v>
      </c>
      <c r="F49" s="303"/>
      <c r="G49" s="4">
        <v>6</v>
      </c>
      <c r="H49" s="4">
        <v>31.666666666666668</v>
      </c>
      <c r="I49" s="4">
        <v>750</v>
      </c>
      <c r="J49" s="345">
        <v>1584.3333333333333</v>
      </c>
      <c r="K49" s="6">
        <v>2.1124444444444443</v>
      </c>
      <c r="L49" s="5">
        <v>1584.3333333333333</v>
      </c>
      <c r="M49" s="6">
        <v>2.1124444444444443</v>
      </c>
      <c r="N49" s="738" t="str" cm="1">
        <f t="array" aca="true" ref="N49" ca="true">IFERROR(IF($O$3="Chunk Rent",
AVERAGEIFS('Unit-Level Data'!$O:$O,'Unit-Level Data'!$M:$M,TRUE,
          'Unit-Level Data'!$D:$D, INDIRECT("C"&amp;ROW()),
          'Unit-Level Data'!$B:$B, INDIRECT("B"&amp;ROW())),
AVERAGEIFS('Unit-Level Data'!$P:$P,'Unit-Level Data'!$M:$M,TRUE,
          'Unit-Level Data'!$D:$D, INDIRECT("C"&amp;ROW()),
          'Unit-Level Data'!$B:$B, INDIRECT("B"&amp;ROW()))),"")</f>
      </c>
      <c r="O49" s="760" t="str" cm="1">
        <f t="array" aca="true" ref="O49" ca="true">IFERROR(IF($O$3="Chunk Rent",
AVERAGEIFS('Unit-Level Data'!$Q:$Q,'Unit-Level Data'!$M:$M,TRUE,
          'Unit-Level Data'!$D:$D, INDIRECT("C"&amp;ROW()),
          'Unit-Level Data'!$B:$B, INDIRECT("B"&amp;ROW())),
AVERAGEIFS('Unit-Level Data'!$R:$R,'Unit-Level Data'!$M:$M,TRUE,
          'Unit-Level Data'!$D:$D, INDIRECT("C"&amp;ROW()),
          'Unit-Level Data'!$B:$B, INDIRECT("B"&amp;ROW()))),"")</f>
      </c>
      <c r="P49" s="733" cm="1">
        <f t="array" aca="true" ref="P49" ca="true">COUNTIFS('Unit-Level Data'!$M:$M,TRUE,
          'Unit-Level Data'!$D:$D, INDIRECT("C"&amp;ROW()),
          'Unit-Level Data'!$B:$B, INDIRECT("B"&amp;ROW()))</f>
        <v>0</v>
      </c>
      <c r="Q49" s="738" t="str" cm="1">
        <f t="array" aca="true" ref="Q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 s="760" t="str" cm="1">
        <f t="array" aca="true" ref="R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 s="733" cm="1">
        <f t="array" aca="true" ref="S49" ca="true">COUNTIFS('Unit-Level Data'!$L:$L, "&gt;=" &amp; ($X$2 - Q$5),
          'Unit-Level Data'!$L:$L, "&lt;" &amp; $X$2,
          'Unit-Level Data'!$D:$D, INDIRECT("C"&amp;ROW()),
          'Unit-Level Data'!$B:$B, INDIRECT("B"&amp;ROW()))</f>
        <v>0</v>
      </c>
      <c r="T49" s="738" t="str" cm="1">
        <f t="array" aca="true" ref="T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 s="760" t="str" cm="1">
        <f t="array" aca="true" ref="U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 s="733" cm="1">
        <f t="array" aca="true" ref="V49" ca="true">COUNTIFS('Unit-Level Data'!$L:$L, "&gt;=" &amp; ($X$2 - T$5),
          'Unit-Level Data'!$L:$L, "&lt;" &amp; $X$2,
          'Unit-Level Data'!$D:$D, INDIRECT("C"&amp;ROW()),
          'Unit-Level Data'!$B:$B, INDIRECT("B"&amp;ROW()))</f>
        <v>0</v>
      </c>
      <c r="W49" s="738" t="str" cm="1">
        <f t="array" aca="true" ref="W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 s="760" t="str" cm="1">
        <f t="array" aca="true" ref="X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 s="733" cm="1">
        <f t="array" aca="true" ref="Y49" ca="true">COUNTIFS('Unit-Level Data'!$L:$L, "&gt;=" &amp; ($X$2 - W$5),
          'Unit-Level Data'!$L:$L, "&lt;" &amp; $X$2,
          'Unit-Level Data'!$D:$D, INDIRECT("C"&amp;ROW()),
          'Unit-Level Data'!$B:$B, INDIRECT("B"&amp;ROW()))</f>
        <v>0</v>
      </c>
      <c r="Z49" s="761"/>
      <c r="AA49" s="735" cm="1">
        <f t="array" aca="true" ref="AA49" ca="true">IFERROR(AVERAGEIFS(
  unit_details[Sqft],
  unit_details[Property Name], INDIRECT("B"&amp;ROW()),
  unit_details[Floorplan Name], INDIRECT("C"&amp;ROW()),
  unit_details[Beds], INDIRECT("D"&amp;ROW()),
  unit_details[Detected Unit Amenities], "*"&amp;$AB$3&amp;"*",
  unit_details[Leased Date], "&gt;=" &amp; ($X$2 - $AD$3)
),0)</f>
        <v>0</v>
      </c>
      <c r="AB49" s="734" cm="1">
        <f t="array" aca="true" ref="AB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 s="733" cm="1">
        <f t="array" aca="true" ref="AC49" ca="true">IFERROR(COUNTIFS(
  unit_details[Property Name], INDIRECT("B"&amp;ROW()),
  unit_details[Floorplan Name], INDIRECT("C"&amp;ROW()),
  unit_details[Beds], INDIRECT("D"&amp;ROW()),
  unit_details[Detected Unit Amenities], "*"&amp;$AB$3&amp;"*",
  unit_details[Leased Date], "&gt;=" &amp; ($X$2 - $AD$3)
),0)</f>
        <v>0</v>
      </c>
      <c r="AD49" s="735" cm="1">
        <f t="array" aca="true" ref="AD49" ca="true">IFERROR(AVERAGEIFS(
  unit_details[Sqft],
  unit_details[Property Name], INDIRECT("B"&amp;ROW()),
  unit_details[Floorplan Name], INDIRECT("C"&amp;ROW()),
  unit_details[Beds], INDIRECT("D"&amp;ROW()),
  unit_details[Detected Unit Amenities], "&lt;&gt;*"&amp;$AB$3&amp;"*",
  unit_details[Leased Date], "&gt;=" &amp; ($X$2 - $AD$3)
),0)</f>
        <v>0</v>
      </c>
      <c r="AE49" s="734" cm="1">
        <f t="array" aca="true" ref="AE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 s="733" cm="1">
        <f t="array" aca="true" ref="AF49" ca="true">IFERROR(COUNTIFS(
  unit_details[Property Name], INDIRECT("B"&amp;ROW()),
  unit_details[Floorplan Name], INDIRECT("C"&amp;ROW()),
  unit_details[Beds], INDIRECT("D"&amp;ROW()),
  unit_details[Detected Unit Amenities], "&lt;&gt;*"&amp;$AB$3&amp;"*",
  unit_details[Leased Date], "&gt;=" &amp; ($X$2 - $AD$3)
),0)</f>
        <v>0</v>
      </c>
      <c r="AG49" s="735"/>
      <c r="AH49" s="738">
        <f t="shared" ca="true" si="2"/>
        <v>0</v>
      </c>
      <c r="AI49" s="739">
        <f t="shared" ca="true" si="3"/>
        <v>0</v>
      </c>
    </row>
    <row r="50" spans="2:35">
      <c r="B50" s="1" t="s">
        <v>1221</v>
      </c>
      <c r="C50" s="80" t="s">
        <v>1296</v>
      </c>
      <c r="D50" s="4">
        <v>2</v>
      </c>
      <c r="E50" s="303">
        <v>1</v>
      </c>
      <c r="F50" s="303"/>
      <c r="G50" s="4">
        <v>23</v>
      </c>
      <c r="H50" s="4">
        <v>30.25</v>
      </c>
      <c r="I50" s="4">
        <v>750</v>
      </c>
      <c r="J50" s="345">
        <v>1478.5833333333333</v>
      </c>
      <c r="K50" s="6">
        <v>1.9714444444444446</v>
      </c>
      <c r="L50" s="5">
        <v>1478.5833333333333</v>
      </c>
      <c r="M50" s="6">
        <v>1.9714444444444446</v>
      </c>
      <c r="N50" s="738" t="str" cm="1">
        <f t="array" aca="true" ref="N50" ca="true">IFERROR(IF($O$3="Chunk Rent",
AVERAGEIFS('Unit-Level Data'!$O:$O,'Unit-Level Data'!$M:$M,TRUE,
          'Unit-Level Data'!$D:$D, INDIRECT("C"&amp;ROW()),
          'Unit-Level Data'!$B:$B, INDIRECT("B"&amp;ROW())),
AVERAGEIFS('Unit-Level Data'!$P:$P,'Unit-Level Data'!$M:$M,TRUE,
          'Unit-Level Data'!$D:$D, INDIRECT("C"&amp;ROW()),
          'Unit-Level Data'!$B:$B, INDIRECT("B"&amp;ROW()))),"")</f>
      </c>
      <c r="O50" s="760" t="str" cm="1">
        <f t="array" aca="true" ref="O50" ca="true">IFERROR(IF($O$3="Chunk Rent",
AVERAGEIFS('Unit-Level Data'!$Q:$Q,'Unit-Level Data'!$M:$M,TRUE,
          'Unit-Level Data'!$D:$D, INDIRECT("C"&amp;ROW()),
          'Unit-Level Data'!$B:$B, INDIRECT("B"&amp;ROW())),
AVERAGEIFS('Unit-Level Data'!$R:$R,'Unit-Level Data'!$M:$M,TRUE,
          'Unit-Level Data'!$D:$D, INDIRECT("C"&amp;ROW()),
          'Unit-Level Data'!$B:$B, INDIRECT("B"&amp;ROW()))),"")</f>
      </c>
      <c r="P50" s="733" cm="1">
        <f t="array" aca="true" ref="P50" ca="true">COUNTIFS('Unit-Level Data'!$M:$M,TRUE,
          'Unit-Level Data'!$D:$D, INDIRECT("C"&amp;ROW()),
          'Unit-Level Data'!$B:$B, INDIRECT("B"&amp;ROW()))</f>
        <v>0</v>
      </c>
      <c r="Q50" s="738" t="str" cm="1">
        <f t="array" aca="true" ref="Q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 s="760" t="str" cm="1">
        <f t="array" aca="true" ref="R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 s="733" cm="1">
        <f t="array" aca="true" ref="S50" ca="true">COUNTIFS('Unit-Level Data'!$L:$L, "&gt;=" &amp; ($X$2 - Q$5),
          'Unit-Level Data'!$L:$L, "&lt;" &amp; $X$2,
          'Unit-Level Data'!$D:$D, INDIRECT("C"&amp;ROW()),
          'Unit-Level Data'!$B:$B, INDIRECT("B"&amp;ROW()))</f>
        <v>0</v>
      </c>
      <c r="T50" s="738" t="str" cm="1">
        <f t="array" aca="true" ref="T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 s="760" t="str" cm="1">
        <f t="array" aca="true" ref="U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 s="733" cm="1">
        <f t="array" aca="true" ref="V50" ca="true">COUNTIFS('Unit-Level Data'!$L:$L, "&gt;=" &amp; ($X$2 - T$5),
          'Unit-Level Data'!$L:$L, "&lt;" &amp; $X$2,
          'Unit-Level Data'!$D:$D, INDIRECT("C"&amp;ROW()),
          'Unit-Level Data'!$B:$B, INDIRECT("B"&amp;ROW()))</f>
        <v>0</v>
      </c>
      <c r="W50" s="738" t="str" cm="1">
        <f t="array" aca="true" ref="W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 s="760" t="str" cm="1">
        <f t="array" aca="true" ref="X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 s="733" cm="1">
        <f t="array" aca="true" ref="Y50" ca="true">COUNTIFS('Unit-Level Data'!$L:$L, "&gt;=" &amp; ($X$2 - W$5),
          'Unit-Level Data'!$L:$L, "&lt;" &amp; $X$2,
          'Unit-Level Data'!$D:$D, INDIRECT("C"&amp;ROW()),
          'Unit-Level Data'!$B:$B, INDIRECT("B"&amp;ROW()))</f>
        <v>0</v>
      </c>
      <c r="Z50" s="761"/>
      <c r="AA50" s="735" cm="1">
        <f t="array" aca="true" ref="AA50" ca="true">IFERROR(AVERAGEIFS(
  unit_details[Sqft],
  unit_details[Property Name], INDIRECT("B"&amp;ROW()),
  unit_details[Floorplan Name], INDIRECT("C"&amp;ROW()),
  unit_details[Beds], INDIRECT("D"&amp;ROW()),
  unit_details[Detected Unit Amenities], "*"&amp;$AB$3&amp;"*",
  unit_details[Leased Date], "&gt;=" &amp; ($X$2 - $AD$3)
),0)</f>
        <v>0</v>
      </c>
      <c r="AB50" s="734" cm="1">
        <f t="array" aca="true" ref="AB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 s="733" cm="1">
        <f t="array" aca="true" ref="AC50" ca="true">IFERROR(COUNTIFS(
  unit_details[Property Name], INDIRECT("B"&amp;ROW()),
  unit_details[Floorplan Name], INDIRECT("C"&amp;ROW()),
  unit_details[Beds], INDIRECT("D"&amp;ROW()),
  unit_details[Detected Unit Amenities], "*"&amp;$AB$3&amp;"*",
  unit_details[Leased Date], "&gt;=" &amp; ($X$2 - $AD$3)
),0)</f>
        <v>0</v>
      </c>
      <c r="AD50" s="735" cm="1">
        <f t="array" aca="true" ref="AD50" ca="true">IFERROR(AVERAGEIFS(
  unit_details[Sqft],
  unit_details[Property Name], INDIRECT("B"&amp;ROW()),
  unit_details[Floorplan Name], INDIRECT("C"&amp;ROW()),
  unit_details[Beds], INDIRECT("D"&amp;ROW()),
  unit_details[Detected Unit Amenities], "&lt;&gt;*"&amp;$AB$3&amp;"*",
  unit_details[Leased Date], "&gt;=" &amp; ($X$2 - $AD$3)
),0)</f>
        <v>0</v>
      </c>
      <c r="AE50" s="734" cm="1">
        <f t="array" aca="true" ref="AE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 s="733" cm="1">
        <f t="array" aca="true" ref="AF50" ca="true">IFERROR(COUNTIFS(
  unit_details[Property Name], INDIRECT("B"&amp;ROW()),
  unit_details[Floorplan Name], INDIRECT("C"&amp;ROW()),
  unit_details[Beds], INDIRECT("D"&amp;ROW()),
  unit_details[Detected Unit Amenities], "&lt;&gt;*"&amp;$AB$3&amp;"*",
  unit_details[Leased Date], "&gt;=" &amp; ($X$2 - $AD$3)
),0)</f>
        <v>0</v>
      </c>
      <c r="AG50" s="735"/>
      <c r="AH50" s="738">
        <f t="shared" ca="true" si="2"/>
        <v>0</v>
      </c>
      <c r="AI50" s="739">
        <f t="shared" ca="true" si="3"/>
        <v>0</v>
      </c>
    </row>
    <row r="51" spans="2:35">
      <c r="B51" s="1" t="s">
        <v>1221</v>
      </c>
      <c r="C51" s="80" t="s">
        <v>1297</v>
      </c>
      <c r="D51" s="4">
        <v>2</v>
      </c>
      <c r="E51" s="303">
        <v>1</v>
      </c>
      <c r="F51" s="303"/>
      <c r="G51" s="4">
        <v>2</v>
      </c>
      <c r="H51" s="4">
        <v>18</v>
      </c>
      <c r="I51" s="4">
        <v>750</v>
      </c>
      <c r="J51" s="345">
        <v>1325</v>
      </c>
      <c r="K51" s="6">
        <v>1.7666666666666666</v>
      </c>
      <c r="L51" s="5">
        <v>1325</v>
      </c>
      <c r="M51" s="6">
        <v>1.7666666666666666</v>
      </c>
      <c r="N51" s="738" t="str" cm="1">
        <f t="array" aca="true" ref="N51" ca="true">IFERROR(IF($O$3="Chunk Rent",
AVERAGEIFS('Unit-Level Data'!$O:$O,'Unit-Level Data'!$M:$M,TRUE,
          'Unit-Level Data'!$D:$D, INDIRECT("C"&amp;ROW()),
          'Unit-Level Data'!$B:$B, INDIRECT("B"&amp;ROW())),
AVERAGEIFS('Unit-Level Data'!$P:$P,'Unit-Level Data'!$M:$M,TRUE,
          'Unit-Level Data'!$D:$D, INDIRECT("C"&amp;ROW()),
          'Unit-Level Data'!$B:$B, INDIRECT("B"&amp;ROW()))),"")</f>
      </c>
      <c r="O51" s="760" t="str" cm="1">
        <f t="array" aca="true" ref="O51" ca="true">IFERROR(IF($O$3="Chunk Rent",
AVERAGEIFS('Unit-Level Data'!$Q:$Q,'Unit-Level Data'!$M:$M,TRUE,
          'Unit-Level Data'!$D:$D, INDIRECT("C"&amp;ROW()),
          'Unit-Level Data'!$B:$B, INDIRECT("B"&amp;ROW())),
AVERAGEIFS('Unit-Level Data'!$R:$R,'Unit-Level Data'!$M:$M,TRUE,
          'Unit-Level Data'!$D:$D, INDIRECT("C"&amp;ROW()),
          'Unit-Level Data'!$B:$B, INDIRECT("B"&amp;ROW()))),"")</f>
      </c>
      <c r="P51" s="733" cm="1">
        <f t="array" aca="true" ref="P51" ca="true">COUNTIFS('Unit-Level Data'!$M:$M,TRUE,
          'Unit-Level Data'!$D:$D, INDIRECT("C"&amp;ROW()),
          'Unit-Level Data'!$B:$B, INDIRECT("B"&amp;ROW()))</f>
        <v>0</v>
      </c>
      <c r="Q51" s="738" t="str" cm="1">
        <f t="array" aca="true" ref="Q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1" s="760" t="str" cm="1">
        <f t="array" aca="true" ref="R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1" s="733" cm="1">
        <f t="array" aca="true" ref="S51" ca="true">COUNTIFS('Unit-Level Data'!$L:$L, "&gt;=" &amp; ($X$2 - Q$5),
          'Unit-Level Data'!$L:$L, "&lt;" &amp; $X$2,
          'Unit-Level Data'!$D:$D, INDIRECT("C"&amp;ROW()),
          'Unit-Level Data'!$B:$B, INDIRECT("B"&amp;ROW()))</f>
        <v>0</v>
      </c>
      <c r="T51" s="738" t="str" cm="1">
        <f t="array" aca="true" ref="T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1" s="760" t="str" cm="1">
        <f t="array" aca="true" ref="U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1" s="733" cm="1">
        <f t="array" aca="true" ref="V51" ca="true">COUNTIFS('Unit-Level Data'!$L:$L, "&gt;=" &amp; ($X$2 - T$5),
          'Unit-Level Data'!$L:$L, "&lt;" &amp; $X$2,
          'Unit-Level Data'!$D:$D, INDIRECT("C"&amp;ROW()),
          'Unit-Level Data'!$B:$B, INDIRECT("B"&amp;ROW()))</f>
        <v>0</v>
      </c>
      <c r="W51" s="738" t="str" cm="1">
        <f t="array" aca="true" ref="W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1" s="760" t="str" cm="1">
        <f t="array" aca="true" ref="X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1" s="733" cm="1">
        <f t="array" aca="true" ref="Y51" ca="true">COUNTIFS('Unit-Level Data'!$L:$L, "&gt;=" &amp; ($X$2 - W$5),
          'Unit-Level Data'!$L:$L, "&lt;" &amp; $X$2,
          'Unit-Level Data'!$D:$D, INDIRECT("C"&amp;ROW()),
          'Unit-Level Data'!$B:$B, INDIRECT("B"&amp;ROW()))</f>
        <v>0</v>
      </c>
      <c r="Z51" s="761"/>
      <c r="AA51" s="735" cm="1">
        <f t="array" aca="true" ref="AA51" ca="true">IFERROR(AVERAGEIFS(
  unit_details[Sqft],
  unit_details[Property Name], INDIRECT("B"&amp;ROW()),
  unit_details[Floorplan Name], INDIRECT("C"&amp;ROW()),
  unit_details[Beds], INDIRECT("D"&amp;ROW()),
  unit_details[Detected Unit Amenities], "*"&amp;$AB$3&amp;"*",
  unit_details[Leased Date], "&gt;=" &amp; ($X$2 - $AD$3)
),0)</f>
        <v>0</v>
      </c>
      <c r="AB51" s="734" cm="1">
        <f t="array" aca="true" ref="AB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1" s="733" cm="1">
        <f t="array" aca="true" ref="AC51" ca="true">IFERROR(COUNTIFS(
  unit_details[Property Name], INDIRECT("B"&amp;ROW()),
  unit_details[Floorplan Name], INDIRECT("C"&amp;ROW()),
  unit_details[Beds], INDIRECT("D"&amp;ROW()),
  unit_details[Detected Unit Amenities], "*"&amp;$AB$3&amp;"*",
  unit_details[Leased Date], "&gt;=" &amp; ($X$2 - $AD$3)
),0)</f>
        <v>0</v>
      </c>
      <c r="AD51" s="735" cm="1">
        <f t="array" aca="true" ref="AD51" ca="true">IFERROR(AVERAGEIFS(
  unit_details[Sqft],
  unit_details[Property Name], INDIRECT("B"&amp;ROW()),
  unit_details[Floorplan Name], INDIRECT("C"&amp;ROW()),
  unit_details[Beds], INDIRECT("D"&amp;ROW()),
  unit_details[Detected Unit Amenities], "&lt;&gt;*"&amp;$AB$3&amp;"*",
  unit_details[Leased Date], "&gt;=" &amp; ($X$2 - $AD$3)
),0)</f>
        <v>0</v>
      </c>
      <c r="AE51" s="734" cm="1">
        <f t="array" aca="true" ref="AE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1" s="733" cm="1">
        <f t="array" aca="true" ref="AF51" ca="true">IFERROR(COUNTIFS(
  unit_details[Property Name], INDIRECT("B"&amp;ROW()),
  unit_details[Floorplan Name], INDIRECT("C"&amp;ROW()),
  unit_details[Beds], INDIRECT("D"&amp;ROW()),
  unit_details[Detected Unit Amenities], "&lt;&gt;*"&amp;$AB$3&amp;"*",
  unit_details[Leased Date], "&gt;=" &amp; ($X$2 - $AD$3)
),0)</f>
        <v>0</v>
      </c>
      <c r="AG51" s="735"/>
      <c r="AH51" s="738">
        <f t="shared" ca="true" si="2"/>
        <v>0</v>
      </c>
      <c r="AI51" s="739">
        <f t="shared" ca="true" si="3"/>
        <v>0</v>
      </c>
    </row>
    <row r="52" spans="2:35">
      <c r="B52" s="1" t="s">
        <v>1221</v>
      </c>
      <c r="C52" s="80" t="s">
        <v>1298</v>
      </c>
      <c r="D52" s="4">
        <v>2</v>
      </c>
      <c r="E52" s="303">
        <v>1</v>
      </c>
      <c r="F52" s="303"/>
      <c r="G52" s="4">
        <v>23</v>
      </c>
      <c r="H52" s="4">
        <v>38.333333333333336</v>
      </c>
      <c r="I52" s="4">
        <v>750</v>
      </c>
      <c r="J52" s="345">
        <v>1354.1666666666667</v>
      </c>
      <c r="K52" s="6">
        <v>1.8055555555555556</v>
      </c>
      <c r="L52" s="5">
        <v>1352.0833333333333</v>
      </c>
      <c r="M52" s="6">
        <v>1.8027777777777778</v>
      </c>
      <c r="N52" s="738" t="str" cm="1">
        <f t="array" aca="true" ref="N52" ca="true">IFERROR(IF($O$3="Chunk Rent",
AVERAGEIFS('Unit-Level Data'!$O:$O,'Unit-Level Data'!$M:$M,TRUE,
          'Unit-Level Data'!$D:$D, INDIRECT("C"&amp;ROW()),
          'Unit-Level Data'!$B:$B, INDIRECT("B"&amp;ROW())),
AVERAGEIFS('Unit-Level Data'!$P:$P,'Unit-Level Data'!$M:$M,TRUE,
          'Unit-Level Data'!$D:$D, INDIRECT("C"&amp;ROW()),
          'Unit-Level Data'!$B:$B, INDIRECT("B"&amp;ROW()))),"")</f>
      </c>
      <c r="O52" s="760" t="str" cm="1">
        <f t="array" aca="true" ref="O52" ca="true">IFERROR(IF($O$3="Chunk Rent",
AVERAGEIFS('Unit-Level Data'!$Q:$Q,'Unit-Level Data'!$M:$M,TRUE,
          'Unit-Level Data'!$D:$D, INDIRECT("C"&amp;ROW()),
          'Unit-Level Data'!$B:$B, INDIRECT("B"&amp;ROW())),
AVERAGEIFS('Unit-Level Data'!$R:$R,'Unit-Level Data'!$M:$M,TRUE,
          'Unit-Level Data'!$D:$D, INDIRECT("C"&amp;ROW()),
          'Unit-Level Data'!$B:$B, INDIRECT("B"&amp;ROW()))),"")</f>
      </c>
      <c r="P52" s="733" cm="1">
        <f t="array" aca="true" ref="P52" ca="true">COUNTIFS('Unit-Level Data'!$M:$M,TRUE,
          'Unit-Level Data'!$D:$D, INDIRECT("C"&amp;ROW()),
          'Unit-Level Data'!$B:$B, INDIRECT("B"&amp;ROW()))</f>
        <v>0</v>
      </c>
      <c r="Q52" s="738" t="str" cm="1">
        <f t="array" aca="true" ref="Q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2" s="760" t="str" cm="1">
        <f t="array" aca="true" ref="R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2" s="733" cm="1">
        <f t="array" aca="true" ref="S52" ca="true">COUNTIFS('Unit-Level Data'!$L:$L, "&gt;=" &amp; ($X$2 - Q$5),
          'Unit-Level Data'!$L:$L, "&lt;" &amp; $X$2,
          'Unit-Level Data'!$D:$D, INDIRECT("C"&amp;ROW()),
          'Unit-Level Data'!$B:$B, INDIRECT("B"&amp;ROW()))</f>
        <v>0</v>
      </c>
      <c r="T52" s="738" t="str" cm="1">
        <f t="array" aca="true" ref="T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2" s="760" t="str" cm="1">
        <f t="array" aca="true" ref="U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2" s="733" cm="1">
        <f t="array" aca="true" ref="V52" ca="true">COUNTIFS('Unit-Level Data'!$L:$L, "&gt;=" &amp; ($X$2 - T$5),
          'Unit-Level Data'!$L:$L, "&lt;" &amp; $X$2,
          'Unit-Level Data'!$D:$D, INDIRECT("C"&amp;ROW()),
          'Unit-Level Data'!$B:$B, INDIRECT("B"&amp;ROW()))</f>
        <v>0</v>
      </c>
      <c r="W52" s="738" t="str" cm="1">
        <f t="array" aca="true" ref="W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2" s="760" t="str" cm="1">
        <f t="array" aca="true" ref="X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2" s="733" cm="1">
        <f t="array" aca="true" ref="Y52" ca="true">COUNTIFS('Unit-Level Data'!$L:$L, "&gt;=" &amp; ($X$2 - W$5),
          'Unit-Level Data'!$L:$L, "&lt;" &amp; $X$2,
          'Unit-Level Data'!$D:$D, INDIRECT("C"&amp;ROW()),
          'Unit-Level Data'!$B:$B, INDIRECT("B"&amp;ROW()))</f>
        <v>0</v>
      </c>
      <c r="Z52" s="761"/>
      <c r="AA52" s="735" cm="1">
        <f t="array" aca="true" ref="AA52" ca="true">IFERROR(AVERAGEIFS(
  unit_details[Sqft],
  unit_details[Property Name], INDIRECT("B"&amp;ROW()),
  unit_details[Floorplan Name], INDIRECT("C"&amp;ROW()),
  unit_details[Beds], INDIRECT("D"&amp;ROW()),
  unit_details[Detected Unit Amenities], "*"&amp;$AB$3&amp;"*",
  unit_details[Leased Date], "&gt;=" &amp; ($X$2 - $AD$3)
),0)</f>
        <v>0</v>
      </c>
      <c r="AB52" s="734" cm="1">
        <f t="array" aca="true" ref="AB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2" s="733" cm="1">
        <f t="array" aca="true" ref="AC52" ca="true">IFERROR(COUNTIFS(
  unit_details[Property Name], INDIRECT("B"&amp;ROW()),
  unit_details[Floorplan Name], INDIRECT("C"&amp;ROW()),
  unit_details[Beds], INDIRECT("D"&amp;ROW()),
  unit_details[Detected Unit Amenities], "*"&amp;$AB$3&amp;"*",
  unit_details[Leased Date], "&gt;=" &amp; ($X$2 - $AD$3)
),0)</f>
        <v>0</v>
      </c>
      <c r="AD52" s="735" cm="1">
        <f t="array" aca="true" ref="AD52" ca="true">IFERROR(AVERAGEIFS(
  unit_details[Sqft],
  unit_details[Property Name], INDIRECT("B"&amp;ROW()),
  unit_details[Floorplan Name], INDIRECT("C"&amp;ROW()),
  unit_details[Beds], INDIRECT("D"&amp;ROW()),
  unit_details[Detected Unit Amenities], "&lt;&gt;*"&amp;$AB$3&amp;"*",
  unit_details[Leased Date], "&gt;=" &amp; ($X$2 - $AD$3)
),0)</f>
        <v>0</v>
      </c>
      <c r="AE52" s="734" cm="1">
        <f t="array" aca="true" ref="AE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2" s="733" cm="1">
        <f t="array" aca="true" ref="AF52" ca="true">IFERROR(COUNTIFS(
  unit_details[Property Name], INDIRECT("B"&amp;ROW()),
  unit_details[Floorplan Name], INDIRECT("C"&amp;ROW()),
  unit_details[Beds], INDIRECT("D"&amp;ROW()),
  unit_details[Detected Unit Amenities], "&lt;&gt;*"&amp;$AB$3&amp;"*",
  unit_details[Leased Date], "&gt;=" &amp; ($X$2 - $AD$3)
),0)</f>
        <v>0</v>
      </c>
      <c r="AG52" s="735"/>
      <c r="AH52" s="738">
        <f t="shared" ca="true" si="2"/>
        <v>0</v>
      </c>
      <c r="AI52" s="739">
        <f t="shared" ca="true" si="3"/>
        <v>0</v>
      </c>
    </row>
    <row r="53" spans="2:35">
      <c r="B53" s="1" t="s">
        <v>1221</v>
      </c>
      <c r="C53" s="80" t="s">
        <v>1299</v>
      </c>
      <c r="D53" s="4">
        <v>2</v>
      </c>
      <c r="E53" s="303">
        <v>1</v>
      </c>
      <c r="F53" s="303"/>
      <c r="G53" s="4">
        <v>15</v>
      </c>
      <c r="H53" s="4">
        <v>26.875</v>
      </c>
      <c r="I53" s="4">
        <v>750</v>
      </c>
      <c r="J53" s="345">
        <v>1350</v>
      </c>
      <c r="K53" s="6">
        <v>1.8</v>
      </c>
      <c r="L53" s="5">
        <v>1346.875</v>
      </c>
      <c r="M53" s="6">
        <v>1.7958333333333334</v>
      </c>
      <c r="N53" s="738" t="str" cm="1">
        <f t="array" aca="true" ref="N53" ca="true">IFERROR(IF($O$3="Chunk Rent",
AVERAGEIFS('Unit-Level Data'!$O:$O,'Unit-Level Data'!$M:$M,TRUE,
          'Unit-Level Data'!$D:$D, INDIRECT("C"&amp;ROW()),
          'Unit-Level Data'!$B:$B, INDIRECT("B"&amp;ROW())),
AVERAGEIFS('Unit-Level Data'!$P:$P,'Unit-Level Data'!$M:$M,TRUE,
          'Unit-Level Data'!$D:$D, INDIRECT("C"&amp;ROW()),
          'Unit-Level Data'!$B:$B, INDIRECT("B"&amp;ROW()))),"")</f>
      </c>
      <c r="O53" s="760" t="str" cm="1">
        <f t="array" aca="true" ref="O53" ca="true">IFERROR(IF($O$3="Chunk Rent",
AVERAGEIFS('Unit-Level Data'!$Q:$Q,'Unit-Level Data'!$M:$M,TRUE,
          'Unit-Level Data'!$D:$D, INDIRECT("C"&amp;ROW()),
          'Unit-Level Data'!$B:$B, INDIRECT("B"&amp;ROW())),
AVERAGEIFS('Unit-Level Data'!$R:$R,'Unit-Level Data'!$M:$M,TRUE,
          'Unit-Level Data'!$D:$D, INDIRECT("C"&amp;ROW()),
          'Unit-Level Data'!$B:$B, INDIRECT("B"&amp;ROW()))),"")</f>
      </c>
      <c r="P53" s="733" cm="1">
        <f t="array" aca="true" ref="P53" ca="true">COUNTIFS('Unit-Level Data'!$M:$M,TRUE,
          'Unit-Level Data'!$D:$D, INDIRECT("C"&amp;ROW()),
          'Unit-Level Data'!$B:$B, INDIRECT("B"&amp;ROW()))</f>
        <v>0</v>
      </c>
      <c r="Q53" s="738" t="str" cm="1">
        <f t="array" aca="true" ref="Q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3" s="760" t="str" cm="1">
        <f t="array" aca="true" ref="R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3" s="733" cm="1">
        <f t="array" aca="true" ref="S53" ca="true">COUNTIFS('Unit-Level Data'!$L:$L, "&gt;=" &amp; ($X$2 - Q$5),
          'Unit-Level Data'!$L:$L, "&lt;" &amp; $X$2,
          'Unit-Level Data'!$D:$D, INDIRECT("C"&amp;ROW()),
          'Unit-Level Data'!$B:$B, INDIRECT("B"&amp;ROW()))</f>
        <v>0</v>
      </c>
      <c r="T53" s="738" t="str" cm="1">
        <f t="array" aca="true" ref="T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3" s="760" t="str" cm="1">
        <f t="array" aca="true" ref="U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3" s="733" cm="1">
        <f t="array" aca="true" ref="V53" ca="true">COUNTIFS('Unit-Level Data'!$L:$L, "&gt;=" &amp; ($X$2 - T$5),
          'Unit-Level Data'!$L:$L, "&lt;" &amp; $X$2,
          'Unit-Level Data'!$D:$D, INDIRECT("C"&amp;ROW()),
          'Unit-Level Data'!$B:$B, INDIRECT("B"&amp;ROW()))</f>
        <v>0</v>
      </c>
      <c r="W53" s="738" t="str" cm="1">
        <f t="array" aca="true" ref="W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3" s="760" t="str" cm="1">
        <f t="array" aca="true" ref="X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3" s="733" cm="1">
        <f t="array" aca="true" ref="Y53" ca="true">COUNTIFS('Unit-Level Data'!$L:$L, "&gt;=" &amp; ($X$2 - W$5),
          'Unit-Level Data'!$L:$L, "&lt;" &amp; $X$2,
          'Unit-Level Data'!$D:$D, INDIRECT("C"&amp;ROW()),
          'Unit-Level Data'!$B:$B, INDIRECT("B"&amp;ROW()))</f>
        <v>0</v>
      </c>
      <c r="Z53" s="761"/>
      <c r="AA53" s="735" cm="1">
        <f t="array" aca="true" ref="AA53" ca="true">IFERROR(AVERAGEIFS(
  unit_details[Sqft],
  unit_details[Property Name], INDIRECT("B"&amp;ROW()),
  unit_details[Floorplan Name], INDIRECT("C"&amp;ROW()),
  unit_details[Beds], INDIRECT("D"&amp;ROW()),
  unit_details[Detected Unit Amenities], "*"&amp;$AB$3&amp;"*",
  unit_details[Leased Date], "&gt;=" &amp; ($X$2 - $AD$3)
),0)</f>
        <v>0</v>
      </c>
      <c r="AB53" s="734" cm="1">
        <f t="array" aca="true" ref="AB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3" s="733" cm="1">
        <f t="array" aca="true" ref="AC53" ca="true">IFERROR(COUNTIFS(
  unit_details[Property Name], INDIRECT("B"&amp;ROW()),
  unit_details[Floorplan Name], INDIRECT("C"&amp;ROW()),
  unit_details[Beds], INDIRECT("D"&amp;ROW()),
  unit_details[Detected Unit Amenities], "*"&amp;$AB$3&amp;"*",
  unit_details[Leased Date], "&gt;=" &amp; ($X$2 - $AD$3)
),0)</f>
        <v>0</v>
      </c>
      <c r="AD53" s="735" cm="1">
        <f t="array" aca="true" ref="AD53" ca="true">IFERROR(AVERAGEIFS(
  unit_details[Sqft],
  unit_details[Property Name], INDIRECT("B"&amp;ROW()),
  unit_details[Floorplan Name], INDIRECT("C"&amp;ROW()),
  unit_details[Beds], INDIRECT("D"&amp;ROW()),
  unit_details[Detected Unit Amenities], "&lt;&gt;*"&amp;$AB$3&amp;"*",
  unit_details[Leased Date], "&gt;=" &amp; ($X$2 - $AD$3)
),0)</f>
        <v>0</v>
      </c>
      <c r="AE53" s="734" cm="1">
        <f t="array" aca="true" ref="AE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3" s="733" cm="1">
        <f t="array" aca="true" ref="AF53" ca="true">IFERROR(COUNTIFS(
  unit_details[Property Name], INDIRECT("B"&amp;ROW()),
  unit_details[Floorplan Name], INDIRECT("C"&amp;ROW()),
  unit_details[Beds], INDIRECT("D"&amp;ROW()),
  unit_details[Detected Unit Amenities], "&lt;&gt;*"&amp;$AB$3&amp;"*",
  unit_details[Leased Date], "&gt;=" &amp; ($X$2 - $AD$3)
),0)</f>
        <v>0</v>
      </c>
      <c r="AG53" s="735"/>
      <c r="AH53" s="738">
        <f t="shared" ca="true" si="2"/>
        <v>0</v>
      </c>
      <c r="AI53" s="739">
        <f t="shared" ca="true" si="3"/>
        <v>0</v>
      </c>
    </row>
    <row r="54" spans="2:35">
      <c r="B54" s="1" t="s">
        <v>1221</v>
      </c>
      <c r="C54" s="80" t="s">
        <v>1300</v>
      </c>
      <c r="D54" s="4">
        <v>2</v>
      </c>
      <c r="E54" s="303">
        <v>1</v>
      </c>
      <c r="F54" s="303"/>
      <c r="G54" s="4">
        <v>11</v>
      </c>
      <c r="H54" s="4">
        <v>18.833333333333332</v>
      </c>
      <c r="I54" s="4">
        <v>750</v>
      </c>
      <c r="J54" s="345">
        <v>1350</v>
      </c>
      <c r="K54" s="6">
        <v>1.8</v>
      </c>
      <c r="L54" s="5">
        <v>1341.6666666666667</v>
      </c>
      <c r="M54" s="6">
        <v>1.788888888888889</v>
      </c>
      <c r="N54" s="738" t="str" cm="1">
        <f t="array" aca="true" ref="N54" ca="true">IFERROR(IF($O$3="Chunk Rent",
AVERAGEIFS('Unit-Level Data'!$O:$O,'Unit-Level Data'!$M:$M,TRUE,
          'Unit-Level Data'!$D:$D, INDIRECT("C"&amp;ROW()),
          'Unit-Level Data'!$B:$B, INDIRECT("B"&amp;ROW())),
AVERAGEIFS('Unit-Level Data'!$P:$P,'Unit-Level Data'!$M:$M,TRUE,
          'Unit-Level Data'!$D:$D, INDIRECT("C"&amp;ROW()),
          'Unit-Level Data'!$B:$B, INDIRECT("B"&amp;ROW()))),"")</f>
      </c>
      <c r="O54" s="760" t="str" cm="1">
        <f t="array" aca="true" ref="O54" ca="true">IFERROR(IF($O$3="Chunk Rent",
AVERAGEIFS('Unit-Level Data'!$Q:$Q,'Unit-Level Data'!$M:$M,TRUE,
          'Unit-Level Data'!$D:$D, INDIRECT("C"&amp;ROW()),
          'Unit-Level Data'!$B:$B, INDIRECT("B"&amp;ROW())),
AVERAGEIFS('Unit-Level Data'!$R:$R,'Unit-Level Data'!$M:$M,TRUE,
          'Unit-Level Data'!$D:$D, INDIRECT("C"&amp;ROW()),
          'Unit-Level Data'!$B:$B, INDIRECT("B"&amp;ROW()))),"")</f>
      </c>
      <c r="P54" s="733" cm="1">
        <f t="array" aca="true" ref="P54" ca="true">COUNTIFS('Unit-Level Data'!$M:$M,TRUE,
          'Unit-Level Data'!$D:$D, INDIRECT("C"&amp;ROW()),
          'Unit-Level Data'!$B:$B, INDIRECT("B"&amp;ROW()))</f>
        <v>0</v>
      </c>
      <c r="Q54" s="738" t="str" cm="1">
        <f t="array" aca="true" ref="Q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4" s="760" t="str" cm="1">
        <f t="array" aca="true" ref="R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4" s="733" cm="1">
        <f t="array" aca="true" ref="S54" ca="true">COUNTIFS('Unit-Level Data'!$L:$L, "&gt;=" &amp; ($X$2 - Q$5),
          'Unit-Level Data'!$L:$L, "&lt;" &amp; $X$2,
          'Unit-Level Data'!$D:$D, INDIRECT("C"&amp;ROW()),
          'Unit-Level Data'!$B:$B, INDIRECT("B"&amp;ROW()))</f>
        <v>0</v>
      </c>
      <c r="T54" s="738" t="str" cm="1">
        <f t="array" aca="true" ref="T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4" s="760" t="str" cm="1">
        <f t="array" aca="true" ref="U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4" s="733" cm="1">
        <f t="array" aca="true" ref="V54" ca="true">COUNTIFS('Unit-Level Data'!$L:$L, "&gt;=" &amp; ($X$2 - T$5),
          'Unit-Level Data'!$L:$L, "&lt;" &amp; $X$2,
          'Unit-Level Data'!$D:$D, INDIRECT("C"&amp;ROW()),
          'Unit-Level Data'!$B:$B, INDIRECT("B"&amp;ROW()))</f>
        <v>0</v>
      </c>
      <c r="W54" s="738" t="str" cm="1">
        <f t="array" aca="true" ref="W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4" s="760" t="str" cm="1">
        <f t="array" aca="true" ref="X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4" s="733" cm="1">
        <f t="array" aca="true" ref="Y54" ca="true">COUNTIFS('Unit-Level Data'!$L:$L, "&gt;=" &amp; ($X$2 - W$5),
          'Unit-Level Data'!$L:$L, "&lt;" &amp; $X$2,
          'Unit-Level Data'!$D:$D, INDIRECT("C"&amp;ROW()),
          'Unit-Level Data'!$B:$B, INDIRECT("B"&amp;ROW()))</f>
        <v>0</v>
      </c>
      <c r="Z54" s="761"/>
      <c r="AA54" s="735" cm="1">
        <f t="array" aca="true" ref="AA54" ca="true">IFERROR(AVERAGEIFS(
  unit_details[Sqft],
  unit_details[Property Name], INDIRECT("B"&amp;ROW()),
  unit_details[Floorplan Name], INDIRECT("C"&amp;ROW()),
  unit_details[Beds], INDIRECT("D"&amp;ROW()),
  unit_details[Detected Unit Amenities], "*"&amp;$AB$3&amp;"*",
  unit_details[Leased Date], "&gt;=" &amp; ($X$2 - $AD$3)
),0)</f>
        <v>0</v>
      </c>
      <c r="AB54" s="734" cm="1">
        <f t="array" aca="true" ref="AB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4" s="733" cm="1">
        <f t="array" aca="true" ref="AC54" ca="true">IFERROR(COUNTIFS(
  unit_details[Property Name], INDIRECT("B"&amp;ROW()),
  unit_details[Floorplan Name], INDIRECT("C"&amp;ROW()),
  unit_details[Beds], INDIRECT("D"&amp;ROW()),
  unit_details[Detected Unit Amenities], "*"&amp;$AB$3&amp;"*",
  unit_details[Leased Date], "&gt;=" &amp; ($X$2 - $AD$3)
),0)</f>
        <v>0</v>
      </c>
      <c r="AD54" s="735" cm="1">
        <f t="array" aca="true" ref="AD54" ca="true">IFERROR(AVERAGEIFS(
  unit_details[Sqft],
  unit_details[Property Name], INDIRECT("B"&amp;ROW()),
  unit_details[Floorplan Name], INDIRECT("C"&amp;ROW()),
  unit_details[Beds], INDIRECT("D"&amp;ROW()),
  unit_details[Detected Unit Amenities], "&lt;&gt;*"&amp;$AB$3&amp;"*",
  unit_details[Leased Date], "&gt;=" &amp; ($X$2 - $AD$3)
),0)</f>
        <v>0</v>
      </c>
      <c r="AE54" s="734" cm="1">
        <f t="array" aca="true" ref="AE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4" s="733" cm="1">
        <f t="array" aca="true" ref="AF54" ca="true">IFERROR(COUNTIFS(
  unit_details[Property Name], INDIRECT("B"&amp;ROW()),
  unit_details[Floorplan Name], INDIRECT("C"&amp;ROW()),
  unit_details[Beds], INDIRECT("D"&amp;ROW()),
  unit_details[Detected Unit Amenities], "&lt;&gt;*"&amp;$AB$3&amp;"*",
  unit_details[Leased Date], "&gt;=" &amp; ($X$2 - $AD$3)
),0)</f>
        <v>0</v>
      </c>
      <c r="AG54" s="735"/>
      <c r="AH54" s="738">
        <f t="shared" ca="true" si="2"/>
        <v>0</v>
      </c>
      <c r="AI54" s="739">
        <f t="shared" ca="true" si="3"/>
        <v>0</v>
      </c>
    </row>
    <row r="55" spans="2:35">
      <c r="B55" s="1" t="s">
        <v>1221</v>
      </c>
      <c r="C55" s="80" t="s">
        <v>1301</v>
      </c>
      <c r="D55" s="4">
        <v>2</v>
      </c>
      <c r="E55" s="303">
        <v>1</v>
      </c>
      <c r="F55" s="303"/>
      <c r="G55" s="4">
        <v>2</v>
      </c>
      <c r="H55" s="4">
        <v>41</v>
      </c>
      <c r="I55" s="4">
        <v>750</v>
      </c>
      <c r="J55" s="345">
        <v>1325</v>
      </c>
      <c r="K55" s="6">
        <v>1.7666666666666666</v>
      </c>
      <c r="L55" s="5">
        <v>1325</v>
      </c>
      <c r="M55" s="6">
        <v>1.7666666666666666</v>
      </c>
      <c r="N55" s="738" t="str" cm="1">
        <f t="array" aca="true" ref="N55" ca="true">IFERROR(IF($O$3="Chunk Rent",
AVERAGEIFS('Unit-Level Data'!$O:$O,'Unit-Level Data'!$M:$M,TRUE,
          'Unit-Level Data'!$D:$D, INDIRECT("C"&amp;ROW()),
          'Unit-Level Data'!$B:$B, INDIRECT("B"&amp;ROW())),
AVERAGEIFS('Unit-Level Data'!$P:$P,'Unit-Level Data'!$M:$M,TRUE,
          'Unit-Level Data'!$D:$D, INDIRECT("C"&amp;ROW()),
          'Unit-Level Data'!$B:$B, INDIRECT("B"&amp;ROW()))),"")</f>
      </c>
      <c r="O55" s="760" t="str" cm="1">
        <f t="array" aca="true" ref="O55" ca="true">IFERROR(IF($O$3="Chunk Rent",
AVERAGEIFS('Unit-Level Data'!$Q:$Q,'Unit-Level Data'!$M:$M,TRUE,
          'Unit-Level Data'!$D:$D, INDIRECT("C"&amp;ROW()),
          'Unit-Level Data'!$B:$B, INDIRECT("B"&amp;ROW())),
AVERAGEIFS('Unit-Level Data'!$R:$R,'Unit-Level Data'!$M:$M,TRUE,
          'Unit-Level Data'!$D:$D, INDIRECT("C"&amp;ROW()),
          'Unit-Level Data'!$B:$B, INDIRECT("B"&amp;ROW()))),"")</f>
      </c>
      <c r="P55" s="733" cm="1">
        <f t="array" aca="true" ref="P55" ca="true">COUNTIFS('Unit-Level Data'!$M:$M,TRUE,
          'Unit-Level Data'!$D:$D, INDIRECT("C"&amp;ROW()),
          'Unit-Level Data'!$B:$B, INDIRECT("B"&amp;ROW()))</f>
        <v>0</v>
      </c>
      <c r="Q55" s="738" t="str" cm="1">
        <f t="array" aca="true" ref="Q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5" s="760" t="str" cm="1">
        <f t="array" aca="true" ref="R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5" s="733" cm="1">
        <f t="array" aca="true" ref="S55" ca="true">COUNTIFS('Unit-Level Data'!$L:$L, "&gt;=" &amp; ($X$2 - Q$5),
          'Unit-Level Data'!$L:$L, "&lt;" &amp; $X$2,
          'Unit-Level Data'!$D:$D, INDIRECT("C"&amp;ROW()),
          'Unit-Level Data'!$B:$B, INDIRECT("B"&amp;ROW()))</f>
        <v>0</v>
      </c>
      <c r="T55" s="738" t="str" cm="1">
        <f t="array" aca="true" ref="T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5" s="760" t="str" cm="1">
        <f t="array" aca="true" ref="U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5" s="733" cm="1">
        <f t="array" aca="true" ref="V55" ca="true">COUNTIFS('Unit-Level Data'!$L:$L, "&gt;=" &amp; ($X$2 - T$5),
          'Unit-Level Data'!$L:$L, "&lt;" &amp; $X$2,
          'Unit-Level Data'!$D:$D, INDIRECT("C"&amp;ROW()),
          'Unit-Level Data'!$B:$B, INDIRECT("B"&amp;ROW()))</f>
        <v>0</v>
      </c>
      <c r="W55" s="738" t="str" cm="1">
        <f t="array" aca="true" ref="W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5" s="760" t="str" cm="1">
        <f t="array" aca="true" ref="X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5" s="733" cm="1">
        <f t="array" aca="true" ref="Y55" ca="true">COUNTIFS('Unit-Level Data'!$L:$L, "&gt;=" &amp; ($X$2 - W$5),
          'Unit-Level Data'!$L:$L, "&lt;" &amp; $X$2,
          'Unit-Level Data'!$D:$D, INDIRECT("C"&amp;ROW()),
          'Unit-Level Data'!$B:$B, INDIRECT("B"&amp;ROW()))</f>
        <v>0</v>
      </c>
      <c r="Z55" s="761"/>
      <c r="AA55" s="735" cm="1">
        <f t="array" aca="true" ref="AA55" ca="true">IFERROR(AVERAGEIFS(
  unit_details[Sqft],
  unit_details[Property Name], INDIRECT("B"&amp;ROW()),
  unit_details[Floorplan Name], INDIRECT("C"&amp;ROW()),
  unit_details[Beds], INDIRECT("D"&amp;ROW()),
  unit_details[Detected Unit Amenities], "*"&amp;$AB$3&amp;"*",
  unit_details[Leased Date], "&gt;=" &amp; ($X$2 - $AD$3)
),0)</f>
        <v>0</v>
      </c>
      <c r="AB55" s="734" cm="1">
        <f t="array" aca="true" ref="AB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5" s="733" cm="1">
        <f t="array" aca="true" ref="AC55" ca="true">IFERROR(COUNTIFS(
  unit_details[Property Name], INDIRECT("B"&amp;ROW()),
  unit_details[Floorplan Name], INDIRECT("C"&amp;ROW()),
  unit_details[Beds], INDIRECT("D"&amp;ROW()),
  unit_details[Detected Unit Amenities], "*"&amp;$AB$3&amp;"*",
  unit_details[Leased Date], "&gt;=" &amp; ($X$2 - $AD$3)
),0)</f>
        <v>0</v>
      </c>
      <c r="AD55" s="735" cm="1">
        <f t="array" aca="true" ref="AD55" ca="true">IFERROR(AVERAGEIFS(
  unit_details[Sqft],
  unit_details[Property Name], INDIRECT("B"&amp;ROW()),
  unit_details[Floorplan Name], INDIRECT("C"&amp;ROW()),
  unit_details[Beds], INDIRECT("D"&amp;ROW()),
  unit_details[Detected Unit Amenities], "&lt;&gt;*"&amp;$AB$3&amp;"*",
  unit_details[Leased Date], "&gt;=" &amp; ($X$2 - $AD$3)
),0)</f>
        <v>0</v>
      </c>
      <c r="AE55" s="734" cm="1">
        <f t="array" aca="true" ref="AE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5" s="733" cm="1">
        <f t="array" aca="true" ref="AF55" ca="true">IFERROR(COUNTIFS(
  unit_details[Property Name], INDIRECT("B"&amp;ROW()),
  unit_details[Floorplan Name], INDIRECT("C"&amp;ROW()),
  unit_details[Beds], INDIRECT("D"&amp;ROW()),
  unit_details[Detected Unit Amenities], "&lt;&gt;*"&amp;$AB$3&amp;"*",
  unit_details[Leased Date], "&gt;=" &amp; ($X$2 - $AD$3)
),0)</f>
        <v>0</v>
      </c>
      <c r="AG55" s="735"/>
      <c r="AH55" s="738">
        <f t="shared" ca="true" si="2"/>
        <v>0</v>
      </c>
      <c r="AI55" s="739">
        <f t="shared" ca="true" si="3"/>
        <v>0</v>
      </c>
    </row>
    <row r="56" spans="2:35">
      <c r="B56" s="1" t="s">
        <v>1221</v>
      </c>
      <c r="C56" s="80" t="s">
        <v>1302</v>
      </c>
      <c r="D56" s="4">
        <v>2</v>
      </c>
      <c r="E56" s="303">
        <v>1</v>
      </c>
      <c r="F56" s="303"/>
      <c r="G56" s="4">
        <v>2</v>
      </c>
      <c r="H56" s="4">
        <v>32</v>
      </c>
      <c r="I56" s="4">
        <v>750</v>
      </c>
      <c r="J56" s="345">
        <v>1325</v>
      </c>
      <c r="K56" s="6">
        <v>1.7666666666666666</v>
      </c>
      <c r="L56" s="5">
        <v>1325</v>
      </c>
      <c r="M56" s="6">
        <v>1.7666666666666666</v>
      </c>
      <c r="N56" s="738" t="str" cm="1">
        <f t="array" aca="true" ref="N56" ca="true">IFERROR(IF($O$3="Chunk Rent",
AVERAGEIFS('Unit-Level Data'!$O:$O,'Unit-Level Data'!$M:$M,TRUE,
          'Unit-Level Data'!$D:$D, INDIRECT("C"&amp;ROW()),
          'Unit-Level Data'!$B:$B, INDIRECT("B"&amp;ROW())),
AVERAGEIFS('Unit-Level Data'!$P:$P,'Unit-Level Data'!$M:$M,TRUE,
          'Unit-Level Data'!$D:$D, INDIRECT("C"&amp;ROW()),
          'Unit-Level Data'!$B:$B, INDIRECT("B"&amp;ROW()))),"")</f>
      </c>
      <c r="O56" s="760" t="str" cm="1">
        <f t="array" aca="true" ref="O56" ca="true">IFERROR(IF($O$3="Chunk Rent",
AVERAGEIFS('Unit-Level Data'!$Q:$Q,'Unit-Level Data'!$M:$M,TRUE,
          'Unit-Level Data'!$D:$D, INDIRECT("C"&amp;ROW()),
          'Unit-Level Data'!$B:$B, INDIRECT("B"&amp;ROW())),
AVERAGEIFS('Unit-Level Data'!$R:$R,'Unit-Level Data'!$M:$M,TRUE,
          'Unit-Level Data'!$D:$D, INDIRECT("C"&amp;ROW()),
          'Unit-Level Data'!$B:$B, INDIRECT("B"&amp;ROW()))),"")</f>
      </c>
      <c r="P56" s="733" cm="1">
        <f t="array" aca="true" ref="P56" ca="true">COUNTIFS('Unit-Level Data'!$M:$M,TRUE,
          'Unit-Level Data'!$D:$D, INDIRECT("C"&amp;ROW()),
          'Unit-Level Data'!$B:$B, INDIRECT("B"&amp;ROW()))</f>
        <v>0</v>
      </c>
      <c r="Q56" s="738" t="str" cm="1">
        <f t="array" aca="true" ref="Q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6" s="760" t="str" cm="1">
        <f t="array" aca="true" ref="R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6" s="733" cm="1">
        <f t="array" aca="true" ref="S56" ca="true">COUNTIFS('Unit-Level Data'!$L:$L, "&gt;=" &amp; ($X$2 - Q$5),
          'Unit-Level Data'!$L:$L, "&lt;" &amp; $X$2,
          'Unit-Level Data'!$D:$D, INDIRECT("C"&amp;ROW()),
          'Unit-Level Data'!$B:$B, INDIRECT("B"&amp;ROW()))</f>
        <v>0</v>
      </c>
      <c r="T56" s="738" t="str" cm="1">
        <f t="array" aca="true" ref="T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6" s="760" t="str" cm="1">
        <f t="array" aca="true" ref="U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6" s="733" cm="1">
        <f t="array" aca="true" ref="V56" ca="true">COUNTIFS('Unit-Level Data'!$L:$L, "&gt;=" &amp; ($X$2 - T$5),
          'Unit-Level Data'!$L:$L, "&lt;" &amp; $X$2,
          'Unit-Level Data'!$D:$D, INDIRECT("C"&amp;ROW()),
          'Unit-Level Data'!$B:$B, INDIRECT("B"&amp;ROW()))</f>
        <v>0</v>
      </c>
      <c r="W56" s="738" t="str" cm="1">
        <f t="array" aca="true" ref="W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6" s="760" t="str" cm="1">
        <f t="array" aca="true" ref="X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6" s="733" cm="1">
        <f t="array" aca="true" ref="Y56" ca="true">COUNTIFS('Unit-Level Data'!$L:$L, "&gt;=" &amp; ($X$2 - W$5),
          'Unit-Level Data'!$L:$L, "&lt;" &amp; $X$2,
          'Unit-Level Data'!$D:$D, INDIRECT("C"&amp;ROW()),
          'Unit-Level Data'!$B:$B, INDIRECT("B"&amp;ROW()))</f>
        <v>0</v>
      </c>
      <c r="Z56" s="761"/>
      <c r="AA56" s="735" cm="1">
        <f t="array" aca="true" ref="AA56" ca="true">IFERROR(AVERAGEIFS(
  unit_details[Sqft],
  unit_details[Property Name], INDIRECT("B"&amp;ROW()),
  unit_details[Floorplan Name], INDIRECT("C"&amp;ROW()),
  unit_details[Beds], INDIRECT("D"&amp;ROW()),
  unit_details[Detected Unit Amenities], "*"&amp;$AB$3&amp;"*",
  unit_details[Leased Date], "&gt;=" &amp; ($X$2 - $AD$3)
),0)</f>
        <v>0</v>
      </c>
      <c r="AB56" s="734" cm="1">
        <f t="array" aca="true" ref="AB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6" s="733" cm="1">
        <f t="array" aca="true" ref="AC56" ca="true">IFERROR(COUNTIFS(
  unit_details[Property Name], INDIRECT("B"&amp;ROW()),
  unit_details[Floorplan Name], INDIRECT("C"&amp;ROW()),
  unit_details[Beds], INDIRECT("D"&amp;ROW()),
  unit_details[Detected Unit Amenities], "*"&amp;$AB$3&amp;"*",
  unit_details[Leased Date], "&gt;=" &amp; ($X$2 - $AD$3)
),0)</f>
        <v>0</v>
      </c>
      <c r="AD56" s="735" cm="1">
        <f t="array" aca="true" ref="AD56" ca="true">IFERROR(AVERAGEIFS(
  unit_details[Sqft],
  unit_details[Property Name], INDIRECT("B"&amp;ROW()),
  unit_details[Floorplan Name], INDIRECT("C"&amp;ROW()),
  unit_details[Beds], INDIRECT("D"&amp;ROW()),
  unit_details[Detected Unit Amenities], "&lt;&gt;*"&amp;$AB$3&amp;"*",
  unit_details[Leased Date], "&gt;=" &amp; ($X$2 - $AD$3)
),0)</f>
        <v>0</v>
      </c>
      <c r="AE56" s="734" cm="1">
        <f t="array" aca="true" ref="AE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6" s="733" cm="1">
        <f t="array" aca="true" ref="AF56" ca="true">IFERROR(COUNTIFS(
  unit_details[Property Name], INDIRECT("B"&amp;ROW()),
  unit_details[Floorplan Name], INDIRECT("C"&amp;ROW()),
  unit_details[Beds], INDIRECT("D"&amp;ROW()),
  unit_details[Detected Unit Amenities], "&lt;&gt;*"&amp;$AB$3&amp;"*",
  unit_details[Leased Date], "&gt;=" &amp; ($X$2 - $AD$3)
),0)</f>
        <v>0</v>
      </c>
      <c r="AG56" s="735"/>
      <c r="AH56" s="738">
        <f t="shared" ca="true" si="2"/>
        <v>0</v>
      </c>
      <c r="AI56" s="739">
        <f t="shared" ca="true" si="3"/>
        <v>0</v>
      </c>
    </row>
    <row r="57" spans="2:35">
      <c r="B57" s="1" t="s">
        <v>1221</v>
      </c>
      <c r="C57" s="80" t="s">
        <v>1303</v>
      </c>
      <c r="D57" s="4">
        <v>2</v>
      </c>
      <c r="E57" s="303">
        <v>1</v>
      </c>
      <c r="F57" s="303"/>
      <c r="G57" s="4">
        <v>6</v>
      </c>
      <c r="H57" s="4">
        <v>11</v>
      </c>
      <c r="I57" s="4">
        <v>750</v>
      </c>
      <c r="J57" s="345">
        <v>1325</v>
      </c>
      <c r="K57" s="6">
        <v>1.7666666666666666</v>
      </c>
      <c r="L57" s="5">
        <v>1325</v>
      </c>
      <c r="M57" s="6">
        <v>1.7666666666666666</v>
      </c>
      <c r="N57" s="738" t="str" cm="1">
        <f t="array" aca="true" ref="N57" ca="true">IFERROR(IF($O$3="Chunk Rent",
AVERAGEIFS('Unit-Level Data'!$O:$O,'Unit-Level Data'!$M:$M,TRUE,
          'Unit-Level Data'!$D:$D, INDIRECT("C"&amp;ROW()),
          'Unit-Level Data'!$B:$B, INDIRECT("B"&amp;ROW())),
AVERAGEIFS('Unit-Level Data'!$P:$P,'Unit-Level Data'!$M:$M,TRUE,
          'Unit-Level Data'!$D:$D, INDIRECT("C"&amp;ROW()),
          'Unit-Level Data'!$B:$B, INDIRECT("B"&amp;ROW()))),"")</f>
      </c>
      <c r="O57" s="760" t="str" cm="1">
        <f t="array" aca="true" ref="O57" ca="true">IFERROR(IF($O$3="Chunk Rent",
AVERAGEIFS('Unit-Level Data'!$Q:$Q,'Unit-Level Data'!$M:$M,TRUE,
          'Unit-Level Data'!$D:$D, INDIRECT("C"&amp;ROW()),
          'Unit-Level Data'!$B:$B, INDIRECT("B"&amp;ROW())),
AVERAGEIFS('Unit-Level Data'!$R:$R,'Unit-Level Data'!$M:$M,TRUE,
          'Unit-Level Data'!$D:$D, INDIRECT("C"&amp;ROW()),
          'Unit-Level Data'!$B:$B, INDIRECT("B"&amp;ROW()))),"")</f>
      </c>
      <c r="P57" s="733" cm="1">
        <f t="array" aca="true" ref="P57" ca="true">COUNTIFS('Unit-Level Data'!$M:$M,TRUE,
          'Unit-Level Data'!$D:$D, INDIRECT("C"&amp;ROW()),
          'Unit-Level Data'!$B:$B, INDIRECT("B"&amp;ROW()))</f>
        <v>0</v>
      </c>
      <c r="Q57" s="738" t="str" cm="1">
        <f t="array" aca="true" ref="Q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7" s="760" t="str" cm="1">
        <f t="array" aca="true" ref="R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7" s="733" cm="1">
        <f t="array" aca="true" ref="S57" ca="true">COUNTIFS('Unit-Level Data'!$L:$L, "&gt;=" &amp; ($X$2 - Q$5),
          'Unit-Level Data'!$L:$L, "&lt;" &amp; $X$2,
          'Unit-Level Data'!$D:$D, INDIRECT("C"&amp;ROW()),
          'Unit-Level Data'!$B:$B, INDIRECT("B"&amp;ROW()))</f>
        <v>0</v>
      </c>
      <c r="T57" s="738" t="str" cm="1">
        <f t="array" aca="true" ref="T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7" s="760" t="str" cm="1">
        <f t="array" aca="true" ref="U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7" s="733" cm="1">
        <f t="array" aca="true" ref="V57" ca="true">COUNTIFS('Unit-Level Data'!$L:$L, "&gt;=" &amp; ($X$2 - T$5),
          'Unit-Level Data'!$L:$L, "&lt;" &amp; $X$2,
          'Unit-Level Data'!$D:$D, INDIRECT("C"&amp;ROW()),
          'Unit-Level Data'!$B:$B, INDIRECT("B"&amp;ROW()))</f>
        <v>0</v>
      </c>
      <c r="W57" s="738" t="str" cm="1">
        <f t="array" aca="true" ref="W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7" s="760" t="str" cm="1">
        <f t="array" aca="true" ref="X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7" s="733" cm="1">
        <f t="array" aca="true" ref="Y57" ca="true">COUNTIFS('Unit-Level Data'!$L:$L, "&gt;=" &amp; ($X$2 - W$5),
          'Unit-Level Data'!$L:$L, "&lt;" &amp; $X$2,
          'Unit-Level Data'!$D:$D, INDIRECT("C"&amp;ROW()),
          'Unit-Level Data'!$B:$B, INDIRECT("B"&amp;ROW()))</f>
        <v>0</v>
      </c>
      <c r="Z57" s="761"/>
      <c r="AA57" s="735" cm="1">
        <f t="array" aca="true" ref="AA57" ca="true">IFERROR(AVERAGEIFS(
  unit_details[Sqft],
  unit_details[Property Name], INDIRECT("B"&amp;ROW()),
  unit_details[Floorplan Name], INDIRECT("C"&amp;ROW()),
  unit_details[Beds], INDIRECT("D"&amp;ROW()),
  unit_details[Detected Unit Amenities], "*"&amp;$AB$3&amp;"*",
  unit_details[Leased Date], "&gt;=" &amp; ($X$2 - $AD$3)
),0)</f>
        <v>0</v>
      </c>
      <c r="AB57" s="734" cm="1">
        <f t="array" aca="true" ref="AB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7" s="733" cm="1">
        <f t="array" aca="true" ref="AC57" ca="true">IFERROR(COUNTIFS(
  unit_details[Property Name], INDIRECT("B"&amp;ROW()),
  unit_details[Floorplan Name], INDIRECT("C"&amp;ROW()),
  unit_details[Beds], INDIRECT("D"&amp;ROW()),
  unit_details[Detected Unit Amenities], "*"&amp;$AB$3&amp;"*",
  unit_details[Leased Date], "&gt;=" &amp; ($X$2 - $AD$3)
),0)</f>
        <v>0</v>
      </c>
      <c r="AD57" s="735" cm="1">
        <f t="array" aca="true" ref="AD57" ca="true">IFERROR(AVERAGEIFS(
  unit_details[Sqft],
  unit_details[Property Name], INDIRECT("B"&amp;ROW()),
  unit_details[Floorplan Name], INDIRECT("C"&amp;ROW()),
  unit_details[Beds], INDIRECT("D"&amp;ROW()),
  unit_details[Detected Unit Amenities], "&lt;&gt;*"&amp;$AB$3&amp;"*",
  unit_details[Leased Date], "&gt;=" &amp; ($X$2 - $AD$3)
),0)</f>
        <v>0</v>
      </c>
      <c r="AE57" s="734" cm="1">
        <f t="array" aca="true" ref="AE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7" s="733" cm="1">
        <f t="array" aca="true" ref="AF57" ca="true">IFERROR(COUNTIFS(
  unit_details[Property Name], INDIRECT("B"&amp;ROW()),
  unit_details[Floorplan Name], INDIRECT("C"&amp;ROW()),
  unit_details[Beds], INDIRECT("D"&amp;ROW()),
  unit_details[Detected Unit Amenities], "&lt;&gt;*"&amp;$AB$3&amp;"*",
  unit_details[Leased Date], "&gt;=" &amp; ($X$2 - $AD$3)
),0)</f>
        <v>0</v>
      </c>
      <c r="AG57" s="735"/>
      <c r="AH57" s="738">
        <f t="shared" ca="true" si="2"/>
        <v>0</v>
      </c>
      <c r="AI57" s="739">
        <f t="shared" ca="true" si="3"/>
        <v>0</v>
      </c>
    </row>
    <row r="58" spans="2:35">
      <c r="B58" s="1" t="s">
        <v>1221</v>
      </c>
      <c r="C58" s="80" t="s">
        <v>1304</v>
      </c>
      <c r="D58" s="4">
        <v>2</v>
      </c>
      <c r="E58" s="303">
        <v>1</v>
      </c>
      <c r="F58" s="303"/>
      <c r="G58" s="4">
        <v>6</v>
      </c>
      <c r="H58" s="4">
        <v>15.666666666666666</v>
      </c>
      <c r="I58" s="4">
        <v>750</v>
      </c>
      <c r="J58" s="345">
        <v>1325</v>
      </c>
      <c r="K58" s="6">
        <v>1.7666666666666666</v>
      </c>
      <c r="L58" s="5">
        <v>1325</v>
      </c>
      <c r="M58" s="6">
        <v>1.7666666666666666</v>
      </c>
      <c r="N58" s="738" t="str" cm="1">
        <f t="array" aca="true" ref="N58" ca="true">IFERROR(IF($O$3="Chunk Rent",
AVERAGEIFS('Unit-Level Data'!$O:$O,'Unit-Level Data'!$M:$M,TRUE,
          'Unit-Level Data'!$D:$D, INDIRECT("C"&amp;ROW()),
          'Unit-Level Data'!$B:$B, INDIRECT("B"&amp;ROW())),
AVERAGEIFS('Unit-Level Data'!$P:$P,'Unit-Level Data'!$M:$M,TRUE,
          'Unit-Level Data'!$D:$D, INDIRECT("C"&amp;ROW()),
          'Unit-Level Data'!$B:$B, INDIRECT("B"&amp;ROW()))),"")</f>
      </c>
      <c r="O58" s="760" t="str" cm="1">
        <f t="array" aca="true" ref="O58" ca="true">IFERROR(IF($O$3="Chunk Rent",
AVERAGEIFS('Unit-Level Data'!$Q:$Q,'Unit-Level Data'!$M:$M,TRUE,
          'Unit-Level Data'!$D:$D, INDIRECT("C"&amp;ROW()),
          'Unit-Level Data'!$B:$B, INDIRECT("B"&amp;ROW())),
AVERAGEIFS('Unit-Level Data'!$R:$R,'Unit-Level Data'!$M:$M,TRUE,
          'Unit-Level Data'!$D:$D, INDIRECT("C"&amp;ROW()),
          'Unit-Level Data'!$B:$B, INDIRECT("B"&amp;ROW()))),"")</f>
      </c>
      <c r="P58" s="733" cm="1">
        <f t="array" aca="true" ref="P58" ca="true">COUNTIFS('Unit-Level Data'!$M:$M,TRUE,
          'Unit-Level Data'!$D:$D, INDIRECT("C"&amp;ROW()),
          'Unit-Level Data'!$B:$B, INDIRECT("B"&amp;ROW()))</f>
        <v>0</v>
      </c>
      <c r="Q58" s="738" t="str" cm="1">
        <f t="array" aca="true" ref="Q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8" s="760" t="str" cm="1">
        <f t="array" aca="true" ref="R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8" s="733" cm="1">
        <f t="array" aca="true" ref="S58" ca="true">COUNTIFS('Unit-Level Data'!$L:$L, "&gt;=" &amp; ($X$2 - Q$5),
          'Unit-Level Data'!$L:$L, "&lt;" &amp; $X$2,
          'Unit-Level Data'!$D:$D, INDIRECT("C"&amp;ROW()),
          'Unit-Level Data'!$B:$B, INDIRECT("B"&amp;ROW()))</f>
        <v>0</v>
      </c>
      <c r="T58" s="738" t="str" cm="1">
        <f t="array" aca="true" ref="T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8" s="760" t="str" cm="1">
        <f t="array" aca="true" ref="U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8" s="733" cm="1">
        <f t="array" aca="true" ref="V58" ca="true">COUNTIFS('Unit-Level Data'!$L:$L, "&gt;=" &amp; ($X$2 - T$5),
          'Unit-Level Data'!$L:$L, "&lt;" &amp; $X$2,
          'Unit-Level Data'!$D:$D, INDIRECT("C"&amp;ROW()),
          'Unit-Level Data'!$B:$B, INDIRECT("B"&amp;ROW()))</f>
        <v>0</v>
      </c>
      <c r="W58" s="738" t="str" cm="1">
        <f t="array" aca="true" ref="W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8" s="760" t="str" cm="1">
        <f t="array" aca="true" ref="X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8" s="733" cm="1">
        <f t="array" aca="true" ref="Y58" ca="true">COUNTIFS('Unit-Level Data'!$L:$L, "&gt;=" &amp; ($X$2 - W$5),
          'Unit-Level Data'!$L:$L, "&lt;" &amp; $X$2,
          'Unit-Level Data'!$D:$D, INDIRECT("C"&amp;ROW()),
          'Unit-Level Data'!$B:$B, INDIRECT("B"&amp;ROW()))</f>
        <v>0</v>
      </c>
      <c r="Z58" s="761"/>
      <c r="AA58" s="735" cm="1">
        <f t="array" aca="true" ref="AA58" ca="true">IFERROR(AVERAGEIFS(
  unit_details[Sqft],
  unit_details[Property Name], INDIRECT("B"&amp;ROW()),
  unit_details[Floorplan Name], INDIRECT("C"&amp;ROW()),
  unit_details[Beds], INDIRECT("D"&amp;ROW()),
  unit_details[Detected Unit Amenities], "*"&amp;$AB$3&amp;"*",
  unit_details[Leased Date], "&gt;=" &amp; ($X$2 - $AD$3)
),0)</f>
        <v>0</v>
      </c>
      <c r="AB58" s="734" cm="1">
        <f t="array" aca="true" ref="AB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8" s="733" cm="1">
        <f t="array" aca="true" ref="AC58" ca="true">IFERROR(COUNTIFS(
  unit_details[Property Name], INDIRECT("B"&amp;ROW()),
  unit_details[Floorplan Name], INDIRECT("C"&amp;ROW()),
  unit_details[Beds], INDIRECT("D"&amp;ROW()),
  unit_details[Detected Unit Amenities], "*"&amp;$AB$3&amp;"*",
  unit_details[Leased Date], "&gt;=" &amp; ($X$2 - $AD$3)
),0)</f>
        <v>0</v>
      </c>
      <c r="AD58" s="735" cm="1">
        <f t="array" aca="true" ref="AD58" ca="true">IFERROR(AVERAGEIFS(
  unit_details[Sqft],
  unit_details[Property Name], INDIRECT("B"&amp;ROW()),
  unit_details[Floorplan Name], INDIRECT("C"&amp;ROW()),
  unit_details[Beds], INDIRECT("D"&amp;ROW()),
  unit_details[Detected Unit Amenities], "&lt;&gt;*"&amp;$AB$3&amp;"*",
  unit_details[Leased Date], "&gt;=" &amp; ($X$2 - $AD$3)
),0)</f>
        <v>0</v>
      </c>
      <c r="AE58" s="734" cm="1">
        <f t="array" aca="true" ref="AE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8" s="733" cm="1">
        <f t="array" aca="true" ref="AF58" ca="true">IFERROR(COUNTIFS(
  unit_details[Property Name], INDIRECT("B"&amp;ROW()),
  unit_details[Floorplan Name], INDIRECT("C"&amp;ROW()),
  unit_details[Beds], INDIRECT("D"&amp;ROW()),
  unit_details[Detected Unit Amenities], "&lt;&gt;*"&amp;$AB$3&amp;"*",
  unit_details[Leased Date], "&gt;=" &amp; ($X$2 - $AD$3)
),0)</f>
        <v>0</v>
      </c>
      <c r="AG58" s="735"/>
      <c r="AH58" s="738">
        <f t="shared" ca="true" si="2"/>
        <v>0</v>
      </c>
      <c r="AI58" s="739">
        <f t="shared" ca="true" si="3"/>
        <v>0</v>
      </c>
    </row>
    <row r="59" spans="2:35">
      <c r="B59" s="1" t="s">
        <v>1221</v>
      </c>
      <c r="C59" s="80" t="s">
        <v>1305</v>
      </c>
      <c r="D59" s="4">
        <v>2</v>
      </c>
      <c r="E59" s="303">
        <v>1</v>
      </c>
      <c r="F59" s="303"/>
      <c r="G59" s="4">
        <v>2</v>
      </c>
      <c r="H59" s="4">
        <v>4</v>
      </c>
      <c r="I59" s="4">
        <v>750</v>
      </c>
      <c r="J59" s="345">
        <v>1325</v>
      </c>
      <c r="K59" s="6">
        <v>1.7666666666666666</v>
      </c>
      <c r="L59" s="5">
        <v>1325</v>
      </c>
      <c r="M59" s="6">
        <v>1.7666666666666666</v>
      </c>
      <c r="N59" s="738" t="str" cm="1">
        <f t="array" aca="true" ref="N59" ca="true">IFERROR(IF($O$3="Chunk Rent",
AVERAGEIFS('Unit-Level Data'!$O:$O,'Unit-Level Data'!$M:$M,TRUE,
          'Unit-Level Data'!$D:$D, INDIRECT("C"&amp;ROW()),
          'Unit-Level Data'!$B:$B, INDIRECT("B"&amp;ROW())),
AVERAGEIFS('Unit-Level Data'!$P:$P,'Unit-Level Data'!$M:$M,TRUE,
          'Unit-Level Data'!$D:$D, INDIRECT("C"&amp;ROW()),
          'Unit-Level Data'!$B:$B, INDIRECT("B"&amp;ROW()))),"")</f>
      </c>
      <c r="O59" s="760" t="str" cm="1">
        <f t="array" aca="true" ref="O59" ca="true">IFERROR(IF($O$3="Chunk Rent",
AVERAGEIFS('Unit-Level Data'!$Q:$Q,'Unit-Level Data'!$M:$M,TRUE,
          'Unit-Level Data'!$D:$D, INDIRECT("C"&amp;ROW()),
          'Unit-Level Data'!$B:$B, INDIRECT("B"&amp;ROW())),
AVERAGEIFS('Unit-Level Data'!$R:$R,'Unit-Level Data'!$M:$M,TRUE,
          'Unit-Level Data'!$D:$D, INDIRECT("C"&amp;ROW()),
          'Unit-Level Data'!$B:$B, INDIRECT("B"&amp;ROW()))),"")</f>
      </c>
      <c r="P59" s="733" cm="1">
        <f t="array" aca="true" ref="P59" ca="true">COUNTIFS('Unit-Level Data'!$M:$M,TRUE,
          'Unit-Level Data'!$D:$D, INDIRECT("C"&amp;ROW()),
          'Unit-Level Data'!$B:$B, INDIRECT("B"&amp;ROW()))</f>
        <v>0</v>
      </c>
      <c r="Q59" s="738" t="str" cm="1">
        <f t="array" aca="true" ref="Q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9" s="760" t="str" cm="1">
        <f t="array" aca="true" ref="R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9" s="733" cm="1">
        <f t="array" aca="true" ref="S59" ca="true">COUNTIFS('Unit-Level Data'!$L:$L, "&gt;=" &amp; ($X$2 - Q$5),
          'Unit-Level Data'!$L:$L, "&lt;" &amp; $X$2,
          'Unit-Level Data'!$D:$D, INDIRECT("C"&amp;ROW()),
          'Unit-Level Data'!$B:$B, INDIRECT("B"&amp;ROW()))</f>
        <v>0</v>
      </c>
      <c r="T59" s="738" t="str" cm="1">
        <f t="array" aca="true" ref="T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9" s="760" t="str" cm="1">
        <f t="array" aca="true" ref="U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9" s="733" cm="1">
        <f t="array" aca="true" ref="V59" ca="true">COUNTIFS('Unit-Level Data'!$L:$L, "&gt;=" &amp; ($X$2 - T$5),
          'Unit-Level Data'!$L:$L, "&lt;" &amp; $X$2,
          'Unit-Level Data'!$D:$D, INDIRECT("C"&amp;ROW()),
          'Unit-Level Data'!$B:$B, INDIRECT("B"&amp;ROW()))</f>
        <v>0</v>
      </c>
      <c r="W59" s="738" t="str" cm="1">
        <f t="array" aca="true" ref="W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9" s="760" t="str" cm="1">
        <f t="array" aca="true" ref="X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9" s="733" cm="1">
        <f t="array" aca="true" ref="Y59" ca="true">COUNTIFS('Unit-Level Data'!$L:$L, "&gt;=" &amp; ($X$2 - W$5),
          'Unit-Level Data'!$L:$L, "&lt;" &amp; $X$2,
          'Unit-Level Data'!$D:$D, INDIRECT("C"&amp;ROW()),
          'Unit-Level Data'!$B:$B, INDIRECT("B"&amp;ROW()))</f>
        <v>0</v>
      </c>
      <c r="Z59" s="761"/>
      <c r="AA59" s="735" cm="1">
        <f t="array" aca="true" ref="AA59" ca="true">IFERROR(AVERAGEIFS(
  unit_details[Sqft],
  unit_details[Property Name], INDIRECT("B"&amp;ROW()),
  unit_details[Floorplan Name], INDIRECT("C"&amp;ROW()),
  unit_details[Beds], INDIRECT("D"&amp;ROW()),
  unit_details[Detected Unit Amenities], "*"&amp;$AB$3&amp;"*",
  unit_details[Leased Date], "&gt;=" &amp; ($X$2 - $AD$3)
),0)</f>
        <v>0</v>
      </c>
      <c r="AB59" s="734" cm="1">
        <f t="array" aca="true" ref="AB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9" s="733" cm="1">
        <f t="array" aca="true" ref="AC59" ca="true">IFERROR(COUNTIFS(
  unit_details[Property Name], INDIRECT("B"&amp;ROW()),
  unit_details[Floorplan Name], INDIRECT("C"&amp;ROW()),
  unit_details[Beds], INDIRECT("D"&amp;ROW()),
  unit_details[Detected Unit Amenities], "*"&amp;$AB$3&amp;"*",
  unit_details[Leased Date], "&gt;=" &amp; ($X$2 - $AD$3)
),0)</f>
        <v>0</v>
      </c>
      <c r="AD59" s="735" cm="1">
        <f t="array" aca="true" ref="AD59" ca="true">IFERROR(AVERAGEIFS(
  unit_details[Sqft],
  unit_details[Property Name], INDIRECT("B"&amp;ROW()),
  unit_details[Floorplan Name], INDIRECT("C"&amp;ROW()),
  unit_details[Beds], INDIRECT("D"&amp;ROW()),
  unit_details[Detected Unit Amenities], "&lt;&gt;*"&amp;$AB$3&amp;"*",
  unit_details[Leased Date], "&gt;=" &amp; ($X$2 - $AD$3)
),0)</f>
        <v>0</v>
      </c>
      <c r="AE59" s="734" cm="1">
        <f t="array" aca="true" ref="AE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9" s="733" cm="1">
        <f t="array" aca="true" ref="AF59" ca="true">IFERROR(COUNTIFS(
  unit_details[Property Name], INDIRECT("B"&amp;ROW()),
  unit_details[Floorplan Name], INDIRECT("C"&amp;ROW()),
  unit_details[Beds], INDIRECT("D"&amp;ROW()),
  unit_details[Detected Unit Amenities], "&lt;&gt;*"&amp;$AB$3&amp;"*",
  unit_details[Leased Date], "&gt;=" &amp; ($X$2 - $AD$3)
),0)</f>
        <v>0</v>
      </c>
      <c r="AG59" s="735"/>
      <c r="AH59" s="738">
        <f t="shared" ca="true" si="2"/>
        <v>0</v>
      </c>
      <c r="AI59" s="739">
        <f t="shared" ca="true" si="3"/>
        <v>0</v>
      </c>
    </row>
    <row r="60" spans="2:35">
      <c r="B60" s="1" t="s">
        <v>1221</v>
      </c>
      <c r="C60" s="80" t="s">
        <v>1306</v>
      </c>
      <c r="D60" s="4">
        <v>2</v>
      </c>
      <c r="E60" s="303">
        <v>1</v>
      </c>
      <c r="F60" s="303"/>
      <c r="G60" s="4">
        <v>8</v>
      </c>
      <c r="H60" s="4">
        <v>68</v>
      </c>
      <c r="I60" s="4">
        <v>750</v>
      </c>
      <c r="J60" s="345">
        <v>1375</v>
      </c>
      <c r="K60" s="6">
        <v>1.8333333333333333</v>
      </c>
      <c r="L60" s="5">
        <v>1375</v>
      </c>
      <c r="M60" s="6">
        <v>1.8333333333333333</v>
      </c>
      <c r="N60" s="738" t="str" cm="1">
        <f t="array" aca="true" ref="N60" ca="true">IFERROR(IF($O$3="Chunk Rent",
AVERAGEIFS('Unit-Level Data'!$O:$O,'Unit-Level Data'!$M:$M,TRUE,
          'Unit-Level Data'!$D:$D, INDIRECT("C"&amp;ROW()),
          'Unit-Level Data'!$B:$B, INDIRECT("B"&amp;ROW())),
AVERAGEIFS('Unit-Level Data'!$P:$P,'Unit-Level Data'!$M:$M,TRUE,
          'Unit-Level Data'!$D:$D, INDIRECT("C"&amp;ROW()),
          'Unit-Level Data'!$B:$B, INDIRECT("B"&amp;ROW()))),"")</f>
      </c>
      <c r="O60" s="760" t="str" cm="1">
        <f t="array" aca="true" ref="O60" ca="true">IFERROR(IF($O$3="Chunk Rent",
AVERAGEIFS('Unit-Level Data'!$Q:$Q,'Unit-Level Data'!$M:$M,TRUE,
          'Unit-Level Data'!$D:$D, INDIRECT("C"&amp;ROW()),
          'Unit-Level Data'!$B:$B, INDIRECT("B"&amp;ROW())),
AVERAGEIFS('Unit-Level Data'!$R:$R,'Unit-Level Data'!$M:$M,TRUE,
          'Unit-Level Data'!$D:$D, INDIRECT("C"&amp;ROW()),
          'Unit-Level Data'!$B:$B, INDIRECT("B"&amp;ROW()))),"")</f>
      </c>
      <c r="P60" s="733" cm="1">
        <f t="array" aca="true" ref="P60" ca="true">COUNTIFS('Unit-Level Data'!$M:$M,TRUE,
          'Unit-Level Data'!$D:$D, INDIRECT("C"&amp;ROW()),
          'Unit-Level Data'!$B:$B, INDIRECT("B"&amp;ROW()))</f>
        <v>0</v>
      </c>
      <c r="Q60" s="738" t="str" cm="1">
        <f t="array" aca="true" ref="Q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0" s="760" t="str" cm="1">
        <f t="array" aca="true" ref="R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0" s="733" cm="1">
        <f t="array" aca="true" ref="S60" ca="true">COUNTIFS('Unit-Level Data'!$L:$L, "&gt;=" &amp; ($X$2 - Q$5),
          'Unit-Level Data'!$L:$L, "&lt;" &amp; $X$2,
          'Unit-Level Data'!$D:$D, INDIRECT("C"&amp;ROW()),
          'Unit-Level Data'!$B:$B, INDIRECT("B"&amp;ROW()))</f>
        <v>0</v>
      </c>
      <c r="T60" s="738" t="str" cm="1">
        <f t="array" aca="true" ref="T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0" s="760" t="str" cm="1">
        <f t="array" aca="true" ref="U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0" s="733" cm="1">
        <f t="array" aca="true" ref="V60" ca="true">COUNTIFS('Unit-Level Data'!$L:$L, "&gt;=" &amp; ($X$2 - T$5),
          'Unit-Level Data'!$L:$L, "&lt;" &amp; $X$2,
          'Unit-Level Data'!$D:$D, INDIRECT("C"&amp;ROW()),
          'Unit-Level Data'!$B:$B, INDIRECT("B"&amp;ROW()))</f>
        <v>0</v>
      </c>
      <c r="W60" s="738" t="str" cm="1">
        <f t="array" aca="true" ref="W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0" s="760" t="str" cm="1">
        <f t="array" aca="true" ref="X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0" s="733" cm="1">
        <f t="array" aca="true" ref="Y60" ca="true">COUNTIFS('Unit-Level Data'!$L:$L, "&gt;=" &amp; ($X$2 - W$5),
          'Unit-Level Data'!$L:$L, "&lt;" &amp; $X$2,
          'Unit-Level Data'!$D:$D, INDIRECT("C"&amp;ROW()),
          'Unit-Level Data'!$B:$B, INDIRECT("B"&amp;ROW()))</f>
        <v>0</v>
      </c>
      <c r="Z60" s="761"/>
      <c r="AA60" s="735" cm="1">
        <f t="array" aca="true" ref="AA60" ca="true">IFERROR(AVERAGEIFS(
  unit_details[Sqft],
  unit_details[Property Name], INDIRECT("B"&amp;ROW()),
  unit_details[Floorplan Name], INDIRECT("C"&amp;ROW()),
  unit_details[Beds], INDIRECT("D"&amp;ROW()),
  unit_details[Detected Unit Amenities], "*"&amp;$AB$3&amp;"*",
  unit_details[Leased Date], "&gt;=" &amp; ($X$2 - $AD$3)
),0)</f>
        <v>0</v>
      </c>
      <c r="AB60" s="734" cm="1">
        <f t="array" aca="true" ref="AB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0" s="733" cm="1">
        <f t="array" aca="true" ref="AC60" ca="true">IFERROR(COUNTIFS(
  unit_details[Property Name], INDIRECT("B"&amp;ROW()),
  unit_details[Floorplan Name], INDIRECT("C"&amp;ROW()),
  unit_details[Beds], INDIRECT("D"&amp;ROW()),
  unit_details[Detected Unit Amenities], "*"&amp;$AB$3&amp;"*",
  unit_details[Leased Date], "&gt;=" &amp; ($X$2 - $AD$3)
),0)</f>
        <v>0</v>
      </c>
      <c r="AD60" s="735" cm="1">
        <f t="array" aca="true" ref="AD60" ca="true">IFERROR(AVERAGEIFS(
  unit_details[Sqft],
  unit_details[Property Name], INDIRECT("B"&amp;ROW()),
  unit_details[Floorplan Name], INDIRECT("C"&amp;ROW()),
  unit_details[Beds], INDIRECT("D"&amp;ROW()),
  unit_details[Detected Unit Amenities], "&lt;&gt;*"&amp;$AB$3&amp;"*",
  unit_details[Leased Date], "&gt;=" &amp; ($X$2 - $AD$3)
),0)</f>
        <v>0</v>
      </c>
      <c r="AE60" s="734" cm="1">
        <f t="array" aca="true" ref="AE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0" s="733" cm="1">
        <f t="array" aca="true" ref="AF60" ca="true">IFERROR(COUNTIFS(
  unit_details[Property Name], INDIRECT("B"&amp;ROW()),
  unit_details[Floorplan Name], INDIRECT("C"&amp;ROW()),
  unit_details[Beds], INDIRECT("D"&amp;ROW()),
  unit_details[Detected Unit Amenities], "&lt;&gt;*"&amp;$AB$3&amp;"*",
  unit_details[Leased Date], "&gt;=" &amp; ($X$2 - $AD$3)
),0)</f>
        <v>0</v>
      </c>
      <c r="AG60" s="735"/>
      <c r="AH60" s="738">
        <f t="shared" ca="true" si="2"/>
        <v>0</v>
      </c>
      <c r="AI60" s="739">
        <f t="shared" ca="true" si="3"/>
        <v>0</v>
      </c>
    </row>
    <row r="61" spans="2:35">
      <c r="B61" s="1" t="s">
        <v>1221</v>
      </c>
      <c r="C61" s="80" t="s">
        <v>1307</v>
      </c>
      <c r="D61" s="4">
        <v>2</v>
      </c>
      <c r="E61" s="303">
        <v>1</v>
      </c>
      <c r="F61" s="303"/>
      <c r="G61" s="4">
        <v>9</v>
      </c>
      <c r="H61" s="4">
        <v>52</v>
      </c>
      <c r="I61" s="4">
        <v>750</v>
      </c>
      <c r="J61" s="345">
        <v>1415</v>
      </c>
      <c r="K61" s="6">
        <v>1.8866666666666667</v>
      </c>
      <c r="L61" s="5">
        <v>1410</v>
      </c>
      <c r="M61" s="6">
        <v>1.88</v>
      </c>
      <c r="N61" s="738" t="str" cm="1">
        <f t="array" aca="true" ref="N61" ca="true">IFERROR(IF($O$3="Chunk Rent",
AVERAGEIFS('Unit-Level Data'!$O:$O,'Unit-Level Data'!$M:$M,TRUE,
          'Unit-Level Data'!$D:$D, INDIRECT("C"&amp;ROW()),
          'Unit-Level Data'!$B:$B, INDIRECT("B"&amp;ROW())),
AVERAGEIFS('Unit-Level Data'!$P:$P,'Unit-Level Data'!$M:$M,TRUE,
          'Unit-Level Data'!$D:$D, INDIRECT("C"&amp;ROW()),
          'Unit-Level Data'!$B:$B, INDIRECT("B"&amp;ROW()))),"")</f>
      </c>
      <c r="O61" s="760" t="str" cm="1">
        <f t="array" aca="true" ref="O61" ca="true">IFERROR(IF($O$3="Chunk Rent",
AVERAGEIFS('Unit-Level Data'!$Q:$Q,'Unit-Level Data'!$M:$M,TRUE,
          'Unit-Level Data'!$D:$D, INDIRECT("C"&amp;ROW()),
          'Unit-Level Data'!$B:$B, INDIRECT("B"&amp;ROW())),
AVERAGEIFS('Unit-Level Data'!$R:$R,'Unit-Level Data'!$M:$M,TRUE,
          'Unit-Level Data'!$D:$D, INDIRECT("C"&amp;ROW()),
          'Unit-Level Data'!$B:$B, INDIRECT("B"&amp;ROW()))),"")</f>
      </c>
      <c r="P61" s="733" cm="1">
        <f t="array" aca="true" ref="P61" ca="true">COUNTIFS('Unit-Level Data'!$M:$M,TRUE,
          'Unit-Level Data'!$D:$D, INDIRECT("C"&amp;ROW()),
          'Unit-Level Data'!$B:$B, INDIRECT("B"&amp;ROW()))</f>
        <v>0</v>
      </c>
      <c r="Q61" s="738" t="str" cm="1">
        <f t="array" aca="true" ref="Q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1" s="760" t="str" cm="1">
        <f t="array" aca="true" ref="R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1" s="733" cm="1">
        <f t="array" aca="true" ref="S61" ca="true">COUNTIFS('Unit-Level Data'!$L:$L, "&gt;=" &amp; ($X$2 - Q$5),
          'Unit-Level Data'!$L:$L, "&lt;" &amp; $X$2,
          'Unit-Level Data'!$D:$D, INDIRECT("C"&amp;ROW()),
          'Unit-Level Data'!$B:$B, INDIRECT("B"&amp;ROW()))</f>
        <v>0</v>
      </c>
      <c r="T61" s="738" t="str" cm="1">
        <f t="array" aca="true" ref="T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1" s="760" t="str" cm="1">
        <f t="array" aca="true" ref="U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1" s="733" cm="1">
        <f t="array" aca="true" ref="V61" ca="true">COUNTIFS('Unit-Level Data'!$L:$L, "&gt;=" &amp; ($X$2 - T$5),
          'Unit-Level Data'!$L:$L, "&lt;" &amp; $X$2,
          'Unit-Level Data'!$D:$D, INDIRECT("C"&amp;ROW()),
          'Unit-Level Data'!$B:$B, INDIRECT("B"&amp;ROW()))</f>
        <v>0</v>
      </c>
      <c r="W61" s="738" t="str" cm="1">
        <f t="array" aca="true" ref="W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1" s="760" t="str" cm="1">
        <f t="array" aca="true" ref="X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1" s="733" cm="1">
        <f t="array" aca="true" ref="Y61" ca="true">COUNTIFS('Unit-Level Data'!$L:$L, "&gt;=" &amp; ($X$2 - W$5),
          'Unit-Level Data'!$L:$L, "&lt;" &amp; $X$2,
          'Unit-Level Data'!$D:$D, INDIRECT("C"&amp;ROW()),
          'Unit-Level Data'!$B:$B, INDIRECT("B"&amp;ROW()))</f>
        <v>0</v>
      </c>
      <c r="Z61" s="761"/>
      <c r="AA61" s="735" cm="1">
        <f t="array" aca="true" ref="AA61" ca="true">IFERROR(AVERAGEIFS(
  unit_details[Sqft],
  unit_details[Property Name], INDIRECT("B"&amp;ROW()),
  unit_details[Floorplan Name], INDIRECT("C"&amp;ROW()),
  unit_details[Beds], INDIRECT("D"&amp;ROW()),
  unit_details[Detected Unit Amenities], "*"&amp;$AB$3&amp;"*",
  unit_details[Leased Date], "&gt;=" &amp; ($X$2 - $AD$3)
),0)</f>
        <v>0</v>
      </c>
      <c r="AB61" s="734" cm="1">
        <f t="array" aca="true" ref="AB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1" s="733" cm="1">
        <f t="array" aca="true" ref="AC61" ca="true">IFERROR(COUNTIFS(
  unit_details[Property Name], INDIRECT("B"&amp;ROW()),
  unit_details[Floorplan Name], INDIRECT("C"&amp;ROW()),
  unit_details[Beds], INDIRECT("D"&amp;ROW()),
  unit_details[Detected Unit Amenities], "*"&amp;$AB$3&amp;"*",
  unit_details[Leased Date], "&gt;=" &amp; ($X$2 - $AD$3)
),0)</f>
        <v>0</v>
      </c>
      <c r="AD61" s="735" cm="1">
        <f t="array" aca="true" ref="AD61" ca="true">IFERROR(AVERAGEIFS(
  unit_details[Sqft],
  unit_details[Property Name], INDIRECT("B"&amp;ROW()),
  unit_details[Floorplan Name], INDIRECT("C"&amp;ROW()),
  unit_details[Beds], INDIRECT("D"&amp;ROW()),
  unit_details[Detected Unit Amenities], "&lt;&gt;*"&amp;$AB$3&amp;"*",
  unit_details[Leased Date], "&gt;=" &amp; ($X$2 - $AD$3)
),0)</f>
        <v>0</v>
      </c>
      <c r="AE61" s="734" cm="1">
        <f t="array" aca="true" ref="AE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1" s="733" cm="1">
        <f t="array" aca="true" ref="AF61" ca="true">IFERROR(COUNTIFS(
  unit_details[Property Name], INDIRECT("B"&amp;ROW()),
  unit_details[Floorplan Name], INDIRECT("C"&amp;ROW()),
  unit_details[Beds], INDIRECT("D"&amp;ROW()),
  unit_details[Detected Unit Amenities], "&lt;&gt;*"&amp;$AB$3&amp;"*",
  unit_details[Leased Date], "&gt;=" &amp; ($X$2 - $AD$3)
),0)</f>
        <v>0</v>
      </c>
      <c r="AG61" s="735"/>
      <c r="AH61" s="738">
        <f t="shared" ca="true" si="2"/>
        <v>0</v>
      </c>
      <c r="AI61" s="739">
        <f t="shared" ca="true" si="3"/>
        <v>0</v>
      </c>
    </row>
    <row r="62" spans="2:35">
      <c r="B62" s="1" t="s">
        <v>1221</v>
      </c>
      <c r="C62" s="80" t="s">
        <v>1308</v>
      </c>
      <c r="D62" s="4">
        <v>2</v>
      </c>
      <c r="E62" s="303">
        <v>1</v>
      </c>
      <c r="F62" s="303"/>
      <c r="G62" s="4">
        <v>7</v>
      </c>
      <c r="H62" s="4">
        <v>36</v>
      </c>
      <c r="I62" s="4">
        <v>750</v>
      </c>
      <c r="J62" s="345">
        <v>1425</v>
      </c>
      <c r="K62" s="6">
        <v>1.9</v>
      </c>
      <c r="L62" s="5">
        <v>1425</v>
      </c>
      <c r="M62" s="6">
        <v>1.9</v>
      </c>
      <c r="N62" s="738" t="str" cm="1">
        <f t="array" aca="true" ref="N62" ca="true">IFERROR(IF($O$3="Chunk Rent",
AVERAGEIFS('Unit-Level Data'!$O:$O,'Unit-Level Data'!$M:$M,TRUE,
          'Unit-Level Data'!$D:$D, INDIRECT("C"&amp;ROW()),
          'Unit-Level Data'!$B:$B, INDIRECT("B"&amp;ROW())),
AVERAGEIFS('Unit-Level Data'!$P:$P,'Unit-Level Data'!$M:$M,TRUE,
          'Unit-Level Data'!$D:$D, INDIRECT("C"&amp;ROW()),
          'Unit-Level Data'!$B:$B, INDIRECT("B"&amp;ROW()))),"")</f>
      </c>
      <c r="O62" s="760" t="str" cm="1">
        <f t="array" aca="true" ref="O62" ca="true">IFERROR(IF($O$3="Chunk Rent",
AVERAGEIFS('Unit-Level Data'!$Q:$Q,'Unit-Level Data'!$M:$M,TRUE,
          'Unit-Level Data'!$D:$D, INDIRECT("C"&amp;ROW()),
          'Unit-Level Data'!$B:$B, INDIRECT("B"&amp;ROW())),
AVERAGEIFS('Unit-Level Data'!$R:$R,'Unit-Level Data'!$M:$M,TRUE,
          'Unit-Level Data'!$D:$D, INDIRECT("C"&amp;ROW()),
          'Unit-Level Data'!$B:$B, INDIRECT("B"&amp;ROW()))),"")</f>
      </c>
      <c r="P62" s="733" cm="1">
        <f t="array" aca="true" ref="P62" ca="true">COUNTIFS('Unit-Level Data'!$M:$M,TRUE,
          'Unit-Level Data'!$D:$D, INDIRECT("C"&amp;ROW()),
          'Unit-Level Data'!$B:$B, INDIRECT("B"&amp;ROW()))</f>
        <v>0</v>
      </c>
      <c r="Q62" s="738" t="str" cm="1">
        <f t="array" aca="true" ref="Q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2" s="760" t="str" cm="1">
        <f t="array" aca="true" ref="R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2" s="733" cm="1">
        <f t="array" aca="true" ref="S62" ca="true">COUNTIFS('Unit-Level Data'!$L:$L, "&gt;=" &amp; ($X$2 - Q$5),
          'Unit-Level Data'!$L:$L, "&lt;" &amp; $X$2,
          'Unit-Level Data'!$D:$D, INDIRECT("C"&amp;ROW()),
          'Unit-Level Data'!$B:$B, INDIRECT("B"&amp;ROW()))</f>
        <v>0</v>
      </c>
      <c r="T62" s="738" t="str" cm="1">
        <f t="array" aca="true" ref="T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2" s="760" t="str" cm="1">
        <f t="array" aca="true" ref="U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2" s="733" cm="1">
        <f t="array" aca="true" ref="V62" ca="true">COUNTIFS('Unit-Level Data'!$L:$L, "&gt;=" &amp; ($X$2 - T$5),
          'Unit-Level Data'!$L:$L, "&lt;" &amp; $X$2,
          'Unit-Level Data'!$D:$D, INDIRECT("C"&amp;ROW()),
          'Unit-Level Data'!$B:$B, INDIRECT("B"&amp;ROW()))</f>
        <v>0</v>
      </c>
      <c r="W62" s="738" t="str" cm="1">
        <f t="array" aca="true" ref="W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2" s="760" t="str" cm="1">
        <f t="array" aca="true" ref="X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2" s="733" cm="1">
        <f t="array" aca="true" ref="Y62" ca="true">COUNTIFS('Unit-Level Data'!$L:$L, "&gt;=" &amp; ($X$2 - W$5),
          'Unit-Level Data'!$L:$L, "&lt;" &amp; $X$2,
          'Unit-Level Data'!$D:$D, INDIRECT("C"&amp;ROW()),
          'Unit-Level Data'!$B:$B, INDIRECT("B"&amp;ROW()))</f>
        <v>0</v>
      </c>
      <c r="Z62" s="761"/>
      <c r="AA62" s="735" cm="1">
        <f t="array" aca="true" ref="AA62" ca="true">IFERROR(AVERAGEIFS(
  unit_details[Sqft],
  unit_details[Property Name], INDIRECT("B"&amp;ROW()),
  unit_details[Floorplan Name], INDIRECT("C"&amp;ROW()),
  unit_details[Beds], INDIRECT("D"&amp;ROW()),
  unit_details[Detected Unit Amenities], "*"&amp;$AB$3&amp;"*",
  unit_details[Leased Date], "&gt;=" &amp; ($X$2 - $AD$3)
),0)</f>
        <v>0</v>
      </c>
      <c r="AB62" s="734" cm="1">
        <f t="array" aca="true" ref="AB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2" s="733" cm="1">
        <f t="array" aca="true" ref="AC62" ca="true">IFERROR(COUNTIFS(
  unit_details[Property Name], INDIRECT("B"&amp;ROW()),
  unit_details[Floorplan Name], INDIRECT("C"&amp;ROW()),
  unit_details[Beds], INDIRECT("D"&amp;ROW()),
  unit_details[Detected Unit Amenities], "*"&amp;$AB$3&amp;"*",
  unit_details[Leased Date], "&gt;=" &amp; ($X$2 - $AD$3)
),0)</f>
        <v>0</v>
      </c>
      <c r="AD62" s="735" cm="1">
        <f t="array" aca="true" ref="AD62" ca="true">IFERROR(AVERAGEIFS(
  unit_details[Sqft],
  unit_details[Property Name], INDIRECT("B"&amp;ROW()),
  unit_details[Floorplan Name], INDIRECT("C"&amp;ROW()),
  unit_details[Beds], INDIRECT("D"&amp;ROW()),
  unit_details[Detected Unit Amenities], "&lt;&gt;*"&amp;$AB$3&amp;"*",
  unit_details[Leased Date], "&gt;=" &amp; ($X$2 - $AD$3)
),0)</f>
        <v>0</v>
      </c>
      <c r="AE62" s="734" cm="1">
        <f t="array" aca="true" ref="AE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2" s="733" cm="1">
        <f t="array" aca="true" ref="AF62" ca="true">IFERROR(COUNTIFS(
  unit_details[Property Name], INDIRECT("B"&amp;ROW()),
  unit_details[Floorplan Name], INDIRECT("C"&amp;ROW()),
  unit_details[Beds], INDIRECT("D"&amp;ROW()),
  unit_details[Detected Unit Amenities], "&lt;&gt;*"&amp;$AB$3&amp;"*",
  unit_details[Leased Date], "&gt;=" &amp; ($X$2 - $AD$3)
),0)</f>
        <v>0</v>
      </c>
      <c r="AG62" s="735"/>
      <c r="AH62" s="738">
        <f t="shared" ca="true" si="2"/>
        <v>0</v>
      </c>
      <c r="AI62" s="739">
        <f t="shared" ca="true" si="3"/>
        <v>0</v>
      </c>
    </row>
    <row r="63" spans="2:35">
      <c r="B63" s="1" t="s">
        <v>1221</v>
      </c>
      <c r="C63" s="80" t="s">
        <v>1309</v>
      </c>
      <c r="D63" s="4">
        <v>2</v>
      </c>
      <c r="E63" s="303">
        <v>1</v>
      </c>
      <c r="F63" s="303"/>
      <c r="G63" s="4">
        <v>11</v>
      </c>
      <c r="H63" s="4">
        <v>39</v>
      </c>
      <c r="I63" s="4">
        <v>750</v>
      </c>
      <c r="J63" s="345">
        <v>1450</v>
      </c>
      <c r="K63" s="6">
        <v>1.9333333333333333</v>
      </c>
      <c r="L63" s="5">
        <v>1445.8333333333333</v>
      </c>
      <c r="M63" s="6">
        <v>1.9277777777777778</v>
      </c>
      <c r="N63" s="738" t="str" cm="1">
        <f t="array" aca="true" ref="N63" ca="true">IFERROR(IF($O$3="Chunk Rent",
AVERAGEIFS('Unit-Level Data'!$O:$O,'Unit-Level Data'!$M:$M,TRUE,
          'Unit-Level Data'!$D:$D, INDIRECT("C"&amp;ROW()),
          'Unit-Level Data'!$B:$B, INDIRECT("B"&amp;ROW())),
AVERAGEIFS('Unit-Level Data'!$P:$P,'Unit-Level Data'!$M:$M,TRUE,
          'Unit-Level Data'!$D:$D, INDIRECT("C"&amp;ROW()),
          'Unit-Level Data'!$B:$B, INDIRECT("B"&amp;ROW()))),"")</f>
      </c>
      <c r="O63" s="760" t="str" cm="1">
        <f t="array" aca="true" ref="O63" ca="true">IFERROR(IF($O$3="Chunk Rent",
AVERAGEIFS('Unit-Level Data'!$Q:$Q,'Unit-Level Data'!$M:$M,TRUE,
          'Unit-Level Data'!$D:$D, INDIRECT("C"&amp;ROW()),
          'Unit-Level Data'!$B:$B, INDIRECT("B"&amp;ROW())),
AVERAGEIFS('Unit-Level Data'!$R:$R,'Unit-Level Data'!$M:$M,TRUE,
          'Unit-Level Data'!$D:$D, INDIRECT("C"&amp;ROW()),
          'Unit-Level Data'!$B:$B, INDIRECT("B"&amp;ROW()))),"")</f>
      </c>
      <c r="P63" s="733" cm="1">
        <f t="array" aca="true" ref="P63" ca="true">COUNTIFS('Unit-Level Data'!$M:$M,TRUE,
          'Unit-Level Data'!$D:$D, INDIRECT("C"&amp;ROW()),
          'Unit-Level Data'!$B:$B, INDIRECT("B"&amp;ROW()))</f>
        <v>0</v>
      </c>
      <c r="Q63" s="738" t="str" cm="1">
        <f t="array" aca="true" ref="Q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3" s="760" t="str" cm="1">
        <f t="array" aca="true" ref="R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3" s="733" cm="1">
        <f t="array" aca="true" ref="S63" ca="true">COUNTIFS('Unit-Level Data'!$L:$L, "&gt;=" &amp; ($X$2 - Q$5),
          'Unit-Level Data'!$L:$L, "&lt;" &amp; $X$2,
          'Unit-Level Data'!$D:$D, INDIRECT("C"&amp;ROW()),
          'Unit-Level Data'!$B:$B, INDIRECT("B"&amp;ROW()))</f>
        <v>0</v>
      </c>
      <c r="T63" s="738" t="str" cm="1">
        <f t="array" aca="true" ref="T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3" s="760" t="str" cm="1">
        <f t="array" aca="true" ref="U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3" s="733" cm="1">
        <f t="array" aca="true" ref="V63" ca="true">COUNTIFS('Unit-Level Data'!$L:$L, "&gt;=" &amp; ($X$2 - T$5),
          'Unit-Level Data'!$L:$L, "&lt;" &amp; $X$2,
          'Unit-Level Data'!$D:$D, INDIRECT("C"&amp;ROW()),
          'Unit-Level Data'!$B:$B, INDIRECT("B"&amp;ROW()))</f>
        <v>0</v>
      </c>
      <c r="W63" s="738" t="str" cm="1">
        <f t="array" aca="true" ref="W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3" s="760" t="str" cm="1">
        <f t="array" aca="true" ref="X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3" s="733" cm="1">
        <f t="array" aca="true" ref="Y63" ca="true">COUNTIFS('Unit-Level Data'!$L:$L, "&gt;=" &amp; ($X$2 - W$5),
          'Unit-Level Data'!$L:$L, "&lt;" &amp; $X$2,
          'Unit-Level Data'!$D:$D, INDIRECT("C"&amp;ROW()),
          'Unit-Level Data'!$B:$B, INDIRECT("B"&amp;ROW()))</f>
        <v>0</v>
      </c>
      <c r="Z63" s="761"/>
      <c r="AA63" s="735" cm="1">
        <f t="array" aca="true" ref="AA63" ca="true">IFERROR(AVERAGEIFS(
  unit_details[Sqft],
  unit_details[Property Name], INDIRECT("B"&amp;ROW()),
  unit_details[Floorplan Name], INDIRECT("C"&amp;ROW()),
  unit_details[Beds], INDIRECT("D"&amp;ROW()),
  unit_details[Detected Unit Amenities], "*"&amp;$AB$3&amp;"*",
  unit_details[Leased Date], "&gt;=" &amp; ($X$2 - $AD$3)
),0)</f>
        <v>0</v>
      </c>
      <c r="AB63" s="734" cm="1">
        <f t="array" aca="true" ref="AB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3" s="733" cm="1">
        <f t="array" aca="true" ref="AC63" ca="true">IFERROR(COUNTIFS(
  unit_details[Property Name], INDIRECT("B"&amp;ROW()),
  unit_details[Floorplan Name], INDIRECT("C"&amp;ROW()),
  unit_details[Beds], INDIRECT("D"&amp;ROW()),
  unit_details[Detected Unit Amenities], "*"&amp;$AB$3&amp;"*",
  unit_details[Leased Date], "&gt;=" &amp; ($X$2 - $AD$3)
),0)</f>
        <v>0</v>
      </c>
      <c r="AD63" s="735" cm="1">
        <f t="array" aca="true" ref="AD63" ca="true">IFERROR(AVERAGEIFS(
  unit_details[Sqft],
  unit_details[Property Name], INDIRECT("B"&amp;ROW()),
  unit_details[Floorplan Name], INDIRECT("C"&amp;ROW()),
  unit_details[Beds], INDIRECT("D"&amp;ROW()),
  unit_details[Detected Unit Amenities], "&lt;&gt;*"&amp;$AB$3&amp;"*",
  unit_details[Leased Date], "&gt;=" &amp; ($X$2 - $AD$3)
),0)</f>
        <v>0</v>
      </c>
      <c r="AE63" s="734" cm="1">
        <f t="array" aca="true" ref="AE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3" s="733" cm="1">
        <f t="array" aca="true" ref="AF63" ca="true">IFERROR(COUNTIFS(
  unit_details[Property Name], INDIRECT("B"&amp;ROW()),
  unit_details[Floorplan Name], INDIRECT("C"&amp;ROW()),
  unit_details[Beds], INDIRECT("D"&amp;ROW()),
  unit_details[Detected Unit Amenities], "&lt;&gt;*"&amp;$AB$3&amp;"*",
  unit_details[Leased Date], "&gt;=" &amp; ($X$2 - $AD$3)
),0)</f>
        <v>0</v>
      </c>
      <c r="AG63" s="735"/>
      <c r="AH63" s="738">
        <f t="shared" ca="true" si="2"/>
        <v>0</v>
      </c>
      <c r="AI63" s="739">
        <f t="shared" ca="true" si="3"/>
        <v>0</v>
      </c>
    </row>
    <row r="64" spans="2:35">
      <c r="B64" s="1" t="s">
        <v>1221</v>
      </c>
      <c r="C64" s="80" t="s">
        <v>1310</v>
      </c>
      <c r="D64" s="4">
        <v>2</v>
      </c>
      <c r="E64" s="303">
        <v>1</v>
      </c>
      <c r="F64" s="303"/>
      <c r="G64" s="4">
        <v>13</v>
      </c>
      <c r="H64" s="4">
        <v>38.142857142857146</v>
      </c>
      <c r="I64" s="4">
        <v>750</v>
      </c>
      <c r="J64" s="345">
        <v>1439.2857142857142</v>
      </c>
      <c r="K64" s="6">
        <v>1.9190476190476191</v>
      </c>
      <c r="L64" s="5">
        <v>1435.7142857142858</v>
      </c>
      <c r="M64" s="6">
        <v>1.9142857142857144</v>
      </c>
      <c r="N64" s="738" t="str" cm="1">
        <f t="array" aca="true" ref="N64" ca="true">IFERROR(IF($O$3="Chunk Rent",
AVERAGEIFS('Unit-Level Data'!$O:$O,'Unit-Level Data'!$M:$M,TRUE,
          'Unit-Level Data'!$D:$D, INDIRECT("C"&amp;ROW()),
          'Unit-Level Data'!$B:$B, INDIRECT("B"&amp;ROW())),
AVERAGEIFS('Unit-Level Data'!$P:$P,'Unit-Level Data'!$M:$M,TRUE,
          'Unit-Level Data'!$D:$D, INDIRECT("C"&amp;ROW()),
          'Unit-Level Data'!$B:$B, INDIRECT("B"&amp;ROW()))),"")</f>
      </c>
      <c r="O64" s="760" t="str" cm="1">
        <f t="array" aca="true" ref="O64" ca="true">IFERROR(IF($O$3="Chunk Rent",
AVERAGEIFS('Unit-Level Data'!$Q:$Q,'Unit-Level Data'!$M:$M,TRUE,
          'Unit-Level Data'!$D:$D, INDIRECT("C"&amp;ROW()),
          'Unit-Level Data'!$B:$B, INDIRECT("B"&amp;ROW())),
AVERAGEIFS('Unit-Level Data'!$R:$R,'Unit-Level Data'!$M:$M,TRUE,
          'Unit-Level Data'!$D:$D, INDIRECT("C"&amp;ROW()),
          'Unit-Level Data'!$B:$B, INDIRECT("B"&amp;ROW()))),"")</f>
      </c>
      <c r="P64" s="733" cm="1">
        <f t="array" aca="true" ref="P64" ca="true">COUNTIFS('Unit-Level Data'!$M:$M,TRUE,
          'Unit-Level Data'!$D:$D, INDIRECT("C"&amp;ROW()),
          'Unit-Level Data'!$B:$B, INDIRECT("B"&amp;ROW()))</f>
        <v>0</v>
      </c>
      <c r="Q64" s="738" t="str" cm="1">
        <f t="array" aca="true" ref="Q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4" s="760" t="str" cm="1">
        <f t="array" aca="true" ref="R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4" s="733" cm="1">
        <f t="array" aca="true" ref="S64" ca="true">COUNTIFS('Unit-Level Data'!$L:$L, "&gt;=" &amp; ($X$2 - Q$5),
          'Unit-Level Data'!$L:$L, "&lt;" &amp; $X$2,
          'Unit-Level Data'!$D:$D, INDIRECT("C"&amp;ROW()),
          'Unit-Level Data'!$B:$B, INDIRECT("B"&amp;ROW()))</f>
        <v>0</v>
      </c>
      <c r="T64" s="738" t="str" cm="1">
        <f t="array" aca="true" ref="T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4" s="760" t="str" cm="1">
        <f t="array" aca="true" ref="U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4" s="733" cm="1">
        <f t="array" aca="true" ref="V64" ca="true">COUNTIFS('Unit-Level Data'!$L:$L, "&gt;=" &amp; ($X$2 - T$5),
          'Unit-Level Data'!$L:$L, "&lt;" &amp; $X$2,
          'Unit-Level Data'!$D:$D, INDIRECT("C"&amp;ROW()),
          'Unit-Level Data'!$B:$B, INDIRECT("B"&amp;ROW()))</f>
        <v>0</v>
      </c>
      <c r="W64" s="738" t="str" cm="1">
        <f t="array" aca="true" ref="W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4" s="760" t="str" cm="1">
        <f t="array" aca="true" ref="X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4" s="733" cm="1">
        <f t="array" aca="true" ref="Y64" ca="true">COUNTIFS('Unit-Level Data'!$L:$L, "&gt;=" &amp; ($X$2 - W$5),
          'Unit-Level Data'!$L:$L, "&lt;" &amp; $X$2,
          'Unit-Level Data'!$D:$D, INDIRECT("C"&amp;ROW()),
          'Unit-Level Data'!$B:$B, INDIRECT("B"&amp;ROW()))</f>
        <v>0</v>
      </c>
      <c r="Z64" s="761"/>
      <c r="AA64" s="735" cm="1">
        <f t="array" aca="true" ref="AA64" ca="true">IFERROR(AVERAGEIFS(
  unit_details[Sqft],
  unit_details[Property Name], INDIRECT("B"&amp;ROW()),
  unit_details[Floorplan Name], INDIRECT("C"&amp;ROW()),
  unit_details[Beds], INDIRECT("D"&amp;ROW()),
  unit_details[Detected Unit Amenities], "*"&amp;$AB$3&amp;"*",
  unit_details[Leased Date], "&gt;=" &amp; ($X$2 - $AD$3)
),0)</f>
        <v>0</v>
      </c>
      <c r="AB64" s="734" cm="1">
        <f t="array" aca="true" ref="AB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4" s="733" cm="1">
        <f t="array" aca="true" ref="AC64" ca="true">IFERROR(COUNTIFS(
  unit_details[Property Name], INDIRECT("B"&amp;ROW()),
  unit_details[Floorplan Name], INDIRECT("C"&amp;ROW()),
  unit_details[Beds], INDIRECT("D"&amp;ROW()),
  unit_details[Detected Unit Amenities], "*"&amp;$AB$3&amp;"*",
  unit_details[Leased Date], "&gt;=" &amp; ($X$2 - $AD$3)
),0)</f>
        <v>0</v>
      </c>
      <c r="AD64" s="735" cm="1">
        <f t="array" aca="true" ref="AD64" ca="true">IFERROR(AVERAGEIFS(
  unit_details[Sqft],
  unit_details[Property Name], INDIRECT("B"&amp;ROW()),
  unit_details[Floorplan Name], INDIRECT("C"&amp;ROW()),
  unit_details[Beds], INDIRECT("D"&amp;ROW()),
  unit_details[Detected Unit Amenities], "&lt;&gt;*"&amp;$AB$3&amp;"*",
  unit_details[Leased Date], "&gt;=" &amp; ($X$2 - $AD$3)
),0)</f>
        <v>0</v>
      </c>
      <c r="AE64" s="734" cm="1">
        <f t="array" aca="true" ref="AE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4" s="733" cm="1">
        <f t="array" aca="true" ref="AF64" ca="true">IFERROR(COUNTIFS(
  unit_details[Property Name], INDIRECT("B"&amp;ROW()),
  unit_details[Floorplan Name], INDIRECT("C"&amp;ROW()),
  unit_details[Beds], INDIRECT("D"&amp;ROW()),
  unit_details[Detected Unit Amenities], "&lt;&gt;*"&amp;$AB$3&amp;"*",
  unit_details[Leased Date], "&gt;=" &amp; ($X$2 - $AD$3)
),0)</f>
        <v>0</v>
      </c>
      <c r="AG64" s="735"/>
      <c r="AH64" s="738">
        <f t="shared" ca="true" si="2"/>
        <v>0</v>
      </c>
      <c r="AI64" s="739">
        <f t="shared" ca="true" si="3"/>
        <v>0</v>
      </c>
    </row>
    <row r="65" spans="2:35">
      <c r="B65" s="1" t="s">
        <v>1221</v>
      </c>
      <c r="C65" s="80" t="s">
        <v>1311</v>
      </c>
      <c r="D65" s="4">
        <v>2</v>
      </c>
      <c r="E65" s="303">
        <v>1</v>
      </c>
      <c r="F65" s="303"/>
      <c r="G65" s="4">
        <v>4</v>
      </c>
      <c r="H65" s="4">
        <v>71</v>
      </c>
      <c r="I65" s="4">
        <v>750</v>
      </c>
      <c r="J65" s="345">
        <v>1412.5</v>
      </c>
      <c r="K65" s="6">
        <v>1.8833333333333333</v>
      </c>
      <c r="L65" s="5">
        <v>1400</v>
      </c>
      <c r="M65" s="6">
        <v>1.8666666666666667</v>
      </c>
      <c r="N65" s="738" t="str" cm="1">
        <f t="array" aca="true" ref="N65" ca="true">IFERROR(IF($O$3="Chunk Rent",
AVERAGEIFS('Unit-Level Data'!$O:$O,'Unit-Level Data'!$M:$M,TRUE,
          'Unit-Level Data'!$D:$D, INDIRECT("C"&amp;ROW()),
          'Unit-Level Data'!$B:$B, INDIRECT("B"&amp;ROW())),
AVERAGEIFS('Unit-Level Data'!$P:$P,'Unit-Level Data'!$M:$M,TRUE,
          'Unit-Level Data'!$D:$D, INDIRECT("C"&amp;ROW()),
          'Unit-Level Data'!$B:$B, INDIRECT("B"&amp;ROW()))),"")</f>
      </c>
      <c r="O65" s="760" t="str" cm="1">
        <f t="array" aca="true" ref="O65" ca="true">IFERROR(IF($O$3="Chunk Rent",
AVERAGEIFS('Unit-Level Data'!$Q:$Q,'Unit-Level Data'!$M:$M,TRUE,
          'Unit-Level Data'!$D:$D, INDIRECT("C"&amp;ROW()),
          'Unit-Level Data'!$B:$B, INDIRECT("B"&amp;ROW())),
AVERAGEIFS('Unit-Level Data'!$R:$R,'Unit-Level Data'!$M:$M,TRUE,
          'Unit-Level Data'!$D:$D, INDIRECT("C"&amp;ROW()),
          'Unit-Level Data'!$B:$B, INDIRECT("B"&amp;ROW()))),"")</f>
      </c>
      <c r="P65" s="733" cm="1">
        <f t="array" aca="true" ref="P65" ca="true">COUNTIFS('Unit-Level Data'!$M:$M,TRUE,
          'Unit-Level Data'!$D:$D, INDIRECT("C"&amp;ROW()),
          'Unit-Level Data'!$B:$B, INDIRECT("B"&amp;ROW()))</f>
        <v>0</v>
      </c>
      <c r="Q65" s="738" t="str" cm="1">
        <f t="array" aca="true" ref="Q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5" s="760" t="str" cm="1">
        <f t="array" aca="true" ref="R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5" s="733" cm="1">
        <f t="array" aca="true" ref="S65" ca="true">COUNTIFS('Unit-Level Data'!$L:$L, "&gt;=" &amp; ($X$2 - Q$5),
          'Unit-Level Data'!$L:$L, "&lt;" &amp; $X$2,
          'Unit-Level Data'!$D:$D, INDIRECT("C"&amp;ROW()),
          'Unit-Level Data'!$B:$B, INDIRECT("B"&amp;ROW()))</f>
        <v>0</v>
      </c>
      <c r="T65" s="738" t="str" cm="1">
        <f t="array" aca="true" ref="T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5" s="760" t="str" cm="1">
        <f t="array" aca="true" ref="U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5" s="733" cm="1">
        <f t="array" aca="true" ref="V65" ca="true">COUNTIFS('Unit-Level Data'!$L:$L, "&gt;=" &amp; ($X$2 - T$5),
          'Unit-Level Data'!$L:$L, "&lt;" &amp; $X$2,
          'Unit-Level Data'!$D:$D, INDIRECT("C"&amp;ROW()),
          'Unit-Level Data'!$B:$B, INDIRECT("B"&amp;ROW()))</f>
        <v>0</v>
      </c>
      <c r="W65" s="738" t="str" cm="1">
        <f t="array" aca="true" ref="W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5" s="760" t="str" cm="1">
        <f t="array" aca="true" ref="X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5" s="733" cm="1">
        <f t="array" aca="true" ref="Y65" ca="true">COUNTIFS('Unit-Level Data'!$L:$L, "&gt;=" &amp; ($X$2 - W$5),
          'Unit-Level Data'!$L:$L, "&lt;" &amp; $X$2,
          'Unit-Level Data'!$D:$D, INDIRECT("C"&amp;ROW()),
          'Unit-Level Data'!$B:$B, INDIRECT("B"&amp;ROW()))</f>
        <v>0</v>
      </c>
      <c r="Z65" s="761"/>
      <c r="AA65" s="735" cm="1">
        <f t="array" aca="true" ref="AA65" ca="true">IFERROR(AVERAGEIFS(
  unit_details[Sqft],
  unit_details[Property Name], INDIRECT("B"&amp;ROW()),
  unit_details[Floorplan Name], INDIRECT("C"&amp;ROW()),
  unit_details[Beds], INDIRECT("D"&amp;ROW()),
  unit_details[Detected Unit Amenities], "*"&amp;$AB$3&amp;"*",
  unit_details[Leased Date], "&gt;=" &amp; ($X$2 - $AD$3)
),0)</f>
        <v>0</v>
      </c>
      <c r="AB65" s="734" cm="1">
        <f t="array" aca="true" ref="AB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5" s="733" cm="1">
        <f t="array" aca="true" ref="AC65" ca="true">IFERROR(COUNTIFS(
  unit_details[Property Name], INDIRECT("B"&amp;ROW()),
  unit_details[Floorplan Name], INDIRECT("C"&amp;ROW()),
  unit_details[Beds], INDIRECT("D"&amp;ROW()),
  unit_details[Detected Unit Amenities], "*"&amp;$AB$3&amp;"*",
  unit_details[Leased Date], "&gt;=" &amp; ($X$2 - $AD$3)
),0)</f>
        <v>0</v>
      </c>
      <c r="AD65" s="735" cm="1">
        <f t="array" aca="true" ref="AD65" ca="true">IFERROR(AVERAGEIFS(
  unit_details[Sqft],
  unit_details[Property Name], INDIRECT("B"&amp;ROW()),
  unit_details[Floorplan Name], INDIRECT("C"&amp;ROW()),
  unit_details[Beds], INDIRECT("D"&amp;ROW()),
  unit_details[Detected Unit Amenities], "&lt;&gt;*"&amp;$AB$3&amp;"*",
  unit_details[Leased Date], "&gt;=" &amp; ($X$2 - $AD$3)
),0)</f>
        <v>0</v>
      </c>
      <c r="AE65" s="734" cm="1">
        <f t="array" aca="true" ref="AE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5" s="733" cm="1">
        <f t="array" aca="true" ref="AF65" ca="true">IFERROR(COUNTIFS(
  unit_details[Property Name], INDIRECT("B"&amp;ROW()),
  unit_details[Floorplan Name], INDIRECT("C"&amp;ROW()),
  unit_details[Beds], INDIRECT("D"&amp;ROW()),
  unit_details[Detected Unit Amenities], "&lt;&gt;*"&amp;$AB$3&amp;"*",
  unit_details[Leased Date], "&gt;=" &amp; ($X$2 - $AD$3)
),0)</f>
        <v>0</v>
      </c>
      <c r="AG65" s="735"/>
      <c r="AH65" s="738">
        <f t="shared" ca="true" si="2"/>
        <v>0</v>
      </c>
      <c r="AI65" s="739">
        <f t="shared" ca="true" si="3"/>
        <v>0</v>
      </c>
    </row>
    <row r="66" spans="2:35">
      <c r="B66" s="1" t="s">
        <v>1221</v>
      </c>
      <c r="C66" s="80" t="s">
        <v>1312</v>
      </c>
      <c r="D66" s="4">
        <v>2</v>
      </c>
      <c r="E66" s="303">
        <v>1</v>
      </c>
      <c r="F66" s="303"/>
      <c r="G66" s="4">
        <v>15</v>
      </c>
      <c r="H66" s="4">
        <v>37.375</v>
      </c>
      <c r="I66" s="4">
        <v>750</v>
      </c>
      <c r="J66" s="345">
        <v>1487.5</v>
      </c>
      <c r="K66" s="6">
        <v>1.9833333333333334</v>
      </c>
      <c r="L66" s="5">
        <v>1484.375</v>
      </c>
      <c r="M66" s="6">
        <v>1.9791666666666667</v>
      </c>
      <c r="N66" s="738" t="str" cm="1">
        <f t="array" aca="true" ref="N66" ca="true">IFERROR(IF($O$3="Chunk Rent",
AVERAGEIFS('Unit-Level Data'!$O:$O,'Unit-Level Data'!$M:$M,TRUE,
          'Unit-Level Data'!$D:$D, INDIRECT("C"&amp;ROW()),
          'Unit-Level Data'!$B:$B, INDIRECT("B"&amp;ROW())),
AVERAGEIFS('Unit-Level Data'!$P:$P,'Unit-Level Data'!$M:$M,TRUE,
          'Unit-Level Data'!$D:$D, INDIRECT("C"&amp;ROW()),
          'Unit-Level Data'!$B:$B, INDIRECT("B"&amp;ROW()))),"")</f>
      </c>
      <c r="O66" s="760" t="str" cm="1">
        <f t="array" aca="true" ref="O66" ca="true">IFERROR(IF($O$3="Chunk Rent",
AVERAGEIFS('Unit-Level Data'!$Q:$Q,'Unit-Level Data'!$M:$M,TRUE,
          'Unit-Level Data'!$D:$D, INDIRECT("C"&amp;ROW()),
          'Unit-Level Data'!$B:$B, INDIRECT("B"&amp;ROW())),
AVERAGEIFS('Unit-Level Data'!$R:$R,'Unit-Level Data'!$M:$M,TRUE,
          'Unit-Level Data'!$D:$D, INDIRECT("C"&amp;ROW()),
          'Unit-Level Data'!$B:$B, INDIRECT("B"&amp;ROW()))),"")</f>
      </c>
      <c r="P66" s="733" cm="1">
        <f t="array" aca="true" ref="P66" ca="true">COUNTIFS('Unit-Level Data'!$M:$M,TRUE,
          'Unit-Level Data'!$D:$D, INDIRECT("C"&amp;ROW()),
          'Unit-Level Data'!$B:$B, INDIRECT("B"&amp;ROW()))</f>
        <v>0</v>
      </c>
      <c r="Q66" s="738" t="str" cm="1">
        <f t="array" aca="true" ref="Q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6" s="760" t="str" cm="1">
        <f t="array" aca="true" ref="R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6" s="733" cm="1">
        <f t="array" aca="true" ref="S66" ca="true">COUNTIFS('Unit-Level Data'!$L:$L, "&gt;=" &amp; ($X$2 - Q$5),
          'Unit-Level Data'!$L:$L, "&lt;" &amp; $X$2,
          'Unit-Level Data'!$D:$D, INDIRECT("C"&amp;ROW()),
          'Unit-Level Data'!$B:$B, INDIRECT("B"&amp;ROW()))</f>
        <v>0</v>
      </c>
      <c r="T66" s="738" t="str" cm="1">
        <f t="array" aca="true" ref="T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6" s="760" t="str" cm="1">
        <f t="array" aca="true" ref="U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6" s="733" cm="1">
        <f t="array" aca="true" ref="V66" ca="true">COUNTIFS('Unit-Level Data'!$L:$L, "&gt;=" &amp; ($X$2 - T$5),
          'Unit-Level Data'!$L:$L, "&lt;" &amp; $X$2,
          'Unit-Level Data'!$D:$D, INDIRECT("C"&amp;ROW()),
          'Unit-Level Data'!$B:$B, INDIRECT("B"&amp;ROW()))</f>
        <v>0</v>
      </c>
      <c r="W66" s="738" t="str" cm="1">
        <f t="array" aca="true" ref="W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6" s="760" t="str" cm="1">
        <f t="array" aca="true" ref="X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6" s="733" cm="1">
        <f t="array" aca="true" ref="Y66" ca="true">COUNTIFS('Unit-Level Data'!$L:$L, "&gt;=" &amp; ($X$2 - W$5),
          'Unit-Level Data'!$L:$L, "&lt;" &amp; $X$2,
          'Unit-Level Data'!$D:$D, INDIRECT("C"&amp;ROW()),
          'Unit-Level Data'!$B:$B, INDIRECT("B"&amp;ROW()))</f>
        <v>0</v>
      </c>
      <c r="Z66" s="761"/>
      <c r="AA66" s="735" cm="1">
        <f t="array" aca="true" ref="AA66" ca="true">IFERROR(AVERAGEIFS(
  unit_details[Sqft],
  unit_details[Property Name], INDIRECT("B"&amp;ROW()),
  unit_details[Floorplan Name], INDIRECT("C"&amp;ROW()),
  unit_details[Beds], INDIRECT("D"&amp;ROW()),
  unit_details[Detected Unit Amenities], "*"&amp;$AB$3&amp;"*",
  unit_details[Leased Date], "&gt;=" &amp; ($X$2 - $AD$3)
),0)</f>
        <v>0</v>
      </c>
      <c r="AB66" s="734" cm="1">
        <f t="array" aca="true" ref="AB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6" s="733" cm="1">
        <f t="array" aca="true" ref="AC66" ca="true">IFERROR(COUNTIFS(
  unit_details[Property Name], INDIRECT("B"&amp;ROW()),
  unit_details[Floorplan Name], INDIRECT("C"&amp;ROW()),
  unit_details[Beds], INDIRECT("D"&amp;ROW()),
  unit_details[Detected Unit Amenities], "*"&amp;$AB$3&amp;"*",
  unit_details[Leased Date], "&gt;=" &amp; ($X$2 - $AD$3)
),0)</f>
        <v>0</v>
      </c>
      <c r="AD66" s="735" cm="1">
        <f t="array" aca="true" ref="AD66" ca="true">IFERROR(AVERAGEIFS(
  unit_details[Sqft],
  unit_details[Property Name], INDIRECT("B"&amp;ROW()),
  unit_details[Floorplan Name], INDIRECT("C"&amp;ROW()),
  unit_details[Beds], INDIRECT("D"&amp;ROW()),
  unit_details[Detected Unit Amenities], "&lt;&gt;*"&amp;$AB$3&amp;"*",
  unit_details[Leased Date], "&gt;=" &amp; ($X$2 - $AD$3)
),0)</f>
        <v>0</v>
      </c>
      <c r="AE66" s="734" cm="1">
        <f t="array" aca="true" ref="AE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6" s="733" cm="1">
        <f t="array" aca="true" ref="AF66" ca="true">IFERROR(COUNTIFS(
  unit_details[Property Name], INDIRECT("B"&amp;ROW()),
  unit_details[Floorplan Name], INDIRECT("C"&amp;ROW()),
  unit_details[Beds], INDIRECT("D"&amp;ROW()),
  unit_details[Detected Unit Amenities], "&lt;&gt;*"&amp;$AB$3&amp;"*",
  unit_details[Leased Date], "&gt;=" &amp; ($X$2 - $AD$3)
),0)</f>
        <v>0</v>
      </c>
      <c r="AG66" s="735"/>
      <c r="AH66" s="738">
        <f t="shared" ca="true" si="2"/>
        <v>0</v>
      </c>
      <c r="AI66" s="739">
        <f t="shared" ca="true" si="3"/>
        <v>0</v>
      </c>
    </row>
    <row r="67" spans="2:35">
      <c r="B67" s="1" t="s">
        <v>1221</v>
      </c>
      <c r="C67" s="80" t="s">
        <v>1313</v>
      </c>
      <c r="D67" s="4">
        <v>2</v>
      </c>
      <c r="E67" s="303">
        <v>1</v>
      </c>
      <c r="F67" s="303"/>
      <c r="G67" s="4">
        <v>4</v>
      </c>
      <c r="H67" s="4">
        <v>52.5</v>
      </c>
      <c r="I67" s="4">
        <v>750</v>
      </c>
      <c r="J67" s="345">
        <v>1550</v>
      </c>
      <c r="K67" s="6">
        <v>2.066666666666667</v>
      </c>
      <c r="L67" s="5">
        <v>1550</v>
      </c>
      <c r="M67" s="6">
        <v>2.066666666666667</v>
      </c>
      <c r="N67" s="738" t="str" cm="1">
        <f t="array" aca="true" ref="N67" ca="true">IFERROR(IF($O$3="Chunk Rent",
AVERAGEIFS('Unit-Level Data'!$O:$O,'Unit-Level Data'!$M:$M,TRUE,
          'Unit-Level Data'!$D:$D, INDIRECT("C"&amp;ROW()),
          'Unit-Level Data'!$B:$B, INDIRECT("B"&amp;ROW())),
AVERAGEIFS('Unit-Level Data'!$P:$P,'Unit-Level Data'!$M:$M,TRUE,
          'Unit-Level Data'!$D:$D, INDIRECT("C"&amp;ROW()),
          'Unit-Level Data'!$B:$B, INDIRECT("B"&amp;ROW()))),"")</f>
      </c>
      <c r="O67" s="760" t="str" cm="1">
        <f t="array" aca="true" ref="O67" ca="true">IFERROR(IF($O$3="Chunk Rent",
AVERAGEIFS('Unit-Level Data'!$Q:$Q,'Unit-Level Data'!$M:$M,TRUE,
          'Unit-Level Data'!$D:$D, INDIRECT("C"&amp;ROW()),
          'Unit-Level Data'!$B:$B, INDIRECT("B"&amp;ROW())),
AVERAGEIFS('Unit-Level Data'!$R:$R,'Unit-Level Data'!$M:$M,TRUE,
          'Unit-Level Data'!$D:$D, INDIRECT("C"&amp;ROW()),
          'Unit-Level Data'!$B:$B, INDIRECT("B"&amp;ROW()))),"")</f>
      </c>
      <c r="P67" s="733" cm="1">
        <f t="array" aca="true" ref="P67" ca="true">COUNTIFS('Unit-Level Data'!$M:$M,TRUE,
          'Unit-Level Data'!$D:$D, INDIRECT("C"&amp;ROW()),
          'Unit-Level Data'!$B:$B, INDIRECT("B"&amp;ROW()))</f>
        <v>0</v>
      </c>
      <c r="Q67" s="738" t="str" cm="1">
        <f t="array" aca="true" ref="Q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7" s="760" t="str" cm="1">
        <f t="array" aca="true" ref="R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7" s="733" cm="1">
        <f t="array" aca="true" ref="S67" ca="true">COUNTIFS('Unit-Level Data'!$L:$L, "&gt;=" &amp; ($X$2 - Q$5),
          'Unit-Level Data'!$L:$L, "&lt;" &amp; $X$2,
          'Unit-Level Data'!$D:$D, INDIRECT("C"&amp;ROW()),
          'Unit-Level Data'!$B:$B, INDIRECT("B"&amp;ROW()))</f>
        <v>0</v>
      </c>
      <c r="T67" s="738" t="str" cm="1">
        <f t="array" aca="true" ref="T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7" s="760" t="str" cm="1">
        <f t="array" aca="true" ref="U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7" s="733" cm="1">
        <f t="array" aca="true" ref="V67" ca="true">COUNTIFS('Unit-Level Data'!$L:$L, "&gt;=" &amp; ($X$2 - T$5),
          'Unit-Level Data'!$L:$L, "&lt;" &amp; $X$2,
          'Unit-Level Data'!$D:$D, INDIRECT("C"&amp;ROW()),
          'Unit-Level Data'!$B:$B, INDIRECT("B"&amp;ROW()))</f>
        <v>0</v>
      </c>
      <c r="W67" s="738" t="str" cm="1">
        <f t="array" aca="true" ref="W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7" s="760" t="str" cm="1">
        <f t="array" aca="true" ref="X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7" s="733" cm="1">
        <f t="array" aca="true" ref="Y67" ca="true">COUNTIFS('Unit-Level Data'!$L:$L, "&gt;=" &amp; ($X$2 - W$5),
          'Unit-Level Data'!$L:$L, "&lt;" &amp; $X$2,
          'Unit-Level Data'!$D:$D, INDIRECT("C"&amp;ROW()),
          'Unit-Level Data'!$B:$B, INDIRECT("B"&amp;ROW()))</f>
        <v>0</v>
      </c>
      <c r="Z67" s="761"/>
      <c r="AA67" s="735" cm="1">
        <f t="array" aca="true" ref="AA67" ca="true">IFERROR(AVERAGEIFS(
  unit_details[Sqft],
  unit_details[Property Name], INDIRECT("B"&amp;ROW()),
  unit_details[Floorplan Name], INDIRECT("C"&amp;ROW()),
  unit_details[Beds], INDIRECT("D"&amp;ROW()),
  unit_details[Detected Unit Amenities], "*"&amp;$AB$3&amp;"*",
  unit_details[Leased Date], "&gt;=" &amp; ($X$2 - $AD$3)
),0)</f>
        <v>0</v>
      </c>
      <c r="AB67" s="734" cm="1">
        <f t="array" aca="true" ref="AB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7" s="733" cm="1">
        <f t="array" aca="true" ref="AC67" ca="true">IFERROR(COUNTIFS(
  unit_details[Property Name], INDIRECT("B"&amp;ROW()),
  unit_details[Floorplan Name], INDIRECT("C"&amp;ROW()),
  unit_details[Beds], INDIRECT("D"&amp;ROW()),
  unit_details[Detected Unit Amenities], "*"&amp;$AB$3&amp;"*",
  unit_details[Leased Date], "&gt;=" &amp; ($X$2 - $AD$3)
),0)</f>
        <v>0</v>
      </c>
      <c r="AD67" s="735" cm="1">
        <f t="array" aca="true" ref="AD67" ca="true">IFERROR(AVERAGEIFS(
  unit_details[Sqft],
  unit_details[Property Name], INDIRECT("B"&amp;ROW()),
  unit_details[Floorplan Name], INDIRECT("C"&amp;ROW()),
  unit_details[Beds], INDIRECT("D"&amp;ROW()),
  unit_details[Detected Unit Amenities], "&lt;&gt;*"&amp;$AB$3&amp;"*",
  unit_details[Leased Date], "&gt;=" &amp; ($X$2 - $AD$3)
),0)</f>
        <v>0</v>
      </c>
      <c r="AE67" s="734" cm="1">
        <f t="array" aca="true" ref="AE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7" s="733" cm="1">
        <f t="array" aca="true" ref="AF67" ca="true">IFERROR(COUNTIFS(
  unit_details[Property Name], INDIRECT("B"&amp;ROW()),
  unit_details[Floorplan Name], INDIRECT("C"&amp;ROW()),
  unit_details[Beds], INDIRECT("D"&amp;ROW()),
  unit_details[Detected Unit Amenities], "&lt;&gt;*"&amp;$AB$3&amp;"*",
  unit_details[Leased Date], "&gt;=" &amp; ($X$2 - $AD$3)
),0)</f>
        <v>0</v>
      </c>
      <c r="AG67" s="735"/>
      <c r="AH67" s="738">
        <f t="shared" ca="true" si="2"/>
        <v>0</v>
      </c>
      <c r="AI67" s="739">
        <f t="shared" ca="true" si="3"/>
        <v>0</v>
      </c>
    </row>
    <row r="68" spans="2:35">
      <c r="B68" s="1" t="s">
        <v>1222</v>
      </c>
      <c r="C68" s="80" t="s">
        <v>1252</v>
      </c>
      <c r="D68" s="4">
        <v>1</v>
      </c>
      <c r="E68" s="303">
        <v>1</v>
      </c>
      <c r="F68" s="303"/>
      <c r="G68" s="4">
        <v>7</v>
      </c>
      <c r="H68" s="4">
        <v>56.75</v>
      </c>
      <c r="I68" s="4">
        <v>550</v>
      </c>
      <c r="J68" s="345">
        <v>1319</v>
      </c>
      <c r="K68" s="6">
        <v>2.398181818181818</v>
      </c>
      <c r="L68" s="5">
        <v>1292</v>
      </c>
      <c r="M68" s="6">
        <v>2.349090909090909</v>
      </c>
      <c r="N68" s="738" t="str" cm="1">
        <f t="array" aca="true" ref="N68" ca="true">IFERROR(IF($O$3="Chunk Rent",
AVERAGEIFS('Unit-Level Data'!$O:$O,'Unit-Level Data'!$M:$M,TRUE,
          'Unit-Level Data'!$D:$D, INDIRECT("C"&amp;ROW()),
          'Unit-Level Data'!$B:$B, INDIRECT("B"&amp;ROW())),
AVERAGEIFS('Unit-Level Data'!$P:$P,'Unit-Level Data'!$M:$M,TRUE,
          'Unit-Level Data'!$D:$D, INDIRECT("C"&amp;ROW()),
          'Unit-Level Data'!$B:$B, INDIRECT("B"&amp;ROW()))),"")</f>
      </c>
      <c r="O68" s="760" t="str" cm="1">
        <f t="array" aca="true" ref="O68" ca="true">IFERROR(IF($O$3="Chunk Rent",
AVERAGEIFS('Unit-Level Data'!$Q:$Q,'Unit-Level Data'!$M:$M,TRUE,
          'Unit-Level Data'!$D:$D, INDIRECT("C"&amp;ROW()),
          'Unit-Level Data'!$B:$B, INDIRECT("B"&amp;ROW())),
AVERAGEIFS('Unit-Level Data'!$R:$R,'Unit-Level Data'!$M:$M,TRUE,
          'Unit-Level Data'!$D:$D, INDIRECT("C"&amp;ROW()),
          'Unit-Level Data'!$B:$B, INDIRECT("B"&amp;ROW()))),"")</f>
      </c>
      <c r="P68" s="733" cm="1">
        <f t="array" aca="true" ref="P68" ca="true">COUNTIFS('Unit-Level Data'!$M:$M,TRUE,
          'Unit-Level Data'!$D:$D, INDIRECT("C"&amp;ROW()),
          'Unit-Level Data'!$B:$B, INDIRECT("B"&amp;ROW()))</f>
        <v>0</v>
      </c>
      <c r="Q68" s="738" t="str" cm="1">
        <f t="array" aca="true" ref="Q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8" s="760" t="str" cm="1">
        <f t="array" aca="true" ref="R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8" s="733" cm="1">
        <f t="array" aca="true" ref="S68" ca="true">COUNTIFS('Unit-Level Data'!$L:$L, "&gt;=" &amp; ($X$2 - Q$5),
          'Unit-Level Data'!$L:$L, "&lt;" &amp; $X$2,
          'Unit-Level Data'!$D:$D, INDIRECT("C"&amp;ROW()),
          'Unit-Level Data'!$B:$B, INDIRECT("B"&amp;ROW()))</f>
        <v>0</v>
      </c>
      <c r="T68" s="738" t="str" cm="1">
        <f t="array" aca="true" ref="T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8" s="760" t="str" cm="1">
        <f t="array" aca="true" ref="U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8" s="733" cm="1">
        <f t="array" aca="true" ref="V68" ca="true">COUNTIFS('Unit-Level Data'!$L:$L, "&gt;=" &amp; ($X$2 - T$5),
          'Unit-Level Data'!$L:$L, "&lt;" &amp; $X$2,
          'Unit-Level Data'!$D:$D, INDIRECT("C"&amp;ROW()),
          'Unit-Level Data'!$B:$B, INDIRECT("B"&amp;ROW()))</f>
        <v>0</v>
      </c>
      <c r="W68" s="738" t="str" cm="1">
        <f t="array" aca="true" ref="W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8" s="760" t="str" cm="1">
        <f t="array" aca="true" ref="X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8" s="733" cm="1">
        <f t="array" aca="true" ref="Y68" ca="true">COUNTIFS('Unit-Level Data'!$L:$L, "&gt;=" &amp; ($X$2 - W$5),
          'Unit-Level Data'!$L:$L, "&lt;" &amp; $X$2,
          'Unit-Level Data'!$D:$D, INDIRECT("C"&amp;ROW()),
          'Unit-Level Data'!$B:$B, INDIRECT("B"&amp;ROW()))</f>
        <v>0</v>
      </c>
      <c r="Z68" s="761"/>
      <c r="AA68" s="735" cm="1">
        <f t="array" aca="true" ref="AA68" ca="true">IFERROR(AVERAGEIFS(
  unit_details[Sqft],
  unit_details[Property Name], INDIRECT("B"&amp;ROW()),
  unit_details[Floorplan Name], INDIRECT("C"&amp;ROW()),
  unit_details[Beds], INDIRECT("D"&amp;ROW()),
  unit_details[Detected Unit Amenities], "*"&amp;$AB$3&amp;"*",
  unit_details[Leased Date], "&gt;=" &amp; ($X$2 - $AD$3)
),0)</f>
        <v>0</v>
      </c>
      <c r="AB68" s="734" cm="1">
        <f t="array" aca="true" ref="AB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8" s="733" cm="1">
        <f t="array" aca="true" ref="AC68" ca="true">IFERROR(COUNTIFS(
  unit_details[Property Name], INDIRECT("B"&amp;ROW()),
  unit_details[Floorplan Name], INDIRECT("C"&amp;ROW()),
  unit_details[Beds], INDIRECT("D"&amp;ROW()),
  unit_details[Detected Unit Amenities], "*"&amp;$AB$3&amp;"*",
  unit_details[Leased Date], "&gt;=" &amp; ($X$2 - $AD$3)
),0)</f>
        <v>0</v>
      </c>
      <c r="AD68" s="735" cm="1">
        <f t="array" aca="true" ref="AD68" ca="true">IFERROR(AVERAGEIFS(
  unit_details[Sqft],
  unit_details[Property Name], INDIRECT("B"&amp;ROW()),
  unit_details[Floorplan Name], INDIRECT("C"&amp;ROW()),
  unit_details[Beds], INDIRECT("D"&amp;ROW()),
  unit_details[Detected Unit Amenities], "&lt;&gt;*"&amp;$AB$3&amp;"*",
  unit_details[Leased Date], "&gt;=" &amp; ($X$2 - $AD$3)
),0)</f>
        <v>0</v>
      </c>
      <c r="AE68" s="734" cm="1">
        <f t="array" aca="true" ref="AE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8" s="733" cm="1">
        <f t="array" aca="true" ref="AF68" ca="true">IFERROR(COUNTIFS(
  unit_details[Property Name], INDIRECT("B"&amp;ROW()),
  unit_details[Floorplan Name], INDIRECT("C"&amp;ROW()),
  unit_details[Beds], INDIRECT("D"&amp;ROW()),
  unit_details[Detected Unit Amenities], "&lt;&gt;*"&amp;$AB$3&amp;"*",
  unit_details[Leased Date], "&gt;=" &amp; ($X$2 - $AD$3)
),0)</f>
        <v>0</v>
      </c>
      <c r="AG68" s="735"/>
      <c r="AH68" s="738">
        <f t="shared" ca="true" si="2"/>
        <v>0</v>
      </c>
      <c r="AI68" s="739">
        <f t="shared" ca="true" si="3"/>
        <v>0</v>
      </c>
    </row>
    <row r="69" spans="2:35">
      <c r="B69" s="1" t="s">
        <v>1222</v>
      </c>
      <c r="C69" s="80" t="s">
        <v>1315</v>
      </c>
      <c r="D69" s="4">
        <v>1</v>
      </c>
      <c r="E69" s="303">
        <v>1</v>
      </c>
      <c r="F69" s="303"/>
      <c r="G69" s="4">
        <v>15</v>
      </c>
      <c r="H69" s="4">
        <v>104.5</v>
      </c>
      <c r="I69" s="4">
        <v>550</v>
      </c>
      <c r="J69" s="345">
        <v>1322.3333333333333</v>
      </c>
      <c r="K69" s="6">
        <v>2.4042424242424243</v>
      </c>
      <c r="L69" s="5">
        <v>1297.3333333333333</v>
      </c>
      <c r="M69" s="6">
        <v>2.358787878787879</v>
      </c>
      <c r="N69" s="738" t="str" cm="1">
        <f t="array" aca="true" ref="N69" ca="true">IFERROR(IF($O$3="Chunk Rent",
AVERAGEIFS('Unit-Level Data'!$O:$O,'Unit-Level Data'!$M:$M,TRUE,
          'Unit-Level Data'!$D:$D, INDIRECT("C"&amp;ROW()),
          'Unit-Level Data'!$B:$B, INDIRECT("B"&amp;ROW())),
AVERAGEIFS('Unit-Level Data'!$P:$P,'Unit-Level Data'!$M:$M,TRUE,
          'Unit-Level Data'!$D:$D, INDIRECT("C"&amp;ROW()),
          'Unit-Level Data'!$B:$B, INDIRECT("B"&amp;ROW()))),"")</f>
      </c>
      <c r="O69" s="760" t="str" cm="1">
        <f t="array" aca="true" ref="O69" ca="true">IFERROR(IF($O$3="Chunk Rent",
AVERAGEIFS('Unit-Level Data'!$Q:$Q,'Unit-Level Data'!$M:$M,TRUE,
          'Unit-Level Data'!$D:$D, INDIRECT("C"&amp;ROW()),
          'Unit-Level Data'!$B:$B, INDIRECT("B"&amp;ROW())),
AVERAGEIFS('Unit-Level Data'!$R:$R,'Unit-Level Data'!$M:$M,TRUE,
          'Unit-Level Data'!$D:$D, INDIRECT("C"&amp;ROW()),
          'Unit-Level Data'!$B:$B, INDIRECT("B"&amp;ROW()))),"")</f>
      </c>
      <c r="P69" s="733" cm="1">
        <f t="array" aca="true" ref="P69" ca="true">COUNTIFS('Unit-Level Data'!$M:$M,TRUE,
          'Unit-Level Data'!$D:$D, INDIRECT("C"&amp;ROW()),
          'Unit-Level Data'!$B:$B, INDIRECT("B"&amp;ROW()))</f>
        <v>0</v>
      </c>
      <c r="Q69" s="738" t="str" cm="1">
        <f t="array" aca="true" ref="Q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9" s="760" t="str" cm="1">
        <f t="array" aca="true" ref="R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9" s="733" cm="1">
        <f t="array" aca="true" ref="S69" ca="true">COUNTIFS('Unit-Level Data'!$L:$L, "&gt;=" &amp; ($X$2 - Q$5),
          'Unit-Level Data'!$L:$L, "&lt;" &amp; $X$2,
          'Unit-Level Data'!$D:$D, INDIRECT("C"&amp;ROW()),
          'Unit-Level Data'!$B:$B, INDIRECT("B"&amp;ROW()))</f>
        <v>0</v>
      </c>
      <c r="T69" s="738" t="str" cm="1">
        <f t="array" aca="true" ref="T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9" s="760" t="str" cm="1">
        <f t="array" aca="true" ref="U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9" s="733" cm="1">
        <f t="array" aca="true" ref="V69" ca="true">COUNTIFS('Unit-Level Data'!$L:$L, "&gt;=" &amp; ($X$2 - T$5),
          'Unit-Level Data'!$L:$L, "&lt;" &amp; $X$2,
          'Unit-Level Data'!$D:$D, INDIRECT("C"&amp;ROW()),
          'Unit-Level Data'!$B:$B, INDIRECT("B"&amp;ROW()))</f>
        <v>0</v>
      </c>
      <c r="W69" s="738" t="str" cm="1">
        <f t="array" aca="true" ref="W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9" s="760" t="str" cm="1">
        <f t="array" aca="true" ref="X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9" s="733" cm="1">
        <f t="array" aca="true" ref="Y69" ca="true">COUNTIFS('Unit-Level Data'!$L:$L, "&gt;=" &amp; ($X$2 - W$5),
          'Unit-Level Data'!$L:$L, "&lt;" &amp; $X$2,
          'Unit-Level Data'!$D:$D, INDIRECT("C"&amp;ROW()),
          'Unit-Level Data'!$B:$B, INDIRECT("B"&amp;ROW()))</f>
        <v>0</v>
      </c>
      <c r="Z69" s="761"/>
      <c r="AA69" s="735" cm="1">
        <f t="array" aca="true" ref="AA69" ca="true">IFERROR(AVERAGEIFS(
  unit_details[Sqft],
  unit_details[Property Name], INDIRECT("B"&amp;ROW()),
  unit_details[Floorplan Name], INDIRECT("C"&amp;ROW()),
  unit_details[Beds], INDIRECT("D"&amp;ROW()),
  unit_details[Detected Unit Amenities], "*"&amp;$AB$3&amp;"*",
  unit_details[Leased Date], "&gt;=" &amp; ($X$2 - $AD$3)
),0)</f>
        <v>0</v>
      </c>
      <c r="AB69" s="734" cm="1">
        <f t="array" aca="true" ref="AB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9" s="733" cm="1">
        <f t="array" aca="true" ref="AC69" ca="true">IFERROR(COUNTIFS(
  unit_details[Property Name], INDIRECT("B"&amp;ROW()),
  unit_details[Floorplan Name], INDIRECT("C"&amp;ROW()),
  unit_details[Beds], INDIRECT("D"&amp;ROW()),
  unit_details[Detected Unit Amenities], "*"&amp;$AB$3&amp;"*",
  unit_details[Leased Date], "&gt;=" &amp; ($X$2 - $AD$3)
),0)</f>
        <v>0</v>
      </c>
      <c r="AD69" s="735" cm="1">
        <f t="array" aca="true" ref="AD69" ca="true">IFERROR(AVERAGEIFS(
  unit_details[Sqft],
  unit_details[Property Name], INDIRECT("B"&amp;ROW()),
  unit_details[Floorplan Name], INDIRECT("C"&amp;ROW()),
  unit_details[Beds], INDIRECT("D"&amp;ROW()),
  unit_details[Detected Unit Amenities], "&lt;&gt;*"&amp;$AB$3&amp;"*",
  unit_details[Leased Date], "&gt;=" &amp; ($X$2 - $AD$3)
),0)</f>
        <v>0</v>
      </c>
      <c r="AE69" s="734" cm="1">
        <f t="array" aca="true" ref="AE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9" s="733" cm="1">
        <f t="array" aca="true" ref="AF69" ca="true">IFERROR(COUNTIFS(
  unit_details[Property Name], INDIRECT("B"&amp;ROW()),
  unit_details[Floorplan Name], INDIRECT("C"&amp;ROW()),
  unit_details[Beds], INDIRECT("D"&amp;ROW()),
  unit_details[Detected Unit Amenities], "&lt;&gt;*"&amp;$AB$3&amp;"*",
  unit_details[Leased Date], "&gt;=" &amp; ($X$2 - $AD$3)
),0)</f>
        <v>0</v>
      </c>
      <c r="AG69" s="735"/>
      <c r="AH69" s="738">
        <f t="shared" ca="true" si="2"/>
        <v>0</v>
      </c>
      <c r="AI69" s="739">
        <f t="shared" ca="true" si="3"/>
        <v>0</v>
      </c>
    </row>
    <row r="70" spans="2:35">
      <c r="B70" s="1" t="s">
        <v>1222</v>
      </c>
      <c r="C70" s="80" t="s">
        <v>1316</v>
      </c>
      <c r="D70" s="4">
        <v>2</v>
      </c>
      <c r="E70" s="303">
        <v>1</v>
      </c>
      <c r="F70" s="303"/>
      <c r="G70" s="4">
        <v>76</v>
      </c>
      <c r="H70" s="4">
        <v>63.52272727272727</v>
      </c>
      <c r="I70" s="4">
        <v>630</v>
      </c>
      <c r="J70" s="345">
        <v>1406</v>
      </c>
      <c r="K70" s="6">
        <v>2.231746031746032</v>
      </c>
      <c r="L70" s="5">
        <v>1351.6444444444444</v>
      </c>
      <c r="M70" s="6">
        <v>2.1454673721340387</v>
      </c>
      <c r="N70" s="738" t="str" cm="1">
        <f t="array" aca="true" ref="N70" ca="true">IFERROR(IF($O$3="Chunk Rent",
AVERAGEIFS('Unit-Level Data'!$O:$O,'Unit-Level Data'!$M:$M,TRUE,
          'Unit-Level Data'!$D:$D, INDIRECT("C"&amp;ROW()),
          'Unit-Level Data'!$B:$B, INDIRECT("B"&amp;ROW())),
AVERAGEIFS('Unit-Level Data'!$P:$P,'Unit-Level Data'!$M:$M,TRUE,
          'Unit-Level Data'!$D:$D, INDIRECT("C"&amp;ROW()),
          'Unit-Level Data'!$B:$B, INDIRECT("B"&amp;ROW()))),"")</f>
      </c>
      <c r="O70" s="760" t="str" cm="1">
        <f t="array" aca="true" ref="O70" ca="true">IFERROR(IF($O$3="Chunk Rent",
AVERAGEIFS('Unit-Level Data'!$Q:$Q,'Unit-Level Data'!$M:$M,TRUE,
          'Unit-Level Data'!$D:$D, INDIRECT("C"&amp;ROW()),
          'Unit-Level Data'!$B:$B, INDIRECT("B"&amp;ROW())),
AVERAGEIFS('Unit-Level Data'!$R:$R,'Unit-Level Data'!$M:$M,TRUE,
          'Unit-Level Data'!$D:$D, INDIRECT("C"&amp;ROW()),
          'Unit-Level Data'!$B:$B, INDIRECT("B"&amp;ROW()))),"")</f>
      </c>
      <c r="P70" s="733" cm="1">
        <f t="array" aca="true" ref="P70" ca="true">COUNTIFS('Unit-Level Data'!$M:$M,TRUE,
          'Unit-Level Data'!$D:$D, INDIRECT("C"&amp;ROW()),
          'Unit-Level Data'!$B:$B, INDIRECT("B"&amp;ROW()))</f>
        <v>0</v>
      </c>
      <c r="Q70" s="738" t="str" cm="1">
        <f t="array" aca="true" ref="Q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0" s="760" t="str" cm="1">
        <f t="array" aca="true" ref="R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0" s="733" cm="1">
        <f t="array" aca="true" ref="S70" ca="true">COUNTIFS('Unit-Level Data'!$L:$L, "&gt;=" &amp; ($X$2 - Q$5),
          'Unit-Level Data'!$L:$L, "&lt;" &amp; $X$2,
          'Unit-Level Data'!$D:$D, INDIRECT("C"&amp;ROW()),
          'Unit-Level Data'!$B:$B, INDIRECT("B"&amp;ROW()))</f>
        <v>0</v>
      </c>
      <c r="T70" s="738" t="str" cm="1">
        <f t="array" aca="true" ref="T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0" s="760" t="str" cm="1">
        <f t="array" aca="true" ref="U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0" s="733" cm="1">
        <f t="array" aca="true" ref="V70" ca="true">COUNTIFS('Unit-Level Data'!$L:$L, "&gt;=" &amp; ($X$2 - T$5),
          'Unit-Level Data'!$L:$L, "&lt;" &amp; $X$2,
          'Unit-Level Data'!$D:$D, INDIRECT("C"&amp;ROW()),
          'Unit-Level Data'!$B:$B, INDIRECT("B"&amp;ROW()))</f>
        <v>0</v>
      </c>
      <c r="W70" s="738" t="str" cm="1">
        <f t="array" aca="true" ref="W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0" s="760" t="str" cm="1">
        <f t="array" aca="true" ref="X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0" s="733" cm="1">
        <f t="array" aca="true" ref="Y70" ca="true">COUNTIFS('Unit-Level Data'!$L:$L, "&gt;=" &amp; ($X$2 - W$5),
          'Unit-Level Data'!$L:$L, "&lt;" &amp; $X$2,
          'Unit-Level Data'!$D:$D, INDIRECT("C"&amp;ROW()),
          'Unit-Level Data'!$B:$B, INDIRECT("B"&amp;ROW()))</f>
        <v>0</v>
      </c>
      <c r="Z70" s="761"/>
      <c r="AA70" s="735" cm="1">
        <f t="array" aca="true" ref="AA70" ca="true">IFERROR(AVERAGEIFS(
  unit_details[Sqft],
  unit_details[Property Name], INDIRECT("B"&amp;ROW()),
  unit_details[Floorplan Name], INDIRECT("C"&amp;ROW()),
  unit_details[Beds], INDIRECT("D"&amp;ROW()),
  unit_details[Detected Unit Amenities], "*"&amp;$AB$3&amp;"*",
  unit_details[Leased Date], "&gt;=" &amp; ($X$2 - $AD$3)
),0)</f>
        <v>0</v>
      </c>
      <c r="AB70" s="734" cm="1">
        <f t="array" aca="true" ref="AB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0" s="733" cm="1">
        <f t="array" aca="true" ref="AC70" ca="true">IFERROR(COUNTIFS(
  unit_details[Property Name], INDIRECT("B"&amp;ROW()),
  unit_details[Floorplan Name], INDIRECT("C"&amp;ROW()),
  unit_details[Beds], INDIRECT("D"&amp;ROW()),
  unit_details[Detected Unit Amenities], "*"&amp;$AB$3&amp;"*",
  unit_details[Leased Date], "&gt;=" &amp; ($X$2 - $AD$3)
),0)</f>
        <v>0</v>
      </c>
      <c r="AD70" s="735" cm="1">
        <f t="array" aca="true" ref="AD70" ca="true">IFERROR(AVERAGEIFS(
  unit_details[Sqft],
  unit_details[Property Name], INDIRECT("B"&amp;ROW()),
  unit_details[Floorplan Name], INDIRECT("C"&amp;ROW()),
  unit_details[Beds], INDIRECT("D"&amp;ROW()),
  unit_details[Detected Unit Amenities], "&lt;&gt;*"&amp;$AB$3&amp;"*",
  unit_details[Leased Date], "&gt;=" &amp; ($X$2 - $AD$3)
),0)</f>
        <v>0</v>
      </c>
      <c r="AE70" s="734" cm="1">
        <f t="array" aca="true" ref="AE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0" s="733" cm="1">
        <f t="array" aca="true" ref="AF70" ca="true">IFERROR(COUNTIFS(
  unit_details[Property Name], INDIRECT("B"&amp;ROW()),
  unit_details[Floorplan Name], INDIRECT("C"&amp;ROW()),
  unit_details[Beds], INDIRECT("D"&amp;ROW()),
  unit_details[Detected Unit Amenities], "&lt;&gt;*"&amp;$AB$3&amp;"*",
  unit_details[Leased Date], "&gt;=" &amp; ($X$2 - $AD$3)
),0)</f>
        <v>0</v>
      </c>
      <c r="AG70" s="735"/>
      <c r="AH70" s="738">
        <f t="shared" ca="true" si="2"/>
        <v>0</v>
      </c>
      <c r="AI70" s="739">
        <f t="shared" ca="true" si="3"/>
        <v>0</v>
      </c>
    </row>
    <row r="71" spans="2:35">
      <c r="B71" s="1" t="s">
        <v>1222</v>
      </c>
      <c r="C71" s="80" t="s">
        <v>1254</v>
      </c>
      <c r="D71" s="4">
        <v>2</v>
      </c>
      <c r="E71" s="303">
        <v>1</v>
      </c>
      <c r="F71" s="303"/>
      <c r="G71" s="4">
        <v>7</v>
      </c>
      <c r="H71" s="4">
        <v>52.75</v>
      </c>
      <c r="I71" s="4">
        <v>630</v>
      </c>
      <c r="J71" s="345">
        <v>1356.5</v>
      </c>
      <c r="K71" s="6">
        <v>2.153174603174603</v>
      </c>
      <c r="L71" s="5">
        <v>1329</v>
      </c>
      <c r="M71" s="6">
        <v>2.1095238095238096</v>
      </c>
      <c r="N71" s="738" t="str" cm="1">
        <f t="array" aca="true" ref="N71" ca="true">IFERROR(IF($O$3="Chunk Rent",
AVERAGEIFS('Unit-Level Data'!$O:$O,'Unit-Level Data'!$M:$M,TRUE,
          'Unit-Level Data'!$D:$D, INDIRECT("C"&amp;ROW()),
          'Unit-Level Data'!$B:$B, INDIRECT("B"&amp;ROW())),
AVERAGEIFS('Unit-Level Data'!$P:$P,'Unit-Level Data'!$M:$M,TRUE,
          'Unit-Level Data'!$D:$D, INDIRECT("C"&amp;ROW()),
          'Unit-Level Data'!$B:$B, INDIRECT("B"&amp;ROW()))),"")</f>
      </c>
      <c r="O71" s="760" t="str" cm="1">
        <f t="array" aca="true" ref="O71" ca="true">IFERROR(IF($O$3="Chunk Rent",
AVERAGEIFS('Unit-Level Data'!$Q:$Q,'Unit-Level Data'!$M:$M,TRUE,
          'Unit-Level Data'!$D:$D, INDIRECT("C"&amp;ROW()),
          'Unit-Level Data'!$B:$B, INDIRECT("B"&amp;ROW())),
AVERAGEIFS('Unit-Level Data'!$R:$R,'Unit-Level Data'!$M:$M,TRUE,
          'Unit-Level Data'!$D:$D, INDIRECT("C"&amp;ROW()),
          'Unit-Level Data'!$B:$B, INDIRECT("B"&amp;ROW()))),"")</f>
      </c>
      <c r="P71" s="733" cm="1">
        <f t="array" aca="true" ref="P71" ca="true">COUNTIFS('Unit-Level Data'!$M:$M,TRUE,
          'Unit-Level Data'!$D:$D, INDIRECT("C"&amp;ROW()),
          'Unit-Level Data'!$B:$B, INDIRECT("B"&amp;ROW()))</f>
        <v>0</v>
      </c>
      <c r="Q71" s="738" t="str" cm="1">
        <f t="array" aca="true" ref="Q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1" s="760" t="str" cm="1">
        <f t="array" aca="true" ref="R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1" s="733" cm="1">
        <f t="array" aca="true" ref="S71" ca="true">COUNTIFS('Unit-Level Data'!$L:$L, "&gt;=" &amp; ($X$2 - Q$5),
          'Unit-Level Data'!$L:$L, "&lt;" &amp; $X$2,
          'Unit-Level Data'!$D:$D, INDIRECT("C"&amp;ROW()),
          'Unit-Level Data'!$B:$B, INDIRECT("B"&amp;ROW()))</f>
        <v>0</v>
      </c>
      <c r="T71" s="738" t="str" cm="1">
        <f t="array" aca="true" ref="T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1" s="760" t="str" cm="1">
        <f t="array" aca="true" ref="U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1" s="733" cm="1">
        <f t="array" aca="true" ref="V71" ca="true">COUNTIFS('Unit-Level Data'!$L:$L, "&gt;=" &amp; ($X$2 - T$5),
          'Unit-Level Data'!$L:$L, "&lt;" &amp; $X$2,
          'Unit-Level Data'!$D:$D, INDIRECT("C"&amp;ROW()),
          'Unit-Level Data'!$B:$B, INDIRECT("B"&amp;ROW()))</f>
        <v>0</v>
      </c>
      <c r="W71" s="738" t="str" cm="1">
        <f t="array" aca="true" ref="W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1" s="760" t="str" cm="1">
        <f t="array" aca="true" ref="X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1" s="733" cm="1">
        <f t="array" aca="true" ref="Y71" ca="true">COUNTIFS('Unit-Level Data'!$L:$L, "&gt;=" &amp; ($X$2 - W$5),
          'Unit-Level Data'!$L:$L, "&lt;" &amp; $X$2,
          'Unit-Level Data'!$D:$D, INDIRECT("C"&amp;ROW()),
          'Unit-Level Data'!$B:$B, INDIRECT("B"&amp;ROW()))</f>
        <v>0</v>
      </c>
      <c r="Z71" s="761"/>
      <c r="AA71" s="735" cm="1">
        <f t="array" aca="true" ref="AA71" ca="true">IFERROR(AVERAGEIFS(
  unit_details[Sqft],
  unit_details[Property Name], INDIRECT("B"&amp;ROW()),
  unit_details[Floorplan Name], INDIRECT("C"&amp;ROW()),
  unit_details[Beds], INDIRECT("D"&amp;ROW()),
  unit_details[Detected Unit Amenities], "*"&amp;$AB$3&amp;"*",
  unit_details[Leased Date], "&gt;=" &amp; ($X$2 - $AD$3)
),0)</f>
        <v>0</v>
      </c>
      <c r="AB71" s="734" cm="1">
        <f t="array" aca="true" ref="AB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1" s="733" cm="1">
        <f t="array" aca="true" ref="AC71" ca="true">IFERROR(COUNTIFS(
  unit_details[Property Name], INDIRECT("B"&amp;ROW()),
  unit_details[Floorplan Name], INDIRECT("C"&amp;ROW()),
  unit_details[Beds], INDIRECT("D"&amp;ROW()),
  unit_details[Detected Unit Amenities], "*"&amp;$AB$3&amp;"*",
  unit_details[Leased Date], "&gt;=" &amp; ($X$2 - $AD$3)
),0)</f>
        <v>0</v>
      </c>
      <c r="AD71" s="735" cm="1">
        <f t="array" aca="true" ref="AD71" ca="true">IFERROR(AVERAGEIFS(
  unit_details[Sqft],
  unit_details[Property Name], INDIRECT("B"&amp;ROW()),
  unit_details[Floorplan Name], INDIRECT("C"&amp;ROW()),
  unit_details[Beds], INDIRECT("D"&amp;ROW()),
  unit_details[Detected Unit Amenities], "&lt;&gt;*"&amp;$AB$3&amp;"*",
  unit_details[Leased Date], "&gt;=" &amp; ($X$2 - $AD$3)
),0)</f>
        <v>0</v>
      </c>
      <c r="AE71" s="734" cm="1">
        <f t="array" aca="true" ref="AE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1" s="733" cm="1">
        <f t="array" aca="true" ref="AF71" ca="true">IFERROR(COUNTIFS(
  unit_details[Property Name], INDIRECT("B"&amp;ROW()),
  unit_details[Floorplan Name], INDIRECT("C"&amp;ROW()),
  unit_details[Beds], INDIRECT("D"&amp;ROW()),
  unit_details[Detected Unit Amenities], "&lt;&gt;*"&amp;$AB$3&amp;"*",
  unit_details[Leased Date], "&gt;=" &amp; ($X$2 - $AD$3)
),0)</f>
        <v>0</v>
      </c>
      <c r="AG71" s="735"/>
      <c r="AH71" s="738">
        <f t="shared" ca="true" si="2"/>
        <v>0</v>
      </c>
      <c r="AI71" s="739">
        <f t="shared" ca="true" si="3"/>
        <v>0</v>
      </c>
    </row>
    <row r="72" spans="2:35">
      <c r="B72" s="1" t="s">
        <v>1222</v>
      </c>
      <c r="C72" s="80" t="s">
        <v>1317</v>
      </c>
      <c r="D72" s="4">
        <v>2</v>
      </c>
      <c r="E72" s="303">
        <v>1</v>
      </c>
      <c r="F72" s="303"/>
      <c r="G72" s="4">
        <v>63</v>
      </c>
      <c r="H72" s="4">
        <v>68.71428571428571</v>
      </c>
      <c r="I72" s="4">
        <v>630</v>
      </c>
      <c r="J72" s="345">
        <v>1457.6486486486488</v>
      </c>
      <c r="K72" s="6">
        <v>2.3137280137280136</v>
      </c>
      <c r="L72" s="5">
        <v>1428.4864864864865</v>
      </c>
      <c r="M72" s="6">
        <v>2.2674388674388672</v>
      </c>
      <c r="N72" s="738" t="str" cm="1">
        <f t="array" aca="true" ref="N72" ca="true">IFERROR(IF($O$3="Chunk Rent",
AVERAGEIFS('Unit-Level Data'!$O:$O,'Unit-Level Data'!$M:$M,TRUE,
          'Unit-Level Data'!$D:$D, INDIRECT("C"&amp;ROW()),
          'Unit-Level Data'!$B:$B, INDIRECT("B"&amp;ROW())),
AVERAGEIFS('Unit-Level Data'!$P:$P,'Unit-Level Data'!$M:$M,TRUE,
          'Unit-Level Data'!$D:$D, INDIRECT("C"&amp;ROW()),
          'Unit-Level Data'!$B:$B, INDIRECT("B"&amp;ROW()))),"")</f>
      </c>
      <c r="O72" s="760" t="str" cm="1">
        <f t="array" aca="true" ref="O72" ca="true">IFERROR(IF($O$3="Chunk Rent",
AVERAGEIFS('Unit-Level Data'!$Q:$Q,'Unit-Level Data'!$M:$M,TRUE,
          'Unit-Level Data'!$D:$D, INDIRECT("C"&amp;ROW()),
          'Unit-Level Data'!$B:$B, INDIRECT("B"&amp;ROW())),
AVERAGEIFS('Unit-Level Data'!$R:$R,'Unit-Level Data'!$M:$M,TRUE,
          'Unit-Level Data'!$D:$D, INDIRECT("C"&amp;ROW()),
          'Unit-Level Data'!$B:$B, INDIRECT("B"&amp;ROW()))),"")</f>
      </c>
      <c r="P72" s="733" cm="1">
        <f t="array" aca="true" ref="P72" ca="true">COUNTIFS('Unit-Level Data'!$M:$M,TRUE,
          'Unit-Level Data'!$D:$D, INDIRECT("C"&amp;ROW()),
          'Unit-Level Data'!$B:$B, INDIRECT("B"&amp;ROW()))</f>
        <v>0</v>
      </c>
      <c r="Q72" s="738" t="str" cm="1">
        <f t="array" aca="true" ref="Q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2" s="760" t="str" cm="1">
        <f t="array" aca="true" ref="R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2" s="733" cm="1">
        <f t="array" aca="true" ref="S72" ca="true">COUNTIFS('Unit-Level Data'!$L:$L, "&gt;=" &amp; ($X$2 - Q$5),
          'Unit-Level Data'!$L:$L, "&lt;" &amp; $X$2,
          'Unit-Level Data'!$D:$D, INDIRECT("C"&amp;ROW()),
          'Unit-Level Data'!$B:$B, INDIRECT("B"&amp;ROW()))</f>
        <v>0</v>
      </c>
      <c r="T72" s="738" t="str" cm="1">
        <f t="array" aca="true" ref="T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2" s="760" t="str" cm="1">
        <f t="array" aca="true" ref="U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2" s="733" cm="1">
        <f t="array" aca="true" ref="V72" ca="true">COUNTIFS('Unit-Level Data'!$L:$L, "&gt;=" &amp; ($X$2 - T$5),
          'Unit-Level Data'!$L:$L, "&lt;" &amp; $X$2,
          'Unit-Level Data'!$D:$D, INDIRECT("C"&amp;ROW()),
          'Unit-Level Data'!$B:$B, INDIRECT("B"&amp;ROW()))</f>
        <v>0</v>
      </c>
      <c r="W72" s="738" t="str" cm="1">
        <f t="array" aca="true" ref="W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2" s="760" t="str" cm="1">
        <f t="array" aca="true" ref="X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2" s="733" cm="1">
        <f t="array" aca="true" ref="Y72" ca="true">COUNTIFS('Unit-Level Data'!$L:$L, "&gt;=" &amp; ($X$2 - W$5),
          'Unit-Level Data'!$L:$L, "&lt;" &amp; $X$2,
          'Unit-Level Data'!$D:$D, INDIRECT("C"&amp;ROW()),
          'Unit-Level Data'!$B:$B, INDIRECT("B"&amp;ROW()))</f>
        <v>0</v>
      </c>
      <c r="Z72" s="761"/>
      <c r="AA72" s="735" cm="1">
        <f t="array" aca="true" ref="AA72" ca="true">IFERROR(AVERAGEIFS(
  unit_details[Sqft],
  unit_details[Property Name], INDIRECT("B"&amp;ROW()),
  unit_details[Floorplan Name], INDIRECT("C"&amp;ROW()),
  unit_details[Beds], INDIRECT("D"&amp;ROW()),
  unit_details[Detected Unit Amenities], "*"&amp;$AB$3&amp;"*",
  unit_details[Leased Date], "&gt;=" &amp; ($X$2 - $AD$3)
),0)</f>
        <v>0</v>
      </c>
      <c r="AB72" s="734" cm="1">
        <f t="array" aca="true" ref="AB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2" s="733" cm="1">
        <f t="array" aca="true" ref="AC72" ca="true">IFERROR(COUNTIFS(
  unit_details[Property Name], INDIRECT("B"&amp;ROW()),
  unit_details[Floorplan Name], INDIRECT("C"&amp;ROW()),
  unit_details[Beds], INDIRECT("D"&amp;ROW()),
  unit_details[Detected Unit Amenities], "*"&amp;$AB$3&amp;"*",
  unit_details[Leased Date], "&gt;=" &amp; ($X$2 - $AD$3)
),0)</f>
        <v>0</v>
      </c>
      <c r="AD72" s="735" cm="1">
        <f t="array" aca="true" ref="AD72" ca="true">IFERROR(AVERAGEIFS(
  unit_details[Sqft],
  unit_details[Property Name], INDIRECT("B"&amp;ROW()),
  unit_details[Floorplan Name], INDIRECT("C"&amp;ROW()),
  unit_details[Beds], INDIRECT("D"&amp;ROW()),
  unit_details[Detected Unit Amenities], "&lt;&gt;*"&amp;$AB$3&amp;"*",
  unit_details[Leased Date], "&gt;=" &amp; ($X$2 - $AD$3)
),0)</f>
        <v>0</v>
      </c>
      <c r="AE72" s="734" cm="1">
        <f t="array" aca="true" ref="AE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2" s="733" cm="1">
        <f t="array" aca="true" ref="AF72" ca="true">IFERROR(COUNTIFS(
  unit_details[Property Name], INDIRECT("B"&amp;ROW()),
  unit_details[Floorplan Name], INDIRECT("C"&amp;ROW()),
  unit_details[Beds], INDIRECT("D"&amp;ROW()),
  unit_details[Detected Unit Amenities], "&lt;&gt;*"&amp;$AB$3&amp;"*",
  unit_details[Leased Date], "&gt;=" &amp; ($X$2 - $AD$3)
),0)</f>
        <v>0</v>
      </c>
      <c r="AG72" s="735"/>
      <c r="AH72" s="738">
        <f t="shared" ca="true" si="2"/>
        <v>0</v>
      </c>
      <c r="AI72" s="739">
        <f t="shared" ca="true" si="3"/>
        <v>0</v>
      </c>
    </row>
    <row r="73" spans="2:35">
      <c r="B73" s="1"/>
      <c r="C73" s="80"/>
      <c r="E73" s="303"/>
      <c r="F73" s="303"/>
      <c r="J73" s="345"/>
      <c r="K73" s="6"/>
      <c r="M73" s="6"/>
      <c r="N73" s="738" t="str" cm="1">
        <f t="array" aca="true" ref="N73" ca="true">IFERROR(IF($O$3="Chunk Rent",
AVERAGEIFS('Unit-Level Data'!$O:$O,'Unit-Level Data'!$M:$M,TRUE,
          'Unit-Level Data'!$D:$D, INDIRECT("C"&amp;ROW()),
          'Unit-Level Data'!$B:$B, INDIRECT("B"&amp;ROW())),
AVERAGEIFS('Unit-Level Data'!$P:$P,'Unit-Level Data'!$M:$M,TRUE,
          'Unit-Level Data'!$D:$D, INDIRECT("C"&amp;ROW()),
          'Unit-Level Data'!$B:$B, INDIRECT("B"&amp;ROW()))),"")</f>
      </c>
      <c r="O73" s="760" t="str" cm="1">
        <f t="array" aca="true" ref="O73" ca="true">IFERROR(IF($O$3="Chunk Rent",
AVERAGEIFS('Unit-Level Data'!$Q:$Q,'Unit-Level Data'!$M:$M,TRUE,
          'Unit-Level Data'!$D:$D, INDIRECT("C"&amp;ROW()),
          'Unit-Level Data'!$B:$B, INDIRECT("B"&amp;ROW())),
AVERAGEIFS('Unit-Level Data'!$R:$R,'Unit-Level Data'!$M:$M,TRUE,
          'Unit-Level Data'!$D:$D, INDIRECT("C"&amp;ROW()),
          'Unit-Level Data'!$B:$B, INDIRECT("B"&amp;ROW()))),"")</f>
      </c>
      <c r="P73" s="733" cm="1">
        <f t="array" aca="true" ref="P73" ca="true">COUNTIFS('Unit-Level Data'!$M:$M,TRUE,
          'Unit-Level Data'!$D:$D, INDIRECT("C"&amp;ROW()),
          'Unit-Level Data'!$B:$B, INDIRECT("B"&amp;ROW()))</f>
        <v>0</v>
      </c>
      <c r="Q73" s="738" t="str" cm="1">
        <f t="array" aca="true" ref="Q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3" s="760" t="str" cm="1">
        <f t="array" aca="true" ref="R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3" s="733" cm="1">
        <f t="array" aca="true" ref="S73" ca="true">COUNTIFS('Unit-Level Data'!$L:$L, "&gt;=" &amp; ($X$2 - Q$5),
          'Unit-Level Data'!$L:$L, "&lt;" &amp; $X$2,
          'Unit-Level Data'!$D:$D, INDIRECT("C"&amp;ROW()),
          'Unit-Level Data'!$B:$B, INDIRECT("B"&amp;ROW()))</f>
        <v>0</v>
      </c>
      <c r="T73" s="738" t="str" cm="1">
        <f t="array" aca="true" ref="T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3" s="760" t="str" cm="1">
        <f t="array" aca="true" ref="U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3" s="733" cm="1">
        <f t="array" aca="true" ref="V73" ca="true">COUNTIFS('Unit-Level Data'!$L:$L, "&gt;=" &amp; ($X$2 - T$5),
          'Unit-Level Data'!$L:$L, "&lt;" &amp; $X$2,
          'Unit-Level Data'!$D:$D, INDIRECT("C"&amp;ROW()),
          'Unit-Level Data'!$B:$B, INDIRECT("B"&amp;ROW()))</f>
        <v>0</v>
      </c>
      <c r="W73" s="738" t="str" cm="1">
        <f t="array" aca="true" ref="W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3" s="760" t="str" cm="1">
        <f t="array" aca="true" ref="X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3" s="733" cm="1">
        <f t="array" aca="true" ref="Y73" ca="true">COUNTIFS('Unit-Level Data'!$L:$L, "&gt;=" &amp; ($X$2 - W$5),
          'Unit-Level Data'!$L:$L, "&lt;" &amp; $X$2,
          'Unit-Level Data'!$D:$D, INDIRECT("C"&amp;ROW()),
          'Unit-Level Data'!$B:$B, INDIRECT("B"&amp;ROW()))</f>
        <v>0</v>
      </c>
      <c r="Z73" s="761"/>
      <c r="AA73" s="735" cm="1">
        <f t="array" aca="true" ref="AA73" ca="true">IFERROR(AVERAGEIFS(
  unit_details[Sqft],
  unit_details[Property Name], INDIRECT("B"&amp;ROW()),
  unit_details[Floorplan Name], INDIRECT("C"&amp;ROW()),
  unit_details[Beds], INDIRECT("D"&amp;ROW()),
  unit_details[Detected Unit Amenities], "*"&amp;$AB$3&amp;"*",
  unit_details[Leased Date], "&gt;=" &amp; ($X$2 - $AD$3)
),0)</f>
        <v>0</v>
      </c>
      <c r="AB73" s="734" cm="1">
        <f t="array" aca="true" ref="AB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3" s="733" cm="1">
        <f t="array" aca="true" ref="AC73" ca="true">IFERROR(COUNTIFS(
  unit_details[Property Name], INDIRECT("B"&amp;ROW()),
  unit_details[Floorplan Name], INDIRECT("C"&amp;ROW()),
  unit_details[Beds], INDIRECT("D"&amp;ROW()),
  unit_details[Detected Unit Amenities], "*"&amp;$AB$3&amp;"*",
  unit_details[Leased Date], "&gt;=" &amp; ($X$2 - $AD$3)
),0)</f>
        <v>0</v>
      </c>
      <c r="AD73" s="735" cm="1">
        <f t="array" aca="true" ref="AD73" ca="true">IFERROR(AVERAGEIFS(
  unit_details[Sqft],
  unit_details[Property Name], INDIRECT("B"&amp;ROW()),
  unit_details[Floorplan Name], INDIRECT("C"&amp;ROW()),
  unit_details[Beds], INDIRECT("D"&amp;ROW()),
  unit_details[Detected Unit Amenities], "&lt;&gt;*"&amp;$AB$3&amp;"*",
  unit_details[Leased Date], "&gt;=" &amp; ($X$2 - $AD$3)
),0)</f>
        <v>0</v>
      </c>
      <c r="AE73" s="734" cm="1">
        <f t="array" aca="true" ref="AE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3" s="733" cm="1">
        <f t="array" aca="true" ref="AF73" ca="true">IFERROR(COUNTIFS(
  unit_details[Property Name], INDIRECT("B"&amp;ROW()),
  unit_details[Floorplan Name], INDIRECT("C"&amp;ROW()),
  unit_details[Beds], INDIRECT("D"&amp;ROW()),
  unit_details[Detected Unit Amenities], "&lt;&gt;*"&amp;$AB$3&amp;"*",
  unit_details[Leased Date], "&gt;=" &amp; ($X$2 - $AD$3)
),0)</f>
        <v>0</v>
      </c>
      <c r="AG73" s="735"/>
      <c r="AH73" s="738">
        <f t="shared" ref="AH73:AH136" ca="true" si="4">IF(OR(AB73=0,AE73=0),0,IFERROR(AB73-AE73,0))</f>
        <v>0</v>
      </c>
      <c r="AI73" s="739">
        <f t="shared" ref="AI73:AI136" ca="true" si="5">IFERROR(AH73/AE73,0)</f>
        <v>0</v>
      </c>
    </row>
    <row r="74" spans="2:35">
      <c r="B74" s="1"/>
      <c r="C74" s="80"/>
      <c r="E74" s="303"/>
      <c r="F74" s="303"/>
      <c r="J74" s="345"/>
      <c r="K74" s="6"/>
      <c r="M74" s="6"/>
      <c r="N74" s="738" t="str" cm="1">
        <f t="array" aca="true" ref="N74" ca="true">IFERROR(IF($O$3="Chunk Rent",
AVERAGEIFS('Unit-Level Data'!$O:$O,'Unit-Level Data'!$M:$M,TRUE,
          'Unit-Level Data'!$D:$D, INDIRECT("C"&amp;ROW()),
          'Unit-Level Data'!$B:$B, INDIRECT("B"&amp;ROW())),
AVERAGEIFS('Unit-Level Data'!$P:$P,'Unit-Level Data'!$M:$M,TRUE,
          'Unit-Level Data'!$D:$D, INDIRECT("C"&amp;ROW()),
          'Unit-Level Data'!$B:$B, INDIRECT("B"&amp;ROW()))),"")</f>
      </c>
      <c r="O74" s="760" t="str" cm="1">
        <f t="array" aca="true" ref="O74" ca="true">IFERROR(IF($O$3="Chunk Rent",
AVERAGEIFS('Unit-Level Data'!$Q:$Q,'Unit-Level Data'!$M:$M,TRUE,
          'Unit-Level Data'!$D:$D, INDIRECT("C"&amp;ROW()),
          'Unit-Level Data'!$B:$B, INDIRECT("B"&amp;ROW())),
AVERAGEIFS('Unit-Level Data'!$R:$R,'Unit-Level Data'!$M:$M,TRUE,
          'Unit-Level Data'!$D:$D, INDIRECT("C"&amp;ROW()),
          'Unit-Level Data'!$B:$B, INDIRECT("B"&amp;ROW()))),"")</f>
      </c>
      <c r="P74" s="733" cm="1">
        <f t="array" aca="true" ref="P74" ca="true">COUNTIFS('Unit-Level Data'!$M:$M,TRUE,
          'Unit-Level Data'!$D:$D, INDIRECT("C"&amp;ROW()),
          'Unit-Level Data'!$B:$B, INDIRECT("B"&amp;ROW()))</f>
        <v>0</v>
      </c>
      <c r="Q74" s="738" t="str" cm="1">
        <f t="array" aca="true" ref="Q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4" s="760" t="str" cm="1">
        <f t="array" aca="true" ref="R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4" s="733" cm="1">
        <f t="array" aca="true" ref="S74" ca="true">COUNTIFS('Unit-Level Data'!$L:$L, "&gt;=" &amp; ($X$2 - Q$5),
          'Unit-Level Data'!$L:$L, "&lt;" &amp; $X$2,
          'Unit-Level Data'!$D:$D, INDIRECT("C"&amp;ROW()),
          'Unit-Level Data'!$B:$B, INDIRECT("B"&amp;ROW()))</f>
        <v>0</v>
      </c>
      <c r="T74" s="738" t="str" cm="1">
        <f t="array" aca="true" ref="T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4" s="760" t="str" cm="1">
        <f t="array" aca="true" ref="U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4" s="733" cm="1">
        <f t="array" aca="true" ref="V74" ca="true">COUNTIFS('Unit-Level Data'!$L:$L, "&gt;=" &amp; ($X$2 - T$5),
          'Unit-Level Data'!$L:$L, "&lt;" &amp; $X$2,
          'Unit-Level Data'!$D:$D, INDIRECT("C"&amp;ROW()),
          'Unit-Level Data'!$B:$B, INDIRECT("B"&amp;ROW()))</f>
        <v>0</v>
      </c>
      <c r="W74" s="738" t="str" cm="1">
        <f t="array" aca="true" ref="W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4" s="760" t="str" cm="1">
        <f t="array" aca="true" ref="X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4" s="733" cm="1">
        <f t="array" aca="true" ref="Y74" ca="true">COUNTIFS('Unit-Level Data'!$L:$L, "&gt;=" &amp; ($X$2 - W$5),
          'Unit-Level Data'!$L:$L, "&lt;" &amp; $X$2,
          'Unit-Level Data'!$D:$D, INDIRECT("C"&amp;ROW()),
          'Unit-Level Data'!$B:$B, INDIRECT("B"&amp;ROW()))</f>
        <v>0</v>
      </c>
      <c r="Z74" s="761"/>
      <c r="AA74" s="735" cm="1">
        <f t="array" aca="true" ref="AA74" ca="true">IFERROR(AVERAGEIFS(
  unit_details[Sqft],
  unit_details[Property Name], INDIRECT("B"&amp;ROW()),
  unit_details[Floorplan Name], INDIRECT("C"&amp;ROW()),
  unit_details[Beds], INDIRECT("D"&amp;ROW()),
  unit_details[Detected Unit Amenities], "*"&amp;$AB$3&amp;"*",
  unit_details[Leased Date], "&gt;=" &amp; ($X$2 - $AD$3)
),0)</f>
        <v>0</v>
      </c>
      <c r="AB74" s="734" cm="1">
        <f t="array" aca="true" ref="AB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4" s="733" cm="1">
        <f t="array" aca="true" ref="AC74" ca="true">IFERROR(COUNTIFS(
  unit_details[Property Name], INDIRECT("B"&amp;ROW()),
  unit_details[Floorplan Name], INDIRECT("C"&amp;ROW()),
  unit_details[Beds], INDIRECT("D"&amp;ROW()),
  unit_details[Detected Unit Amenities], "*"&amp;$AB$3&amp;"*",
  unit_details[Leased Date], "&gt;=" &amp; ($X$2 - $AD$3)
),0)</f>
        <v>0</v>
      </c>
      <c r="AD74" s="735" cm="1">
        <f t="array" aca="true" ref="AD74" ca="true">IFERROR(AVERAGEIFS(
  unit_details[Sqft],
  unit_details[Property Name], INDIRECT("B"&amp;ROW()),
  unit_details[Floorplan Name], INDIRECT("C"&amp;ROW()),
  unit_details[Beds], INDIRECT("D"&amp;ROW()),
  unit_details[Detected Unit Amenities], "&lt;&gt;*"&amp;$AB$3&amp;"*",
  unit_details[Leased Date], "&gt;=" &amp; ($X$2 - $AD$3)
),0)</f>
        <v>0</v>
      </c>
      <c r="AE74" s="734" cm="1">
        <f t="array" aca="true" ref="AE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4" s="733" cm="1">
        <f t="array" aca="true" ref="AF74" ca="true">IFERROR(COUNTIFS(
  unit_details[Property Name], INDIRECT("B"&amp;ROW()),
  unit_details[Floorplan Name], INDIRECT("C"&amp;ROW()),
  unit_details[Beds], INDIRECT("D"&amp;ROW()),
  unit_details[Detected Unit Amenities], "&lt;&gt;*"&amp;$AB$3&amp;"*",
  unit_details[Leased Date], "&gt;=" &amp; ($X$2 - $AD$3)
),0)</f>
        <v>0</v>
      </c>
      <c r="AG74" s="735"/>
      <c r="AH74" s="738">
        <f t="shared" ca="true" si="4"/>
        <v>0</v>
      </c>
      <c r="AI74" s="739">
        <f t="shared" ca="true" si="5"/>
        <v>0</v>
      </c>
    </row>
    <row r="75" spans="2:35">
      <c r="B75" s="1"/>
      <c r="C75" s="80"/>
      <c r="E75" s="303"/>
      <c r="F75" s="303"/>
      <c r="J75" s="345"/>
      <c r="K75" s="6"/>
      <c r="M75" s="6"/>
      <c r="N75" s="738" t="str" cm="1">
        <f t="array" aca="true" ref="N75" ca="true">IFERROR(IF($O$3="Chunk Rent",
AVERAGEIFS('Unit-Level Data'!$O:$O,'Unit-Level Data'!$M:$M,TRUE,
          'Unit-Level Data'!$D:$D, INDIRECT("C"&amp;ROW()),
          'Unit-Level Data'!$B:$B, INDIRECT("B"&amp;ROW())),
AVERAGEIFS('Unit-Level Data'!$P:$P,'Unit-Level Data'!$M:$M,TRUE,
          'Unit-Level Data'!$D:$D, INDIRECT("C"&amp;ROW()),
          'Unit-Level Data'!$B:$B, INDIRECT("B"&amp;ROW()))),"")</f>
      </c>
      <c r="O75" s="760" t="str" cm="1">
        <f t="array" aca="true" ref="O75" ca="true">IFERROR(IF($O$3="Chunk Rent",
AVERAGEIFS('Unit-Level Data'!$Q:$Q,'Unit-Level Data'!$M:$M,TRUE,
          'Unit-Level Data'!$D:$D, INDIRECT("C"&amp;ROW()),
          'Unit-Level Data'!$B:$B, INDIRECT("B"&amp;ROW())),
AVERAGEIFS('Unit-Level Data'!$R:$R,'Unit-Level Data'!$M:$M,TRUE,
          'Unit-Level Data'!$D:$D, INDIRECT("C"&amp;ROW()),
          'Unit-Level Data'!$B:$B, INDIRECT("B"&amp;ROW()))),"")</f>
      </c>
      <c r="P75" s="733" cm="1">
        <f t="array" aca="true" ref="P75" ca="true">COUNTIFS('Unit-Level Data'!$M:$M,TRUE,
          'Unit-Level Data'!$D:$D, INDIRECT("C"&amp;ROW()),
          'Unit-Level Data'!$B:$B, INDIRECT("B"&amp;ROW()))</f>
        <v>0</v>
      </c>
      <c r="Q75" s="738" t="str" cm="1">
        <f t="array" aca="true" ref="Q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5" s="760" t="str" cm="1">
        <f t="array" aca="true" ref="R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5" s="733" cm="1">
        <f t="array" aca="true" ref="S75" ca="true">COUNTIFS('Unit-Level Data'!$L:$L, "&gt;=" &amp; ($X$2 - Q$5),
          'Unit-Level Data'!$L:$L, "&lt;" &amp; $X$2,
          'Unit-Level Data'!$D:$D, INDIRECT("C"&amp;ROW()),
          'Unit-Level Data'!$B:$B, INDIRECT("B"&amp;ROW()))</f>
        <v>0</v>
      </c>
      <c r="T75" s="738" t="str" cm="1">
        <f t="array" aca="true" ref="T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5" s="760" t="str" cm="1">
        <f t="array" aca="true" ref="U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5" s="733" cm="1">
        <f t="array" aca="true" ref="V75" ca="true">COUNTIFS('Unit-Level Data'!$L:$L, "&gt;=" &amp; ($X$2 - T$5),
          'Unit-Level Data'!$L:$L, "&lt;" &amp; $X$2,
          'Unit-Level Data'!$D:$D, INDIRECT("C"&amp;ROW()),
          'Unit-Level Data'!$B:$B, INDIRECT("B"&amp;ROW()))</f>
        <v>0</v>
      </c>
      <c r="W75" s="738" t="str" cm="1">
        <f t="array" aca="true" ref="W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5" s="760" t="str" cm="1">
        <f t="array" aca="true" ref="X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5" s="733" cm="1">
        <f t="array" aca="true" ref="Y75" ca="true">COUNTIFS('Unit-Level Data'!$L:$L, "&gt;=" &amp; ($X$2 - W$5),
          'Unit-Level Data'!$L:$L, "&lt;" &amp; $X$2,
          'Unit-Level Data'!$D:$D, INDIRECT("C"&amp;ROW()),
          'Unit-Level Data'!$B:$B, INDIRECT("B"&amp;ROW()))</f>
        <v>0</v>
      </c>
      <c r="Z75" s="761"/>
      <c r="AA75" s="735" cm="1">
        <f t="array" aca="true" ref="AA75" ca="true">IFERROR(AVERAGEIFS(
  unit_details[Sqft],
  unit_details[Property Name], INDIRECT("B"&amp;ROW()),
  unit_details[Floorplan Name], INDIRECT("C"&amp;ROW()),
  unit_details[Beds], INDIRECT("D"&amp;ROW()),
  unit_details[Detected Unit Amenities], "*"&amp;$AB$3&amp;"*",
  unit_details[Leased Date], "&gt;=" &amp; ($X$2 - $AD$3)
),0)</f>
        <v>0</v>
      </c>
      <c r="AB75" s="734" cm="1">
        <f t="array" aca="true" ref="AB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5" s="733" cm="1">
        <f t="array" aca="true" ref="AC75" ca="true">IFERROR(COUNTIFS(
  unit_details[Property Name], INDIRECT("B"&amp;ROW()),
  unit_details[Floorplan Name], INDIRECT("C"&amp;ROW()),
  unit_details[Beds], INDIRECT("D"&amp;ROW()),
  unit_details[Detected Unit Amenities], "*"&amp;$AB$3&amp;"*",
  unit_details[Leased Date], "&gt;=" &amp; ($X$2 - $AD$3)
),0)</f>
        <v>0</v>
      </c>
      <c r="AD75" s="735" cm="1">
        <f t="array" aca="true" ref="AD75" ca="true">IFERROR(AVERAGEIFS(
  unit_details[Sqft],
  unit_details[Property Name], INDIRECT("B"&amp;ROW()),
  unit_details[Floorplan Name], INDIRECT("C"&amp;ROW()),
  unit_details[Beds], INDIRECT("D"&amp;ROW()),
  unit_details[Detected Unit Amenities], "&lt;&gt;*"&amp;$AB$3&amp;"*",
  unit_details[Leased Date], "&gt;=" &amp; ($X$2 - $AD$3)
),0)</f>
        <v>0</v>
      </c>
      <c r="AE75" s="734" cm="1">
        <f t="array" aca="true" ref="AE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5" s="733" cm="1">
        <f t="array" aca="true" ref="AF75" ca="true">IFERROR(COUNTIFS(
  unit_details[Property Name], INDIRECT("B"&amp;ROW()),
  unit_details[Floorplan Name], INDIRECT("C"&amp;ROW()),
  unit_details[Beds], INDIRECT("D"&amp;ROW()),
  unit_details[Detected Unit Amenities], "&lt;&gt;*"&amp;$AB$3&amp;"*",
  unit_details[Leased Date], "&gt;=" &amp; ($X$2 - $AD$3)
),0)</f>
        <v>0</v>
      </c>
      <c r="AG75" s="735"/>
      <c r="AH75" s="738">
        <f t="shared" ca="true" si="4"/>
        <v>0</v>
      </c>
      <c r="AI75" s="739">
        <f t="shared" ca="true" si="5"/>
        <v>0</v>
      </c>
    </row>
    <row r="76" spans="2:35">
      <c r="B76" s="1"/>
      <c r="C76" s="80"/>
      <c r="E76" s="303"/>
      <c r="F76" s="303"/>
      <c r="J76" s="345"/>
      <c r="K76" s="6"/>
      <c r="M76" s="6"/>
      <c r="N76" s="738" t="str" cm="1">
        <f t="array" aca="true" ref="N76" ca="true">IFERROR(IF($O$3="Chunk Rent",
AVERAGEIFS('Unit-Level Data'!$O:$O,'Unit-Level Data'!$M:$M,TRUE,
          'Unit-Level Data'!$D:$D, INDIRECT("C"&amp;ROW()),
          'Unit-Level Data'!$B:$B, INDIRECT("B"&amp;ROW())),
AVERAGEIFS('Unit-Level Data'!$P:$P,'Unit-Level Data'!$M:$M,TRUE,
          'Unit-Level Data'!$D:$D, INDIRECT("C"&amp;ROW()),
          'Unit-Level Data'!$B:$B, INDIRECT("B"&amp;ROW()))),"")</f>
      </c>
      <c r="O76" s="760" t="str" cm="1">
        <f t="array" aca="true" ref="O76" ca="true">IFERROR(IF($O$3="Chunk Rent",
AVERAGEIFS('Unit-Level Data'!$Q:$Q,'Unit-Level Data'!$M:$M,TRUE,
          'Unit-Level Data'!$D:$D, INDIRECT("C"&amp;ROW()),
          'Unit-Level Data'!$B:$B, INDIRECT("B"&amp;ROW())),
AVERAGEIFS('Unit-Level Data'!$R:$R,'Unit-Level Data'!$M:$M,TRUE,
          'Unit-Level Data'!$D:$D, INDIRECT("C"&amp;ROW()),
          'Unit-Level Data'!$B:$B, INDIRECT("B"&amp;ROW()))),"")</f>
      </c>
      <c r="P76" s="733" cm="1">
        <f t="array" aca="true" ref="P76" ca="true">COUNTIFS('Unit-Level Data'!$M:$M,TRUE,
          'Unit-Level Data'!$D:$D, INDIRECT("C"&amp;ROW()),
          'Unit-Level Data'!$B:$B, INDIRECT("B"&amp;ROW()))</f>
        <v>0</v>
      </c>
      <c r="Q76" s="738" t="str" cm="1">
        <f t="array" aca="true" ref="Q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6" s="760" t="str" cm="1">
        <f t="array" aca="true" ref="R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6" s="733" cm="1">
        <f t="array" aca="true" ref="S76" ca="true">COUNTIFS('Unit-Level Data'!$L:$L, "&gt;=" &amp; ($X$2 - Q$5),
          'Unit-Level Data'!$L:$L, "&lt;" &amp; $X$2,
          'Unit-Level Data'!$D:$D, INDIRECT("C"&amp;ROW()),
          'Unit-Level Data'!$B:$B, INDIRECT("B"&amp;ROW()))</f>
        <v>0</v>
      </c>
      <c r="T76" s="738" t="str" cm="1">
        <f t="array" aca="true" ref="T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6" s="760" t="str" cm="1">
        <f t="array" aca="true" ref="U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6" s="733" cm="1">
        <f t="array" aca="true" ref="V76" ca="true">COUNTIFS('Unit-Level Data'!$L:$L, "&gt;=" &amp; ($X$2 - T$5),
          'Unit-Level Data'!$L:$L, "&lt;" &amp; $X$2,
          'Unit-Level Data'!$D:$D, INDIRECT("C"&amp;ROW()),
          'Unit-Level Data'!$B:$B, INDIRECT("B"&amp;ROW()))</f>
        <v>0</v>
      </c>
      <c r="W76" s="738" t="str" cm="1">
        <f t="array" aca="true" ref="W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6" s="760" t="str" cm="1">
        <f t="array" aca="true" ref="X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6" s="733" cm="1">
        <f t="array" aca="true" ref="Y76" ca="true">COUNTIFS('Unit-Level Data'!$L:$L, "&gt;=" &amp; ($X$2 - W$5),
          'Unit-Level Data'!$L:$L, "&lt;" &amp; $X$2,
          'Unit-Level Data'!$D:$D, INDIRECT("C"&amp;ROW()),
          'Unit-Level Data'!$B:$B, INDIRECT("B"&amp;ROW()))</f>
        <v>0</v>
      </c>
      <c r="Z76" s="761"/>
      <c r="AA76" s="735" cm="1">
        <f t="array" aca="true" ref="AA76" ca="true">IFERROR(AVERAGEIFS(
  unit_details[Sqft],
  unit_details[Property Name], INDIRECT("B"&amp;ROW()),
  unit_details[Floorplan Name], INDIRECT("C"&amp;ROW()),
  unit_details[Beds], INDIRECT("D"&amp;ROW()),
  unit_details[Detected Unit Amenities], "*"&amp;$AB$3&amp;"*",
  unit_details[Leased Date], "&gt;=" &amp; ($X$2 - $AD$3)
),0)</f>
        <v>0</v>
      </c>
      <c r="AB76" s="734" cm="1">
        <f t="array" aca="true" ref="AB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6" s="733" cm="1">
        <f t="array" aca="true" ref="AC76" ca="true">IFERROR(COUNTIFS(
  unit_details[Property Name], INDIRECT("B"&amp;ROW()),
  unit_details[Floorplan Name], INDIRECT("C"&amp;ROW()),
  unit_details[Beds], INDIRECT("D"&amp;ROW()),
  unit_details[Detected Unit Amenities], "*"&amp;$AB$3&amp;"*",
  unit_details[Leased Date], "&gt;=" &amp; ($X$2 - $AD$3)
),0)</f>
        <v>0</v>
      </c>
      <c r="AD76" s="735" cm="1">
        <f t="array" aca="true" ref="AD76" ca="true">IFERROR(AVERAGEIFS(
  unit_details[Sqft],
  unit_details[Property Name], INDIRECT("B"&amp;ROW()),
  unit_details[Floorplan Name], INDIRECT("C"&amp;ROW()),
  unit_details[Beds], INDIRECT("D"&amp;ROW()),
  unit_details[Detected Unit Amenities], "&lt;&gt;*"&amp;$AB$3&amp;"*",
  unit_details[Leased Date], "&gt;=" &amp; ($X$2 - $AD$3)
),0)</f>
        <v>0</v>
      </c>
      <c r="AE76" s="734" cm="1">
        <f t="array" aca="true" ref="AE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6" s="733" cm="1">
        <f t="array" aca="true" ref="AF76" ca="true">IFERROR(COUNTIFS(
  unit_details[Property Name], INDIRECT("B"&amp;ROW()),
  unit_details[Floorplan Name], INDIRECT("C"&amp;ROW()),
  unit_details[Beds], INDIRECT("D"&amp;ROW()),
  unit_details[Detected Unit Amenities], "&lt;&gt;*"&amp;$AB$3&amp;"*",
  unit_details[Leased Date], "&gt;=" &amp; ($X$2 - $AD$3)
),0)</f>
        <v>0</v>
      </c>
      <c r="AG76" s="735"/>
      <c r="AH76" s="738">
        <f t="shared" ca="true" si="4"/>
        <v>0</v>
      </c>
      <c r="AI76" s="739">
        <f t="shared" ca="true" si="5"/>
        <v>0</v>
      </c>
    </row>
    <row r="77" spans="2:35">
      <c r="B77" s="1"/>
      <c r="C77" s="80"/>
      <c r="E77" s="303"/>
      <c r="F77" s="303"/>
      <c r="J77" s="345"/>
      <c r="K77" s="6"/>
      <c r="M77" s="6"/>
      <c r="N77" s="738" t="str" cm="1">
        <f t="array" aca="true" ref="N77" ca="true">IFERROR(IF($O$3="Chunk Rent",
AVERAGEIFS('Unit-Level Data'!$O:$O,'Unit-Level Data'!$M:$M,TRUE,
          'Unit-Level Data'!$D:$D, INDIRECT("C"&amp;ROW()),
          'Unit-Level Data'!$B:$B, INDIRECT("B"&amp;ROW())),
AVERAGEIFS('Unit-Level Data'!$P:$P,'Unit-Level Data'!$M:$M,TRUE,
          'Unit-Level Data'!$D:$D, INDIRECT("C"&amp;ROW()),
          'Unit-Level Data'!$B:$B, INDIRECT("B"&amp;ROW()))),"")</f>
      </c>
      <c r="O77" s="760" t="str" cm="1">
        <f t="array" aca="true" ref="O77" ca="true">IFERROR(IF($O$3="Chunk Rent",
AVERAGEIFS('Unit-Level Data'!$Q:$Q,'Unit-Level Data'!$M:$M,TRUE,
          'Unit-Level Data'!$D:$D, INDIRECT("C"&amp;ROW()),
          'Unit-Level Data'!$B:$B, INDIRECT("B"&amp;ROW())),
AVERAGEIFS('Unit-Level Data'!$R:$R,'Unit-Level Data'!$M:$M,TRUE,
          'Unit-Level Data'!$D:$D, INDIRECT("C"&amp;ROW()),
          'Unit-Level Data'!$B:$B, INDIRECT("B"&amp;ROW()))),"")</f>
      </c>
      <c r="P77" s="733" cm="1">
        <f t="array" aca="true" ref="P77" ca="true">COUNTIFS('Unit-Level Data'!$M:$M,TRUE,
          'Unit-Level Data'!$D:$D, INDIRECT("C"&amp;ROW()),
          'Unit-Level Data'!$B:$B, INDIRECT("B"&amp;ROW()))</f>
        <v>0</v>
      </c>
      <c r="Q77" s="738" t="str" cm="1">
        <f t="array" aca="true" ref="Q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7" s="760" t="str" cm="1">
        <f t="array" aca="true" ref="R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7" s="733" cm="1">
        <f t="array" aca="true" ref="S77" ca="true">COUNTIFS('Unit-Level Data'!$L:$L, "&gt;=" &amp; ($X$2 - Q$5),
          'Unit-Level Data'!$L:$L, "&lt;" &amp; $X$2,
          'Unit-Level Data'!$D:$D, INDIRECT("C"&amp;ROW()),
          'Unit-Level Data'!$B:$B, INDIRECT("B"&amp;ROW()))</f>
        <v>0</v>
      </c>
      <c r="T77" s="738" t="str" cm="1">
        <f t="array" aca="true" ref="T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7" s="760" t="str" cm="1">
        <f t="array" aca="true" ref="U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7" s="733" cm="1">
        <f t="array" aca="true" ref="V77" ca="true">COUNTIFS('Unit-Level Data'!$L:$L, "&gt;=" &amp; ($X$2 - T$5),
          'Unit-Level Data'!$L:$L, "&lt;" &amp; $X$2,
          'Unit-Level Data'!$D:$D, INDIRECT("C"&amp;ROW()),
          'Unit-Level Data'!$B:$B, INDIRECT("B"&amp;ROW()))</f>
        <v>0</v>
      </c>
      <c r="W77" s="738" t="str" cm="1">
        <f t="array" aca="true" ref="W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7" s="760" t="str" cm="1">
        <f t="array" aca="true" ref="X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7" s="733" cm="1">
        <f t="array" aca="true" ref="Y77" ca="true">COUNTIFS('Unit-Level Data'!$L:$L, "&gt;=" &amp; ($X$2 - W$5),
          'Unit-Level Data'!$L:$L, "&lt;" &amp; $X$2,
          'Unit-Level Data'!$D:$D, INDIRECT("C"&amp;ROW()),
          'Unit-Level Data'!$B:$B, INDIRECT("B"&amp;ROW()))</f>
        <v>0</v>
      </c>
      <c r="Z77" s="761"/>
      <c r="AA77" s="735" cm="1">
        <f t="array" aca="true" ref="AA77" ca="true">IFERROR(AVERAGEIFS(
  unit_details[Sqft],
  unit_details[Property Name], INDIRECT("B"&amp;ROW()),
  unit_details[Floorplan Name], INDIRECT("C"&amp;ROW()),
  unit_details[Beds], INDIRECT("D"&amp;ROW()),
  unit_details[Detected Unit Amenities], "*"&amp;$AB$3&amp;"*",
  unit_details[Leased Date], "&gt;=" &amp; ($X$2 - $AD$3)
),0)</f>
        <v>0</v>
      </c>
      <c r="AB77" s="734" cm="1">
        <f t="array" aca="true" ref="AB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7" s="733" cm="1">
        <f t="array" aca="true" ref="AC77" ca="true">IFERROR(COUNTIFS(
  unit_details[Property Name], INDIRECT("B"&amp;ROW()),
  unit_details[Floorplan Name], INDIRECT("C"&amp;ROW()),
  unit_details[Beds], INDIRECT("D"&amp;ROW()),
  unit_details[Detected Unit Amenities], "*"&amp;$AB$3&amp;"*",
  unit_details[Leased Date], "&gt;=" &amp; ($X$2 - $AD$3)
),0)</f>
        <v>0</v>
      </c>
      <c r="AD77" s="735" cm="1">
        <f t="array" aca="true" ref="AD77" ca="true">IFERROR(AVERAGEIFS(
  unit_details[Sqft],
  unit_details[Property Name], INDIRECT("B"&amp;ROW()),
  unit_details[Floorplan Name], INDIRECT("C"&amp;ROW()),
  unit_details[Beds], INDIRECT("D"&amp;ROW()),
  unit_details[Detected Unit Amenities], "&lt;&gt;*"&amp;$AB$3&amp;"*",
  unit_details[Leased Date], "&gt;=" &amp; ($X$2 - $AD$3)
),0)</f>
        <v>0</v>
      </c>
      <c r="AE77" s="734" cm="1">
        <f t="array" aca="true" ref="AE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7" s="733" cm="1">
        <f t="array" aca="true" ref="AF77" ca="true">IFERROR(COUNTIFS(
  unit_details[Property Name], INDIRECT("B"&amp;ROW()),
  unit_details[Floorplan Name], INDIRECT("C"&amp;ROW()),
  unit_details[Beds], INDIRECT("D"&amp;ROW()),
  unit_details[Detected Unit Amenities], "&lt;&gt;*"&amp;$AB$3&amp;"*",
  unit_details[Leased Date], "&gt;=" &amp; ($X$2 - $AD$3)
),0)</f>
        <v>0</v>
      </c>
      <c r="AG77" s="735"/>
      <c r="AH77" s="738">
        <f t="shared" ca="true" si="4"/>
        <v>0</v>
      </c>
      <c r="AI77" s="739">
        <f t="shared" ca="true" si="5"/>
        <v>0</v>
      </c>
    </row>
    <row r="78" spans="2:35">
      <c r="B78" s="1"/>
      <c r="C78" s="80"/>
      <c r="E78" s="303"/>
      <c r="F78" s="303"/>
      <c r="J78" s="345"/>
      <c r="K78" s="6"/>
      <c r="M78" s="6"/>
      <c r="N78" s="738" t="str" cm="1">
        <f t="array" aca="true" ref="N78" ca="true">IFERROR(IF($O$3="Chunk Rent",
AVERAGEIFS('Unit-Level Data'!$O:$O,'Unit-Level Data'!$M:$M,TRUE,
          'Unit-Level Data'!$D:$D, INDIRECT("C"&amp;ROW()),
          'Unit-Level Data'!$B:$B, INDIRECT("B"&amp;ROW())),
AVERAGEIFS('Unit-Level Data'!$P:$P,'Unit-Level Data'!$M:$M,TRUE,
          'Unit-Level Data'!$D:$D, INDIRECT("C"&amp;ROW()),
          'Unit-Level Data'!$B:$B, INDIRECT("B"&amp;ROW()))),"")</f>
      </c>
      <c r="O78" s="760" t="str" cm="1">
        <f t="array" aca="true" ref="O78" ca="true">IFERROR(IF($O$3="Chunk Rent",
AVERAGEIFS('Unit-Level Data'!$Q:$Q,'Unit-Level Data'!$M:$M,TRUE,
          'Unit-Level Data'!$D:$D, INDIRECT("C"&amp;ROW()),
          'Unit-Level Data'!$B:$B, INDIRECT("B"&amp;ROW())),
AVERAGEIFS('Unit-Level Data'!$R:$R,'Unit-Level Data'!$M:$M,TRUE,
          'Unit-Level Data'!$D:$D, INDIRECT("C"&amp;ROW()),
          'Unit-Level Data'!$B:$B, INDIRECT("B"&amp;ROW()))),"")</f>
      </c>
      <c r="P78" s="733" cm="1">
        <f t="array" aca="true" ref="P78" ca="true">COUNTIFS('Unit-Level Data'!$M:$M,TRUE,
          'Unit-Level Data'!$D:$D, INDIRECT("C"&amp;ROW()),
          'Unit-Level Data'!$B:$B, INDIRECT("B"&amp;ROW()))</f>
        <v>0</v>
      </c>
      <c r="Q78" s="738" t="str" cm="1">
        <f t="array" aca="true" ref="Q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8" s="760" t="str" cm="1">
        <f t="array" aca="true" ref="R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8" s="733" cm="1">
        <f t="array" aca="true" ref="S78" ca="true">COUNTIFS('Unit-Level Data'!$L:$L, "&gt;=" &amp; ($X$2 - Q$5),
          'Unit-Level Data'!$L:$L, "&lt;" &amp; $X$2,
          'Unit-Level Data'!$D:$D, INDIRECT("C"&amp;ROW()),
          'Unit-Level Data'!$B:$B, INDIRECT("B"&amp;ROW()))</f>
        <v>0</v>
      </c>
      <c r="T78" s="738" t="str" cm="1">
        <f t="array" aca="true" ref="T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8" s="760" t="str" cm="1">
        <f t="array" aca="true" ref="U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8" s="733" cm="1">
        <f t="array" aca="true" ref="V78" ca="true">COUNTIFS('Unit-Level Data'!$L:$L, "&gt;=" &amp; ($X$2 - T$5),
          'Unit-Level Data'!$L:$L, "&lt;" &amp; $X$2,
          'Unit-Level Data'!$D:$D, INDIRECT("C"&amp;ROW()),
          'Unit-Level Data'!$B:$B, INDIRECT("B"&amp;ROW()))</f>
        <v>0</v>
      </c>
      <c r="W78" s="738" t="str" cm="1">
        <f t="array" aca="true" ref="W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8" s="760" t="str" cm="1">
        <f t="array" aca="true" ref="X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8" s="733" cm="1">
        <f t="array" aca="true" ref="Y78" ca="true">COUNTIFS('Unit-Level Data'!$L:$L, "&gt;=" &amp; ($X$2 - W$5),
          'Unit-Level Data'!$L:$L, "&lt;" &amp; $X$2,
          'Unit-Level Data'!$D:$D, INDIRECT("C"&amp;ROW()),
          'Unit-Level Data'!$B:$B, INDIRECT("B"&amp;ROW()))</f>
        <v>0</v>
      </c>
      <c r="Z78" s="761"/>
      <c r="AA78" s="735" cm="1">
        <f t="array" aca="true" ref="AA78" ca="true">IFERROR(AVERAGEIFS(
  unit_details[Sqft],
  unit_details[Property Name], INDIRECT("B"&amp;ROW()),
  unit_details[Floorplan Name], INDIRECT("C"&amp;ROW()),
  unit_details[Beds], INDIRECT("D"&amp;ROW()),
  unit_details[Detected Unit Amenities], "*"&amp;$AB$3&amp;"*",
  unit_details[Leased Date], "&gt;=" &amp; ($X$2 - $AD$3)
),0)</f>
        <v>0</v>
      </c>
      <c r="AB78" s="734" cm="1">
        <f t="array" aca="true" ref="AB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8" s="733" cm="1">
        <f t="array" aca="true" ref="AC78" ca="true">IFERROR(COUNTIFS(
  unit_details[Property Name], INDIRECT("B"&amp;ROW()),
  unit_details[Floorplan Name], INDIRECT("C"&amp;ROW()),
  unit_details[Beds], INDIRECT("D"&amp;ROW()),
  unit_details[Detected Unit Amenities], "*"&amp;$AB$3&amp;"*",
  unit_details[Leased Date], "&gt;=" &amp; ($X$2 - $AD$3)
),0)</f>
        <v>0</v>
      </c>
      <c r="AD78" s="735" cm="1">
        <f t="array" aca="true" ref="AD78" ca="true">IFERROR(AVERAGEIFS(
  unit_details[Sqft],
  unit_details[Property Name], INDIRECT("B"&amp;ROW()),
  unit_details[Floorplan Name], INDIRECT("C"&amp;ROW()),
  unit_details[Beds], INDIRECT("D"&amp;ROW()),
  unit_details[Detected Unit Amenities], "&lt;&gt;*"&amp;$AB$3&amp;"*",
  unit_details[Leased Date], "&gt;=" &amp; ($X$2 - $AD$3)
),0)</f>
        <v>0</v>
      </c>
      <c r="AE78" s="734" cm="1">
        <f t="array" aca="true" ref="AE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8" s="733" cm="1">
        <f t="array" aca="true" ref="AF78" ca="true">IFERROR(COUNTIFS(
  unit_details[Property Name], INDIRECT("B"&amp;ROW()),
  unit_details[Floorplan Name], INDIRECT("C"&amp;ROW()),
  unit_details[Beds], INDIRECT("D"&amp;ROW()),
  unit_details[Detected Unit Amenities], "&lt;&gt;*"&amp;$AB$3&amp;"*",
  unit_details[Leased Date], "&gt;=" &amp; ($X$2 - $AD$3)
),0)</f>
        <v>0</v>
      </c>
      <c r="AG78" s="735"/>
      <c r="AH78" s="738">
        <f t="shared" ca="true" si="4"/>
        <v>0</v>
      </c>
      <c r="AI78" s="739">
        <f t="shared" ca="true" si="5"/>
        <v>0</v>
      </c>
    </row>
    <row r="79" spans="2:35">
      <c r="B79" s="1"/>
      <c r="C79" s="80"/>
      <c r="E79" s="303"/>
      <c r="F79" s="303"/>
      <c r="J79" s="345"/>
      <c r="K79" s="6"/>
      <c r="M79" s="6"/>
      <c r="N79" s="738" t="str" cm="1">
        <f t="array" aca="true" ref="N79" ca="true">IFERROR(IF($O$3="Chunk Rent",
AVERAGEIFS('Unit-Level Data'!$O:$O,'Unit-Level Data'!$M:$M,TRUE,
          'Unit-Level Data'!$D:$D, INDIRECT("C"&amp;ROW()),
          'Unit-Level Data'!$B:$B, INDIRECT("B"&amp;ROW())),
AVERAGEIFS('Unit-Level Data'!$P:$P,'Unit-Level Data'!$M:$M,TRUE,
          'Unit-Level Data'!$D:$D, INDIRECT("C"&amp;ROW()),
          'Unit-Level Data'!$B:$B, INDIRECT("B"&amp;ROW()))),"")</f>
      </c>
      <c r="O79" s="760" t="str" cm="1">
        <f t="array" aca="true" ref="O79" ca="true">IFERROR(IF($O$3="Chunk Rent",
AVERAGEIFS('Unit-Level Data'!$Q:$Q,'Unit-Level Data'!$M:$M,TRUE,
          'Unit-Level Data'!$D:$D, INDIRECT("C"&amp;ROW()),
          'Unit-Level Data'!$B:$B, INDIRECT("B"&amp;ROW())),
AVERAGEIFS('Unit-Level Data'!$R:$R,'Unit-Level Data'!$M:$M,TRUE,
          'Unit-Level Data'!$D:$D, INDIRECT("C"&amp;ROW()),
          'Unit-Level Data'!$B:$B, INDIRECT("B"&amp;ROW()))),"")</f>
      </c>
      <c r="P79" s="733" cm="1">
        <f t="array" aca="true" ref="P79" ca="true">COUNTIFS('Unit-Level Data'!$M:$M,TRUE,
          'Unit-Level Data'!$D:$D, INDIRECT("C"&amp;ROW()),
          'Unit-Level Data'!$B:$B, INDIRECT("B"&amp;ROW()))</f>
        <v>0</v>
      </c>
      <c r="Q79" s="738" t="str" cm="1">
        <f t="array" aca="true" ref="Q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9" s="760" t="str" cm="1">
        <f t="array" aca="true" ref="R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9" s="733" cm="1">
        <f t="array" aca="true" ref="S79" ca="true">COUNTIFS('Unit-Level Data'!$L:$L, "&gt;=" &amp; ($X$2 - Q$5),
          'Unit-Level Data'!$L:$L, "&lt;" &amp; $X$2,
          'Unit-Level Data'!$D:$D, INDIRECT("C"&amp;ROW()),
          'Unit-Level Data'!$B:$B, INDIRECT("B"&amp;ROW()))</f>
        <v>0</v>
      </c>
      <c r="T79" s="738" t="str" cm="1">
        <f t="array" aca="true" ref="T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9" s="760" t="str" cm="1">
        <f t="array" aca="true" ref="U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9" s="733" cm="1">
        <f t="array" aca="true" ref="V79" ca="true">COUNTIFS('Unit-Level Data'!$L:$L, "&gt;=" &amp; ($X$2 - T$5),
          'Unit-Level Data'!$L:$L, "&lt;" &amp; $X$2,
          'Unit-Level Data'!$D:$D, INDIRECT("C"&amp;ROW()),
          'Unit-Level Data'!$B:$B, INDIRECT("B"&amp;ROW()))</f>
        <v>0</v>
      </c>
      <c r="W79" s="738" t="str" cm="1">
        <f t="array" aca="true" ref="W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9" s="760" t="str" cm="1">
        <f t="array" aca="true" ref="X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9" s="733" cm="1">
        <f t="array" aca="true" ref="Y79" ca="true">COUNTIFS('Unit-Level Data'!$L:$L, "&gt;=" &amp; ($X$2 - W$5),
          'Unit-Level Data'!$L:$L, "&lt;" &amp; $X$2,
          'Unit-Level Data'!$D:$D, INDIRECT("C"&amp;ROW()),
          'Unit-Level Data'!$B:$B, INDIRECT("B"&amp;ROW()))</f>
        <v>0</v>
      </c>
      <c r="Z79" s="761"/>
      <c r="AA79" s="735" cm="1">
        <f t="array" aca="true" ref="AA79" ca="true">IFERROR(AVERAGEIFS(
  unit_details[Sqft],
  unit_details[Property Name], INDIRECT("B"&amp;ROW()),
  unit_details[Floorplan Name], INDIRECT("C"&amp;ROW()),
  unit_details[Beds], INDIRECT("D"&amp;ROW()),
  unit_details[Detected Unit Amenities], "*"&amp;$AB$3&amp;"*",
  unit_details[Leased Date], "&gt;=" &amp; ($X$2 - $AD$3)
),0)</f>
        <v>0</v>
      </c>
      <c r="AB79" s="734" cm="1">
        <f t="array" aca="true" ref="AB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9" s="733" cm="1">
        <f t="array" aca="true" ref="AC79" ca="true">IFERROR(COUNTIFS(
  unit_details[Property Name], INDIRECT("B"&amp;ROW()),
  unit_details[Floorplan Name], INDIRECT("C"&amp;ROW()),
  unit_details[Beds], INDIRECT("D"&amp;ROW()),
  unit_details[Detected Unit Amenities], "*"&amp;$AB$3&amp;"*",
  unit_details[Leased Date], "&gt;=" &amp; ($X$2 - $AD$3)
),0)</f>
        <v>0</v>
      </c>
      <c r="AD79" s="735" cm="1">
        <f t="array" aca="true" ref="AD79" ca="true">IFERROR(AVERAGEIFS(
  unit_details[Sqft],
  unit_details[Property Name], INDIRECT("B"&amp;ROW()),
  unit_details[Floorplan Name], INDIRECT("C"&amp;ROW()),
  unit_details[Beds], INDIRECT("D"&amp;ROW()),
  unit_details[Detected Unit Amenities], "&lt;&gt;*"&amp;$AB$3&amp;"*",
  unit_details[Leased Date], "&gt;=" &amp; ($X$2 - $AD$3)
),0)</f>
        <v>0</v>
      </c>
      <c r="AE79" s="734" cm="1">
        <f t="array" aca="true" ref="AE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9" s="733" cm="1">
        <f t="array" aca="true" ref="AF79" ca="true">IFERROR(COUNTIFS(
  unit_details[Property Name], INDIRECT("B"&amp;ROW()),
  unit_details[Floorplan Name], INDIRECT("C"&amp;ROW()),
  unit_details[Beds], INDIRECT("D"&amp;ROW()),
  unit_details[Detected Unit Amenities], "&lt;&gt;*"&amp;$AB$3&amp;"*",
  unit_details[Leased Date], "&gt;=" &amp; ($X$2 - $AD$3)
),0)</f>
        <v>0</v>
      </c>
      <c r="AG79" s="735"/>
      <c r="AH79" s="738">
        <f t="shared" ca="true" si="4"/>
        <v>0</v>
      </c>
      <c r="AI79" s="739">
        <f t="shared" ca="true" si="5"/>
        <v>0</v>
      </c>
    </row>
    <row r="80" spans="2:35">
      <c r="B80" s="1"/>
      <c r="C80" s="80"/>
      <c r="E80" s="303"/>
      <c r="F80" s="303"/>
      <c r="J80" s="345"/>
      <c r="K80" s="6"/>
      <c r="M80" s="6"/>
      <c r="N80" s="738" t="str" cm="1">
        <f t="array" aca="true" ref="N80" ca="true">IFERROR(IF($O$3="Chunk Rent",
AVERAGEIFS('Unit-Level Data'!$O:$O,'Unit-Level Data'!$M:$M,TRUE,
          'Unit-Level Data'!$D:$D, INDIRECT("C"&amp;ROW()),
          'Unit-Level Data'!$B:$B, INDIRECT("B"&amp;ROW())),
AVERAGEIFS('Unit-Level Data'!$P:$P,'Unit-Level Data'!$M:$M,TRUE,
          'Unit-Level Data'!$D:$D, INDIRECT("C"&amp;ROW()),
          'Unit-Level Data'!$B:$B, INDIRECT("B"&amp;ROW()))),"")</f>
      </c>
      <c r="O80" s="760" t="str" cm="1">
        <f t="array" aca="true" ref="O80" ca="true">IFERROR(IF($O$3="Chunk Rent",
AVERAGEIFS('Unit-Level Data'!$Q:$Q,'Unit-Level Data'!$M:$M,TRUE,
          'Unit-Level Data'!$D:$D, INDIRECT("C"&amp;ROW()),
          'Unit-Level Data'!$B:$B, INDIRECT("B"&amp;ROW())),
AVERAGEIFS('Unit-Level Data'!$R:$R,'Unit-Level Data'!$M:$M,TRUE,
          'Unit-Level Data'!$D:$D, INDIRECT("C"&amp;ROW()),
          'Unit-Level Data'!$B:$B, INDIRECT("B"&amp;ROW()))),"")</f>
      </c>
      <c r="P80" s="733" cm="1">
        <f t="array" aca="true" ref="P80" ca="true">COUNTIFS('Unit-Level Data'!$M:$M,TRUE,
          'Unit-Level Data'!$D:$D, INDIRECT("C"&amp;ROW()),
          'Unit-Level Data'!$B:$B, INDIRECT("B"&amp;ROW()))</f>
        <v>0</v>
      </c>
      <c r="Q80" s="738" t="str" cm="1">
        <f t="array" aca="true" ref="Q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0" s="760" t="str" cm="1">
        <f t="array" aca="true" ref="R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0" s="733" cm="1">
        <f t="array" aca="true" ref="S80" ca="true">COUNTIFS('Unit-Level Data'!$L:$L, "&gt;=" &amp; ($X$2 - Q$5),
          'Unit-Level Data'!$L:$L, "&lt;" &amp; $X$2,
          'Unit-Level Data'!$D:$D, INDIRECT("C"&amp;ROW()),
          'Unit-Level Data'!$B:$B, INDIRECT("B"&amp;ROW()))</f>
        <v>0</v>
      </c>
      <c r="T80" s="738" t="str" cm="1">
        <f t="array" aca="true" ref="T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0" s="760" t="str" cm="1">
        <f t="array" aca="true" ref="U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0" s="733" cm="1">
        <f t="array" aca="true" ref="V80" ca="true">COUNTIFS('Unit-Level Data'!$L:$L, "&gt;=" &amp; ($X$2 - T$5),
          'Unit-Level Data'!$L:$L, "&lt;" &amp; $X$2,
          'Unit-Level Data'!$D:$D, INDIRECT("C"&amp;ROW()),
          'Unit-Level Data'!$B:$B, INDIRECT("B"&amp;ROW()))</f>
        <v>0</v>
      </c>
      <c r="W80" s="738" t="str" cm="1">
        <f t="array" aca="true" ref="W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0" s="760" t="str" cm="1">
        <f t="array" aca="true" ref="X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0" s="733" cm="1">
        <f t="array" aca="true" ref="Y80" ca="true">COUNTIFS('Unit-Level Data'!$L:$L, "&gt;=" &amp; ($X$2 - W$5),
          'Unit-Level Data'!$L:$L, "&lt;" &amp; $X$2,
          'Unit-Level Data'!$D:$D, INDIRECT("C"&amp;ROW()),
          'Unit-Level Data'!$B:$B, INDIRECT("B"&amp;ROW()))</f>
        <v>0</v>
      </c>
      <c r="Z80" s="761"/>
      <c r="AA80" s="735" cm="1">
        <f t="array" aca="true" ref="AA80" ca="true">IFERROR(AVERAGEIFS(
  unit_details[Sqft],
  unit_details[Property Name], INDIRECT("B"&amp;ROW()),
  unit_details[Floorplan Name], INDIRECT("C"&amp;ROW()),
  unit_details[Beds], INDIRECT("D"&amp;ROW()),
  unit_details[Detected Unit Amenities], "*"&amp;$AB$3&amp;"*",
  unit_details[Leased Date], "&gt;=" &amp; ($X$2 - $AD$3)
),0)</f>
        <v>0</v>
      </c>
      <c r="AB80" s="734" cm="1">
        <f t="array" aca="true" ref="AB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0" s="733" cm="1">
        <f t="array" aca="true" ref="AC80" ca="true">IFERROR(COUNTIFS(
  unit_details[Property Name], INDIRECT("B"&amp;ROW()),
  unit_details[Floorplan Name], INDIRECT("C"&amp;ROW()),
  unit_details[Beds], INDIRECT("D"&amp;ROW()),
  unit_details[Detected Unit Amenities], "*"&amp;$AB$3&amp;"*",
  unit_details[Leased Date], "&gt;=" &amp; ($X$2 - $AD$3)
),0)</f>
        <v>0</v>
      </c>
      <c r="AD80" s="735" cm="1">
        <f t="array" aca="true" ref="AD80" ca="true">IFERROR(AVERAGEIFS(
  unit_details[Sqft],
  unit_details[Property Name], INDIRECT("B"&amp;ROW()),
  unit_details[Floorplan Name], INDIRECT("C"&amp;ROW()),
  unit_details[Beds], INDIRECT("D"&amp;ROW()),
  unit_details[Detected Unit Amenities], "&lt;&gt;*"&amp;$AB$3&amp;"*",
  unit_details[Leased Date], "&gt;=" &amp; ($X$2 - $AD$3)
),0)</f>
        <v>0</v>
      </c>
      <c r="AE80" s="734" cm="1">
        <f t="array" aca="true" ref="AE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0" s="733" cm="1">
        <f t="array" aca="true" ref="AF80" ca="true">IFERROR(COUNTIFS(
  unit_details[Property Name], INDIRECT("B"&amp;ROW()),
  unit_details[Floorplan Name], INDIRECT("C"&amp;ROW()),
  unit_details[Beds], INDIRECT("D"&amp;ROW()),
  unit_details[Detected Unit Amenities], "&lt;&gt;*"&amp;$AB$3&amp;"*",
  unit_details[Leased Date], "&gt;=" &amp; ($X$2 - $AD$3)
),0)</f>
        <v>0</v>
      </c>
      <c r="AG80" s="735"/>
      <c r="AH80" s="738">
        <f t="shared" ca="true" si="4"/>
        <v>0</v>
      </c>
      <c r="AI80" s="739">
        <f t="shared" ca="true" si="5"/>
        <v>0</v>
      </c>
    </row>
    <row r="81" spans="2:35">
      <c r="B81" s="1"/>
      <c r="C81" s="80"/>
      <c r="E81" s="303"/>
      <c r="F81" s="303"/>
      <c r="J81" s="345"/>
      <c r="K81" s="6"/>
      <c r="M81" s="6"/>
      <c r="N81" s="738" t="str" cm="1">
        <f t="array" aca="true" ref="N81" ca="true">IFERROR(IF($O$3="Chunk Rent",
AVERAGEIFS('Unit-Level Data'!$O:$O,'Unit-Level Data'!$M:$M,TRUE,
          'Unit-Level Data'!$D:$D, INDIRECT("C"&amp;ROW()),
          'Unit-Level Data'!$B:$B, INDIRECT("B"&amp;ROW())),
AVERAGEIFS('Unit-Level Data'!$P:$P,'Unit-Level Data'!$M:$M,TRUE,
          'Unit-Level Data'!$D:$D, INDIRECT("C"&amp;ROW()),
          'Unit-Level Data'!$B:$B, INDIRECT("B"&amp;ROW()))),"")</f>
      </c>
      <c r="O81" s="760" t="str" cm="1">
        <f t="array" aca="true" ref="O81" ca="true">IFERROR(IF($O$3="Chunk Rent",
AVERAGEIFS('Unit-Level Data'!$Q:$Q,'Unit-Level Data'!$M:$M,TRUE,
          'Unit-Level Data'!$D:$D, INDIRECT("C"&amp;ROW()),
          'Unit-Level Data'!$B:$B, INDIRECT("B"&amp;ROW())),
AVERAGEIFS('Unit-Level Data'!$R:$R,'Unit-Level Data'!$M:$M,TRUE,
          'Unit-Level Data'!$D:$D, INDIRECT("C"&amp;ROW()),
          'Unit-Level Data'!$B:$B, INDIRECT("B"&amp;ROW()))),"")</f>
      </c>
      <c r="P81" s="733" cm="1">
        <f t="array" aca="true" ref="P81" ca="true">COUNTIFS('Unit-Level Data'!$M:$M,TRUE,
          'Unit-Level Data'!$D:$D, INDIRECT("C"&amp;ROW()),
          'Unit-Level Data'!$B:$B, INDIRECT("B"&amp;ROW()))</f>
        <v>0</v>
      </c>
      <c r="Q81" s="738" t="str" cm="1">
        <f t="array" aca="true" ref="Q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1" s="760" t="str" cm="1">
        <f t="array" aca="true" ref="R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1" s="733" cm="1">
        <f t="array" aca="true" ref="S81" ca="true">COUNTIFS('Unit-Level Data'!$L:$L, "&gt;=" &amp; ($X$2 - Q$5),
          'Unit-Level Data'!$L:$L, "&lt;" &amp; $X$2,
          'Unit-Level Data'!$D:$D, INDIRECT("C"&amp;ROW()),
          'Unit-Level Data'!$B:$B, INDIRECT("B"&amp;ROW()))</f>
        <v>0</v>
      </c>
      <c r="T81" s="738" t="str" cm="1">
        <f t="array" aca="true" ref="T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1" s="760" t="str" cm="1">
        <f t="array" aca="true" ref="U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1" s="733" cm="1">
        <f t="array" aca="true" ref="V81" ca="true">COUNTIFS('Unit-Level Data'!$L:$L, "&gt;=" &amp; ($X$2 - T$5),
          'Unit-Level Data'!$L:$L, "&lt;" &amp; $X$2,
          'Unit-Level Data'!$D:$D, INDIRECT("C"&amp;ROW()),
          'Unit-Level Data'!$B:$B, INDIRECT("B"&amp;ROW()))</f>
        <v>0</v>
      </c>
      <c r="W81" s="738" t="str" cm="1">
        <f t="array" aca="true" ref="W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1" s="760" t="str" cm="1">
        <f t="array" aca="true" ref="X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1" s="733" cm="1">
        <f t="array" aca="true" ref="Y81" ca="true">COUNTIFS('Unit-Level Data'!$L:$L, "&gt;=" &amp; ($X$2 - W$5),
          'Unit-Level Data'!$L:$L, "&lt;" &amp; $X$2,
          'Unit-Level Data'!$D:$D, INDIRECT("C"&amp;ROW()),
          'Unit-Level Data'!$B:$B, INDIRECT("B"&amp;ROW()))</f>
        <v>0</v>
      </c>
      <c r="Z81" s="761"/>
      <c r="AA81" s="735" cm="1">
        <f t="array" aca="true" ref="AA81" ca="true">IFERROR(AVERAGEIFS(
  unit_details[Sqft],
  unit_details[Property Name], INDIRECT("B"&amp;ROW()),
  unit_details[Floorplan Name], INDIRECT("C"&amp;ROW()),
  unit_details[Beds], INDIRECT("D"&amp;ROW()),
  unit_details[Detected Unit Amenities], "*"&amp;$AB$3&amp;"*",
  unit_details[Leased Date], "&gt;=" &amp; ($X$2 - $AD$3)
),0)</f>
        <v>0</v>
      </c>
      <c r="AB81" s="734" cm="1">
        <f t="array" aca="true" ref="AB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1" s="733" cm="1">
        <f t="array" aca="true" ref="AC81" ca="true">IFERROR(COUNTIFS(
  unit_details[Property Name], INDIRECT("B"&amp;ROW()),
  unit_details[Floorplan Name], INDIRECT("C"&amp;ROW()),
  unit_details[Beds], INDIRECT("D"&amp;ROW()),
  unit_details[Detected Unit Amenities], "*"&amp;$AB$3&amp;"*",
  unit_details[Leased Date], "&gt;=" &amp; ($X$2 - $AD$3)
),0)</f>
        <v>0</v>
      </c>
      <c r="AD81" s="735" cm="1">
        <f t="array" aca="true" ref="AD81" ca="true">IFERROR(AVERAGEIFS(
  unit_details[Sqft],
  unit_details[Property Name], INDIRECT("B"&amp;ROW()),
  unit_details[Floorplan Name], INDIRECT("C"&amp;ROW()),
  unit_details[Beds], INDIRECT("D"&amp;ROW()),
  unit_details[Detected Unit Amenities], "&lt;&gt;*"&amp;$AB$3&amp;"*",
  unit_details[Leased Date], "&gt;=" &amp; ($X$2 - $AD$3)
),0)</f>
        <v>0</v>
      </c>
      <c r="AE81" s="734" cm="1">
        <f t="array" aca="true" ref="AE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1" s="733" cm="1">
        <f t="array" aca="true" ref="AF81" ca="true">IFERROR(COUNTIFS(
  unit_details[Property Name], INDIRECT("B"&amp;ROW()),
  unit_details[Floorplan Name], INDIRECT("C"&amp;ROW()),
  unit_details[Beds], INDIRECT("D"&amp;ROW()),
  unit_details[Detected Unit Amenities], "&lt;&gt;*"&amp;$AB$3&amp;"*",
  unit_details[Leased Date], "&gt;=" &amp; ($X$2 - $AD$3)
),0)</f>
        <v>0</v>
      </c>
      <c r="AG81" s="735"/>
      <c r="AH81" s="738">
        <f t="shared" ca="true" si="4"/>
        <v>0</v>
      </c>
      <c r="AI81" s="739">
        <f t="shared" ca="true" si="5"/>
        <v>0</v>
      </c>
    </row>
    <row r="82" spans="2:35">
      <c r="B82" s="1"/>
      <c r="C82" s="80"/>
      <c r="E82" s="303"/>
      <c r="F82" s="303"/>
      <c r="J82" s="345"/>
      <c r="K82" s="6"/>
      <c r="M82" s="6"/>
      <c r="N82" s="738" t="str" cm="1">
        <f t="array" aca="true" ref="N82" ca="true">IFERROR(IF($O$3="Chunk Rent",
AVERAGEIFS('Unit-Level Data'!$O:$O,'Unit-Level Data'!$M:$M,TRUE,
          'Unit-Level Data'!$D:$D, INDIRECT("C"&amp;ROW()),
          'Unit-Level Data'!$B:$B, INDIRECT("B"&amp;ROW())),
AVERAGEIFS('Unit-Level Data'!$P:$P,'Unit-Level Data'!$M:$M,TRUE,
          'Unit-Level Data'!$D:$D, INDIRECT("C"&amp;ROW()),
          'Unit-Level Data'!$B:$B, INDIRECT("B"&amp;ROW()))),"")</f>
      </c>
      <c r="O82" s="760" t="str" cm="1">
        <f t="array" aca="true" ref="O82" ca="true">IFERROR(IF($O$3="Chunk Rent",
AVERAGEIFS('Unit-Level Data'!$Q:$Q,'Unit-Level Data'!$M:$M,TRUE,
          'Unit-Level Data'!$D:$D, INDIRECT("C"&amp;ROW()),
          'Unit-Level Data'!$B:$B, INDIRECT("B"&amp;ROW())),
AVERAGEIFS('Unit-Level Data'!$R:$R,'Unit-Level Data'!$M:$M,TRUE,
          'Unit-Level Data'!$D:$D, INDIRECT("C"&amp;ROW()),
          'Unit-Level Data'!$B:$B, INDIRECT("B"&amp;ROW()))),"")</f>
      </c>
      <c r="P82" s="733" cm="1">
        <f t="array" aca="true" ref="P82" ca="true">COUNTIFS('Unit-Level Data'!$M:$M,TRUE,
          'Unit-Level Data'!$D:$D, INDIRECT("C"&amp;ROW()),
          'Unit-Level Data'!$B:$B, INDIRECT("B"&amp;ROW()))</f>
        <v>0</v>
      </c>
      <c r="Q82" s="738" t="str" cm="1">
        <f t="array" aca="true" ref="Q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2" s="760" t="str" cm="1">
        <f t="array" aca="true" ref="R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2" s="733" cm="1">
        <f t="array" aca="true" ref="S82" ca="true">COUNTIFS('Unit-Level Data'!$L:$L, "&gt;=" &amp; ($X$2 - Q$5),
          'Unit-Level Data'!$L:$L, "&lt;" &amp; $X$2,
          'Unit-Level Data'!$D:$D, INDIRECT("C"&amp;ROW()),
          'Unit-Level Data'!$B:$B, INDIRECT("B"&amp;ROW()))</f>
        <v>0</v>
      </c>
      <c r="T82" s="738" t="str" cm="1">
        <f t="array" aca="true" ref="T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2" s="760" t="str" cm="1">
        <f t="array" aca="true" ref="U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2" s="733" cm="1">
        <f t="array" aca="true" ref="V82" ca="true">COUNTIFS('Unit-Level Data'!$L:$L, "&gt;=" &amp; ($X$2 - T$5),
          'Unit-Level Data'!$L:$L, "&lt;" &amp; $X$2,
          'Unit-Level Data'!$D:$D, INDIRECT("C"&amp;ROW()),
          'Unit-Level Data'!$B:$B, INDIRECT("B"&amp;ROW()))</f>
        <v>0</v>
      </c>
      <c r="W82" s="738" t="str" cm="1">
        <f t="array" aca="true" ref="W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2" s="760" t="str" cm="1">
        <f t="array" aca="true" ref="X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2" s="733" cm="1">
        <f t="array" aca="true" ref="Y82" ca="true">COUNTIFS('Unit-Level Data'!$L:$L, "&gt;=" &amp; ($X$2 - W$5),
          'Unit-Level Data'!$L:$L, "&lt;" &amp; $X$2,
          'Unit-Level Data'!$D:$D, INDIRECT("C"&amp;ROW()),
          'Unit-Level Data'!$B:$B, INDIRECT("B"&amp;ROW()))</f>
        <v>0</v>
      </c>
      <c r="Z82" s="761"/>
      <c r="AA82" s="735" cm="1">
        <f t="array" aca="true" ref="AA82" ca="true">IFERROR(AVERAGEIFS(
  unit_details[Sqft],
  unit_details[Property Name], INDIRECT("B"&amp;ROW()),
  unit_details[Floorplan Name], INDIRECT("C"&amp;ROW()),
  unit_details[Beds], INDIRECT("D"&amp;ROW()),
  unit_details[Detected Unit Amenities], "*"&amp;$AB$3&amp;"*",
  unit_details[Leased Date], "&gt;=" &amp; ($X$2 - $AD$3)
),0)</f>
        <v>0</v>
      </c>
      <c r="AB82" s="734" cm="1">
        <f t="array" aca="true" ref="AB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2" s="733" cm="1">
        <f t="array" aca="true" ref="AC82" ca="true">IFERROR(COUNTIFS(
  unit_details[Property Name], INDIRECT("B"&amp;ROW()),
  unit_details[Floorplan Name], INDIRECT("C"&amp;ROW()),
  unit_details[Beds], INDIRECT("D"&amp;ROW()),
  unit_details[Detected Unit Amenities], "*"&amp;$AB$3&amp;"*",
  unit_details[Leased Date], "&gt;=" &amp; ($X$2 - $AD$3)
),0)</f>
        <v>0</v>
      </c>
      <c r="AD82" s="735" cm="1">
        <f t="array" aca="true" ref="AD82" ca="true">IFERROR(AVERAGEIFS(
  unit_details[Sqft],
  unit_details[Property Name], INDIRECT("B"&amp;ROW()),
  unit_details[Floorplan Name], INDIRECT("C"&amp;ROW()),
  unit_details[Beds], INDIRECT("D"&amp;ROW()),
  unit_details[Detected Unit Amenities], "&lt;&gt;*"&amp;$AB$3&amp;"*",
  unit_details[Leased Date], "&gt;=" &amp; ($X$2 - $AD$3)
),0)</f>
        <v>0</v>
      </c>
      <c r="AE82" s="734" cm="1">
        <f t="array" aca="true" ref="AE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2" s="733" cm="1">
        <f t="array" aca="true" ref="AF82" ca="true">IFERROR(COUNTIFS(
  unit_details[Property Name], INDIRECT("B"&amp;ROW()),
  unit_details[Floorplan Name], INDIRECT("C"&amp;ROW()),
  unit_details[Beds], INDIRECT("D"&amp;ROW()),
  unit_details[Detected Unit Amenities], "&lt;&gt;*"&amp;$AB$3&amp;"*",
  unit_details[Leased Date], "&gt;=" &amp; ($X$2 - $AD$3)
),0)</f>
        <v>0</v>
      </c>
      <c r="AG82" s="735"/>
      <c r="AH82" s="738">
        <f t="shared" ca="true" si="4"/>
        <v>0</v>
      </c>
      <c r="AI82" s="739">
        <f t="shared" ca="true" si="5"/>
        <v>0</v>
      </c>
    </row>
    <row r="83" spans="2:35">
      <c r="B83" s="1"/>
      <c r="C83" s="80"/>
      <c r="E83" s="303"/>
      <c r="F83" s="303"/>
      <c r="J83" s="345"/>
      <c r="K83" s="6"/>
      <c r="M83" s="6"/>
      <c r="N83" s="738" t="str" cm="1">
        <f t="array" aca="true" ref="N83" ca="true">IFERROR(IF($O$3="Chunk Rent",
AVERAGEIFS('Unit-Level Data'!$O:$O,'Unit-Level Data'!$M:$M,TRUE,
          'Unit-Level Data'!$D:$D, INDIRECT("C"&amp;ROW()),
          'Unit-Level Data'!$B:$B, INDIRECT("B"&amp;ROW())),
AVERAGEIFS('Unit-Level Data'!$P:$P,'Unit-Level Data'!$M:$M,TRUE,
          'Unit-Level Data'!$D:$D, INDIRECT("C"&amp;ROW()),
          'Unit-Level Data'!$B:$B, INDIRECT("B"&amp;ROW()))),"")</f>
      </c>
      <c r="O83" s="760" t="str" cm="1">
        <f t="array" aca="true" ref="O83" ca="true">IFERROR(IF($O$3="Chunk Rent",
AVERAGEIFS('Unit-Level Data'!$Q:$Q,'Unit-Level Data'!$M:$M,TRUE,
          'Unit-Level Data'!$D:$D, INDIRECT("C"&amp;ROW()),
          'Unit-Level Data'!$B:$B, INDIRECT("B"&amp;ROW())),
AVERAGEIFS('Unit-Level Data'!$R:$R,'Unit-Level Data'!$M:$M,TRUE,
          'Unit-Level Data'!$D:$D, INDIRECT("C"&amp;ROW()),
          'Unit-Level Data'!$B:$B, INDIRECT("B"&amp;ROW()))),"")</f>
      </c>
      <c r="P83" s="733" cm="1">
        <f t="array" aca="true" ref="P83" ca="true">COUNTIFS('Unit-Level Data'!$M:$M,TRUE,
          'Unit-Level Data'!$D:$D, INDIRECT("C"&amp;ROW()),
          'Unit-Level Data'!$B:$B, INDIRECT("B"&amp;ROW()))</f>
        <v>0</v>
      </c>
      <c r="Q83" s="738" t="str" cm="1">
        <f t="array" aca="true" ref="Q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3" s="760" t="str" cm="1">
        <f t="array" aca="true" ref="R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3" s="733" cm="1">
        <f t="array" aca="true" ref="S83" ca="true">COUNTIFS('Unit-Level Data'!$L:$L, "&gt;=" &amp; ($X$2 - Q$5),
          'Unit-Level Data'!$L:$L, "&lt;" &amp; $X$2,
          'Unit-Level Data'!$D:$D, INDIRECT("C"&amp;ROW()),
          'Unit-Level Data'!$B:$B, INDIRECT("B"&amp;ROW()))</f>
        <v>0</v>
      </c>
      <c r="T83" s="738" t="str" cm="1">
        <f t="array" aca="true" ref="T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3" s="760" t="str" cm="1">
        <f t="array" aca="true" ref="U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3" s="733" cm="1">
        <f t="array" aca="true" ref="V83" ca="true">COUNTIFS('Unit-Level Data'!$L:$L, "&gt;=" &amp; ($X$2 - T$5),
          'Unit-Level Data'!$L:$L, "&lt;" &amp; $X$2,
          'Unit-Level Data'!$D:$D, INDIRECT("C"&amp;ROW()),
          'Unit-Level Data'!$B:$B, INDIRECT("B"&amp;ROW()))</f>
        <v>0</v>
      </c>
      <c r="W83" s="738" t="str" cm="1">
        <f t="array" aca="true" ref="W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3" s="760" t="str" cm="1">
        <f t="array" aca="true" ref="X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3" s="733" cm="1">
        <f t="array" aca="true" ref="Y83" ca="true">COUNTIFS('Unit-Level Data'!$L:$L, "&gt;=" &amp; ($X$2 - W$5),
          'Unit-Level Data'!$L:$L, "&lt;" &amp; $X$2,
          'Unit-Level Data'!$D:$D, INDIRECT("C"&amp;ROW()),
          'Unit-Level Data'!$B:$B, INDIRECT("B"&amp;ROW()))</f>
        <v>0</v>
      </c>
      <c r="Z83" s="761"/>
      <c r="AA83" s="735" cm="1">
        <f t="array" aca="true" ref="AA83" ca="true">IFERROR(AVERAGEIFS(
  unit_details[Sqft],
  unit_details[Property Name], INDIRECT("B"&amp;ROW()),
  unit_details[Floorplan Name], INDIRECT("C"&amp;ROW()),
  unit_details[Beds], INDIRECT("D"&amp;ROW()),
  unit_details[Detected Unit Amenities], "*"&amp;$AB$3&amp;"*",
  unit_details[Leased Date], "&gt;=" &amp; ($X$2 - $AD$3)
),0)</f>
        <v>0</v>
      </c>
      <c r="AB83" s="734" cm="1">
        <f t="array" aca="true" ref="AB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3" s="733" cm="1">
        <f t="array" aca="true" ref="AC83" ca="true">IFERROR(COUNTIFS(
  unit_details[Property Name], INDIRECT("B"&amp;ROW()),
  unit_details[Floorplan Name], INDIRECT("C"&amp;ROW()),
  unit_details[Beds], INDIRECT("D"&amp;ROW()),
  unit_details[Detected Unit Amenities], "*"&amp;$AB$3&amp;"*",
  unit_details[Leased Date], "&gt;=" &amp; ($X$2 - $AD$3)
),0)</f>
        <v>0</v>
      </c>
      <c r="AD83" s="735" cm="1">
        <f t="array" aca="true" ref="AD83" ca="true">IFERROR(AVERAGEIFS(
  unit_details[Sqft],
  unit_details[Property Name], INDIRECT("B"&amp;ROW()),
  unit_details[Floorplan Name], INDIRECT("C"&amp;ROW()),
  unit_details[Beds], INDIRECT("D"&amp;ROW()),
  unit_details[Detected Unit Amenities], "&lt;&gt;*"&amp;$AB$3&amp;"*",
  unit_details[Leased Date], "&gt;=" &amp; ($X$2 - $AD$3)
),0)</f>
        <v>0</v>
      </c>
      <c r="AE83" s="734" cm="1">
        <f t="array" aca="true" ref="AE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3" s="733" cm="1">
        <f t="array" aca="true" ref="AF83" ca="true">IFERROR(COUNTIFS(
  unit_details[Property Name], INDIRECT("B"&amp;ROW()),
  unit_details[Floorplan Name], INDIRECT("C"&amp;ROW()),
  unit_details[Beds], INDIRECT("D"&amp;ROW()),
  unit_details[Detected Unit Amenities], "&lt;&gt;*"&amp;$AB$3&amp;"*",
  unit_details[Leased Date], "&gt;=" &amp; ($X$2 - $AD$3)
),0)</f>
        <v>0</v>
      </c>
      <c r="AG83" s="735"/>
      <c r="AH83" s="738">
        <f t="shared" ca="true" si="4"/>
        <v>0</v>
      </c>
      <c r="AI83" s="739">
        <f t="shared" ca="true" si="5"/>
        <v>0</v>
      </c>
    </row>
    <row r="84" spans="2:35">
      <c r="B84" s="1"/>
      <c r="C84" s="80"/>
      <c r="E84" s="303"/>
      <c r="F84" s="303"/>
      <c r="J84" s="345"/>
      <c r="K84" s="6"/>
      <c r="M84" s="6"/>
      <c r="N84" s="738" t="str" cm="1">
        <f t="array" aca="true" ref="N84" ca="true">IFERROR(IF($O$3="Chunk Rent",
AVERAGEIFS('Unit-Level Data'!$O:$O,'Unit-Level Data'!$M:$M,TRUE,
          'Unit-Level Data'!$D:$D, INDIRECT("C"&amp;ROW()),
          'Unit-Level Data'!$B:$B, INDIRECT("B"&amp;ROW())),
AVERAGEIFS('Unit-Level Data'!$P:$P,'Unit-Level Data'!$M:$M,TRUE,
          'Unit-Level Data'!$D:$D, INDIRECT("C"&amp;ROW()),
          'Unit-Level Data'!$B:$B, INDIRECT("B"&amp;ROW()))),"")</f>
      </c>
      <c r="O84" s="760" t="str" cm="1">
        <f t="array" aca="true" ref="O84" ca="true">IFERROR(IF($O$3="Chunk Rent",
AVERAGEIFS('Unit-Level Data'!$Q:$Q,'Unit-Level Data'!$M:$M,TRUE,
          'Unit-Level Data'!$D:$D, INDIRECT("C"&amp;ROW()),
          'Unit-Level Data'!$B:$B, INDIRECT("B"&amp;ROW())),
AVERAGEIFS('Unit-Level Data'!$R:$R,'Unit-Level Data'!$M:$M,TRUE,
          'Unit-Level Data'!$D:$D, INDIRECT("C"&amp;ROW()),
          'Unit-Level Data'!$B:$B, INDIRECT("B"&amp;ROW()))),"")</f>
      </c>
      <c r="P84" s="733" cm="1">
        <f t="array" aca="true" ref="P84" ca="true">COUNTIFS('Unit-Level Data'!$M:$M,TRUE,
          'Unit-Level Data'!$D:$D, INDIRECT("C"&amp;ROW()),
          'Unit-Level Data'!$B:$B, INDIRECT("B"&amp;ROW()))</f>
        <v>0</v>
      </c>
      <c r="Q84" s="738" t="str" cm="1">
        <f t="array" aca="true" ref="Q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4" s="760" t="str" cm="1">
        <f t="array" aca="true" ref="R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4" s="733" cm="1">
        <f t="array" aca="true" ref="S84" ca="true">COUNTIFS('Unit-Level Data'!$L:$L, "&gt;=" &amp; ($X$2 - Q$5),
          'Unit-Level Data'!$L:$L, "&lt;" &amp; $X$2,
          'Unit-Level Data'!$D:$D, INDIRECT("C"&amp;ROW()),
          'Unit-Level Data'!$B:$B, INDIRECT("B"&amp;ROW()))</f>
        <v>0</v>
      </c>
      <c r="T84" s="738" t="str" cm="1">
        <f t="array" aca="true" ref="T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4" s="760" t="str" cm="1">
        <f t="array" aca="true" ref="U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4" s="733" cm="1">
        <f t="array" aca="true" ref="V84" ca="true">COUNTIFS('Unit-Level Data'!$L:$L, "&gt;=" &amp; ($X$2 - T$5),
          'Unit-Level Data'!$L:$L, "&lt;" &amp; $X$2,
          'Unit-Level Data'!$D:$D, INDIRECT("C"&amp;ROW()),
          'Unit-Level Data'!$B:$B, INDIRECT("B"&amp;ROW()))</f>
        <v>0</v>
      </c>
      <c r="W84" s="738" t="str" cm="1">
        <f t="array" aca="true" ref="W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4" s="760" t="str" cm="1">
        <f t="array" aca="true" ref="X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4" s="733" cm="1">
        <f t="array" aca="true" ref="Y84" ca="true">COUNTIFS('Unit-Level Data'!$L:$L, "&gt;=" &amp; ($X$2 - W$5),
          'Unit-Level Data'!$L:$L, "&lt;" &amp; $X$2,
          'Unit-Level Data'!$D:$D, INDIRECT("C"&amp;ROW()),
          'Unit-Level Data'!$B:$B, INDIRECT("B"&amp;ROW()))</f>
        <v>0</v>
      </c>
      <c r="Z84" s="761"/>
      <c r="AA84" s="735" cm="1">
        <f t="array" aca="true" ref="AA84" ca="true">IFERROR(AVERAGEIFS(
  unit_details[Sqft],
  unit_details[Property Name], INDIRECT("B"&amp;ROW()),
  unit_details[Floorplan Name], INDIRECT("C"&amp;ROW()),
  unit_details[Beds], INDIRECT("D"&amp;ROW()),
  unit_details[Detected Unit Amenities], "*"&amp;$AB$3&amp;"*",
  unit_details[Leased Date], "&gt;=" &amp; ($X$2 - $AD$3)
),0)</f>
        <v>0</v>
      </c>
      <c r="AB84" s="734" cm="1">
        <f t="array" aca="true" ref="AB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4" s="733" cm="1">
        <f t="array" aca="true" ref="AC84" ca="true">IFERROR(COUNTIFS(
  unit_details[Property Name], INDIRECT("B"&amp;ROW()),
  unit_details[Floorplan Name], INDIRECT("C"&amp;ROW()),
  unit_details[Beds], INDIRECT("D"&amp;ROW()),
  unit_details[Detected Unit Amenities], "*"&amp;$AB$3&amp;"*",
  unit_details[Leased Date], "&gt;=" &amp; ($X$2 - $AD$3)
),0)</f>
        <v>0</v>
      </c>
      <c r="AD84" s="735" cm="1">
        <f t="array" aca="true" ref="AD84" ca="true">IFERROR(AVERAGEIFS(
  unit_details[Sqft],
  unit_details[Property Name], INDIRECT("B"&amp;ROW()),
  unit_details[Floorplan Name], INDIRECT("C"&amp;ROW()),
  unit_details[Beds], INDIRECT("D"&amp;ROW()),
  unit_details[Detected Unit Amenities], "&lt;&gt;*"&amp;$AB$3&amp;"*",
  unit_details[Leased Date], "&gt;=" &amp; ($X$2 - $AD$3)
),0)</f>
        <v>0</v>
      </c>
      <c r="AE84" s="734" cm="1">
        <f t="array" aca="true" ref="AE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4" s="733" cm="1">
        <f t="array" aca="true" ref="AF84" ca="true">IFERROR(COUNTIFS(
  unit_details[Property Name], INDIRECT("B"&amp;ROW()),
  unit_details[Floorplan Name], INDIRECT("C"&amp;ROW()),
  unit_details[Beds], INDIRECT("D"&amp;ROW()),
  unit_details[Detected Unit Amenities], "&lt;&gt;*"&amp;$AB$3&amp;"*",
  unit_details[Leased Date], "&gt;=" &amp; ($X$2 - $AD$3)
),0)</f>
        <v>0</v>
      </c>
      <c r="AG84" s="735"/>
      <c r="AH84" s="738">
        <f t="shared" ca="true" si="4"/>
        <v>0</v>
      </c>
      <c r="AI84" s="739">
        <f t="shared" ca="true" si="5"/>
        <v>0</v>
      </c>
    </row>
    <row r="85" spans="2:35">
      <c r="B85" s="1"/>
      <c r="C85" s="80"/>
      <c r="E85" s="303"/>
      <c r="F85" s="303"/>
      <c r="J85" s="345"/>
      <c r="K85" s="6"/>
      <c r="M85" s="6"/>
      <c r="N85" s="738" t="str" cm="1">
        <f t="array" aca="true" ref="N85" ca="true">IFERROR(IF($O$3="Chunk Rent",
AVERAGEIFS('Unit-Level Data'!$O:$O,'Unit-Level Data'!$M:$M,TRUE,
          'Unit-Level Data'!$D:$D, INDIRECT("C"&amp;ROW()),
          'Unit-Level Data'!$B:$B, INDIRECT("B"&amp;ROW())),
AVERAGEIFS('Unit-Level Data'!$P:$P,'Unit-Level Data'!$M:$M,TRUE,
          'Unit-Level Data'!$D:$D, INDIRECT("C"&amp;ROW()),
          'Unit-Level Data'!$B:$B, INDIRECT("B"&amp;ROW()))),"")</f>
      </c>
      <c r="O85" s="760" t="str" cm="1">
        <f t="array" aca="true" ref="O85" ca="true">IFERROR(IF($O$3="Chunk Rent",
AVERAGEIFS('Unit-Level Data'!$Q:$Q,'Unit-Level Data'!$M:$M,TRUE,
          'Unit-Level Data'!$D:$D, INDIRECT("C"&amp;ROW()),
          'Unit-Level Data'!$B:$B, INDIRECT("B"&amp;ROW())),
AVERAGEIFS('Unit-Level Data'!$R:$R,'Unit-Level Data'!$M:$M,TRUE,
          'Unit-Level Data'!$D:$D, INDIRECT("C"&amp;ROW()),
          'Unit-Level Data'!$B:$B, INDIRECT("B"&amp;ROW()))),"")</f>
      </c>
      <c r="P85" s="733" cm="1">
        <f t="array" aca="true" ref="P85" ca="true">COUNTIFS('Unit-Level Data'!$M:$M,TRUE,
          'Unit-Level Data'!$D:$D, INDIRECT("C"&amp;ROW()),
          'Unit-Level Data'!$B:$B, INDIRECT("B"&amp;ROW()))</f>
        <v>0</v>
      </c>
      <c r="Q85" s="738" t="str" cm="1">
        <f t="array" aca="true" ref="Q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5" s="760" t="str" cm="1">
        <f t="array" aca="true" ref="R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5" s="733" cm="1">
        <f t="array" aca="true" ref="S85" ca="true">COUNTIFS('Unit-Level Data'!$L:$L, "&gt;=" &amp; ($X$2 - Q$5),
          'Unit-Level Data'!$L:$L, "&lt;" &amp; $X$2,
          'Unit-Level Data'!$D:$D, INDIRECT("C"&amp;ROW()),
          'Unit-Level Data'!$B:$B, INDIRECT("B"&amp;ROW()))</f>
        <v>0</v>
      </c>
      <c r="T85" s="738" t="str" cm="1">
        <f t="array" aca="true" ref="T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5" s="760" t="str" cm="1">
        <f t="array" aca="true" ref="U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5" s="733" cm="1">
        <f t="array" aca="true" ref="V85" ca="true">COUNTIFS('Unit-Level Data'!$L:$L, "&gt;=" &amp; ($X$2 - T$5),
          'Unit-Level Data'!$L:$L, "&lt;" &amp; $X$2,
          'Unit-Level Data'!$D:$D, INDIRECT("C"&amp;ROW()),
          'Unit-Level Data'!$B:$B, INDIRECT("B"&amp;ROW()))</f>
        <v>0</v>
      </c>
      <c r="W85" s="738" t="str" cm="1">
        <f t="array" aca="true" ref="W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5" s="760" t="str" cm="1">
        <f t="array" aca="true" ref="X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5" s="733" cm="1">
        <f t="array" aca="true" ref="Y85" ca="true">COUNTIFS('Unit-Level Data'!$L:$L, "&gt;=" &amp; ($X$2 - W$5),
          'Unit-Level Data'!$L:$L, "&lt;" &amp; $X$2,
          'Unit-Level Data'!$D:$D, INDIRECT("C"&amp;ROW()),
          'Unit-Level Data'!$B:$B, INDIRECT("B"&amp;ROW()))</f>
        <v>0</v>
      </c>
      <c r="Z85" s="761"/>
      <c r="AA85" s="735" cm="1">
        <f t="array" aca="true" ref="AA85" ca="true">IFERROR(AVERAGEIFS(
  unit_details[Sqft],
  unit_details[Property Name], INDIRECT("B"&amp;ROW()),
  unit_details[Floorplan Name], INDIRECT("C"&amp;ROW()),
  unit_details[Beds], INDIRECT("D"&amp;ROW()),
  unit_details[Detected Unit Amenities], "*"&amp;$AB$3&amp;"*",
  unit_details[Leased Date], "&gt;=" &amp; ($X$2 - $AD$3)
),0)</f>
        <v>0</v>
      </c>
      <c r="AB85" s="734" cm="1">
        <f t="array" aca="true" ref="AB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5" s="733" cm="1">
        <f t="array" aca="true" ref="AC85" ca="true">IFERROR(COUNTIFS(
  unit_details[Property Name], INDIRECT("B"&amp;ROW()),
  unit_details[Floorplan Name], INDIRECT("C"&amp;ROW()),
  unit_details[Beds], INDIRECT("D"&amp;ROW()),
  unit_details[Detected Unit Amenities], "*"&amp;$AB$3&amp;"*",
  unit_details[Leased Date], "&gt;=" &amp; ($X$2 - $AD$3)
),0)</f>
        <v>0</v>
      </c>
      <c r="AD85" s="735" cm="1">
        <f t="array" aca="true" ref="AD85" ca="true">IFERROR(AVERAGEIFS(
  unit_details[Sqft],
  unit_details[Property Name], INDIRECT("B"&amp;ROW()),
  unit_details[Floorplan Name], INDIRECT("C"&amp;ROW()),
  unit_details[Beds], INDIRECT("D"&amp;ROW()),
  unit_details[Detected Unit Amenities], "&lt;&gt;*"&amp;$AB$3&amp;"*",
  unit_details[Leased Date], "&gt;=" &amp; ($X$2 - $AD$3)
),0)</f>
        <v>0</v>
      </c>
      <c r="AE85" s="734" cm="1">
        <f t="array" aca="true" ref="AE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5" s="733" cm="1">
        <f t="array" aca="true" ref="AF85" ca="true">IFERROR(COUNTIFS(
  unit_details[Property Name], INDIRECT("B"&amp;ROW()),
  unit_details[Floorplan Name], INDIRECT("C"&amp;ROW()),
  unit_details[Beds], INDIRECT("D"&amp;ROW()),
  unit_details[Detected Unit Amenities], "&lt;&gt;*"&amp;$AB$3&amp;"*",
  unit_details[Leased Date], "&gt;=" &amp; ($X$2 - $AD$3)
),0)</f>
        <v>0</v>
      </c>
      <c r="AG85" s="735"/>
      <c r="AH85" s="738">
        <f t="shared" ca="true" si="4"/>
        <v>0</v>
      </c>
      <c r="AI85" s="739">
        <f t="shared" ca="true" si="5"/>
        <v>0</v>
      </c>
    </row>
    <row r="86" spans="2:35">
      <c r="B86" s="1"/>
      <c r="C86" s="80"/>
      <c r="E86" s="303"/>
      <c r="F86" s="303"/>
      <c r="J86" s="345"/>
      <c r="K86" s="6"/>
      <c r="M86" s="6"/>
      <c r="N86" s="738" t="str" cm="1">
        <f t="array" aca="true" ref="N86" ca="true">IFERROR(IF($O$3="Chunk Rent",
AVERAGEIFS('Unit-Level Data'!$O:$O,'Unit-Level Data'!$M:$M,TRUE,
          'Unit-Level Data'!$D:$D, INDIRECT("C"&amp;ROW()),
          'Unit-Level Data'!$B:$B, INDIRECT("B"&amp;ROW())),
AVERAGEIFS('Unit-Level Data'!$P:$P,'Unit-Level Data'!$M:$M,TRUE,
          'Unit-Level Data'!$D:$D, INDIRECT("C"&amp;ROW()),
          'Unit-Level Data'!$B:$B, INDIRECT("B"&amp;ROW()))),"")</f>
      </c>
      <c r="O86" s="760" t="str" cm="1">
        <f t="array" aca="true" ref="O86" ca="true">IFERROR(IF($O$3="Chunk Rent",
AVERAGEIFS('Unit-Level Data'!$Q:$Q,'Unit-Level Data'!$M:$M,TRUE,
          'Unit-Level Data'!$D:$D, INDIRECT("C"&amp;ROW()),
          'Unit-Level Data'!$B:$B, INDIRECT("B"&amp;ROW())),
AVERAGEIFS('Unit-Level Data'!$R:$R,'Unit-Level Data'!$M:$M,TRUE,
          'Unit-Level Data'!$D:$D, INDIRECT("C"&amp;ROW()),
          'Unit-Level Data'!$B:$B, INDIRECT("B"&amp;ROW()))),"")</f>
      </c>
      <c r="P86" s="733" cm="1">
        <f t="array" aca="true" ref="P86" ca="true">COUNTIFS('Unit-Level Data'!$M:$M,TRUE,
          'Unit-Level Data'!$D:$D, INDIRECT("C"&amp;ROW()),
          'Unit-Level Data'!$B:$B, INDIRECT("B"&amp;ROW()))</f>
        <v>0</v>
      </c>
      <c r="Q86" s="738" t="str" cm="1">
        <f t="array" aca="true" ref="Q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6" s="760" t="str" cm="1">
        <f t="array" aca="true" ref="R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6" s="733" cm="1">
        <f t="array" aca="true" ref="S86" ca="true">COUNTIFS('Unit-Level Data'!$L:$L, "&gt;=" &amp; ($X$2 - Q$5),
          'Unit-Level Data'!$L:$L, "&lt;" &amp; $X$2,
          'Unit-Level Data'!$D:$D, INDIRECT("C"&amp;ROW()),
          'Unit-Level Data'!$B:$B, INDIRECT("B"&amp;ROW()))</f>
        <v>0</v>
      </c>
      <c r="T86" s="738" t="str" cm="1">
        <f t="array" aca="true" ref="T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6" s="760" t="str" cm="1">
        <f t="array" aca="true" ref="U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6" s="733" cm="1">
        <f t="array" aca="true" ref="V86" ca="true">COUNTIFS('Unit-Level Data'!$L:$L, "&gt;=" &amp; ($X$2 - T$5),
          'Unit-Level Data'!$L:$L, "&lt;" &amp; $X$2,
          'Unit-Level Data'!$D:$D, INDIRECT("C"&amp;ROW()),
          'Unit-Level Data'!$B:$B, INDIRECT("B"&amp;ROW()))</f>
        <v>0</v>
      </c>
      <c r="W86" s="738" t="str" cm="1">
        <f t="array" aca="true" ref="W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6" s="760" t="str" cm="1">
        <f t="array" aca="true" ref="X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6" s="733" cm="1">
        <f t="array" aca="true" ref="Y86" ca="true">COUNTIFS('Unit-Level Data'!$L:$L, "&gt;=" &amp; ($X$2 - W$5),
          'Unit-Level Data'!$L:$L, "&lt;" &amp; $X$2,
          'Unit-Level Data'!$D:$D, INDIRECT("C"&amp;ROW()),
          'Unit-Level Data'!$B:$B, INDIRECT("B"&amp;ROW()))</f>
        <v>0</v>
      </c>
      <c r="Z86" s="761"/>
      <c r="AA86" s="735" cm="1">
        <f t="array" aca="true" ref="AA86" ca="true">IFERROR(AVERAGEIFS(
  unit_details[Sqft],
  unit_details[Property Name], INDIRECT("B"&amp;ROW()),
  unit_details[Floorplan Name], INDIRECT("C"&amp;ROW()),
  unit_details[Beds], INDIRECT("D"&amp;ROW()),
  unit_details[Detected Unit Amenities], "*"&amp;$AB$3&amp;"*",
  unit_details[Leased Date], "&gt;=" &amp; ($X$2 - $AD$3)
),0)</f>
        <v>0</v>
      </c>
      <c r="AB86" s="734" cm="1">
        <f t="array" aca="true" ref="AB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6" s="733" cm="1">
        <f t="array" aca="true" ref="AC86" ca="true">IFERROR(COUNTIFS(
  unit_details[Property Name], INDIRECT("B"&amp;ROW()),
  unit_details[Floorplan Name], INDIRECT("C"&amp;ROW()),
  unit_details[Beds], INDIRECT("D"&amp;ROW()),
  unit_details[Detected Unit Amenities], "*"&amp;$AB$3&amp;"*",
  unit_details[Leased Date], "&gt;=" &amp; ($X$2 - $AD$3)
),0)</f>
        <v>0</v>
      </c>
      <c r="AD86" s="735" cm="1">
        <f t="array" aca="true" ref="AD86" ca="true">IFERROR(AVERAGEIFS(
  unit_details[Sqft],
  unit_details[Property Name], INDIRECT("B"&amp;ROW()),
  unit_details[Floorplan Name], INDIRECT("C"&amp;ROW()),
  unit_details[Beds], INDIRECT("D"&amp;ROW()),
  unit_details[Detected Unit Amenities], "&lt;&gt;*"&amp;$AB$3&amp;"*",
  unit_details[Leased Date], "&gt;=" &amp; ($X$2 - $AD$3)
),0)</f>
        <v>0</v>
      </c>
      <c r="AE86" s="734" cm="1">
        <f t="array" aca="true" ref="AE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6" s="733" cm="1">
        <f t="array" aca="true" ref="AF86" ca="true">IFERROR(COUNTIFS(
  unit_details[Property Name], INDIRECT("B"&amp;ROW()),
  unit_details[Floorplan Name], INDIRECT("C"&amp;ROW()),
  unit_details[Beds], INDIRECT("D"&amp;ROW()),
  unit_details[Detected Unit Amenities], "&lt;&gt;*"&amp;$AB$3&amp;"*",
  unit_details[Leased Date], "&gt;=" &amp; ($X$2 - $AD$3)
),0)</f>
        <v>0</v>
      </c>
      <c r="AG86" s="735"/>
      <c r="AH86" s="738">
        <f t="shared" ca="true" si="4"/>
        <v>0</v>
      </c>
      <c r="AI86" s="739">
        <f t="shared" ca="true" si="5"/>
        <v>0</v>
      </c>
    </row>
    <row r="87" spans="2:35">
      <c r="B87" s="1"/>
      <c r="C87" s="80"/>
      <c r="E87" s="303"/>
      <c r="F87" s="303"/>
      <c r="J87" s="345"/>
      <c r="K87" s="6"/>
      <c r="M87" s="6"/>
      <c r="N87" s="738" t="str" cm="1">
        <f t="array" aca="true" ref="N87" ca="true">IFERROR(IF($O$3="Chunk Rent",
AVERAGEIFS('Unit-Level Data'!$O:$O,'Unit-Level Data'!$M:$M,TRUE,
          'Unit-Level Data'!$D:$D, INDIRECT("C"&amp;ROW()),
          'Unit-Level Data'!$B:$B, INDIRECT("B"&amp;ROW())),
AVERAGEIFS('Unit-Level Data'!$P:$P,'Unit-Level Data'!$M:$M,TRUE,
          'Unit-Level Data'!$D:$D, INDIRECT("C"&amp;ROW()),
          'Unit-Level Data'!$B:$B, INDIRECT("B"&amp;ROW()))),"")</f>
      </c>
      <c r="O87" s="760" t="str" cm="1">
        <f t="array" aca="true" ref="O87" ca="true">IFERROR(IF($O$3="Chunk Rent",
AVERAGEIFS('Unit-Level Data'!$Q:$Q,'Unit-Level Data'!$M:$M,TRUE,
          'Unit-Level Data'!$D:$D, INDIRECT("C"&amp;ROW()),
          'Unit-Level Data'!$B:$B, INDIRECT("B"&amp;ROW())),
AVERAGEIFS('Unit-Level Data'!$R:$R,'Unit-Level Data'!$M:$M,TRUE,
          'Unit-Level Data'!$D:$D, INDIRECT("C"&amp;ROW()),
          'Unit-Level Data'!$B:$B, INDIRECT("B"&amp;ROW()))),"")</f>
      </c>
      <c r="P87" s="733" cm="1">
        <f t="array" aca="true" ref="P87" ca="true">COUNTIFS('Unit-Level Data'!$M:$M,TRUE,
          'Unit-Level Data'!$D:$D, INDIRECT("C"&amp;ROW()),
          'Unit-Level Data'!$B:$B, INDIRECT("B"&amp;ROW()))</f>
        <v>0</v>
      </c>
      <c r="Q87" s="738" t="str" cm="1">
        <f t="array" aca="true" ref="Q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7" s="760" t="str" cm="1">
        <f t="array" aca="true" ref="R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7" s="733" cm="1">
        <f t="array" aca="true" ref="S87" ca="true">COUNTIFS('Unit-Level Data'!$L:$L, "&gt;=" &amp; ($X$2 - Q$5),
          'Unit-Level Data'!$L:$L, "&lt;" &amp; $X$2,
          'Unit-Level Data'!$D:$D, INDIRECT("C"&amp;ROW()),
          'Unit-Level Data'!$B:$B, INDIRECT("B"&amp;ROW()))</f>
        <v>0</v>
      </c>
      <c r="T87" s="738" t="str" cm="1">
        <f t="array" aca="true" ref="T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7" s="760" t="str" cm="1">
        <f t="array" aca="true" ref="U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7" s="733" cm="1">
        <f t="array" aca="true" ref="V87" ca="true">COUNTIFS('Unit-Level Data'!$L:$L, "&gt;=" &amp; ($X$2 - T$5),
          'Unit-Level Data'!$L:$L, "&lt;" &amp; $X$2,
          'Unit-Level Data'!$D:$D, INDIRECT("C"&amp;ROW()),
          'Unit-Level Data'!$B:$B, INDIRECT("B"&amp;ROW()))</f>
        <v>0</v>
      </c>
      <c r="W87" s="738" t="str" cm="1">
        <f t="array" aca="true" ref="W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7" s="760" t="str" cm="1">
        <f t="array" aca="true" ref="X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7" s="733" cm="1">
        <f t="array" aca="true" ref="Y87" ca="true">COUNTIFS('Unit-Level Data'!$L:$L, "&gt;=" &amp; ($X$2 - W$5),
          'Unit-Level Data'!$L:$L, "&lt;" &amp; $X$2,
          'Unit-Level Data'!$D:$D, INDIRECT("C"&amp;ROW()),
          'Unit-Level Data'!$B:$B, INDIRECT("B"&amp;ROW()))</f>
        <v>0</v>
      </c>
      <c r="Z87" s="761"/>
      <c r="AA87" s="735" cm="1">
        <f t="array" aca="true" ref="AA87" ca="true">IFERROR(AVERAGEIFS(
  unit_details[Sqft],
  unit_details[Property Name], INDIRECT("B"&amp;ROW()),
  unit_details[Floorplan Name], INDIRECT("C"&amp;ROW()),
  unit_details[Beds], INDIRECT("D"&amp;ROW()),
  unit_details[Detected Unit Amenities], "*"&amp;$AB$3&amp;"*",
  unit_details[Leased Date], "&gt;=" &amp; ($X$2 - $AD$3)
),0)</f>
        <v>0</v>
      </c>
      <c r="AB87" s="734" cm="1">
        <f t="array" aca="true" ref="AB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7" s="733" cm="1">
        <f t="array" aca="true" ref="AC87" ca="true">IFERROR(COUNTIFS(
  unit_details[Property Name], INDIRECT("B"&amp;ROW()),
  unit_details[Floorplan Name], INDIRECT("C"&amp;ROW()),
  unit_details[Beds], INDIRECT("D"&amp;ROW()),
  unit_details[Detected Unit Amenities], "*"&amp;$AB$3&amp;"*",
  unit_details[Leased Date], "&gt;=" &amp; ($X$2 - $AD$3)
),0)</f>
        <v>0</v>
      </c>
      <c r="AD87" s="735" cm="1">
        <f t="array" aca="true" ref="AD87" ca="true">IFERROR(AVERAGEIFS(
  unit_details[Sqft],
  unit_details[Property Name], INDIRECT("B"&amp;ROW()),
  unit_details[Floorplan Name], INDIRECT("C"&amp;ROW()),
  unit_details[Beds], INDIRECT("D"&amp;ROW()),
  unit_details[Detected Unit Amenities], "&lt;&gt;*"&amp;$AB$3&amp;"*",
  unit_details[Leased Date], "&gt;=" &amp; ($X$2 - $AD$3)
),0)</f>
        <v>0</v>
      </c>
      <c r="AE87" s="734" cm="1">
        <f t="array" aca="true" ref="AE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7" s="733" cm="1">
        <f t="array" aca="true" ref="AF87" ca="true">IFERROR(COUNTIFS(
  unit_details[Property Name], INDIRECT("B"&amp;ROW()),
  unit_details[Floorplan Name], INDIRECT("C"&amp;ROW()),
  unit_details[Beds], INDIRECT("D"&amp;ROW()),
  unit_details[Detected Unit Amenities], "&lt;&gt;*"&amp;$AB$3&amp;"*",
  unit_details[Leased Date], "&gt;=" &amp; ($X$2 - $AD$3)
),0)</f>
        <v>0</v>
      </c>
      <c r="AG87" s="735"/>
      <c r="AH87" s="738">
        <f t="shared" ca="true" si="4"/>
        <v>0</v>
      </c>
      <c r="AI87" s="739">
        <f t="shared" ca="true" si="5"/>
        <v>0</v>
      </c>
    </row>
    <row r="88" spans="2:35">
      <c r="B88" s="1"/>
      <c r="C88" s="80"/>
      <c r="E88" s="303"/>
      <c r="F88" s="303"/>
      <c r="J88" s="345"/>
      <c r="K88" s="6"/>
      <c r="M88" s="6"/>
      <c r="N88" s="738" t="str" cm="1">
        <f t="array" aca="true" ref="N88" ca="true">IFERROR(IF($O$3="Chunk Rent",
AVERAGEIFS('Unit-Level Data'!$O:$O,'Unit-Level Data'!$M:$M,TRUE,
          'Unit-Level Data'!$D:$D, INDIRECT("C"&amp;ROW()),
          'Unit-Level Data'!$B:$B, INDIRECT("B"&amp;ROW())),
AVERAGEIFS('Unit-Level Data'!$P:$P,'Unit-Level Data'!$M:$M,TRUE,
          'Unit-Level Data'!$D:$D, INDIRECT("C"&amp;ROW()),
          'Unit-Level Data'!$B:$B, INDIRECT("B"&amp;ROW()))),"")</f>
      </c>
      <c r="O88" s="760" t="str" cm="1">
        <f t="array" aca="true" ref="O88" ca="true">IFERROR(IF($O$3="Chunk Rent",
AVERAGEIFS('Unit-Level Data'!$Q:$Q,'Unit-Level Data'!$M:$M,TRUE,
          'Unit-Level Data'!$D:$D, INDIRECT("C"&amp;ROW()),
          'Unit-Level Data'!$B:$B, INDIRECT("B"&amp;ROW())),
AVERAGEIFS('Unit-Level Data'!$R:$R,'Unit-Level Data'!$M:$M,TRUE,
          'Unit-Level Data'!$D:$D, INDIRECT("C"&amp;ROW()),
          'Unit-Level Data'!$B:$B, INDIRECT("B"&amp;ROW()))),"")</f>
      </c>
      <c r="P88" s="733" cm="1">
        <f t="array" aca="true" ref="P88" ca="true">COUNTIFS('Unit-Level Data'!$M:$M,TRUE,
          'Unit-Level Data'!$D:$D, INDIRECT("C"&amp;ROW()),
          'Unit-Level Data'!$B:$B, INDIRECT("B"&amp;ROW()))</f>
        <v>0</v>
      </c>
      <c r="Q88" s="738" t="str" cm="1">
        <f t="array" aca="true" ref="Q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8" s="760" t="str" cm="1">
        <f t="array" aca="true" ref="R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8" s="733" cm="1">
        <f t="array" aca="true" ref="S88" ca="true">COUNTIFS('Unit-Level Data'!$L:$L, "&gt;=" &amp; ($X$2 - Q$5),
          'Unit-Level Data'!$L:$L, "&lt;" &amp; $X$2,
          'Unit-Level Data'!$D:$D, INDIRECT("C"&amp;ROW()),
          'Unit-Level Data'!$B:$B, INDIRECT("B"&amp;ROW()))</f>
        <v>0</v>
      </c>
      <c r="T88" s="738" t="str" cm="1">
        <f t="array" aca="true" ref="T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8" s="760" t="str" cm="1">
        <f t="array" aca="true" ref="U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8" s="733" cm="1">
        <f t="array" aca="true" ref="V88" ca="true">COUNTIFS('Unit-Level Data'!$L:$L, "&gt;=" &amp; ($X$2 - T$5),
          'Unit-Level Data'!$L:$L, "&lt;" &amp; $X$2,
          'Unit-Level Data'!$D:$D, INDIRECT("C"&amp;ROW()),
          'Unit-Level Data'!$B:$B, INDIRECT("B"&amp;ROW()))</f>
        <v>0</v>
      </c>
      <c r="W88" s="738" t="str" cm="1">
        <f t="array" aca="true" ref="W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8" s="760" t="str" cm="1">
        <f t="array" aca="true" ref="X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8" s="733" cm="1">
        <f t="array" aca="true" ref="Y88" ca="true">COUNTIFS('Unit-Level Data'!$L:$L, "&gt;=" &amp; ($X$2 - W$5),
          'Unit-Level Data'!$L:$L, "&lt;" &amp; $X$2,
          'Unit-Level Data'!$D:$D, INDIRECT("C"&amp;ROW()),
          'Unit-Level Data'!$B:$B, INDIRECT("B"&amp;ROW()))</f>
        <v>0</v>
      </c>
      <c r="Z88" s="761"/>
      <c r="AA88" s="735" cm="1">
        <f t="array" aca="true" ref="AA88" ca="true">IFERROR(AVERAGEIFS(
  unit_details[Sqft],
  unit_details[Property Name], INDIRECT("B"&amp;ROW()),
  unit_details[Floorplan Name], INDIRECT("C"&amp;ROW()),
  unit_details[Beds], INDIRECT("D"&amp;ROW()),
  unit_details[Detected Unit Amenities], "*"&amp;$AB$3&amp;"*",
  unit_details[Leased Date], "&gt;=" &amp; ($X$2 - $AD$3)
),0)</f>
        <v>0</v>
      </c>
      <c r="AB88" s="734" cm="1">
        <f t="array" aca="true" ref="AB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8" s="733" cm="1">
        <f t="array" aca="true" ref="AC88" ca="true">IFERROR(COUNTIFS(
  unit_details[Property Name], INDIRECT("B"&amp;ROW()),
  unit_details[Floorplan Name], INDIRECT("C"&amp;ROW()),
  unit_details[Beds], INDIRECT("D"&amp;ROW()),
  unit_details[Detected Unit Amenities], "*"&amp;$AB$3&amp;"*",
  unit_details[Leased Date], "&gt;=" &amp; ($X$2 - $AD$3)
),0)</f>
        <v>0</v>
      </c>
      <c r="AD88" s="735" cm="1">
        <f t="array" aca="true" ref="AD88" ca="true">IFERROR(AVERAGEIFS(
  unit_details[Sqft],
  unit_details[Property Name], INDIRECT("B"&amp;ROW()),
  unit_details[Floorplan Name], INDIRECT("C"&amp;ROW()),
  unit_details[Beds], INDIRECT("D"&amp;ROW()),
  unit_details[Detected Unit Amenities], "&lt;&gt;*"&amp;$AB$3&amp;"*",
  unit_details[Leased Date], "&gt;=" &amp; ($X$2 - $AD$3)
),0)</f>
        <v>0</v>
      </c>
      <c r="AE88" s="734" cm="1">
        <f t="array" aca="true" ref="AE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8" s="733" cm="1">
        <f t="array" aca="true" ref="AF88" ca="true">IFERROR(COUNTIFS(
  unit_details[Property Name], INDIRECT("B"&amp;ROW()),
  unit_details[Floorplan Name], INDIRECT("C"&amp;ROW()),
  unit_details[Beds], INDIRECT("D"&amp;ROW()),
  unit_details[Detected Unit Amenities], "&lt;&gt;*"&amp;$AB$3&amp;"*",
  unit_details[Leased Date], "&gt;=" &amp; ($X$2 - $AD$3)
),0)</f>
        <v>0</v>
      </c>
      <c r="AG88" s="735"/>
      <c r="AH88" s="738">
        <f t="shared" ca="true" si="4"/>
        <v>0</v>
      </c>
      <c r="AI88" s="739">
        <f t="shared" ca="true" si="5"/>
        <v>0</v>
      </c>
    </row>
    <row r="89" spans="2:35">
      <c r="B89" s="1"/>
      <c r="C89" s="80"/>
      <c r="E89" s="303"/>
      <c r="F89" s="303"/>
      <c r="J89" s="345"/>
      <c r="K89" s="6"/>
      <c r="M89" s="6"/>
      <c r="N89" s="738" t="str" cm="1">
        <f t="array" aca="true" ref="N89" ca="true">IFERROR(IF($O$3="Chunk Rent",
AVERAGEIFS('Unit-Level Data'!$O:$O,'Unit-Level Data'!$M:$M,TRUE,
          'Unit-Level Data'!$D:$D, INDIRECT("C"&amp;ROW()),
          'Unit-Level Data'!$B:$B, INDIRECT("B"&amp;ROW())),
AVERAGEIFS('Unit-Level Data'!$P:$P,'Unit-Level Data'!$M:$M,TRUE,
          'Unit-Level Data'!$D:$D, INDIRECT("C"&amp;ROW()),
          'Unit-Level Data'!$B:$B, INDIRECT("B"&amp;ROW()))),"")</f>
      </c>
      <c r="O89" s="760" t="str" cm="1">
        <f t="array" aca="true" ref="O89" ca="true">IFERROR(IF($O$3="Chunk Rent",
AVERAGEIFS('Unit-Level Data'!$Q:$Q,'Unit-Level Data'!$M:$M,TRUE,
          'Unit-Level Data'!$D:$D, INDIRECT("C"&amp;ROW()),
          'Unit-Level Data'!$B:$B, INDIRECT("B"&amp;ROW())),
AVERAGEIFS('Unit-Level Data'!$R:$R,'Unit-Level Data'!$M:$M,TRUE,
          'Unit-Level Data'!$D:$D, INDIRECT("C"&amp;ROW()),
          'Unit-Level Data'!$B:$B, INDIRECT("B"&amp;ROW()))),"")</f>
      </c>
      <c r="P89" s="733" cm="1">
        <f t="array" aca="true" ref="P89" ca="true">COUNTIFS('Unit-Level Data'!$M:$M,TRUE,
          'Unit-Level Data'!$D:$D, INDIRECT("C"&amp;ROW()),
          'Unit-Level Data'!$B:$B, INDIRECT("B"&amp;ROW()))</f>
        <v>0</v>
      </c>
      <c r="Q89" s="738" t="str" cm="1">
        <f t="array" aca="true" ref="Q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9" s="760" t="str" cm="1">
        <f t="array" aca="true" ref="R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9" s="733" cm="1">
        <f t="array" aca="true" ref="S89" ca="true">COUNTIFS('Unit-Level Data'!$L:$L, "&gt;=" &amp; ($X$2 - Q$5),
          'Unit-Level Data'!$L:$L, "&lt;" &amp; $X$2,
          'Unit-Level Data'!$D:$D, INDIRECT("C"&amp;ROW()),
          'Unit-Level Data'!$B:$B, INDIRECT("B"&amp;ROW()))</f>
        <v>0</v>
      </c>
      <c r="T89" s="738" t="str" cm="1">
        <f t="array" aca="true" ref="T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9" s="760" t="str" cm="1">
        <f t="array" aca="true" ref="U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9" s="733" cm="1">
        <f t="array" aca="true" ref="V89" ca="true">COUNTIFS('Unit-Level Data'!$L:$L, "&gt;=" &amp; ($X$2 - T$5),
          'Unit-Level Data'!$L:$L, "&lt;" &amp; $X$2,
          'Unit-Level Data'!$D:$D, INDIRECT("C"&amp;ROW()),
          'Unit-Level Data'!$B:$B, INDIRECT("B"&amp;ROW()))</f>
        <v>0</v>
      </c>
      <c r="W89" s="738" t="str" cm="1">
        <f t="array" aca="true" ref="W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9" s="760" t="str" cm="1">
        <f t="array" aca="true" ref="X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9" s="733" cm="1">
        <f t="array" aca="true" ref="Y89" ca="true">COUNTIFS('Unit-Level Data'!$L:$L, "&gt;=" &amp; ($X$2 - W$5),
          'Unit-Level Data'!$L:$L, "&lt;" &amp; $X$2,
          'Unit-Level Data'!$D:$D, INDIRECT("C"&amp;ROW()),
          'Unit-Level Data'!$B:$B, INDIRECT("B"&amp;ROW()))</f>
        <v>0</v>
      </c>
      <c r="Z89" s="761"/>
      <c r="AA89" s="735" cm="1">
        <f t="array" aca="true" ref="AA89" ca="true">IFERROR(AVERAGEIFS(
  unit_details[Sqft],
  unit_details[Property Name], INDIRECT("B"&amp;ROW()),
  unit_details[Floorplan Name], INDIRECT("C"&amp;ROW()),
  unit_details[Beds], INDIRECT("D"&amp;ROW()),
  unit_details[Detected Unit Amenities], "*"&amp;$AB$3&amp;"*",
  unit_details[Leased Date], "&gt;=" &amp; ($X$2 - $AD$3)
),0)</f>
        <v>0</v>
      </c>
      <c r="AB89" s="734" cm="1">
        <f t="array" aca="true" ref="AB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9" s="733" cm="1">
        <f t="array" aca="true" ref="AC89" ca="true">IFERROR(COUNTIFS(
  unit_details[Property Name], INDIRECT("B"&amp;ROW()),
  unit_details[Floorplan Name], INDIRECT("C"&amp;ROW()),
  unit_details[Beds], INDIRECT("D"&amp;ROW()),
  unit_details[Detected Unit Amenities], "*"&amp;$AB$3&amp;"*",
  unit_details[Leased Date], "&gt;=" &amp; ($X$2 - $AD$3)
),0)</f>
        <v>0</v>
      </c>
      <c r="AD89" s="735" cm="1">
        <f t="array" aca="true" ref="AD89" ca="true">IFERROR(AVERAGEIFS(
  unit_details[Sqft],
  unit_details[Property Name], INDIRECT("B"&amp;ROW()),
  unit_details[Floorplan Name], INDIRECT("C"&amp;ROW()),
  unit_details[Beds], INDIRECT("D"&amp;ROW()),
  unit_details[Detected Unit Amenities], "&lt;&gt;*"&amp;$AB$3&amp;"*",
  unit_details[Leased Date], "&gt;=" &amp; ($X$2 - $AD$3)
),0)</f>
        <v>0</v>
      </c>
      <c r="AE89" s="734" cm="1">
        <f t="array" aca="true" ref="AE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9" s="733" cm="1">
        <f t="array" aca="true" ref="AF89" ca="true">IFERROR(COUNTIFS(
  unit_details[Property Name], INDIRECT("B"&amp;ROW()),
  unit_details[Floorplan Name], INDIRECT("C"&amp;ROW()),
  unit_details[Beds], INDIRECT("D"&amp;ROW()),
  unit_details[Detected Unit Amenities], "&lt;&gt;*"&amp;$AB$3&amp;"*",
  unit_details[Leased Date], "&gt;=" &amp; ($X$2 - $AD$3)
),0)</f>
        <v>0</v>
      </c>
      <c r="AG89" s="735"/>
      <c r="AH89" s="738">
        <f t="shared" ca="true" si="4"/>
        <v>0</v>
      </c>
      <c r="AI89" s="739">
        <f t="shared" ca="true" si="5"/>
        <v>0</v>
      </c>
    </row>
    <row r="90" spans="2:35">
      <c r="B90" s="1"/>
      <c r="C90" s="80"/>
      <c r="E90" s="303"/>
      <c r="F90" s="303"/>
      <c r="J90" s="345"/>
      <c r="K90" s="6"/>
      <c r="M90" s="6"/>
      <c r="N90" s="738" t="str" cm="1">
        <f t="array" aca="true" ref="N90" ca="true">IFERROR(IF($O$3="Chunk Rent",
AVERAGEIFS('Unit-Level Data'!$O:$O,'Unit-Level Data'!$M:$M,TRUE,
          'Unit-Level Data'!$D:$D, INDIRECT("C"&amp;ROW()),
          'Unit-Level Data'!$B:$B, INDIRECT("B"&amp;ROW())),
AVERAGEIFS('Unit-Level Data'!$P:$P,'Unit-Level Data'!$M:$M,TRUE,
          'Unit-Level Data'!$D:$D, INDIRECT("C"&amp;ROW()),
          'Unit-Level Data'!$B:$B, INDIRECT("B"&amp;ROW()))),"")</f>
      </c>
      <c r="O90" s="760" t="str" cm="1">
        <f t="array" aca="true" ref="O90" ca="true">IFERROR(IF($O$3="Chunk Rent",
AVERAGEIFS('Unit-Level Data'!$Q:$Q,'Unit-Level Data'!$M:$M,TRUE,
          'Unit-Level Data'!$D:$D, INDIRECT("C"&amp;ROW()),
          'Unit-Level Data'!$B:$B, INDIRECT("B"&amp;ROW())),
AVERAGEIFS('Unit-Level Data'!$R:$R,'Unit-Level Data'!$M:$M,TRUE,
          'Unit-Level Data'!$D:$D, INDIRECT("C"&amp;ROW()),
          'Unit-Level Data'!$B:$B, INDIRECT("B"&amp;ROW()))),"")</f>
      </c>
      <c r="P90" s="733" cm="1">
        <f t="array" aca="true" ref="P90" ca="true">COUNTIFS('Unit-Level Data'!$M:$M,TRUE,
          'Unit-Level Data'!$D:$D, INDIRECT("C"&amp;ROW()),
          'Unit-Level Data'!$B:$B, INDIRECT("B"&amp;ROW()))</f>
        <v>0</v>
      </c>
      <c r="Q90" s="738" t="str" cm="1">
        <f t="array" aca="true" ref="Q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0" s="760" t="str" cm="1">
        <f t="array" aca="true" ref="R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0" s="733" cm="1">
        <f t="array" aca="true" ref="S90" ca="true">COUNTIFS('Unit-Level Data'!$L:$L, "&gt;=" &amp; ($X$2 - Q$5),
          'Unit-Level Data'!$L:$L, "&lt;" &amp; $X$2,
          'Unit-Level Data'!$D:$D, INDIRECT("C"&amp;ROW()),
          'Unit-Level Data'!$B:$B, INDIRECT("B"&amp;ROW()))</f>
        <v>0</v>
      </c>
      <c r="T90" s="738" t="str" cm="1">
        <f t="array" aca="true" ref="T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0" s="760" t="str" cm="1">
        <f t="array" aca="true" ref="U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0" s="733" cm="1">
        <f t="array" aca="true" ref="V90" ca="true">COUNTIFS('Unit-Level Data'!$L:$L, "&gt;=" &amp; ($X$2 - T$5),
          'Unit-Level Data'!$L:$L, "&lt;" &amp; $X$2,
          'Unit-Level Data'!$D:$D, INDIRECT("C"&amp;ROW()),
          'Unit-Level Data'!$B:$B, INDIRECT("B"&amp;ROW()))</f>
        <v>0</v>
      </c>
      <c r="W90" s="738" t="str" cm="1">
        <f t="array" aca="true" ref="W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0" s="760" t="str" cm="1">
        <f t="array" aca="true" ref="X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0" s="733" cm="1">
        <f t="array" aca="true" ref="Y90" ca="true">COUNTIFS('Unit-Level Data'!$L:$L, "&gt;=" &amp; ($X$2 - W$5),
          'Unit-Level Data'!$L:$L, "&lt;" &amp; $X$2,
          'Unit-Level Data'!$D:$D, INDIRECT("C"&amp;ROW()),
          'Unit-Level Data'!$B:$B, INDIRECT("B"&amp;ROW()))</f>
        <v>0</v>
      </c>
      <c r="Z90" s="761"/>
      <c r="AA90" s="735" cm="1">
        <f t="array" aca="true" ref="AA90" ca="true">IFERROR(AVERAGEIFS(
  unit_details[Sqft],
  unit_details[Property Name], INDIRECT("B"&amp;ROW()),
  unit_details[Floorplan Name], INDIRECT("C"&amp;ROW()),
  unit_details[Beds], INDIRECT("D"&amp;ROW()),
  unit_details[Detected Unit Amenities], "*"&amp;$AB$3&amp;"*",
  unit_details[Leased Date], "&gt;=" &amp; ($X$2 - $AD$3)
),0)</f>
        <v>0</v>
      </c>
      <c r="AB90" s="734" cm="1">
        <f t="array" aca="true" ref="AB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0" s="733" cm="1">
        <f t="array" aca="true" ref="AC90" ca="true">IFERROR(COUNTIFS(
  unit_details[Property Name], INDIRECT("B"&amp;ROW()),
  unit_details[Floorplan Name], INDIRECT("C"&amp;ROW()),
  unit_details[Beds], INDIRECT("D"&amp;ROW()),
  unit_details[Detected Unit Amenities], "*"&amp;$AB$3&amp;"*",
  unit_details[Leased Date], "&gt;=" &amp; ($X$2 - $AD$3)
),0)</f>
        <v>0</v>
      </c>
      <c r="AD90" s="735" cm="1">
        <f t="array" aca="true" ref="AD90" ca="true">IFERROR(AVERAGEIFS(
  unit_details[Sqft],
  unit_details[Property Name], INDIRECT("B"&amp;ROW()),
  unit_details[Floorplan Name], INDIRECT("C"&amp;ROW()),
  unit_details[Beds], INDIRECT("D"&amp;ROW()),
  unit_details[Detected Unit Amenities], "&lt;&gt;*"&amp;$AB$3&amp;"*",
  unit_details[Leased Date], "&gt;=" &amp; ($X$2 - $AD$3)
),0)</f>
        <v>0</v>
      </c>
      <c r="AE90" s="734" cm="1">
        <f t="array" aca="true" ref="AE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0" s="733" cm="1">
        <f t="array" aca="true" ref="AF90" ca="true">IFERROR(COUNTIFS(
  unit_details[Property Name], INDIRECT("B"&amp;ROW()),
  unit_details[Floorplan Name], INDIRECT("C"&amp;ROW()),
  unit_details[Beds], INDIRECT("D"&amp;ROW()),
  unit_details[Detected Unit Amenities], "&lt;&gt;*"&amp;$AB$3&amp;"*",
  unit_details[Leased Date], "&gt;=" &amp; ($X$2 - $AD$3)
),0)</f>
        <v>0</v>
      </c>
      <c r="AG90" s="735"/>
      <c r="AH90" s="738">
        <f t="shared" ca="true" si="4"/>
        <v>0</v>
      </c>
      <c r="AI90" s="739">
        <f t="shared" ca="true" si="5"/>
        <v>0</v>
      </c>
    </row>
    <row r="91" spans="2:35">
      <c r="B91" s="1"/>
      <c r="C91" s="80"/>
      <c r="E91" s="303"/>
      <c r="F91" s="303"/>
      <c r="J91" s="345"/>
      <c r="K91" s="6"/>
      <c r="M91" s="6"/>
      <c r="N91" s="738" t="str" cm="1">
        <f t="array" aca="true" ref="N91" ca="true">IFERROR(IF($O$3="Chunk Rent",
AVERAGEIFS('Unit-Level Data'!$O:$O,'Unit-Level Data'!$M:$M,TRUE,
          'Unit-Level Data'!$D:$D, INDIRECT("C"&amp;ROW()),
          'Unit-Level Data'!$B:$B, INDIRECT("B"&amp;ROW())),
AVERAGEIFS('Unit-Level Data'!$P:$P,'Unit-Level Data'!$M:$M,TRUE,
          'Unit-Level Data'!$D:$D, INDIRECT("C"&amp;ROW()),
          'Unit-Level Data'!$B:$B, INDIRECT("B"&amp;ROW()))),"")</f>
      </c>
      <c r="O91" s="760" t="str" cm="1">
        <f t="array" aca="true" ref="O91" ca="true">IFERROR(IF($O$3="Chunk Rent",
AVERAGEIFS('Unit-Level Data'!$Q:$Q,'Unit-Level Data'!$M:$M,TRUE,
          'Unit-Level Data'!$D:$D, INDIRECT("C"&amp;ROW()),
          'Unit-Level Data'!$B:$B, INDIRECT("B"&amp;ROW())),
AVERAGEIFS('Unit-Level Data'!$R:$R,'Unit-Level Data'!$M:$M,TRUE,
          'Unit-Level Data'!$D:$D, INDIRECT("C"&amp;ROW()),
          'Unit-Level Data'!$B:$B, INDIRECT("B"&amp;ROW()))),"")</f>
      </c>
      <c r="P91" s="733" cm="1">
        <f t="array" aca="true" ref="P91" ca="true">COUNTIFS('Unit-Level Data'!$M:$M,TRUE,
          'Unit-Level Data'!$D:$D, INDIRECT("C"&amp;ROW()),
          'Unit-Level Data'!$B:$B, INDIRECT("B"&amp;ROW()))</f>
        <v>0</v>
      </c>
      <c r="Q91" s="738" t="str" cm="1">
        <f t="array" aca="true" ref="Q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1" s="760" t="str" cm="1">
        <f t="array" aca="true" ref="R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1" s="733" cm="1">
        <f t="array" aca="true" ref="S91" ca="true">COUNTIFS('Unit-Level Data'!$L:$L, "&gt;=" &amp; ($X$2 - Q$5),
          'Unit-Level Data'!$L:$L, "&lt;" &amp; $X$2,
          'Unit-Level Data'!$D:$D, INDIRECT("C"&amp;ROW()),
          'Unit-Level Data'!$B:$B, INDIRECT("B"&amp;ROW()))</f>
        <v>0</v>
      </c>
      <c r="T91" s="738" t="str" cm="1">
        <f t="array" aca="true" ref="T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1" s="760" t="str" cm="1">
        <f t="array" aca="true" ref="U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1" s="733" cm="1">
        <f t="array" aca="true" ref="V91" ca="true">COUNTIFS('Unit-Level Data'!$L:$L, "&gt;=" &amp; ($X$2 - T$5),
          'Unit-Level Data'!$L:$L, "&lt;" &amp; $X$2,
          'Unit-Level Data'!$D:$D, INDIRECT("C"&amp;ROW()),
          'Unit-Level Data'!$B:$B, INDIRECT("B"&amp;ROW()))</f>
        <v>0</v>
      </c>
      <c r="W91" s="738" t="str" cm="1">
        <f t="array" aca="true" ref="W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1" s="760" t="str" cm="1">
        <f t="array" aca="true" ref="X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1" s="733" cm="1">
        <f t="array" aca="true" ref="Y91" ca="true">COUNTIFS('Unit-Level Data'!$L:$L, "&gt;=" &amp; ($X$2 - W$5),
          'Unit-Level Data'!$L:$L, "&lt;" &amp; $X$2,
          'Unit-Level Data'!$D:$D, INDIRECT("C"&amp;ROW()),
          'Unit-Level Data'!$B:$B, INDIRECT("B"&amp;ROW()))</f>
        <v>0</v>
      </c>
      <c r="Z91" s="761"/>
      <c r="AA91" s="735" cm="1">
        <f t="array" aca="true" ref="AA91" ca="true">IFERROR(AVERAGEIFS(
  unit_details[Sqft],
  unit_details[Property Name], INDIRECT("B"&amp;ROW()),
  unit_details[Floorplan Name], INDIRECT("C"&amp;ROW()),
  unit_details[Beds], INDIRECT("D"&amp;ROW()),
  unit_details[Detected Unit Amenities], "*"&amp;$AB$3&amp;"*",
  unit_details[Leased Date], "&gt;=" &amp; ($X$2 - $AD$3)
),0)</f>
        <v>0</v>
      </c>
      <c r="AB91" s="734" cm="1">
        <f t="array" aca="true" ref="AB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1" s="733" cm="1">
        <f t="array" aca="true" ref="AC91" ca="true">IFERROR(COUNTIFS(
  unit_details[Property Name], INDIRECT("B"&amp;ROW()),
  unit_details[Floorplan Name], INDIRECT("C"&amp;ROW()),
  unit_details[Beds], INDIRECT("D"&amp;ROW()),
  unit_details[Detected Unit Amenities], "*"&amp;$AB$3&amp;"*",
  unit_details[Leased Date], "&gt;=" &amp; ($X$2 - $AD$3)
),0)</f>
        <v>0</v>
      </c>
      <c r="AD91" s="735" cm="1">
        <f t="array" aca="true" ref="AD91" ca="true">IFERROR(AVERAGEIFS(
  unit_details[Sqft],
  unit_details[Property Name], INDIRECT("B"&amp;ROW()),
  unit_details[Floorplan Name], INDIRECT("C"&amp;ROW()),
  unit_details[Beds], INDIRECT("D"&amp;ROW()),
  unit_details[Detected Unit Amenities], "&lt;&gt;*"&amp;$AB$3&amp;"*",
  unit_details[Leased Date], "&gt;=" &amp; ($X$2 - $AD$3)
),0)</f>
        <v>0</v>
      </c>
      <c r="AE91" s="734" cm="1">
        <f t="array" aca="true" ref="AE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1" s="733" cm="1">
        <f t="array" aca="true" ref="AF91" ca="true">IFERROR(COUNTIFS(
  unit_details[Property Name], INDIRECT("B"&amp;ROW()),
  unit_details[Floorplan Name], INDIRECT("C"&amp;ROW()),
  unit_details[Beds], INDIRECT("D"&amp;ROW()),
  unit_details[Detected Unit Amenities], "&lt;&gt;*"&amp;$AB$3&amp;"*",
  unit_details[Leased Date], "&gt;=" &amp; ($X$2 - $AD$3)
),0)</f>
        <v>0</v>
      </c>
      <c r="AG91" s="735"/>
      <c r="AH91" s="738">
        <f t="shared" ca="true" si="4"/>
        <v>0</v>
      </c>
      <c r="AI91" s="739">
        <f t="shared" ca="true" si="5"/>
        <v>0</v>
      </c>
    </row>
    <row r="92" spans="2:35">
      <c r="B92" s="1"/>
      <c r="C92" s="80"/>
      <c r="E92" s="303"/>
      <c r="F92" s="303"/>
      <c r="J92" s="345"/>
      <c r="K92" s="6"/>
      <c r="M92" s="6"/>
      <c r="N92" s="738" t="str" cm="1">
        <f t="array" aca="true" ref="N92" ca="true">IFERROR(IF($O$3="Chunk Rent",
AVERAGEIFS('Unit-Level Data'!$O:$O,'Unit-Level Data'!$M:$M,TRUE,
          'Unit-Level Data'!$D:$D, INDIRECT("C"&amp;ROW()),
          'Unit-Level Data'!$B:$B, INDIRECT("B"&amp;ROW())),
AVERAGEIFS('Unit-Level Data'!$P:$P,'Unit-Level Data'!$M:$M,TRUE,
          'Unit-Level Data'!$D:$D, INDIRECT("C"&amp;ROW()),
          'Unit-Level Data'!$B:$B, INDIRECT("B"&amp;ROW()))),"")</f>
      </c>
      <c r="O92" s="760" t="str" cm="1">
        <f t="array" aca="true" ref="O92" ca="true">IFERROR(IF($O$3="Chunk Rent",
AVERAGEIFS('Unit-Level Data'!$Q:$Q,'Unit-Level Data'!$M:$M,TRUE,
          'Unit-Level Data'!$D:$D, INDIRECT("C"&amp;ROW()),
          'Unit-Level Data'!$B:$B, INDIRECT("B"&amp;ROW())),
AVERAGEIFS('Unit-Level Data'!$R:$R,'Unit-Level Data'!$M:$M,TRUE,
          'Unit-Level Data'!$D:$D, INDIRECT("C"&amp;ROW()),
          'Unit-Level Data'!$B:$B, INDIRECT("B"&amp;ROW()))),"")</f>
      </c>
      <c r="P92" s="733" cm="1">
        <f t="array" aca="true" ref="P92" ca="true">COUNTIFS('Unit-Level Data'!$M:$M,TRUE,
          'Unit-Level Data'!$D:$D, INDIRECT("C"&amp;ROW()),
          'Unit-Level Data'!$B:$B, INDIRECT("B"&amp;ROW()))</f>
        <v>0</v>
      </c>
      <c r="Q92" s="738" t="str" cm="1">
        <f t="array" aca="true" ref="Q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2" s="760" t="str" cm="1">
        <f t="array" aca="true" ref="R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2" s="733" cm="1">
        <f t="array" aca="true" ref="S92" ca="true">COUNTIFS('Unit-Level Data'!$L:$L, "&gt;=" &amp; ($X$2 - Q$5),
          'Unit-Level Data'!$L:$L, "&lt;" &amp; $X$2,
          'Unit-Level Data'!$D:$D, INDIRECT("C"&amp;ROW()),
          'Unit-Level Data'!$B:$B, INDIRECT("B"&amp;ROW()))</f>
        <v>0</v>
      </c>
      <c r="T92" s="738" t="str" cm="1">
        <f t="array" aca="true" ref="T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2" s="760" t="str" cm="1">
        <f t="array" aca="true" ref="U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2" s="733" cm="1">
        <f t="array" aca="true" ref="V92" ca="true">COUNTIFS('Unit-Level Data'!$L:$L, "&gt;=" &amp; ($X$2 - T$5),
          'Unit-Level Data'!$L:$L, "&lt;" &amp; $X$2,
          'Unit-Level Data'!$D:$D, INDIRECT("C"&amp;ROW()),
          'Unit-Level Data'!$B:$B, INDIRECT("B"&amp;ROW()))</f>
        <v>0</v>
      </c>
      <c r="W92" s="738" t="str" cm="1">
        <f t="array" aca="true" ref="W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2" s="760" t="str" cm="1">
        <f t="array" aca="true" ref="X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2" s="733" cm="1">
        <f t="array" aca="true" ref="Y92" ca="true">COUNTIFS('Unit-Level Data'!$L:$L, "&gt;=" &amp; ($X$2 - W$5),
          'Unit-Level Data'!$L:$L, "&lt;" &amp; $X$2,
          'Unit-Level Data'!$D:$D, INDIRECT("C"&amp;ROW()),
          'Unit-Level Data'!$B:$B, INDIRECT("B"&amp;ROW()))</f>
        <v>0</v>
      </c>
      <c r="Z92" s="761"/>
      <c r="AA92" s="735" cm="1">
        <f t="array" aca="true" ref="AA92" ca="true">IFERROR(AVERAGEIFS(
  unit_details[Sqft],
  unit_details[Property Name], INDIRECT("B"&amp;ROW()),
  unit_details[Floorplan Name], INDIRECT("C"&amp;ROW()),
  unit_details[Beds], INDIRECT("D"&amp;ROW()),
  unit_details[Detected Unit Amenities], "*"&amp;$AB$3&amp;"*",
  unit_details[Leased Date], "&gt;=" &amp; ($X$2 - $AD$3)
),0)</f>
        <v>0</v>
      </c>
      <c r="AB92" s="734" cm="1">
        <f t="array" aca="true" ref="AB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2" s="733" cm="1">
        <f t="array" aca="true" ref="AC92" ca="true">IFERROR(COUNTIFS(
  unit_details[Property Name], INDIRECT("B"&amp;ROW()),
  unit_details[Floorplan Name], INDIRECT("C"&amp;ROW()),
  unit_details[Beds], INDIRECT("D"&amp;ROW()),
  unit_details[Detected Unit Amenities], "*"&amp;$AB$3&amp;"*",
  unit_details[Leased Date], "&gt;=" &amp; ($X$2 - $AD$3)
),0)</f>
        <v>0</v>
      </c>
      <c r="AD92" s="735" cm="1">
        <f t="array" aca="true" ref="AD92" ca="true">IFERROR(AVERAGEIFS(
  unit_details[Sqft],
  unit_details[Property Name], INDIRECT("B"&amp;ROW()),
  unit_details[Floorplan Name], INDIRECT("C"&amp;ROW()),
  unit_details[Beds], INDIRECT("D"&amp;ROW()),
  unit_details[Detected Unit Amenities], "&lt;&gt;*"&amp;$AB$3&amp;"*",
  unit_details[Leased Date], "&gt;=" &amp; ($X$2 - $AD$3)
),0)</f>
        <v>0</v>
      </c>
      <c r="AE92" s="734" cm="1">
        <f t="array" aca="true" ref="AE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2" s="733" cm="1">
        <f t="array" aca="true" ref="AF92" ca="true">IFERROR(COUNTIFS(
  unit_details[Property Name], INDIRECT("B"&amp;ROW()),
  unit_details[Floorplan Name], INDIRECT("C"&amp;ROW()),
  unit_details[Beds], INDIRECT("D"&amp;ROW()),
  unit_details[Detected Unit Amenities], "&lt;&gt;*"&amp;$AB$3&amp;"*",
  unit_details[Leased Date], "&gt;=" &amp; ($X$2 - $AD$3)
),0)</f>
        <v>0</v>
      </c>
      <c r="AG92" s="735"/>
      <c r="AH92" s="738">
        <f t="shared" ca="true" si="4"/>
        <v>0</v>
      </c>
      <c r="AI92" s="739">
        <f t="shared" ca="true" si="5"/>
        <v>0</v>
      </c>
    </row>
    <row r="93" spans="2:35">
      <c r="B93" s="1"/>
      <c r="C93" s="80"/>
      <c r="E93" s="303"/>
      <c r="F93" s="303"/>
      <c r="J93" s="345"/>
      <c r="K93" s="6"/>
      <c r="M93" s="6"/>
      <c r="N93" s="738" t="str" cm="1">
        <f t="array" aca="true" ref="N93" ca="true">IFERROR(IF($O$3="Chunk Rent",
AVERAGEIFS('Unit-Level Data'!$O:$O,'Unit-Level Data'!$M:$M,TRUE,
          'Unit-Level Data'!$D:$D, INDIRECT("C"&amp;ROW()),
          'Unit-Level Data'!$B:$B, INDIRECT("B"&amp;ROW())),
AVERAGEIFS('Unit-Level Data'!$P:$P,'Unit-Level Data'!$M:$M,TRUE,
          'Unit-Level Data'!$D:$D, INDIRECT("C"&amp;ROW()),
          'Unit-Level Data'!$B:$B, INDIRECT("B"&amp;ROW()))),"")</f>
      </c>
      <c r="O93" s="760" t="str" cm="1">
        <f t="array" aca="true" ref="O93" ca="true">IFERROR(IF($O$3="Chunk Rent",
AVERAGEIFS('Unit-Level Data'!$Q:$Q,'Unit-Level Data'!$M:$M,TRUE,
          'Unit-Level Data'!$D:$D, INDIRECT("C"&amp;ROW()),
          'Unit-Level Data'!$B:$B, INDIRECT("B"&amp;ROW())),
AVERAGEIFS('Unit-Level Data'!$R:$R,'Unit-Level Data'!$M:$M,TRUE,
          'Unit-Level Data'!$D:$D, INDIRECT("C"&amp;ROW()),
          'Unit-Level Data'!$B:$B, INDIRECT("B"&amp;ROW()))),"")</f>
      </c>
      <c r="P93" s="733" cm="1">
        <f t="array" aca="true" ref="P93" ca="true">COUNTIFS('Unit-Level Data'!$M:$M,TRUE,
          'Unit-Level Data'!$D:$D, INDIRECT("C"&amp;ROW()),
          'Unit-Level Data'!$B:$B, INDIRECT("B"&amp;ROW()))</f>
        <v>0</v>
      </c>
      <c r="Q93" s="738" t="str" cm="1">
        <f t="array" aca="true" ref="Q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3" s="760" t="str" cm="1">
        <f t="array" aca="true" ref="R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3" s="733" cm="1">
        <f t="array" aca="true" ref="S93" ca="true">COUNTIFS('Unit-Level Data'!$L:$L, "&gt;=" &amp; ($X$2 - Q$5),
          'Unit-Level Data'!$L:$L, "&lt;" &amp; $X$2,
          'Unit-Level Data'!$D:$D, INDIRECT("C"&amp;ROW()),
          'Unit-Level Data'!$B:$B, INDIRECT("B"&amp;ROW()))</f>
        <v>0</v>
      </c>
      <c r="T93" s="738" t="str" cm="1">
        <f t="array" aca="true" ref="T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3" s="760" t="str" cm="1">
        <f t="array" aca="true" ref="U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3" s="733" cm="1">
        <f t="array" aca="true" ref="V93" ca="true">COUNTIFS('Unit-Level Data'!$L:$L, "&gt;=" &amp; ($X$2 - T$5),
          'Unit-Level Data'!$L:$L, "&lt;" &amp; $X$2,
          'Unit-Level Data'!$D:$D, INDIRECT("C"&amp;ROW()),
          'Unit-Level Data'!$B:$B, INDIRECT("B"&amp;ROW()))</f>
        <v>0</v>
      </c>
      <c r="W93" s="738" t="str" cm="1">
        <f t="array" aca="true" ref="W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3" s="760" t="str" cm="1">
        <f t="array" aca="true" ref="X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3" s="733" cm="1">
        <f t="array" aca="true" ref="Y93" ca="true">COUNTIFS('Unit-Level Data'!$L:$L, "&gt;=" &amp; ($X$2 - W$5),
          'Unit-Level Data'!$L:$L, "&lt;" &amp; $X$2,
          'Unit-Level Data'!$D:$D, INDIRECT("C"&amp;ROW()),
          'Unit-Level Data'!$B:$B, INDIRECT("B"&amp;ROW()))</f>
        <v>0</v>
      </c>
      <c r="Z93" s="761"/>
      <c r="AA93" s="735" cm="1">
        <f t="array" aca="true" ref="AA93" ca="true">IFERROR(AVERAGEIFS(
  unit_details[Sqft],
  unit_details[Property Name], INDIRECT("B"&amp;ROW()),
  unit_details[Floorplan Name], INDIRECT("C"&amp;ROW()),
  unit_details[Beds], INDIRECT("D"&amp;ROW()),
  unit_details[Detected Unit Amenities], "*"&amp;$AB$3&amp;"*",
  unit_details[Leased Date], "&gt;=" &amp; ($X$2 - $AD$3)
),0)</f>
        <v>0</v>
      </c>
      <c r="AB93" s="734" cm="1">
        <f t="array" aca="true" ref="AB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3" s="733" cm="1">
        <f t="array" aca="true" ref="AC93" ca="true">IFERROR(COUNTIFS(
  unit_details[Property Name], INDIRECT("B"&amp;ROW()),
  unit_details[Floorplan Name], INDIRECT("C"&amp;ROW()),
  unit_details[Beds], INDIRECT("D"&amp;ROW()),
  unit_details[Detected Unit Amenities], "*"&amp;$AB$3&amp;"*",
  unit_details[Leased Date], "&gt;=" &amp; ($X$2 - $AD$3)
),0)</f>
        <v>0</v>
      </c>
      <c r="AD93" s="735" cm="1">
        <f t="array" aca="true" ref="AD93" ca="true">IFERROR(AVERAGEIFS(
  unit_details[Sqft],
  unit_details[Property Name], INDIRECT("B"&amp;ROW()),
  unit_details[Floorplan Name], INDIRECT("C"&amp;ROW()),
  unit_details[Beds], INDIRECT("D"&amp;ROW()),
  unit_details[Detected Unit Amenities], "&lt;&gt;*"&amp;$AB$3&amp;"*",
  unit_details[Leased Date], "&gt;=" &amp; ($X$2 - $AD$3)
),0)</f>
        <v>0</v>
      </c>
      <c r="AE93" s="734" cm="1">
        <f t="array" aca="true" ref="AE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3" s="733" cm="1">
        <f t="array" aca="true" ref="AF93" ca="true">IFERROR(COUNTIFS(
  unit_details[Property Name], INDIRECT("B"&amp;ROW()),
  unit_details[Floorplan Name], INDIRECT("C"&amp;ROW()),
  unit_details[Beds], INDIRECT("D"&amp;ROW()),
  unit_details[Detected Unit Amenities], "&lt;&gt;*"&amp;$AB$3&amp;"*",
  unit_details[Leased Date], "&gt;=" &amp; ($X$2 - $AD$3)
),0)</f>
        <v>0</v>
      </c>
      <c r="AG93" s="735"/>
      <c r="AH93" s="738">
        <f t="shared" ca="true" si="4"/>
        <v>0</v>
      </c>
      <c r="AI93" s="739">
        <f t="shared" ca="true" si="5"/>
        <v>0</v>
      </c>
    </row>
    <row r="94" spans="2:35">
      <c r="B94" s="1"/>
      <c r="C94" s="80"/>
      <c r="E94" s="303"/>
      <c r="F94" s="303"/>
      <c r="J94" s="345"/>
      <c r="K94" s="6"/>
      <c r="M94" s="6"/>
      <c r="N94" s="738" t="str" cm="1">
        <f t="array" aca="true" ref="N94" ca="true">IFERROR(IF($O$3="Chunk Rent",
AVERAGEIFS('Unit-Level Data'!$O:$O,'Unit-Level Data'!$M:$M,TRUE,
          'Unit-Level Data'!$D:$D, INDIRECT("C"&amp;ROW()),
          'Unit-Level Data'!$B:$B, INDIRECT("B"&amp;ROW())),
AVERAGEIFS('Unit-Level Data'!$P:$P,'Unit-Level Data'!$M:$M,TRUE,
          'Unit-Level Data'!$D:$D, INDIRECT("C"&amp;ROW()),
          'Unit-Level Data'!$B:$B, INDIRECT("B"&amp;ROW()))),"")</f>
      </c>
      <c r="O94" s="760" t="str" cm="1">
        <f t="array" aca="true" ref="O94" ca="true">IFERROR(IF($O$3="Chunk Rent",
AVERAGEIFS('Unit-Level Data'!$Q:$Q,'Unit-Level Data'!$M:$M,TRUE,
          'Unit-Level Data'!$D:$D, INDIRECT("C"&amp;ROW()),
          'Unit-Level Data'!$B:$B, INDIRECT("B"&amp;ROW())),
AVERAGEIFS('Unit-Level Data'!$R:$R,'Unit-Level Data'!$M:$M,TRUE,
          'Unit-Level Data'!$D:$D, INDIRECT("C"&amp;ROW()),
          'Unit-Level Data'!$B:$B, INDIRECT("B"&amp;ROW()))),"")</f>
      </c>
      <c r="P94" s="733" cm="1">
        <f t="array" aca="true" ref="P94" ca="true">COUNTIFS('Unit-Level Data'!$M:$M,TRUE,
          'Unit-Level Data'!$D:$D, INDIRECT("C"&amp;ROW()),
          'Unit-Level Data'!$B:$B, INDIRECT("B"&amp;ROW()))</f>
        <v>0</v>
      </c>
      <c r="Q94" s="738" t="str" cm="1">
        <f t="array" aca="true" ref="Q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4" s="760" t="str" cm="1">
        <f t="array" aca="true" ref="R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4" s="733" cm="1">
        <f t="array" aca="true" ref="S94" ca="true">COUNTIFS('Unit-Level Data'!$L:$L, "&gt;=" &amp; ($X$2 - Q$5),
          'Unit-Level Data'!$L:$L, "&lt;" &amp; $X$2,
          'Unit-Level Data'!$D:$D, INDIRECT("C"&amp;ROW()),
          'Unit-Level Data'!$B:$B, INDIRECT("B"&amp;ROW()))</f>
        <v>0</v>
      </c>
      <c r="T94" s="738" t="str" cm="1">
        <f t="array" aca="true" ref="T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4" s="760" t="str" cm="1">
        <f t="array" aca="true" ref="U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4" s="733" cm="1">
        <f t="array" aca="true" ref="V94" ca="true">COUNTIFS('Unit-Level Data'!$L:$L, "&gt;=" &amp; ($X$2 - T$5),
          'Unit-Level Data'!$L:$L, "&lt;" &amp; $X$2,
          'Unit-Level Data'!$D:$D, INDIRECT("C"&amp;ROW()),
          'Unit-Level Data'!$B:$B, INDIRECT("B"&amp;ROW()))</f>
        <v>0</v>
      </c>
      <c r="W94" s="738" t="str" cm="1">
        <f t="array" aca="true" ref="W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4" s="760" t="str" cm="1">
        <f t="array" aca="true" ref="X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4" s="733" cm="1">
        <f t="array" aca="true" ref="Y94" ca="true">COUNTIFS('Unit-Level Data'!$L:$L, "&gt;=" &amp; ($X$2 - W$5),
          'Unit-Level Data'!$L:$L, "&lt;" &amp; $X$2,
          'Unit-Level Data'!$D:$D, INDIRECT("C"&amp;ROW()),
          'Unit-Level Data'!$B:$B, INDIRECT("B"&amp;ROW()))</f>
        <v>0</v>
      </c>
      <c r="Z94" s="761"/>
      <c r="AA94" s="735" cm="1">
        <f t="array" aca="true" ref="AA94" ca="true">IFERROR(AVERAGEIFS(
  unit_details[Sqft],
  unit_details[Property Name], INDIRECT("B"&amp;ROW()),
  unit_details[Floorplan Name], INDIRECT("C"&amp;ROW()),
  unit_details[Beds], INDIRECT("D"&amp;ROW()),
  unit_details[Detected Unit Amenities], "*"&amp;$AB$3&amp;"*",
  unit_details[Leased Date], "&gt;=" &amp; ($X$2 - $AD$3)
),0)</f>
        <v>0</v>
      </c>
      <c r="AB94" s="734" cm="1">
        <f t="array" aca="true" ref="AB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4" s="733" cm="1">
        <f t="array" aca="true" ref="AC94" ca="true">IFERROR(COUNTIFS(
  unit_details[Property Name], INDIRECT("B"&amp;ROW()),
  unit_details[Floorplan Name], INDIRECT("C"&amp;ROW()),
  unit_details[Beds], INDIRECT("D"&amp;ROW()),
  unit_details[Detected Unit Amenities], "*"&amp;$AB$3&amp;"*",
  unit_details[Leased Date], "&gt;=" &amp; ($X$2 - $AD$3)
),0)</f>
        <v>0</v>
      </c>
      <c r="AD94" s="735" cm="1">
        <f t="array" aca="true" ref="AD94" ca="true">IFERROR(AVERAGEIFS(
  unit_details[Sqft],
  unit_details[Property Name], INDIRECT("B"&amp;ROW()),
  unit_details[Floorplan Name], INDIRECT("C"&amp;ROW()),
  unit_details[Beds], INDIRECT("D"&amp;ROW()),
  unit_details[Detected Unit Amenities], "&lt;&gt;*"&amp;$AB$3&amp;"*",
  unit_details[Leased Date], "&gt;=" &amp; ($X$2 - $AD$3)
),0)</f>
        <v>0</v>
      </c>
      <c r="AE94" s="734" cm="1">
        <f t="array" aca="true" ref="AE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4" s="733" cm="1">
        <f t="array" aca="true" ref="AF94" ca="true">IFERROR(COUNTIFS(
  unit_details[Property Name], INDIRECT("B"&amp;ROW()),
  unit_details[Floorplan Name], INDIRECT("C"&amp;ROW()),
  unit_details[Beds], INDIRECT("D"&amp;ROW()),
  unit_details[Detected Unit Amenities], "&lt;&gt;*"&amp;$AB$3&amp;"*",
  unit_details[Leased Date], "&gt;=" &amp; ($X$2 - $AD$3)
),0)</f>
        <v>0</v>
      </c>
      <c r="AG94" s="735"/>
      <c r="AH94" s="738">
        <f t="shared" ca="true" si="4"/>
        <v>0</v>
      </c>
      <c r="AI94" s="739">
        <f t="shared" ca="true" si="5"/>
        <v>0</v>
      </c>
    </row>
    <row r="95" spans="2:35">
      <c r="B95" s="1"/>
      <c r="C95" s="80"/>
      <c r="E95" s="303"/>
      <c r="F95" s="303"/>
      <c r="J95" s="345"/>
      <c r="K95" s="6"/>
      <c r="M95" s="6"/>
      <c r="N95" s="738" t="str" cm="1">
        <f t="array" aca="true" ref="N95" ca="true">IFERROR(IF($O$3="Chunk Rent",
AVERAGEIFS('Unit-Level Data'!$O:$O,'Unit-Level Data'!$M:$M,TRUE,
          'Unit-Level Data'!$D:$D, INDIRECT("C"&amp;ROW()),
          'Unit-Level Data'!$B:$B, INDIRECT("B"&amp;ROW())),
AVERAGEIFS('Unit-Level Data'!$P:$P,'Unit-Level Data'!$M:$M,TRUE,
          'Unit-Level Data'!$D:$D, INDIRECT("C"&amp;ROW()),
          'Unit-Level Data'!$B:$B, INDIRECT("B"&amp;ROW()))),"")</f>
      </c>
      <c r="O95" s="760" t="str" cm="1">
        <f t="array" aca="true" ref="O95" ca="true">IFERROR(IF($O$3="Chunk Rent",
AVERAGEIFS('Unit-Level Data'!$Q:$Q,'Unit-Level Data'!$M:$M,TRUE,
          'Unit-Level Data'!$D:$D, INDIRECT("C"&amp;ROW()),
          'Unit-Level Data'!$B:$B, INDIRECT("B"&amp;ROW())),
AVERAGEIFS('Unit-Level Data'!$R:$R,'Unit-Level Data'!$M:$M,TRUE,
          'Unit-Level Data'!$D:$D, INDIRECT("C"&amp;ROW()),
          'Unit-Level Data'!$B:$B, INDIRECT("B"&amp;ROW()))),"")</f>
      </c>
      <c r="P95" s="733" cm="1">
        <f t="array" aca="true" ref="P95" ca="true">COUNTIFS('Unit-Level Data'!$M:$M,TRUE,
          'Unit-Level Data'!$D:$D, INDIRECT("C"&amp;ROW()),
          'Unit-Level Data'!$B:$B, INDIRECT("B"&amp;ROW()))</f>
        <v>0</v>
      </c>
      <c r="Q95" s="738" t="str" cm="1">
        <f t="array" aca="true" ref="Q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5" s="760" t="str" cm="1">
        <f t="array" aca="true" ref="R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5" s="733" cm="1">
        <f t="array" aca="true" ref="S95" ca="true">COUNTIFS('Unit-Level Data'!$L:$L, "&gt;=" &amp; ($X$2 - Q$5),
          'Unit-Level Data'!$L:$L, "&lt;" &amp; $X$2,
          'Unit-Level Data'!$D:$D, INDIRECT("C"&amp;ROW()),
          'Unit-Level Data'!$B:$B, INDIRECT("B"&amp;ROW()))</f>
        <v>0</v>
      </c>
      <c r="T95" s="738" t="str" cm="1">
        <f t="array" aca="true" ref="T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5" s="760" t="str" cm="1">
        <f t="array" aca="true" ref="U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5" s="733" cm="1">
        <f t="array" aca="true" ref="V95" ca="true">COUNTIFS('Unit-Level Data'!$L:$L, "&gt;=" &amp; ($X$2 - T$5),
          'Unit-Level Data'!$L:$L, "&lt;" &amp; $X$2,
          'Unit-Level Data'!$D:$D, INDIRECT("C"&amp;ROW()),
          'Unit-Level Data'!$B:$B, INDIRECT("B"&amp;ROW()))</f>
        <v>0</v>
      </c>
      <c r="W95" s="738" t="str" cm="1">
        <f t="array" aca="true" ref="W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5" s="760" t="str" cm="1">
        <f t="array" aca="true" ref="X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5" s="733" cm="1">
        <f t="array" aca="true" ref="Y95" ca="true">COUNTIFS('Unit-Level Data'!$L:$L, "&gt;=" &amp; ($X$2 - W$5),
          'Unit-Level Data'!$L:$L, "&lt;" &amp; $X$2,
          'Unit-Level Data'!$D:$D, INDIRECT("C"&amp;ROW()),
          'Unit-Level Data'!$B:$B, INDIRECT("B"&amp;ROW()))</f>
        <v>0</v>
      </c>
      <c r="Z95" s="761"/>
      <c r="AA95" s="735" cm="1">
        <f t="array" aca="true" ref="AA95" ca="true">IFERROR(AVERAGEIFS(
  unit_details[Sqft],
  unit_details[Property Name], INDIRECT("B"&amp;ROW()),
  unit_details[Floorplan Name], INDIRECT("C"&amp;ROW()),
  unit_details[Beds], INDIRECT("D"&amp;ROW()),
  unit_details[Detected Unit Amenities], "*"&amp;$AB$3&amp;"*",
  unit_details[Leased Date], "&gt;=" &amp; ($X$2 - $AD$3)
),0)</f>
        <v>0</v>
      </c>
      <c r="AB95" s="734" cm="1">
        <f t="array" aca="true" ref="AB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5" s="733" cm="1">
        <f t="array" aca="true" ref="AC95" ca="true">IFERROR(COUNTIFS(
  unit_details[Property Name], INDIRECT("B"&amp;ROW()),
  unit_details[Floorplan Name], INDIRECT("C"&amp;ROW()),
  unit_details[Beds], INDIRECT("D"&amp;ROW()),
  unit_details[Detected Unit Amenities], "*"&amp;$AB$3&amp;"*",
  unit_details[Leased Date], "&gt;=" &amp; ($X$2 - $AD$3)
),0)</f>
        <v>0</v>
      </c>
      <c r="AD95" s="735" cm="1">
        <f t="array" aca="true" ref="AD95" ca="true">IFERROR(AVERAGEIFS(
  unit_details[Sqft],
  unit_details[Property Name], INDIRECT("B"&amp;ROW()),
  unit_details[Floorplan Name], INDIRECT("C"&amp;ROW()),
  unit_details[Beds], INDIRECT("D"&amp;ROW()),
  unit_details[Detected Unit Amenities], "&lt;&gt;*"&amp;$AB$3&amp;"*",
  unit_details[Leased Date], "&gt;=" &amp; ($X$2 - $AD$3)
),0)</f>
        <v>0</v>
      </c>
      <c r="AE95" s="734" cm="1">
        <f t="array" aca="true" ref="AE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5" s="733" cm="1">
        <f t="array" aca="true" ref="AF95" ca="true">IFERROR(COUNTIFS(
  unit_details[Property Name], INDIRECT("B"&amp;ROW()),
  unit_details[Floorplan Name], INDIRECT("C"&amp;ROW()),
  unit_details[Beds], INDIRECT("D"&amp;ROW()),
  unit_details[Detected Unit Amenities], "&lt;&gt;*"&amp;$AB$3&amp;"*",
  unit_details[Leased Date], "&gt;=" &amp; ($X$2 - $AD$3)
),0)</f>
        <v>0</v>
      </c>
      <c r="AG95" s="735"/>
      <c r="AH95" s="738">
        <f t="shared" ca="true" si="4"/>
        <v>0</v>
      </c>
      <c r="AI95" s="739">
        <f t="shared" ca="true" si="5"/>
        <v>0</v>
      </c>
    </row>
    <row r="96" spans="2:35">
      <c r="B96" s="1"/>
      <c r="C96" s="80"/>
      <c r="E96" s="303"/>
      <c r="F96" s="303"/>
      <c r="J96" s="345"/>
      <c r="K96" s="6"/>
      <c r="M96" s="6"/>
      <c r="N96" s="738" t="str" cm="1">
        <f t="array" aca="true" ref="N96" ca="true">IFERROR(IF($O$3="Chunk Rent",
AVERAGEIFS('Unit-Level Data'!$O:$O,'Unit-Level Data'!$M:$M,TRUE,
          'Unit-Level Data'!$D:$D, INDIRECT("C"&amp;ROW()),
          'Unit-Level Data'!$B:$B, INDIRECT("B"&amp;ROW())),
AVERAGEIFS('Unit-Level Data'!$P:$P,'Unit-Level Data'!$M:$M,TRUE,
          'Unit-Level Data'!$D:$D, INDIRECT("C"&amp;ROW()),
          'Unit-Level Data'!$B:$B, INDIRECT("B"&amp;ROW()))),"")</f>
      </c>
      <c r="O96" s="760" t="str" cm="1">
        <f t="array" aca="true" ref="O96" ca="true">IFERROR(IF($O$3="Chunk Rent",
AVERAGEIFS('Unit-Level Data'!$Q:$Q,'Unit-Level Data'!$M:$M,TRUE,
          'Unit-Level Data'!$D:$D, INDIRECT("C"&amp;ROW()),
          'Unit-Level Data'!$B:$B, INDIRECT("B"&amp;ROW())),
AVERAGEIFS('Unit-Level Data'!$R:$R,'Unit-Level Data'!$M:$M,TRUE,
          'Unit-Level Data'!$D:$D, INDIRECT("C"&amp;ROW()),
          'Unit-Level Data'!$B:$B, INDIRECT("B"&amp;ROW()))),"")</f>
      </c>
      <c r="P96" s="733" cm="1">
        <f t="array" aca="true" ref="P96" ca="true">COUNTIFS('Unit-Level Data'!$M:$M,TRUE,
          'Unit-Level Data'!$D:$D, INDIRECT("C"&amp;ROW()),
          'Unit-Level Data'!$B:$B, INDIRECT("B"&amp;ROW()))</f>
        <v>0</v>
      </c>
      <c r="Q96" s="738" t="str" cm="1">
        <f t="array" aca="true" ref="Q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6" s="760" t="str" cm="1">
        <f t="array" aca="true" ref="R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6" s="733" cm="1">
        <f t="array" aca="true" ref="S96" ca="true">COUNTIFS('Unit-Level Data'!$L:$L, "&gt;=" &amp; ($X$2 - Q$5),
          'Unit-Level Data'!$L:$L, "&lt;" &amp; $X$2,
          'Unit-Level Data'!$D:$D, INDIRECT("C"&amp;ROW()),
          'Unit-Level Data'!$B:$B, INDIRECT("B"&amp;ROW()))</f>
        <v>0</v>
      </c>
      <c r="T96" s="738" t="str" cm="1">
        <f t="array" aca="true" ref="T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6" s="760" t="str" cm="1">
        <f t="array" aca="true" ref="U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6" s="733" cm="1">
        <f t="array" aca="true" ref="V96" ca="true">COUNTIFS('Unit-Level Data'!$L:$L, "&gt;=" &amp; ($X$2 - T$5),
          'Unit-Level Data'!$L:$L, "&lt;" &amp; $X$2,
          'Unit-Level Data'!$D:$D, INDIRECT("C"&amp;ROW()),
          'Unit-Level Data'!$B:$B, INDIRECT("B"&amp;ROW()))</f>
        <v>0</v>
      </c>
      <c r="W96" s="738" t="str" cm="1">
        <f t="array" aca="true" ref="W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6" s="760" t="str" cm="1">
        <f t="array" aca="true" ref="X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6" s="733" cm="1">
        <f t="array" aca="true" ref="Y96" ca="true">COUNTIFS('Unit-Level Data'!$L:$L, "&gt;=" &amp; ($X$2 - W$5),
          'Unit-Level Data'!$L:$L, "&lt;" &amp; $X$2,
          'Unit-Level Data'!$D:$D, INDIRECT("C"&amp;ROW()),
          'Unit-Level Data'!$B:$B, INDIRECT("B"&amp;ROW()))</f>
        <v>0</v>
      </c>
      <c r="Z96" s="761"/>
      <c r="AA96" s="735" cm="1">
        <f t="array" aca="true" ref="AA96" ca="true">IFERROR(AVERAGEIFS(
  unit_details[Sqft],
  unit_details[Property Name], INDIRECT("B"&amp;ROW()),
  unit_details[Floorplan Name], INDIRECT("C"&amp;ROW()),
  unit_details[Beds], INDIRECT("D"&amp;ROW()),
  unit_details[Detected Unit Amenities], "*"&amp;$AB$3&amp;"*",
  unit_details[Leased Date], "&gt;=" &amp; ($X$2 - $AD$3)
),0)</f>
        <v>0</v>
      </c>
      <c r="AB96" s="734" cm="1">
        <f t="array" aca="true" ref="AB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6" s="733" cm="1">
        <f t="array" aca="true" ref="AC96" ca="true">IFERROR(COUNTIFS(
  unit_details[Property Name], INDIRECT("B"&amp;ROW()),
  unit_details[Floorplan Name], INDIRECT("C"&amp;ROW()),
  unit_details[Beds], INDIRECT("D"&amp;ROW()),
  unit_details[Detected Unit Amenities], "*"&amp;$AB$3&amp;"*",
  unit_details[Leased Date], "&gt;=" &amp; ($X$2 - $AD$3)
),0)</f>
        <v>0</v>
      </c>
      <c r="AD96" s="735" cm="1">
        <f t="array" aca="true" ref="AD96" ca="true">IFERROR(AVERAGEIFS(
  unit_details[Sqft],
  unit_details[Property Name], INDIRECT("B"&amp;ROW()),
  unit_details[Floorplan Name], INDIRECT("C"&amp;ROW()),
  unit_details[Beds], INDIRECT("D"&amp;ROW()),
  unit_details[Detected Unit Amenities], "&lt;&gt;*"&amp;$AB$3&amp;"*",
  unit_details[Leased Date], "&gt;=" &amp; ($X$2 - $AD$3)
),0)</f>
        <v>0</v>
      </c>
      <c r="AE96" s="734" cm="1">
        <f t="array" aca="true" ref="AE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6" s="733" cm="1">
        <f t="array" aca="true" ref="AF96" ca="true">IFERROR(COUNTIFS(
  unit_details[Property Name], INDIRECT("B"&amp;ROW()),
  unit_details[Floorplan Name], INDIRECT("C"&amp;ROW()),
  unit_details[Beds], INDIRECT("D"&amp;ROW()),
  unit_details[Detected Unit Amenities], "&lt;&gt;*"&amp;$AB$3&amp;"*",
  unit_details[Leased Date], "&gt;=" &amp; ($X$2 - $AD$3)
),0)</f>
        <v>0</v>
      </c>
      <c r="AG96" s="735"/>
      <c r="AH96" s="738">
        <f t="shared" ca="true" si="4"/>
        <v>0</v>
      </c>
      <c r="AI96" s="739">
        <f t="shared" ca="true" si="5"/>
        <v>0</v>
      </c>
    </row>
    <row r="97" spans="2:35">
      <c r="B97" s="1"/>
      <c r="C97" s="80"/>
      <c r="E97" s="303"/>
      <c r="F97" s="303"/>
      <c r="J97" s="345"/>
      <c r="K97" s="6"/>
      <c r="M97" s="6"/>
      <c r="N97" s="738" t="str" cm="1">
        <f t="array" aca="true" ref="N97" ca="true">IFERROR(IF($O$3="Chunk Rent",
AVERAGEIFS('Unit-Level Data'!$O:$O,'Unit-Level Data'!$M:$M,TRUE,
          'Unit-Level Data'!$D:$D, INDIRECT("C"&amp;ROW()),
          'Unit-Level Data'!$B:$B, INDIRECT("B"&amp;ROW())),
AVERAGEIFS('Unit-Level Data'!$P:$P,'Unit-Level Data'!$M:$M,TRUE,
          'Unit-Level Data'!$D:$D, INDIRECT("C"&amp;ROW()),
          'Unit-Level Data'!$B:$B, INDIRECT("B"&amp;ROW()))),"")</f>
      </c>
      <c r="O97" s="760" t="str" cm="1">
        <f t="array" aca="true" ref="O97" ca="true">IFERROR(IF($O$3="Chunk Rent",
AVERAGEIFS('Unit-Level Data'!$Q:$Q,'Unit-Level Data'!$M:$M,TRUE,
          'Unit-Level Data'!$D:$D, INDIRECT("C"&amp;ROW()),
          'Unit-Level Data'!$B:$B, INDIRECT("B"&amp;ROW())),
AVERAGEIFS('Unit-Level Data'!$R:$R,'Unit-Level Data'!$M:$M,TRUE,
          'Unit-Level Data'!$D:$D, INDIRECT("C"&amp;ROW()),
          'Unit-Level Data'!$B:$B, INDIRECT("B"&amp;ROW()))),"")</f>
      </c>
      <c r="P97" s="733" cm="1">
        <f t="array" aca="true" ref="P97" ca="true">COUNTIFS('Unit-Level Data'!$M:$M,TRUE,
          'Unit-Level Data'!$D:$D, INDIRECT("C"&amp;ROW()),
          'Unit-Level Data'!$B:$B, INDIRECT("B"&amp;ROW()))</f>
        <v>0</v>
      </c>
      <c r="Q97" s="738" t="str" cm="1">
        <f t="array" aca="true" ref="Q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7" s="760" t="str" cm="1">
        <f t="array" aca="true" ref="R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7" s="733" cm="1">
        <f t="array" aca="true" ref="S97" ca="true">COUNTIFS('Unit-Level Data'!$L:$L, "&gt;=" &amp; ($X$2 - Q$5),
          'Unit-Level Data'!$L:$L, "&lt;" &amp; $X$2,
          'Unit-Level Data'!$D:$D, INDIRECT("C"&amp;ROW()),
          'Unit-Level Data'!$B:$B, INDIRECT("B"&amp;ROW()))</f>
        <v>0</v>
      </c>
      <c r="T97" s="738" t="str" cm="1">
        <f t="array" aca="true" ref="T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7" s="760" t="str" cm="1">
        <f t="array" aca="true" ref="U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7" s="733" cm="1">
        <f t="array" aca="true" ref="V97" ca="true">COUNTIFS('Unit-Level Data'!$L:$L, "&gt;=" &amp; ($X$2 - T$5),
          'Unit-Level Data'!$L:$L, "&lt;" &amp; $X$2,
          'Unit-Level Data'!$D:$D, INDIRECT("C"&amp;ROW()),
          'Unit-Level Data'!$B:$B, INDIRECT("B"&amp;ROW()))</f>
        <v>0</v>
      </c>
      <c r="W97" s="738" t="str" cm="1">
        <f t="array" aca="true" ref="W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7" s="760" t="str" cm="1">
        <f t="array" aca="true" ref="X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7" s="733" cm="1">
        <f t="array" aca="true" ref="Y97" ca="true">COUNTIFS('Unit-Level Data'!$L:$L, "&gt;=" &amp; ($X$2 - W$5),
          'Unit-Level Data'!$L:$L, "&lt;" &amp; $X$2,
          'Unit-Level Data'!$D:$D, INDIRECT("C"&amp;ROW()),
          'Unit-Level Data'!$B:$B, INDIRECT("B"&amp;ROW()))</f>
        <v>0</v>
      </c>
      <c r="Z97" s="761"/>
      <c r="AA97" s="735" cm="1">
        <f t="array" aca="true" ref="AA97" ca="true">IFERROR(AVERAGEIFS(
  unit_details[Sqft],
  unit_details[Property Name], INDIRECT("B"&amp;ROW()),
  unit_details[Floorplan Name], INDIRECT("C"&amp;ROW()),
  unit_details[Beds], INDIRECT("D"&amp;ROW()),
  unit_details[Detected Unit Amenities], "*"&amp;$AB$3&amp;"*",
  unit_details[Leased Date], "&gt;=" &amp; ($X$2 - $AD$3)
),0)</f>
        <v>0</v>
      </c>
      <c r="AB97" s="734" cm="1">
        <f t="array" aca="true" ref="AB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7" s="733" cm="1">
        <f t="array" aca="true" ref="AC97" ca="true">IFERROR(COUNTIFS(
  unit_details[Property Name], INDIRECT("B"&amp;ROW()),
  unit_details[Floorplan Name], INDIRECT("C"&amp;ROW()),
  unit_details[Beds], INDIRECT("D"&amp;ROW()),
  unit_details[Detected Unit Amenities], "*"&amp;$AB$3&amp;"*",
  unit_details[Leased Date], "&gt;=" &amp; ($X$2 - $AD$3)
),0)</f>
        <v>0</v>
      </c>
      <c r="AD97" s="735" cm="1">
        <f t="array" aca="true" ref="AD97" ca="true">IFERROR(AVERAGEIFS(
  unit_details[Sqft],
  unit_details[Property Name], INDIRECT("B"&amp;ROW()),
  unit_details[Floorplan Name], INDIRECT("C"&amp;ROW()),
  unit_details[Beds], INDIRECT("D"&amp;ROW()),
  unit_details[Detected Unit Amenities], "&lt;&gt;*"&amp;$AB$3&amp;"*",
  unit_details[Leased Date], "&gt;=" &amp; ($X$2 - $AD$3)
),0)</f>
        <v>0</v>
      </c>
      <c r="AE97" s="734" cm="1">
        <f t="array" aca="true" ref="AE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7" s="733" cm="1">
        <f t="array" aca="true" ref="AF97" ca="true">IFERROR(COUNTIFS(
  unit_details[Property Name], INDIRECT("B"&amp;ROW()),
  unit_details[Floorplan Name], INDIRECT("C"&amp;ROW()),
  unit_details[Beds], INDIRECT("D"&amp;ROW()),
  unit_details[Detected Unit Amenities], "&lt;&gt;*"&amp;$AB$3&amp;"*",
  unit_details[Leased Date], "&gt;=" &amp; ($X$2 - $AD$3)
),0)</f>
        <v>0</v>
      </c>
      <c r="AG97" s="735"/>
      <c r="AH97" s="738">
        <f t="shared" ca="true" si="4"/>
        <v>0</v>
      </c>
      <c r="AI97" s="739">
        <f t="shared" ca="true" si="5"/>
        <v>0</v>
      </c>
    </row>
    <row r="98" spans="2:35">
      <c r="B98" s="1"/>
      <c r="C98" s="80"/>
      <c r="E98" s="303"/>
      <c r="F98" s="303"/>
      <c r="J98" s="345"/>
      <c r="K98" s="6"/>
      <c r="M98" s="6"/>
      <c r="N98" s="738" t="str" cm="1">
        <f t="array" aca="true" ref="N98" ca="true">IFERROR(IF($O$3="Chunk Rent",
AVERAGEIFS('Unit-Level Data'!$O:$O,'Unit-Level Data'!$M:$M,TRUE,
          'Unit-Level Data'!$D:$D, INDIRECT("C"&amp;ROW()),
          'Unit-Level Data'!$B:$B, INDIRECT("B"&amp;ROW())),
AVERAGEIFS('Unit-Level Data'!$P:$P,'Unit-Level Data'!$M:$M,TRUE,
          'Unit-Level Data'!$D:$D, INDIRECT("C"&amp;ROW()),
          'Unit-Level Data'!$B:$B, INDIRECT("B"&amp;ROW()))),"")</f>
      </c>
      <c r="O98" s="760" t="str" cm="1">
        <f t="array" aca="true" ref="O98" ca="true">IFERROR(IF($O$3="Chunk Rent",
AVERAGEIFS('Unit-Level Data'!$Q:$Q,'Unit-Level Data'!$M:$M,TRUE,
          'Unit-Level Data'!$D:$D, INDIRECT("C"&amp;ROW()),
          'Unit-Level Data'!$B:$B, INDIRECT("B"&amp;ROW())),
AVERAGEIFS('Unit-Level Data'!$R:$R,'Unit-Level Data'!$M:$M,TRUE,
          'Unit-Level Data'!$D:$D, INDIRECT("C"&amp;ROW()),
          'Unit-Level Data'!$B:$B, INDIRECT("B"&amp;ROW()))),"")</f>
      </c>
      <c r="P98" s="733" cm="1">
        <f t="array" aca="true" ref="P98" ca="true">COUNTIFS('Unit-Level Data'!$M:$M,TRUE,
          'Unit-Level Data'!$D:$D, INDIRECT("C"&amp;ROW()),
          'Unit-Level Data'!$B:$B, INDIRECT("B"&amp;ROW()))</f>
        <v>0</v>
      </c>
      <c r="Q98" s="738" t="str" cm="1">
        <f t="array" aca="true" ref="Q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8" s="760" t="str" cm="1">
        <f t="array" aca="true" ref="R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8" s="733" cm="1">
        <f t="array" aca="true" ref="S98" ca="true">COUNTIFS('Unit-Level Data'!$L:$L, "&gt;=" &amp; ($X$2 - Q$5),
          'Unit-Level Data'!$L:$L, "&lt;" &amp; $X$2,
          'Unit-Level Data'!$D:$D, INDIRECT("C"&amp;ROW()),
          'Unit-Level Data'!$B:$B, INDIRECT("B"&amp;ROW()))</f>
        <v>0</v>
      </c>
      <c r="T98" s="738" t="str" cm="1">
        <f t="array" aca="true" ref="T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8" s="760" t="str" cm="1">
        <f t="array" aca="true" ref="U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8" s="733" cm="1">
        <f t="array" aca="true" ref="V98" ca="true">COUNTIFS('Unit-Level Data'!$L:$L, "&gt;=" &amp; ($X$2 - T$5),
          'Unit-Level Data'!$L:$L, "&lt;" &amp; $X$2,
          'Unit-Level Data'!$D:$D, INDIRECT("C"&amp;ROW()),
          'Unit-Level Data'!$B:$B, INDIRECT("B"&amp;ROW()))</f>
        <v>0</v>
      </c>
      <c r="W98" s="738" t="str" cm="1">
        <f t="array" aca="true" ref="W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8" s="760" t="str" cm="1">
        <f t="array" aca="true" ref="X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8" s="733" cm="1">
        <f t="array" aca="true" ref="Y98" ca="true">COUNTIFS('Unit-Level Data'!$L:$L, "&gt;=" &amp; ($X$2 - W$5),
          'Unit-Level Data'!$L:$L, "&lt;" &amp; $X$2,
          'Unit-Level Data'!$D:$D, INDIRECT("C"&amp;ROW()),
          'Unit-Level Data'!$B:$B, INDIRECT("B"&amp;ROW()))</f>
        <v>0</v>
      </c>
      <c r="Z98" s="761"/>
      <c r="AA98" s="735" cm="1">
        <f t="array" aca="true" ref="AA98" ca="true">IFERROR(AVERAGEIFS(
  unit_details[Sqft],
  unit_details[Property Name], INDIRECT("B"&amp;ROW()),
  unit_details[Floorplan Name], INDIRECT("C"&amp;ROW()),
  unit_details[Beds], INDIRECT("D"&amp;ROW()),
  unit_details[Detected Unit Amenities], "*"&amp;$AB$3&amp;"*",
  unit_details[Leased Date], "&gt;=" &amp; ($X$2 - $AD$3)
),0)</f>
        <v>0</v>
      </c>
      <c r="AB98" s="734" cm="1">
        <f t="array" aca="true" ref="AB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8" s="733" cm="1">
        <f t="array" aca="true" ref="AC98" ca="true">IFERROR(COUNTIFS(
  unit_details[Property Name], INDIRECT("B"&amp;ROW()),
  unit_details[Floorplan Name], INDIRECT("C"&amp;ROW()),
  unit_details[Beds], INDIRECT("D"&amp;ROW()),
  unit_details[Detected Unit Amenities], "*"&amp;$AB$3&amp;"*",
  unit_details[Leased Date], "&gt;=" &amp; ($X$2 - $AD$3)
),0)</f>
        <v>0</v>
      </c>
      <c r="AD98" s="735" cm="1">
        <f t="array" aca="true" ref="AD98" ca="true">IFERROR(AVERAGEIFS(
  unit_details[Sqft],
  unit_details[Property Name], INDIRECT("B"&amp;ROW()),
  unit_details[Floorplan Name], INDIRECT("C"&amp;ROW()),
  unit_details[Beds], INDIRECT("D"&amp;ROW()),
  unit_details[Detected Unit Amenities], "&lt;&gt;*"&amp;$AB$3&amp;"*",
  unit_details[Leased Date], "&gt;=" &amp; ($X$2 - $AD$3)
),0)</f>
        <v>0</v>
      </c>
      <c r="AE98" s="734" cm="1">
        <f t="array" aca="true" ref="AE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8" s="733" cm="1">
        <f t="array" aca="true" ref="AF98" ca="true">IFERROR(COUNTIFS(
  unit_details[Property Name], INDIRECT("B"&amp;ROW()),
  unit_details[Floorplan Name], INDIRECT("C"&amp;ROW()),
  unit_details[Beds], INDIRECT("D"&amp;ROW()),
  unit_details[Detected Unit Amenities], "&lt;&gt;*"&amp;$AB$3&amp;"*",
  unit_details[Leased Date], "&gt;=" &amp; ($X$2 - $AD$3)
),0)</f>
        <v>0</v>
      </c>
      <c r="AG98" s="735"/>
      <c r="AH98" s="738">
        <f t="shared" ca="true" si="4"/>
        <v>0</v>
      </c>
      <c r="AI98" s="739">
        <f t="shared" ca="true" si="5"/>
        <v>0</v>
      </c>
    </row>
    <row r="99" spans="2:35">
      <c r="B99" s="1"/>
      <c r="C99" s="80"/>
      <c r="E99" s="303"/>
      <c r="F99" s="303"/>
      <c r="J99" s="345"/>
      <c r="K99" s="6"/>
      <c r="M99" s="6"/>
      <c r="N99" s="738" t="str" cm="1">
        <f t="array" aca="true" ref="N99" ca="true">IFERROR(IF($O$3="Chunk Rent",
AVERAGEIFS('Unit-Level Data'!$O:$O,'Unit-Level Data'!$M:$M,TRUE,
          'Unit-Level Data'!$D:$D, INDIRECT("C"&amp;ROW()),
          'Unit-Level Data'!$B:$B, INDIRECT("B"&amp;ROW())),
AVERAGEIFS('Unit-Level Data'!$P:$P,'Unit-Level Data'!$M:$M,TRUE,
          'Unit-Level Data'!$D:$D, INDIRECT("C"&amp;ROW()),
          'Unit-Level Data'!$B:$B, INDIRECT("B"&amp;ROW()))),"")</f>
      </c>
      <c r="O99" s="760" t="str" cm="1">
        <f t="array" aca="true" ref="O99" ca="true">IFERROR(IF($O$3="Chunk Rent",
AVERAGEIFS('Unit-Level Data'!$Q:$Q,'Unit-Level Data'!$M:$M,TRUE,
          'Unit-Level Data'!$D:$D, INDIRECT("C"&amp;ROW()),
          'Unit-Level Data'!$B:$B, INDIRECT("B"&amp;ROW())),
AVERAGEIFS('Unit-Level Data'!$R:$R,'Unit-Level Data'!$M:$M,TRUE,
          'Unit-Level Data'!$D:$D, INDIRECT("C"&amp;ROW()),
          'Unit-Level Data'!$B:$B, INDIRECT("B"&amp;ROW()))),"")</f>
      </c>
      <c r="P99" s="733" cm="1">
        <f t="array" aca="true" ref="P99" ca="true">COUNTIFS('Unit-Level Data'!$M:$M,TRUE,
          'Unit-Level Data'!$D:$D, INDIRECT("C"&amp;ROW()),
          'Unit-Level Data'!$B:$B, INDIRECT("B"&amp;ROW()))</f>
        <v>0</v>
      </c>
      <c r="Q99" s="738" t="str" cm="1">
        <f t="array" aca="true" ref="Q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9" s="760" t="str" cm="1">
        <f t="array" aca="true" ref="R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9" s="733" cm="1">
        <f t="array" aca="true" ref="S99" ca="true">COUNTIFS('Unit-Level Data'!$L:$L, "&gt;=" &amp; ($X$2 - Q$5),
          'Unit-Level Data'!$L:$L, "&lt;" &amp; $X$2,
          'Unit-Level Data'!$D:$D, INDIRECT("C"&amp;ROW()),
          'Unit-Level Data'!$B:$B, INDIRECT("B"&amp;ROW()))</f>
        <v>0</v>
      </c>
      <c r="T99" s="738" t="str" cm="1">
        <f t="array" aca="true" ref="T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9" s="760" t="str" cm="1">
        <f t="array" aca="true" ref="U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9" s="733" cm="1">
        <f t="array" aca="true" ref="V99" ca="true">COUNTIFS('Unit-Level Data'!$L:$L, "&gt;=" &amp; ($X$2 - T$5),
          'Unit-Level Data'!$L:$L, "&lt;" &amp; $X$2,
          'Unit-Level Data'!$D:$D, INDIRECT("C"&amp;ROW()),
          'Unit-Level Data'!$B:$B, INDIRECT("B"&amp;ROW()))</f>
        <v>0</v>
      </c>
      <c r="W99" s="738" t="str" cm="1">
        <f t="array" aca="true" ref="W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9" s="760" t="str" cm="1">
        <f t="array" aca="true" ref="X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9" s="733" cm="1">
        <f t="array" aca="true" ref="Y99" ca="true">COUNTIFS('Unit-Level Data'!$L:$L, "&gt;=" &amp; ($X$2 - W$5),
          'Unit-Level Data'!$L:$L, "&lt;" &amp; $X$2,
          'Unit-Level Data'!$D:$D, INDIRECT("C"&amp;ROW()),
          'Unit-Level Data'!$B:$B, INDIRECT("B"&amp;ROW()))</f>
        <v>0</v>
      </c>
      <c r="Z99" s="761"/>
      <c r="AA99" s="735" cm="1">
        <f t="array" aca="true" ref="AA99" ca="true">IFERROR(AVERAGEIFS(
  unit_details[Sqft],
  unit_details[Property Name], INDIRECT("B"&amp;ROW()),
  unit_details[Floorplan Name], INDIRECT("C"&amp;ROW()),
  unit_details[Beds], INDIRECT("D"&amp;ROW()),
  unit_details[Detected Unit Amenities], "*"&amp;$AB$3&amp;"*",
  unit_details[Leased Date], "&gt;=" &amp; ($X$2 - $AD$3)
),0)</f>
        <v>0</v>
      </c>
      <c r="AB99" s="734" cm="1">
        <f t="array" aca="true" ref="AB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9" s="733" cm="1">
        <f t="array" aca="true" ref="AC99" ca="true">IFERROR(COUNTIFS(
  unit_details[Property Name], INDIRECT("B"&amp;ROW()),
  unit_details[Floorplan Name], INDIRECT("C"&amp;ROW()),
  unit_details[Beds], INDIRECT("D"&amp;ROW()),
  unit_details[Detected Unit Amenities], "*"&amp;$AB$3&amp;"*",
  unit_details[Leased Date], "&gt;=" &amp; ($X$2 - $AD$3)
),0)</f>
        <v>0</v>
      </c>
      <c r="AD99" s="735" cm="1">
        <f t="array" aca="true" ref="AD99" ca="true">IFERROR(AVERAGEIFS(
  unit_details[Sqft],
  unit_details[Property Name], INDIRECT("B"&amp;ROW()),
  unit_details[Floorplan Name], INDIRECT("C"&amp;ROW()),
  unit_details[Beds], INDIRECT("D"&amp;ROW()),
  unit_details[Detected Unit Amenities], "&lt;&gt;*"&amp;$AB$3&amp;"*",
  unit_details[Leased Date], "&gt;=" &amp; ($X$2 - $AD$3)
),0)</f>
        <v>0</v>
      </c>
      <c r="AE99" s="734" cm="1">
        <f t="array" aca="true" ref="AE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9" s="733" cm="1">
        <f t="array" aca="true" ref="AF99" ca="true">IFERROR(COUNTIFS(
  unit_details[Property Name], INDIRECT("B"&amp;ROW()),
  unit_details[Floorplan Name], INDIRECT("C"&amp;ROW()),
  unit_details[Beds], INDIRECT("D"&amp;ROW()),
  unit_details[Detected Unit Amenities], "&lt;&gt;*"&amp;$AB$3&amp;"*",
  unit_details[Leased Date], "&gt;=" &amp; ($X$2 - $AD$3)
),0)</f>
        <v>0</v>
      </c>
      <c r="AG99" s="735"/>
      <c r="AH99" s="738">
        <f t="shared" ca="true" si="4"/>
        <v>0</v>
      </c>
      <c r="AI99" s="739">
        <f t="shared" ca="true" si="5"/>
        <v>0</v>
      </c>
    </row>
    <row r="100" spans="2:35">
      <c r="B100" s="1"/>
      <c r="C100" s="80"/>
      <c r="E100" s="303"/>
      <c r="F100" s="303"/>
      <c r="J100" s="345"/>
      <c r="K100" s="6"/>
      <c r="M100" s="6"/>
      <c r="N100" s="738" t="str" cm="1">
        <f t="array" aca="true" ref="N100" ca="true">IFERROR(IF($O$3="Chunk Rent",
AVERAGEIFS('Unit-Level Data'!$O:$O,'Unit-Level Data'!$M:$M,TRUE,
          'Unit-Level Data'!$D:$D, INDIRECT("C"&amp;ROW()),
          'Unit-Level Data'!$B:$B, INDIRECT("B"&amp;ROW())),
AVERAGEIFS('Unit-Level Data'!$P:$P,'Unit-Level Data'!$M:$M,TRUE,
          'Unit-Level Data'!$D:$D, INDIRECT("C"&amp;ROW()),
          'Unit-Level Data'!$B:$B, INDIRECT("B"&amp;ROW()))),"")</f>
      </c>
      <c r="O100" s="760" t="str" cm="1">
        <f t="array" aca="true" ref="O100" ca="true">IFERROR(IF($O$3="Chunk Rent",
AVERAGEIFS('Unit-Level Data'!$Q:$Q,'Unit-Level Data'!$M:$M,TRUE,
          'Unit-Level Data'!$D:$D, INDIRECT("C"&amp;ROW()),
          'Unit-Level Data'!$B:$B, INDIRECT("B"&amp;ROW())),
AVERAGEIFS('Unit-Level Data'!$R:$R,'Unit-Level Data'!$M:$M,TRUE,
          'Unit-Level Data'!$D:$D, INDIRECT("C"&amp;ROW()),
          'Unit-Level Data'!$B:$B, INDIRECT("B"&amp;ROW()))),"")</f>
      </c>
      <c r="P100" s="733" cm="1">
        <f t="array" aca="true" ref="P100" ca="true">COUNTIFS('Unit-Level Data'!$M:$M,TRUE,
          'Unit-Level Data'!$D:$D, INDIRECT("C"&amp;ROW()),
          'Unit-Level Data'!$B:$B, INDIRECT("B"&amp;ROW()))</f>
        <v>0</v>
      </c>
      <c r="Q100" s="738" t="str" cm="1">
        <f t="array" aca="true" ref="Q1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0" s="760" t="str" cm="1">
        <f t="array" aca="true" ref="R1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0" s="733" cm="1">
        <f t="array" aca="true" ref="S100" ca="true">COUNTIFS('Unit-Level Data'!$L:$L, "&gt;=" &amp; ($X$2 - Q$5),
          'Unit-Level Data'!$L:$L, "&lt;" &amp; $X$2,
          'Unit-Level Data'!$D:$D, INDIRECT("C"&amp;ROW()),
          'Unit-Level Data'!$B:$B, INDIRECT("B"&amp;ROW()))</f>
        <v>0</v>
      </c>
      <c r="T100" s="738" t="str" cm="1">
        <f t="array" aca="true" ref="T1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0" s="760" t="str" cm="1">
        <f t="array" aca="true" ref="U1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0" s="733" cm="1">
        <f t="array" aca="true" ref="V100" ca="true">COUNTIFS('Unit-Level Data'!$L:$L, "&gt;=" &amp; ($X$2 - T$5),
          'Unit-Level Data'!$L:$L, "&lt;" &amp; $X$2,
          'Unit-Level Data'!$D:$D, INDIRECT("C"&amp;ROW()),
          'Unit-Level Data'!$B:$B, INDIRECT("B"&amp;ROW()))</f>
        <v>0</v>
      </c>
      <c r="W100" s="738" t="str" cm="1">
        <f t="array" aca="true" ref="W1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0" s="760" t="str" cm="1">
        <f t="array" aca="true" ref="X1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0" s="733" cm="1">
        <f t="array" aca="true" ref="Y100" ca="true">COUNTIFS('Unit-Level Data'!$L:$L, "&gt;=" &amp; ($X$2 - W$5),
          'Unit-Level Data'!$L:$L, "&lt;" &amp; $X$2,
          'Unit-Level Data'!$D:$D, INDIRECT("C"&amp;ROW()),
          'Unit-Level Data'!$B:$B, INDIRECT("B"&amp;ROW()))</f>
        <v>0</v>
      </c>
      <c r="Z100" s="761"/>
      <c r="AA100" s="735" cm="1">
        <f t="array" aca="true" ref="AA100" ca="true">IFERROR(AVERAGEIFS(
  unit_details[Sqft],
  unit_details[Property Name], INDIRECT("B"&amp;ROW()),
  unit_details[Floorplan Name], INDIRECT("C"&amp;ROW()),
  unit_details[Beds], INDIRECT("D"&amp;ROW()),
  unit_details[Detected Unit Amenities], "*"&amp;$AB$3&amp;"*",
  unit_details[Leased Date], "&gt;=" &amp; ($X$2 - $AD$3)
),0)</f>
        <v>0</v>
      </c>
      <c r="AB100" s="734" cm="1">
        <f t="array" aca="true" ref="AB1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0" s="733" cm="1">
        <f t="array" aca="true" ref="AC100" ca="true">IFERROR(COUNTIFS(
  unit_details[Property Name], INDIRECT("B"&amp;ROW()),
  unit_details[Floorplan Name], INDIRECT("C"&amp;ROW()),
  unit_details[Beds], INDIRECT("D"&amp;ROW()),
  unit_details[Detected Unit Amenities], "*"&amp;$AB$3&amp;"*",
  unit_details[Leased Date], "&gt;=" &amp; ($X$2 - $AD$3)
),0)</f>
        <v>0</v>
      </c>
      <c r="AD100" s="735" cm="1">
        <f t="array" aca="true" ref="AD100" ca="true">IFERROR(AVERAGEIFS(
  unit_details[Sqft],
  unit_details[Property Name], INDIRECT("B"&amp;ROW()),
  unit_details[Floorplan Name], INDIRECT("C"&amp;ROW()),
  unit_details[Beds], INDIRECT("D"&amp;ROW()),
  unit_details[Detected Unit Amenities], "&lt;&gt;*"&amp;$AB$3&amp;"*",
  unit_details[Leased Date], "&gt;=" &amp; ($X$2 - $AD$3)
),0)</f>
        <v>0</v>
      </c>
      <c r="AE100" s="734" cm="1">
        <f t="array" aca="true" ref="AE1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0" s="733" cm="1">
        <f t="array" aca="true" ref="AF100" ca="true">IFERROR(COUNTIFS(
  unit_details[Property Name], INDIRECT("B"&amp;ROW()),
  unit_details[Floorplan Name], INDIRECT("C"&amp;ROW()),
  unit_details[Beds], INDIRECT("D"&amp;ROW()),
  unit_details[Detected Unit Amenities], "&lt;&gt;*"&amp;$AB$3&amp;"*",
  unit_details[Leased Date], "&gt;=" &amp; ($X$2 - $AD$3)
),0)</f>
        <v>0</v>
      </c>
      <c r="AG100" s="735"/>
      <c r="AH100" s="738">
        <f t="shared" ca="true" si="4"/>
        <v>0</v>
      </c>
      <c r="AI100" s="739">
        <f t="shared" ca="true" si="5"/>
        <v>0</v>
      </c>
    </row>
    <row r="101" spans="2:35">
      <c r="B101" s="1"/>
      <c r="C101" s="80"/>
      <c r="E101" s="303"/>
      <c r="F101" s="303"/>
      <c r="J101" s="345"/>
      <c r="K101" s="6"/>
      <c r="M101" s="6"/>
      <c r="N101" s="738" t="str" cm="1">
        <f t="array" aca="true" ref="N101" ca="true">IFERROR(IF($O$3="Chunk Rent",
AVERAGEIFS('Unit-Level Data'!$O:$O,'Unit-Level Data'!$M:$M,TRUE,
          'Unit-Level Data'!$D:$D, INDIRECT("C"&amp;ROW()),
          'Unit-Level Data'!$B:$B, INDIRECT("B"&amp;ROW())),
AVERAGEIFS('Unit-Level Data'!$P:$P,'Unit-Level Data'!$M:$M,TRUE,
          'Unit-Level Data'!$D:$D, INDIRECT("C"&amp;ROW()),
          'Unit-Level Data'!$B:$B, INDIRECT("B"&amp;ROW()))),"")</f>
      </c>
      <c r="O101" s="760" t="str" cm="1">
        <f t="array" aca="true" ref="O101" ca="true">IFERROR(IF($O$3="Chunk Rent",
AVERAGEIFS('Unit-Level Data'!$Q:$Q,'Unit-Level Data'!$M:$M,TRUE,
          'Unit-Level Data'!$D:$D, INDIRECT("C"&amp;ROW()),
          'Unit-Level Data'!$B:$B, INDIRECT("B"&amp;ROW())),
AVERAGEIFS('Unit-Level Data'!$R:$R,'Unit-Level Data'!$M:$M,TRUE,
          'Unit-Level Data'!$D:$D, INDIRECT("C"&amp;ROW()),
          'Unit-Level Data'!$B:$B, INDIRECT("B"&amp;ROW()))),"")</f>
      </c>
      <c r="P101" s="733" cm="1">
        <f t="array" aca="true" ref="P101" ca="true">COUNTIFS('Unit-Level Data'!$M:$M,TRUE,
          'Unit-Level Data'!$D:$D, INDIRECT("C"&amp;ROW()),
          'Unit-Level Data'!$B:$B, INDIRECT("B"&amp;ROW()))</f>
        <v>0</v>
      </c>
      <c r="Q101" s="738" t="str" cm="1">
        <f t="array" aca="true" ref="Q1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1" s="760" t="str" cm="1">
        <f t="array" aca="true" ref="R1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1" s="733" cm="1">
        <f t="array" aca="true" ref="S101" ca="true">COUNTIFS('Unit-Level Data'!$L:$L, "&gt;=" &amp; ($X$2 - Q$5),
          'Unit-Level Data'!$L:$L, "&lt;" &amp; $X$2,
          'Unit-Level Data'!$D:$D, INDIRECT("C"&amp;ROW()),
          'Unit-Level Data'!$B:$B, INDIRECT("B"&amp;ROW()))</f>
        <v>0</v>
      </c>
      <c r="T101" s="738" t="str" cm="1">
        <f t="array" aca="true" ref="T1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1" s="760" t="str" cm="1">
        <f t="array" aca="true" ref="U1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1" s="733" cm="1">
        <f t="array" aca="true" ref="V101" ca="true">COUNTIFS('Unit-Level Data'!$L:$L, "&gt;=" &amp; ($X$2 - T$5),
          'Unit-Level Data'!$L:$L, "&lt;" &amp; $X$2,
          'Unit-Level Data'!$D:$D, INDIRECT("C"&amp;ROW()),
          'Unit-Level Data'!$B:$B, INDIRECT("B"&amp;ROW()))</f>
        <v>0</v>
      </c>
      <c r="W101" s="738" t="str" cm="1">
        <f t="array" aca="true" ref="W1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1" s="760" t="str" cm="1">
        <f t="array" aca="true" ref="X1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1" s="733" cm="1">
        <f t="array" aca="true" ref="Y101" ca="true">COUNTIFS('Unit-Level Data'!$L:$L, "&gt;=" &amp; ($X$2 - W$5),
          'Unit-Level Data'!$L:$L, "&lt;" &amp; $X$2,
          'Unit-Level Data'!$D:$D, INDIRECT("C"&amp;ROW()),
          'Unit-Level Data'!$B:$B, INDIRECT("B"&amp;ROW()))</f>
        <v>0</v>
      </c>
      <c r="Z101" s="761"/>
      <c r="AA101" s="735" cm="1">
        <f t="array" aca="true" ref="AA101" ca="true">IFERROR(AVERAGEIFS(
  unit_details[Sqft],
  unit_details[Property Name], INDIRECT("B"&amp;ROW()),
  unit_details[Floorplan Name], INDIRECT("C"&amp;ROW()),
  unit_details[Beds], INDIRECT("D"&amp;ROW()),
  unit_details[Detected Unit Amenities], "*"&amp;$AB$3&amp;"*",
  unit_details[Leased Date], "&gt;=" &amp; ($X$2 - $AD$3)
),0)</f>
        <v>0</v>
      </c>
      <c r="AB101" s="734" cm="1">
        <f t="array" aca="true" ref="AB1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1" s="733" cm="1">
        <f t="array" aca="true" ref="AC101" ca="true">IFERROR(COUNTIFS(
  unit_details[Property Name], INDIRECT("B"&amp;ROW()),
  unit_details[Floorplan Name], INDIRECT("C"&amp;ROW()),
  unit_details[Beds], INDIRECT("D"&amp;ROW()),
  unit_details[Detected Unit Amenities], "*"&amp;$AB$3&amp;"*",
  unit_details[Leased Date], "&gt;=" &amp; ($X$2 - $AD$3)
),0)</f>
        <v>0</v>
      </c>
      <c r="AD101" s="735" cm="1">
        <f t="array" aca="true" ref="AD101" ca="true">IFERROR(AVERAGEIFS(
  unit_details[Sqft],
  unit_details[Property Name], INDIRECT("B"&amp;ROW()),
  unit_details[Floorplan Name], INDIRECT("C"&amp;ROW()),
  unit_details[Beds], INDIRECT("D"&amp;ROW()),
  unit_details[Detected Unit Amenities], "&lt;&gt;*"&amp;$AB$3&amp;"*",
  unit_details[Leased Date], "&gt;=" &amp; ($X$2 - $AD$3)
),0)</f>
        <v>0</v>
      </c>
      <c r="AE101" s="734" cm="1">
        <f t="array" aca="true" ref="AE1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1" s="733" cm="1">
        <f t="array" aca="true" ref="AF101" ca="true">IFERROR(COUNTIFS(
  unit_details[Property Name], INDIRECT("B"&amp;ROW()),
  unit_details[Floorplan Name], INDIRECT("C"&amp;ROW()),
  unit_details[Beds], INDIRECT("D"&amp;ROW()),
  unit_details[Detected Unit Amenities], "&lt;&gt;*"&amp;$AB$3&amp;"*",
  unit_details[Leased Date], "&gt;=" &amp; ($X$2 - $AD$3)
),0)</f>
        <v>0</v>
      </c>
      <c r="AG101" s="735"/>
      <c r="AH101" s="738">
        <f t="shared" ca="true" si="4"/>
        <v>0</v>
      </c>
      <c r="AI101" s="739">
        <f t="shared" ca="true" si="5"/>
        <v>0</v>
      </c>
    </row>
    <row r="102" spans="2:35">
      <c r="B102" s="1"/>
      <c r="C102" s="80"/>
      <c r="E102" s="303"/>
      <c r="F102" s="303"/>
      <c r="J102" s="345"/>
      <c r="K102" s="6"/>
      <c r="M102" s="6"/>
      <c r="N102" s="738" t="str" cm="1">
        <f t="array" aca="true" ref="N102" ca="true">IFERROR(IF($O$3="Chunk Rent",
AVERAGEIFS('Unit-Level Data'!$O:$O,'Unit-Level Data'!$M:$M,TRUE,
          'Unit-Level Data'!$D:$D, INDIRECT("C"&amp;ROW()),
          'Unit-Level Data'!$B:$B, INDIRECT("B"&amp;ROW())),
AVERAGEIFS('Unit-Level Data'!$P:$P,'Unit-Level Data'!$M:$M,TRUE,
          'Unit-Level Data'!$D:$D, INDIRECT("C"&amp;ROW()),
          'Unit-Level Data'!$B:$B, INDIRECT("B"&amp;ROW()))),"")</f>
      </c>
      <c r="O102" s="760" t="str" cm="1">
        <f t="array" aca="true" ref="O102" ca="true">IFERROR(IF($O$3="Chunk Rent",
AVERAGEIFS('Unit-Level Data'!$Q:$Q,'Unit-Level Data'!$M:$M,TRUE,
          'Unit-Level Data'!$D:$D, INDIRECT("C"&amp;ROW()),
          'Unit-Level Data'!$B:$B, INDIRECT("B"&amp;ROW())),
AVERAGEIFS('Unit-Level Data'!$R:$R,'Unit-Level Data'!$M:$M,TRUE,
          'Unit-Level Data'!$D:$D, INDIRECT("C"&amp;ROW()),
          'Unit-Level Data'!$B:$B, INDIRECT("B"&amp;ROW()))),"")</f>
      </c>
      <c r="P102" s="733" cm="1">
        <f t="array" aca="true" ref="P102" ca="true">COUNTIFS('Unit-Level Data'!$M:$M,TRUE,
          'Unit-Level Data'!$D:$D, INDIRECT("C"&amp;ROW()),
          'Unit-Level Data'!$B:$B, INDIRECT("B"&amp;ROW()))</f>
        <v>0</v>
      </c>
      <c r="Q102" s="738" t="str" cm="1">
        <f t="array" aca="true" ref="Q1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2" s="760" t="str" cm="1">
        <f t="array" aca="true" ref="R1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2" s="733" cm="1">
        <f t="array" aca="true" ref="S102" ca="true">COUNTIFS('Unit-Level Data'!$L:$L, "&gt;=" &amp; ($X$2 - Q$5),
          'Unit-Level Data'!$L:$L, "&lt;" &amp; $X$2,
          'Unit-Level Data'!$D:$D, INDIRECT("C"&amp;ROW()),
          'Unit-Level Data'!$B:$B, INDIRECT("B"&amp;ROW()))</f>
        <v>0</v>
      </c>
      <c r="T102" s="738" t="str" cm="1">
        <f t="array" aca="true" ref="T1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2" s="760" t="str" cm="1">
        <f t="array" aca="true" ref="U1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2" s="733" cm="1">
        <f t="array" aca="true" ref="V102" ca="true">COUNTIFS('Unit-Level Data'!$L:$L, "&gt;=" &amp; ($X$2 - T$5),
          'Unit-Level Data'!$L:$L, "&lt;" &amp; $X$2,
          'Unit-Level Data'!$D:$D, INDIRECT("C"&amp;ROW()),
          'Unit-Level Data'!$B:$B, INDIRECT("B"&amp;ROW()))</f>
        <v>0</v>
      </c>
      <c r="W102" s="738" t="str" cm="1">
        <f t="array" aca="true" ref="W1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2" s="760" t="str" cm="1">
        <f t="array" aca="true" ref="X1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2" s="733" cm="1">
        <f t="array" aca="true" ref="Y102" ca="true">COUNTIFS('Unit-Level Data'!$L:$L, "&gt;=" &amp; ($X$2 - W$5),
          'Unit-Level Data'!$L:$L, "&lt;" &amp; $X$2,
          'Unit-Level Data'!$D:$D, INDIRECT("C"&amp;ROW()),
          'Unit-Level Data'!$B:$B, INDIRECT("B"&amp;ROW()))</f>
        <v>0</v>
      </c>
      <c r="Z102" s="761"/>
      <c r="AA102" s="735" cm="1">
        <f t="array" aca="true" ref="AA102" ca="true">IFERROR(AVERAGEIFS(
  unit_details[Sqft],
  unit_details[Property Name], INDIRECT("B"&amp;ROW()),
  unit_details[Floorplan Name], INDIRECT("C"&amp;ROW()),
  unit_details[Beds], INDIRECT("D"&amp;ROW()),
  unit_details[Detected Unit Amenities], "*"&amp;$AB$3&amp;"*",
  unit_details[Leased Date], "&gt;=" &amp; ($X$2 - $AD$3)
),0)</f>
        <v>0</v>
      </c>
      <c r="AB102" s="734" cm="1">
        <f t="array" aca="true" ref="AB1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2" s="733" cm="1">
        <f t="array" aca="true" ref="AC102" ca="true">IFERROR(COUNTIFS(
  unit_details[Property Name], INDIRECT("B"&amp;ROW()),
  unit_details[Floorplan Name], INDIRECT("C"&amp;ROW()),
  unit_details[Beds], INDIRECT("D"&amp;ROW()),
  unit_details[Detected Unit Amenities], "*"&amp;$AB$3&amp;"*",
  unit_details[Leased Date], "&gt;=" &amp; ($X$2 - $AD$3)
),0)</f>
        <v>0</v>
      </c>
      <c r="AD102" s="735" cm="1">
        <f t="array" aca="true" ref="AD102" ca="true">IFERROR(AVERAGEIFS(
  unit_details[Sqft],
  unit_details[Property Name], INDIRECT("B"&amp;ROW()),
  unit_details[Floorplan Name], INDIRECT("C"&amp;ROW()),
  unit_details[Beds], INDIRECT("D"&amp;ROW()),
  unit_details[Detected Unit Amenities], "&lt;&gt;*"&amp;$AB$3&amp;"*",
  unit_details[Leased Date], "&gt;=" &amp; ($X$2 - $AD$3)
),0)</f>
        <v>0</v>
      </c>
      <c r="AE102" s="734" cm="1">
        <f t="array" aca="true" ref="AE1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2" s="733" cm="1">
        <f t="array" aca="true" ref="AF102" ca="true">IFERROR(COUNTIFS(
  unit_details[Property Name], INDIRECT("B"&amp;ROW()),
  unit_details[Floorplan Name], INDIRECT("C"&amp;ROW()),
  unit_details[Beds], INDIRECT("D"&amp;ROW()),
  unit_details[Detected Unit Amenities], "&lt;&gt;*"&amp;$AB$3&amp;"*",
  unit_details[Leased Date], "&gt;=" &amp; ($X$2 - $AD$3)
),0)</f>
        <v>0</v>
      </c>
      <c r="AG102" s="735"/>
      <c r="AH102" s="738">
        <f t="shared" ca="true" si="4"/>
        <v>0</v>
      </c>
      <c r="AI102" s="739">
        <f t="shared" ca="true" si="5"/>
        <v>0</v>
      </c>
    </row>
    <row r="103" spans="2:35">
      <c r="B103" s="1"/>
      <c r="C103" s="80"/>
      <c r="E103" s="303"/>
      <c r="F103" s="303"/>
      <c r="J103" s="345"/>
      <c r="K103" s="6"/>
      <c r="M103" s="6"/>
      <c r="N103" s="738" t="str" cm="1">
        <f t="array" aca="true" ref="N103" ca="true">IFERROR(IF($O$3="Chunk Rent",
AVERAGEIFS('Unit-Level Data'!$O:$O,'Unit-Level Data'!$M:$M,TRUE,
          'Unit-Level Data'!$D:$D, INDIRECT("C"&amp;ROW()),
          'Unit-Level Data'!$B:$B, INDIRECT("B"&amp;ROW())),
AVERAGEIFS('Unit-Level Data'!$P:$P,'Unit-Level Data'!$M:$M,TRUE,
          'Unit-Level Data'!$D:$D, INDIRECT("C"&amp;ROW()),
          'Unit-Level Data'!$B:$B, INDIRECT("B"&amp;ROW()))),"")</f>
      </c>
      <c r="O103" s="760" t="str" cm="1">
        <f t="array" aca="true" ref="O103" ca="true">IFERROR(IF($O$3="Chunk Rent",
AVERAGEIFS('Unit-Level Data'!$Q:$Q,'Unit-Level Data'!$M:$M,TRUE,
          'Unit-Level Data'!$D:$D, INDIRECT("C"&amp;ROW()),
          'Unit-Level Data'!$B:$B, INDIRECT("B"&amp;ROW())),
AVERAGEIFS('Unit-Level Data'!$R:$R,'Unit-Level Data'!$M:$M,TRUE,
          'Unit-Level Data'!$D:$D, INDIRECT("C"&amp;ROW()),
          'Unit-Level Data'!$B:$B, INDIRECT("B"&amp;ROW()))),"")</f>
      </c>
      <c r="P103" s="733" cm="1">
        <f t="array" aca="true" ref="P103" ca="true">COUNTIFS('Unit-Level Data'!$M:$M,TRUE,
          'Unit-Level Data'!$D:$D, INDIRECT("C"&amp;ROW()),
          'Unit-Level Data'!$B:$B, INDIRECT("B"&amp;ROW()))</f>
        <v>0</v>
      </c>
      <c r="Q103" s="738" t="str" cm="1">
        <f t="array" aca="true" ref="Q1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3" s="760" t="str" cm="1">
        <f t="array" aca="true" ref="R1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3" s="733" cm="1">
        <f t="array" aca="true" ref="S103" ca="true">COUNTIFS('Unit-Level Data'!$L:$L, "&gt;=" &amp; ($X$2 - Q$5),
          'Unit-Level Data'!$L:$L, "&lt;" &amp; $X$2,
          'Unit-Level Data'!$D:$D, INDIRECT("C"&amp;ROW()),
          'Unit-Level Data'!$B:$B, INDIRECT("B"&amp;ROW()))</f>
        <v>0</v>
      </c>
      <c r="T103" s="738" t="str" cm="1">
        <f t="array" aca="true" ref="T1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3" s="760" t="str" cm="1">
        <f t="array" aca="true" ref="U1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3" s="733" cm="1">
        <f t="array" aca="true" ref="V103" ca="true">COUNTIFS('Unit-Level Data'!$L:$L, "&gt;=" &amp; ($X$2 - T$5),
          'Unit-Level Data'!$L:$L, "&lt;" &amp; $X$2,
          'Unit-Level Data'!$D:$D, INDIRECT("C"&amp;ROW()),
          'Unit-Level Data'!$B:$B, INDIRECT("B"&amp;ROW()))</f>
        <v>0</v>
      </c>
      <c r="W103" s="738" t="str" cm="1">
        <f t="array" aca="true" ref="W1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3" s="760" t="str" cm="1">
        <f t="array" aca="true" ref="X1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3" s="733" cm="1">
        <f t="array" aca="true" ref="Y103" ca="true">COUNTIFS('Unit-Level Data'!$L:$L, "&gt;=" &amp; ($X$2 - W$5),
          'Unit-Level Data'!$L:$L, "&lt;" &amp; $X$2,
          'Unit-Level Data'!$D:$D, INDIRECT("C"&amp;ROW()),
          'Unit-Level Data'!$B:$B, INDIRECT("B"&amp;ROW()))</f>
        <v>0</v>
      </c>
      <c r="Z103" s="761"/>
      <c r="AA103" s="735" cm="1">
        <f t="array" aca="true" ref="AA103" ca="true">IFERROR(AVERAGEIFS(
  unit_details[Sqft],
  unit_details[Property Name], INDIRECT("B"&amp;ROW()),
  unit_details[Floorplan Name], INDIRECT("C"&amp;ROW()),
  unit_details[Beds], INDIRECT("D"&amp;ROW()),
  unit_details[Detected Unit Amenities], "*"&amp;$AB$3&amp;"*",
  unit_details[Leased Date], "&gt;=" &amp; ($X$2 - $AD$3)
),0)</f>
        <v>0</v>
      </c>
      <c r="AB103" s="734" cm="1">
        <f t="array" aca="true" ref="AB1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3" s="733" cm="1">
        <f t="array" aca="true" ref="AC103" ca="true">IFERROR(COUNTIFS(
  unit_details[Property Name], INDIRECT("B"&amp;ROW()),
  unit_details[Floorplan Name], INDIRECT("C"&amp;ROW()),
  unit_details[Beds], INDIRECT("D"&amp;ROW()),
  unit_details[Detected Unit Amenities], "*"&amp;$AB$3&amp;"*",
  unit_details[Leased Date], "&gt;=" &amp; ($X$2 - $AD$3)
),0)</f>
        <v>0</v>
      </c>
      <c r="AD103" s="735" cm="1">
        <f t="array" aca="true" ref="AD103" ca="true">IFERROR(AVERAGEIFS(
  unit_details[Sqft],
  unit_details[Property Name], INDIRECT("B"&amp;ROW()),
  unit_details[Floorplan Name], INDIRECT("C"&amp;ROW()),
  unit_details[Beds], INDIRECT("D"&amp;ROW()),
  unit_details[Detected Unit Amenities], "&lt;&gt;*"&amp;$AB$3&amp;"*",
  unit_details[Leased Date], "&gt;=" &amp; ($X$2 - $AD$3)
),0)</f>
        <v>0</v>
      </c>
      <c r="AE103" s="734" cm="1">
        <f t="array" aca="true" ref="AE1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3" s="733" cm="1">
        <f t="array" aca="true" ref="AF103" ca="true">IFERROR(COUNTIFS(
  unit_details[Property Name], INDIRECT("B"&amp;ROW()),
  unit_details[Floorplan Name], INDIRECT("C"&amp;ROW()),
  unit_details[Beds], INDIRECT("D"&amp;ROW()),
  unit_details[Detected Unit Amenities], "&lt;&gt;*"&amp;$AB$3&amp;"*",
  unit_details[Leased Date], "&gt;=" &amp; ($X$2 - $AD$3)
),0)</f>
        <v>0</v>
      </c>
      <c r="AG103" s="735"/>
      <c r="AH103" s="738">
        <f t="shared" ca="true" si="4"/>
        <v>0</v>
      </c>
      <c r="AI103" s="739">
        <f t="shared" ca="true" si="5"/>
        <v>0</v>
      </c>
    </row>
    <row r="104" spans="2:35">
      <c r="B104" s="1"/>
      <c r="C104" s="80"/>
      <c r="E104" s="303"/>
      <c r="F104" s="303"/>
      <c r="J104" s="345"/>
      <c r="K104" s="6"/>
      <c r="M104" s="6"/>
      <c r="N104" s="738" t="str" cm="1">
        <f t="array" aca="true" ref="N104" ca="true">IFERROR(IF($O$3="Chunk Rent",
AVERAGEIFS('Unit-Level Data'!$O:$O,'Unit-Level Data'!$M:$M,TRUE,
          'Unit-Level Data'!$D:$D, INDIRECT("C"&amp;ROW()),
          'Unit-Level Data'!$B:$B, INDIRECT("B"&amp;ROW())),
AVERAGEIFS('Unit-Level Data'!$P:$P,'Unit-Level Data'!$M:$M,TRUE,
          'Unit-Level Data'!$D:$D, INDIRECT("C"&amp;ROW()),
          'Unit-Level Data'!$B:$B, INDIRECT("B"&amp;ROW()))),"")</f>
      </c>
      <c r="O104" s="760" t="str" cm="1">
        <f t="array" aca="true" ref="O104" ca="true">IFERROR(IF($O$3="Chunk Rent",
AVERAGEIFS('Unit-Level Data'!$Q:$Q,'Unit-Level Data'!$M:$M,TRUE,
          'Unit-Level Data'!$D:$D, INDIRECT("C"&amp;ROW()),
          'Unit-Level Data'!$B:$B, INDIRECT("B"&amp;ROW())),
AVERAGEIFS('Unit-Level Data'!$R:$R,'Unit-Level Data'!$M:$M,TRUE,
          'Unit-Level Data'!$D:$D, INDIRECT("C"&amp;ROW()),
          'Unit-Level Data'!$B:$B, INDIRECT("B"&amp;ROW()))),"")</f>
      </c>
      <c r="P104" s="733" cm="1">
        <f t="array" aca="true" ref="P104" ca="true">COUNTIFS('Unit-Level Data'!$M:$M,TRUE,
          'Unit-Level Data'!$D:$D, INDIRECT("C"&amp;ROW()),
          'Unit-Level Data'!$B:$B, INDIRECT("B"&amp;ROW()))</f>
        <v>0</v>
      </c>
      <c r="Q104" s="738" t="str" cm="1">
        <f t="array" aca="true" ref="Q1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4" s="760" t="str" cm="1">
        <f t="array" aca="true" ref="R1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4" s="733" cm="1">
        <f t="array" aca="true" ref="S104" ca="true">COUNTIFS('Unit-Level Data'!$L:$L, "&gt;=" &amp; ($X$2 - Q$5),
          'Unit-Level Data'!$L:$L, "&lt;" &amp; $X$2,
          'Unit-Level Data'!$D:$D, INDIRECT("C"&amp;ROW()),
          'Unit-Level Data'!$B:$B, INDIRECT("B"&amp;ROW()))</f>
        <v>0</v>
      </c>
      <c r="T104" s="738" t="str" cm="1">
        <f t="array" aca="true" ref="T1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4" s="760" t="str" cm="1">
        <f t="array" aca="true" ref="U1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4" s="733" cm="1">
        <f t="array" aca="true" ref="V104" ca="true">COUNTIFS('Unit-Level Data'!$L:$L, "&gt;=" &amp; ($X$2 - T$5),
          'Unit-Level Data'!$L:$L, "&lt;" &amp; $X$2,
          'Unit-Level Data'!$D:$D, INDIRECT("C"&amp;ROW()),
          'Unit-Level Data'!$B:$B, INDIRECT("B"&amp;ROW()))</f>
        <v>0</v>
      </c>
      <c r="W104" s="738" t="str" cm="1">
        <f t="array" aca="true" ref="W1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4" s="760" t="str" cm="1">
        <f t="array" aca="true" ref="X1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4" s="733" cm="1">
        <f t="array" aca="true" ref="Y104" ca="true">COUNTIFS('Unit-Level Data'!$L:$L, "&gt;=" &amp; ($X$2 - W$5),
          'Unit-Level Data'!$L:$L, "&lt;" &amp; $X$2,
          'Unit-Level Data'!$D:$D, INDIRECT("C"&amp;ROW()),
          'Unit-Level Data'!$B:$B, INDIRECT("B"&amp;ROW()))</f>
        <v>0</v>
      </c>
      <c r="Z104" s="761"/>
      <c r="AA104" s="735" cm="1">
        <f t="array" aca="true" ref="AA104" ca="true">IFERROR(AVERAGEIFS(
  unit_details[Sqft],
  unit_details[Property Name], INDIRECT("B"&amp;ROW()),
  unit_details[Floorplan Name], INDIRECT("C"&amp;ROW()),
  unit_details[Beds], INDIRECT("D"&amp;ROW()),
  unit_details[Detected Unit Amenities], "*"&amp;$AB$3&amp;"*",
  unit_details[Leased Date], "&gt;=" &amp; ($X$2 - $AD$3)
),0)</f>
        <v>0</v>
      </c>
      <c r="AB104" s="734" cm="1">
        <f t="array" aca="true" ref="AB1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4" s="733" cm="1">
        <f t="array" aca="true" ref="AC104" ca="true">IFERROR(COUNTIFS(
  unit_details[Property Name], INDIRECT("B"&amp;ROW()),
  unit_details[Floorplan Name], INDIRECT("C"&amp;ROW()),
  unit_details[Beds], INDIRECT("D"&amp;ROW()),
  unit_details[Detected Unit Amenities], "*"&amp;$AB$3&amp;"*",
  unit_details[Leased Date], "&gt;=" &amp; ($X$2 - $AD$3)
),0)</f>
        <v>0</v>
      </c>
      <c r="AD104" s="735" cm="1">
        <f t="array" aca="true" ref="AD104" ca="true">IFERROR(AVERAGEIFS(
  unit_details[Sqft],
  unit_details[Property Name], INDIRECT("B"&amp;ROW()),
  unit_details[Floorplan Name], INDIRECT("C"&amp;ROW()),
  unit_details[Beds], INDIRECT("D"&amp;ROW()),
  unit_details[Detected Unit Amenities], "&lt;&gt;*"&amp;$AB$3&amp;"*",
  unit_details[Leased Date], "&gt;=" &amp; ($X$2 - $AD$3)
),0)</f>
        <v>0</v>
      </c>
      <c r="AE104" s="734" cm="1">
        <f t="array" aca="true" ref="AE1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4" s="733" cm="1">
        <f t="array" aca="true" ref="AF104" ca="true">IFERROR(COUNTIFS(
  unit_details[Property Name], INDIRECT("B"&amp;ROW()),
  unit_details[Floorplan Name], INDIRECT("C"&amp;ROW()),
  unit_details[Beds], INDIRECT("D"&amp;ROW()),
  unit_details[Detected Unit Amenities], "&lt;&gt;*"&amp;$AB$3&amp;"*",
  unit_details[Leased Date], "&gt;=" &amp; ($X$2 - $AD$3)
),0)</f>
        <v>0</v>
      </c>
      <c r="AG104" s="735"/>
      <c r="AH104" s="738">
        <f t="shared" ca="true" si="4"/>
        <v>0</v>
      </c>
      <c r="AI104" s="739">
        <f t="shared" ca="true" si="5"/>
        <v>0</v>
      </c>
    </row>
    <row r="105" spans="2:35">
      <c r="B105" s="1"/>
      <c r="C105" s="80"/>
      <c r="E105" s="303"/>
      <c r="F105" s="303"/>
      <c r="J105" s="345"/>
      <c r="K105" s="6"/>
      <c r="M105" s="6"/>
      <c r="N105" s="738" t="str" cm="1">
        <f t="array" aca="true" ref="N105" ca="true">IFERROR(IF($O$3="Chunk Rent",
AVERAGEIFS('Unit-Level Data'!$O:$O,'Unit-Level Data'!$M:$M,TRUE,
          'Unit-Level Data'!$D:$D, INDIRECT("C"&amp;ROW()),
          'Unit-Level Data'!$B:$B, INDIRECT("B"&amp;ROW())),
AVERAGEIFS('Unit-Level Data'!$P:$P,'Unit-Level Data'!$M:$M,TRUE,
          'Unit-Level Data'!$D:$D, INDIRECT("C"&amp;ROW()),
          'Unit-Level Data'!$B:$B, INDIRECT("B"&amp;ROW()))),"")</f>
      </c>
      <c r="O105" s="760" t="str" cm="1">
        <f t="array" aca="true" ref="O105" ca="true">IFERROR(IF($O$3="Chunk Rent",
AVERAGEIFS('Unit-Level Data'!$Q:$Q,'Unit-Level Data'!$M:$M,TRUE,
          'Unit-Level Data'!$D:$D, INDIRECT("C"&amp;ROW()),
          'Unit-Level Data'!$B:$B, INDIRECT("B"&amp;ROW())),
AVERAGEIFS('Unit-Level Data'!$R:$R,'Unit-Level Data'!$M:$M,TRUE,
          'Unit-Level Data'!$D:$D, INDIRECT("C"&amp;ROW()),
          'Unit-Level Data'!$B:$B, INDIRECT("B"&amp;ROW()))),"")</f>
      </c>
      <c r="P105" s="733" cm="1">
        <f t="array" aca="true" ref="P105" ca="true">COUNTIFS('Unit-Level Data'!$M:$M,TRUE,
          'Unit-Level Data'!$D:$D, INDIRECT("C"&amp;ROW()),
          'Unit-Level Data'!$B:$B, INDIRECT("B"&amp;ROW()))</f>
        <v>0</v>
      </c>
      <c r="Q105" s="738" t="str" cm="1">
        <f t="array" aca="true" ref="Q1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5" s="760" t="str" cm="1">
        <f t="array" aca="true" ref="R1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5" s="733" cm="1">
        <f t="array" aca="true" ref="S105" ca="true">COUNTIFS('Unit-Level Data'!$L:$L, "&gt;=" &amp; ($X$2 - Q$5),
          'Unit-Level Data'!$L:$L, "&lt;" &amp; $X$2,
          'Unit-Level Data'!$D:$D, INDIRECT("C"&amp;ROW()),
          'Unit-Level Data'!$B:$B, INDIRECT("B"&amp;ROW()))</f>
        <v>0</v>
      </c>
      <c r="T105" s="738" t="str" cm="1">
        <f t="array" aca="true" ref="T1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5" s="760" t="str" cm="1">
        <f t="array" aca="true" ref="U1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5" s="733" cm="1">
        <f t="array" aca="true" ref="V105" ca="true">COUNTIFS('Unit-Level Data'!$L:$L, "&gt;=" &amp; ($X$2 - T$5),
          'Unit-Level Data'!$L:$L, "&lt;" &amp; $X$2,
          'Unit-Level Data'!$D:$D, INDIRECT("C"&amp;ROW()),
          'Unit-Level Data'!$B:$B, INDIRECT("B"&amp;ROW()))</f>
        <v>0</v>
      </c>
      <c r="W105" s="738" t="str" cm="1">
        <f t="array" aca="true" ref="W1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5" s="760" t="str" cm="1">
        <f t="array" aca="true" ref="X1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5" s="733" cm="1">
        <f t="array" aca="true" ref="Y105" ca="true">COUNTIFS('Unit-Level Data'!$L:$L, "&gt;=" &amp; ($X$2 - W$5),
          'Unit-Level Data'!$L:$L, "&lt;" &amp; $X$2,
          'Unit-Level Data'!$D:$D, INDIRECT("C"&amp;ROW()),
          'Unit-Level Data'!$B:$B, INDIRECT("B"&amp;ROW()))</f>
        <v>0</v>
      </c>
      <c r="Z105" s="761"/>
      <c r="AA105" s="735" cm="1">
        <f t="array" aca="true" ref="AA105" ca="true">IFERROR(AVERAGEIFS(
  unit_details[Sqft],
  unit_details[Property Name], INDIRECT("B"&amp;ROW()),
  unit_details[Floorplan Name], INDIRECT("C"&amp;ROW()),
  unit_details[Beds], INDIRECT("D"&amp;ROW()),
  unit_details[Detected Unit Amenities], "*"&amp;$AB$3&amp;"*",
  unit_details[Leased Date], "&gt;=" &amp; ($X$2 - $AD$3)
),0)</f>
        <v>0</v>
      </c>
      <c r="AB105" s="734" cm="1">
        <f t="array" aca="true" ref="AB1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5" s="733" cm="1">
        <f t="array" aca="true" ref="AC105" ca="true">IFERROR(COUNTIFS(
  unit_details[Property Name], INDIRECT("B"&amp;ROW()),
  unit_details[Floorplan Name], INDIRECT("C"&amp;ROW()),
  unit_details[Beds], INDIRECT("D"&amp;ROW()),
  unit_details[Detected Unit Amenities], "*"&amp;$AB$3&amp;"*",
  unit_details[Leased Date], "&gt;=" &amp; ($X$2 - $AD$3)
),0)</f>
        <v>0</v>
      </c>
      <c r="AD105" s="735" cm="1">
        <f t="array" aca="true" ref="AD105" ca="true">IFERROR(AVERAGEIFS(
  unit_details[Sqft],
  unit_details[Property Name], INDIRECT("B"&amp;ROW()),
  unit_details[Floorplan Name], INDIRECT("C"&amp;ROW()),
  unit_details[Beds], INDIRECT("D"&amp;ROW()),
  unit_details[Detected Unit Amenities], "&lt;&gt;*"&amp;$AB$3&amp;"*",
  unit_details[Leased Date], "&gt;=" &amp; ($X$2 - $AD$3)
),0)</f>
        <v>0</v>
      </c>
      <c r="AE105" s="734" cm="1">
        <f t="array" aca="true" ref="AE1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5" s="733" cm="1">
        <f t="array" aca="true" ref="AF105" ca="true">IFERROR(COUNTIFS(
  unit_details[Property Name], INDIRECT("B"&amp;ROW()),
  unit_details[Floorplan Name], INDIRECT("C"&amp;ROW()),
  unit_details[Beds], INDIRECT("D"&amp;ROW()),
  unit_details[Detected Unit Amenities], "&lt;&gt;*"&amp;$AB$3&amp;"*",
  unit_details[Leased Date], "&gt;=" &amp; ($X$2 - $AD$3)
),0)</f>
        <v>0</v>
      </c>
      <c r="AG105" s="735"/>
      <c r="AH105" s="738">
        <f t="shared" ca="true" si="4"/>
        <v>0</v>
      </c>
      <c r="AI105" s="739">
        <f t="shared" ca="true" si="5"/>
        <v>0</v>
      </c>
    </row>
    <row r="106" spans="2:35">
      <c r="B106" s="1"/>
      <c r="C106" s="80"/>
      <c r="E106" s="303"/>
      <c r="F106" s="303"/>
      <c r="J106" s="345"/>
      <c r="K106" s="6"/>
      <c r="M106" s="6"/>
      <c r="N106" s="738" t="str" cm="1">
        <f t="array" aca="true" ref="N106" ca="true">IFERROR(IF($O$3="Chunk Rent",
AVERAGEIFS('Unit-Level Data'!$O:$O,'Unit-Level Data'!$M:$M,TRUE,
          'Unit-Level Data'!$D:$D, INDIRECT("C"&amp;ROW()),
          'Unit-Level Data'!$B:$B, INDIRECT("B"&amp;ROW())),
AVERAGEIFS('Unit-Level Data'!$P:$P,'Unit-Level Data'!$M:$M,TRUE,
          'Unit-Level Data'!$D:$D, INDIRECT("C"&amp;ROW()),
          'Unit-Level Data'!$B:$B, INDIRECT("B"&amp;ROW()))),"")</f>
      </c>
      <c r="O106" s="760" t="str" cm="1">
        <f t="array" aca="true" ref="O106" ca="true">IFERROR(IF($O$3="Chunk Rent",
AVERAGEIFS('Unit-Level Data'!$Q:$Q,'Unit-Level Data'!$M:$M,TRUE,
          'Unit-Level Data'!$D:$D, INDIRECT("C"&amp;ROW()),
          'Unit-Level Data'!$B:$B, INDIRECT("B"&amp;ROW())),
AVERAGEIFS('Unit-Level Data'!$R:$R,'Unit-Level Data'!$M:$M,TRUE,
          'Unit-Level Data'!$D:$D, INDIRECT("C"&amp;ROW()),
          'Unit-Level Data'!$B:$B, INDIRECT("B"&amp;ROW()))),"")</f>
      </c>
      <c r="P106" s="733" cm="1">
        <f t="array" aca="true" ref="P106" ca="true">COUNTIFS('Unit-Level Data'!$M:$M,TRUE,
          'Unit-Level Data'!$D:$D, INDIRECT("C"&amp;ROW()),
          'Unit-Level Data'!$B:$B, INDIRECT("B"&amp;ROW()))</f>
        <v>0</v>
      </c>
      <c r="Q106" s="738" t="str" cm="1">
        <f t="array" aca="true" ref="Q1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6" s="760" t="str" cm="1">
        <f t="array" aca="true" ref="R1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6" s="733" cm="1">
        <f t="array" aca="true" ref="S106" ca="true">COUNTIFS('Unit-Level Data'!$L:$L, "&gt;=" &amp; ($X$2 - Q$5),
          'Unit-Level Data'!$L:$L, "&lt;" &amp; $X$2,
          'Unit-Level Data'!$D:$D, INDIRECT("C"&amp;ROW()),
          'Unit-Level Data'!$B:$B, INDIRECT("B"&amp;ROW()))</f>
        <v>0</v>
      </c>
      <c r="T106" s="738" t="str" cm="1">
        <f t="array" aca="true" ref="T1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6" s="760" t="str" cm="1">
        <f t="array" aca="true" ref="U1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6" s="733" cm="1">
        <f t="array" aca="true" ref="V106" ca="true">COUNTIFS('Unit-Level Data'!$L:$L, "&gt;=" &amp; ($X$2 - T$5),
          'Unit-Level Data'!$L:$L, "&lt;" &amp; $X$2,
          'Unit-Level Data'!$D:$D, INDIRECT("C"&amp;ROW()),
          'Unit-Level Data'!$B:$B, INDIRECT("B"&amp;ROW()))</f>
        <v>0</v>
      </c>
      <c r="W106" s="738" t="str" cm="1">
        <f t="array" aca="true" ref="W1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6" s="760" t="str" cm="1">
        <f t="array" aca="true" ref="X1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6" s="733" cm="1">
        <f t="array" aca="true" ref="Y106" ca="true">COUNTIFS('Unit-Level Data'!$L:$L, "&gt;=" &amp; ($X$2 - W$5),
          'Unit-Level Data'!$L:$L, "&lt;" &amp; $X$2,
          'Unit-Level Data'!$D:$D, INDIRECT("C"&amp;ROW()),
          'Unit-Level Data'!$B:$B, INDIRECT("B"&amp;ROW()))</f>
        <v>0</v>
      </c>
      <c r="Z106" s="761"/>
      <c r="AA106" s="735" cm="1">
        <f t="array" aca="true" ref="AA106" ca="true">IFERROR(AVERAGEIFS(
  unit_details[Sqft],
  unit_details[Property Name], INDIRECT("B"&amp;ROW()),
  unit_details[Floorplan Name], INDIRECT("C"&amp;ROW()),
  unit_details[Beds], INDIRECT("D"&amp;ROW()),
  unit_details[Detected Unit Amenities], "*"&amp;$AB$3&amp;"*",
  unit_details[Leased Date], "&gt;=" &amp; ($X$2 - $AD$3)
),0)</f>
        <v>0</v>
      </c>
      <c r="AB106" s="734" cm="1">
        <f t="array" aca="true" ref="AB1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6" s="733" cm="1">
        <f t="array" aca="true" ref="AC106" ca="true">IFERROR(COUNTIFS(
  unit_details[Property Name], INDIRECT("B"&amp;ROW()),
  unit_details[Floorplan Name], INDIRECT("C"&amp;ROW()),
  unit_details[Beds], INDIRECT("D"&amp;ROW()),
  unit_details[Detected Unit Amenities], "*"&amp;$AB$3&amp;"*",
  unit_details[Leased Date], "&gt;=" &amp; ($X$2 - $AD$3)
),0)</f>
        <v>0</v>
      </c>
      <c r="AD106" s="735" cm="1">
        <f t="array" aca="true" ref="AD106" ca="true">IFERROR(AVERAGEIFS(
  unit_details[Sqft],
  unit_details[Property Name], INDIRECT("B"&amp;ROW()),
  unit_details[Floorplan Name], INDIRECT("C"&amp;ROW()),
  unit_details[Beds], INDIRECT("D"&amp;ROW()),
  unit_details[Detected Unit Amenities], "&lt;&gt;*"&amp;$AB$3&amp;"*",
  unit_details[Leased Date], "&gt;=" &amp; ($X$2 - $AD$3)
),0)</f>
        <v>0</v>
      </c>
      <c r="AE106" s="734" cm="1">
        <f t="array" aca="true" ref="AE1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6" s="733" cm="1">
        <f t="array" aca="true" ref="AF106" ca="true">IFERROR(COUNTIFS(
  unit_details[Property Name], INDIRECT("B"&amp;ROW()),
  unit_details[Floorplan Name], INDIRECT("C"&amp;ROW()),
  unit_details[Beds], INDIRECT("D"&amp;ROW()),
  unit_details[Detected Unit Amenities], "&lt;&gt;*"&amp;$AB$3&amp;"*",
  unit_details[Leased Date], "&gt;=" &amp; ($X$2 - $AD$3)
),0)</f>
        <v>0</v>
      </c>
      <c r="AG106" s="735"/>
      <c r="AH106" s="738">
        <f t="shared" ca="true" si="4"/>
        <v>0</v>
      </c>
      <c r="AI106" s="739">
        <f t="shared" ca="true" si="5"/>
        <v>0</v>
      </c>
    </row>
    <row r="107" spans="2:35">
      <c r="B107" s="1"/>
      <c r="C107" s="80"/>
      <c r="E107" s="303"/>
      <c r="F107" s="303"/>
      <c r="J107" s="345"/>
      <c r="K107" s="6"/>
      <c r="M107" s="6"/>
      <c r="N107" s="738" t="str" cm="1">
        <f t="array" aca="true" ref="N107" ca="true">IFERROR(IF($O$3="Chunk Rent",
AVERAGEIFS('Unit-Level Data'!$O:$O,'Unit-Level Data'!$M:$M,TRUE,
          'Unit-Level Data'!$D:$D, INDIRECT("C"&amp;ROW()),
          'Unit-Level Data'!$B:$B, INDIRECT("B"&amp;ROW())),
AVERAGEIFS('Unit-Level Data'!$P:$P,'Unit-Level Data'!$M:$M,TRUE,
          'Unit-Level Data'!$D:$D, INDIRECT("C"&amp;ROW()),
          'Unit-Level Data'!$B:$B, INDIRECT("B"&amp;ROW()))),"")</f>
      </c>
      <c r="O107" s="760" t="str" cm="1">
        <f t="array" aca="true" ref="O107" ca="true">IFERROR(IF($O$3="Chunk Rent",
AVERAGEIFS('Unit-Level Data'!$Q:$Q,'Unit-Level Data'!$M:$M,TRUE,
          'Unit-Level Data'!$D:$D, INDIRECT("C"&amp;ROW()),
          'Unit-Level Data'!$B:$B, INDIRECT("B"&amp;ROW())),
AVERAGEIFS('Unit-Level Data'!$R:$R,'Unit-Level Data'!$M:$M,TRUE,
          'Unit-Level Data'!$D:$D, INDIRECT("C"&amp;ROW()),
          'Unit-Level Data'!$B:$B, INDIRECT("B"&amp;ROW()))),"")</f>
      </c>
      <c r="P107" s="733" cm="1">
        <f t="array" aca="true" ref="P107" ca="true">COUNTIFS('Unit-Level Data'!$M:$M,TRUE,
          'Unit-Level Data'!$D:$D, INDIRECT("C"&amp;ROW()),
          'Unit-Level Data'!$B:$B, INDIRECT("B"&amp;ROW()))</f>
        <v>0</v>
      </c>
      <c r="Q107" s="738" t="str" cm="1">
        <f t="array" aca="true" ref="Q1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7" s="760" t="str" cm="1">
        <f t="array" aca="true" ref="R1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7" s="733" cm="1">
        <f t="array" aca="true" ref="S107" ca="true">COUNTIFS('Unit-Level Data'!$L:$L, "&gt;=" &amp; ($X$2 - Q$5),
          'Unit-Level Data'!$L:$L, "&lt;" &amp; $X$2,
          'Unit-Level Data'!$D:$D, INDIRECT("C"&amp;ROW()),
          'Unit-Level Data'!$B:$B, INDIRECT("B"&amp;ROW()))</f>
        <v>0</v>
      </c>
      <c r="T107" s="738" t="str" cm="1">
        <f t="array" aca="true" ref="T1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7" s="760" t="str" cm="1">
        <f t="array" aca="true" ref="U1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7" s="733" cm="1">
        <f t="array" aca="true" ref="V107" ca="true">COUNTIFS('Unit-Level Data'!$L:$L, "&gt;=" &amp; ($X$2 - T$5),
          'Unit-Level Data'!$L:$L, "&lt;" &amp; $X$2,
          'Unit-Level Data'!$D:$D, INDIRECT("C"&amp;ROW()),
          'Unit-Level Data'!$B:$B, INDIRECT("B"&amp;ROW()))</f>
        <v>0</v>
      </c>
      <c r="W107" s="738" t="str" cm="1">
        <f t="array" aca="true" ref="W1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7" s="760" t="str" cm="1">
        <f t="array" aca="true" ref="X1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7" s="733" cm="1">
        <f t="array" aca="true" ref="Y107" ca="true">COUNTIFS('Unit-Level Data'!$L:$L, "&gt;=" &amp; ($X$2 - W$5),
          'Unit-Level Data'!$L:$L, "&lt;" &amp; $X$2,
          'Unit-Level Data'!$D:$D, INDIRECT("C"&amp;ROW()),
          'Unit-Level Data'!$B:$B, INDIRECT("B"&amp;ROW()))</f>
        <v>0</v>
      </c>
      <c r="Z107" s="761"/>
      <c r="AA107" s="735" cm="1">
        <f t="array" aca="true" ref="AA107" ca="true">IFERROR(AVERAGEIFS(
  unit_details[Sqft],
  unit_details[Property Name], INDIRECT("B"&amp;ROW()),
  unit_details[Floorplan Name], INDIRECT("C"&amp;ROW()),
  unit_details[Beds], INDIRECT("D"&amp;ROW()),
  unit_details[Detected Unit Amenities], "*"&amp;$AB$3&amp;"*",
  unit_details[Leased Date], "&gt;=" &amp; ($X$2 - $AD$3)
),0)</f>
        <v>0</v>
      </c>
      <c r="AB107" s="734" cm="1">
        <f t="array" aca="true" ref="AB1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7" s="733" cm="1">
        <f t="array" aca="true" ref="AC107" ca="true">IFERROR(COUNTIFS(
  unit_details[Property Name], INDIRECT("B"&amp;ROW()),
  unit_details[Floorplan Name], INDIRECT("C"&amp;ROW()),
  unit_details[Beds], INDIRECT("D"&amp;ROW()),
  unit_details[Detected Unit Amenities], "*"&amp;$AB$3&amp;"*",
  unit_details[Leased Date], "&gt;=" &amp; ($X$2 - $AD$3)
),0)</f>
        <v>0</v>
      </c>
      <c r="AD107" s="735" cm="1">
        <f t="array" aca="true" ref="AD107" ca="true">IFERROR(AVERAGEIFS(
  unit_details[Sqft],
  unit_details[Property Name], INDIRECT("B"&amp;ROW()),
  unit_details[Floorplan Name], INDIRECT("C"&amp;ROW()),
  unit_details[Beds], INDIRECT("D"&amp;ROW()),
  unit_details[Detected Unit Amenities], "&lt;&gt;*"&amp;$AB$3&amp;"*",
  unit_details[Leased Date], "&gt;=" &amp; ($X$2 - $AD$3)
),0)</f>
        <v>0</v>
      </c>
      <c r="AE107" s="734" cm="1">
        <f t="array" aca="true" ref="AE1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7" s="733" cm="1">
        <f t="array" aca="true" ref="AF107" ca="true">IFERROR(COUNTIFS(
  unit_details[Property Name], INDIRECT("B"&amp;ROW()),
  unit_details[Floorplan Name], INDIRECT("C"&amp;ROW()),
  unit_details[Beds], INDIRECT("D"&amp;ROW()),
  unit_details[Detected Unit Amenities], "&lt;&gt;*"&amp;$AB$3&amp;"*",
  unit_details[Leased Date], "&gt;=" &amp; ($X$2 - $AD$3)
),0)</f>
        <v>0</v>
      </c>
      <c r="AG107" s="735"/>
      <c r="AH107" s="738">
        <f t="shared" ca="true" si="4"/>
        <v>0</v>
      </c>
      <c r="AI107" s="739">
        <f t="shared" ca="true" si="5"/>
        <v>0</v>
      </c>
    </row>
    <row r="108" spans="2:35">
      <c r="B108" s="1"/>
      <c r="C108" s="80"/>
      <c r="E108" s="303"/>
      <c r="F108" s="303"/>
      <c r="J108" s="345"/>
      <c r="K108" s="6"/>
      <c r="M108" s="6"/>
      <c r="N108" s="738" t="str" cm="1">
        <f t="array" aca="true" ref="N108" ca="true">IFERROR(IF($O$3="Chunk Rent",
AVERAGEIFS('Unit-Level Data'!$O:$O,'Unit-Level Data'!$M:$M,TRUE,
          'Unit-Level Data'!$D:$D, INDIRECT("C"&amp;ROW()),
          'Unit-Level Data'!$B:$B, INDIRECT("B"&amp;ROW())),
AVERAGEIFS('Unit-Level Data'!$P:$P,'Unit-Level Data'!$M:$M,TRUE,
          'Unit-Level Data'!$D:$D, INDIRECT("C"&amp;ROW()),
          'Unit-Level Data'!$B:$B, INDIRECT("B"&amp;ROW()))),"")</f>
      </c>
      <c r="O108" s="760" t="str" cm="1">
        <f t="array" aca="true" ref="O108" ca="true">IFERROR(IF($O$3="Chunk Rent",
AVERAGEIFS('Unit-Level Data'!$Q:$Q,'Unit-Level Data'!$M:$M,TRUE,
          'Unit-Level Data'!$D:$D, INDIRECT("C"&amp;ROW()),
          'Unit-Level Data'!$B:$B, INDIRECT("B"&amp;ROW())),
AVERAGEIFS('Unit-Level Data'!$R:$R,'Unit-Level Data'!$M:$M,TRUE,
          'Unit-Level Data'!$D:$D, INDIRECT("C"&amp;ROW()),
          'Unit-Level Data'!$B:$B, INDIRECT("B"&amp;ROW()))),"")</f>
      </c>
      <c r="P108" s="733" cm="1">
        <f t="array" aca="true" ref="P108" ca="true">COUNTIFS('Unit-Level Data'!$M:$M,TRUE,
          'Unit-Level Data'!$D:$D, INDIRECT("C"&amp;ROW()),
          'Unit-Level Data'!$B:$B, INDIRECT("B"&amp;ROW()))</f>
        <v>0</v>
      </c>
      <c r="Q108" s="738" t="str" cm="1">
        <f t="array" aca="true" ref="Q1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8" s="760" t="str" cm="1">
        <f t="array" aca="true" ref="R1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8" s="733" cm="1">
        <f t="array" aca="true" ref="S108" ca="true">COUNTIFS('Unit-Level Data'!$L:$L, "&gt;=" &amp; ($X$2 - Q$5),
          'Unit-Level Data'!$L:$L, "&lt;" &amp; $X$2,
          'Unit-Level Data'!$D:$D, INDIRECT("C"&amp;ROW()),
          'Unit-Level Data'!$B:$B, INDIRECT("B"&amp;ROW()))</f>
        <v>0</v>
      </c>
      <c r="T108" s="738" t="str" cm="1">
        <f t="array" aca="true" ref="T1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8" s="760" t="str" cm="1">
        <f t="array" aca="true" ref="U1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8" s="733" cm="1">
        <f t="array" aca="true" ref="V108" ca="true">COUNTIFS('Unit-Level Data'!$L:$L, "&gt;=" &amp; ($X$2 - T$5),
          'Unit-Level Data'!$L:$L, "&lt;" &amp; $X$2,
          'Unit-Level Data'!$D:$D, INDIRECT("C"&amp;ROW()),
          'Unit-Level Data'!$B:$B, INDIRECT("B"&amp;ROW()))</f>
        <v>0</v>
      </c>
      <c r="W108" s="738" t="str" cm="1">
        <f t="array" aca="true" ref="W1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8" s="760" t="str" cm="1">
        <f t="array" aca="true" ref="X1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8" s="733" cm="1">
        <f t="array" aca="true" ref="Y108" ca="true">COUNTIFS('Unit-Level Data'!$L:$L, "&gt;=" &amp; ($X$2 - W$5),
          'Unit-Level Data'!$L:$L, "&lt;" &amp; $X$2,
          'Unit-Level Data'!$D:$D, INDIRECT("C"&amp;ROW()),
          'Unit-Level Data'!$B:$B, INDIRECT("B"&amp;ROW()))</f>
        <v>0</v>
      </c>
      <c r="Z108" s="761"/>
      <c r="AA108" s="735" cm="1">
        <f t="array" aca="true" ref="AA108" ca="true">IFERROR(AVERAGEIFS(
  unit_details[Sqft],
  unit_details[Property Name], INDIRECT("B"&amp;ROW()),
  unit_details[Floorplan Name], INDIRECT("C"&amp;ROW()),
  unit_details[Beds], INDIRECT("D"&amp;ROW()),
  unit_details[Detected Unit Amenities], "*"&amp;$AB$3&amp;"*",
  unit_details[Leased Date], "&gt;=" &amp; ($X$2 - $AD$3)
),0)</f>
        <v>0</v>
      </c>
      <c r="AB108" s="734" cm="1">
        <f t="array" aca="true" ref="AB1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8" s="733" cm="1">
        <f t="array" aca="true" ref="AC108" ca="true">IFERROR(COUNTIFS(
  unit_details[Property Name], INDIRECT("B"&amp;ROW()),
  unit_details[Floorplan Name], INDIRECT("C"&amp;ROW()),
  unit_details[Beds], INDIRECT("D"&amp;ROW()),
  unit_details[Detected Unit Amenities], "*"&amp;$AB$3&amp;"*",
  unit_details[Leased Date], "&gt;=" &amp; ($X$2 - $AD$3)
),0)</f>
        <v>0</v>
      </c>
      <c r="AD108" s="735" cm="1">
        <f t="array" aca="true" ref="AD108" ca="true">IFERROR(AVERAGEIFS(
  unit_details[Sqft],
  unit_details[Property Name], INDIRECT("B"&amp;ROW()),
  unit_details[Floorplan Name], INDIRECT("C"&amp;ROW()),
  unit_details[Beds], INDIRECT("D"&amp;ROW()),
  unit_details[Detected Unit Amenities], "&lt;&gt;*"&amp;$AB$3&amp;"*",
  unit_details[Leased Date], "&gt;=" &amp; ($X$2 - $AD$3)
),0)</f>
        <v>0</v>
      </c>
      <c r="AE108" s="734" cm="1">
        <f t="array" aca="true" ref="AE1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8" s="733" cm="1">
        <f t="array" aca="true" ref="AF108" ca="true">IFERROR(COUNTIFS(
  unit_details[Property Name], INDIRECT("B"&amp;ROW()),
  unit_details[Floorplan Name], INDIRECT("C"&amp;ROW()),
  unit_details[Beds], INDIRECT("D"&amp;ROW()),
  unit_details[Detected Unit Amenities], "&lt;&gt;*"&amp;$AB$3&amp;"*",
  unit_details[Leased Date], "&gt;=" &amp; ($X$2 - $AD$3)
),0)</f>
        <v>0</v>
      </c>
      <c r="AG108" s="735"/>
      <c r="AH108" s="738">
        <f t="shared" ca="true" si="4"/>
        <v>0</v>
      </c>
      <c r="AI108" s="739">
        <f t="shared" ca="true" si="5"/>
        <v>0</v>
      </c>
    </row>
    <row r="109" spans="2:35">
      <c r="B109" s="1"/>
      <c r="C109" s="80"/>
      <c r="E109" s="303"/>
      <c r="F109" s="303"/>
      <c r="J109" s="345"/>
      <c r="K109" s="6"/>
      <c r="M109" s="6"/>
      <c r="N109" s="738" t="str" cm="1">
        <f t="array" aca="true" ref="N109" ca="true">IFERROR(IF($O$3="Chunk Rent",
AVERAGEIFS('Unit-Level Data'!$O:$O,'Unit-Level Data'!$M:$M,TRUE,
          'Unit-Level Data'!$D:$D, INDIRECT("C"&amp;ROW()),
          'Unit-Level Data'!$B:$B, INDIRECT("B"&amp;ROW())),
AVERAGEIFS('Unit-Level Data'!$P:$P,'Unit-Level Data'!$M:$M,TRUE,
          'Unit-Level Data'!$D:$D, INDIRECT("C"&amp;ROW()),
          'Unit-Level Data'!$B:$B, INDIRECT("B"&amp;ROW()))),"")</f>
      </c>
      <c r="O109" s="760" t="str" cm="1">
        <f t="array" aca="true" ref="O109" ca="true">IFERROR(IF($O$3="Chunk Rent",
AVERAGEIFS('Unit-Level Data'!$Q:$Q,'Unit-Level Data'!$M:$M,TRUE,
          'Unit-Level Data'!$D:$D, INDIRECT("C"&amp;ROW()),
          'Unit-Level Data'!$B:$B, INDIRECT("B"&amp;ROW())),
AVERAGEIFS('Unit-Level Data'!$R:$R,'Unit-Level Data'!$M:$M,TRUE,
          'Unit-Level Data'!$D:$D, INDIRECT("C"&amp;ROW()),
          'Unit-Level Data'!$B:$B, INDIRECT("B"&amp;ROW()))),"")</f>
      </c>
      <c r="P109" s="733" cm="1">
        <f t="array" aca="true" ref="P109" ca="true">COUNTIFS('Unit-Level Data'!$M:$M,TRUE,
          'Unit-Level Data'!$D:$D, INDIRECT("C"&amp;ROW()),
          'Unit-Level Data'!$B:$B, INDIRECT("B"&amp;ROW()))</f>
        <v>0</v>
      </c>
      <c r="Q109" s="738" t="str" cm="1">
        <f t="array" aca="true" ref="Q1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9" s="760" t="str" cm="1">
        <f t="array" aca="true" ref="R1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9" s="733" cm="1">
        <f t="array" aca="true" ref="S109" ca="true">COUNTIFS('Unit-Level Data'!$L:$L, "&gt;=" &amp; ($X$2 - Q$5),
          'Unit-Level Data'!$L:$L, "&lt;" &amp; $X$2,
          'Unit-Level Data'!$D:$D, INDIRECT("C"&amp;ROW()),
          'Unit-Level Data'!$B:$B, INDIRECT("B"&amp;ROW()))</f>
        <v>0</v>
      </c>
      <c r="T109" s="738" t="str" cm="1">
        <f t="array" aca="true" ref="T1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9" s="760" t="str" cm="1">
        <f t="array" aca="true" ref="U1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9" s="733" cm="1">
        <f t="array" aca="true" ref="V109" ca="true">COUNTIFS('Unit-Level Data'!$L:$L, "&gt;=" &amp; ($X$2 - T$5),
          'Unit-Level Data'!$L:$L, "&lt;" &amp; $X$2,
          'Unit-Level Data'!$D:$D, INDIRECT("C"&amp;ROW()),
          'Unit-Level Data'!$B:$B, INDIRECT("B"&amp;ROW()))</f>
        <v>0</v>
      </c>
      <c r="W109" s="738" t="str" cm="1">
        <f t="array" aca="true" ref="W1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9" s="760" t="str" cm="1">
        <f t="array" aca="true" ref="X1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9" s="733" cm="1">
        <f t="array" aca="true" ref="Y109" ca="true">COUNTIFS('Unit-Level Data'!$L:$L, "&gt;=" &amp; ($X$2 - W$5),
          'Unit-Level Data'!$L:$L, "&lt;" &amp; $X$2,
          'Unit-Level Data'!$D:$D, INDIRECT("C"&amp;ROW()),
          'Unit-Level Data'!$B:$B, INDIRECT("B"&amp;ROW()))</f>
        <v>0</v>
      </c>
      <c r="Z109" s="761"/>
      <c r="AA109" s="735" cm="1">
        <f t="array" aca="true" ref="AA109" ca="true">IFERROR(AVERAGEIFS(
  unit_details[Sqft],
  unit_details[Property Name], INDIRECT("B"&amp;ROW()),
  unit_details[Floorplan Name], INDIRECT("C"&amp;ROW()),
  unit_details[Beds], INDIRECT("D"&amp;ROW()),
  unit_details[Detected Unit Amenities], "*"&amp;$AB$3&amp;"*",
  unit_details[Leased Date], "&gt;=" &amp; ($X$2 - $AD$3)
),0)</f>
        <v>0</v>
      </c>
      <c r="AB109" s="734" cm="1">
        <f t="array" aca="true" ref="AB1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9" s="733" cm="1">
        <f t="array" aca="true" ref="AC109" ca="true">IFERROR(COUNTIFS(
  unit_details[Property Name], INDIRECT("B"&amp;ROW()),
  unit_details[Floorplan Name], INDIRECT("C"&amp;ROW()),
  unit_details[Beds], INDIRECT("D"&amp;ROW()),
  unit_details[Detected Unit Amenities], "*"&amp;$AB$3&amp;"*",
  unit_details[Leased Date], "&gt;=" &amp; ($X$2 - $AD$3)
),0)</f>
        <v>0</v>
      </c>
      <c r="AD109" s="735" cm="1">
        <f t="array" aca="true" ref="AD109" ca="true">IFERROR(AVERAGEIFS(
  unit_details[Sqft],
  unit_details[Property Name], INDIRECT("B"&amp;ROW()),
  unit_details[Floorplan Name], INDIRECT("C"&amp;ROW()),
  unit_details[Beds], INDIRECT("D"&amp;ROW()),
  unit_details[Detected Unit Amenities], "&lt;&gt;*"&amp;$AB$3&amp;"*",
  unit_details[Leased Date], "&gt;=" &amp; ($X$2 - $AD$3)
),0)</f>
        <v>0</v>
      </c>
      <c r="AE109" s="734" cm="1">
        <f t="array" aca="true" ref="AE1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9" s="733" cm="1">
        <f t="array" aca="true" ref="AF109" ca="true">IFERROR(COUNTIFS(
  unit_details[Property Name], INDIRECT("B"&amp;ROW()),
  unit_details[Floorplan Name], INDIRECT("C"&amp;ROW()),
  unit_details[Beds], INDIRECT("D"&amp;ROW()),
  unit_details[Detected Unit Amenities], "&lt;&gt;*"&amp;$AB$3&amp;"*",
  unit_details[Leased Date], "&gt;=" &amp; ($X$2 - $AD$3)
),0)</f>
        <v>0</v>
      </c>
      <c r="AG109" s="735"/>
      <c r="AH109" s="738">
        <f t="shared" ca="true" si="4"/>
        <v>0</v>
      </c>
      <c r="AI109" s="739">
        <f t="shared" ca="true" si="5"/>
        <v>0</v>
      </c>
    </row>
    <row r="110" spans="2:35">
      <c r="B110" s="1"/>
      <c r="C110" s="80"/>
      <c r="E110" s="303"/>
      <c r="F110" s="303"/>
      <c r="J110" s="345"/>
      <c r="K110" s="6"/>
      <c r="M110" s="6"/>
      <c r="N110" s="738" t="str" cm="1">
        <f t="array" aca="true" ref="N110" ca="true">IFERROR(IF($O$3="Chunk Rent",
AVERAGEIFS('Unit-Level Data'!$O:$O,'Unit-Level Data'!$M:$M,TRUE,
          'Unit-Level Data'!$D:$D, INDIRECT("C"&amp;ROW()),
          'Unit-Level Data'!$B:$B, INDIRECT("B"&amp;ROW())),
AVERAGEIFS('Unit-Level Data'!$P:$P,'Unit-Level Data'!$M:$M,TRUE,
          'Unit-Level Data'!$D:$D, INDIRECT("C"&amp;ROW()),
          'Unit-Level Data'!$B:$B, INDIRECT("B"&amp;ROW()))),"")</f>
      </c>
      <c r="O110" s="760" t="str" cm="1">
        <f t="array" aca="true" ref="O110" ca="true">IFERROR(IF($O$3="Chunk Rent",
AVERAGEIFS('Unit-Level Data'!$Q:$Q,'Unit-Level Data'!$M:$M,TRUE,
          'Unit-Level Data'!$D:$D, INDIRECT("C"&amp;ROW()),
          'Unit-Level Data'!$B:$B, INDIRECT("B"&amp;ROW())),
AVERAGEIFS('Unit-Level Data'!$R:$R,'Unit-Level Data'!$M:$M,TRUE,
          'Unit-Level Data'!$D:$D, INDIRECT("C"&amp;ROW()),
          'Unit-Level Data'!$B:$B, INDIRECT("B"&amp;ROW()))),"")</f>
      </c>
      <c r="P110" s="733" cm="1">
        <f t="array" aca="true" ref="P110" ca="true">COUNTIFS('Unit-Level Data'!$M:$M,TRUE,
          'Unit-Level Data'!$D:$D, INDIRECT("C"&amp;ROW()),
          'Unit-Level Data'!$B:$B, INDIRECT("B"&amp;ROW()))</f>
        <v>0</v>
      </c>
      <c r="Q110" s="738" t="str" cm="1">
        <f t="array" aca="true" ref="Q1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0" s="760" t="str" cm="1">
        <f t="array" aca="true" ref="R1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0" s="733" cm="1">
        <f t="array" aca="true" ref="S110" ca="true">COUNTIFS('Unit-Level Data'!$L:$L, "&gt;=" &amp; ($X$2 - Q$5),
          'Unit-Level Data'!$L:$L, "&lt;" &amp; $X$2,
          'Unit-Level Data'!$D:$D, INDIRECT("C"&amp;ROW()),
          'Unit-Level Data'!$B:$B, INDIRECT("B"&amp;ROW()))</f>
        <v>0</v>
      </c>
      <c r="T110" s="738" t="str" cm="1">
        <f t="array" aca="true" ref="T1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0" s="760" t="str" cm="1">
        <f t="array" aca="true" ref="U1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0" s="733" cm="1">
        <f t="array" aca="true" ref="V110" ca="true">COUNTIFS('Unit-Level Data'!$L:$L, "&gt;=" &amp; ($X$2 - T$5),
          'Unit-Level Data'!$L:$L, "&lt;" &amp; $X$2,
          'Unit-Level Data'!$D:$D, INDIRECT("C"&amp;ROW()),
          'Unit-Level Data'!$B:$B, INDIRECT("B"&amp;ROW()))</f>
        <v>0</v>
      </c>
      <c r="W110" s="738" t="str" cm="1">
        <f t="array" aca="true" ref="W1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0" s="760" t="str" cm="1">
        <f t="array" aca="true" ref="X1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0" s="733" cm="1">
        <f t="array" aca="true" ref="Y110" ca="true">COUNTIFS('Unit-Level Data'!$L:$L, "&gt;=" &amp; ($X$2 - W$5),
          'Unit-Level Data'!$L:$L, "&lt;" &amp; $X$2,
          'Unit-Level Data'!$D:$D, INDIRECT("C"&amp;ROW()),
          'Unit-Level Data'!$B:$B, INDIRECT("B"&amp;ROW()))</f>
        <v>0</v>
      </c>
      <c r="Z110" s="761"/>
      <c r="AA110" s="735" cm="1">
        <f t="array" aca="true" ref="AA110" ca="true">IFERROR(AVERAGEIFS(
  unit_details[Sqft],
  unit_details[Property Name], INDIRECT("B"&amp;ROW()),
  unit_details[Floorplan Name], INDIRECT("C"&amp;ROW()),
  unit_details[Beds], INDIRECT("D"&amp;ROW()),
  unit_details[Detected Unit Amenities], "*"&amp;$AB$3&amp;"*",
  unit_details[Leased Date], "&gt;=" &amp; ($X$2 - $AD$3)
),0)</f>
        <v>0</v>
      </c>
      <c r="AB110" s="734" cm="1">
        <f t="array" aca="true" ref="AB1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0" s="733" cm="1">
        <f t="array" aca="true" ref="AC110" ca="true">IFERROR(COUNTIFS(
  unit_details[Property Name], INDIRECT("B"&amp;ROW()),
  unit_details[Floorplan Name], INDIRECT("C"&amp;ROW()),
  unit_details[Beds], INDIRECT("D"&amp;ROW()),
  unit_details[Detected Unit Amenities], "*"&amp;$AB$3&amp;"*",
  unit_details[Leased Date], "&gt;=" &amp; ($X$2 - $AD$3)
),0)</f>
        <v>0</v>
      </c>
      <c r="AD110" s="735" cm="1">
        <f t="array" aca="true" ref="AD110" ca="true">IFERROR(AVERAGEIFS(
  unit_details[Sqft],
  unit_details[Property Name], INDIRECT("B"&amp;ROW()),
  unit_details[Floorplan Name], INDIRECT("C"&amp;ROW()),
  unit_details[Beds], INDIRECT("D"&amp;ROW()),
  unit_details[Detected Unit Amenities], "&lt;&gt;*"&amp;$AB$3&amp;"*",
  unit_details[Leased Date], "&gt;=" &amp; ($X$2 - $AD$3)
),0)</f>
        <v>0</v>
      </c>
      <c r="AE110" s="734" cm="1">
        <f t="array" aca="true" ref="AE1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0" s="733" cm="1">
        <f t="array" aca="true" ref="AF110" ca="true">IFERROR(COUNTIFS(
  unit_details[Property Name], INDIRECT("B"&amp;ROW()),
  unit_details[Floorplan Name], INDIRECT("C"&amp;ROW()),
  unit_details[Beds], INDIRECT("D"&amp;ROW()),
  unit_details[Detected Unit Amenities], "&lt;&gt;*"&amp;$AB$3&amp;"*",
  unit_details[Leased Date], "&gt;=" &amp; ($X$2 - $AD$3)
),0)</f>
        <v>0</v>
      </c>
      <c r="AG110" s="735"/>
      <c r="AH110" s="738">
        <f t="shared" ca="true" si="4"/>
        <v>0</v>
      </c>
      <c r="AI110" s="739">
        <f t="shared" ca="true" si="5"/>
        <v>0</v>
      </c>
    </row>
    <row r="111" spans="2:35">
      <c r="B111" s="1"/>
      <c r="C111" s="80"/>
      <c r="E111" s="303"/>
      <c r="F111" s="303"/>
      <c r="J111" s="345"/>
      <c r="K111" s="6"/>
      <c r="M111" s="6"/>
      <c r="N111" s="738" t="str" cm="1">
        <f t="array" aca="true" ref="N111" ca="true">IFERROR(IF($O$3="Chunk Rent",
AVERAGEIFS('Unit-Level Data'!$O:$O,'Unit-Level Data'!$M:$M,TRUE,
          'Unit-Level Data'!$D:$D, INDIRECT("C"&amp;ROW()),
          'Unit-Level Data'!$B:$B, INDIRECT("B"&amp;ROW())),
AVERAGEIFS('Unit-Level Data'!$P:$P,'Unit-Level Data'!$M:$M,TRUE,
          'Unit-Level Data'!$D:$D, INDIRECT("C"&amp;ROW()),
          'Unit-Level Data'!$B:$B, INDIRECT("B"&amp;ROW()))),"")</f>
      </c>
      <c r="O111" s="760" t="str" cm="1">
        <f t="array" aca="true" ref="O111" ca="true">IFERROR(IF($O$3="Chunk Rent",
AVERAGEIFS('Unit-Level Data'!$Q:$Q,'Unit-Level Data'!$M:$M,TRUE,
          'Unit-Level Data'!$D:$D, INDIRECT("C"&amp;ROW()),
          'Unit-Level Data'!$B:$B, INDIRECT("B"&amp;ROW())),
AVERAGEIFS('Unit-Level Data'!$R:$R,'Unit-Level Data'!$M:$M,TRUE,
          'Unit-Level Data'!$D:$D, INDIRECT("C"&amp;ROW()),
          'Unit-Level Data'!$B:$B, INDIRECT("B"&amp;ROW()))),"")</f>
      </c>
      <c r="P111" s="733" cm="1">
        <f t="array" aca="true" ref="P111" ca="true">COUNTIFS('Unit-Level Data'!$M:$M,TRUE,
          'Unit-Level Data'!$D:$D, INDIRECT("C"&amp;ROW()),
          'Unit-Level Data'!$B:$B, INDIRECT("B"&amp;ROW()))</f>
        <v>0</v>
      </c>
      <c r="Q111" s="738" t="str" cm="1">
        <f t="array" aca="true" ref="Q1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1" s="760" t="str" cm="1">
        <f t="array" aca="true" ref="R1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1" s="733" cm="1">
        <f t="array" aca="true" ref="S111" ca="true">COUNTIFS('Unit-Level Data'!$L:$L, "&gt;=" &amp; ($X$2 - Q$5),
          'Unit-Level Data'!$L:$L, "&lt;" &amp; $X$2,
          'Unit-Level Data'!$D:$D, INDIRECT("C"&amp;ROW()),
          'Unit-Level Data'!$B:$B, INDIRECT("B"&amp;ROW()))</f>
        <v>0</v>
      </c>
      <c r="T111" s="738" t="str" cm="1">
        <f t="array" aca="true" ref="T1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1" s="760" t="str" cm="1">
        <f t="array" aca="true" ref="U1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1" s="733" cm="1">
        <f t="array" aca="true" ref="V111" ca="true">COUNTIFS('Unit-Level Data'!$L:$L, "&gt;=" &amp; ($X$2 - T$5),
          'Unit-Level Data'!$L:$L, "&lt;" &amp; $X$2,
          'Unit-Level Data'!$D:$D, INDIRECT("C"&amp;ROW()),
          'Unit-Level Data'!$B:$B, INDIRECT("B"&amp;ROW()))</f>
        <v>0</v>
      </c>
      <c r="W111" s="738" t="str" cm="1">
        <f t="array" aca="true" ref="W1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1" s="760" t="str" cm="1">
        <f t="array" aca="true" ref="X1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1" s="733" cm="1">
        <f t="array" aca="true" ref="Y111" ca="true">COUNTIFS('Unit-Level Data'!$L:$L, "&gt;=" &amp; ($X$2 - W$5),
          'Unit-Level Data'!$L:$L, "&lt;" &amp; $X$2,
          'Unit-Level Data'!$D:$D, INDIRECT("C"&amp;ROW()),
          'Unit-Level Data'!$B:$B, INDIRECT("B"&amp;ROW()))</f>
        <v>0</v>
      </c>
      <c r="Z111" s="761"/>
      <c r="AA111" s="735" cm="1">
        <f t="array" aca="true" ref="AA111" ca="true">IFERROR(AVERAGEIFS(
  unit_details[Sqft],
  unit_details[Property Name], INDIRECT("B"&amp;ROW()),
  unit_details[Floorplan Name], INDIRECT("C"&amp;ROW()),
  unit_details[Beds], INDIRECT("D"&amp;ROW()),
  unit_details[Detected Unit Amenities], "*"&amp;$AB$3&amp;"*",
  unit_details[Leased Date], "&gt;=" &amp; ($X$2 - $AD$3)
),0)</f>
        <v>0</v>
      </c>
      <c r="AB111" s="734" cm="1">
        <f t="array" aca="true" ref="AB1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1" s="733" cm="1">
        <f t="array" aca="true" ref="AC111" ca="true">IFERROR(COUNTIFS(
  unit_details[Property Name], INDIRECT("B"&amp;ROW()),
  unit_details[Floorplan Name], INDIRECT("C"&amp;ROW()),
  unit_details[Beds], INDIRECT("D"&amp;ROW()),
  unit_details[Detected Unit Amenities], "*"&amp;$AB$3&amp;"*",
  unit_details[Leased Date], "&gt;=" &amp; ($X$2 - $AD$3)
),0)</f>
        <v>0</v>
      </c>
      <c r="AD111" s="735" cm="1">
        <f t="array" aca="true" ref="AD111" ca="true">IFERROR(AVERAGEIFS(
  unit_details[Sqft],
  unit_details[Property Name], INDIRECT("B"&amp;ROW()),
  unit_details[Floorplan Name], INDIRECT("C"&amp;ROW()),
  unit_details[Beds], INDIRECT("D"&amp;ROW()),
  unit_details[Detected Unit Amenities], "&lt;&gt;*"&amp;$AB$3&amp;"*",
  unit_details[Leased Date], "&gt;=" &amp; ($X$2 - $AD$3)
),0)</f>
        <v>0</v>
      </c>
      <c r="AE111" s="734" cm="1">
        <f t="array" aca="true" ref="AE1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1" s="733" cm="1">
        <f t="array" aca="true" ref="AF111" ca="true">IFERROR(COUNTIFS(
  unit_details[Property Name], INDIRECT("B"&amp;ROW()),
  unit_details[Floorplan Name], INDIRECT("C"&amp;ROW()),
  unit_details[Beds], INDIRECT("D"&amp;ROW()),
  unit_details[Detected Unit Amenities], "&lt;&gt;*"&amp;$AB$3&amp;"*",
  unit_details[Leased Date], "&gt;=" &amp; ($X$2 - $AD$3)
),0)</f>
        <v>0</v>
      </c>
      <c r="AG111" s="735"/>
      <c r="AH111" s="738">
        <f t="shared" ca="true" si="4"/>
        <v>0</v>
      </c>
      <c r="AI111" s="739">
        <f t="shared" ca="true" si="5"/>
        <v>0</v>
      </c>
    </row>
    <row r="112" spans="2:35">
      <c r="B112" s="1"/>
      <c r="C112" s="80"/>
      <c r="E112" s="303"/>
      <c r="F112" s="303"/>
      <c r="J112" s="345"/>
      <c r="K112" s="6"/>
      <c r="M112" s="6"/>
      <c r="N112" s="738" t="str" cm="1">
        <f t="array" aca="true" ref="N112" ca="true">IFERROR(IF($O$3="Chunk Rent",
AVERAGEIFS('Unit-Level Data'!$O:$O,'Unit-Level Data'!$M:$M,TRUE,
          'Unit-Level Data'!$D:$D, INDIRECT("C"&amp;ROW()),
          'Unit-Level Data'!$B:$B, INDIRECT("B"&amp;ROW())),
AVERAGEIFS('Unit-Level Data'!$P:$P,'Unit-Level Data'!$M:$M,TRUE,
          'Unit-Level Data'!$D:$D, INDIRECT("C"&amp;ROW()),
          'Unit-Level Data'!$B:$B, INDIRECT("B"&amp;ROW()))),"")</f>
      </c>
      <c r="O112" s="760" t="str" cm="1">
        <f t="array" aca="true" ref="O112" ca="true">IFERROR(IF($O$3="Chunk Rent",
AVERAGEIFS('Unit-Level Data'!$Q:$Q,'Unit-Level Data'!$M:$M,TRUE,
          'Unit-Level Data'!$D:$D, INDIRECT("C"&amp;ROW()),
          'Unit-Level Data'!$B:$B, INDIRECT("B"&amp;ROW())),
AVERAGEIFS('Unit-Level Data'!$R:$R,'Unit-Level Data'!$M:$M,TRUE,
          'Unit-Level Data'!$D:$D, INDIRECT("C"&amp;ROW()),
          'Unit-Level Data'!$B:$B, INDIRECT("B"&amp;ROW()))),"")</f>
      </c>
      <c r="P112" s="733" cm="1">
        <f t="array" aca="true" ref="P112" ca="true">COUNTIFS('Unit-Level Data'!$M:$M,TRUE,
          'Unit-Level Data'!$D:$D, INDIRECT("C"&amp;ROW()),
          'Unit-Level Data'!$B:$B, INDIRECT("B"&amp;ROW()))</f>
        <v>0</v>
      </c>
      <c r="Q112" s="738" t="str" cm="1">
        <f t="array" aca="true" ref="Q1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2" s="760" t="str" cm="1">
        <f t="array" aca="true" ref="R1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2" s="733" cm="1">
        <f t="array" aca="true" ref="S112" ca="true">COUNTIFS('Unit-Level Data'!$L:$L, "&gt;=" &amp; ($X$2 - Q$5),
          'Unit-Level Data'!$L:$L, "&lt;" &amp; $X$2,
          'Unit-Level Data'!$D:$D, INDIRECT("C"&amp;ROW()),
          'Unit-Level Data'!$B:$B, INDIRECT("B"&amp;ROW()))</f>
        <v>0</v>
      </c>
      <c r="T112" s="738" t="str" cm="1">
        <f t="array" aca="true" ref="T1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2" s="760" t="str" cm="1">
        <f t="array" aca="true" ref="U1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2" s="733" cm="1">
        <f t="array" aca="true" ref="V112" ca="true">COUNTIFS('Unit-Level Data'!$L:$L, "&gt;=" &amp; ($X$2 - T$5),
          'Unit-Level Data'!$L:$L, "&lt;" &amp; $X$2,
          'Unit-Level Data'!$D:$D, INDIRECT("C"&amp;ROW()),
          'Unit-Level Data'!$B:$B, INDIRECT("B"&amp;ROW()))</f>
        <v>0</v>
      </c>
      <c r="W112" s="738" t="str" cm="1">
        <f t="array" aca="true" ref="W1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2" s="760" t="str" cm="1">
        <f t="array" aca="true" ref="X1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2" s="733" cm="1">
        <f t="array" aca="true" ref="Y112" ca="true">COUNTIFS('Unit-Level Data'!$L:$L, "&gt;=" &amp; ($X$2 - W$5),
          'Unit-Level Data'!$L:$L, "&lt;" &amp; $X$2,
          'Unit-Level Data'!$D:$D, INDIRECT("C"&amp;ROW()),
          'Unit-Level Data'!$B:$B, INDIRECT("B"&amp;ROW()))</f>
        <v>0</v>
      </c>
      <c r="Z112" s="761"/>
      <c r="AA112" s="735" cm="1">
        <f t="array" aca="true" ref="AA112" ca="true">IFERROR(AVERAGEIFS(
  unit_details[Sqft],
  unit_details[Property Name], INDIRECT("B"&amp;ROW()),
  unit_details[Floorplan Name], INDIRECT("C"&amp;ROW()),
  unit_details[Beds], INDIRECT("D"&amp;ROW()),
  unit_details[Detected Unit Amenities], "*"&amp;$AB$3&amp;"*",
  unit_details[Leased Date], "&gt;=" &amp; ($X$2 - $AD$3)
),0)</f>
        <v>0</v>
      </c>
      <c r="AB112" s="734" cm="1">
        <f t="array" aca="true" ref="AB1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2" s="733" cm="1">
        <f t="array" aca="true" ref="AC112" ca="true">IFERROR(COUNTIFS(
  unit_details[Property Name], INDIRECT("B"&amp;ROW()),
  unit_details[Floorplan Name], INDIRECT("C"&amp;ROW()),
  unit_details[Beds], INDIRECT("D"&amp;ROW()),
  unit_details[Detected Unit Amenities], "*"&amp;$AB$3&amp;"*",
  unit_details[Leased Date], "&gt;=" &amp; ($X$2 - $AD$3)
),0)</f>
        <v>0</v>
      </c>
      <c r="AD112" s="735" cm="1">
        <f t="array" aca="true" ref="AD112" ca="true">IFERROR(AVERAGEIFS(
  unit_details[Sqft],
  unit_details[Property Name], INDIRECT("B"&amp;ROW()),
  unit_details[Floorplan Name], INDIRECT("C"&amp;ROW()),
  unit_details[Beds], INDIRECT("D"&amp;ROW()),
  unit_details[Detected Unit Amenities], "&lt;&gt;*"&amp;$AB$3&amp;"*",
  unit_details[Leased Date], "&gt;=" &amp; ($X$2 - $AD$3)
),0)</f>
        <v>0</v>
      </c>
      <c r="AE112" s="734" cm="1">
        <f t="array" aca="true" ref="AE1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2" s="733" cm="1">
        <f t="array" aca="true" ref="AF112" ca="true">IFERROR(COUNTIFS(
  unit_details[Property Name], INDIRECT("B"&amp;ROW()),
  unit_details[Floorplan Name], INDIRECT("C"&amp;ROW()),
  unit_details[Beds], INDIRECT("D"&amp;ROW()),
  unit_details[Detected Unit Amenities], "&lt;&gt;*"&amp;$AB$3&amp;"*",
  unit_details[Leased Date], "&gt;=" &amp; ($X$2 - $AD$3)
),0)</f>
        <v>0</v>
      </c>
      <c r="AG112" s="735"/>
      <c r="AH112" s="738">
        <f t="shared" ca="true" si="4"/>
        <v>0</v>
      </c>
      <c r="AI112" s="739">
        <f t="shared" ca="true" si="5"/>
        <v>0</v>
      </c>
    </row>
    <row r="113" spans="2:35">
      <c r="B113" s="1"/>
      <c r="C113" s="80"/>
      <c r="E113" s="303"/>
      <c r="F113" s="303"/>
      <c r="J113" s="345"/>
      <c r="K113" s="6"/>
      <c r="M113" s="6"/>
      <c r="N113" s="738" t="str" cm="1">
        <f t="array" aca="true" ref="N113" ca="true">IFERROR(IF($O$3="Chunk Rent",
AVERAGEIFS('Unit-Level Data'!$O:$O,'Unit-Level Data'!$M:$M,TRUE,
          'Unit-Level Data'!$D:$D, INDIRECT("C"&amp;ROW()),
          'Unit-Level Data'!$B:$B, INDIRECT("B"&amp;ROW())),
AVERAGEIFS('Unit-Level Data'!$P:$P,'Unit-Level Data'!$M:$M,TRUE,
          'Unit-Level Data'!$D:$D, INDIRECT("C"&amp;ROW()),
          'Unit-Level Data'!$B:$B, INDIRECT("B"&amp;ROW()))),"")</f>
      </c>
      <c r="O113" s="760" t="str" cm="1">
        <f t="array" aca="true" ref="O113" ca="true">IFERROR(IF($O$3="Chunk Rent",
AVERAGEIFS('Unit-Level Data'!$Q:$Q,'Unit-Level Data'!$M:$M,TRUE,
          'Unit-Level Data'!$D:$D, INDIRECT("C"&amp;ROW()),
          'Unit-Level Data'!$B:$B, INDIRECT("B"&amp;ROW())),
AVERAGEIFS('Unit-Level Data'!$R:$R,'Unit-Level Data'!$M:$M,TRUE,
          'Unit-Level Data'!$D:$D, INDIRECT("C"&amp;ROW()),
          'Unit-Level Data'!$B:$B, INDIRECT("B"&amp;ROW()))),"")</f>
      </c>
      <c r="P113" s="733" cm="1">
        <f t="array" aca="true" ref="P113" ca="true">COUNTIFS('Unit-Level Data'!$M:$M,TRUE,
          'Unit-Level Data'!$D:$D, INDIRECT("C"&amp;ROW()),
          'Unit-Level Data'!$B:$B, INDIRECT("B"&amp;ROW()))</f>
        <v>0</v>
      </c>
      <c r="Q113" s="738" t="str" cm="1">
        <f t="array" aca="true" ref="Q1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3" s="760" t="str" cm="1">
        <f t="array" aca="true" ref="R1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3" s="733" cm="1">
        <f t="array" aca="true" ref="S113" ca="true">COUNTIFS('Unit-Level Data'!$L:$L, "&gt;=" &amp; ($X$2 - Q$5),
          'Unit-Level Data'!$L:$L, "&lt;" &amp; $X$2,
          'Unit-Level Data'!$D:$D, INDIRECT("C"&amp;ROW()),
          'Unit-Level Data'!$B:$B, INDIRECT("B"&amp;ROW()))</f>
        <v>0</v>
      </c>
      <c r="T113" s="738" t="str" cm="1">
        <f t="array" aca="true" ref="T1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3" s="760" t="str" cm="1">
        <f t="array" aca="true" ref="U1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3" s="733" cm="1">
        <f t="array" aca="true" ref="V113" ca="true">COUNTIFS('Unit-Level Data'!$L:$L, "&gt;=" &amp; ($X$2 - T$5),
          'Unit-Level Data'!$L:$L, "&lt;" &amp; $X$2,
          'Unit-Level Data'!$D:$D, INDIRECT("C"&amp;ROW()),
          'Unit-Level Data'!$B:$B, INDIRECT("B"&amp;ROW()))</f>
        <v>0</v>
      </c>
      <c r="W113" s="738" t="str" cm="1">
        <f t="array" aca="true" ref="W1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3" s="760" t="str" cm="1">
        <f t="array" aca="true" ref="X1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3" s="733" cm="1">
        <f t="array" aca="true" ref="Y113" ca="true">COUNTIFS('Unit-Level Data'!$L:$L, "&gt;=" &amp; ($X$2 - W$5),
          'Unit-Level Data'!$L:$L, "&lt;" &amp; $X$2,
          'Unit-Level Data'!$D:$D, INDIRECT("C"&amp;ROW()),
          'Unit-Level Data'!$B:$B, INDIRECT("B"&amp;ROW()))</f>
        <v>0</v>
      </c>
      <c r="Z113" s="761"/>
      <c r="AA113" s="735" cm="1">
        <f t="array" aca="true" ref="AA113" ca="true">IFERROR(AVERAGEIFS(
  unit_details[Sqft],
  unit_details[Property Name], INDIRECT("B"&amp;ROW()),
  unit_details[Floorplan Name], INDIRECT("C"&amp;ROW()),
  unit_details[Beds], INDIRECT("D"&amp;ROW()),
  unit_details[Detected Unit Amenities], "*"&amp;$AB$3&amp;"*",
  unit_details[Leased Date], "&gt;=" &amp; ($X$2 - $AD$3)
),0)</f>
        <v>0</v>
      </c>
      <c r="AB113" s="734" cm="1">
        <f t="array" aca="true" ref="AB1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3" s="733" cm="1">
        <f t="array" aca="true" ref="AC113" ca="true">IFERROR(COUNTIFS(
  unit_details[Property Name], INDIRECT("B"&amp;ROW()),
  unit_details[Floorplan Name], INDIRECT("C"&amp;ROW()),
  unit_details[Beds], INDIRECT("D"&amp;ROW()),
  unit_details[Detected Unit Amenities], "*"&amp;$AB$3&amp;"*",
  unit_details[Leased Date], "&gt;=" &amp; ($X$2 - $AD$3)
),0)</f>
        <v>0</v>
      </c>
      <c r="AD113" s="735" cm="1">
        <f t="array" aca="true" ref="AD113" ca="true">IFERROR(AVERAGEIFS(
  unit_details[Sqft],
  unit_details[Property Name], INDIRECT("B"&amp;ROW()),
  unit_details[Floorplan Name], INDIRECT("C"&amp;ROW()),
  unit_details[Beds], INDIRECT("D"&amp;ROW()),
  unit_details[Detected Unit Amenities], "&lt;&gt;*"&amp;$AB$3&amp;"*",
  unit_details[Leased Date], "&gt;=" &amp; ($X$2 - $AD$3)
),0)</f>
        <v>0</v>
      </c>
      <c r="AE113" s="734" cm="1">
        <f t="array" aca="true" ref="AE1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3" s="733" cm="1">
        <f t="array" aca="true" ref="AF113" ca="true">IFERROR(COUNTIFS(
  unit_details[Property Name], INDIRECT("B"&amp;ROW()),
  unit_details[Floorplan Name], INDIRECT("C"&amp;ROW()),
  unit_details[Beds], INDIRECT("D"&amp;ROW()),
  unit_details[Detected Unit Amenities], "&lt;&gt;*"&amp;$AB$3&amp;"*",
  unit_details[Leased Date], "&gt;=" &amp; ($X$2 - $AD$3)
),0)</f>
        <v>0</v>
      </c>
      <c r="AG113" s="735"/>
      <c r="AH113" s="738">
        <f t="shared" ca="true" si="4"/>
        <v>0</v>
      </c>
      <c r="AI113" s="739">
        <f t="shared" ca="true" si="5"/>
        <v>0</v>
      </c>
    </row>
    <row r="114" spans="2:35">
      <c r="B114" s="1"/>
      <c r="C114" s="80"/>
      <c r="E114" s="303"/>
      <c r="F114" s="303"/>
      <c r="J114" s="345"/>
      <c r="K114" s="6"/>
      <c r="M114" s="6"/>
      <c r="N114" s="738" t="str" cm="1">
        <f t="array" aca="true" ref="N114" ca="true">IFERROR(IF($O$3="Chunk Rent",
AVERAGEIFS('Unit-Level Data'!$O:$O,'Unit-Level Data'!$M:$M,TRUE,
          'Unit-Level Data'!$D:$D, INDIRECT("C"&amp;ROW()),
          'Unit-Level Data'!$B:$B, INDIRECT("B"&amp;ROW())),
AVERAGEIFS('Unit-Level Data'!$P:$P,'Unit-Level Data'!$M:$M,TRUE,
          'Unit-Level Data'!$D:$D, INDIRECT("C"&amp;ROW()),
          'Unit-Level Data'!$B:$B, INDIRECT("B"&amp;ROW()))),"")</f>
      </c>
      <c r="O114" s="760" t="str" cm="1">
        <f t="array" aca="true" ref="O114" ca="true">IFERROR(IF($O$3="Chunk Rent",
AVERAGEIFS('Unit-Level Data'!$Q:$Q,'Unit-Level Data'!$M:$M,TRUE,
          'Unit-Level Data'!$D:$D, INDIRECT("C"&amp;ROW()),
          'Unit-Level Data'!$B:$B, INDIRECT("B"&amp;ROW())),
AVERAGEIFS('Unit-Level Data'!$R:$R,'Unit-Level Data'!$M:$M,TRUE,
          'Unit-Level Data'!$D:$D, INDIRECT("C"&amp;ROW()),
          'Unit-Level Data'!$B:$B, INDIRECT("B"&amp;ROW()))),"")</f>
      </c>
      <c r="P114" s="733" cm="1">
        <f t="array" aca="true" ref="P114" ca="true">COUNTIFS('Unit-Level Data'!$M:$M,TRUE,
          'Unit-Level Data'!$D:$D, INDIRECT("C"&amp;ROW()),
          'Unit-Level Data'!$B:$B, INDIRECT("B"&amp;ROW()))</f>
        <v>0</v>
      </c>
      <c r="Q114" s="738" t="str" cm="1">
        <f t="array" aca="true" ref="Q1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4" s="760" t="str" cm="1">
        <f t="array" aca="true" ref="R1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4" s="733" cm="1">
        <f t="array" aca="true" ref="S114" ca="true">COUNTIFS('Unit-Level Data'!$L:$L, "&gt;=" &amp; ($X$2 - Q$5),
          'Unit-Level Data'!$L:$L, "&lt;" &amp; $X$2,
          'Unit-Level Data'!$D:$D, INDIRECT("C"&amp;ROW()),
          'Unit-Level Data'!$B:$B, INDIRECT("B"&amp;ROW()))</f>
        <v>0</v>
      </c>
      <c r="T114" s="738" t="str" cm="1">
        <f t="array" aca="true" ref="T1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4" s="760" t="str" cm="1">
        <f t="array" aca="true" ref="U1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4" s="733" cm="1">
        <f t="array" aca="true" ref="V114" ca="true">COUNTIFS('Unit-Level Data'!$L:$L, "&gt;=" &amp; ($X$2 - T$5),
          'Unit-Level Data'!$L:$L, "&lt;" &amp; $X$2,
          'Unit-Level Data'!$D:$D, INDIRECT("C"&amp;ROW()),
          'Unit-Level Data'!$B:$B, INDIRECT("B"&amp;ROW()))</f>
        <v>0</v>
      </c>
      <c r="W114" s="738" t="str" cm="1">
        <f t="array" aca="true" ref="W1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4" s="760" t="str" cm="1">
        <f t="array" aca="true" ref="X1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4" s="733" cm="1">
        <f t="array" aca="true" ref="Y114" ca="true">COUNTIFS('Unit-Level Data'!$L:$L, "&gt;=" &amp; ($X$2 - W$5),
          'Unit-Level Data'!$L:$L, "&lt;" &amp; $X$2,
          'Unit-Level Data'!$D:$D, INDIRECT("C"&amp;ROW()),
          'Unit-Level Data'!$B:$B, INDIRECT("B"&amp;ROW()))</f>
        <v>0</v>
      </c>
      <c r="Z114" s="761"/>
      <c r="AA114" s="735" cm="1">
        <f t="array" aca="true" ref="AA114" ca="true">IFERROR(AVERAGEIFS(
  unit_details[Sqft],
  unit_details[Property Name], INDIRECT("B"&amp;ROW()),
  unit_details[Floorplan Name], INDIRECT("C"&amp;ROW()),
  unit_details[Beds], INDIRECT("D"&amp;ROW()),
  unit_details[Detected Unit Amenities], "*"&amp;$AB$3&amp;"*",
  unit_details[Leased Date], "&gt;=" &amp; ($X$2 - $AD$3)
),0)</f>
        <v>0</v>
      </c>
      <c r="AB114" s="734" cm="1">
        <f t="array" aca="true" ref="AB1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4" s="733" cm="1">
        <f t="array" aca="true" ref="AC114" ca="true">IFERROR(COUNTIFS(
  unit_details[Property Name], INDIRECT("B"&amp;ROW()),
  unit_details[Floorplan Name], INDIRECT("C"&amp;ROW()),
  unit_details[Beds], INDIRECT("D"&amp;ROW()),
  unit_details[Detected Unit Amenities], "*"&amp;$AB$3&amp;"*",
  unit_details[Leased Date], "&gt;=" &amp; ($X$2 - $AD$3)
),0)</f>
        <v>0</v>
      </c>
      <c r="AD114" s="735" cm="1">
        <f t="array" aca="true" ref="AD114" ca="true">IFERROR(AVERAGEIFS(
  unit_details[Sqft],
  unit_details[Property Name], INDIRECT("B"&amp;ROW()),
  unit_details[Floorplan Name], INDIRECT("C"&amp;ROW()),
  unit_details[Beds], INDIRECT("D"&amp;ROW()),
  unit_details[Detected Unit Amenities], "&lt;&gt;*"&amp;$AB$3&amp;"*",
  unit_details[Leased Date], "&gt;=" &amp; ($X$2 - $AD$3)
),0)</f>
        <v>0</v>
      </c>
      <c r="AE114" s="734" cm="1">
        <f t="array" aca="true" ref="AE1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4" s="733" cm="1">
        <f t="array" aca="true" ref="AF114" ca="true">IFERROR(COUNTIFS(
  unit_details[Property Name], INDIRECT("B"&amp;ROW()),
  unit_details[Floorplan Name], INDIRECT("C"&amp;ROW()),
  unit_details[Beds], INDIRECT("D"&amp;ROW()),
  unit_details[Detected Unit Amenities], "&lt;&gt;*"&amp;$AB$3&amp;"*",
  unit_details[Leased Date], "&gt;=" &amp; ($X$2 - $AD$3)
),0)</f>
        <v>0</v>
      </c>
      <c r="AG114" s="735"/>
      <c r="AH114" s="738">
        <f t="shared" ca="true" si="4"/>
        <v>0</v>
      </c>
      <c r="AI114" s="739">
        <f t="shared" ca="true" si="5"/>
        <v>0</v>
      </c>
    </row>
    <row r="115" spans="2:35">
      <c r="B115" s="1"/>
      <c r="C115" s="80"/>
      <c r="E115" s="303"/>
      <c r="F115" s="303"/>
      <c r="J115" s="345"/>
      <c r="K115" s="6"/>
      <c r="M115" s="6"/>
      <c r="N115" s="738" t="str" cm="1">
        <f t="array" aca="true" ref="N115" ca="true">IFERROR(IF($O$3="Chunk Rent",
AVERAGEIFS('Unit-Level Data'!$O:$O,'Unit-Level Data'!$M:$M,TRUE,
          'Unit-Level Data'!$D:$D, INDIRECT("C"&amp;ROW()),
          'Unit-Level Data'!$B:$B, INDIRECT("B"&amp;ROW())),
AVERAGEIFS('Unit-Level Data'!$P:$P,'Unit-Level Data'!$M:$M,TRUE,
          'Unit-Level Data'!$D:$D, INDIRECT("C"&amp;ROW()),
          'Unit-Level Data'!$B:$B, INDIRECT("B"&amp;ROW()))),"")</f>
      </c>
      <c r="O115" s="760" t="str" cm="1">
        <f t="array" aca="true" ref="O115" ca="true">IFERROR(IF($O$3="Chunk Rent",
AVERAGEIFS('Unit-Level Data'!$Q:$Q,'Unit-Level Data'!$M:$M,TRUE,
          'Unit-Level Data'!$D:$D, INDIRECT("C"&amp;ROW()),
          'Unit-Level Data'!$B:$B, INDIRECT("B"&amp;ROW())),
AVERAGEIFS('Unit-Level Data'!$R:$R,'Unit-Level Data'!$M:$M,TRUE,
          'Unit-Level Data'!$D:$D, INDIRECT("C"&amp;ROW()),
          'Unit-Level Data'!$B:$B, INDIRECT("B"&amp;ROW()))),"")</f>
      </c>
      <c r="P115" s="733" cm="1">
        <f t="array" aca="true" ref="P115" ca="true">COUNTIFS('Unit-Level Data'!$M:$M,TRUE,
          'Unit-Level Data'!$D:$D, INDIRECT("C"&amp;ROW()),
          'Unit-Level Data'!$B:$B, INDIRECT("B"&amp;ROW()))</f>
        <v>0</v>
      </c>
      <c r="Q115" s="738" t="str" cm="1">
        <f t="array" aca="true" ref="Q1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5" s="760" t="str" cm="1">
        <f t="array" aca="true" ref="R1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5" s="733" cm="1">
        <f t="array" aca="true" ref="S115" ca="true">COUNTIFS('Unit-Level Data'!$L:$L, "&gt;=" &amp; ($X$2 - Q$5),
          'Unit-Level Data'!$L:$L, "&lt;" &amp; $X$2,
          'Unit-Level Data'!$D:$D, INDIRECT("C"&amp;ROW()),
          'Unit-Level Data'!$B:$B, INDIRECT("B"&amp;ROW()))</f>
        <v>0</v>
      </c>
      <c r="T115" s="738" t="str" cm="1">
        <f t="array" aca="true" ref="T1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5" s="760" t="str" cm="1">
        <f t="array" aca="true" ref="U1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5" s="733" cm="1">
        <f t="array" aca="true" ref="V115" ca="true">COUNTIFS('Unit-Level Data'!$L:$L, "&gt;=" &amp; ($X$2 - T$5),
          'Unit-Level Data'!$L:$L, "&lt;" &amp; $X$2,
          'Unit-Level Data'!$D:$D, INDIRECT("C"&amp;ROW()),
          'Unit-Level Data'!$B:$B, INDIRECT("B"&amp;ROW()))</f>
        <v>0</v>
      </c>
      <c r="W115" s="738" t="str" cm="1">
        <f t="array" aca="true" ref="W1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5" s="760" t="str" cm="1">
        <f t="array" aca="true" ref="X1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5" s="733" cm="1">
        <f t="array" aca="true" ref="Y115" ca="true">COUNTIFS('Unit-Level Data'!$L:$L, "&gt;=" &amp; ($X$2 - W$5),
          'Unit-Level Data'!$L:$L, "&lt;" &amp; $X$2,
          'Unit-Level Data'!$D:$D, INDIRECT("C"&amp;ROW()),
          'Unit-Level Data'!$B:$B, INDIRECT("B"&amp;ROW()))</f>
        <v>0</v>
      </c>
      <c r="Z115" s="761"/>
      <c r="AA115" s="735" cm="1">
        <f t="array" aca="true" ref="AA115" ca="true">IFERROR(AVERAGEIFS(
  unit_details[Sqft],
  unit_details[Property Name], INDIRECT("B"&amp;ROW()),
  unit_details[Floorplan Name], INDIRECT("C"&amp;ROW()),
  unit_details[Beds], INDIRECT("D"&amp;ROW()),
  unit_details[Detected Unit Amenities], "*"&amp;$AB$3&amp;"*",
  unit_details[Leased Date], "&gt;=" &amp; ($X$2 - $AD$3)
),0)</f>
        <v>0</v>
      </c>
      <c r="AB115" s="734" cm="1">
        <f t="array" aca="true" ref="AB1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5" s="733" cm="1">
        <f t="array" aca="true" ref="AC115" ca="true">IFERROR(COUNTIFS(
  unit_details[Property Name], INDIRECT("B"&amp;ROW()),
  unit_details[Floorplan Name], INDIRECT("C"&amp;ROW()),
  unit_details[Beds], INDIRECT("D"&amp;ROW()),
  unit_details[Detected Unit Amenities], "*"&amp;$AB$3&amp;"*",
  unit_details[Leased Date], "&gt;=" &amp; ($X$2 - $AD$3)
),0)</f>
        <v>0</v>
      </c>
      <c r="AD115" s="735" cm="1">
        <f t="array" aca="true" ref="AD115" ca="true">IFERROR(AVERAGEIFS(
  unit_details[Sqft],
  unit_details[Property Name], INDIRECT("B"&amp;ROW()),
  unit_details[Floorplan Name], INDIRECT("C"&amp;ROW()),
  unit_details[Beds], INDIRECT("D"&amp;ROW()),
  unit_details[Detected Unit Amenities], "&lt;&gt;*"&amp;$AB$3&amp;"*",
  unit_details[Leased Date], "&gt;=" &amp; ($X$2 - $AD$3)
),0)</f>
        <v>0</v>
      </c>
      <c r="AE115" s="734" cm="1">
        <f t="array" aca="true" ref="AE1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5" s="733" cm="1">
        <f t="array" aca="true" ref="AF115" ca="true">IFERROR(COUNTIFS(
  unit_details[Property Name], INDIRECT("B"&amp;ROW()),
  unit_details[Floorplan Name], INDIRECT("C"&amp;ROW()),
  unit_details[Beds], INDIRECT("D"&amp;ROW()),
  unit_details[Detected Unit Amenities], "&lt;&gt;*"&amp;$AB$3&amp;"*",
  unit_details[Leased Date], "&gt;=" &amp; ($X$2 - $AD$3)
),0)</f>
        <v>0</v>
      </c>
      <c r="AG115" s="735"/>
      <c r="AH115" s="738">
        <f t="shared" ca="true" si="4"/>
        <v>0</v>
      </c>
      <c r="AI115" s="739">
        <f t="shared" ca="true" si="5"/>
        <v>0</v>
      </c>
    </row>
    <row r="116" spans="2:35">
      <c r="B116" s="1"/>
      <c r="C116" s="80"/>
      <c r="E116" s="303"/>
      <c r="F116" s="303"/>
      <c r="J116" s="345"/>
      <c r="K116" s="6"/>
      <c r="M116" s="6"/>
      <c r="N116" s="738" t="str" cm="1">
        <f t="array" aca="true" ref="N116" ca="true">IFERROR(IF($O$3="Chunk Rent",
AVERAGEIFS('Unit-Level Data'!$O:$O,'Unit-Level Data'!$M:$M,TRUE,
          'Unit-Level Data'!$D:$D, INDIRECT("C"&amp;ROW()),
          'Unit-Level Data'!$B:$B, INDIRECT("B"&amp;ROW())),
AVERAGEIFS('Unit-Level Data'!$P:$P,'Unit-Level Data'!$M:$M,TRUE,
          'Unit-Level Data'!$D:$D, INDIRECT("C"&amp;ROW()),
          'Unit-Level Data'!$B:$B, INDIRECT("B"&amp;ROW()))),"")</f>
      </c>
      <c r="O116" s="760" t="str" cm="1">
        <f t="array" aca="true" ref="O116" ca="true">IFERROR(IF($O$3="Chunk Rent",
AVERAGEIFS('Unit-Level Data'!$Q:$Q,'Unit-Level Data'!$M:$M,TRUE,
          'Unit-Level Data'!$D:$D, INDIRECT("C"&amp;ROW()),
          'Unit-Level Data'!$B:$B, INDIRECT("B"&amp;ROW())),
AVERAGEIFS('Unit-Level Data'!$R:$R,'Unit-Level Data'!$M:$M,TRUE,
          'Unit-Level Data'!$D:$D, INDIRECT("C"&amp;ROW()),
          'Unit-Level Data'!$B:$B, INDIRECT("B"&amp;ROW()))),"")</f>
      </c>
      <c r="P116" s="733" cm="1">
        <f t="array" aca="true" ref="P116" ca="true">COUNTIFS('Unit-Level Data'!$M:$M,TRUE,
          'Unit-Level Data'!$D:$D, INDIRECT("C"&amp;ROW()),
          'Unit-Level Data'!$B:$B, INDIRECT("B"&amp;ROW()))</f>
        <v>0</v>
      </c>
      <c r="Q116" s="738" t="str" cm="1">
        <f t="array" aca="true" ref="Q1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6" s="760" t="str" cm="1">
        <f t="array" aca="true" ref="R1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6" s="733" cm="1">
        <f t="array" aca="true" ref="S116" ca="true">COUNTIFS('Unit-Level Data'!$L:$L, "&gt;=" &amp; ($X$2 - Q$5),
          'Unit-Level Data'!$L:$L, "&lt;" &amp; $X$2,
          'Unit-Level Data'!$D:$D, INDIRECT("C"&amp;ROW()),
          'Unit-Level Data'!$B:$B, INDIRECT("B"&amp;ROW()))</f>
        <v>0</v>
      </c>
      <c r="T116" s="738" t="str" cm="1">
        <f t="array" aca="true" ref="T1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6" s="760" t="str" cm="1">
        <f t="array" aca="true" ref="U1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6" s="733" cm="1">
        <f t="array" aca="true" ref="V116" ca="true">COUNTIFS('Unit-Level Data'!$L:$L, "&gt;=" &amp; ($X$2 - T$5),
          'Unit-Level Data'!$L:$L, "&lt;" &amp; $X$2,
          'Unit-Level Data'!$D:$D, INDIRECT("C"&amp;ROW()),
          'Unit-Level Data'!$B:$B, INDIRECT("B"&amp;ROW()))</f>
        <v>0</v>
      </c>
      <c r="W116" s="738" t="str" cm="1">
        <f t="array" aca="true" ref="W1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6" s="760" t="str" cm="1">
        <f t="array" aca="true" ref="X1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6" s="733" cm="1">
        <f t="array" aca="true" ref="Y116" ca="true">COUNTIFS('Unit-Level Data'!$L:$L, "&gt;=" &amp; ($X$2 - W$5),
          'Unit-Level Data'!$L:$L, "&lt;" &amp; $X$2,
          'Unit-Level Data'!$D:$D, INDIRECT("C"&amp;ROW()),
          'Unit-Level Data'!$B:$B, INDIRECT("B"&amp;ROW()))</f>
        <v>0</v>
      </c>
      <c r="Z116" s="761"/>
      <c r="AA116" s="735" cm="1">
        <f t="array" aca="true" ref="AA116" ca="true">IFERROR(AVERAGEIFS(
  unit_details[Sqft],
  unit_details[Property Name], INDIRECT("B"&amp;ROW()),
  unit_details[Floorplan Name], INDIRECT("C"&amp;ROW()),
  unit_details[Beds], INDIRECT("D"&amp;ROW()),
  unit_details[Detected Unit Amenities], "*"&amp;$AB$3&amp;"*",
  unit_details[Leased Date], "&gt;=" &amp; ($X$2 - $AD$3)
),0)</f>
        <v>0</v>
      </c>
      <c r="AB116" s="734" cm="1">
        <f t="array" aca="true" ref="AB1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6" s="733" cm="1">
        <f t="array" aca="true" ref="AC116" ca="true">IFERROR(COUNTIFS(
  unit_details[Property Name], INDIRECT("B"&amp;ROW()),
  unit_details[Floorplan Name], INDIRECT("C"&amp;ROW()),
  unit_details[Beds], INDIRECT("D"&amp;ROW()),
  unit_details[Detected Unit Amenities], "*"&amp;$AB$3&amp;"*",
  unit_details[Leased Date], "&gt;=" &amp; ($X$2 - $AD$3)
),0)</f>
        <v>0</v>
      </c>
      <c r="AD116" s="735" cm="1">
        <f t="array" aca="true" ref="AD116" ca="true">IFERROR(AVERAGEIFS(
  unit_details[Sqft],
  unit_details[Property Name], INDIRECT("B"&amp;ROW()),
  unit_details[Floorplan Name], INDIRECT("C"&amp;ROW()),
  unit_details[Beds], INDIRECT("D"&amp;ROW()),
  unit_details[Detected Unit Amenities], "&lt;&gt;*"&amp;$AB$3&amp;"*",
  unit_details[Leased Date], "&gt;=" &amp; ($X$2 - $AD$3)
),0)</f>
        <v>0</v>
      </c>
      <c r="AE116" s="734" cm="1">
        <f t="array" aca="true" ref="AE1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6" s="733" cm="1">
        <f t="array" aca="true" ref="AF116" ca="true">IFERROR(COUNTIFS(
  unit_details[Property Name], INDIRECT("B"&amp;ROW()),
  unit_details[Floorplan Name], INDIRECT("C"&amp;ROW()),
  unit_details[Beds], INDIRECT("D"&amp;ROW()),
  unit_details[Detected Unit Amenities], "&lt;&gt;*"&amp;$AB$3&amp;"*",
  unit_details[Leased Date], "&gt;=" &amp; ($X$2 - $AD$3)
),0)</f>
        <v>0</v>
      </c>
      <c r="AG116" s="735"/>
      <c r="AH116" s="738">
        <f t="shared" ca="true" si="4"/>
        <v>0</v>
      </c>
      <c r="AI116" s="739">
        <f t="shared" ca="true" si="5"/>
        <v>0</v>
      </c>
    </row>
    <row r="117" spans="2:35">
      <c r="B117" s="1"/>
      <c r="C117" s="80"/>
      <c r="E117" s="303"/>
      <c r="F117" s="303"/>
      <c r="J117" s="345"/>
      <c r="K117" s="6"/>
      <c r="M117" s="6"/>
      <c r="N117" s="738" t="str" cm="1">
        <f t="array" aca="true" ref="N117" ca="true">IFERROR(IF($O$3="Chunk Rent",
AVERAGEIFS('Unit-Level Data'!$O:$O,'Unit-Level Data'!$M:$M,TRUE,
          'Unit-Level Data'!$D:$D, INDIRECT("C"&amp;ROW()),
          'Unit-Level Data'!$B:$B, INDIRECT("B"&amp;ROW())),
AVERAGEIFS('Unit-Level Data'!$P:$P,'Unit-Level Data'!$M:$M,TRUE,
          'Unit-Level Data'!$D:$D, INDIRECT("C"&amp;ROW()),
          'Unit-Level Data'!$B:$B, INDIRECT("B"&amp;ROW()))),"")</f>
      </c>
      <c r="O117" s="760" t="str" cm="1">
        <f t="array" aca="true" ref="O117" ca="true">IFERROR(IF($O$3="Chunk Rent",
AVERAGEIFS('Unit-Level Data'!$Q:$Q,'Unit-Level Data'!$M:$M,TRUE,
          'Unit-Level Data'!$D:$D, INDIRECT("C"&amp;ROW()),
          'Unit-Level Data'!$B:$B, INDIRECT("B"&amp;ROW())),
AVERAGEIFS('Unit-Level Data'!$R:$R,'Unit-Level Data'!$M:$M,TRUE,
          'Unit-Level Data'!$D:$D, INDIRECT("C"&amp;ROW()),
          'Unit-Level Data'!$B:$B, INDIRECT("B"&amp;ROW()))),"")</f>
      </c>
      <c r="P117" s="733" cm="1">
        <f t="array" aca="true" ref="P117" ca="true">COUNTIFS('Unit-Level Data'!$M:$M,TRUE,
          'Unit-Level Data'!$D:$D, INDIRECT("C"&amp;ROW()),
          'Unit-Level Data'!$B:$B, INDIRECT("B"&amp;ROW()))</f>
        <v>0</v>
      </c>
      <c r="Q117" s="738" t="str" cm="1">
        <f t="array" aca="true" ref="Q1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7" s="760" t="str" cm="1">
        <f t="array" aca="true" ref="R1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7" s="733" cm="1">
        <f t="array" aca="true" ref="S117" ca="true">COUNTIFS('Unit-Level Data'!$L:$L, "&gt;=" &amp; ($X$2 - Q$5),
          'Unit-Level Data'!$L:$L, "&lt;" &amp; $X$2,
          'Unit-Level Data'!$D:$D, INDIRECT("C"&amp;ROW()),
          'Unit-Level Data'!$B:$B, INDIRECT("B"&amp;ROW()))</f>
        <v>0</v>
      </c>
      <c r="T117" s="738" t="str" cm="1">
        <f t="array" aca="true" ref="T1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7" s="760" t="str" cm="1">
        <f t="array" aca="true" ref="U1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7" s="733" cm="1">
        <f t="array" aca="true" ref="V117" ca="true">COUNTIFS('Unit-Level Data'!$L:$L, "&gt;=" &amp; ($X$2 - T$5),
          'Unit-Level Data'!$L:$L, "&lt;" &amp; $X$2,
          'Unit-Level Data'!$D:$D, INDIRECT("C"&amp;ROW()),
          'Unit-Level Data'!$B:$B, INDIRECT("B"&amp;ROW()))</f>
        <v>0</v>
      </c>
      <c r="W117" s="738" t="str" cm="1">
        <f t="array" aca="true" ref="W1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7" s="760" t="str" cm="1">
        <f t="array" aca="true" ref="X1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7" s="733" cm="1">
        <f t="array" aca="true" ref="Y117" ca="true">COUNTIFS('Unit-Level Data'!$L:$L, "&gt;=" &amp; ($X$2 - W$5),
          'Unit-Level Data'!$L:$L, "&lt;" &amp; $X$2,
          'Unit-Level Data'!$D:$D, INDIRECT("C"&amp;ROW()),
          'Unit-Level Data'!$B:$B, INDIRECT("B"&amp;ROW()))</f>
        <v>0</v>
      </c>
      <c r="Z117" s="761"/>
      <c r="AA117" s="735" cm="1">
        <f t="array" aca="true" ref="AA117" ca="true">IFERROR(AVERAGEIFS(
  unit_details[Sqft],
  unit_details[Property Name], INDIRECT("B"&amp;ROW()),
  unit_details[Floorplan Name], INDIRECT("C"&amp;ROW()),
  unit_details[Beds], INDIRECT("D"&amp;ROW()),
  unit_details[Detected Unit Amenities], "*"&amp;$AB$3&amp;"*",
  unit_details[Leased Date], "&gt;=" &amp; ($X$2 - $AD$3)
),0)</f>
        <v>0</v>
      </c>
      <c r="AB117" s="734" cm="1">
        <f t="array" aca="true" ref="AB1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7" s="733" cm="1">
        <f t="array" aca="true" ref="AC117" ca="true">IFERROR(COUNTIFS(
  unit_details[Property Name], INDIRECT("B"&amp;ROW()),
  unit_details[Floorplan Name], INDIRECT("C"&amp;ROW()),
  unit_details[Beds], INDIRECT("D"&amp;ROW()),
  unit_details[Detected Unit Amenities], "*"&amp;$AB$3&amp;"*",
  unit_details[Leased Date], "&gt;=" &amp; ($X$2 - $AD$3)
),0)</f>
        <v>0</v>
      </c>
      <c r="AD117" s="735" cm="1">
        <f t="array" aca="true" ref="AD117" ca="true">IFERROR(AVERAGEIFS(
  unit_details[Sqft],
  unit_details[Property Name], INDIRECT("B"&amp;ROW()),
  unit_details[Floorplan Name], INDIRECT("C"&amp;ROW()),
  unit_details[Beds], INDIRECT("D"&amp;ROW()),
  unit_details[Detected Unit Amenities], "&lt;&gt;*"&amp;$AB$3&amp;"*",
  unit_details[Leased Date], "&gt;=" &amp; ($X$2 - $AD$3)
),0)</f>
        <v>0</v>
      </c>
      <c r="AE117" s="734" cm="1">
        <f t="array" aca="true" ref="AE1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7" s="733" cm="1">
        <f t="array" aca="true" ref="AF117" ca="true">IFERROR(COUNTIFS(
  unit_details[Property Name], INDIRECT("B"&amp;ROW()),
  unit_details[Floorplan Name], INDIRECT("C"&amp;ROW()),
  unit_details[Beds], INDIRECT("D"&amp;ROW()),
  unit_details[Detected Unit Amenities], "&lt;&gt;*"&amp;$AB$3&amp;"*",
  unit_details[Leased Date], "&gt;=" &amp; ($X$2 - $AD$3)
),0)</f>
        <v>0</v>
      </c>
      <c r="AG117" s="735"/>
      <c r="AH117" s="738">
        <f t="shared" ca="true" si="4"/>
        <v>0</v>
      </c>
      <c r="AI117" s="739">
        <f t="shared" ca="true" si="5"/>
        <v>0</v>
      </c>
    </row>
    <row r="118" spans="2:35">
      <c r="B118" s="1"/>
      <c r="C118" s="80"/>
      <c r="E118" s="303"/>
      <c r="F118" s="303"/>
      <c r="J118" s="345"/>
      <c r="K118" s="6"/>
      <c r="M118" s="6"/>
      <c r="N118" s="738" t="str" cm="1">
        <f t="array" aca="true" ref="N118" ca="true">IFERROR(IF($O$3="Chunk Rent",
AVERAGEIFS('Unit-Level Data'!$O:$O,'Unit-Level Data'!$M:$M,TRUE,
          'Unit-Level Data'!$D:$D, INDIRECT("C"&amp;ROW()),
          'Unit-Level Data'!$B:$B, INDIRECT("B"&amp;ROW())),
AVERAGEIFS('Unit-Level Data'!$P:$P,'Unit-Level Data'!$M:$M,TRUE,
          'Unit-Level Data'!$D:$D, INDIRECT("C"&amp;ROW()),
          'Unit-Level Data'!$B:$B, INDIRECT("B"&amp;ROW()))),"")</f>
      </c>
      <c r="O118" s="760" t="str" cm="1">
        <f t="array" aca="true" ref="O118" ca="true">IFERROR(IF($O$3="Chunk Rent",
AVERAGEIFS('Unit-Level Data'!$Q:$Q,'Unit-Level Data'!$M:$M,TRUE,
          'Unit-Level Data'!$D:$D, INDIRECT("C"&amp;ROW()),
          'Unit-Level Data'!$B:$B, INDIRECT("B"&amp;ROW())),
AVERAGEIFS('Unit-Level Data'!$R:$R,'Unit-Level Data'!$M:$M,TRUE,
          'Unit-Level Data'!$D:$D, INDIRECT("C"&amp;ROW()),
          'Unit-Level Data'!$B:$B, INDIRECT("B"&amp;ROW()))),"")</f>
      </c>
      <c r="P118" s="733" cm="1">
        <f t="array" aca="true" ref="P118" ca="true">COUNTIFS('Unit-Level Data'!$M:$M,TRUE,
          'Unit-Level Data'!$D:$D, INDIRECT("C"&amp;ROW()),
          'Unit-Level Data'!$B:$B, INDIRECT("B"&amp;ROW()))</f>
        <v>0</v>
      </c>
      <c r="Q118" s="738" t="str" cm="1">
        <f t="array" aca="true" ref="Q1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8" s="760" t="str" cm="1">
        <f t="array" aca="true" ref="R1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8" s="733" cm="1">
        <f t="array" aca="true" ref="S118" ca="true">COUNTIFS('Unit-Level Data'!$L:$L, "&gt;=" &amp; ($X$2 - Q$5),
          'Unit-Level Data'!$L:$L, "&lt;" &amp; $X$2,
          'Unit-Level Data'!$D:$D, INDIRECT("C"&amp;ROW()),
          'Unit-Level Data'!$B:$B, INDIRECT("B"&amp;ROW()))</f>
        <v>0</v>
      </c>
      <c r="T118" s="738" t="str" cm="1">
        <f t="array" aca="true" ref="T1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8" s="760" t="str" cm="1">
        <f t="array" aca="true" ref="U1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8" s="733" cm="1">
        <f t="array" aca="true" ref="V118" ca="true">COUNTIFS('Unit-Level Data'!$L:$L, "&gt;=" &amp; ($X$2 - T$5),
          'Unit-Level Data'!$L:$L, "&lt;" &amp; $X$2,
          'Unit-Level Data'!$D:$D, INDIRECT("C"&amp;ROW()),
          'Unit-Level Data'!$B:$B, INDIRECT("B"&amp;ROW()))</f>
        <v>0</v>
      </c>
      <c r="W118" s="738" t="str" cm="1">
        <f t="array" aca="true" ref="W1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8" s="760" t="str" cm="1">
        <f t="array" aca="true" ref="X1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8" s="733" cm="1">
        <f t="array" aca="true" ref="Y118" ca="true">COUNTIFS('Unit-Level Data'!$L:$L, "&gt;=" &amp; ($X$2 - W$5),
          'Unit-Level Data'!$L:$L, "&lt;" &amp; $X$2,
          'Unit-Level Data'!$D:$D, INDIRECT("C"&amp;ROW()),
          'Unit-Level Data'!$B:$B, INDIRECT("B"&amp;ROW()))</f>
        <v>0</v>
      </c>
      <c r="Z118" s="761"/>
      <c r="AA118" s="735" cm="1">
        <f t="array" aca="true" ref="AA118" ca="true">IFERROR(AVERAGEIFS(
  unit_details[Sqft],
  unit_details[Property Name], INDIRECT("B"&amp;ROW()),
  unit_details[Floorplan Name], INDIRECT("C"&amp;ROW()),
  unit_details[Beds], INDIRECT("D"&amp;ROW()),
  unit_details[Detected Unit Amenities], "*"&amp;$AB$3&amp;"*",
  unit_details[Leased Date], "&gt;=" &amp; ($X$2 - $AD$3)
),0)</f>
        <v>0</v>
      </c>
      <c r="AB118" s="734" cm="1">
        <f t="array" aca="true" ref="AB1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8" s="733" cm="1">
        <f t="array" aca="true" ref="AC118" ca="true">IFERROR(COUNTIFS(
  unit_details[Property Name], INDIRECT("B"&amp;ROW()),
  unit_details[Floorplan Name], INDIRECT("C"&amp;ROW()),
  unit_details[Beds], INDIRECT("D"&amp;ROW()),
  unit_details[Detected Unit Amenities], "*"&amp;$AB$3&amp;"*",
  unit_details[Leased Date], "&gt;=" &amp; ($X$2 - $AD$3)
),0)</f>
        <v>0</v>
      </c>
      <c r="AD118" s="735" cm="1">
        <f t="array" aca="true" ref="AD118" ca="true">IFERROR(AVERAGEIFS(
  unit_details[Sqft],
  unit_details[Property Name], INDIRECT("B"&amp;ROW()),
  unit_details[Floorplan Name], INDIRECT("C"&amp;ROW()),
  unit_details[Beds], INDIRECT("D"&amp;ROW()),
  unit_details[Detected Unit Amenities], "&lt;&gt;*"&amp;$AB$3&amp;"*",
  unit_details[Leased Date], "&gt;=" &amp; ($X$2 - $AD$3)
),0)</f>
        <v>0</v>
      </c>
      <c r="AE118" s="734" cm="1">
        <f t="array" aca="true" ref="AE1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8" s="733" cm="1">
        <f t="array" aca="true" ref="AF118" ca="true">IFERROR(COUNTIFS(
  unit_details[Property Name], INDIRECT("B"&amp;ROW()),
  unit_details[Floorplan Name], INDIRECT("C"&amp;ROW()),
  unit_details[Beds], INDIRECT("D"&amp;ROW()),
  unit_details[Detected Unit Amenities], "&lt;&gt;*"&amp;$AB$3&amp;"*",
  unit_details[Leased Date], "&gt;=" &amp; ($X$2 - $AD$3)
),0)</f>
        <v>0</v>
      </c>
      <c r="AG118" s="735"/>
      <c r="AH118" s="738">
        <f t="shared" ca="true" si="4"/>
        <v>0</v>
      </c>
      <c r="AI118" s="739">
        <f t="shared" ca="true" si="5"/>
        <v>0</v>
      </c>
    </row>
    <row r="119" spans="2:35">
      <c r="B119" s="1"/>
      <c r="C119" s="80"/>
      <c r="E119" s="303"/>
      <c r="F119" s="303"/>
      <c r="J119" s="345"/>
      <c r="K119" s="6"/>
      <c r="M119" s="6"/>
      <c r="N119" s="738" t="str" cm="1">
        <f t="array" aca="true" ref="N119" ca="true">IFERROR(IF($O$3="Chunk Rent",
AVERAGEIFS('Unit-Level Data'!$O:$O,'Unit-Level Data'!$M:$M,TRUE,
          'Unit-Level Data'!$D:$D, INDIRECT("C"&amp;ROW()),
          'Unit-Level Data'!$B:$B, INDIRECT("B"&amp;ROW())),
AVERAGEIFS('Unit-Level Data'!$P:$P,'Unit-Level Data'!$M:$M,TRUE,
          'Unit-Level Data'!$D:$D, INDIRECT("C"&amp;ROW()),
          'Unit-Level Data'!$B:$B, INDIRECT("B"&amp;ROW()))),"")</f>
      </c>
      <c r="O119" s="760" t="str" cm="1">
        <f t="array" aca="true" ref="O119" ca="true">IFERROR(IF($O$3="Chunk Rent",
AVERAGEIFS('Unit-Level Data'!$Q:$Q,'Unit-Level Data'!$M:$M,TRUE,
          'Unit-Level Data'!$D:$D, INDIRECT("C"&amp;ROW()),
          'Unit-Level Data'!$B:$B, INDIRECT("B"&amp;ROW())),
AVERAGEIFS('Unit-Level Data'!$R:$R,'Unit-Level Data'!$M:$M,TRUE,
          'Unit-Level Data'!$D:$D, INDIRECT("C"&amp;ROW()),
          'Unit-Level Data'!$B:$B, INDIRECT("B"&amp;ROW()))),"")</f>
      </c>
      <c r="P119" s="733" cm="1">
        <f t="array" aca="true" ref="P119" ca="true">COUNTIFS('Unit-Level Data'!$M:$M,TRUE,
          'Unit-Level Data'!$D:$D, INDIRECT("C"&amp;ROW()),
          'Unit-Level Data'!$B:$B, INDIRECT("B"&amp;ROW()))</f>
        <v>0</v>
      </c>
      <c r="Q119" s="738" t="str" cm="1">
        <f t="array" aca="true" ref="Q1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9" s="760" t="str" cm="1">
        <f t="array" aca="true" ref="R1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9" s="733" cm="1">
        <f t="array" aca="true" ref="S119" ca="true">COUNTIFS('Unit-Level Data'!$L:$L, "&gt;=" &amp; ($X$2 - Q$5),
          'Unit-Level Data'!$L:$L, "&lt;" &amp; $X$2,
          'Unit-Level Data'!$D:$D, INDIRECT("C"&amp;ROW()),
          'Unit-Level Data'!$B:$B, INDIRECT("B"&amp;ROW()))</f>
        <v>0</v>
      </c>
      <c r="T119" s="738" t="str" cm="1">
        <f t="array" aca="true" ref="T1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9" s="760" t="str" cm="1">
        <f t="array" aca="true" ref="U1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9" s="733" cm="1">
        <f t="array" aca="true" ref="V119" ca="true">COUNTIFS('Unit-Level Data'!$L:$L, "&gt;=" &amp; ($X$2 - T$5),
          'Unit-Level Data'!$L:$L, "&lt;" &amp; $X$2,
          'Unit-Level Data'!$D:$D, INDIRECT("C"&amp;ROW()),
          'Unit-Level Data'!$B:$B, INDIRECT("B"&amp;ROW()))</f>
        <v>0</v>
      </c>
      <c r="W119" s="738" t="str" cm="1">
        <f t="array" aca="true" ref="W1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9" s="760" t="str" cm="1">
        <f t="array" aca="true" ref="X1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9" s="733" cm="1">
        <f t="array" aca="true" ref="Y119" ca="true">COUNTIFS('Unit-Level Data'!$L:$L, "&gt;=" &amp; ($X$2 - W$5),
          'Unit-Level Data'!$L:$L, "&lt;" &amp; $X$2,
          'Unit-Level Data'!$D:$D, INDIRECT("C"&amp;ROW()),
          'Unit-Level Data'!$B:$B, INDIRECT("B"&amp;ROW()))</f>
        <v>0</v>
      </c>
      <c r="Z119" s="761"/>
      <c r="AA119" s="735" cm="1">
        <f t="array" aca="true" ref="AA119" ca="true">IFERROR(AVERAGEIFS(
  unit_details[Sqft],
  unit_details[Property Name], INDIRECT("B"&amp;ROW()),
  unit_details[Floorplan Name], INDIRECT("C"&amp;ROW()),
  unit_details[Beds], INDIRECT("D"&amp;ROW()),
  unit_details[Detected Unit Amenities], "*"&amp;$AB$3&amp;"*",
  unit_details[Leased Date], "&gt;=" &amp; ($X$2 - $AD$3)
),0)</f>
        <v>0</v>
      </c>
      <c r="AB119" s="734" cm="1">
        <f t="array" aca="true" ref="AB1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9" s="733" cm="1">
        <f t="array" aca="true" ref="AC119" ca="true">IFERROR(COUNTIFS(
  unit_details[Property Name], INDIRECT("B"&amp;ROW()),
  unit_details[Floorplan Name], INDIRECT("C"&amp;ROW()),
  unit_details[Beds], INDIRECT("D"&amp;ROW()),
  unit_details[Detected Unit Amenities], "*"&amp;$AB$3&amp;"*",
  unit_details[Leased Date], "&gt;=" &amp; ($X$2 - $AD$3)
),0)</f>
        <v>0</v>
      </c>
      <c r="AD119" s="735" cm="1">
        <f t="array" aca="true" ref="AD119" ca="true">IFERROR(AVERAGEIFS(
  unit_details[Sqft],
  unit_details[Property Name], INDIRECT("B"&amp;ROW()),
  unit_details[Floorplan Name], INDIRECT("C"&amp;ROW()),
  unit_details[Beds], INDIRECT("D"&amp;ROW()),
  unit_details[Detected Unit Amenities], "&lt;&gt;*"&amp;$AB$3&amp;"*",
  unit_details[Leased Date], "&gt;=" &amp; ($X$2 - $AD$3)
),0)</f>
        <v>0</v>
      </c>
      <c r="AE119" s="734" cm="1">
        <f t="array" aca="true" ref="AE1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9" s="733" cm="1">
        <f t="array" aca="true" ref="AF119" ca="true">IFERROR(COUNTIFS(
  unit_details[Property Name], INDIRECT("B"&amp;ROW()),
  unit_details[Floorplan Name], INDIRECT("C"&amp;ROW()),
  unit_details[Beds], INDIRECT("D"&amp;ROW()),
  unit_details[Detected Unit Amenities], "&lt;&gt;*"&amp;$AB$3&amp;"*",
  unit_details[Leased Date], "&gt;=" &amp; ($X$2 - $AD$3)
),0)</f>
        <v>0</v>
      </c>
      <c r="AG119" s="735"/>
      <c r="AH119" s="738">
        <f t="shared" ca="true" si="4"/>
        <v>0</v>
      </c>
      <c r="AI119" s="739">
        <f t="shared" ca="true" si="5"/>
        <v>0</v>
      </c>
    </row>
    <row r="120" spans="2:35">
      <c r="B120" s="1"/>
      <c r="C120" s="80"/>
      <c r="E120" s="303"/>
      <c r="F120" s="303"/>
      <c r="J120" s="345"/>
      <c r="K120" s="6"/>
      <c r="M120" s="6"/>
      <c r="N120" s="738" t="str" cm="1">
        <f t="array" aca="true" ref="N120" ca="true">IFERROR(IF($O$3="Chunk Rent",
AVERAGEIFS('Unit-Level Data'!$O:$O,'Unit-Level Data'!$M:$M,TRUE,
          'Unit-Level Data'!$D:$D, INDIRECT("C"&amp;ROW()),
          'Unit-Level Data'!$B:$B, INDIRECT("B"&amp;ROW())),
AVERAGEIFS('Unit-Level Data'!$P:$P,'Unit-Level Data'!$M:$M,TRUE,
          'Unit-Level Data'!$D:$D, INDIRECT("C"&amp;ROW()),
          'Unit-Level Data'!$B:$B, INDIRECT("B"&amp;ROW()))),"")</f>
      </c>
      <c r="O120" s="760" t="str" cm="1">
        <f t="array" aca="true" ref="O120" ca="true">IFERROR(IF($O$3="Chunk Rent",
AVERAGEIFS('Unit-Level Data'!$Q:$Q,'Unit-Level Data'!$M:$M,TRUE,
          'Unit-Level Data'!$D:$D, INDIRECT("C"&amp;ROW()),
          'Unit-Level Data'!$B:$B, INDIRECT("B"&amp;ROW())),
AVERAGEIFS('Unit-Level Data'!$R:$R,'Unit-Level Data'!$M:$M,TRUE,
          'Unit-Level Data'!$D:$D, INDIRECT("C"&amp;ROW()),
          'Unit-Level Data'!$B:$B, INDIRECT("B"&amp;ROW()))),"")</f>
      </c>
      <c r="P120" s="733" cm="1">
        <f t="array" aca="true" ref="P120" ca="true">COUNTIFS('Unit-Level Data'!$M:$M,TRUE,
          'Unit-Level Data'!$D:$D, INDIRECT("C"&amp;ROW()),
          'Unit-Level Data'!$B:$B, INDIRECT("B"&amp;ROW()))</f>
        <v>0</v>
      </c>
      <c r="Q120" s="738" t="str" cm="1">
        <f t="array" aca="true" ref="Q1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0" s="760" t="str" cm="1">
        <f t="array" aca="true" ref="R1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0" s="733" cm="1">
        <f t="array" aca="true" ref="S120" ca="true">COUNTIFS('Unit-Level Data'!$L:$L, "&gt;=" &amp; ($X$2 - Q$5),
          'Unit-Level Data'!$L:$L, "&lt;" &amp; $X$2,
          'Unit-Level Data'!$D:$D, INDIRECT("C"&amp;ROW()),
          'Unit-Level Data'!$B:$B, INDIRECT("B"&amp;ROW()))</f>
        <v>0</v>
      </c>
      <c r="T120" s="738" t="str" cm="1">
        <f t="array" aca="true" ref="T1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0" s="760" t="str" cm="1">
        <f t="array" aca="true" ref="U1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0" s="733" cm="1">
        <f t="array" aca="true" ref="V120" ca="true">COUNTIFS('Unit-Level Data'!$L:$L, "&gt;=" &amp; ($X$2 - T$5),
          'Unit-Level Data'!$L:$L, "&lt;" &amp; $X$2,
          'Unit-Level Data'!$D:$D, INDIRECT("C"&amp;ROW()),
          'Unit-Level Data'!$B:$B, INDIRECT("B"&amp;ROW()))</f>
        <v>0</v>
      </c>
      <c r="W120" s="738" t="str" cm="1">
        <f t="array" aca="true" ref="W1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0" s="760" t="str" cm="1">
        <f t="array" aca="true" ref="X1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0" s="733" cm="1">
        <f t="array" aca="true" ref="Y120" ca="true">COUNTIFS('Unit-Level Data'!$L:$L, "&gt;=" &amp; ($X$2 - W$5),
          'Unit-Level Data'!$L:$L, "&lt;" &amp; $X$2,
          'Unit-Level Data'!$D:$D, INDIRECT("C"&amp;ROW()),
          'Unit-Level Data'!$B:$B, INDIRECT("B"&amp;ROW()))</f>
        <v>0</v>
      </c>
      <c r="Z120" s="761"/>
      <c r="AA120" s="735" cm="1">
        <f t="array" aca="true" ref="AA120" ca="true">IFERROR(AVERAGEIFS(
  unit_details[Sqft],
  unit_details[Property Name], INDIRECT("B"&amp;ROW()),
  unit_details[Floorplan Name], INDIRECT("C"&amp;ROW()),
  unit_details[Beds], INDIRECT("D"&amp;ROW()),
  unit_details[Detected Unit Amenities], "*"&amp;$AB$3&amp;"*",
  unit_details[Leased Date], "&gt;=" &amp; ($X$2 - $AD$3)
),0)</f>
        <v>0</v>
      </c>
      <c r="AB120" s="734" cm="1">
        <f t="array" aca="true" ref="AB1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0" s="733" cm="1">
        <f t="array" aca="true" ref="AC120" ca="true">IFERROR(COUNTIFS(
  unit_details[Property Name], INDIRECT("B"&amp;ROW()),
  unit_details[Floorplan Name], INDIRECT("C"&amp;ROW()),
  unit_details[Beds], INDIRECT("D"&amp;ROW()),
  unit_details[Detected Unit Amenities], "*"&amp;$AB$3&amp;"*",
  unit_details[Leased Date], "&gt;=" &amp; ($X$2 - $AD$3)
),0)</f>
        <v>0</v>
      </c>
      <c r="AD120" s="735" cm="1">
        <f t="array" aca="true" ref="AD120" ca="true">IFERROR(AVERAGEIFS(
  unit_details[Sqft],
  unit_details[Property Name], INDIRECT("B"&amp;ROW()),
  unit_details[Floorplan Name], INDIRECT("C"&amp;ROW()),
  unit_details[Beds], INDIRECT("D"&amp;ROW()),
  unit_details[Detected Unit Amenities], "&lt;&gt;*"&amp;$AB$3&amp;"*",
  unit_details[Leased Date], "&gt;=" &amp; ($X$2 - $AD$3)
),0)</f>
        <v>0</v>
      </c>
      <c r="AE120" s="734" cm="1">
        <f t="array" aca="true" ref="AE1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0" s="733" cm="1">
        <f t="array" aca="true" ref="AF120" ca="true">IFERROR(COUNTIFS(
  unit_details[Property Name], INDIRECT("B"&amp;ROW()),
  unit_details[Floorplan Name], INDIRECT("C"&amp;ROW()),
  unit_details[Beds], INDIRECT("D"&amp;ROW()),
  unit_details[Detected Unit Amenities], "&lt;&gt;*"&amp;$AB$3&amp;"*",
  unit_details[Leased Date], "&gt;=" &amp; ($X$2 - $AD$3)
),0)</f>
        <v>0</v>
      </c>
      <c r="AG120" s="735"/>
      <c r="AH120" s="738">
        <f t="shared" ca="true" si="4"/>
        <v>0</v>
      </c>
      <c r="AI120" s="739">
        <f t="shared" ca="true" si="5"/>
        <v>0</v>
      </c>
    </row>
    <row r="121" spans="2:35">
      <c r="B121" s="1"/>
      <c r="C121" s="80"/>
      <c r="E121" s="303"/>
      <c r="F121" s="303"/>
      <c r="J121" s="345"/>
      <c r="K121" s="6"/>
      <c r="M121" s="6"/>
      <c r="N121" s="738" t="str" cm="1">
        <f t="array" aca="true" ref="N121" ca="true">IFERROR(IF($O$3="Chunk Rent",
AVERAGEIFS('Unit-Level Data'!$O:$O,'Unit-Level Data'!$M:$M,TRUE,
          'Unit-Level Data'!$D:$D, INDIRECT("C"&amp;ROW()),
          'Unit-Level Data'!$B:$B, INDIRECT("B"&amp;ROW())),
AVERAGEIFS('Unit-Level Data'!$P:$P,'Unit-Level Data'!$M:$M,TRUE,
          'Unit-Level Data'!$D:$D, INDIRECT("C"&amp;ROW()),
          'Unit-Level Data'!$B:$B, INDIRECT("B"&amp;ROW()))),"")</f>
      </c>
      <c r="O121" s="760" t="str" cm="1">
        <f t="array" aca="true" ref="O121" ca="true">IFERROR(IF($O$3="Chunk Rent",
AVERAGEIFS('Unit-Level Data'!$Q:$Q,'Unit-Level Data'!$M:$M,TRUE,
          'Unit-Level Data'!$D:$D, INDIRECT("C"&amp;ROW()),
          'Unit-Level Data'!$B:$B, INDIRECT("B"&amp;ROW())),
AVERAGEIFS('Unit-Level Data'!$R:$R,'Unit-Level Data'!$M:$M,TRUE,
          'Unit-Level Data'!$D:$D, INDIRECT("C"&amp;ROW()),
          'Unit-Level Data'!$B:$B, INDIRECT("B"&amp;ROW()))),"")</f>
      </c>
      <c r="P121" s="733" cm="1">
        <f t="array" aca="true" ref="P121" ca="true">COUNTIFS('Unit-Level Data'!$M:$M,TRUE,
          'Unit-Level Data'!$D:$D, INDIRECT("C"&amp;ROW()),
          'Unit-Level Data'!$B:$B, INDIRECT("B"&amp;ROW()))</f>
        <v>0</v>
      </c>
      <c r="Q121" s="738" t="str" cm="1">
        <f t="array" aca="true" ref="Q1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1" s="760" t="str" cm="1">
        <f t="array" aca="true" ref="R1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1" s="733" cm="1">
        <f t="array" aca="true" ref="S121" ca="true">COUNTIFS('Unit-Level Data'!$L:$L, "&gt;=" &amp; ($X$2 - Q$5),
          'Unit-Level Data'!$L:$L, "&lt;" &amp; $X$2,
          'Unit-Level Data'!$D:$D, INDIRECT("C"&amp;ROW()),
          'Unit-Level Data'!$B:$B, INDIRECT("B"&amp;ROW()))</f>
        <v>0</v>
      </c>
      <c r="T121" s="738" t="str" cm="1">
        <f t="array" aca="true" ref="T1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1" s="760" t="str" cm="1">
        <f t="array" aca="true" ref="U1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1" s="733" cm="1">
        <f t="array" aca="true" ref="V121" ca="true">COUNTIFS('Unit-Level Data'!$L:$L, "&gt;=" &amp; ($X$2 - T$5),
          'Unit-Level Data'!$L:$L, "&lt;" &amp; $X$2,
          'Unit-Level Data'!$D:$D, INDIRECT("C"&amp;ROW()),
          'Unit-Level Data'!$B:$B, INDIRECT("B"&amp;ROW()))</f>
        <v>0</v>
      </c>
      <c r="W121" s="738" t="str" cm="1">
        <f t="array" aca="true" ref="W1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1" s="760" t="str" cm="1">
        <f t="array" aca="true" ref="X1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1" s="733" cm="1">
        <f t="array" aca="true" ref="Y121" ca="true">COUNTIFS('Unit-Level Data'!$L:$L, "&gt;=" &amp; ($X$2 - W$5),
          'Unit-Level Data'!$L:$L, "&lt;" &amp; $X$2,
          'Unit-Level Data'!$D:$D, INDIRECT("C"&amp;ROW()),
          'Unit-Level Data'!$B:$B, INDIRECT("B"&amp;ROW()))</f>
        <v>0</v>
      </c>
      <c r="Z121" s="761"/>
      <c r="AA121" s="735" cm="1">
        <f t="array" aca="true" ref="AA121" ca="true">IFERROR(AVERAGEIFS(
  unit_details[Sqft],
  unit_details[Property Name], INDIRECT("B"&amp;ROW()),
  unit_details[Floorplan Name], INDIRECT("C"&amp;ROW()),
  unit_details[Beds], INDIRECT("D"&amp;ROW()),
  unit_details[Detected Unit Amenities], "*"&amp;$AB$3&amp;"*",
  unit_details[Leased Date], "&gt;=" &amp; ($X$2 - $AD$3)
),0)</f>
        <v>0</v>
      </c>
      <c r="AB121" s="734" cm="1">
        <f t="array" aca="true" ref="AB1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1" s="733" cm="1">
        <f t="array" aca="true" ref="AC121" ca="true">IFERROR(COUNTIFS(
  unit_details[Property Name], INDIRECT("B"&amp;ROW()),
  unit_details[Floorplan Name], INDIRECT("C"&amp;ROW()),
  unit_details[Beds], INDIRECT("D"&amp;ROW()),
  unit_details[Detected Unit Amenities], "*"&amp;$AB$3&amp;"*",
  unit_details[Leased Date], "&gt;=" &amp; ($X$2 - $AD$3)
),0)</f>
        <v>0</v>
      </c>
      <c r="AD121" s="735" cm="1">
        <f t="array" aca="true" ref="AD121" ca="true">IFERROR(AVERAGEIFS(
  unit_details[Sqft],
  unit_details[Property Name], INDIRECT("B"&amp;ROW()),
  unit_details[Floorplan Name], INDIRECT("C"&amp;ROW()),
  unit_details[Beds], INDIRECT("D"&amp;ROW()),
  unit_details[Detected Unit Amenities], "&lt;&gt;*"&amp;$AB$3&amp;"*",
  unit_details[Leased Date], "&gt;=" &amp; ($X$2 - $AD$3)
),0)</f>
        <v>0</v>
      </c>
      <c r="AE121" s="734" cm="1">
        <f t="array" aca="true" ref="AE1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1" s="733" cm="1">
        <f t="array" aca="true" ref="AF121" ca="true">IFERROR(COUNTIFS(
  unit_details[Property Name], INDIRECT("B"&amp;ROW()),
  unit_details[Floorplan Name], INDIRECT("C"&amp;ROW()),
  unit_details[Beds], INDIRECT("D"&amp;ROW()),
  unit_details[Detected Unit Amenities], "&lt;&gt;*"&amp;$AB$3&amp;"*",
  unit_details[Leased Date], "&gt;=" &amp; ($X$2 - $AD$3)
),0)</f>
        <v>0</v>
      </c>
      <c r="AG121" s="735"/>
      <c r="AH121" s="738">
        <f t="shared" ca="true" si="4"/>
        <v>0</v>
      </c>
      <c r="AI121" s="739">
        <f t="shared" ca="true" si="5"/>
        <v>0</v>
      </c>
    </row>
    <row r="122" spans="2:35">
      <c r="B122" s="1"/>
      <c r="C122" s="80"/>
      <c r="E122" s="303"/>
      <c r="F122" s="303"/>
      <c r="J122" s="345"/>
      <c r="K122" s="6"/>
      <c r="M122" s="6"/>
      <c r="N122" s="738" t="str" cm="1">
        <f t="array" aca="true" ref="N122" ca="true">IFERROR(IF($O$3="Chunk Rent",
AVERAGEIFS('Unit-Level Data'!$O:$O,'Unit-Level Data'!$M:$M,TRUE,
          'Unit-Level Data'!$D:$D, INDIRECT("C"&amp;ROW()),
          'Unit-Level Data'!$B:$B, INDIRECT("B"&amp;ROW())),
AVERAGEIFS('Unit-Level Data'!$P:$P,'Unit-Level Data'!$M:$M,TRUE,
          'Unit-Level Data'!$D:$D, INDIRECT("C"&amp;ROW()),
          'Unit-Level Data'!$B:$B, INDIRECT("B"&amp;ROW()))),"")</f>
      </c>
      <c r="O122" s="760" t="str" cm="1">
        <f t="array" aca="true" ref="O122" ca="true">IFERROR(IF($O$3="Chunk Rent",
AVERAGEIFS('Unit-Level Data'!$Q:$Q,'Unit-Level Data'!$M:$M,TRUE,
          'Unit-Level Data'!$D:$D, INDIRECT("C"&amp;ROW()),
          'Unit-Level Data'!$B:$B, INDIRECT("B"&amp;ROW())),
AVERAGEIFS('Unit-Level Data'!$R:$R,'Unit-Level Data'!$M:$M,TRUE,
          'Unit-Level Data'!$D:$D, INDIRECT("C"&amp;ROW()),
          'Unit-Level Data'!$B:$B, INDIRECT("B"&amp;ROW()))),"")</f>
      </c>
      <c r="P122" s="733" cm="1">
        <f t="array" aca="true" ref="P122" ca="true">COUNTIFS('Unit-Level Data'!$M:$M,TRUE,
          'Unit-Level Data'!$D:$D, INDIRECT("C"&amp;ROW()),
          'Unit-Level Data'!$B:$B, INDIRECT("B"&amp;ROW()))</f>
        <v>0</v>
      </c>
      <c r="Q122" s="738" t="str" cm="1">
        <f t="array" aca="true" ref="Q1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2" s="760" t="str" cm="1">
        <f t="array" aca="true" ref="R1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2" s="733" cm="1">
        <f t="array" aca="true" ref="S122" ca="true">COUNTIFS('Unit-Level Data'!$L:$L, "&gt;=" &amp; ($X$2 - Q$5),
          'Unit-Level Data'!$L:$L, "&lt;" &amp; $X$2,
          'Unit-Level Data'!$D:$D, INDIRECT("C"&amp;ROW()),
          'Unit-Level Data'!$B:$B, INDIRECT("B"&amp;ROW()))</f>
        <v>0</v>
      </c>
      <c r="T122" s="738" t="str" cm="1">
        <f t="array" aca="true" ref="T1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2" s="760" t="str" cm="1">
        <f t="array" aca="true" ref="U1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2" s="733" cm="1">
        <f t="array" aca="true" ref="V122" ca="true">COUNTIFS('Unit-Level Data'!$L:$L, "&gt;=" &amp; ($X$2 - T$5),
          'Unit-Level Data'!$L:$L, "&lt;" &amp; $X$2,
          'Unit-Level Data'!$D:$D, INDIRECT("C"&amp;ROW()),
          'Unit-Level Data'!$B:$B, INDIRECT("B"&amp;ROW()))</f>
        <v>0</v>
      </c>
      <c r="W122" s="738" t="str" cm="1">
        <f t="array" aca="true" ref="W1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2" s="760" t="str" cm="1">
        <f t="array" aca="true" ref="X1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2" s="733" cm="1">
        <f t="array" aca="true" ref="Y122" ca="true">COUNTIFS('Unit-Level Data'!$L:$L, "&gt;=" &amp; ($X$2 - W$5),
          'Unit-Level Data'!$L:$L, "&lt;" &amp; $X$2,
          'Unit-Level Data'!$D:$D, INDIRECT("C"&amp;ROW()),
          'Unit-Level Data'!$B:$B, INDIRECT("B"&amp;ROW()))</f>
        <v>0</v>
      </c>
      <c r="Z122" s="761"/>
      <c r="AA122" s="735" cm="1">
        <f t="array" aca="true" ref="AA122" ca="true">IFERROR(AVERAGEIFS(
  unit_details[Sqft],
  unit_details[Property Name], INDIRECT("B"&amp;ROW()),
  unit_details[Floorplan Name], INDIRECT("C"&amp;ROW()),
  unit_details[Beds], INDIRECT("D"&amp;ROW()),
  unit_details[Detected Unit Amenities], "*"&amp;$AB$3&amp;"*",
  unit_details[Leased Date], "&gt;=" &amp; ($X$2 - $AD$3)
),0)</f>
        <v>0</v>
      </c>
      <c r="AB122" s="734" cm="1">
        <f t="array" aca="true" ref="AB1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2" s="733" cm="1">
        <f t="array" aca="true" ref="AC122" ca="true">IFERROR(COUNTIFS(
  unit_details[Property Name], INDIRECT("B"&amp;ROW()),
  unit_details[Floorplan Name], INDIRECT("C"&amp;ROW()),
  unit_details[Beds], INDIRECT("D"&amp;ROW()),
  unit_details[Detected Unit Amenities], "*"&amp;$AB$3&amp;"*",
  unit_details[Leased Date], "&gt;=" &amp; ($X$2 - $AD$3)
),0)</f>
        <v>0</v>
      </c>
      <c r="AD122" s="735" cm="1">
        <f t="array" aca="true" ref="AD122" ca="true">IFERROR(AVERAGEIFS(
  unit_details[Sqft],
  unit_details[Property Name], INDIRECT("B"&amp;ROW()),
  unit_details[Floorplan Name], INDIRECT("C"&amp;ROW()),
  unit_details[Beds], INDIRECT("D"&amp;ROW()),
  unit_details[Detected Unit Amenities], "&lt;&gt;*"&amp;$AB$3&amp;"*",
  unit_details[Leased Date], "&gt;=" &amp; ($X$2 - $AD$3)
),0)</f>
        <v>0</v>
      </c>
      <c r="AE122" s="734" cm="1">
        <f t="array" aca="true" ref="AE1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2" s="733" cm="1">
        <f t="array" aca="true" ref="AF122" ca="true">IFERROR(COUNTIFS(
  unit_details[Property Name], INDIRECT("B"&amp;ROW()),
  unit_details[Floorplan Name], INDIRECT("C"&amp;ROW()),
  unit_details[Beds], INDIRECT("D"&amp;ROW()),
  unit_details[Detected Unit Amenities], "&lt;&gt;*"&amp;$AB$3&amp;"*",
  unit_details[Leased Date], "&gt;=" &amp; ($X$2 - $AD$3)
),0)</f>
        <v>0</v>
      </c>
      <c r="AG122" s="735"/>
      <c r="AH122" s="738">
        <f t="shared" ca="true" si="4"/>
        <v>0</v>
      </c>
      <c r="AI122" s="739">
        <f t="shared" ca="true" si="5"/>
        <v>0</v>
      </c>
    </row>
    <row r="123" spans="2:35">
      <c r="B123" s="1"/>
      <c r="C123" s="80"/>
      <c r="E123" s="303"/>
      <c r="F123" s="303"/>
      <c r="J123" s="345"/>
      <c r="K123" s="6"/>
      <c r="M123" s="6"/>
      <c r="N123" s="738" t="str" cm="1">
        <f t="array" aca="true" ref="N123" ca="true">IFERROR(IF($O$3="Chunk Rent",
AVERAGEIFS('Unit-Level Data'!$O:$O,'Unit-Level Data'!$M:$M,TRUE,
          'Unit-Level Data'!$D:$D, INDIRECT("C"&amp;ROW()),
          'Unit-Level Data'!$B:$B, INDIRECT("B"&amp;ROW())),
AVERAGEIFS('Unit-Level Data'!$P:$P,'Unit-Level Data'!$M:$M,TRUE,
          'Unit-Level Data'!$D:$D, INDIRECT("C"&amp;ROW()),
          'Unit-Level Data'!$B:$B, INDIRECT("B"&amp;ROW()))),"")</f>
      </c>
      <c r="O123" s="760" t="str" cm="1">
        <f t="array" aca="true" ref="O123" ca="true">IFERROR(IF($O$3="Chunk Rent",
AVERAGEIFS('Unit-Level Data'!$Q:$Q,'Unit-Level Data'!$M:$M,TRUE,
          'Unit-Level Data'!$D:$D, INDIRECT("C"&amp;ROW()),
          'Unit-Level Data'!$B:$B, INDIRECT("B"&amp;ROW())),
AVERAGEIFS('Unit-Level Data'!$R:$R,'Unit-Level Data'!$M:$M,TRUE,
          'Unit-Level Data'!$D:$D, INDIRECT("C"&amp;ROW()),
          'Unit-Level Data'!$B:$B, INDIRECT("B"&amp;ROW()))),"")</f>
      </c>
      <c r="P123" s="733" cm="1">
        <f t="array" aca="true" ref="P123" ca="true">COUNTIFS('Unit-Level Data'!$M:$M,TRUE,
          'Unit-Level Data'!$D:$D, INDIRECT("C"&amp;ROW()),
          'Unit-Level Data'!$B:$B, INDIRECT("B"&amp;ROW()))</f>
        <v>0</v>
      </c>
      <c r="Q123" s="738" t="str" cm="1">
        <f t="array" aca="true" ref="Q1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3" s="760" t="str" cm="1">
        <f t="array" aca="true" ref="R1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3" s="733" cm="1">
        <f t="array" aca="true" ref="S123" ca="true">COUNTIFS('Unit-Level Data'!$L:$L, "&gt;=" &amp; ($X$2 - Q$5),
          'Unit-Level Data'!$L:$L, "&lt;" &amp; $X$2,
          'Unit-Level Data'!$D:$D, INDIRECT("C"&amp;ROW()),
          'Unit-Level Data'!$B:$B, INDIRECT("B"&amp;ROW()))</f>
        <v>0</v>
      </c>
      <c r="T123" s="738" t="str" cm="1">
        <f t="array" aca="true" ref="T1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3" s="760" t="str" cm="1">
        <f t="array" aca="true" ref="U1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3" s="733" cm="1">
        <f t="array" aca="true" ref="V123" ca="true">COUNTIFS('Unit-Level Data'!$L:$L, "&gt;=" &amp; ($X$2 - T$5),
          'Unit-Level Data'!$L:$L, "&lt;" &amp; $X$2,
          'Unit-Level Data'!$D:$D, INDIRECT("C"&amp;ROW()),
          'Unit-Level Data'!$B:$B, INDIRECT("B"&amp;ROW()))</f>
        <v>0</v>
      </c>
      <c r="W123" s="738" t="str" cm="1">
        <f t="array" aca="true" ref="W1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3" s="760" t="str" cm="1">
        <f t="array" aca="true" ref="X1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3" s="733" cm="1">
        <f t="array" aca="true" ref="Y123" ca="true">COUNTIFS('Unit-Level Data'!$L:$L, "&gt;=" &amp; ($X$2 - W$5),
          'Unit-Level Data'!$L:$L, "&lt;" &amp; $X$2,
          'Unit-Level Data'!$D:$D, INDIRECT("C"&amp;ROW()),
          'Unit-Level Data'!$B:$B, INDIRECT("B"&amp;ROW()))</f>
        <v>0</v>
      </c>
      <c r="Z123" s="761"/>
      <c r="AA123" s="735" cm="1">
        <f t="array" aca="true" ref="AA123" ca="true">IFERROR(AVERAGEIFS(
  unit_details[Sqft],
  unit_details[Property Name], INDIRECT("B"&amp;ROW()),
  unit_details[Floorplan Name], INDIRECT("C"&amp;ROW()),
  unit_details[Beds], INDIRECT("D"&amp;ROW()),
  unit_details[Detected Unit Amenities], "*"&amp;$AB$3&amp;"*",
  unit_details[Leased Date], "&gt;=" &amp; ($X$2 - $AD$3)
),0)</f>
        <v>0</v>
      </c>
      <c r="AB123" s="734" cm="1">
        <f t="array" aca="true" ref="AB1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3" s="733" cm="1">
        <f t="array" aca="true" ref="AC123" ca="true">IFERROR(COUNTIFS(
  unit_details[Property Name], INDIRECT("B"&amp;ROW()),
  unit_details[Floorplan Name], INDIRECT("C"&amp;ROW()),
  unit_details[Beds], INDIRECT("D"&amp;ROW()),
  unit_details[Detected Unit Amenities], "*"&amp;$AB$3&amp;"*",
  unit_details[Leased Date], "&gt;=" &amp; ($X$2 - $AD$3)
),0)</f>
        <v>0</v>
      </c>
      <c r="AD123" s="735" cm="1">
        <f t="array" aca="true" ref="AD123" ca="true">IFERROR(AVERAGEIFS(
  unit_details[Sqft],
  unit_details[Property Name], INDIRECT("B"&amp;ROW()),
  unit_details[Floorplan Name], INDIRECT("C"&amp;ROW()),
  unit_details[Beds], INDIRECT("D"&amp;ROW()),
  unit_details[Detected Unit Amenities], "&lt;&gt;*"&amp;$AB$3&amp;"*",
  unit_details[Leased Date], "&gt;=" &amp; ($X$2 - $AD$3)
),0)</f>
        <v>0</v>
      </c>
      <c r="AE123" s="734" cm="1">
        <f t="array" aca="true" ref="AE1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3" s="733" cm="1">
        <f t="array" aca="true" ref="AF123" ca="true">IFERROR(COUNTIFS(
  unit_details[Property Name], INDIRECT("B"&amp;ROW()),
  unit_details[Floorplan Name], INDIRECT("C"&amp;ROW()),
  unit_details[Beds], INDIRECT("D"&amp;ROW()),
  unit_details[Detected Unit Amenities], "&lt;&gt;*"&amp;$AB$3&amp;"*",
  unit_details[Leased Date], "&gt;=" &amp; ($X$2 - $AD$3)
),0)</f>
        <v>0</v>
      </c>
      <c r="AG123" s="735"/>
      <c r="AH123" s="738">
        <f t="shared" ca="true" si="4"/>
        <v>0</v>
      </c>
      <c r="AI123" s="739">
        <f t="shared" ca="true" si="5"/>
        <v>0</v>
      </c>
    </row>
    <row r="124" spans="2:35">
      <c r="B124" s="1"/>
      <c r="C124" s="80"/>
      <c r="E124" s="303"/>
      <c r="F124" s="303"/>
      <c r="J124" s="345"/>
      <c r="K124" s="6"/>
      <c r="M124" s="6"/>
      <c r="N124" s="738" t="str" cm="1">
        <f t="array" aca="true" ref="N124" ca="true">IFERROR(IF($O$3="Chunk Rent",
AVERAGEIFS('Unit-Level Data'!$O:$O,'Unit-Level Data'!$M:$M,TRUE,
          'Unit-Level Data'!$D:$D, INDIRECT("C"&amp;ROW()),
          'Unit-Level Data'!$B:$B, INDIRECT("B"&amp;ROW())),
AVERAGEIFS('Unit-Level Data'!$P:$P,'Unit-Level Data'!$M:$M,TRUE,
          'Unit-Level Data'!$D:$D, INDIRECT("C"&amp;ROW()),
          'Unit-Level Data'!$B:$B, INDIRECT("B"&amp;ROW()))),"")</f>
      </c>
      <c r="O124" s="760" t="str" cm="1">
        <f t="array" aca="true" ref="O124" ca="true">IFERROR(IF($O$3="Chunk Rent",
AVERAGEIFS('Unit-Level Data'!$Q:$Q,'Unit-Level Data'!$M:$M,TRUE,
          'Unit-Level Data'!$D:$D, INDIRECT("C"&amp;ROW()),
          'Unit-Level Data'!$B:$B, INDIRECT("B"&amp;ROW())),
AVERAGEIFS('Unit-Level Data'!$R:$R,'Unit-Level Data'!$M:$M,TRUE,
          'Unit-Level Data'!$D:$D, INDIRECT("C"&amp;ROW()),
          'Unit-Level Data'!$B:$B, INDIRECT("B"&amp;ROW()))),"")</f>
      </c>
      <c r="P124" s="733" cm="1">
        <f t="array" aca="true" ref="P124" ca="true">COUNTIFS('Unit-Level Data'!$M:$M,TRUE,
          'Unit-Level Data'!$D:$D, INDIRECT("C"&amp;ROW()),
          'Unit-Level Data'!$B:$B, INDIRECT("B"&amp;ROW()))</f>
        <v>0</v>
      </c>
      <c r="Q124" s="738" t="str" cm="1">
        <f t="array" aca="true" ref="Q1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4" s="760" t="str" cm="1">
        <f t="array" aca="true" ref="R1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4" s="733" cm="1">
        <f t="array" aca="true" ref="S124" ca="true">COUNTIFS('Unit-Level Data'!$L:$L, "&gt;=" &amp; ($X$2 - Q$5),
          'Unit-Level Data'!$L:$L, "&lt;" &amp; $X$2,
          'Unit-Level Data'!$D:$D, INDIRECT("C"&amp;ROW()),
          'Unit-Level Data'!$B:$B, INDIRECT("B"&amp;ROW()))</f>
        <v>0</v>
      </c>
      <c r="T124" s="738" t="str" cm="1">
        <f t="array" aca="true" ref="T1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4" s="760" t="str" cm="1">
        <f t="array" aca="true" ref="U1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4" s="733" cm="1">
        <f t="array" aca="true" ref="V124" ca="true">COUNTIFS('Unit-Level Data'!$L:$L, "&gt;=" &amp; ($X$2 - T$5),
          'Unit-Level Data'!$L:$L, "&lt;" &amp; $X$2,
          'Unit-Level Data'!$D:$D, INDIRECT("C"&amp;ROW()),
          'Unit-Level Data'!$B:$B, INDIRECT("B"&amp;ROW()))</f>
        <v>0</v>
      </c>
      <c r="W124" s="738" t="str" cm="1">
        <f t="array" aca="true" ref="W1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4" s="760" t="str" cm="1">
        <f t="array" aca="true" ref="X1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4" s="733" cm="1">
        <f t="array" aca="true" ref="Y124" ca="true">COUNTIFS('Unit-Level Data'!$L:$L, "&gt;=" &amp; ($X$2 - W$5),
          'Unit-Level Data'!$L:$L, "&lt;" &amp; $X$2,
          'Unit-Level Data'!$D:$D, INDIRECT("C"&amp;ROW()),
          'Unit-Level Data'!$B:$B, INDIRECT("B"&amp;ROW()))</f>
        <v>0</v>
      </c>
      <c r="Z124" s="761"/>
      <c r="AA124" s="735" cm="1">
        <f t="array" aca="true" ref="AA124" ca="true">IFERROR(AVERAGEIFS(
  unit_details[Sqft],
  unit_details[Property Name], INDIRECT("B"&amp;ROW()),
  unit_details[Floorplan Name], INDIRECT("C"&amp;ROW()),
  unit_details[Beds], INDIRECT("D"&amp;ROW()),
  unit_details[Detected Unit Amenities], "*"&amp;$AB$3&amp;"*",
  unit_details[Leased Date], "&gt;=" &amp; ($X$2 - $AD$3)
),0)</f>
        <v>0</v>
      </c>
      <c r="AB124" s="734" cm="1">
        <f t="array" aca="true" ref="AB1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4" s="733" cm="1">
        <f t="array" aca="true" ref="AC124" ca="true">IFERROR(COUNTIFS(
  unit_details[Property Name], INDIRECT("B"&amp;ROW()),
  unit_details[Floorplan Name], INDIRECT("C"&amp;ROW()),
  unit_details[Beds], INDIRECT("D"&amp;ROW()),
  unit_details[Detected Unit Amenities], "*"&amp;$AB$3&amp;"*",
  unit_details[Leased Date], "&gt;=" &amp; ($X$2 - $AD$3)
),0)</f>
        <v>0</v>
      </c>
      <c r="AD124" s="735" cm="1">
        <f t="array" aca="true" ref="AD124" ca="true">IFERROR(AVERAGEIFS(
  unit_details[Sqft],
  unit_details[Property Name], INDIRECT("B"&amp;ROW()),
  unit_details[Floorplan Name], INDIRECT("C"&amp;ROW()),
  unit_details[Beds], INDIRECT("D"&amp;ROW()),
  unit_details[Detected Unit Amenities], "&lt;&gt;*"&amp;$AB$3&amp;"*",
  unit_details[Leased Date], "&gt;=" &amp; ($X$2 - $AD$3)
),0)</f>
        <v>0</v>
      </c>
      <c r="AE124" s="734" cm="1">
        <f t="array" aca="true" ref="AE1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4" s="733" cm="1">
        <f t="array" aca="true" ref="AF124" ca="true">IFERROR(COUNTIFS(
  unit_details[Property Name], INDIRECT("B"&amp;ROW()),
  unit_details[Floorplan Name], INDIRECT("C"&amp;ROW()),
  unit_details[Beds], INDIRECT("D"&amp;ROW()),
  unit_details[Detected Unit Amenities], "&lt;&gt;*"&amp;$AB$3&amp;"*",
  unit_details[Leased Date], "&gt;=" &amp; ($X$2 - $AD$3)
),0)</f>
        <v>0</v>
      </c>
      <c r="AG124" s="735"/>
      <c r="AH124" s="738">
        <f t="shared" ca="true" si="4"/>
        <v>0</v>
      </c>
      <c r="AI124" s="739">
        <f t="shared" ca="true" si="5"/>
        <v>0</v>
      </c>
    </row>
    <row r="125" spans="2:35">
      <c r="B125" s="1"/>
      <c r="C125" s="80"/>
      <c r="E125" s="303"/>
      <c r="F125" s="303"/>
      <c r="J125" s="345"/>
      <c r="K125" s="6"/>
      <c r="M125" s="6"/>
      <c r="N125" s="738" t="str" cm="1">
        <f t="array" aca="true" ref="N125" ca="true">IFERROR(IF($O$3="Chunk Rent",
AVERAGEIFS('Unit-Level Data'!$O:$O,'Unit-Level Data'!$M:$M,TRUE,
          'Unit-Level Data'!$D:$D, INDIRECT("C"&amp;ROW()),
          'Unit-Level Data'!$B:$B, INDIRECT("B"&amp;ROW())),
AVERAGEIFS('Unit-Level Data'!$P:$P,'Unit-Level Data'!$M:$M,TRUE,
          'Unit-Level Data'!$D:$D, INDIRECT("C"&amp;ROW()),
          'Unit-Level Data'!$B:$B, INDIRECT("B"&amp;ROW()))),"")</f>
      </c>
      <c r="O125" s="760" t="str" cm="1">
        <f t="array" aca="true" ref="O125" ca="true">IFERROR(IF($O$3="Chunk Rent",
AVERAGEIFS('Unit-Level Data'!$Q:$Q,'Unit-Level Data'!$M:$M,TRUE,
          'Unit-Level Data'!$D:$D, INDIRECT("C"&amp;ROW()),
          'Unit-Level Data'!$B:$B, INDIRECT("B"&amp;ROW())),
AVERAGEIFS('Unit-Level Data'!$R:$R,'Unit-Level Data'!$M:$M,TRUE,
          'Unit-Level Data'!$D:$D, INDIRECT("C"&amp;ROW()),
          'Unit-Level Data'!$B:$B, INDIRECT("B"&amp;ROW()))),"")</f>
      </c>
      <c r="P125" s="733" cm="1">
        <f t="array" aca="true" ref="P125" ca="true">COUNTIFS('Unit-Level Data'!$M:$M,TRUE,
          'Unit-Level Data'!$D:$D, INDIRECT("C"&amp;ROW()),
          'Unit-Level Data'!$B:$B, INDIRECT("B"&amp;ROW()))</f>
        <v>0</v>
      </c>
      <c r="Q125" s="738" t="str" cm="1">
        <f t="array" aca="true" ref="Q1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5" s="760" t="str" cm="1">
        <f t="array" aca="true" ref="R1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5" s="733" cm="1">
        <f t="array" aca="true" ref="S125" ca="true">COUNTIFS('Unit-Level Data'!$L:$L, "&gt;=" &amp; ($X$2 - Q$5),
          'Unit-Level Data'!$L:$L, "&lt;" &amp; $X$2,
          'Unit-Level Data'!$D:$D, INDIRECT("C"&amp;ROW()),
          'Unit-Level Data'!$B:$B, INDIRECT("B"&amp;ROW()))</f>
        <v>0</v>
      </c>
      <c r="T125" s="738" t="str" cm="1">
        <f t="array" aca="true" ref="T1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5" s="760" t="str" cm="1">
        <f t="array" aca="true" ref="U1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5" s="733" cm="1">
        <f t="array" aca="true" ref="V125" ca="true">COUNTIFS('Unit-Level Data'!$L:$L, "&gt;=" &amp; ($X$2 - T$5),
          'Unit-Level Data'!$L:$L, "&lt;" &amp; $X$2,
          'Unit-Level Data'!$D:$D, INDIRECT("C"&amp;ROW()),
          'Unit-Level Data'!$B:$B, INDIRECT("B"&amp;ROW()))</f>
        <v>0</v>
      </c>
      <c r="W125" s="738" t="str" cm="1">
        <f t="array" aca="true" ref="W1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5" s="760" t="str" cm="1">
        <f t="array" aca="true" ref="X1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5" s="733" cm="1">
        <f t="array" aca="true" ref="Y125" ca="true">COUNTIFS('Unit-Level Data'!$L:$L, "&gt;=" &amp; ($X$2 - W$5),
          'Unit-Level Data'!$L:$L, "&lt;" &amp; $X$2,
          'Unit-Level Data'!$D:$D, INDIRECT("C"&amp;ROW()),
          'Unit-Level Data'!$B:$B, INDIRECT("B"&amp;ROW()))</f>
        <v>0</v>
      </c>
      <c r="Z125" s="761"/>
      <c r="AA125" s="735" cm="1">
        <f t="array" aca="true" ref="AA125" ca="true">IFERROR(AVERAGEIFS(
  unit_details[Sqft],
  unit_details[Property Name], INDIRECT("B"&amp;ROW()),
  unit_details[Floorplan Name], INDIRECT("C"&amp;ROW()),
  unit_details[Beds], INDIRECT("D"&amp;ROW()),
  unit_details[Detected Unit Amenities], "*"&amp;$AB$3&amp;"*",
  unit_details[Leased Date], "&gt;=" &amp; ($X$2 - $AD$3)
),0)</f>
        <v>0</v>
      </c>
      <c r="AB125" s="734" cm="1">
        <f t="array" aca="true" ref="AB1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5" s="733" cm="1">
        <f t="array" aca="true" ref="AC125" ca="true">IFERROR(COUNTIFS(
  unit_details[Property Name], INDIRECT("B"&amp;ROW()),
  unit_details[Floorplan Name], INDIRECT("C"&amp;ROW()),
  unit_details[Beds], INDIRECT("D"&amp;ROW()),
  unit_details[Detected Unit Amenities], "*"&amp;$AB$3&amp;"*",
  unit_details[Leased Date], "&gt;=" &amp; ($X$2 - $AD$3)
),0)</f>
        <v>0</v>
      </c>
      <c r="AD125" s="735" cm="1">
        <f t="array" aca="true" ref="AD125" ca="true">IFERROR(AVERAGEIFS(
  unit_details[Sqft],
  unit_details[Property Name], INDIRECT("B"&amp;ROW()),
  unit_details[Floorplan Name], INDIRECT("C"&amp;ROW()),
  unit_details[Beds], INDIRECT("D"&amp;ROW()),
  unit_details[Detected Unit Amenities], "&lt;&gt;*"&amp;$AB$3&amp;"*",
  unit_details[Leased Date], "&gt;=" &amp; ($X$2 - $AD$3)
),0)</f>
        <v>0</v>
      </c>
      <c r="AE125" s="734" cm="1">
        <f t="array" aca="true" ref="AE1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5" s="733" cm="1">
        <f t="array" aca="true" ref="AF125" ca="true">IFERROR(COUNTIFS(
  unit_details[Property Name], INDIRECT("B"&amp;ROW()),
  unit_details[Floorplan Name], INDIRECT("C"&amp;ROW()),
  unit_details[Beds], INDIRECT("D"&amp;ROW()),
  unit_details[Detected Unit Amenities], "&lt;&gt;*"&amp;$AB$3&amp;"*",
  unit_details[Leased Date], "&gt;=" &amp; ($X$2 - $AD$3)
),0)</f>
        <v>0</v>
      </c>
      <c r="AG125" s="735"/>
      <c r="AH125" s="738">
        <f t="shared" ca="true" si="4"/>
        <v>0</v>
      </c>
      <c r="AI125" s="739">
        <f t="shared" ca="true" si="5"/>
        <v>0</v>
      </c>
    </row>
    <row r="126" spans="2:35">
      <c r="B126" s="1"/>
      <c r="C126" s="80"/>
      <c r="E126" s="303"/>
      <c r="F126" s="303"/>
      <c r="J126" s="345"/>
      <c r="K126" s="6"/>
      <c r="M126" s="6"/>
      <c r="N126" s="738" t="str" cm="1">
        <f t="array" aca="true" ref="N126" ca="true">IFERROR(IF($O$3="Chunk Rent",
AVERAGEIFS('Unit-Level Data'!$O:$O,'Unit-Level Data'!$M:$M,TRUE,
          'Unit-Level Data'!$D:$D, INDIRECT("C"&amp;ROW()),
          'Unit-Level Data'!$B:$B, INDIRECT("B"&amp;ROW())),
AVERAGEIFS('Unit-Level Data'!$P:$P,'Unit-Level Data'!$M:$M,TRUE,
          'Unit-Level Data'!$D:$D, INDIRECT("C"&amp;ROW()),
          'Unit-Level Data'!$B:$B, INDIRECT("B"&amp;ROW()))),"")</f>
      </c>
      <c r="O126" s="760" t="str" cm="1">
        <f t="array" aca="true" ref="O126" ca="true">IFERROR(IF($O$3="Chunk Rent",
AVERAGEIFS('Unit-Level Data'!$Q:$Q,'Unit-Level Data'!$M:$M,TRUE,
          'Unit-Level Data'!$D:$D, INDIRECT("C"&amp;ROW()),
          'Unit-Level Data'!$B:$B, INDIRECT("B"&amp;ROW())),
AVERAGEIFS('Unit-Level Data'!$R:$R,'Unit-Level Data'!$M:$M,TRUE,
          'Unit-Level Data'!$D:$D, INDIRECT("C"&amp;ROW()),
          'Unit-Level Data'!$B:$B, INDIRECT("B"&amp;ROW()))),"")</f>
      </c>
      <c r="P126" s="733" cm="1">
        <f t="array" aca="true" ref="P126" ca="true">COUNTIFS('Unit-Level Data'!$M:$M,TRUE,
          'Unit-Level Data'!$D:$D, INDIRECT("C"&amp;ROW()),
          'Unit-Level Data'!$B:$B, INDIRECT("B"&amp;ROW()))</f>
        <v>0</v>
      </c>
      <c r="Q126" s="738" t="str" cm="1">
        <f t="array" aca="true" ref="Q1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6" s="760" t="str" cm="1">
        <f t="array" aca="true" ref="R1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6" s="733" cm="1">
        <f t="array" aca="true" ref="S126" ca="true">COUNTIFS('Unit-Level Data'!$L:$L, "&gt;=" &amp; ($X$2 - Q$5),
          'Unit-Level Data'!$L:$L, "&lt;" &amp; $X$2,
          'Unit-Level Data'!$D:$D, INDIRECT("C"&amp;ROW()),
          'Unit-Level Data'!$B:$B, INDIRECT("B"&amp;ROW()))</f>
        <v>0</v>
      </c>
      <c r="T126" s="738" t="str" cm="1">
        <f t="array" aca="true" ref="T1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6" s="760" t="str" cm="1">
        <f t="array" aca="true" ref="U1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6" s="733" cm="1">
        <f t="array" aca="true" ref="V126" ca="true">COUNTIFS('Unit-Level Data'!$L:$L, "&gt;=" &amp; ($X$2 - T$5),
          'Unit-Level Data'!$L:$L, "&lt;" &amp; $X$2,
          'Unit-Level Data'!$D:$D, INDIRECT("C"&amp;ROW()),
          'Unit-Level Data'!$B:$B, INDIRECT("B"&amp;ROW()))</f>
        <v>0</v>
      </c>
      <c r="W126" s="738" t="str" cm="1">
        <f t="array" aca="true" ref="W1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6" s="760" t="str" cm="1">
        <f t="array" aca="true" ref="X1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6" s="733" cm="1">
        <f t="array" aca="true" ref="Y126" ca="true">COUNTIFS('Unit-Level Data'!$L:$L, "&gt;=" &amp; ($X$2 - W$5),
          'Unit-Level Data'!$L:$L, "&lt;" &amp; $X$2,
          'Unit-Level Data'!$D:$D, INDIRECT("C"&amp;ROW()),
          'Unit-Level Data'!$B:$B, INDIRECT("B"&amp;ROW()))</f>
        <v>0</v>
      </c>
      <c r="Z126" s="761"/>
      <c r="AA126" s="735" cm="1">
        <f t="array" aca="true" ref="AA126" ca="true">IFERROR(AVERAGEIFS(
  unit_details[Sqft],
  unit_details[Property Name], INDIRECT("B"&amp;ROW()),
  unit_details[Floorplan Name], INDIRECT("C"&amp;ROW()),
  unit_details[Beds], INDIRECT("D"&amp;ROW()),
  unit_details[Detected Unit Amenities], "*"&amp;$AB$3&amp;"*",
  unit_details[Leased Date], "&gt;=" &amp; ($X$2 - $AD$3)
),0)</f>
        <v>0</v>
      </c>
      <c r="AB126" s="734" cm="1">
        <f t="array" aca="true" ref="AB1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6" s="733" cm="1">
        <f t="array" aca="true" ref="AC126" ca="true">IFERROR(COUNTIFS(
  unit_details[Property Name], INDIRECT("B"&amp;ROW()),
  unit_details[Floorplan Name], INDIRECT("C"&amp;ROW()),
  unit_details[Beds], INDIRECT("D"&amp;ROW()),
  unit_details[Detected Unit Amenities], "*"&amp;$AB$3&amp;"*",
  unit_details[Leased Date], "&gt;=" &amp; ($X$2 - $AD$3)
),0)</f>
        <v>0</v>
      </c>
      <c r="AD126" s="735" cm="1">
        <f t="array" aca="true" ref="AD126" ca="true">IFERROR(AVERAGEIFS(
  unit_details[Sqft],
  unit_details[Property Name], INDIRECT("B"&amp;ROW()),
  unit_details[Floorplan Name], INDIRECT("C"&amp;ROW()),
  unit_details[Beds], INDIRECT("D"&amp;ROW()),
  unit_details[Detected Unit Amenities], "&lt;&gt;*"&amp;$AB$3&amp;"*",
  unit_details[Leased Date], "&gt;=" &amp; ($X$2 - $AD$3)
),0)</f>
        <v>0</v>
      </c>
      <c r="AE126" s="734" cm="1">
        <f t="array" aca="true" ref="AE1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6" s="733" cm="1">
        <f t="array" aca="true" ref="AF126" ca="true">IFERROR(COUNTIFS(
  unit_details[Property Name], INDIRECT("B"&amp;ROW()),
  unit_details[Floorplan Name], INDIRECT("C"&amp;ROW()),
  unit_details[Beds], INDIRECT("D"&amp;ROW()),
  unit_details[Detected Unit Amenities], "&lt;&gt;*"&amp;$AB$3&amp;"*",
  unit_details[Leased Date], "&gt;=" &amp; ($X$2 - $AD$3)
),0)</f>
        <v>0</v>
      </c>
      <c r="AG126" s="735"/>
      <c r="AH126" s="738">
        <f t="shared" ca="true" si="4"/>
        <v>0</v>
      </c>
      <c r="AI126" s="739">
        <f t="shared" ca="true" si="5"/>
        <v>0</v>
      </c>
    </row>
    <row r="127" spans="2:35">
      <c r="B127" s="1"/>
      <c r="C127" s="80"/>
      <c r="E127" s="303"/>
      <c r="F127" s="303"/>
      <c r="J127" s="345"/>
      <c r="K127" s="6"/>
      <c r="M127" s="6"/>
      <c r="N127" s="738" t="str" cm="1">
        <f t="array" aca="true" ref="N127" ca="true">IFERROR(IF($O$3="Chunk Rent",
AVERAGEIFS('Unit-Level Data'!$O:$O,'Unit-Level Data'!$M:$M,TRUE,
          'Unit-Level Data'!$D:$D, INDIRECT("C"&amp;ROW()),
          'Unit-Level Data'!$B:$B, INDIRECT("B"&amp;ROW())),
AVERAGEIFS('Unit-Level Data'!$P:$P,'Unit-Level Data'!$M:$M,TRUE,
          'Unit-Level Data'!$D:$D, INDIRECT("C"&amp;ROW()),
          'Unit-Level Data'!$B:$B, INDIRECT("B"&amp;ROW()))),"")</f>
      </c>
      <c r="O127" s="760" t="str" cm="1">
        <f t="array" aca="true" ref="O127" ca="true">IFERROR(IF($O$3="Chunk Rent",
AVERAGEIFS('Unit-Level Data'!$Q:$Q,'Unit-Level Data'!$M:$M,TRUE,
          'Unit-Level Data'!$D:$D, INDIRECT("C"&amp;ROW()),
          'Unit-Level Data'!$B:$B, INDIRECT("B"&amp;ROW())),
AVERAGEIFS('Unit-Level Data'!$R:$R,'Unit-Level Data'!$M:$M,TRUE,
          'Unit-Level Data'!$D:$D, INDIRECT("C"&amp;ROW()),
          'Unit-Level Data'!$B:$B, INDIRECT("B"&amp;ROW()))),"")</f>
      </c>
      <c r="P127" s="733" cm="1">
        <f t="array" aca="true" ref="P127" ca="true">COUNTIFS('Unit-Level Data'!$M:$M,TRUE,
          'Unit-Level Data'!$D:$D, INDIRECT("C"&amp;ROW()),
          'Unit-Level Data'!$B:$B, INDIRECT("B"&amp;ROW()))</f>
        <v>0</v>
      </c>
      <c r="Q127" s="738" t="str" cm="1">
        <f t="array" aca="true" ref="Q1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7" s="760" t="str" cm="1">
        <f t="array" aca="true" ref="R1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7" s="733" cm="1">
        <f t="array" aca="true" ref="S127" ca="true">COUNTIFS('Unit-Level Data'!$L:$L, "&gt;=" &amp; ($X$2 - Q$5),
          'Unit-Level Data'!$L:$L, "&lt;" &amp; $X$2,
          'Unit-Level Data'!$D:$D, INDIRECT("C"&amp;ROW()),
          'Unit-Level Data'!$B:$B, INDIRECT("B"&amp;ROW()))</f>
        <v>0</v>
      </c>
      <c r="T127" s="738" t="str" cm="1">
        <f t="array" aca="true" ref="T1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7" s="760" t="str" cm="1">
        <f t="array" aca="true" ref="U1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7" s="733" cm="1">
        <f t="array" aca="true" ref="V127" ca="true">COUNTIFS('Unit-Level Data'!$L:$L, "&gt;=" &amp; ($X$2 - T$5),
          'Unit-Level Data'!$L:$L, "&lt;" &amp; $X$2,
          'Unit-Level Data'!$D:$D, INDIRECT("C"&amp;ROW()),
          'Unit-Level Data'!$B:$B, INDIRECT("B"&amp;ROW()))</f>
        <v>0</v>
      </c>
      <c r="W127" s="738" t="str" cm="1">
        <f t="array" aca="true" ref="W1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7" s="760" t="str" cm="1">
        <f t="array" aca="true" ref="X1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7" s="733" cm="1">
        <f t="array" aca="true" ref="Y127" ca="true">COUNTIFS('Unit-Level Data'!$L:$L, "&gt;=" &amp; ($X$2 - W$5),
          'Unit-Level Data'!$L:$L, "&lt;" &amp; $X$2,
          'Unit-Level Data'!$D:$D, INDIRECT("C"&amp;ROW()),
          'Unit-Level Data'!$B:$B, INDIRECT("B"&amp;ROW()))</f>
        <v>0</v>
      </c>
      <c r="Z127" s="761"/>
      <c r="AA127" s="735" cm="1">
        <f t="array" aca="true" ref="AA127" ca="true">IFERROR(AVERAGEIFS(
  unit_details[Sqft],
  unit_details[Property Name], INDIRECT("B"&amp;ROW()),
  unit_details[Floorplan Name], INDIRECT("C"&amp;ROW()),
  unit_details[Beds], INDIRECT("D"&amp;ROW()),
  unit_details[Detected Unit Amenities], "*"&amp;$AB$3&amp;"*",
  unit_details[Leased Date], "&gt;=" &amp; ($X$2 - $AD$3)
),0)</f>
        <v>0</v>
      </c>
      <c r="AB127" s="734" cm="1">
        <f t="array" aca="true" ref="AB1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7" s="733" cm="1">
        <f t="array" aca="true" ref="AC127" ca="true">IFERROR(COUNTIFS(
  unit_details[Property Name], INDIRECT("B"&amp;ROW()),
  unit_details[Floorplan Name], INDIRECT("C"&amp;ROW()),
  unit_details[Beds], INDIRECT("D"&amp;ROW()),
  unit_details[Detected Unit Amenities], "*"&amp;$AB$3&amp;"*",
  unit_details[Leased Date], "&gt;=" &amp; ($X$2 - $AD$3)
),0)</f>
        <v>0</v>
      </c>
      <c r="AD127" s="735" cm="1">
        <f t="array" aca="true" ref="AD127" ca="true">IFERROR(AVERAGEIFS(
  unit_details[Sqft],
  unit_details[Property Name], INDIRECT("B"&amp;ROW()),
  unit_details[Floorplan Name], INDIRECT("C"&amp;ROW()),
  unit_details[Beds], INDIRECT("D"&amp;ROW()),
  unit_details[Detected Unit Amenities], "&lt;&gt;*"&amp;$AB$3&amp;"*",
  unit_details[Leased Date], "&gt;=" &amp; ($X$2 - $AD$3)
),0)</f>
        <v>0</v>
      </c>
      <c r="AE127" s="734" cm="1">
        <f t="array" aca="true" ref="AE1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7" s="733" cm="1">
        <f t="array" aca="true" ref="AF127" ca="true">IFERROR(COUNTIFS(
  unit_details[Property Name], INDIRECT("B"&amp;ROW()),
  unit_details[Floorplan Name], INDIRECT("C"&amp;ROW()),
  unit_details[Beds], INDIRECT("D"&amp;ROW()),
  unit_details[Detected Unit Amenities], "&lt;&gt;*"&amp;$AB$3&amp;"*",
  unit_details[Leased Date], "&gt;=" &amp; ($X$2 - $AD$3)
),0)</f>
        <v>0</v>
      </c>
      <c r="AG127" s="735"/>
      <c r="AH127" s="738">
        <f t="shared" ca="true" si="4"/>
        <v>0</v>
      </c>
      <c r="AI127" s="739">
        <f t="shared" ca="true" si="5"/>
        <v>0</v>
      </c>
    </row>
    <row r="128" spans="2:35">
      <c r="B128" s="1"/>
      <c r="C128" s="80"/>
      <c r="E128" s="303"/>
      <c r="F128" s="303"/>
      <c r="J128" s="345"/>
      <c r="K128" s="6"/>
      <c r="M128" s="6"/>
      <c r="N128" s="738" t="str" cm="1">
        <f t="array" aca="true" ref="N128" ca="true">IFERROR(IF($O$3="Chunk Rent",
AVERAGEIFS('Unit-Level Data'!$O:$O,'Unit-Level Data'!$M:$M,TRUE,
          'Unit-Level Data'!$D:$D, INDIRECT("C"&amp;ROW()),
          'Unit-Level Data'!$B:$B, INDIRECT("B"&amp;ROW())),
AVERAGEIFS('Unit-Level Data'!$P:$P,'Unit-Level Data'!$M:$M,TRUE,
          'Unit-Level Data'!$D:$D, INDIRECT("C"&amp;ROW()),
          'Unit-Level Data'!$B:$B, INDIRECT("B"&amp;ROW()))),"")</f>
      </c>
      <c r="O128" s="760" t="str" cm="1">
        <f t="array" aca="true" ref="O128" ca="true">IFERROR(IF($O$3="Chunk Rent",
AVERAGEIFS('Unit-Level Data'!$Q:$Q,'Unit-Level Data'!$M:$M,TRUE,
          'Unit-Level Data'!$D:$D, INDIRECT("C"&amp;ROW()),
          'Unit-Level Data'!$B:$B, INDIRECT("B"&amp;ROW())),
AVERAGEIFS('Unit-Level Data'!$R:$R,'Unit-Level Data'!$M:$M,TRUE,
          'Unit-Level Data'!$D:$D, INDIRECT("C"&amp;ROW()),
          'Unit-Level Data'!$B:$B, INDIRECT("B"&amp;ROW()))),"")</f>
      </c>
      <c r="P128" s="733" cm="1">
        <f t="array" aca="true" ref="P128" ca="true">COUNTIFS('Unit-Level Data'!$M:$M,TRUE,
          'Unit-Level Data'!$D:$D, INDIRECT("C"&amp;ROW()),
          'Unit-Level Data'!$B:$B, INDIRECT("B"&amp;ROW()))</f>
        <v>0</v>
      </c>
      <c r="Q128" s="738" t="str" cm="1">
        <f t="array" aca="true" ref="Q1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8" s="760" t="str" cm="1">
        <f t="array" aca="true" ref="R1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8" s="733" cm="1">
        <f t="array" aca="true" ref="S128" ca="true">COUNTIFS('Unit-Level Data'!$L:$L, "&gt;=" &amp; ($X$2 - Q$5),
          'Unit-Level Data'!$L:$L, "&lt;" &amp; $X$2,
          'Unit-Level Data'!$D:$D, INDIRECT("C"&amp;ROW()),
          'Unit-Level Data'!$B:$B, INDIRECT("B"&amp;ROW()))</f>
        <v>0</v>
      </c>
      <c r="T128" s="738" t="str" cm="1">
        <f t="array" aca="true" ref="T1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8" s="760" t="str" cm="1">
        <f t="array" aca="true" ref="U1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8" s="733" cm="1">
        <f t="array" aca="true" ref="V128" ca="true">COUNTIFS('Unit-Level Data'!$L:$L, "&gt;=" &amp; ($X$2 - T$5),
          'Unit-Level Data'!$L:$L, "&lt;" &amp; $X$2,
          'Unit-Level Data'!$D:$D, INDIRECT("C"&amp;ROW()),
          'Unit-Level Data'!$B:$B, INDIRECT("B"&amp;ROW()))</f>
        <v>0</v>
      </c>
      <c r="W128" s="738" t="str" cm="1">
        <f t="array" aca="true" ref="W1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8" s="760" t="str" cm="1">
        <f t="array" aca="true" ref="X1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8" s="733" cm="1">
        <f t="array" aca="true" ref="Y128" ca="true">COUNTIFS('Unit-Level Data'!$L:$L, "&gt;=" &amp; ($X$2 - W$5),
          'Unit-Level Data'!$L:$L, "&lt;" &amp; $X$2,
          'Unit-Level Data'!$D:$D, INDIRECT("C"&amp;ROW()),
          'Unit-Level Data'!$B:$B, INDIRECT("B"&amp;ROW()))</f>
        <v>0</v>
      </c>
      <c r="Z128" s="761"/>
      <c r="AA128" s="735" cm="1">
        <f t="array" aca="true" ref="AA128" ca="true">IFERROR(AVERAGEIFS(
  unit_details[Sqft],
  unit_details[Property Name], INDIRECT("B"&amp;ROW()),
  unit_details[Floorplan Name], INDIRECT("C"&amp;ROW()),
  unit_details[Beds], INDIRECT("D"&amp;ROW()),
  unit_details[Detected Unit Amenities], "*"&amp;$AB$3&amp;"*",
  unit_details[Leased Date], "&gt;=" &amp; ($X$2 - $AD$3)
),0)</f>
        <v>0</v>
      </c>
      <c r="AB128" s="734" cm="1">
        <f t="array" aca="true" ref="AB1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8" s="733" cm="1">
        <f t="array" aca="true" ref="AC128" ca="true">IFERROR(COUNTIFS(
  unit_details[Property Name], INDIRECT("B"&amp;ROW()),
  unit_details[Floorplan Name], INDIRECT("C"&amp;ROW()),
  unit_details[Beds], INDIRECT("D"&amp;ROW()),
  unit_details[Detected Unit Amenities], "*"&amp;$AB$3&amp;"*",
  unit_details[Leased Date], "&gt;=" &amp; ($X$2 - $AD$3)
),0)</f>
        <v>0</v>
      </c>
      <c r="AD128" s="735" cm="1">
        <f t="array" aca="true" ref="AD128" ca="true">IFERROR(AVERAGEIFS(
  unit_details[Sqft],
  unit_details[Property Name], INDIRECT("B"&amp;ROW()),
  unit_details[Floorplan Name], INDIRECT("C"&amp;ROW()),
  unit_details[Beds], INDIRECT("D"&amp;ROW()),
  unit_details[Detected Unit Amenities], "&lt;&gt;*"&amp;$AB$3&amp;"*",
  unit_details[Leased Date], "&gt;=" &amp; ($X$2 - $AD$3)
),0)</f>
        <v>0</v>
      </c>
      <c r="AE128" s="734" cm="1">
        <f t="array" aca="true" ref="AE1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8" s="733" cm="1">
        <f t="array" aca="true" ref="AF128" ca="true">IFERROR(COUNTIFS(
  unit_details[Property Name], INDIRECT("B"&amp;ROW()),
  unit_details[Floorplan Name], INDIRECT("C"&amp;ROW()),
  unit_details[Beds], INDIRECT("D"&amp;ROW()),
  unit_details[Detected Unit Amenities], "&lt;&gt;*"&amp;$AB$3&amp;"*",
  unit_details[Leased Date], "&gt;=" &amp; ($X$2 - $AD$3)
),0)</f>
        <v>0</v>
      </c>
      <c r="AG128" s="735"/>
      <c r="AH128" s="738">
        <f t="shared" ca="true" si="4"/>
        <v>0</v>
      </c>
      <c r="AI128" s="739">
        <f t="shared" ca="true" si="5"/>
        <v>0</v>
      </c>
    </row>
    <row r="129" spans="2:35">
      <c r="B129" s="1"/>
      <c r="C129" s="80"/>
      <c r="E129" s="303"/>
      <c r="F129" s="303"/>
      <c r="J129" s="345"/>
      <c r="K129" s="6"/>
      <c r="M129" s="6"/>
      <c r="N129" s="738" t="str" cm="1">
        <f t="array" aca="true" ref="N129" ca="true">IFERROR(IF($O$3="Chunk Rent",
AVERAGEIFS('Unit-Level Data'!$O:$O,'Unit-Level Data'!$M:$M,TRUE,
          'Unit-Level Data'!$D:$D, INDIRECT("C"&amp;ROW()),
          'Unit-Level Data'!$B:$B, INDIRECT("B"&amp;ROW())),
AVERAGEIFS('Unit-Level Data'!$P:$P,'Unit-Level Data'!$M:$M,TRUE,
          'Unit-Level Data'!$D:$D, INDIRECT("C"&amp;ROW()),
          'Unit-Level Data'!$B:$B, INDIRECT("B"&amp;ROW()))),"")</f>
      </c>
      <c r="O129" s="760" t="str" cm="1">
        <f t="array" aca="true" ref="O129" ca="true">IFERROR(IF($O$3="Chunk Rent",
AVERAGEIFS('Unit-Level Data'!$Q:$Q,'Unit-Level Data'!$M:$M,TRUE,
          'Unit-Level Data'!$D:$D, INDIRECT("C"&amp;ROW()),
          'Unit-Level Data'!$B:$B, INDIRECT("B"&amp;ROW())),
AVERAGEIFS('Unit-Level Data'!$R:$R,'Unit-Level Data'!$M:$M,TRUE,
          'Unit-Level Data'!$D:$D, INDIRECT("C"&amp;ROW()),
          'Unit-Level Data'!$B:$B, INDIRECT("B"&amp;ROW()))),"")</f>
      </c>
      <c r="P129" s="733" cm="1">
        <f t="array" aca="true" ref="P129" ca="true">COUNTIFS('Unit-Level Data'!$M:$M,TRUE,
          'Unit-Level Data'!$D:$D, INDIRECT("C"&amp;ROW()),
          'Unit-Level Data'!$B:$B, INDIRECT("B"&amp;ROW()))</f>
        <v>0</v>
      </c>
      <c r="Q129" s="738" t="str" cm="1">
        <f t="array" aca="true" ref="Q1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9" s="760" t="str" cm="1">
        <f t="array" aca="true" ref="R1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9" s="733" cm="1">
        <f t="array" aca="true" ref="S129" ca="true">COUNTIFS('Unit-Level Data'!$L:$L, "&gt;=" &amp; ($X$2 - Q$5),
          'Unit-Level Data'!$L:$L, "&lt;" &amp; $X$2,
          'Unit-Level Data'!$D:$D, INDIRECT("C"&amp;ROW()),
          'Unit-Level Data'!$B:$B, INDIRECT("B"&amp;ROW()))</f>
        <v>0</v>
      </c>
      <c r="T129" s="738" t="str" cm="1">
        <f t="array" aca="true" ref="T1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9" s="760" t="str" cm="1">
        <f t="array" aca="true" ref="U1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9" s="733" cm="1">
        <f t="array" aca="true" ref="V129" ca="true">COUNTIFS('Unit-Level Data'!$L:$L, "&gt;=" &amp; ($X$2 - T$5),
          'Unit-Level Data'!$L:$L, "&lt;" &amp; $X$2,
          'Unit-Level Data'!$D:$D, INDIRECT("C"&amp;ROW()),
          'Unit-Level Data'!$B:$B, INDIRECT("B"&amp;ROW()))</f>
        <v>0</v>
      </c>
      <c r="W129" s="738" t="str" cm="1">
        <f t="array" aca="true" ref="W1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9" s="760" t="str" cm="1">
        <f t="array" aca="true" ref="X1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9" s="733" cm="1">
        <f t="array" aca="true" ref="Y129" ca="true">COUNTIFS('Unit-Level Data'!$L:$L, "&gt;=" &amp; ($X$2 - W$5),
          'Unit-Level Data'!$L:$L, "&lt;" &amp; $X$2,
          'Unit-Level Data'!$D:$D, INDIRECT("C"&amp;ROW()),
          'Unit-Level Data'!$B:$B, INDIRECT("B"&amp;ROW()))</f>
        <v>0</v>
      </c>
      <c r="Z129" s="761"/>
      <c r="AA129" s="735" cm="1">
        <f t="array" aca="true" ref="AA129" ca="true">IFERROR(AVERAGEIFS(
  unit_details[Sqft],
  unit_details[Property Name], INDIRECT("B"&amp;ROW()),
  unit_details[Floorplan Name], INDIRECT("C"&amp;ROW()),
  unit_details[Beds], INDIRECT("D"&amp;ROW()),
  unit_details[Detected Unit Amenities], "*"&amp;$AB$3&amp;"*",
  unit_details[Leased Date], "&gt;=" &amp; ($X$2 - $AD$3)
),0)</f>
        <v>0</v>
      </c>
      <c r="AB129" s="734" cm="1">
        <f t="array" aca="true" ref="AB1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9" s="733" cm="1">
        <f t="array" aca="true" ref="AC129" ca="true">IFERROR(COUNTIFS(
  unit_details[Property Name], INDIRECT("B"&amp;ROW()),
  unit_details[Floorplan Name], INDIRECT("C"&amp;ROW()),
  unit_details[Beds], INDIRECT("D"&amp;ROW()),
  unit_details[Detected Unit Amenities], "*"&amp;$AB$3&amp;"*",
  unit_details[Leased Date], "&gt;=" &amp; ($X$2 - $AD$3)
),0)</f>
        <v>0</v>
      </c>
      <c r="AD129" s="735" cm="1">
        <f t="array" aca="true" ref="AD129" ca="true">IFERROR(AVERAGEIFS(
  unit_details[Sqft],
  unit_details[Property Name], INDIRECT("B"&amp;ROW()),
  unit_details[Floorplan Name], INDIRECT("C"&amp;ROW()),
  unit_details[Beds], INDIRECT("D"&amp;ROW()),
  unit_details[Detected Unit Amenities], "&lt;&gt;*"&amp;$AB$3&amp;"*",
  unit_details[Leased Date], "&gt;=" &amp; ($X$2 - $AD$3)
),0)</f>
        <v>0</v>
      </c>
      <c r="AE129" s="734" cm="1">
        <f t="array" aca="true" ref="AE1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9" s="733" cm="1">
        <f t="array" aca="true" ref="AF129" ca="true">IFERROR(COUNTIFS(
  unit_details[Property Name], INDIRECT("B"&amp;ROW()),
  unit_details[Floorplan Name], INDIRECT("C"&amp;ROW()),
  unit_details[Beds], INDIRECT("D"&amp;ROW()),
  unit_details[Detected Unit Amenities], "&lt;&gt;*"&amp;$AB$3&amp;"*",
  unit_details[Leased Date], "&gt;=" &amp; ($X$2 - $AD$3)
),0)</f>
        <v>0</v>
      </c>
      <c r="AG129" s="735"/>
      <c r="AH129" s="738">
        <f t="shared" ca="true" si="4"/>
        <v>0</v>
      </c>
      <c r="AI129" s="739">
        <f t="shared" ca="true" si="5"/>
        <v>0</v>
      </c>
    </row>
    <row r="130" spans="2:35">
      <c r="B130" s="1"/>
      <c r="C130" s="80"/>
      <c r="E130" s="303"/>
      <c r="F130" s="303"/>
      <c r="J130" s="345"/>
      <c r="K130" s="6"/>
      <c r="M130" s="6"/>
      <c r="N130" s="738" t="str" cm="1">
        <f t="array" aca="true" ref="N130" ca="true">IFERROR(IF($O$3="Chunk Rent",
AVERAGEIFS('Unit-Level Data'!$O:$O,'Unit-Level Data'!$M:$M,TRUE,
          'Unit-Level Data'!$D:$D, INDIRECT("C"&amp;ROW()),
          'Unit-Level Data'!$B:$B, INDIRECT("B"&amp;ROW())),
AVERAGEIFS('Unit-Level Data'!$P:$P,'Unit-Level Data'!$M:$M,TRUE,
          'Unit-Level Data'!$D:$D, INDIRECT("C"&amp;ROW()),
          'Unit-Level Data'!$B:$B, INDIRECT("B"&amp;ROW()))),"")</f>
      </c>
      <c r="O130" s="760" t="str" cm="1">
        <f t="array" aca="true" ref="O130" ca="true">IFERROR(IF($O$3="Chunk Rent",
AVERAGEIFS('Unit-Level Data'!$Q:$Q,'Unit-Level Data'!$M:$M,TRUE,
          'Unit-Level Data'!$D:$D, INDIRECT("C"&amp;ROW()),
          'Unit-Level Data'!$B:$B, INDIRECT("B"&amp;ROW())),
AVERAGEIFS('Unit-Level Data'!$R:$R,'Unit-Level Data'!$M:$M,TRUE,
          'Unit-Level Data'!$D:$D, INDIRECT("C"&amp;ROW()),
          'Unit-Level Data'!$B:$B, INDIRECT("B"&amp;ROW()))),"")</f>
      </c>
      <c r="P130" s="733" cm="1">
        <f t="array" aca="true" ref="P130" ca="true">COUNTIFS('Unit-Level Data'!$M:$M,TRUE,
          'Unit-Level Data'!$D:$D, INDIRECT("C"&amp;ROW()),
          'Unit-Level Data'!$B:$B, INDIRECT("B"&amp;ROW()))</f>
        <v>0</v>
      </c>
      <c r="Q130" s="738" t="str" cm="1">
        <f t="array" aca="true" ref="Q1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0" s="760" t="str" cm="1">
        <f t="array" aca="true" ref="R1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0" s="733" cm="1">
        <f t="array" aca="true" ref="S130" ca="true">COUNTIFS('Unit-Level Data'!$L:$L, "&gt;=" &amp; ($X$2 - Q$5),
          'Unit-Level Data'!$L:$L, "&lt;" &amp; $X$2,
          'Unit-Level Data'!$D:$D, INDIRECT("C"&amp;ROW()),
          'Unit-Level Data'!$B:$B, INDIRECT("B"&amp;ROW()))</f>
        <v>0</v>
      </c>
      <c r="T130" s="738" t="str" cm="1">
        <f t="array" aca="true" ref="T1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0" s="760" t="str" cm="1">
        <f t="array" aca="true" ref="U1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0" s="733" cm="1">
        <f t="array" aca="true" ref="V130" ca="true">COUNTIFS('Unit-Level Data'!$L:$L, "&gt;=" &amp; ($X$2 - T$5),
          'Unit-Level Data'!$L:$L, "&lt;" &amp; $X$2,
          'Unit-Level Data'!$D:$D, INDIRECT("C"&amp;ROW()),
          'Unit-Level Data'!$B:$B, INDIRECT("B"&amp;ROW()))</f>
        <v>0</v>
      </c>
      <c r="W130" s="738" t="str" cm="1">
        <f t="array" aca="true" ref="W1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0" s="760" t="str" cm="1">
        <f t="array" aca="true" ref="X1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0" s="733" cm="1">
        <f t="array" aca="true" ref="Y130" ca="true">COUNTIFS('Unit-Level Data'!$L:$L, "&gt;=" &amp; ($X$2 - W$5),
          'Unit-Level Data'!$L:$L, "&lt;" &amp; $X$2,
          'Unit-Level Data'!$D:$D, INDIRECT("C"&amp;ROW()),
          'Unit-Level Data'!$B:$B, INDIRECT("B"&amp;ROW()))</f>
        <v>0</v>
      </c>
      <c r="Z130" s="761"/>
      <c r="AA130" s="735" cm="1">
        <f t="array" aca="true" ref="AA130" ca="true">IFERROR(AVERAGEIFS(
  unit_details[Sqft],
  unit_details[Property Name], INDIRECT("B"&amp;ROW()),
  unit_details[Floorplan Name], INDIRECT("C"&amp;ROW()),
  unit_details[Beds], INDIRECT("D"&amp;ROW()),
  unit_details[Detected Unit Amenities], "*"&amp;$AB$3&amp;"*",
  unit_details[Leased Date], "&gt;=" &amp; ($X$2 - $AD$3)
),0)</f>
        <v>0</v>
      </c>
      <c r="AB130" s="734" cm="1">
        <f t="array" aca="true" ref="AB1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0" s="733" cm="1">
        <f t="array" aca="true" ref="AC130" ca="true">IFERROR(COUNTIFS(
  unit_details[Property Name], INDIRECT("B"&amp;ROW()),
  unit_details[Floorplan Name], INDIRECT("C"&amp;ROW()),
  unit_details[Beds], INDIRECT("D"&amp;ROW()),
  unit_details[Detected Unit Amenities], "*"&amp;$AB$3&amp;"*",
  unit_details[Leased Date], "&gt;=" &amp; ($X$2 - $AD$3)
),0)</f>
        <v>0</v>
      </c>
      <c r="AD130" s="735" cm="1">
        <f t="array" aca="true" ref="AD130" ca="true">IFERROR(AVERAGEIFS(
  unit_details[Sqft],
  unit_details[Property Name], INDIRECT("B"&amp;ROW()),
  unit_details[Floorplan Name], INDIRECT("C"&amp;ROW()),
  unit_details[Beds], INDIRECT("D"&amp;ROW()),
  unit_details[Detected Unit Amenities], "&lt;&gt;*"&amp;$AB$3&amp;"*",
  unit_details[Leased Date], "&gt;=" &amp; ($X$2 - $AD$3)
),0)</f>
        <v>0</v>
      </c>
      <c r="AE130" s="734" cm="1">
        <f t="array" aca="true" ref="AE1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0" s="733" cm="1">
        <f t="array" aca="true" ref="AF130" ca="true">IFERROR(COUNTIFS(
  unit_details[Property Name], INDIRECT("B"&amp;ROW()),
  unit_details[Floorplan Name], INDIRECT("C"&amp;ROW()),
  unit_details[Beds], INDIRECT("D"&amp;ROW()),
  unit_details[Detected Unit Amenities], "&lt;&gt;*"&amp;$AB$3&amp;"*",
  unit_details[Leased Date], "&gt;=" &amp; ($X$2 - $AD$3)
),0)</f>
        <v>0</v>
      </c>
      <c r="AG130" s="735"/>
      <c r="AH130" s="738">
        <f t="shared" ca="true" si="4"/>
        <v>0</v>
      </c>
      <c r="AI130" s="739">
        <f t="shared" ca="true" si="5"/>
        <v>0</v>
      </c>
    </row>
    <row r="131" spans="2:35">
      <c r="B131" s="1"/>
      <c r="C131" s="80"/>
      <c r="E131" s="303"/>
      <c r="F131" s="303"/>
      <c r="J131" s="345"/>
      <c r="K131" s="6"/>
      <c r="M131" s="6"/>
      <c r="N131" s="738" t="str" cm="1">
        <f t="array" aca="true" ref="N131" ca="true">IFERROR(IF($O$3="Chunk Rent",
AVERAGEIFS('Unit-Level Data'!$O:$O,'Unit-Level Data'!$M:$M,TRUE,
          'Unit-Level Data'!$D:$D, INDIRECT("C"&amp;ROW()),
          'Unit-Level Data'!$B:$B, INDIRECT("B"&amp;ROW())),
AVERAGEIFS('Unit-Level Data'!$P:$P,'Unit-Level Data'!$M:$M,TRUE,
          'Unit-Level Data'!$D:$D, INDIRECT("C"&amp;ROW()),
          'Unit-Level Data'!$B:$B, INDIRECT("B"&amp;ROW()))),"")</f>
      </c>
      <c r="O131" s="760" t="str" cm="1">
        <f t="array" aca="true" ref="O131" ca="true">IFERROR(IF($O$3="Chunk Rent",
AVERAGEIFS('Unit-Level Data'!$Q:$Q,'Unit-Level Data'!$M:$M,TRUE,
          'Unit-Level Data'!$D:$D, INDIRECT("C"&amp;ROW()),
          'Unit-Level Data'!$B:$B, INDIRECT("B"&amp;ROW())),
AVERAGEIFS('Unit-Level Data'!$R:$R,'Unit-Level Data'!$M:$M,TRUE,
          'Unit-Level Data'!$D:$D, INDIRECT("C"&amp;ROW()),
          'Unit-Level Data'!$B:$B, INDIRECT("B"&amp;ROW()))),"")</f>
      </c>
      <c r="P131" s="733" cm="1">
        <f t="array" aca="true" ref="P131" ca="true">COUNTIFS('Unit-Level Data'!$M:$M,TRUE,
          'Unit-Level Data'!$D:$D, INDIRECT("C"&amp;ROW()),
          'Unit-Level Data'!$B:$B, INDIRECT("B"&amp;ROW()))</f>
        <v>0</v>
      </c>
      <c r="Q131" s="738" t="str" cm="1">
        <f t="array" aca="true" ref="Q1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1" s="760" t="str" cm="1">
        <f t="array" aca="true" ref="R1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1" s="733" cm="1">
        <f t="array" aca="true" ref="S131" ca="true">COUNTIFS('Unit-Level Data'!$L:$L, "&gt;=" &amp; ($X$2 - Q$5),
          'Unit-Level Data'!$L:$L, "&lt;" &amp; $X$2,
          'Unit-Level Data'!$D:$D, INDIRECT("C"&amp;ROW()),
          'Unit-Level Data'!$B:$B, INDIRECT("B"&amp;ROW()))</f>
        <v>0</v>
      </c>
      <c r="T131" s="738" t="str" cm="1">
        <f t="array" aca="true" ref="T1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1" s="760" t="str" cm="1">
        <f t="array" aca="true" ref="U1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1" s="733" cm="1">
        <f t="array" aca="true" ref="V131" ca="true">COUNTIFS('Unit-Level Data'!$L:$L, "&gt;=" &amp; ($X$2 - T$5),
          'Unit-Level Data'!$L:$L, "&lt;" &amp; $X$2,
          'Unit-Level Data'!$D:$D, INDIRECT("C"&amp;ROW()),
          'Unit-Level Data'!$B:$B, INDIRECT("B"&amp;ROW()))</f>
        <v>0</v>
      </c>
      <c r="W131" s="738" t="str" cm="1">
        <f t="array" aca="true" ref="W1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1" s="760" t="str" cm="1">
        <f t="array" aca="true" ref="X1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1" s="733" cm="1">
        <f t="array" aca="true" ref="Y131" ca="true">COUNTIFS('Unit-Level Data'!$L:$L, "&gt;=" &amp; ($X$2 - W$5),
          'Unit-Level Data'!$L:$L, "&lt;" &amp; $X$2,
          'Unit-Level Data'!$D:$D, INDIRECT("C"&amp;ROW()),
          'Unit-Level Data'!$B:$B, INDIRECT("B"&amp;ROW()))</f>
        <v>0</v>
      </c>
      <c r="Z131" s="761"/>
      <c r="AA131" s="735" cm="1">
        <f t="array" aca="true" ref="AA131" ca="true">IFERROR(AVERAGEIFS(
  unit_details[Sqft],
  unit_details[Property Name], INDIRECT("B"&amp;ROW()),
  unit_details[Floorplan Name], INDIRECT("C"&amp;ROW()),
  unit_details[Beds], INDIRECT("D"&amp;ROW()),
  unit_details[Detected Unit Amenities], "*"&amp;$AB$3&amp;"*",
  unit_details[Leased Date], "&gt;=" &amp; ($X$2 - $AD$3)
),0)</f>
        <v>0</v>
      </c>
      <c r="AB131" s="734" cm="1">
        <f t="array" aca="true" ref="AB1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1" s="733" cm="1">
        <f t="array" aca="true" ref="AC131" ca="true">IFERROR(COUNTIFS(
  unit_details[Property Name], INDIRECT("B"&amp;ROW()),
  unit_details[Floorplan Name], INDIRECT("C"&amp;ROW()),
  unit_details[Beds], INDIRECT("D"&amp;ROW()),
  unit_details[Detected Unit Amenities], "*"&amp;$AB$3&amp;"*",
  unit_details[Leased Date], "&gt;=" &amp; ($X$2 - $AD$3)
),0)</f>
        <v>0</v>
      </c>
      <c r="AD131" s="735" cm="1">
        <f t="array" aca="true" ref="AD131" ca="true">IFERROR(AVERAGEIFS(
  unit_details[Sqft],
  unit_details[Property Name], INDIRECT("B"&amp;ROW()),
  unit_details[Floorplan Name], INDIRECT("C"&amp;ROW()),
  unit_details[Beds], INDIRECT("D"&amp;ROW()),
  unit_details[Detected Unit Amenities], "&lt;&gt;*"&amp;$AB$3&amp;"*",
  unit_details[Leased Date], "&gt;=" &amp; ($X$2 - $AD$3)
),0)</f>
        <v>0</v>
      </c>
      <c r="AE131" s="734" cm="1">
        <f t="array" aca="true" ref="AE1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1" s="733" cm="1">
        <f t="array" aca="true" ref="AF131" ca="true">IFERROR(COUNTIFS(
  unit_details[Property Name], INDIRECT("B"&amp;ROW()),
  unit_details[Floorplan Name], INDIRECT("C"&amp;ROW()),
  unit_details[Beds], INDIRECT("D"&amp;ROW()),
  unit_details[Detected Unit Amenities], "&lt;&gt;*"&amp;$AB$3&amp;"*",
  unit_details[Leased Date], "&gt;=" &amp; ($X$2 - $AD$3)
),0)</f>
        <v>0</v>
      </c>
      <c r="AG131" s="735"/>
      <c r="AH131" s="738">
        <f t="shared" ca="true" si="4"/>
        <v>0</v>
      </c>
      <c r="AI131" s="739">
        <f t="shared" ca="true" si="5"/>
        <v>0</v>
      </c>
    </row>
    <row r="132" spans="2:35">
      <c r="B132" s="1"/>
      <c r="C132" s="80"/>
      <c r="E132" s="303"/>
      <c r="F132" s="303"/>
      <c r="J132" s="345"/>
      <c r="K132" s="6"/>
      <c r="M132" s="6"/>
      <c r="N132" s="738" t="str" cm="1">
        <f t="array" aca="true" ref="N132" ca="true">IFERROR(IF($O$3="Chunk Rent",
AVERAGEIFS('Unit-Level Data'!$O:$O,'Unit-Level Data'!$M:$M,TRUE,
          'Unit-Level Data'!$D:$D, INDIRECT("C"&amp;ROW()),
          'Unit-Level Data'!$B:$B, INDIRECT("B"&amp;ROW())),
AVERAGEIFS('Unit-Level Data'!$P:$P,'Unit-Level Data'!$M:$M,TRUE,
          'Unit-Level Data'!$D:$D, INDIRECT("C"&amp;ROW()),
          'Unit-Level Data'!$B:$B, INDIRECT("B"&amp;ROW()))),"")</f>
      </c>
      <c r="O132" s="760" t="str" cm="1">
        <f t="array" aca="true" ref="O132" ca="true">IFERROR(IF($O$3="Chunk Rent",
AVERAGEIFS('Unit-Level Data'!$Q:$Q,'Unit-Level Data'!$M:$M,TRUE,
          'Unit-Level Data'!$D:$D, INDIRECT("C"&amp;ROW()),
          'Unit-Level Data'!$B:$B, INDIRECT("B"&amp;ROW())),
AVERAGEIFS('Unit-Level Data'!$R:$R,'Unit-Level Data'!$M:$M,TRUE,
          'Unit-Level Data'!$D:$D, INDIRECT("C"&amp;ROW()),
          'Unit-Level Data'!$B:$B, INDIRECT("B"&amp;ROW()))),"")</f>
      </c>
      <c r="P132" s="733" cm="1">
        <f t="array" aca="true" ref="P132" ca="true">COUNTIFS('Unit-Level Data'!$M:$M,TRUE,
          'Unit-Level Data'!$D:$D, INDIRECT("C"&amp;ROW()),
          'Unit-Level Data'!$B:$B, INDIRECT("B"&amp;ROW()))</f>
        <v>0</v>
      </c>
      <c r="Q132" s="738" t="str" cm="1">
        <f t="array" aca="true" ref="Q1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2" s="760" t="str" cm="1">
        <f t="array" aca="true" ref="R1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2" s="733" cm="1">
        <f t="array" aca="true" ref="S132" ca="true">COUNTIFS('Unit-Level Data'!$L:$L, "&gt;=" &amp; ($X$2 - Q$5),
          'Unit-Level Data'!$L:$L, "&lt;" &amp; $X$2,
          'Unit-Level Data'!$D:$D, INDIRECT("C"&amp;ROW()),
          'Unit-Level Data'!$B:$B, INDIRECT("B"&amp;ROW()))</f>
        <v>0</v>
      </c>
      <c r="T132" s="738" t="str" cm="1">
        <f t="array" aca="true" ref="T1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2" s="760" t="str" cm="1">
        <f t="array" aca="true" ref="U1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2" s="733" cm="1">
        <f t="array" aca="true" ref="V132" ca="true">COUNTIFS('Unit-Level Data'!$L:$L, "&gt;=" &amp; ($X$2 - T$5),
          'Unit-Level Data'!$L:$L, "&lt;" &amp; $X$2,
          'Unit-Level Data'!$D:$D, INDIRECT("C"&amp;ROW()),
          'Unit-Level Data'!$B:$B, INDIRECT("B"&amp;ROW()))</f>
        <v>0</v>
      </c>
      <c r="W132" s="738" t="str" cm="1">
        <f t="array" aca="true" ref="W1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2" s="760" t="str" cm="1">
        <f t="array" aca="true" ref="X1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2" s="733" cm="1">
        <f t="array" aca="true" ref="Y132" ca="true">COUNTIFS('Unit-Level Data'!$L:$L, "&gt;=" &amp; ($X$2 - W$5),
          'Unit-Level Data'!$L:$L, "&lt;" &amp; $X$2,
          'Unit-Level Data'!$D:$D, INDIRECT("C"&amp;ROW()),
          'Unit-Level Data'!$B:$B, INDIRECT("B"&amp;ROW()))</f>
        <v>0</v>
      </c>
      <c r="Z132" s="761"/>
      <c r="AA132" s="735" cm="1">
        <f t="array" aca="true" ref="AA132" ca="true">IFERROR(AVERAGEIFS(
  unit_details[Sqft],
  unit_details[Property Name], INDIRECT("B"&amp;ROW()),
  unit_details[Floorplan Name], INDIRECT("C"&amp;ROW()),
  unit_details[Beds], INDIRECT("D"&amp;ROW()),
  unit_details[Detected Unit Amenities], "*"&amp;$AB$3&amp;"*",
  unit_details[Leased Date], "&gt;=" &amp; ($X$2 - $AD$3)
),0)</f>
        <v>0</v>
      </c>
      <c r="AB132" s="734" cm="1">
        <f t="array" aca="true" ref="AB1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2" s="733" cm="1">
        <f t="array" aca="true" ref="AC132" ca="true">IFERROR(COUNTIFS(
  unit_details[Property Name], INDIRECT("B"&amp;ROW()),
  unit_details[Floorplan Name], INDIRECT("C"&amp;ROW()),
  unit_details[Beds], INDIRECT("D"&amp;ROW()),
  unit_details[Detected Unit Amenities], "*"&amp;$AB$3&amp;"*",
  unit_details[Leased Date], "&gt;=" &amp; ($X$2 - $AD$3)
),0)</f>
        <v>0</v>
      </c>
      <c r="AD132" s="735" cm="1">
        <f t="array" aca="true" ref="AD132" ca="true">IFERROR(AVERAGEIFS(
  unit_details[Sqft],
  unit_details[Property Name], INDIRECT("B"&amp;ROW()),
  unit_details[Floorplan Name], INDIRECT("C"&amp;ROW()),
  unit_details[Beds], INDIRECT("D"&amp;ROW()),
  unit_details[Detected Unit Amenities], "&lt;&gt;*"&amp;$AB$3&amp;"*",
  unit_details[Leased Date], "&gt;=" &amp; ($X$2 - $AD$3)
),0)</f>
        <v>0</v>
      </c>
      <c r="AE132" s="734" cm="1">
        <f t="array" aca="true" ref="AE1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2" s="733" cm="1">
        <f t="array" aca="true" ref="AF132" ca="true">IFERROR(COUNTIFS(
  unit_details[Property Name], INDIRECT("B"&amp;ROW()),
  unit_details[Floorplan Name], INDIRECT("C"&amp;ROW()),
  unit_details[Beds], INDIRECT("D"&amp;ROW()),
  unit_details[Detected Unit Amenities], "&lt;&gt;*"&amp;$AB$3&amp;"*",
  unit_details[Leased Date], "&gt;=" &amp; ($X$2 - $AD$3)
),0)</f>
        <v>0</v>
      </c>
      <c r="AG132" s="735"/>
      <c r="AH132" s="738">
        <f t="shared" ca="true" si="4"/>
        <v>0</v>
      </c>
      <c r="AI132" s="739">
        <f t="shared" ca="true" si="5"/>
        <v>0</v>
      </c>
    </row>
    <row r="133" spans="2:35">
      <c r="B133" s="1"/>
      <c r="C133" s="80"/>
      <c r="E133" s="303"/>
      <c r="F133" s="303"/>
      <c r="J133" s="345"/>
      <c r="K133" s="6"/>
      <c r="M133" s="6"/>
      <c r="N133" s="738" t="str" cm="1">
        <f t="array" aca="true" ref="N133" ca="true">IFERROR(IF($O$3="Chunk Rent",
AVERAGEIFS('Unit-Level Data'!$O:$O,'Unit-Level Data'!$M:$M,TRUE,
          'Unit-Level Data'!$D:$D, INDIRECT("C"&amp;ROW()),
          'Unit-Level Data'!$B:$B, INDIRECT("B"&amp;ROW())),
AVERAGEIFS('Unit-Level Data'!$P:$P,'Unit-Level Data'!$M:$M,TRUE,
          'Unit-Level Data'!$D:$D, INDIRECT("C"&amp;ROW()),
          'Unit-Level Data'!$B:$B, INDIRECT("B"&amp;ROW()))),"")</f>
      </c>
      <c r="O133" s="760" t="str" cm="1">
        <f t="array" aca="true" ref="O133" ca="true">IFERROR(IF($O$3="Chunk Rent",
AVERAGEIFS('Unit-Level Data'!$Q:$Q,'Unit-Level Data'!$M:$M,TRUE,
          'Unit-Level Data'!$D:$D, INDIRECT("C"&amp;ROW()),
          'Unit-Level Data'!$B:$B, INDIRECT("B"&amp;ROW())),
AVERAGEIFS('Unit-Level Data'!$R:$R,'Unit-Level Data'!$M:$M,TRUE,
          'Unit-Level Data'!$D:$D, INDIRECT("C"&amp;ROW()),
          'Unit-Level Data'!$B:$B, INDIRECT("B"&amp;ROW()))),"")</f>
      </c>
      <c r="P133" s="733" cm="1">
        <f t="array" aca="true" ref="P133" ca="true">COUNTIFS('Unit-Level Data'!$M:$M,TRUE,
          'Unit-Level Data'!$D:$D, INDIRECT("C"&amp;ROW()),
          'Unit-Level Data'!$B:$B, INDIRECT("B"&amp;ROW()))</f>
        <v>0</v>
      </c>
      <c r="Q133" s="738" t="str" cm="1">
        <f t="array" aca="true" ref="Q1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3" s="760" t="str" cm="1">
        <f t="array" aca="true" ref="R1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3" s="733" cm="1">
        <f t="array" aca="true" ref="S133" ca="true">COUNTIFS('Unit-Level Data'!$L:$L, "&gt;=" &amp; ($X$2 - Q$5),
          'Unit-Level Data'!$L:$L, "&lt;" &amp; $X$2,
          'Unit-Level Data'!$D:$D, INDIRECT("C"&amp;ROW()),
          'Unit-Level Data'!$B:$B, INDIRECT("B"&amp;ROW()))</f>
        <v>0</v>
      </c>
      <c r="T133" s="738" t="str" cm="1">
        <f t="array" aca="true" ref="T1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3" s="760" t="str" cm="1">
        <f t="array" aca="true" ref="U1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3" s="733" cm="1">
        <f t="array" aca="true" ref="V133" ca="true">COUNTIFS('Unit-Level Data'!$L:$L, "&gt;=" &amp; ($X$2 - T$5),
          'Unit-Level Data'!$L:$L, "&lt;" &amp; $X$2,
          'Unit-Level Data'!$D:$D, INDIRECT("C"&amp;ROW()),
          'Unit-Level Data'!$B:$B, INDIRECT("B"&amp;ROW()))</f>
        <v>0</v>
      </c>
      <c r="W133" s="738" t="str" cm="1">
        <f t="array" aca="true" ref="W1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3" s="760" t="str" cm="1">
        <f t="array" aca="true" ref="X1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3" s="733" cm="1">
        <f t="array" aca="true" ref="Y133" ca="true">COUNTIFS('Unit-Level Data'!$L:$L, "&gt;=" &amp; ($X$2 - W$5),
          'Unit-Level Data'!$L:$L, "&lt;" &amp; $X$2,
          'Unit-Level Data'!$D:$D, INDIRECT("C"&amp;ROW()),
          'Unit-Level Data'!$B:$B, INDIRECT("B"&amp;ROW()))</f>
        <v>0</v>
      </c>
      <c r="Z133" s="761"/>
      <c r="AA133" s="735" cm="1">
        <f t="array" aca="true" ref="AA133" ca="true">IFERROR(AVERAGEIFS(
  unit_details[Sqft],
  unit_details[Property Name], INDIRECT("B"&amp;ROW()),
  unit_details[Floorplan Name], INDIRECT("C"&amp;ROW()),
  unit_details[Beds], INDIRECT("D"&amp;ROW()),
  unit_details[Detected Unit Amenities], "*"&amp;$AB$3&amp;"*",
  unit_details[Leased Date], "&gt;=" &amp; ($X$2 - $AD$3)
),0)</f>
        <v>0</v>
      </c>
      <c r="AB133" s="734" cm="1">
        <f t="array" aca="true" ref="AB1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3" s="733" cm="1">
        <f t="array" aca="true" ref="AC133" ca="true">IFERROR(COUNTIFS(
  unit_details[Property Name], INDIRECT("B"&amp;ROW()),
  unit_details[Floorplan Name], INDIRECT("C"&amp;ROW()),
  unit_details[Beds], INDIRECT("D"&amp;ROW()),
  unit_details[Detected Unit Amenities], "*"&amp;$AB$3&amp;"*",
  unit_details[Leased Date], "&gt;=" &amp; ($X$2 - $AD$3)
),0)</f>
        <v>0</v>
      </c>
      <c r="AD133" s="735" cm="1">
        <f t="array" aca="true" ref="AD133" ca="true">IFERROR(AVERAGEIFS(
  unit_details[Sqft],
  unit_details[Property Name], INDIRECT("B"&amp;ROW()),
  unit_details[Floorplan Name], INDIRECT("C"&amp;ROW()),
  unit_details[Beds], INDIRECT("D"&amp;ROW()),
  unit_details[Detected Unit Amenities], "&lt;&gt;*"&amp;$AB$3&amp;"*",
  unit_details[Leased Date], "&gt;=" &amp; ($X$2 - $AD$3)
),0)</f>
        <v>0</v>
      </c>
      <c r="AE133" s="734" cm="1">
        <f t="array" aca="true" ref="AE1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3" s="733" cm="1">
        <f t="array" aca="true" ref="AF133" ca="true">IFERROR(COUNTIFS(
  unit_details[Property Name], INDIRECT("B"&amp;ROW()),
  unit_details[Floorplan Name], INDIRECT("C"&amp;ROW()),
  unit_details[Beds], INDIRECT("D"&amp;ROW()),
  unit_details[Detected Unit Amenities], "&lt;&gt;*"&amp;$AB$3&amp;"*",
  unit_details[Leased Date], "&gt;=" &amp; ($X$2 - $AD$3)
),0)</f>
        <v>0</v>
      </c>
      <c r="AG133" s="735"/>
      <c r="AH133" s="738">
        <f t="shared" ca="true" si="4"/>
        <v>0</v>
      </c>
      <c r="AI133" s="739">
        <f t="shared" ca="true" si="5"/>
        <v>0</v>
      </c>
    </row>
    <row r="134" spans="2:35">
      <c r="B134" s="1"/>
      <c r="C134" s="80"/>
      <c r="E134" s="303"/>
      <c r="F134" s="303"/>
      <c r="J134" s="345"/>
      <c r="K134" s="6"/>
      <c r="M134" s="6"/>
      <c r="N134" s="738" t="str" cm="1">
        <f t="array" aca="true" ref="N134" ca="true">IFERROR(IF($O$3="Chunk Rent",
AVERAGEIFS('Unit-Level Data'!$O:$O,'Unit-Level Data'!$M:$M,TRUE,
          'Unit-Level Data'!$D:$D, INDIRECT("C"&amp;ROW()),
          'Unit-Level Data'!$B:$B, INDIRECT("B"&amp;ROW())),
AVERAGEIFS('Unit-Level Data'!$P:$P,'Unit-Level Data'!$M:$M,TRUE,
          'Unit-Level Data'!$D:$D, INDIRECT("C"&amp;ROW()),
          'Unit-Level Data'!$B:$B, INDIRECT("B"&amp;ROW()))),"")</f>
      </c>
      <c r="O134" s="760" t="str" cm="1">
        <f t="array" aca="true" ref="O134" ca="true">IFERROR(IF($O$3="Chunk Rent",
AVERAGEIFS('Unit-Level Data'!$Q:$Q,'Unit-Level Data'!$M:$M,TRUE,
          'Unit-Level Data'!$D:$D, INDIRECT("C"&amp;ROW()),
          'Unit-Level Data'!$B:$B, INDIRECT("B"&amp;ROW())),
AVERAGEIFS('Unit-Level Data'!$R:$R,'Unit-Level Data'!$M:$M,TRUE,
          'Unit-Level Data'!$D:$D, INDIRECT("C"&amp;ROW()),
          'Unit-Level Data'!$B:$B, INDIRECT("B"&amp;ROW()))),"")</f>
      </c>
      <c r="P134" s="733" cm="1">
        <f t="array" aca="true" ref="P134" ca="true">COUNTIFS('Unit-Level Data'!$M:$M,TRUE,
          'Unit-Level Data'!$D:$D, INDIRECT("C"&amp;ROW()),
          'Unit-Level Data'!$B:$B, INDIRECT("B"&amp;ROW()))</f>
        <v>0</v>
      </c>
      <c r="Q134" s="738" t="str" cm="1">
        <f t="array" aca="true" ref="Q1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4" s="760" t="str" cm="1">
        <f t="array" aca="true" ref="R1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4" s="733" cm="1">
        <f t="array" aca="true" ref="S134" ca="true">COUNTIFS('Unit-Level Data'!$L:$L, "&gt;=" &amp; ($X$2 - Q$5),
          'Unit-Level Data'!$L:$L, "&lt;" &amp; $X$2,
          'Unit-Level Data'!$D:$D, INDIRECT("C"&amp;ROW()),
          'Unit-Level Data'!$B:$B, INDIRECT("B"&amp;ROW()))</f>
        <v>0</v>
      </c>
      <c r="T134" s="738" t="str" cm="1">
        <f t="array" aca="true" ref="T1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4" s="760" t="str" cm="1">
        <f t="array" aca="true" ref="U1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4" s="733" cm="1">
        <f t="array" aca="true" ref="V134" ca="true">COUNTIFS('Unit-Level Data'!$L:$L, "&gt;=" &amp; ($X$2 - T$5),
          'Unit-Level Data'!$L:$L, "&lt;" &amp; $X$2,
          'Unit-Level Data'!$D:$D, INDIRECT("C"&amp;ROW()),
          'Unit-Level Data'!$B:$B, INDIRECT("B"&amp;ROW()))</f>
        <v>0</v>
      </c>
      <c r="W134" s="738" t="str" cm="1">
        <f t="array" aca="true" ref="W1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4" s="760" t="str" cm="1">
        <f t="array" aca="true" ref="X1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4" s="733" cm="1">
        <f t="array" aca="true" ref="Y134" ca="true">COUNTIFS('Unit-Level Data'!$L:$L, "&gt;=" &amp; ($X$2 - W$5),
          'Unit-Level Data'!$L:$L, "&lt;" &amp; $X$2,
          'Unit-Level Data'!$D:$D, INDIRECT("C"&amp;ROW()),
          'Unit-Level Data'!$B:$B, INDIRECT("B"&amp;ROW()))</f>
        <v>0</v>
      </c>
      <c r="Z134" s="761"/>
      <c r="AA134" s="735" cm="1">
        <f t="array" aca="true" ref="AA134" ca="true">IFERROR(AVERAGEIFS(
  unit_details[Sqft],
  unit_details[Property Name], INDIRECT("B"&amp;ROW()),
  unit_details[Floorplan Name], INDIRECT("C"&amp;ROW()),
  unit_details[Beds], INDIRECT("D"&amp;ROW()),
  unit_details[Detected Unit Amenities], "*"&amp;$AB$3&amp;"*",
  unit_details[Leased Date], "&gt;=" &amp; ($X$2 - $AD$3)
),0)</f>
        <v>0</v>
      </c>
      <c r="AB134" s="734" cm="1">
        <f t="array" aca="true" ref="AB1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4" s="733" cm="1">
        <f t="array" aca="true" ref="AC134" ca="true">IFERROR(COUNTIFS(
  unit_details[Property Name], INDIRECT("B"&amp;ROW()),
  unit_details[Floorplan Name], INDIRECT("C"&amp;ROW()),
  unit_details[Beds], INDIRECT("D"&amp;ROW()),
  unit_details[Detected Unit Amenities], "*"&amp;$AB$3&amp;"*",
  unit_details[Leased Date], "&gt;=" &amp; ($X$2 - $AD$3)
),0)</f>
        <v>0</v>
      </c>
      <c r="AD134" s="735" cm="1">
        <f t="array" aca="true" ref="AD134" ca="true">IFERROR(AVERAGEIFS(
  unit_details[Sqft],
  unit_details[Property Name], INDIRECT("B"&amp;ROW()),
  unit_details[Floorplan Name], INDIRECT("C"&amp;ROW()),
  unit_details[Beds], INDIRECT("D"&amp;ROW()),
  unit_details[Detected Unit Amenities], "&lt;&gt;*"&amp;$AB$3&amp;"*",
  unit_details[Leased Date], "&gt;=" &amp; ($X$2 - $AD$3)
),0)</f>
        <v>0</v>
      </c>
      <c r="AE134" s="734" cm="1">
        <f t="array" aca="true" ref="AE1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4" s="733" cm="1">
        <f t="array" aca="true" ref="AF134" ca="true">IFERROR(COUNTIFS(
  unit_details[Property Name], INDIRECT("B"&amp;ROW()),
  unit_details[Floorplan Name], INDIRECT("C"&amp;ROW()),
  unit_details[Beds], INDIRECT("D"&amp;ROW()),
  unit_details[Detected Unit Amenities], "&lt;&gt;*"&amp;$AB$3&amp;"*",
  unit_details[Leased Date], "&gt;=" &amp; ($X$2 - $AD$3)
),0)</f>
        <v>0</v>
      </c>
      <c r="AG134" s="735"/>
      <c r="AH134" s="738">
        <f t="shared" ca="true" si="4"/>
        <v>0</v>
      </c>
      <c r="AI134" s="739">
        <f t="shared" ca="true" si="5"/>
        <v>0</v>
      </c>
    </row>
    <row r="135" spans="2:35">
      <c r="B135" s="1"/>
      <c r="C135" s="80"/>
      <c r="E135" s="303"/>
      <c r="F135" s="303"/>
      <c r="J135" s="345"/>
      <c r="K135" s="6"/>
      <c r="M135" s="6"/>
      <c r="N135" s="738" t="str" cm="1">
        <f t="array" aca="true" ref="N135" ca="true">IFERROR(IF($O$3="Chunk Rent",
AVERAGEIFS('Unit-Level Data'!$O:$O,'Unit-Level Data'!$M:$M,TRUE,
          'Unit-Level Data'!$D:$D, INDIRECT("C"&amp;ROW()),
          'Unit-Level Data'!$B:$B, INDIRECT("B"&amp;ROW())),
AVERAGEIFS('Unit-Level Data'!$P:$P,'Unit-Level Data'!$M:$M,TRUE,
          'Unit-Level Data'!$D:$D, INDIRECT("C"&amp;ROW()),
          'Unit-Level Data'!$B:$B, INDIRECT("B"&amp;ROW()))),"")</f>
      </c>
      <c r="O135" s="760" t="str" cm="1">
        <f t="array" aca="true" ref="O135" ca="true">IFERROR(IF($O$3="Chunk Rent",
AVERAGEIFS('Unit-Level Data'!$Q:$Q,'Unit-Level Data'!$M:$M,TRUE,
          'Unit-Level Data'!$D:$D, INDIRECT("C"&amp;ROW()),
          'Unit-Level Data'!$B:$B, INDIRECT("B"&amp;ROW())),
AVERAGEIFS('Unit-Level Data'!$R:$R,'Unit-Level Data'!$M:$M,TRUE,
          'Unit-Level Data'!$D:$D, INDIRECT("C"&amp;ROW()),
          'Unit-Level Data'!$B:$B, INDIRECT("B"&amp;ROW()))),"")</f>
      </c>
      <c r="P135" s="733" cm="1">
        <f t="array" aca="true" ref="P135" ca="true">COUNTIFS('Unit-Level Data'!$M:$M,TRUE,
          'Unit-Level Data'!$D:$D, INDIRECT("C"&amp;ROW()),
          'Unit-Level Data'!$B:$B, INDIRECT("B"&amp;ROW()))</f>
        <v>0</v>
      </c>
      <c r="Q135" s="738" t="str" cm="1">
        <f t="array" aca="true" ref="Q1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5" s="760" t="str" cm="1">
        <f t="array" aca="true" ref="R1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5" s="733" cm="1">
        <f t="array" aca="true" ref="S135" ca="true">COUNTIFS('Unit-Level Data'!$L:$L, "&gt;=" &amp; ($X$2 - Q$5),
          'Unit-Level Data'!$L:$L, "&lt;" &amp; $X$2,
          'Unit-Level Data'!$D:$D, INDIRECT("C"&amp;ROW()),
          'Unit-Level Data'!$B:$B, INDIRECT("B"&amp;ROW()))</f>
        <v>0</v>
      </c>
      <c r="T135" s="738" t="str" cm="1">
        <f t="array" aca="true" ref="T1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5" s="760" t="str" cm="1">
        <f t="array" aca="true" ref="U1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5" s="733" cm="1">
        <f t="array" aca="true" ref="V135" ca="true">COUNTIFS('Unit-Level Data'!$L:$L, "&gt;=" &amp; ($X$2 - T$5),
          'Unit-Level Data'!$L:$L, "&lt;" &amp; $X$2,
          'Unit-Level Data'!$D:$D, INDIRECT("C"&amp;ROW()),
          'Unit-Level Data'!$B:$B, INDIRECT("B"&amp;ROW()))</f>
        <v>0</v>
      </c>
      <c r="W135" s="738" t="str" cm="1">
        <f t="array" aca="true" ref="W1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5" s="760" t="str" cm="1">
        <f t="array" aca="true" ref="X1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5" s="733" cm="1">
        <f t="array" aca="true" ref="Y135" ca="true">COUNTIFS('Unit-Level Data'!$L:$L, "&gt;=" &amp; ($X$2 - W$5),
          'Unit-Level Data'!$L:$L, "&lt;" &amp; $X$2,
          'Unit-Level Data'!$D:$D, INDIRECT("C"&amp;ROW()),
          'Unit-Level Data'!$B:$B, INDIRECT("B"&amp;ROW()))</f>
        <v>0</v>
      </c>
      <c r="Z135" s="761"/>
      <c r="AA135" s="735" cm="1">
        <f t="array" aca="true" ref="AA135" ca="true">IFERROR(AVERAGEIFS(
  unit_details[Sqft],
  unit_details[Property Name], INDIRECT("B"&amp;ROW()),
  unit_details[Floorplan Name], INDIRECT("C"&amp;ROW()),
  unit_details[Beds], INDIRECT("D"&amp;ROW()),
  unit_details[Detected Unit Amenities], "*"&amp;$AB$3&amp;"*",
  unit_details[Leased Date], "&gt;=" &amp; ($X$2 - $AD$3)
),0)</f>
        <v>0</v>
      </c>
      <c r="AB135" s="734" cm="1">
        <f t="array" aca="true" ref="AB1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5" s="733" cm="1">
        <f t="array" aca="true" ref="AC135" ca="true">IFERROR(COUNTIFS(
  unit_details[Property Name], INDIRECT("B"&amp;ROW()),
  unit_details[Floorplan Name], INDIRECT("C"&amp;ROW()),
  unit_details[Beds], INDIRECT("D"&amp;ROW()),
  unit_details[Detected Unit Amenities], "*"&amp;$AB$3&amp;"*",
  unit_details[Leased Date], "&gt;=" &amp; ($X$2 - $AD$3)
),0)</f>
        <v>0</v>
      </c>
      <c r="AD135" s="735" cm="1">
        <f t="array" aca="true" ref="AD135" ca="true">IFERROR(AVERAGEIFS(
  unit_details[Sqft],
  unit_details[Property Name], INDIRECT("B"&amp;ROW()),
  unit_details[Floorplan Name], INDIRECT("C"&amp;ROW()),
  unit_details[Beds], INDIRECT("D"&amp;ROW()),
  unit_details[Detected Unit Amenities], "&lt;&gt;*"&amp;$AB$3&amp;"*",
  unit_details[Leased Date], "&gt;=" &amp; ($X$2 - $AD$3)
),0)</f>
        <v>0</v>
      </c>
      <c r="AE135" s="734" cm="1">
        <f t="array" aca="true" ref="AE1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5" s="733" cm="1">
        <f t="array" aca="true" ref="AF135" ca="true">IFERROR(COUNTIFS(
  unit_details[Property Name], INDIRECT("B"&amp;ROW()),
  unit_details[Floorplan Name], INDIRECT("C"&amp;ROW()),
  unit_details[Beds], INDIRECT("D"&amp;ROW()),
  unit_details[Detected Unit Amenities], "&lt;&gt;*"&amp;$AB$3&amp;"*",
  unit_details[Leased Date], "&gt;=" &amp; ($X$2 - $AD$3)
),0)</f>
        <v>0</v>
      </c>
      <c r="AG135" s="735"/>
      <c r="AH135" s="738">
        <f t="shared" ca="true" si="4"/>
        <v>0</v>
      </c>
      <c r="AI135" s="739">
        <f t="shared" ca="true" si="5"/>
        <v>0</v>
      </c>
    </row>
    <row r="136" spans="2:35">
      <c r="B136" s="1"/>
      <c r="C136" s="80"/>
      <c r="E136" s="303"/>
      <c r="F136" s="303"/>
      <c r="J136" s="345"/>
      <c r="K136" s="6"/>
      <c r="M136" s="6"/>
      <c r="N136" s="738" t="str" cm="1">
        <f t="array" aca="true" ref="N136" ca="true">IFERROR(IF($O$3="Chunk Rent",
AVERAGEIFS('Unit-Level Data'!$O:$O,'Unit-Level Data'!$M:$M,TRUE,
          'Unit-Level Data'!$D:$D, INDIRECT("C"&amp;ROW()),
          'Unit-Level Data'!$B:$B, INDIRECT("B"&amp;ROW())),
AVERAGEIFS('Unit-Level Data'!$P:$P,'Unit-Level Data'!$M:$M,TRUE,
          'Unit-Level Data'!$D:$D, INDIRECT("C"&amp;ROW()),
          'Unit-Level Data'!$B:$B, INDIRECT("B"&amp;ROW()))),"")</f>
      </c>
      <c r="O136" s="760" t="str" cm="1">
        <f t="array" aca="true" ref="O136" ca="true">IFERROR(IF($O$3="Chunk Rent",
AVERAGEIFS('Unit-Level Data'!$Q:$Q,'Unit-Level Data'!$M:$M,TRUE,
          'Unit-Level Data'!$D:$D, INDIRECT("C"&amp;ROW()),
          'Unit-Level Data'!$B:$B, INDIRECT("B"&amp;ROW())),
AVERAGEIFS('Unit-Level Data'!$R:$R,'Unit-Level Data'!$M:$M,TRUE,
          'Unit-Level Data'!$D:$D, INDIRECT("C"&amp;ROW()),
          'Unit-Level Data'!$B:$B, INDIRECT("B"&amp;ROW()))),"")</f>
      </c>
      <c r="P136" s="733" cm="1">
        <f t="array" aca="true" ref="P136" ca="true">COUNTIFS('Unit-Level Data'!$M:$M,TRUE,
          'Unit-Level Data'!$D:$D, INDIRECT("C"&amp;ROW()),
          'Unit-Level Data'!$B:$B, INDIRECT("B"&amp;ROW()))</f>
        <v>0</v>
      </c>
      <c r="Q136" s="738" t="str" cm="1">
        <f t="array" aca="true" ref="Q1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6" s="760" t="str" cm="1">
        <f t="array" aca="true" ref="R1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6" s="733" cm="1">
        <f t="array" aca="true" ref="S136" ca="true">COUNTIFS('Unit-Level Data'!$L:$L, "&gt;=" &amp; ($X$2 - Q$5),
          'Unit-Level Data'!$L:$L, "&lt;" &amp; $X$2,
          'Unit-Level Data'!$D:$D, INDIRECT("C"&amp;ROW()),
          'Unit-Level Data'!$B:$B, INDIRECT("B"&amp;ROW()))</f>
        <v>0</v>
      </c>
      <c r="T136" s="738" t="str" cm="1">
        <f t="array" aca="true" ref="T1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6" s="760" t="str" cm="1">
        <f t="array" aca="true" ref="U1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6" s="733" cm="1">
        <f t="array" aca="true" ref="V136" ca="true">COUNTIFS('Unit-Level Data'!$L:$L, "&gt;=" &amp; ($X$2 - T$5),
          'Unit-Level Data'!$L:$L, "&lt;" &amp; $X$2,
          'Unit-Level Data'!$D:$D, INDIRECT("C"&amp;ROW()),
          'Unit-Level Data'!$B:$B, INDIRECT("B"&amp;ROW()))</f>
        <v>0</v>
      </c>
      <c r="W136" s="738" t="str" cm="1">
        <f t="array" aca="true" ref="W1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6" s="760" t="str" cm="1">
        <f t="array" aca="true" ref="X1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6" s="733" cm="1">
        <f t="array" aca="true" ref="Y136" ca="true">COUNTIFS('Unit-Level Data'!$L:$L, "&gt;=" &amp; ($X$2 - W$5),
          'Unit-Level Data'!$L:$L, "&lt;" &amp; $X$2,
          'Unit-Level Data'!$D:$D, INDIRECT("C"&amp;ROW()),
          'Unit-Level Data'!$B:$B, INDIRECT("B"&amp;ROW()))</f>
        <v>0</v>
      </c>
      <c r="Z136" s="761"/>
      <c r="AA136" s="735" cm="1">
        <f t="array" aca="true" ref="AA136" ca="true">IFERROR(AVERAGEIFS(
  unit_details[Sqft],
  unit_details[Property Name], INDIRECT("B"&amp;ROW()),
  unit_details[Floorplan Name], INDIRECT("C"&amp;ROW()),
  unit_details[Beds], INDIRECT("D"&amp;ROW()),
  unit_details[Detected Unit Amenities], "*"&amp;$AB$3&amp;"*",
  unit_details[Leased Date], "&gt;=" &amp; ($X$2 - $AD$3)
),0)</f>
        <v>0</v>
      </c>
      <c r="AB136" s="734" cm="1">
        <f t="array" aca="true" ref="AB1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6" s="733" cm="1">
        <f t="array" aca="true" ref="AC136" ca="true">IFERROR(COUNTIFS(
  unit_details[Property Name], INDIRECT("B"&amp;ROW()),
  unit_details[Floorplan Name], INDIRECT("C"&amp;ROW()),
  unit_details[Beds], INDIRECT("D"&amp;ROW()),
  unit_details[Detected Unit Amenities], "*"&amp;$AB$3&amp;"*",
  unit_details[Leased Date], "&gt;=" &amp; ($X$2 - $AD$3)
),0)</f>
        <v>0</v>
      </c>
      <c r="AD136" s="735" cm="1">
        <f t="array" aca="true" ref="AD136" ca="true">IFERROR(AVERAGEIFS(
  unit_details[Sqft],
  unit_details[Property Name], INDIRECT("B"&amp;ROW()),
  unit_details[Floorplan Name], INDIRECT("C"&amp;ROW()),
  unit_details[Beds], INDIRECT("D"&amp;ROW()),
  unit_details[Detected Unit Amenities], "&lt;&gt;*"&amp;$AB$3&amp;"*",
  unit_details[Leased Date], "&gt;=" &amp; ($X$2 - $AD$3)
),0)</f>
        <v>0</v>
      </c>
      <c r="AE136" s="734" cm="1">
        <f t="array" aca="true" ref="AE1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6" s="733" cm="1">
        <f t="array" aca="true" ref="AF136" ca="true">IFERROR(COUNTIFS(
  unit_details[Property Name], INDIRECT("B"&amp;ROW()),
  unit_details[Floorplan Name], INDIRECT("C"&amp;ROW()),
  unit_details[Beds], INDIRECT("D"&amp;ROW()),
  unit_details[Detected Unit Amenities], "&lt;&gt;*"&amp;$AB$3&amp;"*",
  unit_details[Leased Date], "&gt;=" &amp; ($X$2 - $AD$3)
),0)</f>
        <v>0</v>
      </c>
      <c r="AG136" s="735"/>
      <c r="AH136" s="738">
        <f t="shared" ca="true" si="4"/>
        <v>0</v>
      </c>
      <c r="AI136" s="739">
        <f t="shared" ca="true" si="5"/>
        <v>0</v>
      </c>
    </row>
    <row r="137" spans="2:35">
      <c r="B137" s="1"/>
      <c r="C137" s="80"/>
      <c r="E137" s="303"/>
      <c r="F137" s="303"/>
      <c r="J137" s="345"/>
      <c r="K137" s="6"/>
      <c r="M137" s="6"/>
      <c r="N137" s="738" t="str" cm="1">
        <f t="array" aca="true" ref="N137" ca="true">IFERROR(IF($O$3="Chunk Rent",
AVERAGEIFS('Unit-Level Data'!$O:$O,'Unit-Level Data'!$M:$M,TRUE,
          'Unit-Level Data'!$D:$D, INDIRECT("C"&amp;ROW()),
          'Unit-Level Data'!$B:$B, INDIRECT("B"&amp;ROW())),
AVERAGEIFS('Unit-Level Data'!$P:$P,'Unit-Level Data'!$M:$M,TRUE,
          'Unit-Level Data'!$D:$D, INDIRECT("C"&amp;ROW()),
          'Unit-Level Data'!$B:$B, INDIRECT("B"&amp;ROW()))),"")</f>
      </c>
      <c r="O137" s="760" t="str" cm="1">
        <f t="array" aca="true" ref="O137" ca="true">IFERROR(IF($O$3="Chunk Rent",
AVERAGEIFS('Unit-Level Data'!$Q:$Q,'Unit-Level Data'!$M:$M,TRUE,
          'Unit-Level Data'!$D:$D, INDIRECT("C"&amp;ROW()),
          'Unit-Level Data'!$B:$B, INDIRECT("B"&amp;ROW())),
AVERAGEIFS('Unit-Level Data'!$R:$R,'Unit-Level Data'!$M:$M,TRUE,
          'Unit-Level Data'!$D:$D, INDIRECT("C"&amp;ROW()),
          'Unit-Level Data'!$B:$B, INDIRECT("B"&amp;ROW()))),"")</f>
      </c>
      <c r="P137" s="733" cm="1">
        <f t="array" aca="true" ref="P137" ca="true">COUNTIFS('Unit-Level Data'!$M:$M,TRUE,
          'Unit-Level Data'!$D:$D, INDIRECT("C"&amp;ROW()),
          'Unit-Level Data'!$B:$B, INDIRECT("B"&amp;ROW()))</f>
        <v>0</v>
      </c>
      <c r="Q137" s="738" t="str" cm="1">
        <f t="array" aca="true" ref="Q1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7" s="760" t="str" cm="1">
        <f t="array" aca="true" ref="R1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7" s="733" cm="1">
        <f t="array" aca="true" ref="S137" ca="true">COUNTIFS('Unit-Level Data'!$L:$L, "&gt;=" &amp; ($X$2 - Q$5),
          'Unit-Level Data'!$L:$L, "&lt;" &amp; $X$2,
          'Unit-Level Data'!$D:$D, INDIRECT("C"&amp;ROW()),
          'Unit-Level Data'!$B:$B, INDIRECT("B"&amp;ROW()))</f>
        <v>0</v>
      </c>
      <c r="T137" s="738" t="str" cm="1">
        <f t="array" aca="true" ref="T1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7" s="760" t="str" cm="1">
        <f t="array" aca="true" ref="U1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7" s="733" cm="1">
        <f t="array" aca="true" ref="V137" ca="true">COUNTIFS('Unit-Level Data'!$L:$L, "&gt;=" &amp; ($X$2 - T$5),
          'Unit-Level Data'!$L:$L, "&lt;" &amp; $X$2,
          'Unit-Level Data'!$D:$D, INDIRECT("C"&amp;ROW()),
          'Unit-Level Data'!$B:$B, INDIRECT("B"&amp;ROW()))</f>
        <v>0</v>
      </c>
      <c r="W137" s="738" t="str" cm="1">
        <f t="array" aca="true" ref="W1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7" s="760" t="str" cm="1">
        <f t="array" aca="true" ref="X1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7" s="733" cm="1">
        <f t="array" aca="true" ref="Y137" ca="true">COUNTIFS('Unit-Level Data'!$L:$L, "&gt;=" &amp; ($X$2 - W$5),
          'Unit-Level Data'!$L:$L, "&lt;" &amp; $X$2,
          'Unit-Level Data'!$D:$D, INDIRECT("C"&amp;ROW()),
          'Unit-Level Data'!$B:$B, INDIRECT("B"&amp;ROW()))</f>
        <v>0</v>
      </c>
      <c r="Z137" s="761"/>
      <c r="AA137" s="735" cm="1">
        <f t="array" aca="true" ref="AA137" ca="true">IFERROR(AVERAGEIFS(
  unit_details[Sqft],
  unit_details[Property Name], INDIRECT("B"&amp;ROW()),
  unit_details[Floorplan Name], INDIRECT("C"&amp;ROW()),
  unit_details[Beds], INDIRECT("D"&amp;ROW()),
  unit_details[Detected Unit Amenities], "*"&amp;$AB$3&amp;"*",
  unit_details[Leased Date], "&gt;=" &amp; ($X$2 - $AD$3)
),0)</f>
        <v>0</v>
      </c>
      <c r="AB137" s="734" cm="1">
        <f t="array" aca="true" ref="AB1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7" s="733" cm="1">
        <f t="array" aca="true" ref="AC137" ca="true">IFERROR(COUNTIFS(
  unit_details[Property Name], INDIRECT("B"&amp;ROW()),
  unit_details[Floorplan Name], INDIRECT("C"&amp;ROW()),
  unit_details[Beds], INDIRECT("D"&amp;ROW()),
  unit_details[Detected Unit Amenities], "*"&amp;$AB$3&amp;"*",
  unit_details[Leased Date], "&gt;=" &amp; ($X$2 - $AD$3)
),0)</f>
        <v>0</v>
      </c>
      <c r="AD137" s="735" cm="1">
        <f t="array" aca="true" ref="AD137" ca="true">IFERROR(AVERAGEIFS(
  unit_details[Sqft],
  unit_details[Property Name], INDIRECT("B"&amp;ROW()),
  unit_details[Floorplan Name], INDIRECT("C"&amp;ROW()),
  unit_details[Beds], INDIRECT("D"&amp;ROW()),
  unit_details[Detected Unit Amenities], "&lt;&gt;*"&amp;$AB$3&amp;"*",
  unit_details[Leased Date], "&gt;=" &amp; ($X$2 - $AD$3)
),0)</f>
        <v>0</v>
      </c>
      <c r="AE137" s="734" cm="1">
        <f t="array" aca="true" ref="AE1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7" s="733" cm="1">
        <f t="array" aca="true" ref="AF137" ca="true">IFERROR(COUNTIFS(
  unit_details[Property Name], INDIRECT("B"&amp;ROW()),
  unit_details[Floorplan Name], INDIRECT("C"&amp;ROW()),
  unit_details[Beds], INDIRECT("D"&amp;ROW()),
  unit_details[Detected Unit Amenities], "&lt;&gt;*"&amp;$AB$3&amp;"*",
  unit_details[Leased Date], "&gt;=" &amp; ($X$2 - $AD$3)
),0)</f>
        <v>0</v>
      </c>
      <c r="AG137" s="735"/>
      <c r="AH137" s="738">
        <f t="shared" ref="AH137:AH200" ca="true" si="6">IF(OR(AB137=0,AE137=0),0,IFERROR(AB137-AE137,0))</f>
        <v>0</v>
      </c>
      <c r="AI137" s="739">
        <f t="shared" ref="AI137:AI200" ca="true" si="7">IFERROR(AH137/AE137,0)</f>
        <v>0</v>
      </c>
    </row>
    <row r="138" spans="2:35">
      <c r="B138" s="1"/>
      <c r="C138" s="80"/>
      <c r="E138" s="303"/>
      <c r="F138" s="303"/>
      <c r="J138" s="345"/>
      <c r="K138" s="6"/>
      <c r="M138" s="6"/>
      <c r="N138" s="738" t="str" cm="1">
        <f t="array" aca="true" ref="N138" ca="true">IFERROR(IF($O$3="Chunk Rent",
AVERAGEIFS('Unit-Level Data'!$O:$O,'Unit-Level Data'!$M:$M,TRUE,
          'Unit-Level Data'!$D:$D, INDIRECT("C"&amp;ROW()),
          'Unit-Level Data'!$B:$B, INDIRECT("B"&amp;ROW())),
AVERAGEIFS('Unit-Level Data'!$P:$P,'Unit-Level Data'!$M:$M,TRUE,
          'Unit-Level Data'!$D:$D, INDIRECT("C"&amp;ROW()),
          'Unit-Level Data'!$B:$B, INDIRECT("B"&amp;ROW()))),"")</f>
      </c>
      <c r="O138" s="760" t="str" cm="1">
        <f t="array" aca="true" ref="O138" ca="true">IFERROR(IF($O$3="Chunk Rent",
AVERAGEIFS('Unit-Level Data'!$Q:$Q,'Unit-Level Data'!$M:$M,TRUE,
          'Unit-Level Data'!$D:$D, INDIRECT("C"&amp;ROW()),
          'Unit-Level Data'!$B:$B, INDIRECT("B"&amp;ROW())),
AVERAGEIFS('Unit-Level Data'!$R:$R,'Unit-Level Data'!$M:$M,TRUE,
          'Unit-Level Data'!$D:$D, INDIRECT("C"&amp;ROW()),
          'Unit-Level Data'!$B:$B, INDIRECT("B"&amp;ROW()))),"")</f>
      </c>
      <c r="P138" s="733" cm="1">
        <f t="array" aca="true" ref="P138" ca="true">COUNTIFS('Unit-Level Data'!$M:$M,TRUE,
          'Unit-Level Data'!$D:$D, INDIRECT("C"&amp;ROW()),
          'Unit-Level Data'!$B:$B, INDIRECT("B"&amp;ROW()))</f>
        <v>0</v>
      </c>
      <c r="Q138" s="738" t="str" cm="1">
        <f t="array" aca="true" ref="Q1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8" s="760" t="str" cm="1">
        <f t="array" aca="true" ref="R1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8" s="733" cm="1">
        <f t="array" aca="true" ref="S138" ca="true">COUNTIFS('Unit-Level Data'!$L:$L, "&gt;=" &amp; ($X$2 - Q$5),
          'Unit-Level Data'!$L:$L, "&lt;" &amp; $X$2,
          'Unit-Level Data'!$D:$D, INDIRECT("C"&amp;ROW()),
          'Unit-Level Data'!$B:$B, INDIRECT("B"&amp;ROW()))</f>
        <v>0</v>
      </c>
      <c r="T138" s="738" t="str" cm="1">
        <f t="array" aca="true" ref="T1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8" s="760" t="str" cm="1">
        <f t="array" aca="true" ref="U1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8" s="733" cm="1">
        <f t="array" aca="true" ref="V138" ca="true">COUNTIFS('Unit-Level Data'!$L:$L, "&gt;=" &amp; ($X$2 - T$5),
          'Unit-Level Data'!$L:$L, "&lt;" &amp; $X$2,
          'Unit-Level Data'!$D:$D, INDIRECT("C"&amp;ROW()),
          'Unit-Level Data'!$B:$B, INDIRECT("B"&amp;ROW()))</f>
        <v>0</v>
      </c>
      <c r="W138" s="738" t="str" cm="1">
        <f t="array" aca="true" ref="W1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8" s="760" t="str" cm="1">
        <f t="array" aca="true" ref="X1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8" s="733" cm="1">
        <f t="array" aca="true" ref="Y138" ca="true">COUNTIFS('Unit-Level Data'!$L:$L, "&gt;=" &amp; ($X$2 - W$5),
          'Unit-Level Data'!$L:$L, "&lt;" &amp; $X$2,
          'Unit-Level Data'!$D:$D, INDIRECT("C"&amp;ROW()),
          'Unit-Level Data'!$B:$B, INDIRECT("B"&amp;ROW()))</f>
        <v>0</v>
      </c>
      <c r="Z138" s="761"/>
      <c r="AA138" s="735" cm="1">
        <f t="array" aca="true" ref="AA138" ca="true">IFERROR(AVERAGEIFS(
  unit_details[Sqft],
  unit_details[Property Name], INDIRECT("B"&amp;ROW()),
  unit_details[Floorplan Name], INDIRECT("C"&amp;ROW()),
  unit_details[Beds], INDIRECT("D"&amp;ROW()),
  unit_details[Detected Unit Amenities], "*"&amp;$AB$3&amp;"*",
  unit_details[Leased Date], "&gt;=" &amp; ($X$2 - $AD$3)
),0)</f>
        <v>0</v>
      </c>
      <c r="AB138" s="734" cm="1">
        <f t="array" aca="true" ref="AB1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8" s="733" cm="1">
        <f t="array" aca="true" ref="AC138" ca="true">IFERROR(COUNTIFS(
  unit_details[Property Name], INDIRECT("B"&amp;ROW()),
  unit_details[Floorplan Name], INDIRECT("C"&amp;ROW()),
  unit_details[Beds], INDIRECT("D"&amp;ROW()),
  unit_details[Detected Unit Amenities], "*"&amp;$AB$3&amp;"*",
  unit_details[Leased Date], "&gt;=" &amp; ($X$2 - $AD$3)
),0)</f>
        <v>0</v>
      </c>
      <c r="AD138" s="735" cm="1">
        <f t="array" aca="true" ref="AD138" ca="true">IFERROR(AVERAGEIFS(
  unit_details[Sqft],
  unit_details[Property Name], INDIRECT("B"&amp;ROW()),
  unit_details[Floorplan Name], INDIRECT("C"&amp;ROW()),
  unit_details[Beds], INDIRECT("D"&amp;ROW()),
  unit_details[Detected Unit Amenities], "&lt;&gt;*"&amp;$AB$3&amp;"*",
  unit_details[Leased Date], "&gt;=" &amp; ($X$2 - $AD$3)
),0)</f>
        <v>0</v>
      </c>
      <c r="AE138" s="734" cm="1">
        <f t="array" aca="true" ref="AE1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8" s="733" cm="1">
        <f t="array" aca="true" ref="AF138" ca="true">IFERROR(COUNTIFS(
  unit_details[Property Name], INDIRECT("B"&amp;ROW()),
  unit_details[Floorplan Name], INDIRECT("C"&amp;ROW()),
  unit_details[Beds], INDIRECT("D"&amp;ROW()),
  unit_details[Detected Unit Amenities], "&lt;&gt;*"&amp;$AB$3&amp;"*",
  unit_details[Leased Date], "&gt;=" &amp; ($X$2 - $AD$3)
),0)</f>
        <v>0</v>
      </c>
      <c r="AG138" s="735"/>
      <c r="AH138" s="738">
        <f t="shared" ca="true" si="6"/>
        <v>0</v>
      </c>
      <c r="AI138" s="739">
        <f t="shared" ca="true" si="7"/>
        <v>0</v>
      </c>
    </row>
    <row r="139" spans="2:35">
      <c r="B139" s="1"/>
      <c r="C139" s="80"/>
      <c r="E139" s="303"/>
      <c r="F139" s="303"/>
      <c r="J139" s="345"/>
      <c r="K139" s="6"/>
      <c r="M139" s="6"/>
      <c r="N139" s="738" t="str" cm="1">
        <f t="array" aca="true" ref="N139" ca="true">IFERROR(IF($O$3="Chunk Rent",
AVERAGEIFS('Unit-Level Data'!$O:$O,'Unit-Level Data'!$M:$M,TRUE,
          'Unit-Level Data'!$D:$D, INDIRECT("C"&amp;ROW()),
          'Unit-Level Data'!$B:$B, INDIRECT("B"&amp;ROW())),
AVERAGEIFS('Unit-Level Data'!$P:$P,'Unit-Level Data'!$M:$M,TRUE,
          'Unit-Level Data'!$D:$D, INDIRECT("C"&amp;ROW()),
          'Unit-Level Data'!$B:$B, INDIRECT("B"&amp;ROW()))),"")</f>
      </c>
      <c r="O139" s="760" t="str" cm="1">
        <f t="array" aca="true" ref="O139" ca="true">IFERROR(IF($O$3="Chunk Rent",
AVERAGEIFS('Unit-Level Data'!$Q:$Q,'Unit-Level Data'!$M:$M,TRUE,
          'Unit-Level Data'!$D:$D, INDIRECT("C"&amp;ROW()),
          'Unit-Level Data'!$B:$B, INDIRECT("B"&amp;ROW())),
AVERAGEIFS('Unit-Level Data'!$R:$R,'Unit-Level Data'!$M:$M,TRUE,
          'Unit-Level Data'!$D:$D, INDIRECT("C"&amp;ROW()),
          'Unit-Level Data'!$B:$B, INDIRECT("B"&amp;ROW()))),"")</f>
      </c>
      <c r="P139" s="733" cm="1">
        <f t="array" aca="true" ref="P139" ca="true">COUNTIFS('Unit-Level Data'!$M:$M,TRUE,
          'Unit-Level Data'!$D:$D, INDIRECT("C"&amp;ROW()),
          'Unit-Level Data'!$B:$B, INDIRECT("B"&amp;ROW()))</f>
        <v>0</v>
      </c>
      <c r="Q139" s="738" t="str" cm="1">
        <f t="array" aca="true" ref="Q1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9" s="760" t="str" cm="1">
        <f t="array" aca="true" ref="R1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9" s="733" cm="1">
        <f t="array" aca="true" ref="S139" ca="true">COUNTIFS('Unit-Level Data'!$L:$L, "&gt;=" &amp; ($X$2 - Q$5),
          'Unit-Level Data'!$L:$L, "&lt;" &amp; $X$2,
          'Unit-Level Data'!$D:$D, INDIRECT("C"&amp;ROW()),
          'Unit-Level Data'!$B:$B, INDIRECT("B"&amp;ROW()))</f>
        <v>0</v>
      </c>
      <c r="T139" s="738" t="str" cm="1">
        <f t="array" aca="true" ref="T1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9" s="760" t="str" cm="1">
        <f t="array" aca="true" ref="U1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9" s="733" cm="1">
        <f t="array" aca="true" ref="V139" ca="true">COUNTIFS('Unit-Level Data'!$L:$L, "&gt;=" &amp; ($X$2 - T$5),
          'Unit-Level Data'!$L:$L, "&lt;" &amp; $X$2,
          'Unit-Level Data'!$D:$D, INDIRECT("C"&amp;ROW()),
          'Unit-Level Data'!$B:$B, INDIRECT("B"&amp;ROW()))</f>
        <v>0</v>
      </c>
      <c r="W139" s="738" t="str" cm="1">
        <f t="array" aca="true" ref="W1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9" s="760" t="str" cm="1">
        <f t="array" aca="true" ref="X1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9" s="733" cm="1">
        <f t="array" aca="true" ref="Y139" ca="true">COUNTIFS('Unit-Level Data'!$L:$L, "&gt;=" &amp; ($X$2 - W$5),
          'Unit-Level Data'!$L:$L, "&lt;" &amp; $X$2,
          'Unit-Level Data'!$D:$D, INDIRECT("C"&amp;ROW()),
          'Unit-Level Data'!$B:$B, INDIRECT("B"&amp;ROW()))</f>
        <v>0</v>
      </c>
      <c r="Z139" s="761"/>
      <c r="AA139" s="735" cm="1">
        <f t="array" aca="true" ref="AA139" ca="true">IFERROR(AVERAGEIFS(
  unit_details[Sqft],
  unit_details[Property Name], INDIRECT("B"&amp;ROW()),
  unit_details[Floorplan Name], INDIRECT("C"&amp;ROW()),
  unit_details[Beds], INDIRECT("D"&amp;ROW()),
  unit_details[Detected Unit Amenities], "*"&amp;$AB$3&amp;"*",
  unit_details[Leased Date], "&gt;=" &amp; ($X$2 - $AD$3)
),0)</f>
        <v>0</v>
      </c>
      <c r="AB139" s="734" cm="1">
        <f t="array" aca="true" ref="AB1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9" s="733" cm="1">
        <f t="array" aca="true" ref="AC139" ca="true">IFERROR(COUNTIFS(
  unit_details[Property Name], INDIRECT("B"&amp;ROW()),
  unit_details[Floorplan Name], INDIRECT("C"&amp;ROW()),
  unit_details[Beds], INDIRECT("D"&amp;ROW()),
  unit_details[Detected Unit Amenities], "*"&amp;$AB$3&amp;"*",
  unit_details[Leased Date], "&gt;=" &amp; ($X$2 - $AD$3)
),0)</f>
        <v>0</v>
      </c>
      <c r="AD139" s="735" cm="1">
        <f t="array" aca="true" ref="AD139" ca="true">IFERROR(AVERAGEIFS(
  unit_details[Sqft],
  unit_details[Property Name], INDIRECT("B"&amp;ROW()),
  unit_details[Floorplan Name], INDIRECT("C"&amp;ROW()),
  unit_details[Beds], INDIRECT("D"&amp;ROW()),
  unit_details[Detected Unit Amenities], "&lt;&gt;*"&amp;$AB$3&amp;"*",
  unit_details[Leased Date], "&gt;=" &amp; ($X$2 - $AD$3)
),0)</f>
        <v>0</v>
      </c>
      <c r="AE139" s="734" cm="1">
        <f t="array" aca="true" ref="AE1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9" s="733" cm="1">
        <f t="array" aca="true" ref="AF139" ca="true">IFERROR(COUNTIFS(
  unit_details[Property Name], INDIRECT("B"&amp;ROW()),
  unit_details[Floorplan Name], INDIRECT("C"&amp;ROW()),
  unit_details[Beds], INDIRECT("D"&amp;ROW()),
  unit_details[Detected Unit Amenities], "&lt;&gt;*"&amp;$AB$3&amp;"*",
  unit_details[Leased Date], "&gt;=" &amp; ($X$2 - $AD$3)
),0)</f>
        <v>0</v>
      </c>
      <c r="AG139" s="735"/>
      <c r="AH139" s="738">
        <f t="shared" ca="true" si="6"/>
        <v>0</v>
      </c>
      <c r="AI139" s="739">
        <f t="shared" ca="true" si="7"/>
        <v>0</v>
      </c>
    </row>
    <row r="140" spans="2:35">
      <c r="B140" s="1"/>
      <c r="C140" s="80"/>
      <c r="E140" s="303"/>
      <c r="F140" s="303"/>
      <c r="J140" s="345"/>
      <c r="K140" s="6"/>
      <c r="M140" s="6"/>
      <c r="N140" s="738" t="str" cm="1">
        <f t="array" aca="true" ref="N140" ca="true">IFERROR(IF($O$3="Chunk Rent",
AVERAGEIFS('Unit-Level Data'!$O:$O,'Unit-Level Data'!$M:$M,TRUE,
          'Unit-Level Data'!$D:$D, INDIRECT("C"&amp;ROW()),
          'Unit-Level Data'!$B:$B, INDIRECT("B"&amp;ROW())),
AVERAGEIFS('Unit-Level Data'!$P:$P,'Unit-Level Data'!$M:$M,TRUE,
          'Unit-Level Data'!$D:$D, INDIRECT("C"&amp;ROW()),
          'Unit-Level Data'!$B:$B, INDIRECT("B"&amp;ROW()))),"")</f>
      </c>
      <c r="O140" s="760" t="str" cm="1">
        <f t="array" aca="true" ref="O140" ca="true">IFERROR(IF($O$3="Chunk Rent",
AVERAGEIFS('Unit-Level Data'!$Q:$Q,'Unit-Level Data'!$M:$M,TRUE,
          'Unit-Level Data'!$D:$D, INDIRECT("C"&amp;ROW()),
          'Unit-Level Data'!$B:$B, INDIRECT("B"&amp;ROW())),
AVERAGEIFS('Unit-Level Data'!$R:$R,'Unit-Level Data'!$M:$M,TRUE,
          'Unit-Level Data'!$D:$D, INDIRECT("C"&amp;ROW()),
          'Unit-Level Data'!$B:$B, INDIRECT("B"&amp;ROW()))),"")</f>
      </c>
      <c r="P140" s="733" cm="1">
        <f t="array" aca="true" ref="P140" ca="true">COUNTIFS('Unit-Level Data'!$M:$M,TRUE,
          'Unit-Level Data'!$D:$D, INDIRECT("C"&amp;ROW()),
          'Unit-Level Data'!$B:$B, INDIRECT("B"&amp;ROW()))</f>
        <v>0</v>
      </c>
      <c r="Q140" s="738" t="str" cm="1">
        <f t="array" aca="true" ref="Q1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0" s="760" t="str" cm="1">
        <f t="array" aca="true" ref="R1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0" s="733" cm="1">
        <f t="array" aca="true" ref="S140" ca="true">COUNTIFS('Unit-Level Data'!$L:$L, "&gt;=" &amp; ($X$2 - Q$5),
          'Unit-Level Data'!$L:$L, "&lt;" &amp; $X$2,
          'Unit-Level Data'!$D:$D, INDIRECT("C"&amp;ROW()),
          'Unit-Level Data'!$B:$B, INDIRECT("B"&amp;ROW()))</f>
        <v>0</v>
      </c>
      <c r="T140" s="738" t="str" cm="1">
        <f t="array" aca="true" ref="T1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0" s="760" t="str" cm="1">
        <f t="array" aca="true" ref="U1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0" s="733" cm="1">
        <f t="array" aca="true" ref="V140" ca="true">COUNTIFS('Unit-Level Data'!$L:$L, "&gt;=" &amp; ($X$2 - T$5),
          'Unit-Level Data'!$L:$L, "&lt;" &amp; $X$2,
          'Unit-Level Data'!$D:$D, INDIRECT("C"&amp;ROW()),
          'Unit-Level Data'!$B:$B, INDIRECT("B"&amp;ROW()))</f>
        <v>0</v>
      </c>
      <c r="W140" s="738" t="str" cm="1">
        <f t="array" aca="true" ref="W1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0" s="760" t="str" cm="1">
        <f t="array" aca="true" ref="X1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0" s="733" cm="1">
        <f t="array" aca="true" ref="Y140" ca="true">COUNTIFS('Unit-Level Data'!$L:$L, "&gt;=" &amp; ($X$2 - W$5),
          'Unit-Level Data'!$L:$L, "&lt;" &amp; $X$2,
          'Unit-Level Data'!$D:$D, INDIRECT("C"&amp;ROW()),
          'Unit-Level Data'!$B:$B, INDIRECT("B"&amp;ROW()))</f>
        <v>0</v>
      </c>
      <c r="Z140" s="761"/>
      <c r="AA140" s="735" cm="1">
        <f t="array" aca="true" ref="AA140" ca="true">IFERROR(AVERAGEIFS(
  unit_details[Sqft],
  unit_details[Property Name], INDIRECT("B"&amp;ROW()),
  unit_details[Floorplan Name], INDIRECT("C"&amp;ROW()),
  unit_details[Beds], INDIRECT("D"&amp;ROW()),
  unit_details[Detected Unit Amenities], "*"&amp;$AB$3&amp;"*",
  unit_details[Leased Date], "&gt;=" &amp; ($X$2 - $AD$3)
),0)</f>
        <v>0</v>
      </c>
      <c r="AB140" s="734" cm="1">
        <f t="array" aca="true" ref="AB1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0" s="733" cm="1">
        <f t="array" aca="true" ref="AC140" ca="true">IFERROR(COUNTIFS(
  unit_details[Property Name], INDIRECT("B"&amp;ROW()),
  unit_details[Floorplan Name], INDIRECT("C"&amp;ROW()),
  unit_details[Beds], INDIRECT("D"&amp;ROW()),
  unit_details[Detected Unit Amenities], "*"&amp;$AB$3&amp;"*",
  unit_details[Leased Date], "&gt;=" &amp; ($X$2 - $AD$3)
),0)</f>
        <v>0</v>
      </c>
      <c r="AD140" s="735" cm="1">
        <f t="array" aca="true" ref="AD140" ca="true">IFERROR(AVERAGEIFS(
  unit_details[Sqft],
  unit_details[Property Name], INDIRECT("B"&amp;ROW()),
  unit_details[Floorplan Name], INDIRECT("C"&amp;ROW()),
  unit_details[Beds], INDIRECT("D"&amp;ROW()),
  unit_details[Detected Unit Amenities], "&lt;&gt;*"&amp;$AB$3&amp;"*",
  unit_details[Leased Date], "&gt;=" &amp; ($X$2 - $AD$3)
),0)</f>
        <v>0</v>
      </c>
      <c r="AE140" s="734" cm="1">
        <f t="array" aca="true" ref="AE1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0" s="733" cm="1">
        <f t="array" aca="true" ref="AF140" ca="true">IFERROR(COUNTIFS(
  unit_details[Property Name], INDIRECT("B"&amp;ROW()),
  unit_details[Floorplan Name], INDIRECT("C"&amp;ROW()),
  unit_details[Beds], INDIRECT("D"&amp;ROW()),
  unit_details[Detected Unit Amenities], "&lt;&gt;*"&amp;$AB$3&amp;"*",
  unit_details[Leased Date], "&gt;=" &amp; ($X$2 - $AD$3)
),0)</f>
        <v>0</v>
      </c>
      <c r="AG140" s="735"/>
      <c r="AH140" s="738">
        <f t="shared" ca="true" si="6"/>
        <v>0</v>
      </c>
      <c r="AI140" s="739">
        <f t="shared" ca="true" si="7"/>
        <v>0</v>
      </c>
    </row>
    <row r="141" spans="2:35">
      <c r="B141" s="1"/>
      <c r="C141" s="80"/>
      <c r="E141" s="303"/>
      <c r="F141" s="303"/>
      <c r="J141" s="345"/>
      <c r="K141" s="6"/>
      <c r="M141" s="6"/>
      <c r="N141" s="738" t="str" cm="1">
        <f t="array" aca="true" ref="N141" ca="true">IFERROR(IF($O$3="Chunk Rent",
AVERAGEIFS('Unit-Level Data'!$O:$O,'Unit-Level Data'!$M:$M,TRUE,
          'Unit-Level Data'!$D:$D, INDIRECT("C"&amp;ROW()),
          'Unit-Level Data'!$B:$B, INDIRECT("B"&amp;ROW())),
AVERAGEIFS('Unit-Level Data'!$P:$P,'Unit-Level Data'!$M:$M,TRUE,
          'Unit-Level Data'!$D:$D, INDIRECT("C"&amp;ROW()),
          'Unit-Level Data'!$B:$B, INDIRECT("B"&amp;ROW()))),"")</f>
      </c>
      <c r="O141" s="760" t="str" cm="1">
        <f t="array" aca="true" ref="O141" ca="true">IFERROR(IF($O$3="Chunk Rent",
AVERAGEIFS('Unit-Level Data'!$Q:$Q,'Unit-Level Data'!$M:$M,TRUE,
          'Unit-Level Data'!$D:$D, INDIRECT("C"&amp;ROW()),
          'Unit-Level Data'!$B:$B, INDIRECT("B"&amp;ROW())),
AVERAGEIFS('Unit-Level Data'!$R:$R,'Unit-Level Data'!$M:$M,TRUE,
          'Unit-Level Data'!$D:$D, INDIRECT("C"&amp;ROW()),
          'Unit-Level Data'!$B:$B, INDIRECT("B"&amp;ROW()))),"")</f>
      </c>
      <c r="P141" s="733" cm="1">
        <f t="array" aca="true" ref="P141" ca="true">COUNTIFS('Unit-Level Data'!$M:$M,TRUE,
          'Unit-Level Data'!$D:$D, INDIRECT("C"&amp;ROW()),
          'Unit-Level Data'!$B:$B, INDIRECT("B"&amp;ROW()))</f>
        <v>0</v>
      </c>
      <c r="Q141" s="738" t="str" cm="1">
        <f t="array" aca="true" ref="Q1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1" s="760" t="str" cm="1">
        <f t="array" aca="true" ref="R1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1" s="733" cm="1">
        <f t="array" aca="true" ref="S141" ca="true">COUNTIFS('Unit-Level Data'!$L:$L, "&gt;=" &amp; ($X$2 - Q$5),
          'Unit-Level Data'!$L:$L, "&lt;" &amp; $X$2,
          'Unit-Level Data'!$D:$D, INDIRECT("C"&amp;ROW()),
          'Unit-Level Data'!$B:$B, INDIRECT("B"&amp;ROW()))</f>
        <v>0</v>
      </c>
      <c r="T141" s="738" t="str" cm="1">
        <f t="array" aca="true" ref="T1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1" s="760" t="str" cm="1">
        <f t="array" aca="true" ref="U1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1" s="733" cm="1">
        <f t="array" aca="true" ref="V141" ca="true">COUNTIFS('Unit-Level Data'!$L:$L, "&gt;=" &amp; ($X$2 - T$5),
          'Unit-Level Data'!$L:$L, "&lt;" &amp; $X$2,
          'Unit-Level Data'!$D:$D, INDIRECT("C"&amp;ROW()),
          'Unit-Level Data'!$B:$B, INDIRECT("B"&amp;ROW()))</f>
        <v>0</v>
      </c>
      <c r="W141" s="738" t="str" cm="1">
        <f t="array" aca="true" ref="W1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1" s="760" t="str" cm="1">
        <f t="array" aca="true" ref="X1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1" s="733" cm="1">
        <f t="array" aca="true" ref="Y141" ca="true">COUNTIFS('Unit-Level Data'!$L:$L, "&gt;=" &amp; ($X$2 - W$5),
          'Unit-Level Data'!$L:$L, "&lt;" &amp; $X$2,
          'Unit-Level Data'!$D:$D, INDIRECT("C"&amp;ROW()),
          'Unit-Level Data'!$B:$B, INDIRECT("B"&amp;ROW()))</f>
        <v>0</v>
      </c>
      <c r="Z141" s="761"/>
      <c r="AA141" s="735" cm="1">
        <f t="array" aca="true" ref="AA141" ca="true">IFERROR(AVERAGEIFS(
  unit_details[Sqft],
  unit_details[Property Name], INDIRECT("B"&amp;ROW()),
  unit_details[Floorplan Name], INDIRECT("C"&amp;ROW()),
  unit_details[Beds], INDIRECT("D"&amp;ROW()),
  unit_details[Detected Unit Amenities], "*"&amp;$AB$3&amp;"*",
  unit_details[Leased Date], "&gt;=" &amp; ($X$2 - $AD$3)
),0)</f>
        <v>0</v>
      </c>
      <c r="AB141" s="734" cm="1">
        <f t="array" aca="true" ref="AB1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1" s="733" cm="1">
        <f t="array" aca="true" ref="AC141" ca="true">IFERROR(COUNTIFS(
  unit_details[Property Name], INDIRECT("B"&amp;ROW()),
  unit_details[Floorplan Name], INDIRECT("C"&amp;ROW()),
  unit_details[Beds], INDIRECT("D"&amp;ROW()),
  unit_details[Detected Unit Amenities], "*"&amp;$AB$3&amp;"*",
  unit_details[Leased Date], "&gt;=" &amp; ($X$2 - $AD$3)
),0)</f>
        <v>0</v>
      </c>
      <c r="AD141" s="735" cm="1">
        <f t="array" aca="true" ref="AD141" ca="true">IFERROR(AVERAGEIFS(
  unit_details[Sqft],
  unit_details[Property Name], INDIRECT("B"&amp;ROW()),
  unit_details[Floorplan Name], INDIRECT("C"&amp;ROW()),
  unit_details[Beds], INDIRECT("D"&amp;ROW()),
  unit_details[Detected Unit Amenities], "&lt;&gt;*"&amp;$AB$3&amp;"*",
  unit_details[Leased Date], "&gt;=" &amp; ($X$2 - $AD$3)
),0)</f>
        <v>0</v>
      </c>
      <c r="AE141" s="734" cm="1">
        <f t="array" aca="true" ref="AE1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1" s="733" cm="1">
        <f t="array" aca="true" ref="AF141" ca="true">IFERROR(COUNTIFS(
  unit_details[Property Name], INDIRECT("B"&amp;ROW()),
  unit_details[Floorplan Name], INDIRECT("C"&amp;ROW()),
  unit_details[Beds], INDIRECT("D"&amp;ROW()),
  unit_details[Detected Unit Amenities], "&lt;&gt;*"&amp;$AB$3&amp;"*",
  unit_details[Leased Date], "&gt;=" &amp; ($X$2 - $AD$3)
),0)</f>
        <v>0</v>
      </c>
      <c r="AG141" s="735"/>
      <c r="AH141" s="738">
        <f t="shared" ca="true" si="6"/>
        <v>0</v>
      </c>
      <c r="AI141" s="739">
        <f t="shared" ca="true" si="7"/>
        <v>0</v>
      </c>
    </row>
    <row r="142" spans="2:35">
      <c r="B142" s="1"/>
      <c r="C142" s="80"/>
      <c r="E142" s="303"/>
      <c r="F142" s="303"/>
      <c r="J142" s="345"/>
      <c r="K142" s="6"/>
      <c r="M142" s="6"/>
      <c r="N142" s="738" t="str" cm="1">
        <f t="array" aca="true" ref="N142" ca="true">IFERROR(IF($O$3="Chunk Rent",
AVERAGEIFS('Unit-Level Data'!$O:$O,'Unit-Level Data'!$M:$M,TRUE,
          'Unit-Level Data'!$D:$D, INDIRECT("C"&amp;ROW()),
          'Unit-Level Data'!$B:$B, INDIRECT("B"&amp;ROW())),
AVERAGEIFS('Unit-Level Data'!$P:$P,'Unit-Level Data'!$M:$M,TRUE,
          'Unit-Level Data'!$D:$D, INDIRECT("C"&amp;ROW()),
          'Unit-Level Data'!$B:$B, INDIRECT("B"&amp;ROW()))),"")</f>
      </c>
      <c r="O142" s="760" t="str" cm="1">
        <f t="array" aca="true" ref="O142" ca="true">IFERROR(IF($O$3="Chunk Rent",
AVERAGEIFS('Unit-Level Data'!$Q:$Q,'Unit-Level Data'!$M:$M,TRUE,
          'Unit-Level Data'!$D:$D, INDIRECT("C"&amp;ROW()),
          'Unit-Level Data'!$B:$B, INDIRECT("B"&amp;ROW())),
AVERAGEIFS('Unit-Level Data'!$R:$R,'Unit-Level Data'!$M:$M,TRUE,
          'Unit-Level Data'!$D:$D, INDIRECT("C"&amp;ROW()),
          'Unit-Level Data'!$B:$B, INDIRECT("B"&amp;ROW()))),"")</f>
      </c>
      <c r="P142" s="733" cm="1">
        <f t="array" aca="true" ref="P142" ca="true">COUNTIFS('Unit-Level Data'!$M:$M,TRUE,
          'Unit-Level Data'!$D:$D, INDIRECT("C"&amp;ROW()),
          'Unit-Level Data'!$B:$B, INDIRECT("B"&amp;ROW()))</f>
        <v>0</v>
      </c>
      <c r="Q142" s="738" t="str" cm="1">
        <f t="array" aca="true" ref="Q1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2" s="760" t="str" cm="1">
        <f t="array" aca="true" ref="R1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2" s="733" cm="1">
        <f t="array" aca="true" ref="S142" ca="true">COUNTIFS('Unit-Level Data'!$L:$L, "&gt;=" &amp; ($X$2 - Q$5),
          'Unit-Level Data'!$L:$L, "&lt;" &amp; $X$2,
          'Unit-Level Data'!$D:$D, INDIRECT("C"&amp;ROW()),
          'Unit-Level Data'!$B:$B, INDIRECT("B"&amp;ROW()))</f>
        <v>0</v>
      </c>
      <c r="T142" s="738" t="str" cm="1">
        <f t="array" aca="true" ref="T1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2" s="760" t="str" cm="1">
        <f t="array" aca="true" ref="U1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2" s="733" cm="1">
        <f t="array" aca="true" ref="V142" ca="true">COUNTIFS('Unit-Level Data'!$L:$L, "&gt;=" &amp; ($X$2 - T$5),
          'Unit-Level Data'!$L:$L, "&lt;" &amp; $X$2,
          'Unit-Level Data'!$D:$D, INDIRECT("C"&amp;ROW()),
          'Unit-Level Data'!$B:$B, INDIRECT("B"&amp;ROW()))</f>
        <v>0</v>
      </c>
      <c r="W142" s="738" t="str" cm="1">
        <f t="array" aca="true" ref="W1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2" s="760" t="str" cm="1">
        <f t="array" aca="true" ref="X1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2" s="733" cm="1">
        <f t="array" aca="true" ref="Y142" ca="true">COUNTIFS('Unit-Level Data'!$L:$L, "&gt;=" &amp; ($X$2 - W$5),
          'Unit-Level Data'!$L:$L, "&lt;" &amp; $X$2,
          'Unit-Level Data'!$D:$D, INDIRECT("C"&amp;ROW()),
          'Unit-Level Data'!$B:$B, INDIRECT("B"&amp;ROW()))</f>
        <v>0</v>
      </c>
      <c r="Z142" s="761"/>
      <c r="AA142" s="735" cm="1">
        <f t="array" aca="true" ref="AA142" ca="true">IFERROR(AVERAGEIFS(
  unit_details[Sqft],
  unit_details[Property Name], INDIRECT("B"&amp;ROW()),
  unit_details[Floorplan Name], INDIRECT("C"&amp;ROW()),
  unit_details[Beds], INDIRECT("D"&amp;ROW()),
  unit_details[Detected Unit Amenities], "*"&amp;$AB$3&amp;"*",
  unit_details[Leased Date], "&gt;=" &amp; ($X$2 - $AD$3)
),0)</f>
        <v>0</v>
      </c>
      <c r="AB142" s="734" cm="1">
        <f t="array" aca="true" ref="AB1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2" s="733" cm="1">
        <f t="array" aca="true" ref="AC142" ca="true">IFERROR(COUNTIFS(
  unit_details[Property Name], INDIRECT("B"&amp;ROW()),
  unit_details[Floorplan Name], INDIRECT("C"&amp;ROW()),
  unit_details[Beds], INDIRECT("D"&amp;ROW()),
  unit_details[Detected Unit Amenities], "*"&amp;$AB$3&amp;"*",
  unit_details[Leased Date], "&gt;=" &amp; ($X$2 - $AD$3)
),0)</f>
        <v>0</v>
      </c>
      <c r="AD142" s="735" cm="1">
        <f t="array" aca="true" ref="AD142" ca="true">IFERROR(AVERAGEIFS(
  unit_details[Sqft],
  unit_details[Property Name], INDIRECT("B"&amp;ROW()),
  unit_details[Floorplan Name], INDIRECT("C"&amp;ROW()),
  unit_details[Beds], INDIRECT("D"&amp;ROW()),
  unit_details[Detected Unit Amenities], "&lt;&gt;*"&amp;$AB$3&amp;"*",
  unit_details[Leased Date], "&gt;=" &amp; ($X$2 - $AD$3)
),0)</f>
        <v>0</v>
      </c>
      <c r="AE142" s="734" cm="1">
        <f t="array" aca="true" ref="AE1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2" s="733" cm="1">
        <f t="array" aca="true" ref="AF142" ca="true">IFERROR(COUNTIFS(
  unit_details[Property Name], INDIRECT("B"&amp;ROW()),
  unit_details[Floorplan Name], INDIRECT("C"&amp;ROW()),
  unit_details[Beds], INDIRECT("D"&amp;ROW()),
  unit_details[Detected Unit Amenities], "&lt;&gt;*"&amp;$AB$3&amp;"*",
  unit_details[Leased Date], "&gt;=" &amp; ($X$2 - $AD$3)
),0)</f>
        <v>0</v>
      </c>
      <c r="AG142" s="735"/>
      <c r="AH142" s="738">
        <f t="shared" ca="true" si="6"/>
        <v>0</v>
      </c>
      <c r="AI142" s="739">
        <f t="shared" ca="true" si="7"/>
        <v>0</v>
      </c>
    </row>
    <row r="143" spans="2:35">
      <c r="B143" s="1"/>
      <c r="C143" s="80"/>
      <c r="E143" s="303"/>
      <c r="F143" s="303"/>
      <c r="J143" s="345"/>
      <c r="K143" s="6"/>
      <c r="M143" s="6"/>
      <c r="N143" s="738" t="str" cm="1">
        <f t="array" aca="true" ref="N143" ca="true">IFERROR(IF($O$3="Chunk Rent",
AVERAGEIFS('Unit-Level Data'!$O:$O,'Unit-Level Data'!$M:$M,TRUE,
          'Unit-Level Data'!$D:$D, INDIRECT("C"&amp;ROW()),
          'Unit-Level Data'!$B:$B, INDIRECT("B"&amp;ROW())),
AVERAGEIFS('Unit-Level Data'!$P:$P,'Unit-Level Data'!$M:$M,TRUE,
          'Unit-Level Data'!$D:$D, INDIRECT("C"&amp;ROW()),
          'Unit-Level Data'!$B:$B, INDIRECT("B"&amp;ROW()))),"")</f>
      </c>
      <c r="O143" s="760" t="str" cm="1">
        <f t="array" aca="true" ref="O143" ca="true">IFERROR(IF($O$3="Chunk Rent",
AVERAGEIFS('Unit-Level Data'!$Q:$Q,'Unit-Level Data'!$M:$M,TRUE,
          'Unit-Level Data'!$D:$D, INDIRECT("C"&amp;ROW()),
          'Unit-Level Data'!$B:$B, INDIRECT("B"&amp;ROW())),
AVERAGEIFS('Unit-Level Data'!$R:$R,'Unit-Level Data'!$M:$M,TRUE,
          'Unit-Level Data'!$D:$D, INDIRECT("C"&amp;ROW()),
          'Unit-Level Data'!$B:$B, INDIRECT("B"&amp;ROW()))),"")</f>
      </c>
      <c r="P143" s="733" cm="1">
        <f t="array" aca="true" ref="P143" ca="true">COUNTIFS('Unit-Level Data'!$M:$M,TRUE,
          'Unit-Level Data'!$D:$D, INDIRECT("C"&amp;ROW()),
          'Unit-Level Data'!$B:$B, INDIRECT("B"&amp;ROW()))</f>
        <v>0</v>
      </c>
      <c r="Q143" s="738" t="str" cm="1">
        <f t="array" aca="true" ref="Q1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3" s="760" t="str" cm="1">
        <f t="array" aca="true" ref="R1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3" s="733" cm="1">
        <f t="array" aca="true" ref="S143" ca="true">COUNTIFS('Unit-Level Data'!$L:$L, "&gt;=" &amp; ($X$2 - Q$5),
          'Unit-Level Data'!$L:$L, "&lt;" &amp; $X$2,
          'Unit-Level Data'!$D:$D, INDIRECT("C"&amp;ROW()),
          'Unit-Level Data'!$B:$B, INDIRECT("B"&amp;ROW()))</f>
        <v>0</v>
      </c>
      <c r="T143" s="738" t="str" cm="1">
        <f t="array" aca="true" ref="T1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3" s="760" t="str" cm="1">
        <f t="array" aca="true" ref="U1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3" s="733" cm="1">
        <f t="array" aca="true" ref="V143" ca="true">COUNTIFS('Unit-Level Data'!$L:$L, "&gt;=" &amp; ($X$2 - T$5),
          'Unit-Level Data'!$L:$L, "&lt;" &amp; $X$2,
          'Unit-Level Data'!$D:$D, INDIRECT("C"&amp;ROW()),
          'Unit-Level Data'!$B:$B, INDIRECT("B"&amp;ROW()))</f>
        <v>0</v>
      </c>
      <c r="W143" s="738" t="str" cm="1">
        <f t="array" aca="true" ref="W1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3" s="760" t="str" cm="1">
        <f t="array" aca="true" ref="X1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3" s="733" cm="1">
        <f t="array" aca="true" ref="Y143" ca="true">COUNTIFS('Unit-Level Data'!$L:$L, "&gt;=" &amp; ($X$2 - W$5),
          'Unit-Level Data'!$L:$L, "&lt;" &amp; $X$2,
          'Unit-Level Data'!$D:$D, INDIRECT("C"&amp;ROW()),
          'Unit-Level Data'!$B:$B, INDIRECT("B"&amp;ROW()))</f>
        <v>0</v>
      </c>
      <c r="Z143" s="761"/>
      <c r="AA143" s="735" cm="1">
        <f t="array" aca="true" ref="AA143" ca="true">IFERROR(AVERAGEIFS(
  unit_details[Sqft],
  unit_details[Property Name], INDIRECT("B"&amp;ROW()),
  unit_details[Floorplan Name], INDIRECT("C"&amp;ROW()),
  unit_details[Beds], INDIRECT("D"&amp;ROW()),
  unit_details[Detected Unit Amenities], "*"&amp;$AB$3&amp;"*",
  unit_details[Leased Date], "&gt;=" &amp; ($X$2 - $AD$3)
),0)</f>
        <v>0</v>
      </c>
      <c r="AB143" s="734" cm="1">
        <f t="array" aca="true" ref="AB1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3" s="733" cm="1">
        <f t="array" aca="true" ref="AC143" ca="true">IFERROR(COUNTIFS(
  unit_details[Property Name], INDIRECT("B"&amp;ROW()),
  unit_details[Floorplan Name], INDIRECT("C"&amp;ROW()),
  unit_details[Beds], INDIRECT("D"&amp;ROW()),
  unit_details[Detected Unit Amenities], "*"&amp;$AB$3&amp;"*",
  unit_details[Leased Date], "&gt;=" &amp; ($X$2 - $AD$3)
),0)</f>
        <v>0</v>
      </c>
      <c r="AD143" s="735" cm="1">
        <f t="array" aca="true" ref="AD143" ca="true">IFERROR(AVERAGEIFS(
  unit_details[Sqft],
  unit_details[Property Name], INDIRECT("B"&amp;ROW()),
  unit_details[Floorplan Name], INDIRECT("C"&amp;ROW()),
  unit_details[Beds], INDIRECT("D"&amp;ROW()),
  unit_details[Detected Unit Amenities], "&lt;&gt;*"&amp;$AB$3&amp;"*",
  unit_details[Leased Date], "&gt;=" &amp; ($X$2 - $AD$3)
),0)</f>
        <v>0</v>
      </c>
      <c r="AE143" s="734" cm="1">
        <f t="array" aca="true" ref="AE1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3" s="733" cm="1">
        <f t="array" aca="true" ref="AF143" ca="true">IFERROR(COUNTIFS(
  unit_details[Property Name], INDIRECT("B"&amp;ROW()),
  unit_details[Floorplan Name], INDIRECT("C"&amp;ROW()),
  unit_details[Beds], INDIRECT("D"&amp;ROW()),
  unit_details[Detected Unit Amenities], "&lt;&gt;*"&amp;$AB$3&amp;"*",
  unit_details[Leased Date], "&gt;=" &amp; ($X$2 - $AD$3)
),0)</f>
        <v>0</v>
      </c>
      <c r="AG143" s="735"/>
      <c r="AH143" s="738">
        <f t="shared" ca="true" si="6"/>
        <v>0</v>
      </c>
      <c r="AI143" s="739">
        <f t="shared" ca="true" si="7"/>
        <v>0</v>
      </c>
    </row>
    <row r="144" spans="2:35">
      <c r="B144" s="1"/>
      <c r="C144" s="80"/>
      <c r="E144" s="303"/>
      <c r="F144" s="303"/>
      <c r="J144" s="345"/>
      <c r="K144" s="6"/>
      <c r="M144" s="6"/>
      <c r="N144" s="738" t="str" cm="1">
        <f t="array" aca="true" ref="N144" ca="true">IFERROR(IF($O$3="Chunk Rent",
AVERAGEIFS('Unit-Level Data'!$O:$O,'Unit-Level Data'!$M:$M,TRUE,
          'Unit-Level Data'!$D:$D, INDIRECT("C"&amp;ROW()),
          'Unit-Level Data'!$B:$B, INDIRECT("B"&amp;ROW())),
AVERAGEIFS('Unit-Level Data'!$P:$P,'Unit-Level Data'!$M:$M,TRUE,
          'Unit-Level Data'!$D:$D, INDIRECT("C"&amp;ROW()),
          'Unit-Level Data'!$B:$B, INDIRECT("B"&amp;ROW()))),"")</f>
      </c>
      <c r="O144" s="760" t="str" cm="1">
        <f t="array" aca="true" ref="O144" ca="true">IFERROR(IF($O$3="Chunk Rent",
AVERAGEIFS('Unit-Level Data'!$Q:$Q,'Unit-Level Data'!$M:$M,TRUE,
          'Unit-Level Data'!$D:$D, INDIRECT("C"&amp;ROW()),
          'Unit-Level Data'!$B:$B, INDIRECT("B"&amp;ROW())),
AVERAGEIFS('Unit-Level Data'!$R:$R,'Unit-Level Data'!$M:$M,TRUE,
          'Unit-Level Data'!$D:$D, INDIRECT("C"&amp;ROW()),
          'Unit-Level Data'!$B:$B, INDIRECT("B"&amp;ROW()))),"")</f>
      </c>
      <c r="P144" s="733" cm="1">
        <f t="array" aca="true" ref="P144" ca="true">COUNTIFS('Unit-Level Data'!$M:$M,TRUE,
          'Unit-Level Data'!$D:$D, INDIRECT("C"&amp;ROW()),
          'Unit-Level Data'!$B:$B, INDIRECT("B"&amp;ROW()))</f>
        <v>0</v>
      </c>
      <c r="Q144" s="738" t="str" cm="1">
        <f t="array" aca="true" ref="Q1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4" s="760" t="str" cm="1">
        <f t="array" aca="true" ref="R1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4" s="733" cm="1">
        <f t="array" aca="true" ref="S144" ca="true">COUNTIFS('Unit-Level Data'!$L:$L, "&gt;=" &amp; ($X$2 - Q$5),
          'Unit-Level Data'!$L:$L, "&lt;" &amp; $X$2,
          'Unit-Level Data'!$D:$D, INDIRECT("C"&amp;ROW()),
          'Unit-Level Data'!$B:$B, INDIRECT("B"&amp;ROW()))</f>
        <v>0</v>
      </c>
      <c r="T144" s="738" t="str" cm="1">
        <f t="array" aca="true" ref="T1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4" s="760" t="str" cm="1">
        <f t="array" aca="true" ref="U1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4" s="733" cm="1">
        <f t="array" aca="true" ref="V144" ca="true">COUNTIFS('Unit-Level Data'!$L:$L, "&gt;=" &amp; ($X$2 - T$5),
          'Unit-Level Data'!$L:$L, "&lt;" &amp; $X$2,
          'Unit-Level Data'!$D:$D, INDIRECT("C"&amp;ROW()),
          'Unit-Level Data'!$B:$B, INDIRECT("B"&amp;ROW()))</f>
        <v>0</v>
      </c>
      <c r="W144" s="738" t="str" cm="1">
        <f t="array" aca="true" ref="W1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4" s="760" t="str" cm="1">
        <f t="array" aca="true" ref="X1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4" s="733" cm="1">
        <f t="array" aca="true" ref="Y144" ca="true">COUNTIFS('Unit-Level Data'!$L:$L, "&gt;=" &amp; ($X$2 - W$5),
          'Unit-Level Data'!$L:$L, "&lt;" &amp; $X$2,
          'Unit-Level Data'!$D:$D, INDIRECT("C"&amp;ROW()),
          'Unit-Level Data'!$B:$B, INDIRECT("B"&amp;ROW()))</f>
        <v>0</v>
      </c>
      <c r="Z144" s="761"/>
      <c r="AA144" s="735" cm="1">
        <f t="array" aca="true" ref="AA144" ca="true">IFERROR(AVERAGEIFS(
  unit_details[Sqft],
  unit_details[Property Name], INDIRECT("B"&amp;ROW()),
  unit_details[Floorplan Name], INDIRECT("C"&amp;ROW()),
  unit_details[Beds], INDIRECT("D"&amp;ROW()),
  unit_details[Detected Unit Amenities], "*"&amp;$AB$3&amp;"*",
  unit_details[Leased Date], "&gt;=" &amp; ($X$2 - $AD$3)
),0)</f>
        <v>0</v>
      </c>
      <c r="AB144" s="734" cm="1">
        <f t="array" aca="true" ref="AB1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4" s="733" cm="1">
        <f t="array" aca="true" ref="AC144" ca="true">IFERROR(COUNTIFS(
  unit_details[Property Name], INDIRECT("B"&amp;ROW()),
  unit_details[Floorplan Name], INDIRECT("C"&amp;ROW()),
  unit_details[Beds], INDIRECT("D"&amp;ROW()),
  unit_details[Detected Unit Amenities], "*"&amp;$AB$3&amp;"*",
  unit_details[Leased Date], "&gt;=" &amp; ($X$2 - $AD$3)
),0)</f>
        <v>0</v>
      </c>
      <c r="AD144" s="735" cm="1">
        <f t="array" aca="true" ref="AD144" ca="true">IFERROR(AVERAGEIFS(
  unit_details[Sqft],
  unit_details[Property Name], INDIRECT("B"&amp;ROW()),
  unit_details[Floorplan Name], INDIRECT("C"&amp;ROW()),
  unit_details[Beds], INDIRECT("D"&amp;ROW()),
  unit_details[Detected Unit Amenities], "&lt;&gt;*"&amp;$AB$3&amp;"*",
  unit_details[Leased Date], "&gt;=" &amp; ($X$2 - $AD$3)
),0)</f>
        <v>0</v>
      </c>
      <c r="AE144" s="734" cm="1">
        <f t="array" aca="true" ref="AE1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4" s="733" cm="1">
        <f t="array" aca="true" ref="AF144" ca="true">IFERROR(COUNTIFS(
  unit_details[Property Name], INDIRECT("B"&amp;ROW()),
  unit_details[Floorplan Name], INDIRECT("C"&amp;ROW()),
  unit_details[Beds], INDIRECT("D"&amp;ROW()),
  unit_details[Detected Unit Amenities], "&lt;&gt;*"&amp;$AB$3&amp;"*",
  unit_details[Leased Date], "&gt;=" &amp; ($X$2 - $AD$3)
),0)</f>
        <v>0</v>
      </c>
      <c r="AG144" s="735"/>
      <c r="AH144" s="738">
        <f t="shared" ca="true" si="6"/>
        <v>0</v>
      </c>
      <c r="AI144" s="739">
        <f t="shared" ca="true" si="7"/>
        <v>0</v>
      </c>
    </row>
    <row r="145" spans="2:35">
      <c r="B145" s="1"/>
      <c r="C145" s="80"/>
      <c r="E145" s="303"/>
      <c r="F145" s="303"/>
      <c r="J145" s="345"/>
      <c r="K145" s="6"/>
      <c r="M145" s="6"/>
      <c r="N145" s="738" t="str" cm="1">
        <f t="array" aca="true" ref="N145" ca="true">IFERROR(IF($O$3="Chunk Rent",
AVERAGEIFS('Unit-Level Data'!$O:$O,'Unit-Level Data'!$M:$M,TRUE,
          'Unit-Level Data'!$D:$D, INDIRECT("C"&amp;ROW()),
          'Unit-Level Data'!$B:$B, INDIRECT("B"&amp;ROW())),
AVERAGEIFS('Unit-Level Data'!$P:$P,'Unit-Level Data'!$M:$M,TRUE,
          'Unit-Level Data'!$D:$D, INDIRECT("C"&amp;ROW()),
          'Unit-Level Data'!$B:$B, INDIRECT("B"&amp;ROW()))),"")</f>
      </c>
      <c r="O145" s="760" t="str" cm="1">
        <f t="array" aca="true" ref="O145" ca="true">IFERROR(IF($O$3="Chunk Rent",
AVERAGEIFS('Unit-Level Data'!$Q:$Q,'Unit-Level Data'!$M:$M,TRUE,
          'Unit-Level Data'!$D:$D, INDIRECT("C"&amp;ROW()),
          'Unit-Level Data'!$B:$B, INDIRECT("B"&amp;ROW())),
AVERAGEIFS('Unit-Level Data'!$R:$R,'Unit-Level Data'!$M:$M,TRUE,
          'Unit-Level Data'!$D:$D, INDIRECT("C"&amp;ROW()),
          'Unit-Level Data'!$B:$B, INDIRECT("B"&amp;ROW()))),"")</f>
      </c>
      <c r="P145" s="733" cm="1">
        <f t="array" aca="true" ref="P145" ca="true">COUNTIFS('Unit-Level Data'!$M:$M,TRUE,
          'Unit-Level Data'!$D:$D, INDIRECT("C"&amp;ROW()),
          'Unit-Level Data'!$B:$B, INDIRECT("B"&amp;ROW()))</f>
        <v>0</v>
      </c>
      <c r="Q145" s="738" t="str" cm="1">
        <f t="array" aca="true" ref="Q1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5" s="760" t="str" cm="1">
        <f t="array" aca="true" ref="R1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5" s="733" cm="1">
        <f t="array" aca="true" ref="S145" ca="true">COUNTIFS('Unit-Level Data'!$L:$L, "&gt;=" &amp; ($X$2 - Q$5),
          'Unit-Level Data'!$L:$L, "&lt;" &amp; $X$2,
          'Unit-Level Data'!$D:$D, INDIRECT("C"&amp;ROW()),
          'Unit-Level Data'!$B:$B, INDIRECT("B"&amp;ROW()))</f>
        <v>0</v>
      </c>
      <c r="T145" s="738" t="str" cm="1">
        <f t="array" aca="true" ref="T1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5" s="760" t="str" cm="1">
        <f t="array" aca="true" ref="U1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5" s="733" cm="1">
        <f t="array" aca="true" ref="V145" ca="true">COUNTIFS('Unit-Level Data'!$L:$L, "&gt;=" &amp; ($X$2 - T$5),
          'Unit-Level Data'!$L:$L, "&lt;" &amp; $X$2,
          'Unit-Level Data'!$D:$D, INDIRECT("C"&amp;ROW()),
          'Unit-Level Data'!$B:$B, INDIRECT("B"&amp;ROW()))</f>
        <v>0</v>
      </c>
      <c r="W145" s="738" t="str" cm="1">
        <f t="array" aca="true" ref="W1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5" s="760" t="str" cm="1">
        <f t="array" aca="true" ref="X1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5" s="733" cm="1">
        <f t="array" aca="true" ref="Y145" ca="true">COUNTIFS('Unit-Level Data'!$L:$L, "&gt;=" &amp; ($X$2 - W$5),
          'Unit-Level Data'!$L:$L, "&lt;" &amp; $X$2,
          'Unit-Level Data'!$D:$D, INDIRECT("C"&amp;ROW()),
          'Unit-Level Data'!$B:$B, INDIRECT("B"&amp;ROW()))</f>
        <v>0</v>
      </c>
      <c r="Z145" s="761"/>
      <c r="AA145" s="735" cm="1">
        <f t="array" aca="true" ref="AA145" ca="true">IFERROR(AVERAGEIFS(
  unit_details[Sqft],
  unit_details[Property Name], INDIRECT("B"&amp;ROW()),
  unit_details[Floorplan Name], INDIRECT("C"&amp;ROW()),
  unit_details[Beds], INDIRECT("D"&amp;ROW()),
  unit_details[Detected Unit Amenities], "*"&amp;$AB$3&amp;"*",
  unit_details[Leased Date], "&gt;=" &amp; ($X$2 - $AD$3)
),0)</f>
        <v>0</v>
      </c>
      <c r="AB145" s="734" cm="1">
        <f t="array" aca="true" ref="AB1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5" s="733" cm="1">
        <f t="array" aca="true" ref="AC145" ca="true">IFERROR(COUNTIFS(
  unit_details[Property Name], INDIRECT("B"&amp;ROW()),
  unit_details[Floorplan Name], INDIRECT("C"&amp;ROW()),
  unit_details[Beds], INDIRECT("D"&amp;ROW()),
  unit_details[Detected Unit Amenities], "*"&amp;$AB$3&amp;"*",
  unit_details[Leased Date], "&gt;=" &amp; ($X$2 - $AD$3)
),0)</f>
        <v>0</v>
      </c>
      <c r="AD145" s="735" cm="1">
        <f t="array" aca="true" ref="AD145" ca="true">IFERROR(AVERAGEIFS(
  unit_details[Sqft],
  unit_details[Property Name], INDIRECT("B"&amp;ROW()),
  unit_details[Floorplan Name], INDIRECT("C"&amp;ROW()),
  unit_details[Beds], INDIRECT("D"&amp;ROW()),
  unit_details[Detected Unit Amenities], "&lt;&gt;*"&amp;$AB$3&amp;"*",
  unit_details[Leased Date], "&gt;=" &amp; ($X$2 - $AD$3)
),0)</f>
        <v>0</v>
      </c>
      <c r="AE145" s="734" cm="1">
        <f t="array" aca="true" ref="AE1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5" s="733" cm="1">
        <f t="array" aca="true" ref="AF145" ca="true">IFERROR(COUNTIFS(
  unit_details[Property Name], INDIRECT("B"&amp;ROW()),
  unit_details[Floorplan Name], INDIRECT("C"&amp;ROW()),
  unit_details[Beds], INDIRECT("D"&amp;ROW()),
  unit_details[Detected Unit Amenities], "&lt;&gt;*"&amp;$AB$3&amp;"*",
  unit_details[Leased Date], "&gt;=" &amp; ($X$2 - $AD$3)
),0)</f>
        <v>0</v>
      </c>
      <c r="AG145" s="735"/>
      <c r="AH145" s="738">
        <f t="shared" ca="true" si="6"/>
        <v>0</v>
      </c>
      <c r="AI145" s="739">
        <f t="shared" ca="true" si="7"/>
        <v>0</v>
      </c>
    </row>
    <row r="146" spans="2:35">
      <c r="B146" s="1"/>
      <c r="C146" s="80"/>
      <c r="E146" s="303"/>
      <c r="F146" s="303"/>
      <c r="J146" s="345"/>
      <c r="K146" s="6"/>
      <c r="M146" s="6"/>
      <c r="N146" s="738" t="str" cm="1">
        <f t="array" aca="true" ref="N146" ca="true">IFERROR(IF($O$3="Chunk Rent",
AVERAGEIFS('Unit-Level Data'!$O:$O,'Unit-Level Data'!$M:$M,TRUE,
          'Unit-Level Data'!$D:$D, INDIRECT("C"&amp;ROW()),
          'Unit-Level Data'!$B:$B, INDIRECT("B"&amp;ROW())),
AVERAGEIFS('Unit-Level Data'!$P:$P,'Unit-Level Data'!$M:$M,TRUE,
          'Unit-Level Data'!$D:$D, INDIRECT("C"&amp;ROW()),
          'Unit-Level Data'!$B:$B, INDIRECT("B"&amp;ROW()))),"")</f>
      </c>
      <c r="O146" s="760" t="str" cm="1">
        <f t="array" aca="true" ref="O146" ca="true">IFERROR(IF($O$3="Chunk Rent",
AVERAGEIFS('Unit-Level Data'!$Q:$Q,'Unit-Level Data'!$M:$M,TRUE,
          'Unit-Level Data'!$D:$D, INDIRECT("C"&amp;ROW()),
          'Unit-Level Data'!$B:$B, INDIRECT("B"&amp;ROW())),
AVERAGEIFS('Unit-Level Data'!$R:$R,'Unit-Level Data'!$M:$M,TRUE,
          'Unit-Level Data'!$D:$D, INDIRECT("C"&amp;ROW()),
          'Unit-Level Data'!$B:$B, INDIRECT("B"&amp;ROW()))),"")</f>
      </c>
      <c r="P146" s="733" cm="1">
        <f t="array" aca="true" ref="P146" ca="true">COUNTIFS('Unit-Level Data'!$M:$M,TRUE,
          'Unit-Level Data'!$D:$D, INDIRECT("C"&amp;ROW()),
          'Unit-Level Data'!$B:$B, INDIRECT("B"&amp;ROW()))</f>
        <v>0</v>
      </c>
      <c r="Q146" s="738" t="str" cm="1">
        <f t="array" aca="true" ref="Q1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6" s="760" t="str" cm="1">
        <f t="array" aca="true" ref="R1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6" s="733" cm="1">
        <f t="array" aca="true" ref="S146" ca="true">COUNTIFS('Unit-Level Data'!$L:$L, "&gt;=" &amp; ($X$2 - Q$5),
          'Unit-Level Data'!$L:$L, "&lt;" &amp; $X$2,
          'Unit-Level Data'!$D:$D, INDIRECT("C"&amp;ROW()),
          'Unit-Level Data'!$B:$B, INDIRECT("B"&amp;ROW()))</f>
        <v>0</v>
      </c>
      <c r="T146" s="738" t="str" cm="1">
        <f t="array" aca="true" ref="T1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6" s="760" t="str" cm="1">
        <f t="array" aca="true" ref="U1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6" s="733" cm="1">
        <f t="array" aca="true" ref="V146" ca="true">COUNTIFS('Unit-Level Data'!$L:$L, "&gt;=" &amp; ($X$2 - T$5),
          'Unit-Level Data'!$L:$L, "&lt;" &amp; $X$2,
          'Unit-Level Data'!$D:$D, INDIRECT("C"&amp;ROW()),
          'Unit-Level Data'!$B:$B, INDIRECT("B"&amp;ROW()))</f>
        <v>0</v>
      </c>
      <c r="W146" s="738" t="str" cm="1">
        <f t="array" aca="true" ref="W1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6" s="760" t="str" cm="1">
        <f t="array" aca="true" ref="X1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6" s="733" cm="1">
        <f t="array" aca="true" ref="Y146" ca="true">COUNTIFS('Unit-Level Data'!$L:$L, "&gt;=" &amp; ($X$2 - W$5),
          'Unit-Level Data'!$L:$L, "&lt;" &amp; $X$2,
          'Unit-Level Data'!$D:$D, INDIRECT("C"&amp;ROW()),
          'Unit-Level Data'!$B:$B, INDIRECT("B"&amp;ROW()))</f>
        <v>0</v>
      </c>
      <c r="Z146" s="761"/>
      <c r="AA146" s="735" cm="1">
        <f t="array" aca="true" ref="AA146" ca="true">IFERROR(AVERAGEIFS(
  unit_details[Sqft],
  unit_details[Property Name], INDIRECT("B"&amp;ROW()),
  unit_details[Floorplan Name], INDIRECT("C"&amp;ROW()),
  unit_details[Beds], INDIRECT("D"&amp;ROW()),
  unit_details[Detected Unit Amenities], "*"&amp;$AB$3&amp;"*",
  unit_details[Leased Date], "&gt;=" &amp; ($X$2 - $AD$3)
),0)</f>
        <v>0</v>
      </c>
      <c r="AB146" s="734" cm="1">
        <f t="array" aca="true" ref="AB1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6" s="733" cm="1">
        <f t="array" aca="true" ref="AC146" ca="true">IFERROR(COUNTIFS(
  unit_details[Property Name], INDIRECT("B"&amp;ROW()),
  unit_details[Floorplan Name], INDIRECT("C"&amp;ROW()),
  unit_details[Beds], INDIRECT("D"&amp;ROW()),
  unit_details[Detected Unit Amenities], "*"&amp;$AB$3&amp;"*",
  unit_details[Leased Date], "&gt;=" &amp; ($X$2 - $AD$3)
),0)</f>
        <v>0</v>
      </c>
      <c r="AD146" s="735" cm="1">
        <f t="array" aca="true" ref="AD146" ca="true">IFERROR(AVERAGEIFS(
  unit_details[Sqft],
  unit_details[Property Name], INDIRECT("B"&amp;ROW()),
  unit_details[Floorplan Name], INDIRECT("C"&amp;ROW()),
  unit_details[Beds], INDIRECT("D"&amp;ROW()),
  unit_details[Detected Unit Amenities], "&lt;&gt;*"&amp;$AB$3&amp;"*",
  unit_details[Leased Date], "&gt;=" &amp; ($X$2 - $AD$3)
),0)</f>
        <v>0</v>
      </c>
      <c r="AE146" s="734" cm="1">
        <f t="array" aca="true" ref="AE1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6" s="733" cm="1">
        <f t="array" aca="true" ref="AF146" ca="true">IFERROR(COUNTIFS(
  unit_details[Property Name], INDIRECT("B"&amp;ROW()),
  unit_details[Floorplan Name], INDIRECT("C"&amp;ROW()),
  unit_details[Beds], INDIRECT("D"&amp;ROW()),
  unit_details[Detected Unit Amenities], "&lt;&gt;*"&amp;$AB$3&amp;"*",
  unit_details[Leased Date], "&gt;=" &amp; ($X$2 - $AD$3)
),0)</f>
        <v>0</v>
      </c>
      <c r="AG146" s="735"/>
      <c r="AH146" s="738">
        <f t="shared" ca="true" si="6"/>
        <v>0</v>
      </c>
      <c r="AI146" s="739">
        <f t="shared" ca="true" si="7"/>
        <v>0</v>
      </c>
    </row>
    <row r="147" spans="2:35">
      <c r="B147" s="1"/>
      <c r="C147" s="80"/>
      <c r="E147" s="303"/>
      <c r="F147" s="303"/>
      <c r="J147" s="345"/>
      <c r="K147" s="6"/>
      <c r="M147" s="6"/>
      <c r="N147" s="738" t="str" cm="1">
        <f t="array" aca="true" ref="N147" ca="true">IFERROR(IF($O$3="Chunk Rent",
AVERAGEIFS('Unit-Level Data'!$O:$O,'Unit-Level Data'!$M:$M,TRUE,
          'Unit-Level Data'!$D:$D, INDIRECT("C"&amp;ROW()),
          'Unit-Level Data'!$B:$B, INDIRECT("B"&amp;ROW())),
AVERAGEIFS('Unit-Level Data'!$P:$P,'Unit-Level Data'!$M:$M,TRUE,
          'Unit-Level Data'!$D:$D, INDIRECT("C"&amp;ROW()),
          'Unit-Level Data'!$B:$B, INDIRECT("B"&amp;ROW()))),"")</f>
      </c>
      <c r="O147" s="760" t="str" cm="1">
        <f t="array" aca="true" ref="O147" ca="true">IFERROR(IF($O$3="Chunk Rent",
AVERAGEIFS('Unit-Level Data'!$Q:$Q,'Unit-Level Data'!$M:$M,TRUE,
          'Unit-Level Data'!$D:$D, INDIRECT("C"&amp;ROW()),
          'Unit-Level Data'!$B:$B, INDIRECT("B"&amp;ROW())),
AVERAGEIFS('Unit-Level Data'!$R:$R,'Unit-Level Data'!$M:$M,TRUE,
          'Unit-Level Data'!$D:$D, INDIRECT("C"&amp;ROW()),
          'Unit-Level Data'!$B:$B, INDIRECT("B"&amp;ROW()))),"")</f>
      </c>
      <c r="P147" s="733" cm="1">
        <f t="array" aca="true" ref="P147" ca="true">COUNTIFS('Unit-Level Data'!$M:$M,TRUE,
          'Unit-Level Data'!$D:$D, INDIRECT("C"&amp;ROW()),
          'Unit-Level Data'!$B:$B, INDIRECT("B"&amp;ROW()))</f>
        <v>0</v>
      </c>
      <c r="Q147" s="738" t="str" cm="1">
        <f t="array" aca="true" ref="Q1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7" s="760" t="str" cm="1">
        <f t="array" aca="true" ref="R1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7" s="733" cm="1">
        <f t="array" aca="true" ref="S147" ca="true">COUNTIFS('Unit-Level Data'!$L:$L, "&gt;=" &amp; ($X$2 - Q$5),
          'Unit-Level Data'!$L:$L, "&lt;" &amp; $X$2,
          'Unit-Level Data'!$D:$D, INDIRECT("C"&amp;ROW()),
          'Unit-Level Data'!$B:$B, INDIRECT("B"&amp;ROW()))</f>
        <v>0</v>
      </c>
      <c r="T147" s="738" t="str" cm="1">
        <f t="array" aca="true" ref="T1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7" s="760" t="str" cm="1">
        <f t="array" aca="true" ref="U1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7" s="733" cm="1">
        <f t="array" aca="true" ref="V147" ca="true">COUNTIFS('Unit-Level Data'!$L:$L, "&gt;=" &amp; ($X$2 - T$5),
          'Unit-Level Data'!$L:$L, "&lt;" &amp; $X$2,
          'Unit-Level Data'!$D:$D, INDIRECT("C"&amp;ROW()),
          'Unit-Level Data'!$B:$B, INDIRECT("B"&amp;ROW()))</f>
        <v>0</v>
      </c>
      <c r="W147" s="738" t="str" cm="1">
        <f t="array" aca="true" ref="W1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7" s="760" t="str" cm="1">
        <f t="array" aca="true" ref="X1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7" s="733" cm="1">
        <f t="array" aca="true" ref="Y147" ca="true">COUNTIFS('Unit-Level Data'!$L:$L, "&gt;=" &amp; ($X$2 - W$5),
          'Unit-Level Data'!$L:$L, "&lt;" &amp; $X$2,
          'Unit-Level Data'!$D:$D, INDIRECT("C"&amp;ROW()),
          'Unit-Level Data'!$B:$B, INDIRECT("B"&amp;ROW()))</f>
        <v>0</v>
      </c>
      <c r="Z147" s="761"/>
      <c r="AA147" s="735" cm="1">
        <f t="array" aca="true" ref="AA147" ca="true">IFERROR(AVERAGEIFS(
  unit_details[Sqft],
  unit_details[Property Name], INDIRECT("B"&amp;ROW()),
  unit_details[Floorplan Name], INDIRECT("C"&amp;ROW()),
  unit_details[Beds], INDIRECT("D"&amp;ROW()),
  unit_details[Detected Unit Amenities], "*"&amp;$AB$3&amp;"*",
  unit_details[Leased Date], "&gt;=" &amp; ($X$2 - $AD$3)
),0)</f>
        <v>0</v>
      </c>
      <c r="AB147" s="734" cm="1">
        <f t="array" aca="true" ref="AB1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7" s="733" cm="1">
        <f t="array" aca="true" ref="AC147" ca="true">IFERROR(COUNTIFS(
  unit_details[Property Name], INDIRECT("B"&amp;ROW()),
  unit_details[Floorplan Name], INDIRECT("C"&amp;ROW()),
  unit_details[Beds], INDIRECT("D"&amp;ROW()),
  unit_details[Detected Unit Amenities], "*"&amp;$AB$3&amp;"*",
  unit_details[Leased Date], "&gt;=" &amp; ($X$2 - $AD$3)
),0)</f>
        <v>0</v>
      </c>
      <c r="AD147" s="735" cm="1">
        <f t="array" aca="true" ref="AD147" ca="true">IFERROR(AVERAGEIFS(
  unit_details[Sqft],
  unit_details[Property Name], INDIRECT("B"&amp;ROW()),
  unit_details[Floorplan Name], INDIRECT("C"&amp;ROW()),
  unit_details[Beds], INDIRECT("D"&amp;ROW()),
  unit_details[Detected Unit Amenities], "&lt;&gt;*"&amp;$AB$3&amp;"*",
  unit_details[Leased Date], "&gt;=" &amp; ($X$2 - $AD$3)
),0)</f>
        <v>0</v>
      </c>
      <c r="AE147" s="734" cm="1">
        <f t="array" aca="true" ref="AE1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7" s="733" cm="1">
        <f t="array" aca="true" ref="AF147" ca="true">IFERROR(COUNTIFS(
  unit_details[Property Name], INDIRECT("B"&amp;ROW()),
  unit_details[Floorplan Name], INDIRECT("C"&amp;ROW()),
  unit_details[Beds], INDIRECT("D"&amp;ROW()),
  unit_details[Detected Unit Amenities], "&lt;&gt;*"&amp;$AB$3&amp;"*",
  unit_details[Leased Date], "&gt;=" &amp; ($X$2 - $AD$3)
),0)</f>
        <v>0</v>
      </c>
      <c r="AG147" s="735"/>
      <c r="AH147" s="738">
        <f t="shared" ca="true" si="6"/>
        <v>0</v>
      </c>
      <c r="AI147" s="739">
        <f t="shared" ca="true" si="7"/>
        <v>0</v>
      </c>
    </row>
    <row r="148" spans="2:35">
      <c r="B148" s="1"/>
      <c r="C148" s="80"/>
      <c r="E148" s="303"/>
      <c r="F148" s="303"/>
      <c r="J148" s="345"/>
      <c r="K148" s="6"/>
      <c r="M148" s="6"/>
      <c r="N148" s="738" t="str" cm="1">
        <f t="array" aca="true" ref="N148" ca="true">IFERROR(IF($O$3="Chunk Rent",
AVERAGEIFS('Unit-Level Data'!$O:$O,'Unit-Level Data'!$M:$M,TRUE,
          'Unit-Level Data'!$D:$D, INDIRECT("C"&amp;ROW()),
          'Unit-Level Data'!$B:$B, INDIRECT("B"&amp;ROW())),
AVERAGEIFS('Unit-Level Data'!$P:$P,'Unit-Level Data'!$M:$M,TRUE,
          'Unit-Level Data'!$D:$D, INDIRECT("C"&amp;ROW()),
          'Unit-Level Data'!$B:$B, INDIRECT("B"&amp;ROW()))),"")</f>
      </c>
      <c r="O148" s="760" t="str" cm="1">
        <f t="array" aca="true" ref="O148" ca="true">IFERROR(IF($O$3="Chunk Rent",
AVERAGEIFS('Unit-Level Data'!$Q:$Q,'Unit-Level Data'!$M:$M,TRUE,
          'Unit-Level Data'!$D:$D, INDIRECT("C"&amp;ROW()),
          'Unit-Level Data'!$B:$B, INDIRECT("B"&amp;ROW())),
AVERAGEIFS('Unit-Level Data'!$R:$R,'Unit-Level Data'!$M:$M,TRUE,
          'Unit-Level Data'!$D:$D, INDIRECT("C"&amp;ROW()),
          'Unit-Level Data'!$B:$B, INDIRECT("B"&amp;ROW()))),"")</f>
      </c>
      <c r="P148" s="733" cm="1">
        <f t="array" aca="true" ref="P148" ca="true">COUNTIFS('Unit-Level Data'!$M:$M,TRUE,
          'Unit-Level Data'!$D:$D, INDIRECT("C"&amp;ROW()),
          'Unit-Level Data'!$B:$B, INDIRECT("B"&amp;ROW()))</f>
        <v>0</v>
      </c>
      <c r="Q148" s="738" t="str" cm="1">
        <f t="array" aca="true" ref="Q1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8" s="760" t="str" cm="1">
        <f t="array" aca="true" ref="R1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8" s="733" cm="1">
        <f t="array" aca="true" ref="S148" ca="true">COUNTIFS('Unit-Level Data'!$L:$L, "&gt;=" &amp; ($X$2 - Q$5),
          'Unit-Level Data'!$L:$L, "&lt;" &amp; $X$2,
          'Unit-Level Data'!$D:$D, INDIRECT("C"&amp;ROW()),
          'Unit-Level Data'!$B:$B, INDIRECT("B"&amp;ROW()))</f>
        <v>0</v>
      </c>
      <c r="T148" s="738" t="str" cm="1">
        <f t="array" aca="true" ref="T1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8" s="760" t="str" cm="1">
        <f t="array" aca="true" ref="U1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8" s="733" cm="1">
        <f t="array" aca="true" ref="V148" ca="true">COUNTIFS('Unit-Level Data'!$L:$L, "&gt;=" &amp; ($X$2 - T$5),
          'Unit-Level Data'!$L:$L, "&lt;" &amp; $X$2,
          'Unit-Level Data'!$D:$D, INDIRECT("C"&amp;ROW()),
          'Unit-Level Data'!$B:$B, INDIRECT("B"&amp;ROW()))</f>
        <v>0</v>
      </c>
      <c r="W148" s="738" t="str" cm="1">
        <f t="array" aca="true" ref="W1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8" s="760" t="str" cm="1">
        <f t="array" aca="true" ref="X1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8" s="733" cm="1">
        <f t="array" aca="true" ref="Y148" ca="true">COUNTIFS('Unit-Level Data'!$L:$L, "&gt;=" &amp; ($X$2 - W$5),
          'Unit-Level Data'!$L:$L, "&lt;" &amp; $X$2,
          'Unit-Level Data'!$D:$D, INDIRECT("C"&amp;ROW()),
          'Unit-Level Data'!$B:$B, INDIRECT("B"&amp;ROW()))</f>
        <v>0</v>
      </c>
      <c r="Z148" s="761"/>
      <c r="AA148" s="735" cm="1">
        <f t="array" aca="true" ref="AA148" ca="true">IFERROR(AVERAGEIFS(
  unit_details[Sqft],
  unit_details[Property Name], INDIRECT("B"&amp;ROW()),
  unit_details[Floorplan Name], INDIRECT("C"&amp;ROW()),
  unit_details[Beds], INDIRECT("D"&amp;ROW()),
  unit_details[Detected Unit Amenities], "*"&amp;$AB$3&amp;"*",
  unit_details[Leased Date], "&gt;=" &amp; ($X$2 - $AD$3)
),0)</f>
        <v>0</v>
      </c>
      <c r="AB148" s="734" cm="1">
        <f t="array" aca="true" ref="AB1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8" s="733" cm="1">
        <f t="array" aca="true" ref="AC148" ca="true">IFERROR(COUNTIFS(
  unit_details[Property Name], INDIRECT("B"&amp;ROW()),
  unit_details[Floorplan Name], INDIRECT("C"&amp;ROW()),
  unit_details[Beds], INDIRECT("D"&amp;ROW()),
  unit_details[Detected Unit Amenities], "*"&amp;$AB$3&amp;"*",
  unit_details[Leased Date], "&gt;=" &amp; ($X$2 - $AD$3)
),0)</f>
        <v>0</v>
      </c>
      <c r="AD148" s="735" cm="1">
        <f t="array" aca="true" ref="AD148" ca="true">IFERROR(AVERAGEIFS(
  unit_details[Sqft],
  unit_details[Property Name], INDIRECT("B"&amp;ROW()),
  unit_details[Floorplan Name], INDIRECT("C"&amp;ROW()),
  unit_details[Beds], INDIRECT("D"&amp;ROW()),
  unit_details[Detected Unit Amenities], "&lt;&gt;*"&amp;$AB$3&amp;"*",
  unit_details[Leased Date], "&gt;=" &amp; ($X$2 - $AD$3)
),0)</f>
        <v>0</v>
      </c>
      <c r="AE148" s="734" cm="1">
        <f t="array" aca="true" ref="AE1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8" s="733" cm="1">
        <f t="array" aca="true" ref="AF148" ca="true">IFERROR(COUNTIFS(
  unit_details[Property Name], INDIRECT("B"&amp;ROW()),
  unit_details[Floorplan Name], INDIRECT("C"&amp;ROW()),
  unit_details[Beds], INDIRECT("D"&amp;ROW()),
  unit_details[Detected Unit Amenities], "&lt;&gt;*"&amp;$AB$3&amp;"*",
  unit_details[Leased Date], "&gt;=" &amp; ($X$2 - $AD$3)
),0)</f>
        <v>0</v>
      </c>
      <c r="AG148" s="735"/>
      <c r="AH148" s="738">
        <f t="shared" ca="true" si="6"/>
        <v>0</v>
      </c>
      <c r="AI148" s="739">
        <f t="shared" ca="true" si="7"/>
        <v>0</v>
      </c>
    </row>
    <row r="149" spans="2:35">
      <c r="B149" s="1"/>
      <c r="C149" s="80"/>
      <c r="E149" s="303"/>
      <c r="F149" s="303"/>
      <c r="J149" s="345"/>
      <c r="K149" s="6"/>
      <c r="M149" s="6"/>
      <c r="N149" s="738" t="str" cm="1">
        <f t="array" aca="true" ref="N149" ca="true">IFERROR(IF($O$3="Chunk Rent",
AVERAGEIFS('Unit-Level Data'!$O:$O,'Unit-Level Data'!$M:$M,TRUE,
          'Unit-Level Data'!$D:$D, INDIRECT("C"&amp;ROW()),
          'Unit-Level Data'!$B:$B, INDIRECT("B"&amp;ROW())),
AVERAGEIFS('Unit-Level Data'!$P:$P,'Unit-Level Data'!$M:$M,TRUE,
          'Unit-Level Data'!$D:$D, INDIRECT("C"&amp;ROW()),
          'Unit-Level Data'!$B:$B, INDIRECT("B"&amp;ROW()))),"")</f>
      </c>
      <c r="O149" s="760" t="str" cm="1">
        <f t="array" aca="true" ref="O149" ca="true">IFERROR(IF($O$3="Chunk Rent",
AVERAGEIFS('Unit-Level Data'!$Q:$Q,'Unit-Level Data'!$M:$M,TRUE,
          'Unit-Level Data'!$D:$D, INDIRECT("C"&amp;ROW()),
          'Unit-Level Data'!$B:$B, INDIRECT("B"&amp;ROW())),
AVERAGEIFS('Unit-Level Data'!$R:$R,'Unit-Level Data'!$M:$M,TRUE,
          'Unit-Level Data'!$D:$D, INDIRECT("C"&amp;ROW()),
          'Unit-Level Data'!$B:$B, INDIRECT("B"&amp;ROW()))),"")</f>
      </c>
      <c r="P149" s="733" cm="1">
        <f t="array" aca="true" ref="P149" ca="true">COUNTIFS('Unit-Level Data'!$M:$M,TRUE,
          'Unit-Level Data'!$D:$D, INDIRECT("C"&amp;ROW()),
          'Unit-Level Data'!$B:$B, INDIRECT("B"&amp;ROW()))</f>
        <v>0</v>
      </c>
      <c r="Q149" s="738" t="str" cm="1">
        <f t="array" aca="true" ref="Q1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9" s="760" t="str" cm="1">
        <f t="array" aca="true" ref="R1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9" s="733" cm="1">
        <f t="array" aca="true" ref="S149" ca="true">COUNTIFS('Unit-Level Data'!$L:$L, "&gt;=" &amp; ($X$2 - Q$5),
          'Unit-Level Data'!$L:$L, "&lt;" &amp; $X$2,
          'Unit-Level Data'!$D:$D, INDIRECT("C"&amp;ROW()),
          'Unit-Level Data'!$B:$B, INDIRECT("B"&amp;ROW()))</f>
        <v>0</v>
      </c>
      <c r="T149" s="738" t="str" cm="1">
        <f t="array" aca="true" ref="T1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9" s="760" t="str" cm="1">
        <f t="array" aca="true" ref="U1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9" s="733" cm="1">
        <f t="array" aca="true" ref="V149" ca="true">COUNTIFS('Unit-Level Data'!$L:$L, "&gt;=" &amp; ($X$2 - T$5),
          'Unit-Level Data'!$L:$L, "&lt;" &amp; $X$2,
          'Unit-Level Data'!$D:$D, INDIRECT("C"&amp;ROW()),
          'Unit-Level Data'!$B:$B, INDIRECT("B"&amp;ROW()))</f>
        <v>0</v>
      </c>
      <c r="W149" s="738" t="str" cm="1">
        <f t="array" aca="true" ref="W1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9" s="760" t="str" cm="1">
        <f t="array" aca="true" ref="X1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9" s="733" cm="1">
        <f t="array" aca="true" ref="Y149" ca="true">COUNTIFS('Unit-Level Data'!$L:$L, "&gt;=" &amp; ($X$2 - W$5),
          'Unit-Level Data'!$L:$L, "&lt;" &amp; $X$2,
          'Unit-Level Data'!$D:$D, INDIRECT("C"&amp;ROW()),
          'Unit-Level Data'!$B:$B, INDIRECT("B"&amp;ROW()))</f>
        <v>0</v>
      </c>
      <c r="Z149" s="761"/>
      <c r="AA149" s="735" cm="1">
        <f t="array" aca="true" ref="AA149" ca="true">IFERROR(AVERAGEIFS(
  unit_details[Sqft],
  unit_details[Property Name], INDIRECT("B"&amp;ROW()),
  unit_details[Floorplan Name], INDIRECT("C"&amp;ROW()),
  unit_details[Beds], INDIRECT("D"&amp;ROW()),
  unit_details[Detected Unit Amenities], "*"&amp;$AB$3&amp;"*",
  unit_details[Leased Date], "&gt;=" &amp; ($X$2 - $AD$3)
),0)</f>
        <v>0</v>
      </c>
      <c r="AB149" s="734" cm="1">
        <f t="array" aca="true" ref="AB1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9" s="733" cm="1">
        <f t="array" aca="true" ref="AC149" ca="true">IFERROR(COUNTIFS(
  unit_details[Property Name], INDIRECT("B"&amp;ROW()),
  unit_details[Floorplan Name], INDIRECT("C"&amp;ROW()),
  unit_details[Beds], INDIRECT("D"&amp;ROW()),
  unit_details[Detected Unit Amenities], "*"&amp;$AB$3&amp;"*",
  unit_details[Leased Date], "&gt;=" &amp; ($X$2 - $AD$3)
),0)</f>
        <v>0</v>
      </c>
      <c r="AD149" s="735" cm="1">
        <f t="array" aca="true" ref="AD149" ca="true">IFERROR(AVERAGEIFS(
  unit_details[Sqft],
  unit_details[Property Name], INDIRECT("B"&amp;ROW()),
  unit_details[Floorplan Name], INDIRECT("C"&amp;ROW()),
  unit_details[Beds], INDIRECT("D"&amp;ROW()),
  unit_details[Detected Unit Amenities], "&lt;&gt;*"&amp;$AB$3&amp;"*",
  unit_details[Leased Date], "&gt;=" &amp; ($X$2 - $AD$3)
),0)</f>
        <v>0</v>
      </c>
      <c r="AE149" s="734" cm="1">
        <f t="array" aca="true" ref="AE1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9" s="733" cm="1">
        <f t="array" aca="true" ref="AF149" ca="true">IFERROR(COUNTIFS(
  unit_details[Property Name], INDIRECT("B"&amp;ROW()),
  unit_details[Floorplan Name], INDIRECT("C"&amp;ROW()),
  unit_details[Beds], INDIRECT("D"&amp;ROW()),
  unit_details[Detected Unit Amenities], "&lt;&gt;*"&amp;$AB$3&amp;"*",
  unit_details[Leased Date], "&gt;=" &amp; ($X$2 - $AD$3)
),0)</f>
        <v>0</v>
      </c>
      <c r="AG149" s="735"/>
      <c r="AH149" s="738">
        <f t="shared" ca="true" si="6"/>
        <v>0</v>
      </c>
      <c r="AI149" s="739">
        <f t="shared" ca="true" si="7"/>
        <v>0</v>
      </c>
    </row>
    <row r="150" spans="2:35">
      <c r="B150" s="1"/>
      <c r="C150" s="80"/>
      <c r="E150" s="303"/>
      <c r="F150" s="303"/>
      <c r="J150" s="345"/>
      <c r="K150" s="6"/>
      <c r="M150" s="6"/>
      <c r="N150" s="738" t="str" cm="1">
        <f t="array" aca="true" ref="N150" ca="true">IFERROR(IF($O$3="Chunk Rent",
AVERAGEIFS('Unit-Level Data'!$O:$O,'Unit-Level Data'!$M:$M,TRUE,
          'Unit-Level Data'!$D:$D, INDIRECT("C"&amp;ROW()),
          'Unit-Level Data'!$B:$B, INDIRECT("B"&amp;ROW())),
AVERAGEIFS('Unit-Level Data'!$P:$P,'Unit-Level Data'!$M:$M,TRUE,
          'Unit-Level Data'!$D:$D, INDIRECT("C"&amp;ROW()),
          'Unit-Level Data'!$B:$B, INDIRECT("B"&amp;ROW()))),"")</f>
      </c>
      <c r="O150" s="760" t="str" cm="1">
        <f t="array" aca="true" ref="O150" ca="true">IFERROR(IF($O$3="Chunk Rent",
AVERAGEIFS('Unit-Level Data'!$Q:$Q,'Unit-Level Data'!$M:$M,TRUE,
          'Unit-Level Data'!$D:$D, INDIRECT("C"&amp;ROW()),
          'Unit-Level Data'!$B:$B, INDIRECT("B"&amp;ROW())),
AVERAGEIFS('Unit-Level Data'!$R:$R,'Unit-Level Data'!$M:$M,TRUE,
          'Unit-Level Data'!$D:$D, INDIRECT("C"&amp;ROW()),
          'Unit-Level Data'!$B:$B, INDIRECT("B"&amp;ROW()))),"")</f>
      </c>
      <c r="P150" s="733" cm="1">
        <f t="array" aca="true" ref="P150" ca="true">COUNTIFS('Unit-Level Data'!$M:$M,TRUE,
          'Unit-Level Data'!$D:$D, INDIRECT("C"&amp;ROW()),
          'Unit-Level Data'!$B:$B, INDIRECT("B"&amp;ROW()))</f>
        <v>0</v>
      </c>
      <c r="Q150" s="738" t="str" cm="1">
        <f t="array" aca="true" ref="Q1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0" s="760" t="str" cm="1">
        <f t="array" aca="true" ref="R1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0" s="733" cm="1">
        <f t="array" aca="true" ref="S150" ca="true">COUNTIFS('Unit-Level Data'!$L:$L, "&gt;=" &amp; ($X$2 - Q$5),
          'Unit-Level Data'!$L:$L, "&lt;" &amp; $X$2,
          'Unit-Level Data'!$D:$D, INDIRECT("C"&amp;ROW()),
          'Unit-Level Data'!$B:$B, INDIRECT("B"&amp;ROW()))</f>
        <v>0</v>
      </c>
      <c r="T150" s="738" t="str" cm="1">
        <f t="array" aca="true" ref="T1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0" s="760" t="str" cm="1">
        <f t="array" aca="true" ref="U1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0" s="733" cm="1">
        <f t="array" aca="true" ref="V150" ca="true">COUNTIFS('Unit-Level Data'!$L:$L, "&gt;=" &amp; ($X$2 - T$5),
          'Unit-Level Data'!$L:$L, "&lt;" &amp; $X$2,
          'Unit-Level Data'!$D:$D, INDIRECT("C"&amp;ROW()),
          'Unit-Level Data'!$B:$B, INDIRECT("B"&amp;ROW()))</f>
        <v>0</v>
      </c>
      <c r="W150" s="738" t="str" cm="1">
        <f t="array" aca="true" ref="W1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0" s="760" t="str" cm="1">
        <f t="array" aca="true" ref="X1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0" s="733" cm="1">
        <f t="array" aca="true" ref="Y150" ca="true">COUNTIFS('Unit-Level Data'!$L:$L, "&gt;=" &amp; ($X$2 - W$5),
          'Unit-Level Data'!$L:$L, "&lt;" &amp; $X$2,
          'Unit-Level Data'!$D:$D, INDIRECT("C"&amp;ROW()),
          'Unit-Level Data'!$B:$B, INDIRECT("B"&amp;ROW()))</f>
        <v>0</v>
      </c>
      <c r="Z150" s="761"/>
      <c r="AA150" s="735" cm="1">
        <f t="array" aca="true" ref="AA150" ca="true">IFERROR(AVERAGEIFS(
  unit_details[Sqft],
  unit_details[Property Name], INDIRECT("B"&amp;ROW()),
  unit_details[Floorplan Name], INDIRECT("C"&amp;ROW()),
  unit_details[Beds], INDIRECT("D"&amp;ROW()),
  unit_details[Detected Unit Amenities], "*"&amp;$AB$3&amp;"*",
  unit_details[Leased Date], "&gt;=" &amp; ($X$2 - $AD$3)
),0)</f>
        <v>0</v>
      </c>
      <c r="AB150" s="734" cm="1">
        <f t="array" aca="true" ref="AB1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0" s="733" cm="1">
        <f t="array" aca="true" ref="AC150" ca="true">IFERROR(COUNTIFS(
  unit_details[Property Name], INDIRECT("B"&amp;ROW()),
  unit_details[Floorplan Name], INDIRECT("C"&amp;ROW()),
  unit_details[Beds], INDIRECT("D"&amp;ROW()),
  unit_details[Detected Unit Amenities], "*"&amp;$AB$3&amp;"*",
  unit_details[Leased Date], "&gt;=" &amp; ($X$2 - $AD$3)
),0)</f>
        <v>0</v>
      </c>
      <c r="AD150" s="735" cm="1">
        <f t="array" aca="true" ref="AD150" ca="true">IFERROR(AVERAGEIFS(
  unit_details[Sqft],
  unit_details[Property Name], INDIRECT("B"&amp;ROW()),
  unit_details[Floorplan Name], INDIRECT("C"&amp;ROW()),
  unit_details[Beds], INDIRECT("D"&amp;ROW()),
  unit_details[Detected Unit Amenities], "&lt;&gt;*"&amp;$AB$3&amp;"*",
  unit_details[Leased Date], "&gt;=" &amp; ($X$2 - $AD$3)
),0)</f>
        <v>0</v>
      </c>
      <c r="AE150" s="734" cm="1">
        <f t="array" aca="true" ref="AE1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0" s="733" cm="1">
        <f t="array" aca="true" ref="AF150" ca="true">IFERROR(COUNTIFS(
  unit_details[Property Name], INDIRECT("B"&amp;ROW()),
  unit_details[Floorplan Name], INDIRECT("C"&amp;ROW()),
  unit_details[Beds], INDIRECT("D"&amp;ROW()),
  unit_details[Detected Unit Amenities], "&lt;&gt;*"&amp;$AB$3&amp;"*",
  unit_details[Leased Date], "&gt;=" &amp; ($X$2 - $AD$3)
),0)</f>
        <v>0</v>
      </c>
      <c r="AG150" s="735"/>
      <c r="AH150" s="738">
        <f t="shared" ca="true" si="6"/>
        <v>0</v>
      </c>
      <c r="AI150" s="739">
        <f t="shared" ca="true" si="7"/>
        <v>0</v>
      </c>
    </row>
    <row r="151" spans="2:35">
      <c r="B151" s="1"/>
      <c r="C151" s="80"/>
      <c r="E151" s="303"/>
      <c r="F151" s="303"/>
      <c r="J151" s="345"/>
      <c r="K151" s="6"/>
      <c r="M151" s="6"/>
      <c r="N151" s="738" t="str" cm="1">
        <f t="array" aca="true" ref="N151" ca="true">IFERROR(IF($O$3="Chunk Rent",
AVERAGEIFS('Unit-Level Data'!$O:$O,'Unit-Level Data'!$M:$M,TRUE,
          'Unit-Level Data'!$D:$D, INDIRECT("C"&amp;ROW()),
          'Unit-Level Data'!$B:$B, INDIRECT("B"&amp;ROW())),
AVERAGEIFS('Unit-Level Data'!$P:$P,'Unit-Level Data'!$M:$M,TRUE,
          'Unit-Level Data'!$D:$D, INDIRECT("C"&amp;ROW()),
          'Unit-Level Data'!$B:$B, INDIRECT("B"&amp;ROW()))),"")</f>
      </c>
      <c r="O151" s="760" t="str" cm="1">
        <f t="array" aca="true" ref="O151" ca="true">IFERROR(IF($O$3="Chunk Rent",
AVERAGEIFS('Unit-Level Data'!$Q:$Q,'Unit-Level Data'!$M:$M,TRUE,
          'Unit-Level Data'!$D:$D, INDIRECT("C"&amp;ROW()),
          'Unit-Level Data'!$B:$B, INDIRECT("B"&amp;ROW())),
AVERAGEIFS('Unit-Level Data'!$R:$R,'Unit-Level Data'!$M:$M,TRUE,
          'Unit-Level Data'!$D:$D, INDIRECT("C"&amp;ROW()),
          'Unit-Level Data'!$B:$B, INDIRECT("B"&amp;ROW()))),"")</f>
      </c>
      <c r="P151" s="733" cm="1">
        <f t="array" aca="true" ref="P151" ca="true">COUNTIFS('Unit-Level Data'!$M:$M,TRUE,
          'Unit-Level Data'!$D:$D, INDIRECT("C"&amp;ROW()),
          'Unit-Level Data'!$B:$B, INDIRECT("B"&amp;ROW()))</f>
        <v>0</v>
      </c>
      <c r="Q151" s="738" t="str" cm="1">
        <f t="array" aca="true" ref="Q1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1" s="760" t="str" cm="1">
        <f t="array" aca="true" ref="R1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1" s="733" cm="1">
        <f t="array" aca="true" ref="S151" ca="true">COUNTIFS('Unit-Level Data'!$L:$L, "&gt;=" &amp; ($X$2 - Q$5),
          'Unit-Level Data'!$L:$L, "&lt;" &amp; $X$2,
          'Unit-Level Data'!$D:$D, INDIRECT("C"&amp;ROW()),
          'Unit-Level Data'!$B:$B, INDIRECT("B"&amp;ROW()))</f>
        <v>0</v>
      </c>
      <c r="T151" s="738" t="str" cm="1">
        <f t="array" aca="true" ref="T1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1" s="760" t="str" cm="1">
        <f t="array" aca="true" ref="U1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1" s="733" cm="1">
        <f t="array" aca="true" ref="V151" ca="true">COUNTIFS('Unit-Level Data'!$L:$L, "&gt;=" &amp; ($X$2 - T$5),
          'Unit-Level Data'!$L:$L, "&lt;" &amp; $X$2,
          'Unit-Level Data'!$D:$D, INDIRECT("C"&amp;ROW()),
          'Unit-Level Data'!$B:$B, INDIRECT("B"&amp;ROW()))</f>
        <v>0</v>
      </c>
      <c r="W151" s="738" t="str" cm="1">
        <f t="array" aca="true" ref="W1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1" s="760" t="str" cm="1">
        <f t="array" aca="true" ref="X1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1" s="733" cm="1">
        <f t="array" aca="true" ref="Y151" ca="true">COUNTIFS('Unit-Level Data'!$L:$L, "&gt;=" &amp; ($X$2 - W$5),
          'Unit-Level Data'!$L:$L, "&lt;" &amp; $X$2,
          'Unit-Level Data'!$D:$D, INDIRECT("C"&amp;ROW()),
          'Unit-Level Data'!$B:$B, INDIRECT("B"&amp;ROW()))</f>
        <v>0</v>
      </c>
      <c r="Z151" s="761"/>
      <c r="AA151" s="735" cm="1">
        <f t="array" aca="true" ref="AA151" ca="true">IFERROR(AVERAGEIFS(
  unit_details[Sqft],
  unit_details[Property Name], INDIRECT("B"&amp;ROW()),
  unit_details[Floorplan Name], INDIRECT("C"&amp;ROW()),
  unit_details[Beds], INDIRECT("D"&amp;ROW()),
  unit_details[Detected Unit Amenities], "*"&amp;$AB$3&amp;"*",
  unit_details[Leased Date], "&gt;=" &amp; ($X$2 - $AD$3)
),0)</f>
        <v>0</v>
      </c>
      <c r="AB151" s="734" cm="1">
        <f t="array" aca="true" ref="AB1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1" s="733" cm="1">
        <f t="array" aca="true" ref="AC151" ca="true">IFERROR(COUNTIFS(
  unit_details[Property Name], INDIRECT("B"&amp;ROW()),
  unit_details[Floorplan Name], INDIRECT("C"&amp;ROW()),
  unit_details[Beds], INDIRECT("D"&amp;ROW()),
  unit_details[Detected Unit Amenities], "*"&amp;$AB$3&amp;"*",
  unit_details[Leased Date], "&gt;=" &amp; ($X$2 - $AD$3)
),0)</f>
        <v>0</v>
      </c>
      <c r="AD151" s="735" cm="1">
        <f t="array" aca="true" ref="AD151" ca="true">IFERROR(AVERAGEIFS(
  unit_details[Sqft],
  unit_details[Property Name], INDIRECT("B"&amp;ROW()),
  unit_details[Floorplan Name], INDIRECT("C"&amp;ROW()),
  unit_details[Beds], INDIRECT("D"&amp;ROW()),
  unit_details[Detected Unit Amenities], "&lt;&gt;*"&amp;$AB$3&amp;"*",
  unit_details[Leased Date], "&gt;=" &amp; ($X$2 - $AD$3)
),0)</f>
        <v>0</v>
      </c>
      <c r="AE151" s="734" cm="1">
        <f t="array" aca="true" ref="AE1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1" s="733" cm="1">
        <f t="array" aca="true" ref="AF151" ca="true">IFERROR(COUNTIFS(
  unit_details[Property Name], INDIRECT("B"&amp;ROW()),
  unit_details[Floorplan Name], INDIRECT("C"&amp;ROW()),
  unit_details[Beds], INDIRECT("D"&amp;ROW()),
  unit_details[Detected Unit Amenities], "&lt;&gt;*"&amp;$AB$3&amp;"*",
  unit_details[Leased Date], "&gt;=" &amp; ($X$2 - $AD$3)
),0)</f>
        <v>0</v>
      </c>
      <c r="AG151" s="735"/>
      <c r="AH151" s="738">
        <f t="shared" ca="true" si="6"/>
        <v>0</v>
      </c>
      <c r="AI151" s="739">
        <f t="shared" ca="true" si="7"/>
        <v>0</v>
      </c>
    </row>
    <row r="152" spans="2:35">
      <c r="B152" s="1"/>
      <c r="C152" s="80"/>
      <c r="E152" s="303"/>
      <c r="F152" s="303"/>
      <c r="J152" s="345"/>
      <c r="K152" s="6"/>
      <c r="M152" s="6"/>
      <c r="N152" s="738" t="str" cm="1">
        <f t="array" aca="true" ref="N152" ca="true">IFERROR(IF($O$3="Chunk Rent",
AVERAGEIFS('Unit-Level Data'!$O:$O,'Unit-Level Data'!$M:$M,TRUE,
          'Unit-Level Data'!$D:$D, INDIRECT("C"&amp;ROW()),
          'Unit-Level Data'!$B:$B, INDIRECT("B"&amp;ROW())),
AVERAGEIFS('Unit-Level Data'!$P:$P,'Unit-Level Data'!$M:$M,TRUE,
          'Unit-Level Data'!$D:$D, INDIRECT("C"&amp;ROW()),
          'Unit-Level Data'!$B:$B, INDIRECT("B"&amp;ROW()))),"")</f>
      </c>
      <c r="O152" s="760" t="str" cm="1">
        <f t="array" aca="true" ref="O152" ca="true">IFERROR(IF($O$3="Chunk Rent",
AVERAGEIFS('Unit-Level Data'!$Q:$Q,'Unit-Level Data'!$M:$M,TRUE,
          'Unit-Level Data'!$D:$D, INDIRECT("C"&amp;ROW()),
          'Unit-Level Data'!$B:$B, INDIRECT("B"&amp;ROW())),
AVERAGEIFS('Unit-Level Data'!$R:$R,'Unit-Level Data'!$M:$M,TRUE,
          'Unit-Level Data'!$D:$D, INDIRECT("C"&amp;ROW()),
          'Unit-Level Data'!$B:$B, INDIRECT("B"&amp;ROW()))),"")</f>
      </c>
      <c r="P152" s="733" cm="1">
        <f t="array" aca="true" ref="P152" ca="true">COUNTIFS('Unit-Level Data'!$M:$M,TRUE,
          'Unit-Level Data'!$D:$D, INDIRECT("C"&amp;ROW()),
          'Unit-Level Data'!$B:$B, INDIRECT("B"&amp;ROW()))</f>
        <v>0</v>
      </c>
      <c r="Q152" s="738" t="str" cm="1">
        <f t="array" aca="true" ref="Q1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2" s="760" t="str" cm="1">
        <f t="array" aca="true" ref="R1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2" s="733" cm="1">
        <f t="array" aca="true" ref="S152" ca="true">COUNTIFS('Unit-Level Data'!$L:$L, "&gt;=" &amp; ($X$2 - Q$5),
          'Unit-Level Data'!$L:$L, "&lt;" &amp; $X$2,
          'Unit-Level Data'!$D:$D, INDIRECT("C"&amp;ROW()),
          'Unit-Level Data'!$B:$B, INDIRECT("B"&amp;ROW()))</f>
        <v>0</v>
      </c>
      <c r="T152" s="738" t="str" cm="1">
        <f t="array" aca="true" ref="T1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2" s="760" t="str" cm="1">
        <f t="array" aca="true" ref="U1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2" s="733" cm="1">
        <f t="array" aca="true" ref="V152" ca="true">COUNTIFS('Unit-Level Data'!$L:$L, "&gt;=" &amp; ($X$2 - T$5),
          'Unit-Level Data'!$L:$L, "&lt;" &amp; $X$2,
          'Unit-Level Data'!$D:$D, INDIRECT("C"&amp;ROW()),
          'Unit-Level Data'!$B:$B, INDIRECT("B"&amp;ROW()))</f>
        <v>0</v>
      </c>
      <c r="W152" s="738" t="str" cm="1">
        <f t="array" aca="true" ref="W1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2" s="760" t="str" cm="1">
        <f t="array" aca="true" ref="X1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2" s="733" cm="1">
        <f t="array" aca="true" ref="Y152" ca="true">COUNTIFS('Unit-Level Data'!$L:$L, "&gt;=" &amp; ($X$2 - W$5),
          'Unit-Level Data'!$L:$L, "&lt;" &amp; $X$2,
          'Unit-Level Data'!$D:$D, INDIRECT("C"&amp;ROW()),
          'Unit-Level Data'!$B:$B, INDIRECT("B"&amp;ROW()))</f>
        <v>0</v>
      </c>
      <c r="Z152" s="761"/>
      <c r="AA152" s="735" cm="1">
        <f t="array" aca="true" ref="AA152" ca="true">IFERROR(AVERAGEIFS(
  unit_details[Sqft],
  unit_details[Property Name], INDIRECT("B"&amp;ROW()),
  unit_details[Floorplan Name], INDIRECT("C"&amp;ROW()),
  unit_details[Beds], INDIRECT("D"&amp;ROW()),
  unit_details[Detected Unit Amenities], "*"&amp;$AB$3&amp;"*",
  unit_details[Leased Date], "&gt;=" &amp; ($X$2 - $AD$3)
),0)</f>
        <v>0</v>
      </c>
      <c r="AB152" s="734" cm="1">
        <f t="array" aca="true" ref="AB1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2" s="733" cm="1">
        <f t="array" aca="true" ref="AC152" ca="true">IFERROR(COUNTIFS(
  unit_details[Property Name], INDIRECT("B"&amp;ROW()),
  unit_details[Floorplan Name], INDIRECT("C"&amp;ROW()),
  unit_details[Beds], INDIRECT("D"&amp;ROW()),
  unit_details[Detected Unit Amenities], "*"&amp;$AB$3&amp;"*",
  unit_details[Leased Date], "&gt;=" &amp; ($X$2 - $AD$3)
),0)</f>
        <v>0</v>
      </c>
      <c r="AD152" s="735" cm="1">
        <f t="array" aca="true" ref="AD152" ca="true">IFERROR(AVERAGEIFS(
  unit_details[Sqft],
  unit_details[Property Name], INDIRECT("B"&amp;ROW()),
  unit_details[Floorplan Name], INDIRECT("C"&amp;ROW()),
  unit_details[Beds], INDIRECT("D"&amp;ROW()),
  unit_details[Detected Unit Amenities], "&lt;&gt;*"&amp;$AB$3&amp;"*",
  unit_details[Leased Date], "&gt;=" &amp; ($X$2 - $AD$3)
),0)</f>
        <v>0</v>
      </c>
      <c r="AE152" s="734" cm="1">
        <f t="array" aca="true" ref="AE1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2" s="733" cm="1">
        <f t="array" aca="true" ref="AF152" ca="true">IFERROR(COUNTIFS(
  unit_details[Property Name], INDIRECT("B"&amp;ROW()),
  unit_details[Floorplan Name], INDIRECT("C"&amp;ROW()),
  unit_details[Beds], INDIRECT("D"&amp;ROW()),
  unit_details[Detected Unit Amenities], "&lt;&gt;*"&amp;$AB$3&amp;"*",
  unit_details[Leased Date], "&gt;=" &amp; ($X$2 - $AD$3)
),0)</f>
        <v>0</v>
      </c>
      <c r="AG152" s="735"/>
      <c r="AH152" s="738">
        <f t="shared" ca="true" si="6"/>
        <v>0</v>
      </c>
      <c r="AI152" s="739">
        <f t="shared" ca="true" si="7"/>
        <v>0</v>
      </c>
    </row>
    <row r="153" spans="2:35">
      <c r="B153" s="1"/>
      <c r="C153" s="80"/>
      <c r="E153" s="303"/>
      <c r="F153" s="303"/>
      <c r="J153" s="345"/>
      <c r="K153" s="6"/>
      <c r="M153" s="6"/>
      <c r="N153" s="738" t="str" cm="1">
        <f t="array" aca="true" ref="N153" ca="true">IFERROR(IF($O$3="Chunk Rent",
AVERAGEIFS('Unit-Level Data'!$O:$O,'Unit-Level Data'!$M:$M,TRUE,
          'Unit-Level Data'!$D:$D, INDIRECT("C"&amp;ROW()),
          'Unit-Level Data'!$B:$B, INDIRECT("B"&amp;ROW())),
AVERAGEIFS('Unit-Level Data'!$P:$P,'Unit-Level Data'!$M:$M,TRUE,
          'Unit-Level Data'!$D:$D, INDIRECT("C"&amp;ROW()),
          'Unit-Level Data'!$B:$B, INDIRECT("B"&amp;ROW()))),"")</f>
      </c>
      <c r="O153" s="760" t="str" cm="1">
        <f t="array" aca="true" ref="O153" ca="true">IFERROR(IF($O$3="Chunk Rent",
AVERAGEIFS('Unit-Level Data'!$Q:$Q,'Unit-Level Data'!$M:$M,TRUE,
          'Unit-Level Data'!$D:$D, INDIRECT("C"&amp;ROW()),
          'Unit-Level Data'!$B:$B, INDIRECT("B"&amp;ROW())),
AVERAGEIFS('Unit-Level Data'!$R:$R,'Unit-Level Data'!$M:$M,TRUE,
          'Unit-Level Data'!$D:$D, INDIRECT("C"&amp;ROW()),
          'Unit-Level Data'!$B:$B, INDIRECT("B"&amp;ROW()))),"")</f>
      </c>
      <c r="P153" s="733" cm="1">
        <f t="array" aca="true" ref="P153" ca="true">COUNTIFS('Unit-Level Data'!$M:$M,TRUE,
          'Unit-Level Data'!$D:$D, INDIRECT("C"&amp;ROW()),
          'Unit-Level Data'!$B:$B, INDIRECT("B"&amp;ROW()))</f>
        <v>0</v>
      </c>
      <c r="Q153" s="738" t="str" cm="1">
        <f t="array" aca="true" ref="Q1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3" s="760" t="str" cm="1">
        <f t="array" aca="true" ref="R1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3" s="733" cm="1">
        <f t="array" aca="true" ref="S153" ca="true">COUNTIFS('Unit-Level Data'!$L:$L, "&gt;=" &amp; ($X$2 - Q$5),
          'Unit-Level Data'!$L:$L, "&lt;" &amp; $X$2,
          'Unit-Level Data'!$D:$D, INDIRECT("C"&amp;ROW()),
          'Unit-Level Data'!$B:$B, INDIRECT("B"&amp;ROW()))</f>
        <v>0</v>
      </c>
      <c r="T153" s="738" t="str" cm="1">
        <f t="array" aca="true" ref="T1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3" s="760" t="str" cm="1">
        <f t="array" aca="true" ref="U1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3" s="733" cm="1">
        <f t="array" aca="true" ref="V153" ca="true">COUNTIFS('Unit-Level Data'!$L:$L, "&gt;=" &amp; ($X$2 - T$5),
          'Unit-Level Data'!$L:$L, "&lt;" &amp; $X$2,
          'Unit-Level Data'!$D:$D, INDIRECT("C"&amp;ROW()),
          'Unit-Level Data'!$B:$B, INDIRECT("B"&amp;ROW()))</f>
        <v>0</v>
      </c>
      <c r="W153" s="738" t="str" cm="1">
        <f t="array" aca="true" ref="W1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3" s="760" t="str" cm="1">
        <f t="array" aca="true" ref="X1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3" s="733" cm="1">
        <f t="array" aca="true" ref="Y153" ca="true">COUNTIFS('Unit-Level Data'!$L:$L, "&gt;=" &amp; ($X$2 - W$5),
          'Unit-Level Data'!$L:$L, "&lt;" &amp; $X$2,
          'Unit-Level Data'!$D:$D, INDIRECT("C"&amp;ROW()),
          'Unit-Level Data'!$B:$B, INDIRECT("B"&amp;ROW()))</f>
        <v>0</v>
      </c>
      <c r="Z153" s="761"/>
      <c r="AA153" s="735" cm="1">
        <f t="array" aca="true" ref="AA153" ca="true">IFERROR(AVERAGEIFS(
  unit_details[Sqft],
  unit_details[Property Name], INDIRECT("B"&amp;ROW()),
  unit_details[Floorplan Name], INDIRECT("C"&amp;ROW()),
  unit_details[Beds], INDIRECT("D"&amp;ROW()),
  unit_details[Detected Unit Amenities], "*"&amp;$AB$3&amp;"*",
  unit_details[Leased Date], "&gt;=" &amp; ($X$2 - $AD$3)
),0)</f>
        <v>0</v>
      </c>
      <c r="AB153" s="734" cm="1">
        <f t="array" aca="true" ref="AB1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3" s="733" cm="1">
        <f t="array" aca="true" ref="AC153" ca="true">IFERROR(COUNTIFS(
  unit_details[Property Name], INDIRECT("B"&amp;ROW()),
  unit_details[Floorplan Name], INDIRECT("C"&amp;ROW()),
  unit_details[Beds], INDIRECT("D"&amp;ROW()),
  unit_details[Detected Unit Amenities], "*"&amp;$AB$3&amp;"*",
  unit_details[Leased Date], "&gt;=" &amp; ($X$2 - $AD$3)
),0)</f>
        <v>0</v>
      </c>
      <c r="AD153" s="735" cm="1">
        <f t="array" aca="true" ref="AD153" ca="true">IFERROR(AVERAGEIFS(
  unit_details[Sqft],
  unit_details[Property Name], INDIRECT("B"&amp;ROW()),
  unit_details[Floorplan Name], INDIRECT("C"&amp;ROW()),
  unit_details[Beds], INDIRECT("D"&amp;ROW()),
  unit_details[Detected Unit Amenities], "&lt;&gt;*"&amp;$AB$3&amp;"*",
  unit_details[Leased Date], "&gt;=" &amp; ($X$2 - $AD$3)
),0)</f>
        <v>0</v>
      </c>
      <c r="AE153" s="734" cm="1">
        <f t="array" aca="true" ref="AE1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3" s="733" cm="1">
        <f t="array" aca="true" ref="AF153" ca="true">IFERROR(COUNTIFS(
  unit_details[Property Name], INDIRECT("B"&amp;ROW()),
  unit_details[Floorplan Name], INDIRECT("C"&amp;ROW()),
  unit_details[Beds], INDIRECT("D"&amp;ROW()),
  unit_details[Detected Unit Amenities], "&lt;&gt;*"&amp;$AB$3&amp;"*",
  unit_details[Leased Date], "&gt;=" &amp; ($X$2 - $AD$3)
),0)</f>
        <v>0</v>
      </c>
      <c r="AG153" s="735"/>
      <c r="AH153" s="738">
        <f t="shared" ca="true" si="6"/>
        <v>0</v>
      </c>
      <c r="AI153" s="739">
        <f t="shared" ca="true" si="7"/>
        <v>0</v>
      </c>
    </row>
    <row r="154" spans="2:35">
      <c r="B154" s="1"/>
      <c r="C154" s="80"/>
      <c r="E154" s="303"/>
      <c r="F154" s="303"/>
      <c r="J154" s="345"/>
      <c r="K154" s="6"/>
      <c r="M154" s="6"/>
      <c r="N154" s="738" t="str" cm="1">
        <f t="array" aca="true" ref="N154" ca="true">IFERROR(IF($O$3="Chunk Rent",
AVERAGEIFS('Unit-Level Data'!$O:$O,'Unit-Level Data'!$M:$M,TRUE,
          'Unit-Level Data'!$D:$D, INDIRECT("C"&amp;ROW()),
          'Unit-Level Data'!$B:$B, INDIRECT("B"&amp;ROW())),
AVERAGEIFS('Unit-Level Data'!$P:$P,'Unit-Level Data'!$M:$M,TRUE,
          'Unit-Level Data'!$D:$D, INDIRECT("C"&amp;ROW()),
          'Unit-Level Data'!$B:$B, INDIRECT("B"&amp;ROW()))),"")</f>
      </c>
      <c r="O154" s="760" t="str" cm="1">
        <f t="array" aca="true" ref="O154" ca="true">IFERROR(IF($O$3="Chunk Rent",
AVERAGEIFS('Unit-Level Data'!$Q:$Q,'Unit-Level Data'!$M:$M,TRUE,
          'Unit-Level Data'!$D:$D, INDIRECT("C"&amp;ROW()),
          'Unit-Level Data'!$B:$B, INDIRECT("B"&amp;ROW())),
AVERAGEIFS('Unit-Level Data'!$R:$R,'Unit-Level Data'!$M:$M,TRUE,
          'Unit-Level Data'!$D:$D, INDIRECT("C"&amp;ROW()),
          'Unit-Level Data'!$B:$B, INDIRECT("B"&amp;ROW()))),"")</f>
      </c>
      <c r="P154" s="733" cm="1">
        <f t="array" aca="true" ref="P154" ca="true">COUNTIFS('Unit-Level Data'!$M:$M,TRUE,
          'Unit-Level Data'!$D:$D, INDIRECT("C"&amp;ROW()),
          'Unit-Level Data'!$B:$B, INDIRECT("B"&amp;ROW()))</f>
        <v>0</v>
      </c>
      <c r="Q154" s="738" t="str" cm="1">
        <f t="array" aca="true" ref="Q1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4" s="760" t="str" cm="1">
        <f t="array" aca="true" ref="R1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4" s="733" cm="1">
        <f t="array" aca="true" ref="S154" ca="true">COUNTIFS('Unit-Level Data'!$L:$L, "&gt;=" &amp; ($X$2 - Q$5),
          'Unit-Level Data'!$L:$L, "&lt;" &amp; $X$2,
          'Unit-Level Data'!$D:$D, INDIRECT("C"&amp;ROW()),
          'Unit-Level Data'!$B:$B, INDIRECT("B"&amp;ROW()))</f>
        <v>0</v>
      </c>
      <c r="T154" s="738" t="str" cm="1">
        <f t="array" aca="true" ref="T1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4" s="760" t="str" cm="1">
        <f t="array" aca="true" ref="U1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4" s="733" cm="1">
        <f t="array" aca="true" ref="V154" ca="true">COUNTIFS('Unit-Level Data'!$L:$L, "&gt;=" &amp; ($X$2 - T$5),
          'Unit-Level Data'!$L:$L, "&lt;" &amp; $X$2,
          'Unit-Level Data'!$D:$D, INDIRECT("C"&amp;ROW()),
          'Unit-Level Data'!$B:$B, INDIRECT("B"&amp;ROW()))</f>
        <v>0</v>
      </c>
      <c r="W154" s="738" t="str" cm="1">
        <f t="array" aca="true" ref="W1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4" s="760" t="str" cm="1">
        <f t="array" aca="true" ref="X1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4" s="733" cm="1">
        <f t="array" aca="true" ref="Y154" ca="true">COUNTIFS('Unit-Level Data'!$L:$L, "&gt;=" &amp; ($X$2 - W$5),
          'Unit-Level Data'!$L:$L, "&lt;" &amp; $X$2,
          'Unit-Level Data'!$D:$D, INDIRECT("C"&amp;ROW()),
          'Unit-Level Data'!$B:$B, INDIRECT("B"&amp;ROW()))</f>
        <v>0</v>
      </c>
      <c r="Z154" s="761"/>
      <c r="AA154" s="735" cm="1">
        <f t="array" aca="true" ref="AA154" ca="true">IFERROR(AVERAGEIFS(
  unit_details[Sqft],
  unit_details[Property Name], INDIRECT("B"&amp;ROW()),
  unit_details[Floorplan Name], INDIRECT("C"&amp;ROW()),
  unit_details[Beds], INDIRECT("D"&amp;ROW()),
  unit_details[Detected Unit Amenities], "*"&amp;$AB$3&amp;"*",
  unit_details[Leased Date], "&gt;=" &amp; ($X$2 - $AD$3)
),0)</f>
        <v>0</v>
      </c>
      <c r="AB154" s="734" cm="1">
        <f t="array" aca="true" ref="AB1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4" s="733" cm="1">
        <f t="array" aca="true" ref="AC154" ca="true">IFERROR(COUNTIFS(
  unit_details[Property Name], INDIRECT("B"&amp;ROW()),
  unit_details[Floorplan Name], INDIRECT("C"&amp;ROW()),
  unit_details[Beds], INDIRECT("D"&amp;ROW()),
  unit_details[Detected Unit Amenities], "*"&amp;$AB$3&amp;"*",
  unit_details[Leased Date], "&gt;=" &amp; ($X$2 - $AD$3)
),0)</f>
        <v>0</v>
      </c>
      <c r="AD154" s="735" cm="1">
        <f t="array" aca="true" ref="AD154" ca="true">IFERROR(AVERAGEIFS(
  unit_details[Sqft],
  unit_details[Property Name], INDIRECT("B"&amp;ROW()),
  unit_details[Floorplan Name], INDIRECT("C"&amp;ROW()),
  unit_details[Beds], INDIRECT("D"&amp;ROW()),
  unit_details[Detected Unit Amenities], "&lt;&gt;*"&amp;$AB$3&amp;"*",
  unit_details[Leased Date], "&gt;=" &amp; ($X$2 - $AD$3)
),0)</f>
        <v>0</v>
      </c>
      <c r="AE154" s="734" cm="1">
        <f t="array" aca="true" ref="AE1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4" s="733" cm="1">
        <f t="array" aca="true" ref="AF154" ca="true">IFERROR(COUNTIFS(
  unit_details[Property Name], INDIRECT("B"&amp;ROW()),
  unit_details[Floorplan Name], INDIRECT("C"&amp;ROW()),
  unit_details[Beds], INDIRECT("D"&amp;ROW()),
  unit_details[Detected Unit Amenities], "&lt;&gt;*"&amp;$AB$3&amp;"*",
  unit_details[Leased Date], "&gt;=" &amp; ($X$2 - $AD$3)
),0)</f>
        <v>0</v>
      </c>
      <c r="AG154" s="735"/>
      <c r="AH154" s="738">
        <f t="shared" ca="true" si="6"/>
        <v>0</v>
      </c>
      <c r="AI154" s="739">
        <f t="shared" ca="true" si="7"/>
        <v>0</v>
      </c>
    </row>
    <row r="155" spans="2:35">
      <c r="B155" s="1"/>
      <c r="C155" s="80"/>
      <c r="E155" s="303"/>
      <c r="F155" s="303"/>
      <c r="J155" s="345"/>
      <c r="K155" s="6"/>
      <c r="M155" s="6"/>
      <c r="N155" s="738" t="str" cm="1">
        <f t="array" aca="true" ref="N155" ca="true">IFERROR(IF($O$3="Chunk Rent",
AVERAGEIFS('Unit-Level Data'!$O:$O,'Unit-Level Data'!$M:$M,TRUE,
          'Unit-Level Data'!$D:$D, INDIRECT("C"&amp;ROW()),
          'Unit-Level Data'!$B:$B, INDIRECT("B"&amp;ROW())),
AVERAGEIFS('Unit-Level Data'!$P:$P,'Unit-Level Data'!$M:$M,TRUE,
          'Unit-Level Data'!$D:$D, INDIRECT("C"&amp;ROW()),
          'Unit-Level Data'!$B:$B, INDIRECT("B"&amp;ROW()))),"")</f>
      </c>
      <c r="O155" s="760" t="str" cm="1">
        <f t="array" aca="true" ref="O155" ca="true">IFERROR(IF($O$3="Chunk Rent",
AVERAGEIFS('Unit-Level Data'!$Q:$Q,'Unit-Level Data'!$M:$M,TRUE,
          'Unit-Level Data'!$D:$D, INDIRECT("C"&amp;ROW()),
          'Unit-Level Data'!$B:$B, INDIRECT("B"&amp;ROW())),
AVERAGEIFS('Unit-Level Data'!$R:$R,'Unit-Level Data'!$M:$M,TRUE,
          'Unit-Level Data'!$D:$D, INDIRECT("C"&amp;ROW()),
          'Unit-Level Data'!$B:$B, INDIRECT("B"&amp;ROW()))),"")</f>
      </c>
      <c r="P155" s="733" cm="1">
        <f t="array" aca="true" ref="P155" ca="true">COUNTIFS('Unit-Level Data'!$M:$M,TRUE,
          'Unit-Level Data'!$D:$D, INDIRECT("C"&amp;ROW()),
          'Unit-Level Data'!$B:$B, INDIRECT("B"&amp;ROW()))</f>
        <v>0</v>
      </c>
      <c r="Q155" s="738" t="str" cm="1">
        <f t="array" aca="true" ref="Q1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5" s="760" t="str" cm="1">
        <f t="array" aca="true" ref="R1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5" s="733" cm="1">
        <f t="array" aca="true" ref="S155" ca="true">COUNTIFS('Unit-Level Data'!$L:$L, "&gt;=" &amp; ($X$2 - Q$5),
          'Unit-Level Data'!$L:$L, "&lt;" &amp; $X$2,
          'Unit-Level Data'!$D:$D, INDIRECT("C"&amp;ROW()),
          'Unit-Level Data'!$B:$B, INDIRECT("B"&amp;ROW()))</f>
        <v>0</v>
      </c>
      <c r="T155" s="738" t="str" cm="1">
        <f t="array" aca="true" ref="T1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5" s="760" t="str" cm="1">
        <f t="array" aca="true" ref="U1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5" s="733" cm="1">
        <f t="array" aca="true" ref="V155" ca="true">COUNTIFS('Unit-Level Data'!$L:$L, "&gt;=" &amp; ($X$2 - T$5),
          'Unit-Level Data'!$L:$L, "&lt;" &amp; $X$2,
          'Unit-Level Data'!$D:$D, INDIRECT("C"&amp;ROW()),
          'Unit-Level Data'!$B:$B, INDIRECT("B"&amp;ROW()))</f>
        <v>0</v>
      </c>
      <c r="W155" s="738" t="str" cm="1">
        <f t="array" aca="true" ref="W1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5" s="760" t="str" cm="1">
        <f t="array" aca="true" ref="X1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5" s="733" cm="1">
        <f t="array" aca="true" ref="Y155" ca="true">COUNTIFS('Unit-Level Data'!$L:$L, "&gt;=" &amp; ($X$2 - W$5),
          'Unit-Level Data'!$L:$L, "&lt;" &amp; $X$2,
          'Unit-Level Data'!$D:$D, INDIRECT("C"&amp;ROW()),
          'Unit-Level Data'!$B:$B, INDIRECT("B"&amp;ROW()))</f>
        <v>0</v>
      </c>
      <c r="Z155" s="761"/>
      <c r="AA155" s="735" cm="1">
        <f t="array" aca="true" ref="AA155" ca="true">IFERROR(AVERAGEIFS(
  unit_details[Sqft],
  unit_details[Property Name], INDIRECT("B"&amp;ROW()),
  unit_details[Floorplan Name], INDIRECT("C"&amp;ROW()),
  unit_details[Beds], INDIRECT("D"&amp;ROW()),
  unit_details[Detected Unit Amenities], "*"&amp;$AB$3&amp;"*",
  unit_details[Leased Date], "&gt;=" &amp; ($X$2 - $AD$3)
),0)</f>
        <v>0</v>
      </c>
      <c r="AB155" s="734" cm="1">
        <f t="array" aca="true" ref="AB1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5" s="733" cm="1">
        <f t="array" aca="true" ref="AC155" ca="true">IFERROR(COUNTIFS(
  unit_details[Property Name], INDIRECT("B"&amp;ROW()),
  unit_details[Floorplan Name], INDIRECT("C"&amp;ROW()),
  unit_details[Beds], INDIRECT("D"&amp;ROW()),
  unit_details[Detected Unit Amenities], "*"&amp;$AB$3&amp;"*",
  unit_details[Leased Date], "&gt;=" &amp; ($X$2 - $AD$3)
),0)</f>
        <v>0</v>
      </c>
      <c r="AD155" s="735" cm="1">
        <f t="array" aca="true" ref="AD155" ca="true">IFERROR(AVERAGEIFS(
  unit_details[Sqft],
  unit_details[Property Name], INDIRECT("B"&amp;ROW()),
  unit_details[Floorplan Name], INDIRECT("C"&amp;ROW()),
  unit_details[Beds], INDIRECT("D"&amp;ROW()),
  unit_details[Detected Unit Amenities], "&lt;&gt;*"&amp;$AB$3&amp;"*",
  unit_details[Leased Date], "&gt;=" &amp; ($X$2 - $AD$3)
),0)</f>
        <v>0</v>
      </c>
      <c r="AE155" s="734" cm="1">
        <f t="array" aca="true" ref="AE1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5" s="733" cm="1">
        <f t="array" aca="true" ref="AF155" ca="true">IFERROR(COUNTIFS(
  unit_details[Property Name], INDIRECT("B"&amp;ROW()),
  unit_details[Floorplan Name], INDIRECT("C"&amp;ROW()),
  unit_details[Beds], INDIRECT("D"&amp;ROW()),
  unit_details[Detected Unit Amenities], "&lt;&gt;*"&amp;$AB$3&amp;"*",
  unit_details[Leased Date], "&gt;=" &amp; ($X$2 - $AD$3)
),0)</f>
        <v>0</v>
      </c>
      <c r="AG155" s="735"/>
      <c r="AH155" s="738">
        <f t="shared" ca="true" si="6"/>
        <v>0</v>
      </c>
      <c r="AI155" s="739">
        <f t="shared" ca="true" si="7"/>
        <v>0</v>
      </c>
    </row>
    <row r="156" spans="2:35">
      <c r="B156" s="1"/>
      <c r="C156" s="80"/>
      <c r="E156" s="303"/>
      <c r="F156" s="303"/>
      <c r="J156" s="345"/>
      <c r="K156" s="6"/>
      <c r="M156" s="6"/>
      <c r="N156" s="738" t="str" cm="1">
        <f t="array" aca="true" ref="N156" ca="true">IFERROR(IF($O$3="Chunk Rent",
AVERAGEIFS('Unit-Level Data'!$O:$O,'Unit-Level Data'!$M:$M,TRUE,
          'Unit-Level Data'!$D:$D, INDIRECT("C"&amp;ROW()),
          'Unit-Level Data'!$B:$B, INDIRECT("B"&amp;ROW())),
AVERAGEIFS('Unit-Level Data'!$P:$P,'Unit-Level Data'!$M:$M,TRUE,
          'Unit-Level Data'!$D:$D, INDIRECT("C"&amp;ROW()),
          'Unit-Level Data'!$B:$B, INDIRECT("B"&amp;ROW()))),"")</f>
      </c>
      <c r="O156" s="760" t="str" cm="1">
        <f t="array" aca="true" ref="O156" ca="true">IFERROR(IF($O$3="Chunk Rent",
AVERAGEIFS('Unit-Level Data'!$Q:$Q,'Unit-Level Data'!$M:$M,TRUE,
          'Unit-Level Data'!$D:$D, INDIRECT("C"&amp;ROW()),
          'Unit-Level Data'!$B:$B, INDIRECT("B"&amp;ROW())),
AVERAGEIFS('Unit-Level Data'!$R:$R,'Unit-Level Data'!$M:$M,TRUE,
          'Unit-Level Data'!$D:$D, INDIRECT("C"&amp;ROW()),
          'Unit-Level Data'!$B:$B, INDIRECT("B"&amp;ROW()))),"")</f>
      </c>
      <c r="P156" s="733" cm="1">
        <f t="array" aca="true" ref="P156" ca="true">COUNTIFS('Unit-Level Data'!$M:$M,TRUE,
          'Unit-Level Data'!$D:$D, INDIRECT("C"&amp;ROW()),
          'Unit-Level Data'!$B:$B, INDIRECT("B"&amp;ROW()))</f>
        <v>0</v>
      </c>
      <c r="Q156" s="738" t="str" cm="1">
        <f t="array" aca="true" ref="Q1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6" s="760" t="str" cm="1">
        <f t="array" aca="true" ref="R1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6" s="733" cm="1">
        <f t="array" aca="true" ref="S156" ca="true">COUNTIFS('Unit-Level Data'!$L:$L, "&gt;=" &amp; ($X$2 - Q$5),
          'Unit-Level Data'!$L:$L, "&lt;" &amp; $X$2,
          'Unit-Level Data'!$D:$D, INDIRECT("C"&amp;ROW()),
          'Unit-Level Data'!$B:$B, INDIRECT("B"&amp;ROW()))</f>
        <v>0</v>
      </c>
      <c r="T156" s="738" t="str" cm="1">
        <f t="array" aca="true" ref="T1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6" s="760" t="str" cm="1">
        <f t="array" aca="true" ref="U1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6" s="733" cm="1">
        <f t="array" aca="true" ref="V156" ca="true">COUNTIFS('Unit-Level Data'!$L:$L, "&gt;=" &amp; ($X$2 - T$5),
          'Unit-Level Data'!$L:$L, "&lt;" &amp; $X$2,
          'Unit-Level Data'!$D:$D, INDIRECT("C"&amp;ROW()),
          'Unit-Level Data'!$B:$B, INDIRECT("B"&amp;ROW()))</f>
        <v>0</v>
      </c>
      <c r="W156" s="738" t="str" cm="1">
        <f t="array" aca="true" ref="W1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6" s="760" t="str" cm="1">
        <f t="array" aca="true" ref="X1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6" s="733" cm="1">
        <f t="array" aca="true" ref="Y156" ca="true">COUNTIFS('Unit-Level Data'!$L:$L, "&gt;=" &amp; ($X$2 - W$5),
          'Unit-Level Data'!$L:$L, "&lt;" &amp; $X$2,
          'Unit-Level Data'!$D:$D, INDIRECT("C"&amp;ROW()),
          'Unit-Level Data'!$B:$B, INDIRECT("B"&amp;ROW()))</f>
        <v>0</v>
      </c>
      <c r="Z156" s="761"/>
      <c r="AA156" s="735" cm="1">
        <f t="array" aca="true" ref="AA156" ca="true">IFERROR(AVERAGEIFS(
  unit_details[Sqft],
  unit_details[Property Name], INDIRECT("B"&amp;ROW()),
  unit_details[Floorplan Name], INDIRECT("C"&amp;ROW()),
  unit_details[Beds], INDIRECT("D"&amp;ROW()),
  unit_details[Detected Unit Amenities], "*"&amp;$AB$3&amp;"*",
  unit_details[Leased Date], "&gt;=" &amp; ($X$2 - $AD$3)
),0)</f>
        <v>0</v>
      </c>
      <c r="AB156" s="734" cm="1">
        <f t="array" aca="true" ref="AB1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6" s="733" cm="1">
        <f t="array" aca="true" ref="AC156" ca="true">IFERROR(COUNTIFS(
  unit_details[Property Name], INDIRECT("B"&amp;ROW()),
  unit_details[Floorplan Name], INDIRECT("C"&amp;ROW()),
  unit_details[Beds], INDIRECT("D"&amp;ROW()),
  unit_details[Detected Unit Amenities], "*"&amp;$AB$3&amp;"*",
  unit_details[Leased Date], "&gt;=" &amp; ($X$2 - $AD$3)
),0)</f>
        <v>0</v>
      </c>
      <c r="AD156" s="735" cm="1">
        <f t="array" aca="true" ref="AD156" ca="true">IFERROR(AVERAGEIFS(
  unit_details[Sqft],
  unit_details[Property Name], INDIRECT("B"&amp;ROW()),
  unit_details[Floorplan Name], INDIRECT("C"&amp;ROW()),
  unit_details[Beds], INDIRECT("D"&amp;ROW()),
  unit_details[Detected Unit Amenities], "&lt;&gt;*"&amp;$AB$3&amp;"*",
  unit_details[Leased Date], "&gt;=" &amp; ($X$2 - $AD$3)
),0)</f>
        <v>0</v>
      </c>
      <c r="AE156" s="734" cm="1">
        <f t="array" aca="true" ref="AE1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6" s="733" cm="1">
        <f t="array" aca="true" ref="AF156" ca="true">IFERROR(COUNTIFS(
  unit_details[Property Name], INDIRECT("B"&amp;ROW()),
  unit_details[Floorplan Name], INDIRECT("C"&amp;ROW()),
  unit_details[Beds], INDIRECT("D"&amp;ROW()),
  unit_details[Detected Unit Amenities], "&lt;&gt;*"&amp;$AB$3&amp;"*",
  unit_details[Leased Date], "&gt;=" &amp; ($X$2 - $AD$3)
),0)</f>
        <v>0</v>
      </c>
      <c r="AG156" s="735"/>
      <c r="AH156" s="738">
        <f t="shared" ca="true" si="6"/>
        <v>0</v>
      </c>
      <c r="AI156" s="739">
        <f t="shared" ca="true" si="7"/>
        <v>0</v>
      </c>
    </row>
    <row r="157" spans="2:35">
      <c r="B157" s="1"/>
      <c r="C157" s="80"/>
      <c r="E157" s="303"/>
      <c r="F157" s="303"/>
      <c r="J157" s="345"/>
      <c r="K157" s="6"/>
      <c r="M157" s="6"/>
      <c r="N157" s="738" t="str" cm="1">
        <f t="array" aca="true" ref="N157" ca="true">IFERROR(IF($O$3="Chunk Rent",
AVERAGEIFS('Unit-Level Data'!$O:$O,'Unit-Level Data'!$M:$M,TRUE,
          'Unit-Level Data'!$D:$D, INDIRECT("C"&amp;ROW()),
          'Unit-Level Data'!$B:$B, INDIRECT("B"&amp;ROW())),
AVERAGEIFS('Unit-Level Data'!$P:$P,'Unit-Level Data'!$M:$M,TRUE,
          'Unit-Level Data'!$D:$D, INDIRECT("C"&amp;ROW()),
          'Unit-Level Data'!$B:$B, INDIRECT("B"&amp;ROW()))),"")</f>
      </c>
      <c r="O157" s="760" t="str" cm="1">
        <f t="array" aca="true" ref="O157" ca="true">IFERROR(IF($O$3="Chunk Rent",
AVERAGEIFS('Unit-Level Data'!$Q:$Q,'Unit-Level Data'!$M:$M,TRUE,
          'Unit-Level Data'!$D:$D, INDIRECT("C"&amp;ROW()),
          'Unit-Level Data'!$B:$B, INDIRECT("B"&amp;ROW())),
AVERAGEIFS('Unit-Level Data'!$R:$R,'Unit-Level Data'!$M:$M,TRUE,
          'Unit-Level Data'!$D:$D, INDIRECT("C"&amp;ROW()),
          'Unit-Level Data'!$B:$B, INDIRECT("B"&amp;ROW()))),"")</f>
      </c>
      <c r="P157" s="733" cm="1">
        <f t="array" aca="true" ref="P157" ca="true">COUNTIFS('Unit-Level Data'!$M:$M,TRUE,
          'Unit-Level Data'!$D:$D, INDIRECT("C"&amp;ROW()),
          'Unit-Level Data'!$B:$B, INDIRECT("B"&amp;ROW()))</f>
        <v>0</v>
      </c>
      <c r="Q157" s="738" t="str" cm="1">
        <f t="array" aca="true" ref="Q1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7" s="760" t="str" cm="1">
        <f t="array" aca="true" ref="R1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7" s="733" cm="1">
        <f t="array" aca="true" ref="S157" ca="true">COUNTIFS('Unit-Level Data'!$L:$L, "&gt;=" &amp; ($X$2 - Q$5),
          'Unit-Level Data'!$L:$L, "&lt;" &amp; $X$2,
          'Unit-Level Data'!$D:$D, INDIRECT("C"&amp;ROW()),
          'Unit-Level Data'!$B:$B, INDIRECT("B"&amp;ROW()))</f>
        <v>0</v>
      </c>
      <c r="T157" s="738" t="str" cm="1">
        <f t="array" aca="true" ref="T1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7" s="760" t="str" cm="1">
        <f t="array" aca="true" ref="U1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7" s="733" cm="1">
        <f t="array" aca="true" ref="V157" ca="true">COUNTIFS('Unit-Level Data'!$L:$L, "&gt;=" &amp; ($X$2 - T$5),
          'Unit-Level Data'!$L:$L, "&lt;" &amp; $X$2,
          'Unit-Level Data'!$D:$D, INDIRECT("C"&amp;ROW()),
          'Unit-Level Data'!$B:$B, INDIRECT("B"&amp;ROW()))</f>
        <v>0</v>
      </c>
      <c r="W157" s="738" t="str" cm="1">
        <f t="array" aca="true" ref="W1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7" s="760" t="str" cm="1">
        <f t="array" aca="true" ref="X1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7" s="733" cm="1">
        <f t="array" aca="true" ref="Y157" ca="true">COUNTIFS('Unit-Level Data'!$L:$L, "&gt;=" &amp; ($X$2 - W$5),
          'Unit-Level Data'!$L:$L, "&lt;" &amp; $X$2,
          'Unit-Level Data'!$D:$D, INDIRECT("C"&amp;ROW()),
          'Unit-Level Data'!$B:$B, INDIRECT("B"&amp;ROW()))</f>
        <v>0</v>
      </c>
      <c r="Z157" s="761"/>
      <c r="AA157" s="735" cm="1">
        <f t="array" aca="true" ref="AA157" ca="true">IFERROR(AVERAGEIFS(
  unit_details[Sqft],
  unit_details[Property Name], INDIRECT("B"&amp;ROW()),
  unit_details[Floorplan Name], INDIRECT("C"&amp;ROW()),
  unit_details[Beds], INDIRECT("D"&amp;ROW()),
  unit_details[Detected Unit Amenities], "*"&amp;$AB$3&amp;"*",
  unit_details[Leased Date], "&gt;=" &amp; ($X$2 - $AD$3)
),0)</f>
        <v>0</v>
      </c>
      <c r="AB157" s="734" cm="1">
        <f t="array" aca="true" ref="AB1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7" s="733" cm="1">
        <f t="array" aca="true" ref="AC157" ca="true">IFERROR(COUNTIFS(
  unit_details[Property Name], INDIRECT("B"&amp;ROW()),
  unit_details[Floorplan Name], INDIRECT("C"&amp;ROW()),
  unit_details[Beds], INDIRECT("D"&amp;ROW()),
  unit_details[Detected Unit Amenities], "*"&amp;$AB$3&amp;"*",
  unit_details[Leased Date], "&gt;=" &amp; ($X$2 - $AD$3)
),0)</f>
        <v>0</v>
      </c>
      <c r="AD157" s="735" cm="1">
        <f t="array" aca="true" ref="AD157" ca="true">IFERROR(AVERAGEIFS(
  unit_details[Sqft],
  unit_details[Property Name], INDIRECT("B"&amp;ROW()),
  unit_details[Floorplan Name], INDIRECT("C"&amp;ROW()),
  unit_details[Beds], INDIRECT("D"&amp;ROW()),
  unit_details[Detected Unit Amenities], "&lt;&gt;*"&amp;$AB$3&amp;"*",
  unit_details[Leased Date], "&gt;=" &amp; ($X$2 - $AD$3)
),0)</f>
        <v>0</v>
      </c>
      <c r="AE157" s="734" cm="1">
        <f t="array" aca="true" ref="AE1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7" s="733" cm="1">
        <f t="array" aca="true" ref="AF157" ca="true">IFERROR(COUNTIFS(
  unit_details[Property Name], INDIRECT("B"&amp;ROW()),
  unit_details[Floorplan Name], INDIRECT("C"&amp;ROW()),
  unit_details[Beds], INDIRECT("D"&amp;ROW()),
  unit_details[Detected Unit Amenities], "&lt;&gt;*"&amp;$AB$3&amp;"*",
  unit_details[Leased Date], "&gt;=" &amp; ($X$2 - $AD$3)
),0)</f>
        <v>0</v>
      </c>
      <c r="AG157" s="735"/>
      <c r="AH157" s="738">
        <f t="shared" ca="true" si="6"/>
        <v>0</v>
      </c>
      <c r="AI157" s="739">
        <f t="shared" ca="true" si="7"/>
        <v>0</v>
      </c>
    </row>
    <row r="158" spans="2:35">
      <c r="B158" s="1"/>
      <c r="C158" s="80"/>
      <c r="E158" s="303"/>
      <c r="F158" s="303"/>
      <c r="J158" s="345"/>
      <c r="K158" s="6"/>
      <c r="M158" s="6"/>
      <c r="N158" s="738" t="str" cm="1">
        <f t="array" aca="true" ref="N158" ca="true">IFERROR(IF($O$3="Chunk Rent",
AVERAGEIFS('Unit-Level Data'!$O:$O,'Unit-Level Data'!$M:$M,TRUE,
          'Unit-Level Data'!$D:$D, INDIRECT("C"&amp;ROW()),
          'Unit-Level Data'!$B:$B, INDIRECT("B"&amp;ROW())),
AVERAGEIFS('Unit-Level Data'!$P:$P,'Unit-Level Data'!$M:$M,TRUE,
          'Unit-Level Data'!$D:$D, INDIRECT("C"&amp;ROW()),
          'Unit-Level Data'!$B:$B, INDIRECT("B"&amp;ROW()))),"")</f>
      </c>
      <c r="O158" s="760" t="str" cm="1">
        <f t="array" aca="true" ref="O158" ca="true">IFERROR(IF($O$3="Chunk Rent",
AVERAGEIFS('Unit-Level Data'!$Q:$Q,'Unit-Level Data'!$M:$M,TRUE,
          'Unit-Level Data'!$D:$D, INDIRECT("C"&amp;ROW()),
          'Unit-Level Data'!$B:$B, INDIRECT("B"&amp;ROW())),
AVERAGEIFS('Unit-Level Data'!$R:$R,'Unit-Level Data'!$M:$M,TRUE,
          'Unit-Level Data'!$D:$D, INDIRECT("C"&amp;ROW()),
          'Unit-Level Data'!$B:$B, INDIRECT("B"&amp;ROW()))),"")</f>
      </c>
      <c r="P158" s="733" cm="1">
        <f t="array" aca="true" ref="P158" ca="true">COUNTIFS('Unit-Level Data'!$M:$M,TRUE,
          'Unit-Level Data'!$D:$D, INDIRECT("C"&amp;ROW()),
          'Unit-Level Data'!$B:$B, INDIRECT("B"&amp;ROW()))</f>
        <v>0</v>
      </c>
      <c r="Q158" s="738" t="str" cm="1">
        <f t="array" aca="true" ref="Q1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8" s="760" t="str" cm="1">
        <f t="array" aca="true" ref="R1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8" s="733" cm="1">
        <f t="array" aca="true" ref="S158" ca="true">COUNTIFS('Unit-Level Data'!$L:$L, "&gt;=" &amp; ($X$2 - Q$5),
          'Unit-Level Data'!$L:$L, "&lt;" &amp; $X$2,
          'Unit-Level Data'!$D:$D, INDIRECT("C"&amp;ROW()),
          'Unit-Level Data'!$B:$B, INDIRECT("B"&amp;ROW()))</f>
        <v>0</v>
      </c>
      <c r="T158" s="738" t="str" cm="1">
        <f t="array" aca="true" ref="T1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8" s="760" t="str" cm="1">
        <f t="array" aca="true" ref="U1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8" s="733" cm="1">
        <f t="array" aca="true" ref="V158" ca="true">COUNTIFS('Unit-Level Data'!$L:$L, "&gt;=" &amp; ($X$2 - T$5),
          'Unit-Level Data'!$L:$L, "&lt;" &amp; $X$2,
          'Unit-Level Data'!$D:$D, INDIRECT("C"&amp;ROW()),
          'Unit-Level Data'!$B:$B, INDIRECT("B"&amp;ROW()))</f>
        <v>0</v>
      </c>
      <c r="W158" s="738" t="str" cm="1">
        <f t="array" aca="true" ref="W1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8" s="760" t="str" cm="1">
        <f t="array" aca="true" ref="X1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8" s="733" cm="1">
        <f t="array" aca="true" ref="Y158" ca="true">COUNTIFS('Unit-Level Data'!$L:$L, "&gt;=" &amp; ($X$2 - W$5),
          'Unit-Level Data'!$L:$L, "&lt;" &amp; $X$2,
          'Unit-Level Data'!$D:$D, INDIRECT("C"&amp;ROW()),
          'Unit-Level Data'!$B:$B, INDIRECT("B"&amp;ROW()))</f>
        <v>0</v>
      </c>
      <c r="Z158" s="761"/>
      <c r="AA158" s="735" cm="1">
        <f t="array" aca="true" ref="AA158" ca="true">IFERROR(AVERAGEIFS(
  unit_details[Sqft],
  unit_details[Property Name], INDIRECT("B"&amp;ROW()),
  unit_details[Floorplan Name], INDIRECT("C"&amp;ROW()),
  unit_details[Beds], INDIRECT("D"&amp;ROW()),
  unit_details[Detected Unit Amenities], "*"&amp;$AB$3&amp;"*",
  unit_details[Leased Date], "&gt;=" &amp; ($X$2 - $AD$3)
),0)</f>
        <v>0</v>
      </c>
      <c r="AB158" s="734" cm="1">
        <f t="array" aca="true" ref="AB1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8" s="733" cm="1">
        <f t="array" aca="true" ref="AC158" ca="true">IFERROR(COUNTIFS(
  unit_details[Property Name], INDIRECT("B"&amp;ROW()),
  unit_details[Floorplan Name], INDIRECT("C"&amp;ROW()),
  unit_details[Beds], INDIRECT("D"&amp;ROW()),
  unit_details[Detected Unit Amenities], "*"&amp;$AB$3&amp;"*",
  unit_details[Leased Date], "&gt;=" &amp; ($X$2 - $AD$3)
),0)</f>
        <v>0</v>
      </c>
      <c r="AD158" s="735" cm="1">
        <f t="array" aca="true" ref="AD158" ca="true">IFERROR(AVERAGEIFS(
  unit_details[Sqft],
  unit_details[Property Name], INDIRECT("B"&amp;ROW()),
  unit_details[Floorplan Name], INDIRECT("C"&amp;ROW()),
  unit_details[Beds], INDIRECT("D"&amp;ROW()),
  unit_details[Detected Unit Amenities], "&lt;&gt;*"&amp;$AB$3&amp;"*",
  unit_details[Leased Date], "&gt;=" &amp; ($X$2 - $AD$3)
),0)</f>
        <v>0</v>
      </c>
      <c r="AE158" s="734" cm="1">
        <f t="array" aca="true" ref="AE1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8" s="733" cm="1">
        <f t="array" aca="true" ref="AF158" ca="true">IFERROR(COUNTIFS(
  unit_details[Property Name], INDIRECT("B"&amp;ROW()),
  unit_details[Floorplan Name], INDIRECT("C"&amp;ROW()),
  unit_details[Beds], INDIRECT("D"&amp;ROW()),
  unit_details[Detected Unit Amenities], "&lt;&gt;*"&amp;$AB$3&amp;"*",
  unit_details[Leased Date], "&gt;=" &amp; ($X$2 - $AD$3)
),0)</f>
        <v>0</v>
      </c>
      <c r="AG158" s="735"/>
      <c r="AH158" s="738">
        <f t="shared" ca="true" si="6"/>
        <v>0</v>
      </c>
      <c r="AI158" s="739">
        <f t="shared" ca="true" si="7"/>
        <v>0</v>
      </c>
    </row>
    <row r="159" spans="2:35">
      <c r="B159" s="1"/>
      <c r="C159" s="80"/>
      <c r="E159" s="303"/>
      <c r="F159" s="303"/>
      <c r="J159" s="345"/>
      <c r="K159" s="6"/>
      <c r="M159" s="6"/>
      <c r="N159" s="738" t="str" cm="1">
        <f t="array" aca="true" ref="N159" ca="true">IFERROR(IF($O$3="Chunk Rent",
AVERAGEIFS('Unit-Level Data'!$O:$O,'Unit-Level Data'!$M:$M,TRUE,
          'Unit-Level Data'!$D:$D, INDIRECT("C"&amp;ROW()),
          'Unit-Level Data'!$B:$B, INDIRECT("B"&amp;ROW())),
AVERAGEIFS('Unit-Level Data'!$P:$P,'Unit-Level Data'!$M:$M,TRUE,
          'Unit-Level Data'!$D:$D, INDIRECT("C"&amp;ROW()),
          'Unit-Level Data'!$B:$B, INDIRECT("B"&amp;ROW()))),"")</f>
      </c>
      <c r="O159" s="760" t="str" cm="1">
        <f t="array" aca="true" ref="O159" ca="true">IFERROR(IF($O$3="Chunk Rent",
AVERAGEIFS('Unit-Level Data'!$Q:$Q,'Unit-Level Data'!$M:$M,TRUE,
          'Unit-Level Data'!$D:$D, INDIRECT("C"&amp;ROW()),
          'Unit-Level Data'!$B:$B, INDIRECT("B"&amp;ROW())),
AVERAGEIFS('Unit-Level Data'!$R:$R,'Unit-Level Data'!$M:$M,TRUE,
          'Unit-Level Data'!$D:$D, INDIRECT("C"&amp;ROW()),
          'Unit-Level Data'!$B:$B, INDIRECT("B"&amp;ROW()))),"")</f>
      </c>
      <c r="P159" s="733" cm="1">
        <f t="array" aca="true" ref="P159" ca="true">COUNTIFS('Unit-Level Data'!$M:$M,TRUE,
          'Unit-Level Data'!$D:$D, INDIRECT("C"&amp;ROW()),
          'Unit-Level Data'!$B:$B, INDIRECT("B"&amp;ROW()))</f>
        <v>0</v>
      </c>
      <c r="Q159" s="738" t="str" cm="1">
        <f t="array" aca="true" ref="Q1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9" s="760" t="str" cm="1">
        <f t="array" aca="true" ref="R1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9" s="733" cm="1">
        <f t="array" aca="true" ref="S159" ca="true">COUNTIFS('Unit-Level Data'!$L:$L, "&gt;=" &amp; ($X$2 - Q$5),
          'Unit-Level Data'!$L:$L, "&lt;" &amp; $X$2,
          'Unit-Level Data'!$D:$D, INDIRECT("C"&amp;ROW()),
          'Unit-Level Data'!$B:$B, INDIRECT("B"&amp;ROW()))</f>
        <v>0</v>
      </c>
      <c r="T159" s="738" t="str" cm="1">
        <f t="array" aca="true" ref="T1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9" s="760" t="str" cm="1">
        <f t="array" aca="true" ref="U1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9" s="733" cm="1">
        <f t="array" aca="true" ref="V159" ca="true">COUNTIFS('Unit-Level Data'!$L:$L, "&gt;=" &amp; ($X$2 - T$5),
          'Unit-Level Data'!$L:$L, "&lt;" &amp; $X$2,
          'Unit-Level Data'!$D:$D, INDIRECT("C"&amp;ROW()),
          'Unit-Level Data'!$B:$B, INDIRECT("B"&amp;ROW()))</f>
        <v>0</v>
      </c>
      <c r="W159" s="738" t="str" cm="1">
        <f t="array" aca="true" ref="W1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9" s="760" t="str" cm="1">
        <f t="array" aca="true" ref="X1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9" s="733" cm="1">
        <f t="array" aca="true" ref="Y159" ca="true">COUNTIFS('Unit-Level Data'!$L:$L, "&gt;=" &amp; ($X$2 - W$5),
          'Unit-Level Data'!$L:$L, "&lt;" &amp; $X$2,
          'Unit-Level Data'!$D:$D, INDIRECT("C"&amp;ROW()),
          'Unit-Level Data'!$B:$B, INDIRECT("B"&amp;ROW()))</f>
        <v>0</v>
      </c>
      <c r="Z159" s="761"/>
      <c r="AA159" s="735" cm="1">
        <f t="array" aca="true" ref="AA159" ca="true">IFERROR(AVERAGEIFS(
  unit_details[Sqft],
  unit_details[Property Name], INDIRECT("B"&amp;ROW()),
  unit_details[Floorplan Name], INDIRECT("C"&amp;ROW()),
  unit_details[Beds], INDIRECT("D"&amp;ROW()),
  unit_details[Detected Unit Amenities], "*"&amp;$AB$3&amp;"*",
  unit_details[Leased Date], "&gt;=" &amp; ($X$2 - $AD$3)
),0)</f>
        <v>0</v>
      </c>
      <c r="AB159" s="734" cm="1">
        <f t="array" aca="true" ref="AB1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9" s="733" cm="1">
        <f t="array" aca="true" ref="AC159" ca="true">IFERROR(COUNTIFS(
  unit_details[Property Name], INDIRECT("B"&amp;ROW()),
  unit_details[Floorplan Name], INDIRECT("C"&amp;ROW()),
  unit_details[Beds], INDIRECT("D"&amp;ROW()),
  unit_details[Detected Unit Amenities], "*"&amp;$AB$3&amp;"*",
  unit_details[Leased Date], "&gt;=" &amp; ($X$2 - $AD$3)
),0)</f>
        <v>0</v>
      </c>
      <c r="AD159" s="735" cm="1">
        <f t="array" aca="true" ref="AD159" ca="true">IFERROR(AVERAGEIFS(
  unit_details[Sqft],
  unit_details[Property Name], INDIRECT("B"&amp;ROW()),
  unit_details[Floorplan Name], INDIRECT("C"&amp;ROW()),
  unit_details[Beds], INDIRECT("D"&amp;ROW()),
  unit_details[Detected Unit Amenities], "&lt;&gt;*"&amp;$AB$3&amp;"*",
  unit_details[Leased Date], "&gt;=" &amp; ($X$2 - $AD$3)
),0)</f>
        <v>0</v>
      </c>
      <c r="AE159" s="734" cm="1">
        <f t="array" aca="true" ref="AE1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9" s="733" cm="1">
        <f t="array" aca="true" ref="AF159" ca="true">IFERROR(COUNTIFS(
  unit_details[Property Name], INDIRECT("B"&amp;ROW()),
  unit_details[Floorplan Name], INDIRECT("C"&amp;ROW()),
  unit_details[Beds], INDIRECT("D"&amp;ROW()),
  unit_details[Detected Unit Amenities], "&lt;&gt;*"&amp;$AB$3&amp;"*",
  unit_details[Leased Date], "&gt;=" &amp; ($X$2 - $AD$3)
),0)</f>
        <v>0</v>
      </c>
      <c r="AG159" s="735"/>
      <c r="AH159" s="738">
        <f t="shared" ca="true" si="6"/>
        <v>0</v>
      </c>
      <c r="AI159" s="739">
        <f t="shared" ca="true" si="7"/>
        <v>0</v>
      </c>
    </row>
    <row r="160" spans="2:35">
      <c r="B160" s="1"/>
      <c r="C160" s="80"/>
      <c r="E160" s="303"/>
      <c r="F160" s="303"/>
      <c r="J160" s="345"/>
      <c r="K160" s="6"/>
      <c r="M160" s="6"/>
      <c r="N160" s="738" t="str" cm="1">
        <f t="array" aca="true" ref="N160" ca="true">IFERROR(IF($O$3="Chunk Rent",
AVERAGEIFS('Unit-Level Data'!$O:$O,'Unit-Level Data'!$M:$M,TRUE,
          'Unit-Level Data'!$D:$D, INDIRECT("C"&amp;ROW()),
          'Unit-Level Data'!$B:$B, INDIRECT("B"&amp;ROW())),
AVERAGEIFS('Unit-Level Data'!$P:$P,'Unit-Level Data'!$M:$M,TRUE,
          'Unit-Level Data'!$D:$D, INDIRECT("C"&amp;ROW()),
          'Unit-Level Data'!$B:$B, INDIRECT("B"&amp;ROW()))),"")</f>
      </c>
      <c r="O160" s="760" t="str" cm="1">
        <f t="array" aca="true" ref="O160" ca="true">IFERROR(IF($O$3="Chunk Rent",
AVERAGEIFS('Unit-Level Data'!$Q:$Q,'Unit-Level Data'!$M:$M,TRUE,
          'Unit-Level Data'!$D:$D, INDIRECT("C"&amp;ROW()),
          'Unit-Level Data'!$B:$B, INDIRECT("B"&amp;ROW())),
AVERAGEIFS('Unit-Level Data'!$R:$R,'Unit-Level Data'!$M:$M,TRUE,
          'Unit-Level Data'!$D:$D, INDIRECT("C"&amp;ROW()),
          'Unit-Level Data'!$B:$B, INDIRECT("B"&amp;ROW()))),"")</f>
      </c>
      <c r="P160" s="733" cm="1">
        <f t="array" aca="true" ref="P160" ca="true">COUNTIFS('Unit-Level Data'!$M:$M,TRUE,
          'Unit-Level Data'!$D:$D, INDIRECT("C"&amp;ROW()),
          'Unit-Level Data'!$B:$B, INDIRECT("B"&amp;ROW()))</f>
        <v>0</v>
      </c>
      <c r="Q160" s="738" t="str" cm="1">
        <f t="array" aca="true" ref="Q1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0" s="760" t="str" cm="1">
        <f t="array" aca="true" ref="R1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0" s="733" cm="1">
        <f t="array" aca="true" ref="S160" ca="true">COUNTIFS('Unit-Level Data'!$L:$L, "&gt;=" &amp; ($X$2 - Q$5),
          'Unit-Level Data'!$L:$L, "&lt;" &amp; $X$2,
          'Unit-Level Data'!$D:$D, INDIRECT("C"&amp;ROW()),
          'Unit-Level Data'!$B:$B, INDIRECT("B"&amp;ROW()))</f>
        <v>0</v>
      </c>
      <c r="T160" s="738" t="str" cm="1">
        <f t="array" aca="true" ref="T1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0" s="760" t="str" cm="1">
        <f t="array" aca="true" ref="U1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0" s="733" cm="1">
        <f t="array" aca="true" ref="V160" ca="true">COUNTIFS('Unit-Level Data'!$L:$L, "&gt;=" &amp; ($X$2 - T$5),
          'Unit-Level Data'!$L:$L, "&lt;" &amp; $X$2,
          'Unit-Level Data'!$D:$D, INDIRECT("C"&amp;ROW()),
          'Unit-Level Data'!$B:$B, INDIRECT("B"&amp;ROW()))</f>
        <v>0</v>
      </c>
      <c r="W160" s="738" t="str" cm="1">
        <f t="array" aca="true" ref="W1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0" s="760" t="str" cm="1">
        <f t="array" aca="true" ref="X1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0" s="733" cm="1">
        <f t="array" aca="true" ref="Y160" ca="true">COUNTIFS('Unit-Level Data'!$L:$L, "&gt;=" &amp; ($X$2 - W$5),
          'Unit-Level Data'!$L:$L, "&lt;" &amp; $X$2,
          'Unit-Level Data'!$D:$D, INDIRECT("C"&amp;ROW()),
          'Unit-Level Data'!$B:$B, INDIRECT("B"&amp;ROW()))</f>
        <v>0</v>
      </c>
      <c r="Z160" s="761"/>
      <c r="AA160" s="735" cm="1">
        <f t="array" aca="true" ref="AA160" ca="true">IFERROR(AVERAGEIFS(
  unit_details[Sqft],
  unit_details[Property Name], INDIRECT("B"&amp;ROW()),
  unit_details[Floorplan Name], INDIRECT("C"&amp;ROW()),
  unit_details[Beds], INDIRECT("D"&amp;ROW()),
  unit_details[Detected Unit Amenities], "*"&amp;$AB$3&amp;"*",
  unit_details[Leased Date], "&gt;=" &amp; ($X$2 - $AD$3)
),0)</f>
        <v>0</v>
      </c>
      <c r="AB160" s="734" cm="1">
        <f t="array" aca="true" ref="AB1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0" s="733" cm="1">
        <f t="array" aca="true" ref="AC160" ca="true">IFERROR(COUNTIFS(
  unit_details[Property Name], INDIRECT("B"&amp;ROW()),
  unit_details[Floorplan Name], INDIRECT("C"&amp;ROW()),
  unit_details[Beds], INDIRECT("D"&amp;ROW()),
  unit_details[Detected Unit Amenities], "*"&amp;$AB$3&amp;"*",
  unit_details[Leased Date], "&gt;=" &amp; ($X$2 - $AD$3)
),0)</f>
        <v>0</v>
      </c>
      <c r="AD160" s="735" cm="1">
        <f t="array" aca="true" ref="AD160" ca="true">IFERROR(AVERAGEIFS(
  unit_details[Sqft],
  unit_details[Property Name], INDIRECT("B"&amp;ROW()),
  unit_details[Floorplan Name], INDIRECT("C"&amp;ROW()),
  unit_details[Beds], INDIRECT("D"&amp;ROW()),
  unit_details[Detected Unit Amenities], "&lt;&gt;*"&amp;$AB$3&amp;"*",
  unit_details[Leased Date], "&gt;=" &amp; ($X$2 - $AD$3)
),0)</f>
        <v>0</v>
      </c>
      <c r="AE160" s="734" cm="1">
        <f t="array" aca="true" ref="AE1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0" s="733" cm="1">
        <f t="array" aca="true" ref="AF160" ca="true">IFERROR(COUNTIFS(
  unit_details[Property Name], INDIRECT("B"&amp;ROW()),
  unit_details[Floorplan Name], INDIRECT("C"&amp;ROW()),
  unit_details[Beds], INDIRECT("D"&amp;ROW()),
  unit_details[Detected Unit Amenities], "&lt;&gt;*"&amp;$AB$3&amp;"*",
  unit_details[Leased Date], "&gt;=" &amp; ($X$2 - $AD$3)
),0)</f>
        <v>0</v>
      </c>
      <c r="AG160" s="735"/>
      <c r="AH160" s="738">
        <f t="shared" ca="true" si="6"/>
        <v>0</v>
      </c>
      <c r="AI160" s="739">
        <f t="shared" ca="true" si="7"/>
        <v>0</v>
      </c>
    </row>
    <row r="161" spans="2:35">
      <c r="B161" s="1"/>
      <c r="C161" s="80"/>
      <c r="E161" s="303"/>
      <c r="F161" s="303"/>
      <c r="J161" s="345"/>
      <c r="K161" s="6"/>
      <c r="M161" s="6"/>
      <c r="N161" s="738" t="str" cm="1">
        <f t="array" aca="true" ref="N161" ca="true">IFERROR(IF($O$3="Chunk Rent",
AVERAGEIFS('Unit-Level Data'!$O:$O,'Unit-Level Data'!$M:$M,TRUE,
          'Unit-Level Data'!$D:$D, INDIRECT("C"&amp;ROW()),
          'Unit-Level Data'!$B:$B, INDIRECT("B"&amp;ROW())),
AVERAGEIFS('Unit-Level Data'!$P:$P,'Unit-Level Data'!$M:$M,TRUE,
          'Unit-Level Data'!$D:$D, INDIRECT("C"&amp;ROW()),
          'Unit-Level Data'!$B:$B, INDIRECT("B"&amp;ROW()))),"")</f>
      </c>
      <c r="O161" s="760" t="str" cm="1">
        <f t="array" aca="true" ref="O161" ca="true">IFERROR(IF($O$3="Chunk Rent",
AVERAGEIFS('Unit-Level Data'!$Q:$Q,'Unit-Level Data'!$M:$M,TRUE,
          'Unit-Level Data'!$D:$D, INDIRECT("C"&amp;ROW()),
          'Unit-Level Data'!$B:$B, INDIRECT("B"&amp;ROW())),
AVERAGEIFS('Unit-Level Data'!$R:$R,'Unit-Level Data'!$M:$M,TRUE,
          'Unit-Level Data'!$D:$D, INDIRECT("C"&amp;ROW()),
          'Unit-Level Data'!$B:$B, INDIRECT("B"&amp;ROW()))),"")</f>
      </c>
      <c r="P161" s="733" cm="1">
        <f t="array" aca="true" ref="P161" ca="true">COUNTIFS('Unit-Level Data'!$M:$M,TRUE,
          'Unit-Level Data'!$D:$D, INDIRECT("C"&amp;ROW()),
          'Unit-Level Data'!$B:$B, INDIRECT("B"&amp;ROW()))</f>
        <v>0</v>
      </c>
      <c r="Q161" s="738" t="str" cm="1">
        <f t="array" aca="true" ref="Q1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1" s="760" t="str" cm="1">
        <f t="array" aca="true" ref="R1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1" s="733" cm="1">
        <f t="array" aca="true" ref="S161" ca="true">COUNTIFS('Unit-Level Data'!$L:$L, "&gt;=" &amp; ($X$2 - Q$5),
          'Unit-Level Data'!$L:$L, "&lt;" &amp; $X$2,
          'Unit-Level Data'!$D:$D, INDIRECT("C"&amp;ROW()),
          'Unit-Level Data'!$B:$B, INDIRECT("B"&amp;ROW()))</f>
        <v>0</v>
      </c>
      <c r="T161" s="738" t="str" cm="1">
        <f t="array" aca="true" ref="T1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1" s="760" t="str" cm="1">
        <f t="array" aca="true" ref="U1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1" s="733" cm="1">
        <f t="array" aca="true" ref="V161" ca="true">COUNTIFS('Unit-Level Data'!$L:$L, "&gt;=" &amp; ($X$2 - T$5),
          'Unit-Level Data'!$L:$L, "&lt;" &amp; $X$2,
          'Unit-Level Data'!$D:$D, INDIRECT("C"&amp;ROW()),
          'Unit-Level Data'!$B:$B, INDIRECT("B"&amp;ROW()))</f>
        <v>0</v>
      </c>
      <c r="W161" s="738" t="str" cm="1">
        <f t="array" aca="true" ref="W1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1" s="760" t="str" cm="1">
        <f t="array" aca="true" ref="X1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1" s="733" cm="1">
        <f t="array" aca="true" ref="Y161" ca="true">COUNTIFS('Unit-Level Data'!$L:$L, "&gt;=" &amp; ($X$2 - W$5),
          'Unit-Level Data'!$L:$L, "&lt;" &amp; $X$2,
          'Unit-Level Data'!$D:$D, INDIRECT("C"&amp;ROW()),
          'Unit-Level Data'!$B:$B, INDIRECT("B"&amp;ROW()))</f>
        <v>0</v>
      </c>
      <c r="Z161" s="761"/>
      <c r="AA161" s="735" cm="1">
        <f t="array" aca="true" ref="AA161" ca="true">IFERROR(AVERAGEIFS(
  unit_details[Sqft],
  unit_details[Property Name], INDIRECT("B"&amp;ROW()),
  unit_details[Floorplan Name], INDIRECT("C"&amp;ROW()),
  unit_details[Beds], INDIRECT("D"&amp;ROW()),
  unit_details[Detected Unit Amenities], "*"&amp;$AB$3&amp;"*",
  unit_details[Leased Date], "&gt;=" &amp; ($X$2 - $AD$3)
),0)</f>
        <v>0</v>
      </c>
      <c r="AB161" s="734" cm="1">
        <f t="array" aca="true" ref="AB1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1" s="733" cm="1">
        <f t="array" aca="true" ref="AC161" ca="true">IFERROR(COUNTIFS(
  unit_details[Property Name], INDIRECT("B"&amp;ROW()),
  unit_details[Floorplan Name], INDIRECT("C"&amp;ROW()),
  unit_details[Beds], INDIRECT("D"&amp;ROW()),
  unit_details[Detected Unit Amenities], "*"&amp;$AB$3&amp;"*",
  unit_details[Leased Date], "&gt;=" &amp; ($X$2 - $AD$3)
),0)</f>
        <v>0</v>
      </c>
      <c r="AD161" s="735" cm="1">
        <f t="array" aca="true" ref="AD161" ca="true">IFERROR(AVERAGEIFS(
  unit_details[Sqft],
  unit_details[Property Name], INDIRECT("B"&amp;ROW()),
  unit_details[Floorplan Name], INDIRECT("C"&amp;ROW()),
  unit_details[Beds], INDIRECT("D"&amp;ROW()),
  unit_details[Detected Unit Amenities], "&lt;&gt;*"&amp;$AB$3&amp;"*",
  unit_details[Leased Date], "&gt;=" &amp; ($X$2 - $AD$3)
),0)</f>
        <v>0</v>
      </c>
      <c r="AE161" s="734" cm="1">
        <f t="array" aca="true" ref="AE1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1" s="733" cm="1">
        <f t="array" aca="true" ref="AF161" ca="true">IFERROR(COUNTIFS(
  unit_details[Property Name], INDIRECT("B"&amp;ROW()),
  unit_details[Floorplan Name], INDIRECT("C"&amp;ROW()),
  unit_details[Beds], INDIRECT("D"&amp;ROW()),
  unit_details[Detected Unit Amenities], "&lt;&gt;*"&amp;$AB$3&amp;"*",
  unit_details[Leased Date], "&gt;=" &amp; ($X$2 - $AD$3)
),0)</f>
        <v>0</v>
      </c>
      <c r="AG161" s="735"/>
      <c r="AH161" s="738">
        <f t="shared" ca="true" si="6"/>
        <v>0</v>
      </c>
      <c r="AI161" s="739">
        <f t="shared" ca="true" si="7"/>
        <v>0</v>
      </c>
    </row>
    <row r="162" spans="2:35">
      <c r="B162" s="1"/>
      <c r="C162" s="80"/>
      <c r="E162" s="303"/>
      <c r="F162" s="303"/>
      <c r="J162" s="345"/>
      <c r="K162" s="6"/>
      <c r="M162" s="6"/>
      <c r="N162" s="738" t="str" cm="1">
        <f t="array" aca="true" ref="N162" ca="true">IFERROR(IF($O$3="Chunk Rent",
AVERAGEIFS('Unit-Level Data'!$O:$O,'Unit-Level Data'!$M:$M,TRUE,
          'Unit-Level Data'!$D:$D, INDIRECT("C"&amp;ROW()),
          'Unit-Level Data'!$B:$B, INDIRECT("B"&amp;ROW())),
AVERAGEIFS('Unit-Level Data'!$P:$P,'Unit-Level Data'!$M:$M,TRUE,
          'Unit-Level Data'!$D:$D, INDIRECT("C"&amp;ROW()),
          'Unit-Level Data'!$B:$B, INDIRECT("B"&amp;ROW()))),"")</f>
      </c>
      <c r="O162" s="760" t="str" cm="1">
        <f t="array" aca="true" ref="O162" ca="true">IFERROR(IF($O$3="Chunk Rent",
AVERAGEIFS('Unit-Level Data'!$Q:$Q,'Unit-Level Data'!$M:$M,TRUE,
          'Unit-Level Data'!$D:$D, INDIRECT("C"&amp;ROW()),
          'Unit-Level Data'!$B:$B, INDIRECT("B"&amp;ROW())),
AVERAGEIFS('Unit-Level Data'!$R:$R,'Unit-Level Data'!$M:$M,TRUE,
          'Unit-Level Data'!$D:$D, INDIRECT("C"&amp;ROW()),
          'Unit-Level Data'!$B:$B, INDIRECT("B"&amp;ROW()))),"")</f>
      </c>
      <c r="P162" s="733" cm="1">
        <f t="array" aca="true" ref="P162" ca="true">COUNTIFS('Unit-Level Data'!$M:$M,TRUE,
          'Unit-Level Data'!$D:$D, INDIRECT("C"&amp;ROW()),
          'Unit-Level Data'!$B:$B, INDIRECT("B"&amp;ROW()))</f>
        <v>0</v>
      </c>
      <c r="Q162" s="738" t="str" cm="1">
        <f t="array" aca="true" ref="Q1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2" s="760" t="str" cm="1">
        <f t="array" aca="true" ref="R1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2" s="733" cm="1">
        <f t="array" aca="true" ref="S162" ca="true">COUNTIFS('Unit-Level Data'!$L:$L, "&gt;=" &amp; ($X$2 - Q$5),
          'Unit-Level Data'!$L:$L, "&lt;" &amp; $X$2,
          'Unit-Level Data'!$D:$D, INDIRECT("C"&amp;ROW()),
          'Unit-Level Data'!$B:$B, INDIRECT("B"&amp;ROW()))</f>
        <v>0</v>
      </c>
      <c r="T162" s="738" t="str" cm="1">
        <f t="array" aca="true" ref="T1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2" s="760" t="str" cm="1">
        <f t="array" aca="true" ref="U1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2" s="733" cm="1">
        <f t="array" aca="true" ref="V162" ca="true">COUNTIFS('Unit-Level Data'!$L:$L, "&gt;=" &amp; ($X$2 - T$5),
          'Unit-Level Data'!$L:$L, "&lt;" &amp; $X$2,
          'Unit-Level Data'!$D:$D, INDIRECT("C"&amp;ROW()),
          'Unit-Level Data'!$B:$B, INDIRECT("B"&amp;ROW()))</f>
        <v>0</v>
      </c>
      <c r="W162" s="738" t="str" cm="1">
        <f t="array" aca="true" ref="W1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2" s="760" t="str" cm="1">
        <f t="array" aca="true" ref="X1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2" s="733" cm="1">
        <f t="array" aca="true" ref="Y162" ca="true">COUNTIFS('Unit-Level Data'!$L:$L, "&gt;=" &amp; ($X$2 - W$5),
          'Unit-Level Data'!$L:$L, "&lt;" &amp; $X$2,
          'Unit-Level Data'!$D:$D, INDIRECT("C"&amp;ROW()),
          'Unit-Level Data'!$B:$B, INDIRECT("B"&amp;ROW()))</f>
        <v>0</v>
      </c>
      <c r="Z162" s="761"/>
      <c r="AA162" s="735" cm="1">
        <f t="array" aca="true" ref="AA162" ca="true">IFERROR(AVERAGEIFS(
  unit_details[Sqft],
  unit_details[Property Name], INDIRECT("B"&amp;ROW()),
  unit_details[Floorplan Name], INDIRECT("C"&amp;ROW()),
  unit_details[Beds], INDIRECT("D"&amp;ROW()),
  unit_details[Detected Unit Amenities], "*"&amp;$AB$3&amp;"*",
  unit_details[Leased Date], "&gt;=" &amp; ($X$2 - $AD$3)
),0)</f>
        <v>0</v>
      </c>
      <c r="AB162" s="734" cm="1">
        <f t="array" aca="true" ref="AB1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2" s="733" cm="1">
        <f t="array" aca="true" ref="AC162" ca="true">IFERROR(COUNTIFS(
  unit_details[Property Name], INDIRECT("B"&amp;ROW()),
  unit_details[Floorplan Name], INDIRECT("C"&amp;ROW()),
  unit_details[Beds], INDIRECT("D"&amp;ROW()),
  unit_details[Detected Unit Amenities], "*"&amp;$AB$3&amp;"*",
  unit_details[Leased Date], "&gt;=" &amp; ($X$2 - $AD$3)
),0)</f>
        <v>0</v>
      </c>
      <c r="AD162" s="735" cm="1">
        <f t="array" aca="true" ref="AD162" ca="true">IFERROR(AVERAGEIFS(
  unit_details[Sqft],
  unit_details[Property Name], INDIRECT("B"&amp;ROW()),
  unit_details[Floorplan Name], INDIRECT("C"&amp;ROW()),
  unit_details[Beds], INDIRECT("D"&amp;ROW()),
  unit_details[Detected Unit Amenities], "&lt;&gt;*"&amp;$AB$3&amp;"*",
  unit_details[Leased Date], "&gt;=" &amp; ($X$2 - $AD$3)
),0)</f>
        <v>0</v>
      </c>
      <c r="AE162" s="734" cm="1">
        <f t="array" aca="true" ref="AE1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2" s="733" cm="1">
        <f t="array" aca="true" ref="AF162" ca="true">IFERROR(COUNTIFS(
  unit_details[Property Name], INDIRECT("B"&amp;ROW()),
  unit_details[Floorplan Name], INDIRECT("C"&amp;ROW()),
  unit_details[Beds], INDIRECT("D"&amp;ROW()),
  unit_details[Detected Unit Amenities], "&lt;&gt;*"&amp;$AB$3&amp;"*",
  unit_details[Leased Date], "&gt;=" &amp; ($X$2 - $AD$3)
),0)</f>
        <v>0</v>
      </c>
      <c r="AG162" s="735"/>
      <c r="AH162" s="738">
        <f t="shared" ca="true" si="6"/>
        <v>0</v>
      </c>
      <c r="AI162" s="739">
        <f t="shared" ca="true" si="7"/>
        <v>0</v>
      </c>
    </row>
    <row r="163" spans="2:35">
      <c r="B163" s="1"/>
      <c r="C163" s="80"/>
      <c r="E163" s="303"/>
      <c r="F163" s="303"/>
      <c r="J163" s="345"/>
      <c r="K163" s="6"/>
      <c r="M163" s="6"/>
      <c r="N163" s="738" t="str" cm="1">
        <f t="array" aca="true" ref="N163" ca="true">IFERROR(IF($O$3="Chunk Rent",
AVERAGEIFS('Unit-Level Data'!$O:$O,'Unit-Level Data'!$M:$M,TRUE,
          'Unit-Level Data'!$D:$D, INDIRECT("C"&amp;ROW()),
          'Unit-Level Data'!$B:$B, INDIRECT("B"&amp;ROW())),
AVERAGEIFS('Unit-Level Data'!$P:$P,'Unit-Level Data'!$M:$M,TRUE,
          'Unit-Level Data'!$D:$D, INDIRECT("C"&amp;ROW()),
          'Unit-Level Data'!$B:$B, INDIRECT("B"&amp;ROW()))),"")</f>
      </c>
      <c r="O163" s="760" t="str" cm="1">
        <f t="array" aca="true" ref="O163" ca="true">IFERROR(IF($O$3="Chunk Rent",
AVERAGEIFS('Unit-Level Data'!$Q:$Q,'Unit-Level Data'!$M:$M,TRUE,
          'Unit-Level Data'!$D:$D, INDIRECT("C"&amp;ROW()),
          'Unit-Level Data'!$B:$B, INDIRECT("B"&amp;ROW())),
AVERAGEIFS('Unit-Level Data'!$R:$R,'Unit-Level Data'!$M:$M,TRUE,
          'Unit-Level Data'!$D:$D, INDIRECT("C"&amp;ROW()),
          'Unit-Level Data'!$B:$B, INDIRECT("B"&amp;ROW()))),"")</f>
      </c>
      <c r="P163" s="733" cm="1">
        <f t="array" aca="true" ref="P163" ca="true">COUNTIFS('Unit-Level Data'!$M:$M,TRUE,
          'Unit-Level Data'!$D:$D, INDIRECT("C"&amp;ROW()),
          'Unit-Level Data'!$B:$B, INDIRECT("B"&amp;ROW()))</f>
        <v>0</v>
      </c>
      <c r="Q163" s="738" t="str" cm="1">
        <f t="array" aca="true" ref="Q1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3" s="760" t="str" cm="1">
        <f t="array" aca="true" ref="R1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3" s="733" cm="1">
        <f t="array" aca="true" ref="S163" ca="true">COUNTIFS('Unit-Level Data'!$L:$L, "&gt;=" &amp; ($X$2 - Q$5),
          'Unit-Level Data'!$L:$L, "&lt;" &amp; $X$2,
          'Unit-Level Data'!$D:$D, INDIRECT("C"&amp;ROW()),
          'Unit-Level Data'!$B:$B, INDIRECT("B"&amp;ROW()))</f>
        <v>0</v>
      </c>
      <c r="T163" s="738" t="str" cm="1">
        <f t="array" aca="true" ref="T1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3" s="760" t="str" cm="1">
        <f t="array" aca="true" ref="U1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3" s="733" cm="1">
        <f t="array" aca="true" ref="V163" ca="true">COUNTIFS('Unit-Level Data'!$L:$L, "&gt;=" &amp; ($X$2 - T$5),
          'Unit-Level Data'!$L:$L, "&lt;" &amp; $X$2,
          'Unit-Level Data'!$D:$D, INDIRECT("C"&amp;ROW()),
          'Unit-Level Data'!$B:$B, INDIRECT("B"&amp;ROW()))</f>
        <v>0</v>
      </c>
      <c r="W163" s="738" t="str" cm="1">
        <f t="array" aca="true" ref="W1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3" s="760" t="str" cm="1">
        <f t="array" aca="true" ref="X1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3" s="733" cm="1">
        <f t="array" aca="true" ref="Y163" ca="true">COUNTIFS('Unit-Level Data'!$L:$L, "&gt;=" &amp; ($X$2 - W$5),
          'Unit-Level Data'!$L:$L, "&lt;" &amp; $X$2,
          'Unit-Level Data'!$D:$D, INDIRECT("C"&amp;ROW()),
          'Unit-Level Data'!$B:$B, INDIRECT("B"&amp;ROW()))</f>
        <v>0</v>
      </c>
      <c r="Z163" s="761"/>
      <c r="AA163" s="735" cm="1">
        <f t="array" aca="true" ref="AA163" ca="true">IFERROR(AVERAGEIFS(
  unit_details[Sqft],
  unit_details[Property Name], INDIRECT("B"&amp;ROW()),
  unit_details[Floorplan Name], INDIRECT("C"&amp;ROW()),
  unit_details[Beds], INDIRECT("D"&amp;ROW()),
  unit_details[Detected Unit Amenities], "*"&amp;$AB$3&amp;"*",
  unit_details[Leased Date], "&gt;=" &amp; ($X$2 - $AD$3)
),0)</f>
        <v>0</v>
      </c>
      <c r="AB163" s="734" cm="1">
        <f t="array" aca="true" ref="AB1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3" s="733" cm="1">
        <f t="array" aca="true" ref="AC163" ca="true">IFERROR(COUNTIFS(
  unit_details[Property Name], INDIRECT("B"&amp;ROW()),
  unit_details[Floorplan Name], INDIRECT("C"&amp;ROW()),
  unit_details[Beds], INDIRECT("D"&amp;ROW()),
  unit_details[Detected Unit Amenities], "*"&amp;$AB$3&amp;"*",
  unit_details[Leased Date], "&gt;=" &amp; ($X$2 - $AD$3)
),0)</f>
        <v>0</v>
      </c>
      <c r="AD163" s="735" cm="1">
        <f t="array" aca="true" ref="AD163" ca="true">IFERROR(AVERAGEIFS(
  unit_details[Sqft],
  unit_details[Property Name], INDIRECT("B"&amp;ROW()),
  unit_details[Floorplan Name], INDIRECT("C"&amp;ROW()),
  unit_details[Beds], INDIRECT("D"&amp;ROW()),
  unit_details[Detected Unit Amenities], "&lt;&gt;*"&amp;$AB$3&amp;"*",
  unit_details[Leased Date], "&gt;=" &amp; ($X$2 - $AD$3)
),0)</f>
        <v>0</v>
      </c>
      <c r="AE163" s="734" cm="1">
        <f t="array" aca="true" ref="AE1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3" s="733" cm="1">
        <f t="array" aca="true" ref="AF163" ca="true">IFERROR(COUNTIFS(
  unit_details[Property Name], INDIRECT("B"&amp;ROW()),
  unit_details[Floorplan Name], INDIRECT("C"&amp;ROW()),
  unit_details[Beds], INDIRECT("D"&amp;ROW()),
  unit_details[Detected Unit Amenities], "&lt;&gt;*"&amp;$AB$3&amp;"*",
  unit_details[Leased Date], "&gt;=" &amp; ($X$2 - $AD$3)
),0)</f>
        <v>0</v>
      </c>
      <c r="AG163" s="735"/>
      <c r="AH163" s="738">
        <f t="shared" ca="true" si="6"/>
        <v>0</v>
      </c>
      <c r="AI163" s="739">
        <f t="shared" ca="true" si="7"/>
        <v>0</v>
      </c>
    </row>
    <row r="164" spans="2:35">
      <c r="B164" s="1"/>
      <c r="C164" s="80"/>
      <c r="E164" s="303"/>
      <c r="F164" s="303"/>
      <c r="J164" s="345"/>
      <c r="K164" s="6"/>
      <c r="M164" s="6"/>
      <c r="N164" s="738" t="str" cm="1">
        <f t="array" aca="true" ref="N164" ca="true">IFERROR(IF($O$3="Chunk Rent",
AVERAGEIFS('Unit-Level Data'!$O:$O,'Unit-Level Data'!$M:$M,TRUE,
          'Unit-Level Data'!$D:$D, INDIRECT("C"&amp;ROW()),
          'Unit-Level Data'!$B:$B, INDIRECT("B"&amp;ROW())),
AVERAGEIFS('Unit-Level Data'!$P:$P,'Unit-Level Data'!$M:$M,TRUE,
          'Unit-Level Data'!$D:$D, INDIRECT("C"&amp;ROW()),
          'Unit-Level Data'!$B:$B, INDIRECT("B"&amp;ROW()))),"")</f>
      </c>
      <c r="O164" s="760" t="str" cm="1">
        <f t="array" aca="true" ref="O164" ca="true">IFERROR(IF($O$3="Chunk Rent",
AVERAGEIFS('Unit-Level Data'!$Q:$Q,'Unit-Level Data'!$M:$M,TRUE,
          'Unit-Level Data'!$D:$D, INDIRECT("C"&amp;ROW()),
          'Unit-Level Data'!$B:$B, INDIRECT("B"&amp;ROW())),
AVERAGEIFS('Unit-Level Data'!$R:$R,'Unit-Level Data'!$M:$M,TRUE,
          'Unit-Level Data'!$D:$D, INDIRECT("C"&amp;ROW()),
          'Unit-Level Data'!$B:$B, INDIRECT("B"&amp;ROW()))),"")</f>
      </c>
      <c r="P164" s="733" cm="1">
        <f t="array" aca="true" ref="P164" ca="true">COUNTIFS('Unit-Level Data'!$M:$M,TRUE,
          'Unit-Level Data'!$D:$D, INDIRECT("C"&amp;ROW()),
          'Unit-Level Data'!$B:$B, INDIRECT("B"&amp;ROW()))</f>
        <v>0</v>
      </c>
      <c r="Q164" s="738" t="str" cm="1">
        <f t="array" aca="true" ref="Q1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4" s="760" t="str" cm="1">
        <f t="array" aca="true" ref="R1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4" s="733" cm="1">
        <f t="array" aca="true" ref="S164" ca="true">COUNTIFS('Unit-Level Data'!$L:$L, "&gt;=" &amp; ($X$2 - Q$5),
          'Unit-Level Data'!$L:$L, "&lt;" &amp; $X$2,
          'Unit-Level Data'!$D:$D, INDIRECT("C"&amp;ROW()),
          'Unit-Level Data'!$B:$B, INDIRECT("B"&amp;ROW()))</f>
        <v>0</v>
      </c>
      <c r="T164" s="738" t="str" cm="1">
        <f t="array" aca="true" ref="T1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4" s="760" t="str" cm="1">
        <f t="array" aca="true" ref="U1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4" s="733" cm="1">
        <f t="array" aca="true" ref="V164" ca="true">COUNTIFS('Unit-Level Data'!$L:$L, "&gt;=" &amp; ($X$2 - T$5),
          'Unit-Level Data'!$L:$L, "&lt;" &amp; $X$2,
          'Unit-Level Data'!$D:$D, INDIRECT("C"&amp;ROW()),
          'Unit-Level Data'!$B:$B, INDIRECT("B"&amp;ROW()))</f>
        <v>0</v>
      </c>
      <c r="W164" s="738" t="str" cm="1">
        <f t="array" aca="true" ref="W1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4" s="760" t="str" cm="1">
        <f t="array" aca="true" ref="X1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4" s="733" cm="1">
        <f t="array" aca="true" ref="Y164" ca="true">COUNTIFS('Unit-Level Data'!$L:$L, "&gt;=" &amp; ($X$2 - W$5),
          'Unit-Level Data'!$L:$L, "&lt;" &amp; $X$2,
          'Unit-Level Data'!$D:$D, INDIRECT("C"&amp;ROW()),
          'Unit-Level Data'!$B:$B, INDIRECT("B"&amp;ROW()))</f>
        <v>0</v>
      </c>
      <c r="Z164" s="761"/>
      <c r="AA164" s="735" cm="1">
        <f t="array" aca="true" ref="AA164" ca="true">IFERROR(AVERAGEIFS(
  unit_details[Sqft],
  unit_details[Property Name], INDIRECT("B"&amp;ROW()),
  unit_details[Floorplan Name], INDIRECT("C"&amp;ROW()),
  unit_details[Beds], INDIRECT("D"&amp;ROW()),
  unit_details[Detected Unit Amenities], "*"&amp;$AB$3&amp;"*",
  unit_details[Leased Date], "&gt;=" &amp; ($X$2 - $AD$3)
),0)</f>
        <v>0</v>
      </c>
      <c r="AB164" s="734" cm="1">
        <f t="array" aca="true" ref="AB1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4" s="733" cm="1">
        <f t="array" aca="true" ref="AC164" ca="true">IFERROR(COUNTIFS(
  unit_details[Property Name], INDIRECT("B"&amp;ROW()),
  unit_details[Floorplan Name], INDIRECT("C"&amp;ROW()),
  unit_details[Beds], INDIRECT("D"&amp;ROW()),
  unit_details[Detected Unit Amenities], "*"&amp;$AB$3&amp;"*",
  unit_details[Leased Date], "&gt;=" &amp; ($X$2 - $AD$3)
),0)</f>
        <v>0</v>
      </c>
      <c r="AD164" s="735" cm="1">
        <f t="array" aca="true" ref="AD164" ca="true">IFERROR(AVERAGEIFS(
  unit_details[Sqft],
  unit_details[Property Name], INDIRECT("B"&amp;ROW()),
  unit_details[Floorplan Name], INDIRECT("C"&amp;ROW()),
  unit_details[Beds], INDIRECT("D"&amp;ROW()),
  unit_details[Detected Unit Amenities], "&lt;&gt;*"&amp;$AB$3&amp;"*",
  unit_details[Leased Date], "&gt;=" &amp; ($X$2 - $AD$3)
),0)</f>
        <v>0</v>
      </c>
      <c r="AE164" s="734" cm="1">
        <f t="array" aca="true" ref="AE1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4" s="733" cm="1">
        <f t="array" aca="true" ref="AF164" ca="true">IFERROR(COUNTIFS(
  unit_details[Property Name], INDIRECT("B"&amp;ROW()),
  unit_details[Floorplan Name], INDIRECT("C"&amp;ROW()),
  unit_details[Beds], INDIRECT("D"&amp;ROW()),
  unit_details[Detected Unit Amenities], "&lt;&gt;*"&amp;$AB$3&amp;"*",
  unit_details[Leased Date], "&gt;=" &amp; ($X$2 - $AD$3)
),0)</f>
        <v>0</v>
      </c>
      <c r="AG164" s="735"/>
      <c r="AH164" s="738">
        <f t="shared" ca="true" si="6"/>
        <v>0</v>
      </c>
      <c r="AI164" s="739">
        <f t="shared" ca="true" si="7"/>
        <v>0</v>
      </c>
    </row>
    <row r="165" spans="2:35">
      <c r="B165" s="1"/>
      <c r="C165" s="80"/>
      <c r="E165" s="303"/>
      <c r="F165" s="303"/>
      <c r="J165" s="345"/>
      <c r="K165" s="6"/>
      <c r="M165" s="6"/>
      <c r="N165" s="738" t="str" cm="1">
        <f t="array" aca="true" ref="N165" ca="true">IFERROR(IF($O$3="Chunk Rent",
AVERAGEIFS('Unit-Level Data'!$O:$O,'Unit-Level Data'!$M:$M,TRUE,
          'Unit-Level Data'!$D:$D, INDIRECT("C"&amp;ROW()),
          'Unit-Level Data'!$B:$B, INDIRECT("B"&amp;ROW())),
AVERAGEIFS('Unit-Level Data'!$P:$P,'Unit-Level Data'!$M:$M,TRUE,
          'Unit-Level Data'!$D:$D, INDIRECT("C"&amp;ROW()),
          'Unit-Level Data'!$B:$B, INDIRECT("B"&amp;ROW()))),"")</f>
      </c>
      <c r="O165" s="760" t="str" cm="1">
        <f t="array" aca="true" ref="O165" ca="true">IFERROR(IF($O$3="Chunk Rent",
AVERAGEIFS('Unit-Level Data'!$Q:$Q,'Unit-Level Data'!$M:$M,TRUE,
          'Unit-Level Data'!$D:$D, INDIRECT("C"&amp;ROW()),
          'Unit-Level Data'!$B:$B, INDIRECT("B"&amp;ROW())),
AVERAGEIFS('Unit-Level Data'!$R:$R,'Unit-Level Data'!$M:$M,TRUE,
          'Unit-Level Data'!$D:$D, INDIRECT("C"&amp;ROW()),
          'Unit-Level Data'!$B:$B, INDIRECT("B"&amp;ROW()))),"")</f>
      </c>
      <c r="P165" s="733" cm="1">
        <f t="array" aca="true" ref="P165" ca="true">COUNTIFS('Unit-Level Data'!$M:$M,TRUE,
          'Unit-Level Data'!$D:$D, INDIRECT("C"&amp;ROW()),
          'Unit-Level Data'!$B:$B, INDIRECT("B"&amp;ROW()))</f>
        <v>0</v>
      </c>
      <c r="Q165" s="738" t="str" cm="1">
        <f t="array" aca="true" ref="Q1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5" s="760" t="str" cm="1">
        <f t="array" aca="true" ref="R1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5" s="733" cm="1">
        <f t="array" aca="true" ref="S165" ca="true">COUNTIFS('Unit-Level Data'!$L:$L, "&gt;=" &amp; ($X$2 - Q$5),
          'Unit-Level Data'!$L:$L, "&lt;" &amp; $X$2,
          'Unit-Level Data'!$D:$D, INDIRECT("C"&amp;ROW()),
          'Unit-Level Data'!$B:$B, INDIRECT("B"&amp;ROW()))</f>
        <v>0</v>
      </c>
      <c r="T165" s="738" t="str" cm="1">
        <f t="array" aca="true" ref="T1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5" s="760" t="str" cm="1">
        <f t="array" aca="true" ref="U1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5" s="733" cm="1">
        <f t="array" aca="true" ref="V165" ca="true">COUNTIFS('Unit-Level Data'!$L:$L, "&gt;=" &amp; ($X$2 - T$5),
          'Unit-Level Data'!$L:$L, "&lt;" &amp; $X$2,
          'Unit-Level Data'!$D:$D, INDIRECT("C"&amp;ROW()),
          'Unit-Level Data'!$B:$B, INDIRECT("B"&amp;ROW()))</f>
        <v>0</v>
      </c>
      <c r="W165" s="738" t="str" cm="1">
        <f t="array" aca="true" ref="W1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5" s="760" t="str" cm="1">
        <f t="array" aca="true" ref="X1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5" s="733" cm="1">
        <f t="array" aca="true" ref="Y165" ca="true">COUNTIFS('Unit-Level Data'!$L:$L, "&gt;=" &amp; ($X$2 - W$5),
          'Unit-Level Data'!$L:$L, "&lt;" &amp; $X$2,
          'Unit-Level Data'!$D:$D, INDIRECT("C"&amp;ROW()),
          'Unit-Level Data'!$B:$B, INDIRECT("B"&amp;ROW()))</f>
        <v>0</v>
      </c>
      <c r="Z165" s="761"/>
      <c r="AA165" s="735" cm="1">
        <f t="array" aca="true" ref="AA165" ca="true">IFERROR(AVERAGEIFS(
  unit_details[Sqft],
  unit_details[Property Name], INDIRECT("B"&amp;ROW()),
  unit_details[Floorplan Name], INDIRECT("C"&amp;ROW()),
  unit_details[Beds], INDIRECT("D"&amp;ROW()),
  unit_details[Detected Unit Amenities], "*"&amp;$AB$3&amp;"*",
  unit_details[Leased Date], "&gt;=" &amp; ($X$2 - $AD$3)
),0)</f>
        <v>0</v>
      </c>
      <c r="AB165" s="734" cm="1">
        <f t="array" aca="true" ref="AB1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5" s="733" cm="1">
        <f t="array" aca="true" ref="AC165" ca="true">IFERROR(COUNTIFS(
  unit_details[Property Name], INDIRECT("B"&amp;ROW()),
  unit_details[Floorplan Name], INDIRECT("C"&amp;ROW()),
  unit_details[Beds], INDIRECT("D"&amp;ROW()),
  unit_details[Detected Unit Amenities], "*"&amp;$AB$3&amp;"*",
  unit_details[Leased Date], "&gt;=" &amp; ($X$2 - $AD$3)
),0)</f>
        <v>0</v>
      </c>
      <c r="AD165" s="735" cm="1">
        <f t="array" aca="true" ref="AD165" ca="true">IFERROR(AVERAGEIFS(
  unit_details[Sqft],
  unit_details[Property Name], INDIRECT("B"&amp;ROW()),
  unit_details[Floorplan Name], INDIRECT("C"&amp;ROW()),
  unit_details[Beds], INDIRECT("D"&amp;ROW()),
  unit_details[Detected Unit Amenities], "&lt;&gt;*"&amp;$AB$3&amp;"*",
  unit_details[Leased Date], "&gt;=" &amp; ($X$2 - $AD$3)
),0)</f>
        <v>0</v>
      </c>
      <c r="AE165" s="734" cm="1">
        <f t="array" aca="true" ref="AE1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5" s="733" cm="1">
        <f t="array" aca="true" ref="AF165" ca="true">IFERROR(COUNTIFS(
  unit_details[Property Name], INDIRECT("B"&amp;ROW()),
  unit_details[Floorplan Name], INDIRECT("C"&amp;ROW()),
  unit_details[Beds], INDIRECT("D"&amp;ROW()),
  unit_details[Detected Unit Amenities], "&lt;&gt;*"&amp;$AB$3&amp;"*",
  unit_details[Leased Date], "&gt;=" &amp; ($X$2 - $AD$3)
),0)</f>
        <v>0</v>
      </c>
      <c r="AG165" s="735"/>
      <c r="AH165" s="738">
        <f t="shared" ca="true" si="6"/>
        <v>0</v>
      </c>
      <c r="AI165" s="739">
        <f t="shared" ca="true" si="7"/>
        <v>0</v>
      </c>
    </row>
    <row r="166" spans="2:35">
      <c r="B166" s="1"/>
      <c r="C166" s="80"/>
      <c r="E166" s="303"/>
      <c r="F166" s="303"/>
      <c r="J166" s="345"/>
      <c r="K166" s="6"/>
      <c r="M166" s="6"/>
      <c r="N166" s="738" t="str" cm="1">
        <f t="array" aca="true" ref="N166" ca="true">IFERROR(IF($O$3="Chunk Rent",
AVERAGEIFS('Unit-Level Data'!$O:$O,'Unit-Level Data'!$M:$M,TRUE,
          'Unit-Level Data'!$D:$D, INDIRECT("C"&amp;ROW()),
          'Unit-Level Data'!$B:$B, INDIRECT("B"&amp;ROW())),
AVERAGEIFS('Unit-Level Data'!$P:$P,'Unit-Level Data'!$M:$M,TRUE,
          'Unit-Level Data'!$D:$D, INDIRECT("C"&amp;ROW()),
          'Unit-Level Data'!$B:$B, INDIRECT("B"&amp;ROW()))),"")</f>
      </c>
      <c r="O166" s="760" t="str" cm="1">
        <f t="array" aca="true" ref="O166" ca="true">IFERROR(IF($O$3="Chunk Rent",
AVERAGEIFS('Unit-Level Data'!$Q:$Q,'Unit-Level Data'!$M:$M,TRUE,
          'Unit-Level Data'!$D:$D, INDIRECT("C"&amp;ROW()),
          'Unit-Level Data'!$B:$B, INDIRECT("B"&amp;ROW())),
AVERAGEIFS('Unit-Level Data'!$R:$R,'Unit-Level Data'!$M:$M,TRUE,
          'Unit-Level Data'!$D:$D, INDIRECT("C"&amp;ROW()),
          'Unit-Level Data'!$B:$B, INDIRECT("B"&amp;ROW()))),"")</f>
      </c>
      <c r="P166" s="733" cm="1">
        <f t="array" aca="true" ref="P166" ca="true">COUNTIFS('Unit-Level Data'!$M:$M,TRUE,
          'Unit-Level Data'!$D:$D, INDIRECT("C"&amp;ROW()),
          'Unit-Level Data'!$B:$B, INDIRECT("B"&amp;ROW()))</f>
        <v>0</v>
      </c>
      <c r="Q166" s="738" t="str" cm="1">
        <f t="array" aca="true" ref="Q1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6" s="760" t="str" cm="1">
        <f t="array" aca="true" ref="R1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6" s="733" cm="1">
        <f t="array" aca="true" ref="S166" ca="true">COUNTIFS('Unit-Level Data'!$L:$L, "&gt;=" &amp; ($X$2 - Q$5),
          'Unit-Level Data'!$L:$L, "&lt;" &amp; $X$2,
          'Unit-Level Data'!$D:$D, INDIRECT("C"&amp;ROW()),
          'Unit-Level Data'!$B:$B, INDIRECT("B"&amp;ROW()))</f>
        <v>0</v>
      </c>
      <c r="T166" s="738" t="str" cm="1">
        <f t="array" aca="true" ref="T1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6" s="760" t="str" cm="1">
        <f t="array" aca="true" ref="U1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6" s="733" cm="1">
        <f t="array" aca="true" ref="V166" ca="true">COUNTIFS('Unit-Level Data'!$L:$L, "&gt;=" &amp; ($X$2 - T$5),
          'Unit-Level Data'!$L:$L, "&lt;" &amp; $X$2,
          'Unit-Level Data'!$D:$D, INDIRECT("C"&amp;ROW()),
          'Unit-Level Data'!$B:$B, INDIRECT("B"&amp;ROW()))</f>
        <v>0</v>
      </c>
      <c r="W166" s="738" t="str" cm="1">
        <f t="array" aca="true" ref="W1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6" s="760" t="str" cm="1">
        <f t="array" aca="true" ref="X1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6" s="733" cm="1">
        <f t="array" aca="true" ref="Y166" ca="true">COUNTIFS('Unit-Level Data'!$L:$L, "&gt;=" &amp; ($X$2 - W$5),
          'Unit-Level Data'!$L:$L, "&lt;" &amp; $X$2,
          'Unit-Level Data'!$D:$D, INDIRECT("C"&amp;ROW()),
          'Unit-Level Data'!$B:$B, INDIRECT("B"&amp;ROW()))</f>
        <v>0</v>
      </c>
      <c r="Z166" s="761"/>
      <c r="AA166" s="735" cm="1">
        <f t="array" aca="true" ref="AA166" ca="true">IFERROR(AVERAGEIFS(
  unit_details[Sqft],
  unit_details[Property Name], INDIRECT("B"&amp;ROW()),
  unit_details[Floorplan Name], INDIRECT("C"&amp;ROW()),
  unit_details[Beds], INDIRECT("D"&amp;ROW()),
  unit_details[Detected Unit Amenities], "*"&amp;$AB$3&amp;"*",
  unit_details[Leased Date], "&gt;=" &amp; ($X$2 - $AD$3)
),0)</f>
        <v>0</v>
      </c>
      <c r="AB166" s="734" cm="1">
        <f t="array" aca="true" ref="AB1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6" s="733" cm="1">
        <f t="array" aca="true" ref="AC166" ca="true">IFERROR(COUNTIFS(
  unit_details[Property Name], INDIRECT("B"&amp;ROW()),
  unit_details[Floorplan Name], INDIRECT("C"&amp;ROW()),
  unit_details[Beds], INDIRECT("D"&amp;ROW()),
  unit_details[Detected Unit Amenities], "*"&amp;$AB$3&amp;"*",
  unit_details[Leased Date], "&gt;=" &amp; ($X$2 - $AD$3)
),0)</f>
        <v>0</v>
      </c>
      <c r="AD166" s="735" cm="1">
        <f t="array" aca="true" ref="AD166" ca="true">IFERROR(AVERAGEIFS(
  unit_details[Sqft],
  unit_details[Property Name], INDIRECT("B"&amp;ROW()),
  unit_details[Floorplan Name], INDIRECT("C"&amp;ROW()),
  unit_details[Beds], INDIRECT("D"&amp;ROW()),
  unit_details[Detected Unit Amenities], "&lt;&gt;*"&amp;$AB$3&amp;"*",
  unit_details[Leased Date], "&gt;=" &amp; ($X$2 - $AD$3)
),0)</f>
        <v>0</v>
      </c>
      <c r="AE166" s="734" cm="1">
        <f t="array" aca="true" ref="AE1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6" s="733" cm="1">
        <f t="array" aca="true" ref="AF166" ca="true">IFERROR(COUNTIFS(
  unit_details[Property Name], INDIRECT("B"&amp;ROW()),
  unit_details[Floorplan Name], INDIRECT("C"&amp;ROW()),
  unit_details[Beds], INDIRECT("D"&amp;ROW()),
  unit_details[Detected Unit Amenities], "&lt;&gt;*"&amp;$AB$3&amp;"*",
  unit_details[Leased Date], "&gt;=" &amp; ($X$2 - $AD$3)
),0)</f>
        <v>0</v>
      </c>
      <c r="AG166" s="735"/>
      <c r="AH166" s="738">
        <f t="shared" ca="true" si="6"/>
        <v>0</v>
      </c>
      <c r="AI166" s="739">
        <f t="shared" ca="true" si="7"/>
        <v>0</v>
      </c>
    </row>
    <row r="167" spans="2:35">
      <c r="B167" s="1"/>
      <c r="C167" s="80"/>
      <c r="E167" s="303"/>
      <c r="F167" s="303"/>
      <c r="J167" s="345"/>
      <c r="K167" s="6"/>
      <c r="M167" s="6"/>
      <c r="N167" s="738" t="str" cm="1">
        <f t="array" aca="true" ref="N167" ca="true">IFERROR(IF($O$3="Chunk Rent",
AVERAGEIFS('Unit-Level Data'!$O:$O,'Unit-Level Data'!$M:$M,TRUE,
          'Unit-Level Data'!$D:$D, INDIRECT("C"&amp;ROW()),
          'Unit-Level Data'!$B:$B, INDIRECT("B"&amp;ROW())),
AVERAGEIFS('Unit-Level Data'!$P:$P,'Unit-Level Data'!$M:$M,TRUE,
          'Unit-Level Data'!$D:$D, INDIRECT("C"&amp;ROW()),
          'Unit-Level Data'!$B:$B, INDIRECT("B"&amp;ROW()))),"")</f>
      </c>
      <c r="O167" s="760" t="str" cm="1">
        <f t="array" aca="true" ref="O167" ca="true">IFERROR(IF($O$3="Chunk Rent",
AVERAGEIFS('Unit-Level Data'!$Q:$Q,'Unit-Level Data'!$M:$M,TRUE,
          'Unit-Level Data'!$D:$D, INDIRECT("C"&amp;ROW()),
          'Unit-Level Data'!$B:$B, INDIRECT("B"&amp;ROW())),
AVERAGEIFS('Unit-Level Data'!$R:$R,'Unit-Level Data'!$M:$M,TRUE,
          'Unit-Level Data'!$D:$D, INDIRECT("C"&amp;ROW()),
          'Unit-Level Data'!$B:$B, INDIRECT("B"&amp;ROW()))),"")</f>
      </c>
      <c r="P167" s="733" cm="1">
        <f t="array" aca="true" ref="P167" ca="true">COUNTIFS('Unit-Level Data'!$M:$M,TRUE,
          'Unit-Level Data'!$D:$D, INDIRECT("C"&amp;ROW()),
          'Unit-Level Data'!$B:$B, INDIRECT("B"&amp;ROW()))</f>
        <v>0</v>
      </c>
      <c r="Q167" s="738" t="str" cm="1">
        <f t="array" aca="true" ref="Q1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7" s="760" t="str" cm="1">
        <f t="array" aca="true" ref="R1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7" s="733" cm="1">
        <f t="array" aca="true" ref="S167" ca="true">COUNTIFS('Unit-Level Data'!$L:$L, "&gt;=" &amp; ($X$2 - Q$5),
          'Unit-Level Data'!$L:$L, "&lt;" &amp; $X$2,
          'Unit-Level Data'!$D:$D, INDIRECT("C"&amp;ROW()),
          'Unit-Level Data'!$B:$B, INDIRECT("B"&amp;ROW()))</f>
        <v>0</v>
      </c>
      <c r="T167" s="738" t="str" cm="1">
        <f t="array" aca="true" ref="T1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7" s="760" t="str" cm="1">
        <f t="array" aca="true" ref="U1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7" s="733" cm="1">
        <f t="array" aca="true" ref="V167" ca="true">COUNTIFS('Unit-Level Data'!$L:$L, "&gt;=" &amp; ($X$2 - T$5),
          'Unit-Level Data'!$L:$L, "&lt;" &amp; $X$2,
          'Unit-Level Data'!$D:$D, INDIRECT("C"&amp;ROW()),
          'Unit-Level Data'!$B:$B, INDIRECT("B"&amp;ROW()))</f>
        <v>0</v>
      </c>
      <c r="W167" s="738" t="str" cm="1">
        <f t="array" aca="true" ref="W1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7" s="760" t="str" cm="1">
        <f t="array" aca="true" ref="X1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7" s="733" cm="1">
        <f t="array" aca="true" ref="Y167" ca="true">COUNTIFS('Unit-Level Data'!$L:$L, "&gt;=" &amp; ($X$2 - W$5),
          'Unit-Level Data'!$L:$L, "&lt;" &amp; $X$2,
          'Unit-Level Data'!$D:$D, INDIRECT("C"&amp;ROW()),
          'Unit-Level Data'!$B:$B, INDIRECT("B"&amp;ROW()))</f>
        <v>0</v>
      </c>
      <c r="Z167" s="761"/>
      <c r="AA167" s="735" cm="1">
        <f t="array" aca="true" ref="AA167" ca="true">IFERROR(AVERAGEIFS(
  unit_details[Sqft],
  unit_details[Property Name], INDIRECT("B"&amp;ROW()),
  unit_details[Floorplan Name], INDIRECT("C"&amp;ROW()),
  unit_details[Beds], INDIRECT("D"&amp;ROW()),
  unit_details[Detected Unit Amenities], "*"&amp;$AB$3&amp;"*",
  unit_details[Leased Date], "&gt;=" &amp; ($X$2 - $AD$3)
),0)</f>
        <v>0</v>
      </c>
      <c r="AB167" s="734" cm="1">
        <f t="array" aca="true" ref="AB1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7" s="733" cm="1">
        <f t="array" aca="true" ref="AC167" ca="true">IFERROR(COUNTIFS(
  unit_details[Property Name], INDIRECT("B"&amp;ROW()),
  unit_details[Floorplan Name], INDIRECT("C"&amp;ROW()),
  unit_details[Beds], INDIRECT("D"&amp;ROW()),
  unit_details[Detected Unit Amenities], "*"&amp;$AB$3&amp;"*",
  unit_details[Leased Date], "&gt;=" &amp; ($X$2 - $AD$3)
),0)</f>
        <v>0</v>
      </c>
      <c r="AD167" s="735" cm="1">
        <f t="array" aca="true" ref="AD167" ca="true">IFERROR(AVERAGEIFS(
  unit_details[Sqft],
  unit_details[Property Name], INDIRECT("B"&amp;ROW()),
  unit_details[Floorplan Name], INDIRECT("C"&amp;ROW()),
  unit_details[Beds], INDIRECT("D"&amp;ROW()),
  unit_details[Detected Unit Amenities], "&lt;&gt;*"&amp;$AB$3&amp;"*",
  unit_details[Leased Date], "&gt;=" &amp; ($X$2 - $AD$3)
),0)</f>
        <v>0</v>
      </c>
      <c r="AE167" s="734" cm="1">
        <f t="array" aca="true" ref="AE1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7" s="733" cm="1">
        <f t="array" aca="true" ref="AF167" ca="true">IFERROR(COUNTIFS(
  unit_details[Property Name], INDIRECT("B"&amp;ROW()),
  unit_details[Floorplan Name], INDIRECT("C"&amp;ROW()),
  unit_details[Beds], INDIRECT("D"&amp;ROW()),
  unit_details[Detected Unit Amenities], "&lt;&gt;*"&amp;$AB$3&amp;"*",
  unit_details[Leased Date], "&gt;=" &amp; ($X$2 - $AD$3)
),0)</f>
        <v>0</v>
      </c>
      <c r="AG167" s="735"/>
      <c r="AH167" s="738">
        <f t="shared" ca="true" si="6"/>
        <v>0</v>
      </c>
      <c r="AI167" s="739">
        <f t="shared" ca="true" si="7"/>
        <v>0</v>
      </c>
    </row>
    <row r="168" spans="2:35">
      <c r="B168" s="1"/>
      <c r="C168" s="80"/>
      <c r="E168" s="303"/>
      <c r="F168" s="303"/>
      <c r="J168" s="345"/>
      <c r="K168" s="6"/>
      <c r="M168" s="6"/>
      <c r="N168" s="738" t="str" cm="1">
        <f t="array" aca="true" ref="N168" ca="true">IFERROR(IF($O$3="Chunk Rent",
AVERAGEIFS('Unit-Level Data'!$O:$O,'Unit-Level Data'!$M:$M,TRUE,
          'Unit-Level Data'!$D:$D, INDIRECT("C"&amp;ROW()),
          'Unit-Level Data'!$B:$B, INDIRECT("B"&amp;ROW())),
AVERAGEIFS('Unit-Level Data'!$P:$P,'Unit-Level Data'!$M:$M,TRUE,
          'Unit-Level Data'!$D:$D, INDIRECT("C"&amp;ROW()),
          'Unit-Level Data'!$B:$B, INDIRECT("B"&amp;ROW()))),"")</f>
      </c>
      <c r="O168" s="760" t="str" cm="1">
        <f t="array" aca="true" ref="O168" ca="true">IFERROR(IF($O$3="Chunk Rent",
AVERAGEIFS('Unit-Level Data'!$Q:$Q,'Unit-Level Data'!$M:$M,TRUE,
          'Unit-Level Data'!$D:$D, INDIRECT("C"&amp;ROW()),
          'Unit-Level Data'!$B:$B, INDIRECT("B"&amp;ROW())),
AVERAGEIFS('Unit-Level Data'!$R:$R,'Unit-Level Data'!$M:$M,TRUE,
          'Unit-Level Data'!$D:$D, INDIRECT("C"&amp;ROW()),
          'Unit-Level Data'!$B:$B, INDIRECT("B"&amp;ROW()))),"")</f>
      </c>
      <c r="P168" s="733" cm="1">
        <f t="array" aca="true" ref="P168" ca="true">COUNTIFS('Unit-Level Data'!$M:$M,TRUE,
          'Unit-Level Data'!$D:$D, INDIRECT("C"&amp;ROW()),
          'Unit-Level Data'!$B:$B, INDIRECT("B"&amp;ROW()))</f>
        <v>0</v>
      </c>
      <c r="Q168" s="738" t="str" cm="1">
        <f t="array" aca="true" ref="Q1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8" s="760" t="str" cm="1">
        <f t="array" aca="true" ref="R1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8" s="733" cm="1">
        <f t="array" aca="true" ref="S168" ca="true">COUNTIFS('Unit-Level Data'!$L:$L, "&gt;=" &amp; ($X$2 - Q$5),
          'Unit-Level Data'!$L:$L, "&lt;" &amp; $X$2,
          'Unit-Level Data'!$D:$D, INDIRECT("C"&amp;ROW()),
          'Unit-Level Data'!$B:$B, INDIRECT("B"&amp;ROW()))</f>
        <v>0</v>
      </c>
      <c r="T168" s="738" t="str" cm="1">
        <f t="array" aca="true" ref="T1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8" s="760" t="str" cm="1">
        <f t="array" aca="true" ref="U1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8" s="733" cm="1">
        <f t="array" aca="true" ref="V168" ca="true">COUNTIFS('Unit-Level Data'!$L:$L, "&gt;=" &amp; ($X$2 - T$5),
          'Unit-Level Data'!$L:$L, "&lt;" &amp; $X$2,
          'Unit-Level Data'!$D:$D, INDIRECT("C"&amp;ROW()),
          'Unit-Level Data'!$B:$B, INDIRECT("B"&amp;ROW()))</f>
        <v>0</v>
      </c>
      <c r="W168" s="738" t="str" cm="1">
        <f t="array" aca="true" ref="W1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8" s="760" t="str" cm="1">
        <f t="array" aca="true" ref="X1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8" s="733" cm="1">
        <f t="array" aca="true" ref="Y168" ca="true">COUNTIFS('Unit-Level Data'!$L:$L, "&gt;=" &amp; ($X$2 - W$5),
          'Unit-Level Data'!$L:$L, "&lt;" &amp; $X$2,
          'Unit-Level Data'!$D:$D, INDIRECT("C"&amp;ROW()),
          'Unit-Level Data'!$B:$B, INDIRECT("B"&amp;ROW()))</f>
        <v>0</v>
      </c>
      <c r="Z168" s="761"/>
      <c r="AA168" s="735" cm="1">
        <f t="array" aca="true" ref="AA168" ca="true">IFERROR(AVERAGEIFS(
  unit_details[Sqft],
  unit_details[Property Name], INDIRECT("B"&amp;ROW()),
  unit_details[Floorplan Name], INDIRECT("C"&amp;ROW()),
  unit_details[Beds], INDIRECT("D"&amp;ROW()),
  unit_details[Detected Unit Amenities], "*"&amp;$AB$3&amp;"*",
  unit_details[Leased Date], "&gt;=" &amp; ($X$2 - $AD$3)
),0)</f>
        <v>0</v>
      </c>
      <c r="AB168" s="734" cm="1">
        <f t="array" aca="true" ref="AB1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8" s="733" cm="1">
        <f t="array" aca="true" ref="AC168" ca="true">IFERROR(COUNTIFS(
  unit_details[Property Name], INDIRECT("B"&amp;ROW()),
  unit_details[Floorplan Name], INDIRECT("C"&amp;ROW()),
  unit_details[Beds], INDIRECT("D"&amp;ROW()),
  unit_details[Detected Unit Amenities], "*"&amp;$AB$3&amp;"*",
  unit_details[Leased Date], "&gt;=" &amp; ($X$2 - $AD$3)
),0)</f>
        <v>0</v>
      </c>
      <c r="AD168" s="735" cm="1">
        <f t="array" aca="true" ref="AD168" ca="true">IFERROR(AVERAGEIFS(
  unit_details[Sqft],
  unit_details[Property Name], INDIRECT("B"&amp;ROW()),
  unit_details[Floorplan Name], INDIRECT("C"&amp;ROW()),
  unit_details[Beds], INDIRECT("D"&amp;ROW()),
  unit_details[Detected Unit Amenities], "&lt;&gt;*"&amp;$AB$3&amp;"*",
  unit_details[Leased Date], "&gt;=" &amp; ($X$2 - $AD$3)
),0)</f>
        <v>0</v>
      </c>
      <c r="AE168" s="734" cm="1">
        <f t="array" aca="true" ref="AE1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8" s="733" cm="1">
        <f t="array" aca="true" ref="AF168" ca="true">IFERROR(COUNTIFS(
  unit_details[Property Name], INDIRECT("B"&amp;ROW()),
  unit_details[Floorplan Name], INDIRECT("C"&amp;ROW()),
  unit_details[Beds], INDIRECT("D"&amp;ROW()),
  unit_details[Detected Unit Amenities], "&lt;&gt;*"&amp;$AB$3&amp;"*",
  unit_details[Leased Date], "&gt;=" &amp; ($X$2 - $AD$3)
),0)</f>
        <v>0</v>
      </c>
      <c r="AG168" s="735"/>
      <c r="AH168" s="738">
        <f t="shared" ca="true" si="6"/>
        <v>0</v>
      </c>
      <c r="AI168" s="739">
        <f t="shared" ca="true" si="7"/>
        <v>0</v>
      </c>
    </row>
    <row r="169" spans="2:35">
      <c r="B169" s="1"/>
      <c r="C169" s="80"/>
      <c r="E169" s="303"/>
      <c r="F169" s="303"/>
      <c r="J169" s="345"/>
      <c r="K169" s="6"/>
      <c r="M169" s="6"/>
      <c r="N169" s="738" t="str" cm="1">
        <f t="array" aca="true" ref="N169" ca="true">IFERROR(IF($O$3="Chunk Rent",
AVERAGEIFS('Unit-Level Data'!$O:$O,'Unit-Level Data'!$M:$M,TRUE,
          'Unit-Level Data'!$D:$D, INDIRECT("C"&amp;ROW()),
          'Unit-Level Data'!$B:$B, INDIRECT("B"&amp;ROW())),
AVERAGEIFS('Unit-Level Data'!$P:$P,'Unit-Level Data'!$M:$M,TRUE,
          'Unit-Level Data'!$D:$D, INDIRECT("C"&amp;ROW()),
          'Unit-Level Data'!$B:$B, INDIRECT("B"&amp;ROW()))),"")</f>
      </c>
      <c r="O169" s="760" t="str" cm="1">
        <f t="array" aca="true" ref="O169" ca="true">IFERROR(IF($O$3="Chunk Rent",
AVERAGEIFS('Unit-Level Data'!$Q:$Q,'Unit-Level Data'!$M:$M,TRUE,
          'Unit-Level Data'!$D:$D, INDIRECT("C"&amp;ROW()),
          'Unit-Level Data'!$B:$B, INDIRECT("B"&amp;ROW())),
AVERAGEIFS('Unit-Level Data'!$R:$R,'Unit-Level Data'!$M:$M,TRUE,
          'Unit-Level Data'!$D:$D, INDIRECT("C"&amp;ROW()),
          'Unit-Level Data'!$B:$B, INDIRECT("B"&amp;ROW()))),"")</f>
      </c>
      <c r="P169" s="733" cm="1">
        <f t="array" aca="true" ref="P169" ca="true">COUNTIFS('Unit-Level Data'!$M:$M,TRUE,
          'Unit-Level Data'!$D:$D, INDIRECT("C"&amp;ROW()),
          'Unit-Level Data'!$B:$B, INDIRECT("B"&amp;ROW()))</f>
        <v>0</v>
      </c>
      <c r="Q169" s="738" t="str" cm="1">
        <f t="array" aca="true" ref="Q1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9" s="760" t="str" cm="1">
        <f t="array" aca="true" ref="R1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9" s="733" cm="1">
        <f t="array" aca="true" ref="S169" ca="true">COUNTIFS('Unit-Level Data'!$L:$L, "&gt;=" &amp; ($X$2 - Q$5),
          'Unit-Level Data'!$L:$L, "&lt;" &amp; $X$2,
          'Unit-Level Data'!$D:$D, INDIRECT("C"&amp;ROW()),
          'Unit-Level Data'!$B:$B, INDIRECT("B"&amp;ROW()))</f>
        <v>0</v>
      </c>
      <c r="T169" s="738" t="str" cm="1">
        <f t="array" aca="true" ref="T1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9" s="760" t="str" cm="1">
        <f t="array" aca="true" ref="U1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9" s="733" cm="1">
        <f t="array" aca="true" ref="V169" ca="true">COUNTIFS('Unit-Level Data'!$L:$L, "&gt;=" &amp; ($X$2 - T$5),
          'Unit-Level Data'!$L:$L, "&lt;" &amp; $X$2,
          'Unit-Level Data'!$D:$D, INDIRECT("C"&amp;ROW()),
          'Unit-Level Data'!$B:$B, INDIRECT("B"&amp;ROW()))</f>
        <v>0</v>
      </c>
      <c r="W169" s="738" t="str" cm="1">
        <f t="array" aca="true" ref="W1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9" s="760" t="str" cm="1">
        <f t="array" aca="true" ref="X1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9" s="733" cm="1">
        <f t="array" aca="true" ref="Y169" ca="true">COUNTIFS('Unit-Level Data'!$L:$L, "&gt;=" &amp; ($X$2 - W$5),
          'Unit-Level Data'!$L:$L, "&lt;" &amp; $X$2,
          'Unit-Level Data'!$D:$D, INDIRECT("C"&amp;ROW()),
          'Unit-Level Data'!$B:$B, INDIRECT("B"&amp;ROW()))</f>
        <v>0</v>
      </c>
      <c r="Z169" s="761"/>
      <c r="AA169" s="735" cm="1">
        <f t="array" aca="true" ref="AA169" ca="true">IFERROR(AVERAGEIFS(
  unit_details[Sqft],
  unit_details[Property Name], INDIRECT("B"&amp;ROW()),
  unit_details[Floorplan Name], INDIRECT("C"&amp;ROW()),
  unit_details[Beds], INDIRECT("D"&amp;ROW()),
  unit_details[Detected Unit Amenities], "*"&amp;$AB$3&amp;"*",
  unit_details[Leased Date], "&gt;=" &amp; ($X$2 - $AD$3)
),0)</f>
        <v>0</v>
      </c>
      <c r="AB169" s="734" cm="1">
        <f t="array" aca="true" ref="AB1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9" s="733" cm="1">
        <f t="array" aca="true" ref="AC169" ca="true">IFERROR(COUNTIFS(
  unit_details[Property Name], INDIRECT("B"&amp;ROW()),
  unit_details[Floorplan Name], INDIRECT("C"&amp;ROW()),
  unit_details[Beds], INDIRECT("D"&amp;ROW()),
  unit_details[Detected Unit Amenities], "*"&amp;$AB$3&amp;"*",
  unit_details[Leased Date], "&gt;=" &amp; ($X$2 - $AD$3)
),0)</f>
        <v>0</v>
      </c>
      <c r="AD169" s="735" cm="1">
        <f t="array" aca="true" ref="AD169" ca="true">IFERROR(AVERAGEIFS(
  unit_details[Sqft],
  unit_details[Property Name], INDIRECT("B"&amp;ROW()),
  unit_details[Floorplan Name], INDIRECT("C"&amp;ROW()),
  unit_details[Beds], INDIRECT("D"&amp;ROW()),
  unit_details[Detected Unit Amenities], "&lt;&gt;*"&amp;$AB$3&amp;"*",
  unit_details[Leased Date], "&gt;=" &amp; ($X$2 - $AD$3)
),0)</f>
        <v>0</v>
      </c>
      <c r="AE169" s="734" cm="1">
        <f t="array" aca="true" ref="AE1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9" s="733" cm="1">
        <f t="array" aca="true" ref="AF169" ca="true">IFERROR(COUNTIFS(
  unit_details[Property Name], INDIRECT("B"&amp;ROW()),
  unit_details[Floorplan Name], INDIRECT("C"&amp;ROW()),
  unit_details[Beds], INDIRECT("D"&amp;ROW()),
  unit_details[Detected Unit Amenities], "&lt;&gt;*"&amp;$AB$3&amp;"*",
  unit_details[Leased Date], "&gt;=" &amp; ($X$2 - $AD$3)
),0)</f>
        <v>0</v>
      </c>
      <c r="AG169" s="735"/>
      <c r="AH169" s="738">
        <f t="shared" ca="true" si="6"/>
        <v>0</v>
      </c>
      <c r="AI169" s="739">
        <f t="shared" ca="true" si="7"/>
        <v>0</v>
      </c>
    </row>
    <row r="170" spans="2:35">
      <c r="B170" s="1"/>
      <c r="C170" s="80"/>
      <c r="E170" s="303"/>
      <c r="F170" s="303"/>
      <c r="J170" s="345"/>
      <c r="K170" s="6"/>
      <c r="M170" s="6"/>
      <c r="N170" s="738" t="str" cm="1">
        <f t="array" aca="true" ref="N170" ca="true">IFERROR(IF($O$3="Chunk Rent",
AVERAGEIFS('Unit-Level Data'!$O:$O,'Unit-Level Data'!$M:$M,TRUE,
          'Unit-Level Data'!$D:$D, INDIRECT("C"&amp;ROW()),
          'Unit-Level Data'!$B:$B, INDIRECT("B"&amp;ROW())),
AVERAGEIFS('Unit-Level Data'!$P:$P,'Unit-Level Data'!$M:$M,TRUE,
          'Unit-Level Data'!$D:$D, INDIRECT("C"&amp;ROW()),
          'Unit-Level Data'!$B:$B, INDIRECT("B"&amp;ROW()))),"")</f>
      </c>
      <c r="O170" s="760" t="str" cm="1">
        <f t="array" aca="true" ref="O170" ca="true">IFERROR(IF($O$3="Chunk Rent",
AVERAGEIFS('Unit-Level Data'!$Q:$Q,'Unit-Level Data'!$M:$M,TRUE,
          'Unit-Level Data'!$D:$D, INDIRECT("C"&amp;ROW()),
          'Unit-Level Data'!$B:$B, INDIRECT("B"&amp;ROW())),
AVERAGEIFS('Unit-Level Data'!$R:$R,'Unit-Level Data'!$M:$M,TRUE,
          'Unit-Level Data'!$D:$D, INDIRECT("C"&amp;ROW()),
          'Unit-Level Data'!$B:$B, INDIRECT("B"&amp;ROW()))),"")</f>
      </c>
      <c r="P170" s="733" cm="1">
        <f t="array" aca="true" ref="P170" ca="true">COUNTIFS('Unit-Level Data'!$M:$M,TRUE,
          'Unit-Level Data'!$D:$D, INDIRECT("C"&amp;ROW()),
          'Unit-Level Data'!$B:$B, INDIRECT("B"&amp;ROW()))</f>
        <v>0</v>
      </c>
      <c r="Q170" s="738" t="str" cm="1">
        <f t="array" aca="true" ref="Q1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0" s="760" t="str" cm="1">
        <f t="array" aca="true" ref="R1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0" s="733" cm="1">
        <f t="array" aca="true" ref="S170" ca="true">COUNTIFS('Unit-Level Data'!$L:$L, "&gt;=" &amp; ($X$2 - Q$5),
          'Unit-Level Data'!$L:$L, "&lt;" &amp; $X$2,
          'Unit-Level Data'!$D:$D, INDIRECT("C"&amp;ROW()),
          'Unit-Level Data'!$B:$B, INDIRECT("B"&amp;ROW()))</f>
        <v>0</v>
      </c>
      <c r="T170" s="738" t="str" cm="1">
        <f t="array" aca="true" ref="T1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0" s="760" t="str" cm="1">
        <f t="array" aca="true" ref="U1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0" s="733" cm="1">
        <f t="array" aca="true" ref="V170" ca="true">COUNTIFS('Unit-Level Data'!$L:$L, "&gt;=" &amp; ($X$2 - T$5),
          'Unit-Level Data'!$L:$L, "&lt;" &amp; $X$2,
          'Unit-Level Data'!$D:$D, INDIRECT("C"&amp;ROW()),
          'Unit-Level Data'!$B:$B, INDIRECT("B"&amp;ROW()))</f>
        <v>0</v>
      </c>
      <c r="W170" s="738" t="str" cm="1">
        <f t="array" aca="true" ref="W1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0" s="760" t="str" cm="1">
        <f t="array" aca="true" ref="X1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0" s="733" cm="1">
        <f t="array" aca="true" ref="Y170" ca="true">COUNTIFS('Unit-Level Data'!$L:$L, "&gt;=" &amp; ($X$2 - W$5),
          'Unit-Level Data'!$L:$L, "&lt;" &amp; $X$2,
          'Unit-Level Data'!$D:$D, INDIRECT("C"&amp;ROW()),
          'Unit-Level Data'!$B:$B, INDIRECT("B"&amp;ROW()))</f>
        <v>0</v>
      </c>
      <c r="Z170" s="761"/>
      <c r="AA170" s="735" cm="1">
        <f t="array" aca="true" ref="AA170" ca="true">IFERROR(AVERAGEIFS(
  unit_details[Sqft],
  unit_details[Property Name], INDIRECT("B"&amp;ROW()),
  unit_details[Floorplan Name], INDIRECT("C"&amp;ROW()),
  unit_details[Beds], INDIRECT("D"&amp;ROW()),
  unit_details[Detected Unit Amenities], "*"&amp;$AB$3&amp;"*",
  unit_details[Leased Date], "&gt;=" &amp; ($X$2 - $AD$3)
),0)</f>
        <v>0</v>
      </c>
      <c r="AB170" s="734" cm="1">
        <f t="array" aca="true" ref="AB1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0" s="733" cm="1">
        <f t="array" aca="true" ref="AC170" ca="true">IFERROR(COUNTIFS(
  unit_details[Property Name], INDIRECT("B"&amp;ROW()),
  unit_details[Floorplan Name], INDIRECT("C"&amp;ROW()),
  unit_details[Beds], INDIRECT("D"&amp;ROW()),
  unit_details[Detected Unit Amenities], "*"&amp;$AB$3&amp;"*",
  unit_details[Leased Date], "&gt;=" &amp; ($X$2 - $AD$3)
),0)</f>
        <v>0</v>
      </c>
      <c r="AD170" s="735" cm="1">
        <f t="array" aca="true" ref="AD170" ca="true">IFERROR(AVERAGEIFS(
  unit_details[Sqft],
  unit_details[Property Name], INDIRECT("B"&amp;ROW()),
  unit_details[Floorplan Name], INDIRECT("C"&amp;ROW()),
  unit_details[Beds], INDIRECT("D"&amp;ROW()),
  unit_details[Detected Unit Amenities], "&lt;&gt;*"&amp;$AB$3&amp;"*",
  unit_details[Leased Date], "&gt;=" &amp; ($X$2 - $AD$3)
),0)</f>
        <v>0</v>
      </c>
      <c r="AE170" s="734" cm="1">
        <f t="array" aca="true" ref="AE1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0" s="733" cm="1">
        <f t="array" aca="true" ref="AF170" ca="true">IFERROR(COUNTIFS(
  unit_details[Property Name], INDIRECT("B"&amp;ROW()),
  unit_details[Floorplan Name], INDIRECT("C"&amp;ROW()),
  unit_details[Beds], INDIRECT("D"&amp;ROW()),
  unit_details[Detected Unit Amenities], "&lt;&gt;*"&amp;$AB$3&amp;"*",
  unit_details[Leased Date], "&gt;=" &amp; ($X$2 - $AD$3)
),0)</f>
        <v>0</v>
      </c>
      <c r="AG170" s="735"/>
      <c r="AH170" s="738">
        <f t="shared" ca="true" si="6"/>
        <v>0</v>
      </c>
      <c r="AI170" s="739">
        <f t="shared" ca="true" si="7"/>
        <v>0</v>
      </c>
    </row>
    <row r="171" spans="2:35">
      <c r="B171" s="1"/>
      <c r="C171" s="80"/>
      <c r="E171" s="303"/>
      <c r="F171" s="303"/>
      <c r="J171" s="345"/>
      <c r="K171" s="6"/>
      <c r="M171" s="6"/>
      <c r="N171" s="738" t="str" cm="1">
        <f t="array" aca="true" ref="N171" ca="true">IFERROR(IF($O$3="Chunk Rent",
AVERAGEIFS('Unit-Level Data'!$O:$O,'Unit-Level Data'!$M:$M,TRUE,
          'Unit-Level Data'!$D:$D, INDIRECT("C"&amp;ROW()),
          'Unit-Level Data'!$B:$B, INDIRECT("B"&amp;ROW())),
AVERAGEIFS('Unit-Level Data'!$P:$P,'Unit-Level Data'!$M:$M,TRUE,
          'Unit-Level Data'!$D:$D, INDIRECT("C"&amp;ROW()),
          'Unit-Level Data'!$B:$B, INDIRECT("B"&amp;ROW()))),"")</f>
      </c>
      <c r="O171" s="760" t="str" cm="1">
        <f t="array" aca="true" ref="O171" ca="true">IFERROR(IF($O$3="Chunk Rent",
AVERAGEIFS('Unit-Level Data'!$Q:$Q,'Unit-Level Data'!$M:$M,TRUE,
          'Unit-Level Data'!$D:$D, INDIRECT("C"&amp;ROW()),
          'Unit-Level Data'!$B:$B, INDIRECT("B"&amp;ROW())),
AVERAGEIFS('Unit-Level Data'!$R:$R,'Unit-Level Data'!$M:$M,TRUE,
          'Unit-Level Data'!$D:$D, INDIRECT("C"&amp;ROW()),
          'Unit-Level Data'!$B:$B, INDIRECT("B"&amp;ROW()))),"")</f>
      </c>
      <c r="P171" s="733" cm="1">
        <f t="array" aca="true" ref="P171" ca="true">COUNTIFS('Unit-Level Data'!$M:$M,TRUE,
          'Unit-Level Data'!$D:$D, INDIRECT("C"&amp;ROW()),
          'Unit-Level Data'!$B:$B, INDIRECT("B"&amp;ROW()))</f>
        <v>0</v>
      </c>
      <c r="Q171" s="738" t="str" cm="1">
        <f t="array" aca="true" ref="Q1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1" s="760" t="str" cm="1">
        <f t="array" aca="true" ref="R1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1" s="733" cm="1">
        <f t="array" aca="true" ref="S171" ca="true">COUNTIFS('Unit-Level Data'!$L:$L, "&gt;=" &amp; ($X$2 - Q$5),
          'Unit-Level Data'!$L:$L, "&lt;" &amp; $X$2,
          'Unit-Level Data'!$D:$D, INDIRECT("C"&amp;ROW()),
          'Unit-Level Data'!$B:$B, INDIRECT("B"&amp;ROW()))</f>
        <v>0</v>
      </c>
      <c r="T171" s="738" t="str" cm="1">
        <f t="array" aca="true" ref="T1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1" s="760" t="str" cm="1">
        <f t="array" aca="true" ref="U1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1" s="733" cm="1">
        <f t="array" aca="true" ref="V171" ca="true">COUNTIFS('Unit-Level Data'!$L:$L, "&gt;=" &amp; ($X$2 - T$5),
          'Unit-Level Data'!$L:$L, "&lt;" &amp; $X$2,
          'Unit-Level Data'!$D:$D, INDIRECT("C"&amp;ROW()),
          'Unit-Level Data'!$B:$B, INDIRECT("B"&amp;ROW()))</f>
        <v>0</v>
      </c>
      <c r="W171" s="738" t="str" cm="1">
        <f t="array" aca="true" ref="W1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1" s="760" t="str" cm="1">
        <f t="array" aca="true" ref="X1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1" s="733" cm="1">
        <f t="array" aca="true" ref="Y171" ca="true">COUNTIFS('Unit-Level Data'!$L:$L, "&gt;=" &amp; ($X$2 - W$5),
          'Unit-Level Data'!$L:$L, "&lt;" &amp; $X$2,
          'Unit-Level Data'!$D:$D, INDIRECT("C"&amp;ROW()),
          'Unit-Level Data'!$B:$B, INDIRECT("B"&amp;ROW()))</f>
        <v>0</v>
      </c>
      <c r="Z171" s="761"/>
      <c r="AA171" s="735" cm="1">
        <f t="array" aca="true" ref="AA171" ca="true">IFERROR(AVERAGEIFS(
  unit_details[Sqft],
  unit_details[Property Name], INDIRECT("B"&amp;ROW()),
  unit_details[Floorplan Name], INDIRECT("C"&amp;ROW()),
  unit_details[Beds], INDIRECT("D"&amp;ROW()),
  unit_details[Detected Unit Amenities], "*"&amp;$AB$3&amp;"*",
  unit_details[Leased Date], "&gt;=" &amp; ($X$2 - $AD$3)
),0)</f>
        <v>0</v>
      </c>
      <c r="AB171" s="734" cm="1">
        <f t="array" aca="true" ref="AB1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1" s="733" cm="1">
        <f t="array" aca="true" ref="AC171" ca="true">IFERROR(COUNTIFS(
  unit_details[Property Name], INDIRECT("B"&amp;ROW()),
  unit_details[Floorplan Name], INDIRECT("C"&amp;ROW()),
  unit_details[Beds], INDIRECT("D"&amp;ROW()),
  unit_details[Detected Unit Amenities], "*"&amp;$AB$3&amp;"*",
  unit_details[Leased Date], "&gt;=" &amp; ($X$2 - $AD$3)
),0)</f>
        <v>0</v>
      </c>
      <c r="AD171" s="735" cm="1">
        <f t="array" aca="true" ref="AD171" ca="true">IFERROR(AVERAGEIFS(
  unit_details[Sqft],
  unit_details[Property Name], INDIRECT("B"&amp;ROW()),
  unit_details[Floorplan Name], INDIRECT("C"&amp;ROW()),
  unit_details[Beds], INDIRECT("D"&amp;ROW()),
  unit_details[Detected Unit Amenities], "&lt;&gt;*"&amp;$AB$3&amp;"*",
  unit_details[Leased Date], "&gt;=" &amp; ($X$2 - $AD$3)
),0)</f>
        <v>0</v>
      </c>
      <c r="AE171" s="734" cm="1">
        <f t="array" aca="true" ref="AE1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1" s="733" cm="1">
        <f t="array" aca="true" ref="AF171" ca="true">IFERROR(COUNTIFS(
  unit_details[Property Name], INDIRECT("B"&amp;ROW()),
  unit_details[Floorplan Name], INDIRECT("C"&amp;ROW()),
  unit_details[Beds], INDIRECT("D"&amp;ROW()),
  unit_details[Detected Unit Amenities], "&lt;&gt;*"&amp;$AB$3&amp;"*",
  unit_details[Leased Date], "&gt;=" &amp; ($X$2 - $AD$3)
),0)</f>
        <v>0</v>
      </c>
      <c r="AG171" s="735"/>
      <c r="AH171" s="738">
        <f t="shared" ca="true" si="6"/>
        <v>0</v>
      </c>
      <c r="AI171" s="739">
        <f t="shared" ca="true" si="7"/>
        <v>0</v>
      </c>
    </row>
    <row r="172" spans="2:35">
      <c r="B172" s="1"/>
      <c r="C172" s="80"/>
      <c r="E172" s="303"/>
      <c r="F172" s="303"/>
      <c r="J172" s="345"/>
      <c r="K172" s="6"/>
      <c r="M172" s="6"/>
      <c r="N172" s="738" t="str" cm="1">
        <f t="array" aca="true" ref="N172" ca="true">IFERROR(IF($O$3="Chunk Rent",
AVERAGEIFS('Unit-Level Data'!$O:$O,'Unit-Level Data'!$M:$M,TRUE,
          'Unit-Level Data'!$D:$D, INDIRECT("C"&amp;ROW()),
          'Unit-Level Data'!$B:$B, INDIRECT("B"&amp;ROW())),
AVERAGEIFS('Unit-Level Data'!$P:$P,'Unit-Level Data'!$M:$M,TRUE,
          'Unit-Level Data'!$D:$D, INDIRECT("C"&amp;ROW()),
          'Unit-Level Data'!$B:$B, INDIRECT("B"&amp;ROW()))),"")</f>
      </c>
      <c r="O172" s="760" t="str" cm="1">
        <f t="array" aca="true" ref="O172" ca="true">IFERROR(IF($O$3="Chunk Rent",
AVERAGEIFS('Unit-Level Data'!$Q:$Q,'Unit-Level Data'!$M:$M,TRUE,
          'Unit-Level Data'!$D:$D, INDIRECT("C"&amp;ROW()),
          'Unit-Level Data'!$B:$B, INDIRECT("B"&amp;ROW())),
AVERAGEIFS('Unit-Level Data'!$R:$R,'Unit-Level Data'!$M:$M,TRUE,
          'Unit-Level Data'!$D:$D, INDIRECT("C"&amp;ROW()),
          'Unit-Level Data'!$B:$B, INDIRECT("B"&amp;ROW()))),"")</f>
      </c>
      <c r="P172" s="733" cm="1">
        <f t="array" aca="true" ref="P172" ca="true">COUNTIFS('Unit-Level Data'!$M:$M,TRUE,
          'Unit-Level Data'!$D:$D, INDIRECT("C"&amp;ROW()),
          'Unit-Level Data'!$B:$B, INDIRECT("B"&amp;ROW()))</f>
        <v>0</v>
      </c>
      <c r="Q172" s="738" t="str" cm="1">
        <f t="array" aca="true" ref="Q1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2" s="760" t="str" cm="1">
        <f t="array" aca="true" ref="R1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2" s="733" cm="1">
        <f t="array" aca="true" ref="S172" ca="true">COUNTIFS('Unit-Level Data'!$L:$L, "&gt;=" &amp; ($X$2 - Q$5),
          'Unit-Level Data'!$L:$L, "&lt;" &amp; $X$2,
          'Unit-Level Data'!$D:$D, INDIRECT("C"&amp;ROW()),
          'Unit-Level Data'!$B:$B, INDIRECT("B"&amp;ROW()))</f>
        <v>0</v>
      </c>
      <c r="T172" s="738" t="str" cm="1">
        <f t="array" aca="true" ref="T1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2" s="760" t="str" cm="1">
        <f t="array" aca="true" ref="U1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2" s="733" cm="1">
        <f t="array" aca="true" ref="V172" ca="true">COUNTIFS('Unit-Level Data'!$L:$L, "&gt;=" &amp; ($X$2 - T$5),
          'Unit-Level Data'!$L:$L, "&lt;" &amp; $X$2,
          'Unit-Level Data'!$D:$D, INDIRECT("C"&amp;ROW()),
          'Unit-Level Data'!$B:$B, INDIRECT("B"&amp;ROW()))</f>
        <v>0</v>
      </c>
      <c r="W172" s="738" t="str" cm="1">
        <f t="array" aca="true" ref="W1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2" s="760" t="str" cm="1">
        <f t="array" aca="true" ref="X1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2" s="733" cm="1">
        <f t="array" aca="true" ref="Y172" ca="true">COUNTIFS('Unit-Level Data'!$L:$L, "&gt;=" &amp; ($X$2 - W$5),
          'Unit-Level Data'!$L:$L, "&lt;" &amp; $X$2,
          'Unit-Level Data'!$D:$D, INDIRECT("C"&amp;ROW()),
          'Unit-Level Data'!$B:$B, INDIRECT("B"&amp;ROW()))</f>
        <v>0</v>
      </c>
      <c r="Z172" s="761"/>
      <c r="AA172" s="735" cm="1">
        <f t="array" aca="true" ref="AA172" ca="true">IFERROR(AVERAGEIFS(
  unit_details[Sqft],
  unit_details[Property Name], INDIRECT("B"&amp;ROW()),
  unit_details[Floorplan Name], INDIRECT("C"&amp;ROW()),
  unit_details[Beds], INDIRECT("D"&amp;ROW()),
  unit_details[Detected Unit Amenities], "*"&amp;$AB$3&amp;"*",
  unit_details[Leased Date], "&gt;=" &amp; ($X$2 - $AD$3)
),0)</f>
        <v>0</v>
      </c>
      <c r="AB172" s="734" cm="1">
        <f t="array" aca="true" ref="AB1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2" s="733" cm="1">
        <f t="array" aca="true" ref="AC172" ca="true">IFERROR(COUNTIFS(
  unit_details[Property Name], INDIRECT("B"&amp;ROW()),
  unit_details[Floorplan Name], INDIRECT("C"&amp;ROW()),
  unit_details[Beds], INDIRECT("D"&amp;ROW()),
  unit_details[Detected Unit Amenities], "*"&amp;$AB$3&amp;"*",
  unit_details[Leased Date], "&gt;=" &amp; ($X$2 - $AD$3)
),0)</f>
        <v>0</v>
      </c>
      <c r="AD172" s="735" cm="1">
        <f t="array" aca="true" ref="AD172" ca="true">IFERROR(AVERAGEIFS(
  unit_details[Sqft],
  unit_details[Property Name], INDIRECT("B"&amp;ROW()),
  unit_details[Floorplan Name], INDIRECT("C"&amp;ROW()),
  unit_details[Beds], INDIRECT("D"&amp;ROW()),
  unit_details[Detected Unit Amenities], "&lt;&gt;*"&amp;$AB$3&amp;"*",
  unit_details[Leased Date], "&gt;=" &amp; ($X$2 - $AD$3)
),0)</f>
        <v>0</v>
      </c>
      <c r="AE172" s="734" cm="1">
        <f t="array" aca="true" ref="AE1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2" s="733" cm="1">
        <f t="array" aca="true" ref="AF172" ca="true">IFERROR(COUNTIFS(
  unit_details[Property Name], INDIRECT("B"&amp;ROW()),
  unit_details[Floorplan Name], INDIRECT("C"&amp;ROW()),
  unit_details[Beds], INDIRECT("D"&amp;ROW()),
  unit_details[Detected Unit Amenities], "&lt;&gt;*"&amp;$AB$3&amp;"*",
  unit_details[Leased Date], "&gt;=" &amp; ($X$2 - $AD$3)
),0)</f>
        <v>0</v>
      </c>
      <c r="AG172" s="735"/>
      <c r="AH172" s="738">
        <f t="shared" ca="true" si="6"/>
        <v>0</v>
      </c>
      <c r="AI172" s="739">
        <f t="shared" ca="true" si="7"/>
        <v>0</v>
      </c>
    </row>
    <row r="173" spans="2:35">
      <c r="B173" s="1"/>
      <c r="C173" s="80"/>
      <c r="E173" s="303"/>
      <c r="F173" s="303"/>
      <c r="J173" s="345"/>
      <c r="K173" s="6"/>
      <c r="M173" s="6"/>
      <c r="N173" s="738" t="str" cm="1">
        <f t="array" aca="true" ref="N173" ca="true">IFERROR(IF($O$3="Chunk Rent",
AVERAGEIFS('Unit-Level Data'!$O:$O,'Unit-Level Data'!$M:$M,TRUE,
          'Unit-Level Data'!$D:$D, INDIRECT("C"&amp;ROW()),
          'Unit-Level Data'!$B:$B, INDIRECT("B"&amp;ROW())),
AVERAGEIFS('Unit-Level Data'!$P:$P,'Unit-Level Data'!$M:$M,TRUE,
          'Unit-Level Data'!$D:$D, INDIRECT("C"&amp;ROW()),
          'Unit-Level Data'!$B:$B, INDIRECT("B"&amp;ROW()))),"")</f>
      </c>
      <c r="O173" s="760" t="str" cm="1">
        <f t="array" aca="true" ref="O173" ca="true">IFERROR(IF($O$3="Chunk Rent",
AVERAGEIFS('Unit-Level Data'!$Q:$Q,'Unit-Level Data'!$M:$M,TRUE,
          'Unit-Level Data'!$D:$D, INDIRECT("C"&amp;ROW()),
          'Unit-Level Data'!$B:$B, INDIRECT("B"&amp;ROW())),
AVERAGEIFS('Unit-Level Data'!$R:$R,'Unit-Level Data'!$M:$M,TRUE,
          'Unit-Level Data'!$D:$D, INDIRECT("C"&amp;ROW()),
          'Unit-Level Data'!$B:$B, INDIRECT("B"&amp;ROW()))),"")</f>
      </c>
      <c r="P173" s="733" cm="1">
        <f t="array" aca="true" ref="P173" ca="true">COUNTIFS('Unit-Level Data'!$M:$M,TRUE,
          'Unit-Level Data'!$D:$D, INDIRECT("C"&amp;ROW()),
          'Unit-Level Data'!$B:$B, INDIRECT("B"&amp;ROW()))</f>
        <v>0</v>
      </c>
      <c r="Q173" s="738" t="str" cm="1">
        <f t="array" aca="true" ref="Q1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3" s="760" t="str" cm="1">
        <f t="array" aca="true" ref="R1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3" s="733" cm="1">
        <f t="array" aca="true" ref="S173" ca="true">COUNTIFS('Unit-Level Data'!$L:$L, "&gt;=" &amp; ($X$2 - Q$5),
          'Unit-Level Data'!$L:$L, "&lt;" &amp; $X$2,
          'Unit-Level Data'!$D:$D, INDIRECT("C"&amp;ROW()),
          'Unit-Level Data'!$B:$B, INDIRECT("B"&amp;ROW()))</f>
        <v>0</v>
      </c>
      <c r="T173" s="738" t="str" cm="1">
        <f t="array" aca="true" ref="T1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3" s="760" t="str" cm="1">
        <f t="array" aca="true" ref="U1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3" s="733" cm="1">
        <f t="array" aca="true" ref="V173" ca="true">COUNTIFS('Unit-Level Data'!$L:$L, "&gt;=" &amp; ($X$2 - T$5),
          'Unit-Level Data'!$L:$L, "&lt;" &amp; $X$2,
          'Unit-Level Data'!$D:$D, INDIRECT("C"&amp;ROW()),
          'Unit-Level Data'!$B:$B, INDIRECT("B"&amp;ROW()))</f>
        <v>0</v>
      </c>
      <c r="W173" s="738" t="str" cm="1">
        <f t="array" aca="true" ref="W1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3" s="760" t="str" cm="1">
        <f t="array" aca="true" ref="X1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3" s="733" cm="1">
        <f t="array" aca="true" ref="Y173" ca="true">COUNTIFS('Unit-Level Data'!$L:$L, "&gt;=" &amp; ($X$2 - W$5),
          'Unit-Level Data'!$L:$L, "&lt;" &amp; $X$2,
          'Unit-Level Data'!$D:$D, INDIRECT("C"&amp;ROW()),
          'Unit-Level Data'!$B:$B, INDIRECT("B"&amp;ROW()))</f>
        <v>0</v>
      </c>
      <c r="Z173" s="761"/>
      <c r="AA173" s="735" cm="1">
        <f t="array" aca="true" ref="AA173" ca="true">IFERROR(AVERAGEIFS(
  unit_details[Sqft],
  unit_details[Property Name], INDIRECT("B"&amp;ROW()),
  unit_details[Floorplan Name], INDIRECT("C"&amp;ROW()),
  unit_details[Beds], INDIRECT("D"&amp;ROW()),
  unit_details[Detected Unit Amenities], "*"&amp;$AB$3&amp;"*",
  unit_details[Leased Date], "&gt;=" &amp; ($X$2 - $AD$3)
),0)</f>
        <v>0</v>
      </c>
      <c r="AB173" s="734" cm="1">
        <f t="array" aca="true" ref="AB1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3" s="733" cm="1">
        <f t="array" aca="true" ref="AC173" ca="true">IFERROR(COUNTIFS(
  unit_details[Property Name], INDIRECT("B"&amp;ROW()),
  unit_details[Floorplan Name], INDIRECT("C"&amp;ROW()),
  unit_details[Beds], INDIRECT("D"&amp;ROW()),
  unit_details[Detected Unit Amenities], "*"&amp;$AB$3&amp;"*",
  unit_details[Leased Date], "&gt;=" &amp; ($X$2 - $AD$3)
),0)</f>
        <v>0</v>
      </c>
      <c r="AD173" s="735" cm="1">
        <f t="array" aca="true" ref="AD173" ca="true">IFERROR(AVERAGEIFS(
  unit_details[Sqft],
  unit_details[Property Name], INDIRECT("B"&amp;ROW()),
  unit_details[Floorplan Name], INDIRECT("C"&amp;ROW()),
  unit_details[Beds], INDIRECT("D"&amp;ROW()),
  unit_details[Detected Unit Amenities], "&lt;&gt;*"&amp;$AB$3&amp;"*",
  unit_details[Leased Date], "&gt;=" &amp; ($X$2 - $AD$3)
),0)</f>
        <v>0</v>
      </c>
      <c r="AE173" s="734" cm="1">
        <f t="array" aca="true" ref="AE1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3" s="733" cm="1">
        <f t="array" aca="true" ref="AF173" ca="true">IFERROR(COUNTIFS(
  unit_details[Property Name], INDIRECT("B"&amp;ROW()),
  unit_details[Floorplan Name], INDIRECT("C"&amp;ROW()),
  unit_details[Beds], INDIRECT("D"&amp;ROW()),
  unit_details[Detected Unit Amenities], "&lt;&gt;*"&amp;$AB$3&amp;"*",
  unit_details[Leased Date], "&gt;=" &amp; ($X$2 - $AD$3)
),0)</f>
        <v>0</v>
      </c>
      <c r="AG173" s="735"/>
      <c r="AH173" s="738">
        <f t="shared" ca="true" si="6"/>
        <v>0</v>
      </c>
      <c r="AI173" s="739">
        <f t="shared" ca="true" si="7"/>
        <v>0</v>
      </c>
    </row>
    <row r="174" spans="2:35">
      <c r="B174" s="1"/>
      <c r="C174" s="80"/>
      <c r="E174" s="303"/>
      <c r="F174" s="303"/>
      <c r="J174" s="345"/>
      <c r="K174" s="6"/>
      <c r="M174" s="6"/>
      <c r="N174" s="738" t="str" cm="1">
        <f t="array" aca="true" ref="N174" ca="true">IFERROR(IF($O$3="Chunk Rent",
AVERAGEIFS('Unit-Level Data'!$O:$O,'Unit-Level Data'!$M:$M,TRUE,
          'Unit-Level Data'!$D:$D, INDIRECT("C"&amp;ROW()),
          'Unit-Level Data'!$B:$B, INDIRECT("B"&amp;ROW())),
AVERAGEIFS('Unit-Level Data'!$P:$P,'Unit-Level Data'!$M:$M,TRUE,
          'Unit-Level Data'!$D:$D, INDIRECT("C"&amp;ROW()),
          'Unit-Level Data'!$B:$B, INDIRECT("B"&amp;ROW()))),"")</f>
      </c>
      <c r="O174" s="760" t="str" cm="1">
        <f t="array" aca="true" ref="O174" ca="true">IFERROR(IF($O$3="Chunk Rent",
AVERAGEIFS('Unit-Level Data'!$Q:$Q,'Unit-Level Data'!$M:$M,TRUE,
          'Unit-Level Data'!$D:$D, INDIRECT("C"&amp;ROW()),
          'Unit-Level Data'!$B:$B, INDIRECT("B"&amp;ROW())),
AVERAGEIFS('Unit-Level Data'!$R:$R,'Unit-Level Data'!$M:$M,TRUE,
          'Unit-Level Data'!$D:$D, INDIRECT("C"&amp;ROW()),
          'Unit-Level Data'!$B:$B, INDIRECT("B"&amp;ROW()))),"")</f>
      </c>
      <c r="P174" s="733" cm="1">
        <f t="array" aca="true" ref="P174" ca="true">COUNTIFS('Unit-Level Data'!$M:$M,TRUE,
          'Unit-Level Data'!$D:$D, INDIRECT("C"&amp;ROW()),
          'Unit-Level Data'!$B:$B, INDIRECT("B"&amp;ROW()))</f>
        <v>0</v>
      </c>
      <c r="Q174" s="738" t="str" cm="1">
        <f t="array" aca="true" ref="Q1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4" s="760" t="str" cm="1">
        <f t="array" aca="true" ref="R1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4" s="733" cm="1">
        <f t="array" aca="true" ref="S174" ca="true">COUNTIFS('Unit-Level Data'!$L:$L, "&gt;=" &amp; ($X$2 - Q$5),
          'Unit-Level Data'!$L:$L, "&lt;" &amp; $X$2,
          'Unit-Level Data'!$D:$D, INDIRECT("C"&amp;ROW()),
          'Unit-Level Data'!$B:$B, INDIRECT("B"&amp;ROW()))</f>
        <v>0</v>
      </c>
      <c r="T174" s="738" t="str" cm="1">
        <f t="array" aca="true" ref="T1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4" s="760" t="str" cm="1">
        <f t="array" aca="true" ref="U1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4" s="733" cm="1">
        <f t="array" aca="true" ref="V174" ca="true">COUNTIFS('Unit-Level Data'!$L:$L, "&gt;=" &amp; ($X$2 - T$5),
          'Unit-Level Data'!$L:$L, "&lt;" &amp; $X$2,
          'Unit-Level Data'!$D:$D, INDIRECT("C"&amp;ROW()),
          'Unit-Level Data'!$B:$B, INDIRECT("B"&amp;ROW()))</f>
        <v>0</v>
      </c>
      <c r="W174" s="738" t="str" cm="1">
        <f t="array" aca="true" ref="W1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4" s="760" t="str" cm="1">
        <f t="array" aca="true" ref="X1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4" s="733" cm="1">
        <f t="array" aca="true" ref="Y174" ca="true">COUNTIFS('Unit-Level Data'!$L:$L, "&gt;=" &amp; ($X$2 - W$5),
          'Unit-Level Data'!$L:$L, "&lt;" &amp; $X$2,
          'Unit-Level Data'!$D:$D, INDIRECT("C"&amp;ROW()),
          'Unit-Level Data'!$B:$B, INDIRECT("B"&amp;ROW()))</f>
        <v>0</v>
      </c>
      <c r="Z174" s="761"/>
      <c r="AA174" s="735" cm="1">
        <f t="array" aca="true" ref="AA174" ca="true">IFERROR(AVERAGEIFS(
  unit_details[Sqft],
  unit_details[Property Name], INDIRECT("B"&amp;ROW()),
  unit_details[Floorplan Name], INDIRECT("C"&amp;ROW()),
  unit_details[Beds], INDIRECT("D"&amp;ROW()),
  unit_details[Detected Unit Amenities], "*"&amp;$AB$3&amp;"*",
  unit_details[Leased Date], "&gt;=" &amp; ($X$2 - $AD$3)
),0)</f>
        <v>0</v>
      </c>
      <c r="AB174" s="734" cm="1">
        <f t="array" aca="true" ref="AB1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4" s="733" cm="1">
        <f t="array" aca="true" ref="AC174" ca="true">IFERROR(COUNTIFS(
  unit_details[Property Name], INDIRECT("B"&amp;ROW()),
  unit_details[Floorplan Name], INDIRECT("C"&amp;ROW()),
  unit_details[Beds], INDIRECT("D"&amp;ROW()),
  unit_details[Detected Unit Amenities], "*"&amp;$AB$3&amp;"*",
  unit_details[Leased Date], "&gt;=" &amp; ($X$2 - $AD$3)
),0)</f>
        <v>0</v>
      </c>
      <c r="AD174" s="735" cm="1">
        <f t="array" aca="true" ref="AD174" ca="true">IFERROR(AVERAGEIFS(
  unit_details[Sqft],
  unit_details[Property Name], INDIRECT("B"&amp;ROW()),
  unit_details[Floorplan Name], INDIRECT("C"&amp;ROW()),
  unit_details[Beds], INDIRECT("D"&amp;ROW()),
  unit_details[Detected Unit Amenities], "&lt;&gt;*"&amp;$AB$3&amp;"*",
  unit_details[Leased Date], "&gt;=" &amp; ($X$2 - $AD$3)
),0)</f>
        <v>0</v>
      </c>
      <c r="AE174" s="734" cm="1">
        <f t="array" aca="true" ref="AE1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4" s="733" cm="1">
        <f t="array" aca="true" ref="AF174" ca="true">IFERROR(COUNTIFS(
  unit_details[Property Name], INDIRECT("B"&amp;ROW()),
  unit_details[Floorplan Name], INDIRECT("C"&amp;ROW()),
  unit_details[Beds], INDIRECT("D"&amp;ROW()),
  unit_details[Detected Unit Amenities], "&lt;&gt;*"&amp;$AB$3&amp;"*",
  unit_details[Leased Date], "&gt;=" &amp; ($X$2 - $AD$3)
),0)</f>
        <v>0</v>
      </c>
      <c r="AG174" s="735"/>
      <c r="AH174" s="738">
        <f t="shared" ca="true" si="6"/>
        <v>0</v>
      </c>
      <c r="AI174" s="739">
        <f t="shared" ca="true" si="7"/>
        <v>0</v>
      </c>
    </row>
    <row r="175" spans="2:35">
      <c r="B175" s="1"/>
      <c r="C175" s="80"/>
      <c r="E175" s="303"/>
      <c r="F175" s="303"/>
      <c r="J175" s="345"/>
      <c r="K175" s="6"/>
      <c r="M175" s="6"/>
      <c r="N175" s="738" t="str" cm="1">
        <f t="array" aca="true" ref="N175" ca="true">IFERROR(IF($O$3="Chunk Rent",
AVERAGEIFS('Unit-Level Data'!$O:$O,'Unit-Level Data'!$M:$M,TRUE,
          'Unit-Level Data'!$D:$D, INDIRECT("C"&amp;ROW()),
          'Unit-Level Data'!$B:$B, INDIRECT("B"&amp;ROW())),
AVERAGEIFS('Unit-Level Data'!$P:$P,'Unit-Level Data'!$M:$M,TRUE,
          'Unit-Level Data'!$D:$D, INDIRECT("C"&amp;ROW()),
          'Unit-Level Data'!$B:$B, INDIRECT("B"&amp;ROW()))),"")</f>
      </c>
      <c r="O175" s="760" t="str" cm="1">
        <f t="array" aca="true" ref="O175" ca="true">IFERROR(IF($O$3="Chunk Rent",
AVERAGEIFS('Unit-Level Data'!$Q:$Q,'Unit-Level Data'!$M:$M,TRUE,
          'Unit-Level Data'!$D:$D, INDIRECT("C"&amp;ROW()),
          'Unit-Level Data'!$B:$B, INDIRECT("B"&amp;ROW())),
AVERAGEIFS('Unit-Level Data'!$R:$R,'Unit-Level Data'!$M:$M,TRUE,
          'Unit-Level Data'!$D:$D, INDIRECT("C"&amp;ROW()),
          'Unit-Level Data'!$B:$B, INDIRECT("B"&amp;ROW()))),"")</f>
      </c>
      <c r="P175" s="733" cm="1">
        <f t="array" aca="true" ref="P175" ca="true">COUNTIFS('Unit-Level Data'!$M:$M,TRUE,
          'Unit-Level Data'!$D:$D, INDIRECT("C"&amp;ROW()),
          'Unit-Level Data'!$B:$B, INDIRECT("B"&amp;ROW()))</f>
        <v>0</v>
      </c>
      <c r="Q175" s="738" t="str" cm="1">
        <f t="array" aca="true" ref="Q1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5" s="760" t="str" cm="1">
        <f t="array" aca="true" ref="R1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5" s="733" cm="1">
        <f t="array" aca="true" ref="S175" ca="true">COUNTIFS('Unit-Level Data'!$L:$L, "&gt;=" &amp; ($X$2 - Q$5),
          'Unit-Level Data'!$L:$L, "&lt;" &amp; $X$2,
          'Unit-Level Data'!$D:$D, INDIRECT("C"&amp;ROW()),
          'Unit-Level Data'!$B:$B, INDIRECT("B"&amp;ROW()))</f>
        <v>0</v>
      </c>
      <c r="T175" s="738" t="str" cm="1">
        <f t="array" aca="true" ref="T1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5" s="760" t="str" cm="1">
        <f t="array" aca="true" ref="U1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5" s="733" cm="1">
        <f t="array" aca="true" ref="V175" ca="true">COUNTIFS('Unit-Level Data'!$L:$L, "&gt;=" &amp; ($X$2 - T$5),
          'Unit-Level Data'!$L:$L, "&lt;" &amp; $X$2,
          'Unit-Level Data'!$D:$D, INDIRECT("C"&amp;ROW()),
          'Unit-Level Data'!$B:$B, INDIRECT("B"&amp;ROW()))</f>
        <v>0</v>
      </c>
      <c r="W175" s="738" t="str" cm="1">
        <f t="array" aca="true" ref="W1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5" s="760" t="str" cm="1">
        <f t="array" aca="true" ref="X1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5" s="733" cm="1">
        <f t="array" aca="true" ref="Y175" ca="true">COUNTIFS('Unit-Level Data'!$L:$L, "&gt;=" &amp; ($X$2 - W$5),
          'Unit-Level Data'!$L:$L, "&lt;" &amp; $X$2,
          'Unit-Level Data'!$D:$D, INDIRECT("C"&amp;ROW()),
          'Unit-Level Data'!$B:$B, INDIRECT("B"&amp;ROW()))</f>
        <v>0</v>
      </c>
      <c r="Z175" s="761"/>
      <c r="AA175" s="735" cm="1">
        <f t="array" aca="true" ref="AA175" ca="true">IFERROR(AVERAGEIFS(
  unit_details[Sqft],
  unit_details[Property Name], INDIRECT("B"&amp;ROW()),
  unit_details[Floorplan Name], INDIRECT("C"&amp;ROW()),
  unit_details[Beds], INDIRECT("D"&amp;ROW()),
  unit_details[Detected Unit Amenities], "*"&amp;$AB$3&amp;"*",
  unit_details[Leased Date], "&gt;=" &amp; ($X$2 - $AD$3)
),0)</f>
        <v>0</v>
      </c>
      <c r="AB175" s="734" cm="1">
        <f t="array" aca="true" ref="AB1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5" s="733" cm="1">
        <f t="array" aca="true" ref="AC175" ca="true">IFERROR(COUNTIFS(
  unit_details[Property Name], INDIRECT("B"&amp;ROW()),
  unit_details[Floorplan Name], INDIRECT("C"&amp;ROW()),
  unit_details[Beds], INDIRECT("D"&amp;ROW()),
  unit_details[Detected Unit Amenities], "*"&amp;$AB$3&amp;"*",
  unit_details[Leased Date], "&gt;=" &amp; ($X$2 - $AD$3)
),0)</f>
        <v>0</v>
      </c>
      <c r="AD175" s="735" cm="1">
        <f t="array" aca="true" ref="AD175" ca="true">IFERROR(AVERAGEIFS(
  unit_details[Sqft],
  unit_details[Property Name], INDIRECT("B"&amp;ROW()),
  unit_details[Floorplan Name], INDIRECT("C"&amp;ROW()),
  unit_details[Beds], INDIRECT("D"&amp;ROW()),
  unit_details[Detected Unit Amenities], "&lt;&gt;*"&amp;$AB$3&amp;"*",
  unit_details[Leased Date], "&gt;=" &amp; ($X$2 - $AD$3)
),0)</f>
        <v>0</v>
      </c>
      <c r="AE175" s="734" cm="1">
        <f t="array" aca="true" ref="AE1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5" s="733" cm="1">
        <f t="array" aca="true" ref="AF175" ca="true">IFERROR(COUNTIFS(
  unit_details[Property Name], INDIRECT("B"&amp;ROW()),
  unit_details[Floorplan Name], INDIRECT("C"&amp;ROW()),
  unit_details[Beds], INDIRECT("D"&amp;ROW()),
  unit_details[Detected Unit Amenities], "&lt;&gt;*"&amp;$AB$3&amp;"*",
  unit_details[Leased Date], "&gt;=" &amp; ($X$2 - $AD$3)
),0)</f>
        <v>0</v>
      </c>
      <c r="AG175" s="735"/>
      <c r="AH175" s="738">
        <f t="shared" ca="true" si="6"/>
        <v>0</v>
      </c>
      <c r="AI175" s="739">
        <f t="shared" ca="true" si="7"/>
        <v>0</v>
      </c>
    </row>
    <row r="176" spans="2:35">
      <c r="B176" s="1"/>
      <c r="C176" s="80"/>
      <c r="E176" s="303"/>
      <c r="F176" s="303"/>
      <c r="J176" s="345"/>
      <c r="K176" s="6"/>
      <c r="M176" s="6"/>
      <c r="N176" s="738" t="str" cm="1">
        <f t="array" aca="true" ref="N176" ca="true">IFERROR(IF($O$3="Chunk Rent",
AVERAGEIFS('Unit-Level Data'!$O:$O,'Unit-Level Data'!$M:$M,TRUE,
          'Unit-Level Data'!$D:$D, INDIRECT("C"&amp;ROW()),
          'Unit-Level Data'!$B:$B, INDIRECT("B"&amp;ROW())),
AVERAGEIFS('Unit-Level Data'!$P:$P,'Unit-Level Data'!$M:$M,TRUE,
          'Unit-Level Data'!$D:$D, INDIRECT("C"&amp;ROW()),
          'Unit-Level Data'!$B:$B, INDIRECT("B"&amp;ROW()))),"")</f>
      </c>
      <c r="O176" s="760" t="str" cm="1">
        <f t="array" aca="true" ref="O176" ca="true">IFERROR(IF($O$3="Chunk Rent",
AVERAGEIFS('Unit-Level Data'!$Q:$Q,'Unit-Level Data'!$M:$M,TRUE,
          'Unit-Level Data'!$D:$D, INDIRECT("C"&amp;ROW()),
          'Unit-Level Data'!$B:$B, INDIRECT("B"&amp;ROW())),
AVERAGEIFS('Unit-Level Data'!$R:$R,'Unit-Level Data'!$M:$M,TRUE,
          'Unit-Level Data'!$D:$D, INDIRECT("C"&amp;ROW()),
          'Unit-Level Data'!$B:$B, INDIRECT("B"&amp;ROW()))),"")</f>
      </c>
      <c r="P176" s="733" cm="1">
        <f t="array" aca="true" ref="P176" ca="true">COUNTIFS('Unit-Level Data'!$M:$M,TRUE,
          'Unit-Level Data'!$D:$D, INDIRECT("C"&amp;ROW()),
          'Unit-Level Data'!$B:$B, INDIRECT("B"&amp;ROW()))</f>
        <v>0</v>
      </c>
      <c r="Q176" s="738" t="str" cm="1">
        <f t="array" aca="true" ref="Q1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6" s="760" t="str" cm="1">
        <f t="array" aca="true" ref="R1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6" s="733" cm="1">
        <f t="array" aca="true" ref="S176" ca="true">COUNTIFS('Unit-Level Data'!$L:$L, "&gt;=" &amp; ($X$2 - Q$5),
          'Unit-Level Data'!$L:$L, "&lt;" &amp; $X$2,
          'Unit-Level Data'!$D:$D, INDIRECT("C"&amp;ROW()),
          'Unit-Level Data'!$B:$B, INDIRECT("B"&amp;ROW()))</f>
        <v>0</v>
      </c>
      <c r="T176" s="738" t="str" cm="1">
        <f t="array" aca="true" ref="T1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6" s="760" t="str" cm="1">
        <f t="array" aca="true" ref="U1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6" s="733" cm="1">
        <f t="array" aca="true" ref="V176" ca="true">COUNTIFS('Unit-Level Data'!$L:$L, "&gt;=" &amp; ($X$2 - T$5),
          'Unit-Level Data'!$L:$L, "&lt;" &amp; $X$2,
          'Unit-Level Data'!$D:$D, INDIRECT("C"&amp;ROW()),
          'Unit-Level Data'!$B:$B, INDIRECT("B"&amp;ROW()))</f>
        <v>0</v>
      </c>
      <c r="W176" s="738" t="str" cm="1">
        <f t="array" aca="true" ref="W1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6" s="760" t="str" cm="1">
        <f t="array" aca="true" ref="X1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6" s="733" cm="1">
        <f t="array" aca="true" ref="Y176" ca="true">COUNTIFS('Unit-Level Data'!$L:$L, "&gt;=" &amp; ($X$2 - W$5),
          'Unit-Level Data'!$L:$L, "&lt;" &amp; $X$2,
          'Unit-Level Data'!$D:$D, INDIRECT("C"&amp;ROW()),
          'Unit-Level Data'!$B:$B, INDIRECT("B"&amp;ROW()))</f>
        <v>0</v>
      </c>
      <c r="Z176" s="761"/>
      <c r="AA176" s="735" cm="1">
        <f t="array" aca="true" ref="AA176" ca="true">IFERROR(AVERAGEIFS(
  unit_details[Sqft],
  unit_details[Property Name], INDIRECT("B"&amp;ROW()),
  unit_details[Floorplan Name], INDIRECT("C"&amp;ROW()),
  unit_details[Beds], INDIRECT("D"&amp;ROW()),
  unit_details[Detected Unit Amenities], "*"&amp;$AB$3&amp;"*",
  unit_details[Leased Date], "&gt;=" &amp; ($X$2 - $AD$3)
),0)</f>
        <v>0</v>
      </c>
      <c r="AB176" s="734" cm="1">
        <f t="array" aca="true" ref="AB1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6" s="733" cm="1">
        <f t="array" aca="true" ref="AC176" ca="true">IFERROR(COUNTIFS(
  unit_details[Property Name], INDIRECT("B"&amp;ROW()),
  unit_details[Floorplan Name], INDIRECT("C"&amp;ROW()),
  unit_details[Beds], INDIRECT("D"&amp;ROW()),
  unit_details[Detected Unit Amenities], "*"&amp;$AB$3&amp;"*",
  unit_details[Leased Date], "&gt;=" &amp; ($X$2 - $AD$3)
),0)</f>
        <v>0</v>
      </c>
      <c r="AD176" s="735" cm="1">
        <f t="array" aca="true" ref="AD176" ca="true">IFERROR(AVERAGEIFS(
  unit_details[Sqft],
  unit_details[Property Name], INDIRECT("B"&amp;ROW()),
  unit_details[Floorplan Name], INDIRECT("C"&amp;ROW()),
  unit_details[Beds], INDIRECT("D"&amp;ROW()),
  unit_details[Detected Unit Amenities], "&lt;&gt;*"&amp;$AB$3&amp;"*",
  unit_details[Leased Date], "&gt;=" &amp; ($X$2 - $AD$3)
),0)</f>
        <v>0</v>
      </c>
      <c r="AE176" s="734" cm="1">
        <f t="array" aca="true" ref="AE1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6" s="733" cm="1">
        <f t="array" aca="true" ref="AF176" ca="true">IFERROR(COUNTIFS(
  unit_details[Property Name], INDIRECT("B"&amp;ROW()),
  unit_details[Floorplan Name], INDIRECT("C"&amp;ROW()),
  unit_details[Beds], INDIRECT("D"&amp;ROW()),
  unit_details[Detected Unit Amenities], "&lt;&gt;*"&amp;$AB$3&amp;"*",
  unit_details[Leased Date], "&gt;=" &amp; ($X$2 - $AD$3)
),0)</f>
        <v>0</v>
      </c>
      <c r="AG176" s="735"/>
      <c r="AH176" s="738">
        <f t="shared" ca="true" si="6"/>
        <v>0</v>
      </c>
      <c r="AI176" s="739">
        <f t="shared" ca="true" si="7"/>
        <v>0</v>
      </c>
    </row>
    <row r="177" spans="2:35">
      <c r="B177" s="1"/>
      <c r="C177" s="80"/>
      <c r="E177" s="303"/>
      <c r="F177" s="303"/>
      <c r="J177" s="345"/>
      <c r="K177" s="6"/>
      <c r="M177" s="6"/>
      <c r="N177" s="738" t="str" cm="1">
        <f t="array" aca="true" ref="N177" ca="true">IFERROR(IF($O$3="Chunk Rent",
AVERAGEIFS('Unit-Level Data'!$O:$O,'Unit-Level Data'!$M:$M,TRUE,
          'Unit-Level Data'!$D:$D, INDIRECT("C"&amp;ROW()),
          'Unit-Level Data'!$B:$B, INDIRECT("B"&amp;ROW())),
AVERAGEIFS('Unit-Level Data'!$P:$P,'Unit-Level Data'!$M:$M,TRUE,
          'Unit-Level Data'!$D:$D, INDIRECT("C"&amp;ROW()),
          'Unit-Level Data'!$B:$B, INDIRECT("B"&amp;ROW()))),"")</f>
      </c>
      <c r="O177" s="760" t="str" cm="1">
        <f t="array" aca="true" ref="O177" ca="true">IFERROR(IF($O$3="Chunk Rent",
AVERAGEIFS('Unit-Level Data'!$Q:$Q,'Unit-Level Data'!$M:$M,TRUE,
          'Unit-Level Data'!$D:$D, INDIRECT("C"&amp;ROW()),
          'Unit-Level Data'!$B:$B, INDIRECT("B"&amp;ROW())),
AVERAGEIFS('Unit-Level Data'!$R:$R,'Unit-Level Data'!$M:$M,TRUE,
          'Unit-Level Data'!$D:$D, INDIRECT("C"&amp;ROW()),
          'Unit-Level Data'!$B:$B, INDIRECT("B"&amp;ROW()))),"")</f>
      </c>
      <c r="P177" s="733" cm="1">
        <f t="array" aca="true" ref="P177" ca="true">COUNTIFS('Unit-Level Data'!$M:$M,TRUE,
          'Unit-Level Data'!$D:$D, INDIRECT("C"&amp;ROW()),
          'Unit-Level Data'!$B:$B, INDIRECT("B"&amp;ROW()))</f>
        <v>0</v>
      </c>
      <c r="Q177" s="738" t="str" cm="1">
        <f t="array" aca="true" ref="Q1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7" s="760" t="str" cm="1">
        <f t="array" aca="true" ref="R1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7" s="733" cm="1">
        <f t="array" aca="true" ref="S177" ca="true">COUNTIFS('Unit-Level Data'!$L:$L, "&gt;=" &amp; ($X$2 - Q$5),
          'Unit-Level Data'!$L:$L, "&lt;" &amp; $X$2,
          'Unit-Level Data'!$D:$D, INDIRECT("C"&amp;ROW()),
          'Unit-Level Data'!$B:$B, INDIRECT("B"&amp;ROW()))</f>
        <v>0</v>
      </c>
      <c r="T177" s="738" t="str" cm="1">
        <f t="array" aca="true" ref="T1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7" s="760" t="str" cm="1">
        <f t="array" aca="true" ref="U1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7" s="733" cm="1">
        <f t="array" aca="true" ref="V177" ca="true">COUNTIFS('Unit-Level Data'!$L:$L, "&gt;=" &amp; ($X$2 - T$5),
          'Unit-Level Data'!$L:$L, "&lt;" &amp; $X$2,
          'Unit-Level Data'!$D:$D, INDIRECT("C"&amp;ROW()),
          'Unit-Level Data'!$B:$B, INDIRECT("B"&amp;ROW()))</f>
        <v>0</v>
      </c>
      <c r="W177" s="738" t="str" cm="1">
        <f t="array" aca="true" ref="W1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7" s="760" t="str" cm="1">
        <f t="array" aca="true" ref="X1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7" s="733" cm="1">
        <f t="array" aca="true" ref="Y177" ca="true">COUNTIFS('Unit-Level Data'!$L:$L, "&gt;=" &amp; ($X$2 - W$5),
          'Unit-Level Data'!$L:$L, "&lt;" &amp; $X$2,
          'Unit-Level Data'!$D:$D, INDIRECT("C"&amp;ROW()),
          'Unit-Level Data'!$B:$B, INDIRECT("B"&amp;ROW()))</f>
        <v>0</v>
      </c>
      <c r="Z177" s="761"/>
      <c r="AA177" s="735" cm="1">
        <f t="array" aca="true" ref="AA177" ca="true">IFERROR(AVERAGEIFS(
  unit_details[Sqft],
  unit_details[Property Name], INDIRECT("B"&amp;ROW()),
  unit_details[Floorplan Name], INDIRECT("C"&amp;ROW()),
  unit_details[Beds], INDIRECT("D"&amp;ROW()),
  unit_details[Detected Unit Amenities], "*"&amp;$AB$3&amp;"*",
  unit_details[Leased Date], "&gt;=" &amp; ($X$2 - $AD$3)
),0)</f>
        <v>0</v>
      </c>
      <c r="AB177" s="734" cm="1">
        <f t="array" aca="true" ref="AB1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7" s="733" cm="1">
        <f t="array" aca="true" ref="AC177" ca="true">IFERROR(COUNTIFS(
  unit_details[Property Name], INDIRECT("B"&amp;ROW()),
  unit_details[Floorplan Name], INDIRECT("C"&amp;ROW()),
  unit_details[Beds], INDIRECT("D"&amp;ROW()),
  unit_details[Detected Unit Amenities], "*"&amp;$AB$3&amp;"*",
  unit_details[Leased Date], "&gt;=" &amp; ($X$2 - $AD$3)
),0)</f>
        <v>0</v>
      </c>
      <c r="AD177" s="735" cm="1">
        <f t="array" aca="true" ref="AD177" ca="true">IFERROR(AVERAGEIFS(
  unit_details[Sqft],
  unit_details[Property Name], INDIRECT("B"&amp;ROW()),
  unit_details[Floorplan Name], INDIRECT("C"&amp;ROW()),
  unit_details[Beds], INDIRECT("D"&amp;ROW()),
  unit_details[Detected Unit Amenities], "&lt;&gt;*"&amp;$AB$3&amp;"*",
  unit_details[Leased Date], "&gt;=" &amp; ($X$2 - $AD$3)
),0)</f>
        <v>0</v>
      </c>
      <c r="AE177" s="734" cm="1">
        <f t="array" aca="true" ref="AE1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7" s="733" cm="1">
        <f t="array" aca="true" ref="AF177" ca="true">IFERROR(COUNTIFS(
  unit_details[Property Name], INDIRECT("B"&amp;ROW()),
  unit_details[Floorplan Name], INDIRECT("C"&amp;ROW()),
  unit_details[Beds], INDIRECT("D"&amp;ROW()),
  unit_details[Detected Unit Amenities], "&lt;&gt;*"&amp;$AB$3&amp;"*",
  unit_details[Leased Date], "&gt;=" &amp; ($X$2 - $AD$3)
),0)</f>
        <v>0</v>
      </c>
      <c r="AG177" s="735"/>
      <c r="AH177" s="738">
        <f t="shared" ca="true" si="6"/>
        <v>0</v>
      </c>
      <c r="AI177" s="739">
        <f t="shared" ca="true" si="7"/>
        <v>0</v>
      </c>
    </row>
    <row r="178" spans="2:35">
      <c r="B178" s="1"/>
      <c r="C178" s="80"/>
      <c r="E178" s="303"/>
      <c r="F178" s="303"/>
      <c r="J178" s="345"/>
      <c r="K178" s="6"/>
      <c r="M178" s="6"/>
      <c r="N178" s="738" t="str" cm="1">
        <f t="array" aca="true" ref="N178" ca="true">IFERROR(IF($O$3="Chunk Rent",
AVERAGEIFS('Unit-Level Data'!$O:$O,'Unit-Level Data'!$M:$M,TRUE,
          'Unit-Level Data'!$D:$D, INDIRECT("C"&amp;ROW()),
          'Unit-Level Data'!$B:$B, INDIRECT("B"&amp;ROW())),
AVERAGEIFS('Unit-Level Data'!$P:$P,'Unit-Level Data'!$M:$M,TRUE,
          'Unit-Level Data'!$D:$D, INDIRECT("C"&amp;ROW()),
          'Unit-Level Data'!$B:$B, INDIRECT("B"&amp;ROW()))),"")</f>
      </c>
      <c r="O178" s="760" t="str" cm="1">
        <f t="array" aca="true" ref="O178" ca="true">IFERROR(IF($O$3="Chunk Rent",
AVERAGEIFS('Unit-Level Data'!$Q:$Q,'Unit-Level Data'!$M:$M,TRUE,
          'Unit-Level Data'!$D:$D, INDIRECT("C"&amp;ROW()),
          'Unit-Level Data'!$B:$B, INDIRECT("B"&amp;ROW())),
AVERAGEIFS('Unit-Level Data'!$R:$R,'Unit-Level Data'!$M:$M,TRUE,
          'Unit-Level Data'!$D:$D, INDIRECT("C"&amp;ROW()),
          'Unit-Level Data'!$B:$B, INDIRECT("B"&amp;ROW()))),"")</f>
      </c>
      <c r="P178" s="733" cm="1">
        <f t="array" aca="true" ref="P178" ca="true">COUNTIFS('Unit-Level Data'!$M:$M,TRUE,
          'Unit-Level Data'!$D:$D, INDIRECT("C"&amp;ROW()),
          'Unit-Level Data'!$B:$B, INDIRECT("B"&amp;ROW()))</f>
        <v>0</v>
      </c>
      <c r="Q178" s="738" t="str" cm="1">
        <f t="array" aca="true" ref="Q1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8" s="760" t="str" cm="1">
        <f t="array" aca="true" ref="R1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8" s="733" cm="1">
        <f t="array" aca="true" ref="S178" ca="true">COUNTIFS('Unit-Level Data'!$L:$L, "&gt;=" &amp; ($X$2 - Q$5),
          'Unit-Level Data'!$L:$L, "&lt;" &amp; $X$2,
          'Unit-Level Data'!$D:$D, INDIRECT("C"&amp;ROW()),
          'Unit-Level Data'!$B:$B, INDIRECT("B"&amp;ROW()))</f>
        <v>0</v>
      </c>
      <c r="T178" s="738" t="str" cm="1">
        <f t="array" aca="true" ref="T1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8" s="760" t="str" cm="1">
        <f t="array" aca="true" ref="U1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8" s="733" cm="1">
        <f t="array" aca="true" ref="V178" ca="true">COUNTIFS('Unit-Level Data'!$L:$L, "&gt;=" &amp; ($X$2 - T$5),
          'Unit-Level Data'!$L:$L, "&lt;" &amp; $X$2,
          'Unit-Level Data'!$D:$D, INDIRECT("C"&amp;ROW()),
          'Unit-Level Data'!$B:$B, INDIRECT("B"&amp;ROW()))</f>
        <v>0</v>
      </c>
      <c r="W178" s="738" t="str" cm="1">
        <f t="array" aca="true" ref="W1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8" s="760" t="str" cm="1">
        <f t="array" aca="true" ref="X1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8" s="733" cm="1">
        <f t="array" aca="true" ref="Y178" ca="true">COUNTIFS('Unit-Level Data'!$L:$L, "&gt;=" &amp; ($X$2 - W$5),
          'Unit-Level Data'!$L:$L, "&lt;" &amp; $X$2,
          'Unit-Level Data'!$D:$D, INDIRECT("C"&amp;ROW()),
          'Unit-Level Data'!$B:$B, INDIRECT("B"&amp;ROW()))</f>
        <v>0</v>
      </c>
      <c r="Z178" s="761"/>
      <c r="AA178" s="735" cm="1">
        <f t="array" aca="true" ref="AA178" ca="true">IFERROR(AVERAGEIFS(
  unit_details[Sqft],
  unit_details[Property Name], INDIRECT("B"&amp;ROW()),
  unit_details[Floorplan Name], INDIRECT("C"&amp;ROW()),
  unit_details[Beds], INDIRECT("D"&amp;ROW()),
  unit_details[Detected Unit Amenities], "*"&amp;$AB$3&amp;"*",
  unit_details[Leased Date], "&gt;=" &amp; ($X$2 - $AD$3)
),0)</f>
        <v>0</v>
      </c>
      <c r="AB178" s="734" cm="1">
        <f t="array" aca="true" ref="AB1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8" s="733" cm="1">
        <f t="array" aca="true" ref="AC178" ca="true">IFERROR(COUNTIFS(
  unit_details[Property Name], INDIRECT("B"&amp;ROW()),
  unit_details[Floorplan Name], INDIRECT("C"&amp;ROW()),
  unit_details[Beds], INDIRECT("D"&amp;ROW()),
  unit_details[Detected Unit Amenities], "*"&amp;$AB$3&amp;"*",
  unit_details[Leased Date], "&gt;=" &amp; ($X$2 - $AD$3)
),0)</f>
        <v>0</v>
      </c>
      <c r="AD178" s="735" cm="1">
        <f t="array" aca="true" ref="AD178" ca="true">IFERROR(AVERAGEIFS(
  unit_details[Sqft],
  unit_details[Property Name], INDIRECT("B"&amp;ROW()),
  unit_details[Floorplan Name], INDIRECT("C"&amp;ROW()),
  unit_details[Beds], INDIRECT("D"&amp;ROW()),
  unit_details[Detected Unit Amenities], "&lt;&gt;*"&amp;$AB$3&amp;"*",
  unit_details[Leased Date], "&gt;=" &amp; ($X$2 - $AD$3)
),0)</f>
        <v>0</v>
      </c>
      <c r="AE178" s="734" cm="1">
        <f t="array" aca="true" ref="AE1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8" s="733" cm="1">
        <f t="array" aca="true" ref="AF178" ca="true">IFERROR(COUNTIFS(
  unit_details[Property Name], INDIRECT("B"&amp;ROW()),
  unit_details[Floorplan Name], INDIRECT("C"&amp;ROW()),
  unit_details[Beds], INDIRECT("D"&amp;ROW()),
  unit_details[Detected Unit Amenities], "&lt;&gt;*"&amp;$AB$3&amp;"*",
  unit_details[Leased Date], "&gt;=" &amp; ($X$2 - $AD$3)
),0)</f>
        <v>0</v>
      </c>
      <c r="AG178" s="735"/>
      <c r="AH178" s="738">
        <f t="shared" ca="true" si="6"/>
        <v>0</v>
      </c>
      <c r="AI178" s="739">
        <f t="shared" ca="true" si="7"/>
        <v>0</v>
      </c>
    </row>
    <row r="179" spans="2:35">
      <c r="B179" s="1"/>
      <c r="C179" s="80"/>
      <c r="E179" s="303"/>
      <c r="F179" s="303"/>
      <c r="J179" s="345"/>
      <c r="K179" s="6"/>
      <c r="M179" s="6"/>
      <c r="N179" s="738" t="str" cm="1">
        <f t="array" aca="true" ref="N179" ca="true">IFERROR(IF($O$3="Chunk Rent",
AVERAGEIFS('Unit-Level Data'!$O:$O,'Unit-Level Data'!$M:$M,TRUE,
          'Unit-Level Data'!$D:$D, INDIRECT("C"&amp;ROW()),
          'Unit-Level Data'!$B:$B, INDIRECT("B"&amp;ROW())),
AVERAGEIFS('Unit-Level Data'!$P:$P,'Unit-Level Data'!$M:$M,TRUE,
          'Unit-Level Data'!$D:$D, INDIRECT("C"&amp;ROW()),
          'Unit-Level Data'!$B:$B, INDIRECT("B"&amp;ROW()))),"")</f>
      </c>
      <c r="O179" s="760" t="str" cm="1">
        <f t="array" aca="true" ref="O179" ca="true">IFERROR(IF($O$3="Chunk Rent",
AVERAGEIFS('Unit-Level Data'!$Q:$Q,'Unit-Level Data'!$M:$M,TRUE,
          'Unit-Level Data'!$D:$D, INDIRECT("C"&amp;ROW()),
          'Unit-Level Data'!$B:$B, INDIRECT("B"&amp;ROW())),
AVERAGEIFS('Unit-Level Data'!$R:$R,'Unit-Level Data'!$M:$M,TRUE,
          'Unit-Level Data'!$D:$D, INDIRECT("C"&amp;ROW()),
          'Unit-Level Data'!$B:$B, INDIRECT("B"&amp;ROW()))),"")</f>
      </c>
      <c r="P179" s="733" cm="1">
        <f t="array" aca="true" ref="P179" ca="true">COUNTIFS('Unit-Level Data'!$M:$M,TRUE,
          'Unit-Level Data'!$D:$D, INDIRECT("C"&amp;ROW()),
          'Unit-Level Data'!$B:$B, INDIRECT("B"&amp;ROW()))</f>
        <v>0</v>
      </c>
      <c r="Q179" s="738" t="str" cm="1">
        <f t="array" aca="true" ref="Q1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9" s="760" t="str" cm="1">
        <f t="array" aca="true" ref="R1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9" s="733" cm="1">
        <f t="array" aca="true" ref="S179" ca="true">COUNTIFS('Unit-Level Data'!$L:$L, "&gt;=" &amp; ($X$2 - Q$5),
          'Unit-Level Data'!$L:$L, "&lt;" &amp; $X$2,
          'Unit-Level Data'!$D:$D, INDIRECT("C"&amp;ROW()),
          'Unit-Level Data'!$B:$B, INDIRECT("B"&amp;ROW()))</f>
        <v>0</v>
      </c>
      <c r="T179" s="738" t="str" cm="1">
        <f t="array" aca="true" ref="T1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9" s="760" t="str" cm="1">
        <f t="array" aca="true" ref="U1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9" s="733" cm="1">
        <f t="array" aca="true" ref="V179" ca="true">COUNTIFS('Unit-Level Data'!$L:$L, "&gt;=" &amp; ($X$2 - T$5),
          'Unit-Level Data'!$L:$L, "&lt;" &amp; $X$2,
          'Unit-Level Data'!$D:$D, INDIRECT("C"&amp;ROW()),
          'Unit-Level Data'!$B:$B, INDIRECT("B"&amp;ROW()))</f>
        <v>0</v>
      </c>
      <c r="W179" s="738" t="str" cm="1">
        <f t="array" aca="true" ref="W1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9" s="760" t="str" cm="1">
        <f t="array" aca="true" ref="X1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9" s="733" cm="1">
        <f t="array" aca="true" ref="Y179" ca="true">COUNTIFS('Unit-Level Data'!$L:$L, "&gt;=" &amp; ($X$2 - W$5),
          'Unit-Level Data'!$L:$L, "&lt;" &amp; $X$2,
          'Unit-Level Data'!$D:$D, INDIRECT("C"&amp;ROW()),
          'Unit-Level Data'!$B:$B, INDIRECT("B"&amp;ROW()))</f>
        <v>0</v>
      </c>
      <c r="Z179" s="761"/>
      <c r="AA179" s="735" cm="1">
        <f t="array" aca="true" ref="AA179" ca="true">IFERROR(AVERAGEIFS(
  unit_details[Sqft],
  unit_details[Property Name], INDIRECT("B"&amp;ROW()),
  unit_details[Floorplan Name], INDIRECT("C"&amp;ROW()),
  unit_details[Beds], INDIRECT("D"&amp;ROW()),
  unit_details[Detected Unit Amenities], "*"&amp;$AB$3&amp;"*",
  unit_details[Leased Date], "&gt;=" &amp; ($X$2 - $AD$3)
),0)</f>
        <v>0</v>
      </c>
      <c r="AB179" s="734" cm="1">
        <f t="array" aca="true" ref="AB1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9" s="733" cm="1">
        <f t="array" aca="true" ref="AC179" ca="true">IFERROR(COUNTIFS(
  unit_details[Property Name], INDIRECT("B"&amp;ROW()),
  unit_details[Floorplan Name], INDIRECT("C"&amp;ROW()),
  unit_details[Beds], INDIRECT("D"&amp;ROW()),
  unit_details[Detected Unit Amenities], "*"&amp;$AB$3&amp;"*",
  unit_details[Leased Date], "&gt;=" &amp; ($X$2 - $AD$3)
),0)</f>
        <v>0</v>
      </c>
      <c r="AD179" s="735" cm="1">
        <f t="array" aca="true" ref="AD179" ca="true">IFERROR(AVERAGEIFS(
  unit_details[Sqft],
  unit_details[Property Name], INDIRECT("B"&amp;ROW()),
  unit_details[Floorplan Name], INDIRECT("C"&amp;ROW()),
  unit_details[Beds], INDIRECT("D"&amp;ROW()),
  unit_details[Detected Unit Amenities], "&lt;&gt;*"&amp;$AB$3&amp;"*",
  unit_details[Leased Date], "&gt;=" &amp; ($X$2 - $AD$3)
),0)</f>
        <v>0</v>
      </c>
      <c r="AE179" s="734" cm="1">
        <f t="array" aca="true" ref="AE1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9" s="733" cm="1">
        <f t="array" aca="true" ref="AF179" ca="true">IFERROR(COUNTIFS(
  unit_details[Property Name], INDIRECT("B"&amp;ROW()),
  unit_details[Floorplan Name], INDIRECT("C"&amp;ROW()),
  unit_details[Beds], INDIRECT("D"&amp;ROW()),
  unit_details[Detected Unit Amenities], "&lt;&gt;*"&amp;$AB$3&amp;"*",
  unit_details[Leased Date], "&gt;=" &amp; ($X$2 - $AD$3)
),0)</f>
        <v>0</v>
      </c>
      <c r="AG179" s="735"/>
      <c r="AH179" s="738">
        <f t="shared" ca="true" si="6"/>
        <v>0</v>
      </c>
      <c r="AI179" s="739">
        <f t="shared" ca="true" si="7"/>
        <v>0</v>
      </c>
    </row>
    <row r="180" spans="2:35">
      <c r="B180" s="1"/>
      <c r="C180" s="80"/>
      <c r="E180" s="303"/>
      <c r="F180" s="303"/>
      <c r="J180" s="345"/>
      <c r="K180" s="6"/>
      <c r="M180" s="6"/>
      <c r="N180" s="738" t="str" cm="1">
        <f t="array" aca="true" ref="N180" ca="true">IFERROR(IF($O$3="Chunk Rent",
AVERAGEIFS('Unit-Level Data'!$O:$O,'Unit-Level Data'!$M:$M,TRUE,
          'Unit-Level Data'!$D:$D, INDIRECT("C"&amp;ROW()),
          'Unit-Level Data'!$B:$B, INDIRECT("B"&amp;ROW())),
AVERAGEIFS('Unit-Level Data'!$P:$P,'Unit-Level Data'!$M:$M,TRUE,
          'Unit-Level Data'!$D:$D, INDIRECT("C"&amp;ROW()),
          'Unit-Level Data'!$B:$B, INDIRECT("B"&amp;ROW()))),"")</f>
      </c>
      <c r="O180" s="760" t="str" cm="1">
        <f t="array" aca="true" ref="O180" ca="true">IFERROR(IF($O$3="Chunk Rent",
AVERAGEIFS('Unit-Level Data'!$Q:$Q,'Unit-Level Data'!$M:$M,TRUE,
          'Unit-Level Data'!$D:$D, INDIRECT("C"&amp;ROW()),
          'Unit-Level Data'!$B:$B, INDIRECT("B"&amp;ROW())),
AVERAGEIFS('Unit-Level Data'!$R:$R,'Unit-Level Data'!$M:$M,TRUE,
          'Unit-Level Data'!$D:$D, INDIRECT("C"&amp;ROW()),
          'Unit-Level Data'!$B:$B, INDIRECT("B"&amp;ROW()))),"")</f>
      </c>
      <c r="P180" s="733" cm="1">
        <f t="array" aca="true" ref="P180" ca="true">COUNTIFS('Unit-Level Data'!$M:$M,TRUE,
          'Unit-Level Data'!$D:$D, INDIRECT("C"&amp;ROW()),
          'Unit-Level Data'!$B:$B, INDIRECT("B"&amp;ROW()))</f>
        <v>0</v>
      </c>
      <c r="Q180" s="738" t="str" cm="1">
        <f t="array" aca="true" ref="Q1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0" s="760" t="str" cm="1">
        <f t="array" aca="true" ref="R1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0" s="733" cm="1">
        <f t="array" aca="true" ref="S180" ca="true">COUNTIFS('Unit-Level Data'!$L:$L, "&gt;=" &amp; ($X$2 - Q$5),
          'Unit-Level Data'!$L:$L, "&lt;" &amp; $X$2,
          'Unit-Level Data'!$D:$D, INDIRECT("C"&amp;ROW()),
          'Unit-Level Data'!$B:$B, INDIRECT("B"&amp;ROW()))</f>
        <v>0</v>
      </c>
      <c r="T180" s="738" t="str" cm="1">
        <f t="array" aca="true" ref="T1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0" s="760" t="str" cm="1">
        <f t="array" aca="true" ref="U1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0" s="733" cm="1">
        <f t="array" aca="true" ref="V180" ca="true">COUNTIFS('Unit-Level Data'!$L:$L, "&gt;=" &amp; ($X$2 - T$5),
          'Unit-Level Data'!$L:$L, "&lt;" &amp; $X$2,
          'Unit-Level Data'!$D:$D, INDIRECT("C"&amp;ROW()),
          'Unit-Level Data'!$B:$B, INDIRECT("B"&amp;ROW()))</f>
        <v>0</v>
      </c>
      <c r="W180" s="738" t="str" cm="1">
        <f t="array" aca="true" ref="W1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0" s="760" t="str" cm="1">
        <f t="array" aca="true" ref="X1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0" s="733" cm="1">
        <f t="array" aca="true" ref="Y180" ca="true">COUNTIFS('Unit-Level Data'!$L:$L, "&gt;=" &amp; ($X$2 - W$5),
          'Unit-Level Data'!$L:$L, "&lt;" &amp; $X$2,
          'Unit-Level Data'!$D:$D, INDIRECT("C"&amp;ROW()),
          'Unit-Level Data'!$B:$B, INDIRECT("B"&amp;ROW()))</f>
        <v>0</v>
      </c>
      <c r="Z180" s="761"/>
      <c r="AA180" s="735" cm="1">
        <f t="array" aca="true" ref="AA180" ca="true">IFERROR(AVERAGEIFS(
  unit_details[Sqft],
  unit_details[Property Name], INDIRECT("B"&amp;ROW()),
  unit_details[Floorplan Name], INDIRECT("C"&amp;ROW()),
  unit_details[Beds], INDIRECT("D"&amp;ROW()),
  unit_details[Detected Unit Amenities], "*"&amp;$AB$3&amp;"*",
  unit_details[Leased Date], "&gt;=" &amp; ($X$2 - $AD$3)
),0)</f>
        <v>0</v>
      </c>
      <c r="AB180" s="734" cm="1">
        <f t="array" aca="true" ref="AB1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0" s="733" cm="1">
        <f t="array" aca="true" ref="AC180" ca="true">IFERROR(COUNTIFS(
  unit_details[Property Name], INDIRECT("B"&amp;ROW()),
  unit_details[Floorplan Name], INDIRECT("C"&amp;ROW()),
  unit_details[Beds], INDIRECT("D"&amp;ROW()),
  unit_details[Detected Unit Amenities], "*"&amp;$AB$3&amp;"*",
  unit_details[Leased Date], "&gt;=" &amp; ($X$2 - $AD$3)
),0)</f>
        <v>0</v>
      </c>
      <c r="AD180" s="735" cm="1">
        <f t="array" aca="true" ref="AD180" ca="true">IFERROR(AVERAGEIFS(
  unit_details[Sqft],
  unit_details[Property Name], INDIRECT("B"&amp;ROW()),
  unit_details[Floorplan Name], INDIRECT("C"&amp;ROW()),
  unit_details[Beds], INDIRECT("D"&amp;ROW()),
  unit_details[Detected Unit Amenities], "&lt;&gt;*"&amp;$AB$3&amp;"*",
  unit_details[Leased Date], "&gt;=" &amp; ($X$2 - $AD$3)
),0)</f>
        <v>0</v>
      </c>
      <c r="AE180" s="734" cm="1">
        <f t="array" aca="true" ref="AE1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0" s="733" cm="1">
        <f t="array" aca="true" ref="AF180" ca="true">IFERROR(COUNTIFS(
  unit_details[Property Name], INDIRECT("B"&amp;ROW()),
  unit_details[Floorplan Name], INDIRECT("C"&amp;ROW()),
  unit_details[Beds], INDIRECT("D"&amp;ROW()),
  unit_details[Detected Unit Amenities], "&lt;&gt;*"&amp;$AB$3&amp;"*",
  unit_details[Leased Date], "&gt;=" &amp; ($X$2 - $AD$3)
),0)</f>
        <v>0</v>
      </c>
      <c r="AG180" s="735"/>
      <c r="AH180" s="738">
        <f t="shared" ca="true" si="6"/>
        <v>0</v>
      </c>
      <c r="AI180" s="739">
        <f t="shared" ca="true" si="7"/>
        <v>0</v>
      </c>
    </row>
    <row r="181" spans="2:35">
      <c r="B181" s="1"/>
      <c r="C181" s="80"/>
      <c r="E181" s="303"/>
      <c r="F181" s="303"/>
      <c r="J181" s="345"/>
      <c r="K181" s="6"/>
      <c r="M181" s="6"/>
      <c r="N181" s="738" t="str" cm="1">
        <f t="array" aca="true" ref="N181" ca="true">IFERROR(IF($O$3="Chunk Rent",
AVERAGEIFS('Unit-Level Data'!$O:$O,'Unit-Level Data'!$M:$M,TRUE,
          'Unit-Level Data'!$D:$D, INDIRECT("C"&amp;ROW()),
          'Unit-Level Data'!$B:$B, INDIRECT("B"&amp;ROW())),
AVERAGEIFS('Unit-Level Data'!$P:$P,'Unit-Level Data'!$M:$M,TRUE,
          'Unit-Level Data'!$D:$D, INDIRECT("C"&amp;ROW()),
          'Unit-Level Data'!$B:$B, INDIRECT("B"&amp;ROW()))),"")</f>
      </c>
      <c r="O181" s="760" t="str" cm="1">
        <f t="array" aca="true" ref="O181" ca="true">IFERROR(IF($O$3="Chunk Rent",
AVERAGEIFS('Unit-Level Data'!$Q:$Q,'Unit-Level Data'!$M:$M,TRUE,
          'Unit-Level Data'!$D:$D, INDIRECT("C"&amp;ROW()),
          'Unit-Level Data'!$B:$B, INDIRECT("B"&amp;ROW())),
AVERAGEIFS('Unit-Level Data'!$R:$R,'Unit-Level Data'!$M:$M,TRUE,
          'Unit-Level Data'!$D:$D, INDIRECT("C"&amp;ROW()),
          'Unit-Level Data'!$B:$B, INDIRECT("B"&amp;ROW()))),"")</f>
      </c>
      <c r="P181" s="733" cm="1">
        <f t="array" aca="true" ref="P181" ca="true">COUNTIFS('Unit-Level Data'!$M:$M,TRUE,
          'Unit-Level Data'!$D:$D, INDIRECT("C"&amp;ROW()),
          'Unit-Level Data'!$B:$B, INDIRECT("B"&amp;ROW()))</f>
        <v>0</v>
      </c>
      <c r="Q181" s="738" t="str" cm="1">
        <f t="array" aca="true" ref="Q1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1" s="760" t="str" cm="1">
        <f t="array" aca="true" ref="R1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1" s="733" cm="1">
        <f t="array" aca="true" ref="S181" ca="true">COUNTIFS('Unit-Level Data'!$L:$L, "&gt;=" &amp; ($X$2 - Q$5),
          'Unit-Level Data'!$L:$L, "&lt;" &amp; $X$2,
          'Unit-Level Data'!$D:$D, INDIRECT("C"&amp;ROW()),
          'Unit-Level Data'!$B:$B, INDIRECT("B"&amp;ROW()))</f>
        <v>0</v>
      </c>
      <c r="T181" s="738" t="str" cm="1">
        <f t="array" aca="true" ref="T1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1" s="760" t="str" cm="1">
        <f t="array" aca="true" ref="U1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1" s="733" cm="1">
        <f t="array" aca="true" ref="V181" ca="true">COUNTIFS('Unit-Level Data'!$L:$L, "&gt;=" &amp; ($X$2 - T$5),
          'Unit-Level Data'!$L:$L, "&lt;" &amp; $X$2,
          'Unit-Level Data'!$D:$D, INDIRECT("C"&amp;ROW()),
          'Unit-Level Data'!$B:$B, INDIRECT("B"&amp;ROW()))</f>
        <v>0</v>
      </c>
      <c r="W181" s="738" t="str" cm="1">
        <f t="array" aca="true" ref="W1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1" s="760" t="str" cm="1">
        <f t="array" aca="true" ref="X1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1" s="733" cm="1">
        <f t="array" aca="true" ref="Y181" ca="true">COUNTIFS('Unit-Level Data'!$L:$L, "&gt;=" &amp; ($X$2 - W$5),
          'Unit-Level Data'!$L:$L, "&lt;" &amp; $X$2,
          'Unit-Level Data'!$D:$D, INDIRECT("C"&amp;ROW()),
          'Unit-Level Data'!$B:$B, INDIRECT("B"&amp;ROW()))</f>
        <v>0</v>
      </c>
      <c r="Z181" s="761"/>
      <c r="AA181" s="735" cm="1">
        <f t="array" aca="true" ref="AA181" ca="true">IFERROR(AVERAGEIFS(
  unit_details[Sqft],
  unit_details[Property Name], INDIRECT("B"&amp;ROW()),
  unit_details[Floorplan Name], INDIRECT("C"&amp;ROW()),
  unit_details[Beds], INDIRECT("D"&amp;ROW()),
  unit_details[Detected Unit Amenities], "*"&amp;$AB$3&amp;"*",
  unit_details[Leased Date], "&gt;=" &amp; ($X$2 - $AD$3)
),0)</f>
        <v>0</v>
      </c>
      <c r="AB181" s="734" cm="1">
        <f t="array" aca="true" ref="AB1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1" s="733" cm="1">
        <f t="array" aca="true" ref="AC181" ca="true">IFERROR(COUNTIFS(
  unit_details[Property Name], INDIRECT("B"&amp;ROW()),
  unit_details[Floorplan Name], INDIRECT("C"&amp;ROW()),
  unit_details[Beds], INDIRECT("D"&amp;ROW()),
  unit_details[Detected Unit Amenities], "*"&amp;$AB$3&amp;"*",
  unit_details[Leased Date], "&gt;=" &amp; ($X$2 - $AD$3)
),0)</f>
        <v>0</v>
      </c>
      <c r="AD181" s="735" cm="1">
        <f t="array" aca="true" ref="AD181" ca="true">IFERROR(AVERAGEIFS(
  unit_details[Sqft],
  unit_details[Property Name], INDIRECT("B"&amp;ROW()),
  unit_details[Floorplan Name], INDIRECT("C"&amp;ROW()),
  unit_details[Beds], INDIRECT("D"&amp;ROW()),
  unit_details[Detected Unit Amenities], "&lt;&gt;*"&amp;$AB$3&amp;"*",
  unit_details[Leased Date], "&gt;=" &amp; ($X$2 - $AD$3)
),0)</f>
        <v>0</v>
      </c>
      <c r="AE181" s="734" cm="1">
        <f t="array" aca="true" ref="AE1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1" s="733" cm="1">
        <f t="array" aca="true" ref="AF181" ca="true">IFERROR(COUNTIFS(
  unit_details[Property Name], INDIRECT("B"&amp;ROW()),
  unit_details[Floorplan Name], INDIRECT("C"&amp;ROW()),
  unit_details[Beds], INDIRECT("D"&amp;ROW()),
  unit_details[Detected Unit Amenities], "&lt;&gt;*"&amp;$AB$3&amp;"*",
  unit_details[Leased Date], "&gt;=" &amp; ($X$2 - $AD$3)
),0)</f>
        <v>0</v>
      </c>
      <c r="AG181" s="735"/>
      <c r="AH181" s="738">
        <f t="shared" ca="true" si="6"/>
        <v>0</v>
      </c>
      <c r="AI181" s="739">
        <f t="shared" ca="true" si="7"/>
        <v>0</v>
      </c>
    </row>
    <row r="182" spans="2:35">
      <c r="B182" s="1"/>
      <c r="C182" s="80"/>
      <c r="E182" s="303"/>
      <c r="F182" s="303"/>
      <c r="J182" s="345"/>
      <c r="K182" s="6"/>
      <c r="M182" s="6"/>
      <c r="N182" s="738" t="str" cm="1">
        <f t="array" aca="true" ref="N182" ca="true">IFERROR(IF($O$3="Chunk Rent",
AVERAGEIFS('Unit-Level Data'!$O:$O,'Unit-Level Data'!$M:$M,TRUE,
          'Unit-Level Data'!$D:$D, INDIRECT("C"&amp;ROW()),
          'Unit-Level Data'!$B:$B, INDIRECT("B"&amp;ROW())),
AVERAGEIFS('Unit-Level Data'!$P:$P,'Unit-Level Data'!$M:$M,TRUE,
          'Unit-Level Data'!$D:$D, INDIRECT("C"&amp;ROW()),
          'Unit-Level Data'!$B:$B, INDIRECT("B"&amp;ROW()))),"")</f>
      </c>
      <c r="O182" s="760" t="str" cm="1">
        <f t="array" aca="true" ref="O182" ca="true">IFERROR(IF($O$3="Chunk Rent",
AVERAGEIFS('Unit-Level Data'!$Q:$Q,'Unit-Level Data'!$M:$M,TRUE,
          'Unit-Level Data'!$D:$D, INDIRECT("C"&amp;ROW()),
          'Unit-Level Data'!$B:$B, INDIRECT("B"&amp;ROW())),
AVERAGEIFS('Unit-Level Data'!$R:$R,'Unit-Level Data'!$M:$M,TRUE,
          'Unit-Level Data'!$D:$D, INDIRECT("C"&amp;ROW()),
          'Unit-Level Data'!$B:$B, INDIRECT("B"&amp;ROW()))),"")</f>
      </c>
      <c r="P182" s="733" cm="1">
        <f t="array" aca="true" ref="P182" ca="true">COUNTIFS('Unit-Level Data'!$M:$M,TRUE,
          'Unit-Level Data'!$D:$D, INDIRECT("C"&amp;ROW()),
          'Unit-Level Data'!$B:$B, INDIRECT("B"&amp;ROW()))</f>
        <v>0</v>
      </c>
      <c r="Q182" s="738" t="str" cm="1">
        <f t="array" aca="true" ref="Q1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2" s="760" t="str" cm="1">
        <f t="array" aca="true" ref="R1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2" s="733" cm="1">
        <f t="array" aca="true" ref="S182" ca="true">COUNTIFS('Unit-Level Data'!$L:$L, "&gt;=" &amp; ($X$2 - Q$5),
          'Unit-Level Data'!$L:$L, "&lt;" &amp; $X$2,
          'Unit-Level Data'!$D:$D, INDIRECT("C"&amp;ROW()),
          'Unit-Level Data'!$B:$B, INDIRECT("B"&amp;ROW()))</f>
        <v>0</v>
      </c>
      <c r="T182" s="738" t="str" cm="1">
        <f t="array" aca="true" ref="T1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2" s="760" t="str" cm="1">
        <f t="array" aca="true" ref="U1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2" s="733" cm="1">
        <f t="array" aca="true" ref="V182" ca="true">COUNTIFS('Unit-Level Data'!$L:$L, "&gt;=" &amp; ($X$2 - T$5),
          'Unit-Level Data'!$L:$L, "&lt;" &amp; $X$2,
          'Unit-Level Data'!$D:$D, INDIRECT("C"&amp;ROW()),
          'Unit-Level Data'!$B:$B, INDIRECT("B"&amp;ROW()))</f>
        <v>0</v>
      </c>
      <c r="W182" s="738" t="str" cm="1">
        <f t="array" aca="true" ref="W1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2" s="760" t="str" cm="1">
        <f t="array" aca="true" ref="X1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2" s="733" cm="1">
        <f t="array" aca="true" ref="Y182" ca="true">COUNTIFS('Unit-Level Data'!$L:$L, "&gt;=" &amp; ($X$2 - W$5),
          'Unit-Level Data'!$L:$L, "&lt;" &amp; $X$2,
          'Unit-Level Data'!$D:$D, INDIRECT("C"&amp;ROW()),
          'Unit-Level Data'!$B:$B, INDIRECT("B"&amp;ROW()))</f>
        <v>0</v>
      </c>
      <c r="Z182" s="761"/>
      <c r="AA182" s="735" cm="1">
        <f t="array" aca="true" ref="AA182" ca="true">IFERROR(AVERAGEIFS(
  unit_details[Sqft],
  unit_details[Property Name], INDIRECT("B"&amp;ROW()),
  unit_details[Floorplan Name], INDIRECT("C"&amp;ROW()),
  unit_details[Beds], INDIRECT("D"&amp;ROW()),
  unit_details[Detected Unit Amenities], "*"&amp;$AB$3&amp;"*",
  unit_details[Leased Date], "&gt;=" &amp; ($X$2 - $AD$3)
),0)</f>
        <v>0</v>
      </c>
      <c r="AB182" s="734" cm="1">
        <f t="array" aca="true" ref="AB1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2" s="733" cm="1">
        <f t="array" aca="true" ref="AC182" ca="true">IFERROR(COUNTIFS(
  unit_details[Property Name], INDIRECT("B"&amp;ROW()),
  unit_details[Floorplan Name], INDIRECT("C"&amp;ROW()),
  unit_details[Beds], INDIRECT("D"&amp;ROW()),
  unit_details[Detected Unit Amenities], "*"&amp;$AB$3&amp;"*",
  unit_details[Leased Date], "&gt;=" &amp; ($X$2 - $AD$3)
),0)</f>
        <v>0</v>
      </c>
      <c r="AD182" s="735" cm="1">
        <f t="array" aca="true" ref="AD182" ca="true">IFERROR(AVERAGEIFS(
  unit_details[Sqft],
  unit_details[Property Name], INDIRECT("B"&amp;ROW()),
  unit_details[Floorplan Name], INDIRECT("C"&amp;ROW()),
  unit_details[Beds], INDIRECT("D"&amp;ROW()),
  unit_details[Detected Unit Amenities], "&lt;&gt;*"&amp;$AB$3&amp;"*",
  unit_details[Leased Date], "&gt;=" &amp; ($X$2 - $AD$3)
),0)</f>
        <v>0</v>
      </c>
      <c r="AE182" s="734" cm="1">
        <f t="array" aca="true" ref="AE1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2" s="733" cm="1">
        <f t="array" aca="true" ref="AF182" ca="true">IFERROR(COUNTIFS(
  unit_details[Property Name], INDIRECT("B"&amp;ROW()),
  unit_details[Floorplan Name], INDIRECT("C"&amp;ROW()),
  unit_details[Beds], INDIRECT("D"&amp;ROW()),
  unit_details[Detected Unit Amenities], "&lt;&gt;*"&amp;$AB$3&amp;"*",
  unit_details[Leased Date], "&gt;=" &amp; ($X$2 - $AD$3)
),0)</f>
        <v>0</v>
      </c>
      <c r="AG182" s="735"/>
      <c r="AH182" s="738">
        <f t="shared" ca="true" si="6"/>
        <v>0</v>
      </c>
      <c r="AI182" s="739">
        <f t="shared" ca="true" si="7"/>
        <v>0</v>
      </c>
    </row>
    <row r="183" spans="2:35">
      <c r="B183" s="1"/>
      <c r="C183" s="80"/>
      <c r="E183" s="303"/>
      <c r="F183" s="303"/>
      <c r="J183" s="345"/>
      <c r="K183" s="6"/>
      <c r="M183" s="6"/>
      <c r="N183" s="738" t="str" cm="1">
        <f t="array" aca="true" ref="N183" ca="true">IFERROR(IF($O$3="Chunk Rent",
AVERAGEIFS('Unit-Level Data'!$O:$O,'Unit-Level Data'!$M:$M,TRUE,
          'Unit-Level Data'!$D:$D, INDIRECT("C"&amp;ROW()),
          'Unit-Level Data'!$B:$B, INDIRECT("B"&amp;ROW())),
AVERAGEIFS('Unit-Level Data'!$P:$P,'Unit-Level Data'!$M:$M,TRUE,
          'Unit-Level Data'!$D:$D, INDIRECT("C"&amp;ROW()),
          'Unit-Level Data'!$B:$B, INDIRECT("B"&amp;ROW()))),"")</f>
      </c>
      <c r="O183" s="760" t="str" cm="1">
        <f t="array" aca="true" ref="O183" ca="true">IFERROR(IF($O$3="Chunk Rent",
AVERAGEIFS('Unit-Level Data'!$Q:$Q,'Unit-Level Data'!$M:$M,TRUE,
          'Unit-Level Data'!$D:$D, INDIRECT("C"&amp;ROW()),
          'Unit-Level Data'!$B:$B, INDIRECT("B"&amp;ROW())),
AVERAGEIFS('Unit-Level Data'!$R:$R,'Unit-Level Data'!$M:$M,TRUE,
          'Unit-Level Data'!$D:$D, INDIRECT("C"&amp;ROW()),
          'Unit-Level Data'!$B:$B, INDIRECT("B"&amp;ROW()))),"")</f>
      </c>
      <c r="P183" s="733" cm="1">
        <f t="array" aca="true" ref="P183" ca="true">COUNTIFS('Unit-Level Data'!$M:$M,TRUE,
          'Unit-Level Data'!$D:$D, INDIRECT("C"&amp;ROW()),
          'Unit-Level Data'!$B:$B, INDIRECT("B"&amp;ROW()))</f>
        <v>0</v>
      </c>
      <c r="Q183" s="738" t="str" cm="1">
        <f t="array" aca="true" ref="Q1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3" s="760" t="str" cm="1">
        <f t="array" aca="true" ref="R1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3" s="733" cm="1">
        <f t="array" aca="true" ref="S183" ca="true">COUNTIFS('Unit-Level Data'!$L:$L, "&gt;=" &amp; ($X$2 - Q$5),
          'Unit-Level Data'!$L:$L, "&lt;" &amp; $X$2,
          'Unit-Level Data'!$D:$D, INDIRECT("C"&amp;ROW()),
          'Unit-Level Data'!$B:$B, INDIRECT("B"&amp;ROW()))</f>
        <v>0</v>
      </c>
      <c r="T183" s="738" t="str" cm="1">
        <f t="array" aca="true" ref="T1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3" s="760" t="str" cm="1">
        <f t="array" aca="true" ref="U1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3" s="733" cm="1">
        <f t="array" aca="true" ref="V183" ca="true">COUNTIFS('Unit-Level Data'!$L:$L, "&gt;=" &amp; ($X$2 - T$5),
          'Unit-Level Data'!$L:$L, "&lt;" &amp; $X$2,
          'Unit-Level Data'!$D:$D, INDIRECT("C"&amp;ROW()),
          'Unit-Level Data'!$B:$B, INDIRECT("B"&amp;ROW()))</f>
        <v>0</v>
      </c>
      <c r="W183" s="738" t="str" cm="1">
        <f t="array" aca="true" ref="W1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3" s="760" t="str" cm="1">
        <f t="array" aca="true" ref="X1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3" s="733" cm="1">
        <f t="array" aca="true" ref="Y183" ca="true">COUNTIFS('Unit-Level Data'!$L:$L, "&gt;=" &amp; ($X$2 - W$5),
          'Unit-Level Data'!$L:$L, "&lt;" &amp; $X$2,
          'Unit-Level Data'!$D:$D, INDIRECT("C"&amp;ROW()),
          'Unit-Level Data'!$B:$B, INDIRECT("B"&amp;ROW()))</f>
        <v>0</v>
      </c>
      <c r="Z183" s="761"/>
      <c r="AA183" s="735" cm="1">
        <f t="array" aca="true" ref="AA183" ca="true">IFERROR(AVERAGEIFS(
  unit_details[Sqft],
  unit_details[Property Name], INDIRECT("B"&amp;ROW()),
  unit_details[Floorplan Name], INDIRECT("C"&amp;ROW()),
  unit_details[Beds], INDIRECT("D"&amp;ROW()),
  unit_details[Detected Unit Amenities], "*"&amp;$AB$3&amp;"*",
  unit_details[Leased Date], "&gt;=" &amp; ($X$2 - $AD$3)
),0)</f>
        <v>0</v>
      </c>
      <c r="AB183" s="734" cm="1">
        <f t="array" aca="true" ref="AB1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3" s="733" cm="1">
        <f t="array" aca="true" ref="AC183" ca="true">IFERROR(COUNTIFS(
  unit_details[Property Name], INDIRECT("B"&amp;ROW()),
  unit_details[Floorplan Name], INDIRECT("C"&amp;ROW()),
  unit_details[Beds], INDIRECT("D"&amp;ROW()),
  unit_details[Detected Unit Amenities], "*"&amp;$AB$3&amp;"*",
  unit_details[Leased Date], "&gt;=" &amp; ($X$2 - $AD$3)
),0)</f>
        <v>0</v>
      </c>
      <c r="AD183" s="735" cm="1">
        <f t="array" aca="true" ref="AD183" ca="true">IFERROR(AVERAGEIFS(
  unit_details[Sqft],
  unit_details[Property Name], INDIRECT("B"&amp;ROW()),
  unit_details[Floorplan Name], INDIRECT("C"&amp;ROW()),
  unit_details[Beds], INDIRECT("D"&amp;ROW()),
  unit_details[Detected Unit Amenities], "&lt;&gt;*"&amp;$AB$3&amp;"*",
  unit_details[Leased Date], "&gt;=" &amp; ($X$2 - $AD$3)
),0)</f>
        <v>0</v>
      </c>
      <c r="AE183" s="734" cm="1">
        <f t="array" aca="true" ref="AE1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3" s="733" cm="1">
        <f t="array" aca="true" ref="AF183" ca="true">IFERROR(COUNTIFS(
  unit_details[Property Name], INDIRECT("B"&amp;ROW()),
  unit_details[Floorplan Name], INDIRECT("C"&amp;ROW()),
  unit_details[Beds], INDIRECT("D"&amp;ROW()),
  unit_details[Detected Unit Amenities], "&lt;&gt;*"&amp;$AB$3&amp;"*",
  unit_details[Leased Date], "&gt;=" &amp; ($X$2 - $AD$3)
),0)</f>
        <v>0</v>
      </c>
      <c r="AG183" s="735"/>
      <c r="AH183" s="738">
        <f t="shared" ca="true" si="6"/>
        <v>0</v>
      </c>
      <c r="AI183" s="739">
        <f t="shared" ca="true" si="7"/>
        <v>0</v>
      </c>
    </row>
    <row r="184" spans="2:35">
      <c r="B184" s="1"/>
      <c r="C184" s="80"/>
      <c r="E184" s="303"/>
      <c r="F184" s="303"/>
      <c r="J184" s="345"/>
      <c r="K184" s="6"/>
      <c r="M184" s="6"/>
      <c r="N184" s="738" t="str" cm="1">
        <f t="array" aca="true" ref="N184" ca="true">IFERROR(IF($O$3="Chunk Rent",
AVERAGEIFS('Unit-Level Data'!$O:$O,'Unit-Level Data'!$M:$M,TRUE,
          'Unit-Level Data'!$D:$D, INDIRECT("C"&amp;ROW()),
          'Unit-Level Data'!$B:$B, INDIRECT("B"&amp;ROW())),
AVERAGEIFS('Unit-Level Data'!$P:$P,'Unit-Level Data'!$M:$M,TRUE,
          'Unit-Level Data'!$D:$D, INDIRECT("C"&amp;ROW()),
          'Unit-Level Data'!$B:$B, INDIRECT("B"&amp;ROW()))),"")</f>
      </c>
      <c r="O184" s="760" t="str" cm="1">
        <f t="array" aca="true" ref="O184" ca="true">IFERROR(IF($O$3="Chunk Rent",
AVERAGEIFS('Unit-Level Data'!$Q:$Q,'Unit-Level Data'!$M:$M,TRUE,
          'Unit-Level Data'!$D:$D, INDIRECT("C"&amp;ROW()),
          'Unit-Level Data'!$B:$B, INDIRECT("B"&amp;ROW())),
AVERAGEIFS('Unit-Level Data'!$R:$R,'Unit-Level Data'!$M:$M,TRUE,
          'Unit-Level Data'!$D:$D, INDIRECT("C"&amp;ROW()),
          'Unit-Level Data'!$B:$B, INDIRECT("B"&amp;ROW()))),"")</f>
      </c>
      <c r="P184" s="733" cm="1">
        <f t="array" aca="true" ref="P184" ca="true">COUNTIFS('Unit-Level Data'!$M:$M,TRUE,
          'Unit-Level Data'!$D:$D, INDIRECT("C"&amp;ROW()),
          'Unit-Level Data'!$B:$B, INDIRECT("B"&amp;ROW()))</f>
        <v>0</v>
      </c>
      <c r="Q184" s="738" t="str" cm="1">
        <f t="array" aca="true" ref="Q1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4" s="760" t="str" cm="1">
        <f t="array" aca="true" ref="R1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4" s="733" cm="1">
        <f t="array" aca="true" ref="S184" ca="true">COUNTIFS('Unit-Level Data'!$L:$L, "&gt;=" &amp; ($X$2 - Q$5),
          'Unit-Level Data'!$L:$L, "&lt;" &amp; $X$2,
          'Unit-Level Data'!$D:$D, INDIRECT("C"&amp;ROW()),
          'Unit-Level Data'!$B:$B, INDIRECT("B"&amp;ROW()))</f>
        <v>0</v>
      </c>
      <c r="T184" s="738" t="str" cm="1">
        <f t="array" aca="true" ref="T1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4" s="760" t="str" cm="1">
        <f t="array" aca="true" ref="U1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4" s="733" cm="1">
        <f t="array" aca="true" ref="V184" ca="true">COUNTIFS('Unit-Level Data'!$L:$L, "&gt;=" &amp; ($X$2 - T$5),
          'Unit-Level Data'!$L:$L, "&lt;" &amp; $X$2,
          'Unit-Level Data'!$D:$D, INDIRECT("C"&amp;ROW()),
          'Unit-Level Data'!$B:$B, INDIRECT("B"&amp;ROW()))</f>
        <v>0</v>
      </c>
      <c r="W184" s="738" t="str" cm="1">
        <f t="array" aca="true" ref="W1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4" s="760" t="str" cm="1">
        <f t="array" aca="true" ref="X1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4" s="733" cm="1">
        <f t="array" aca="true" ref="Y184" ca="true">COUNTIFS('Unit-Level Data'!$L:$L, "&gt;=" &amp; ($X$2 - W$5),
          'Unit-Level Data'!$L:$L, "&lt;" &amp; $X$2,
          'Unit-Level Data'!$D:$D, INDIRECT("C"&amp;ROW()),
          'Unit-Level Data'!$B:$B, INDIRECT("B"&amp;ROW()))</f>
        <v>0</v>
      </c>
      <c r="Z184" s="761"/>
      <c r="AA184" s="735" cm="1">
        <f t="array" aca="true" ref="AA184" ca="true">IFERROR(AVERAGEIFS(
  unit_details[Sqft],
  unit_details[Property Name], INDIRECT("B"&amp;ROW()),
  unit_details[Floorplan Name], INDIRECT("C"&amp;ROW()),
  unit_details[Beds], INDIRECT("D"&amp;ROW()),
  unit_details[Detected Unit Amenities], "*"&amp;$AB$3&amp;"*",
  unit_details[Leased Date], "&gt;=" &amp; ($X$2 - $AD$3)
),0)</f>
        <v>0</v>
      </c>
      <c r="AB184" s="734" cm="1">
        <f t="array" aca="true" ref="AB1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4" s="733" cm="1">
        <f t="array" aca="true" ref="AC184" ca="true">IFERROR(COUNTIFS(
  unit_details[Property Name], INDIRECT("B"&amp;ROW()),
  unit_details[Floorplan Name], INDIRECT("C"&amp;ROW()),
  unit_details[Beds], INDIRECT("D"&amp;ROW()),
  unit_details[Detected Unit Amenities], "*"&amp;$AB$3&amp;"*",
  unit_details[Leased Date], "&gt;=" &amp; ($X$2 - $AD$3)
),0)</f>
        <v>0</v>
      </c>
      <c r="AD184" s="735" cm="1">
        <f t="array" aca="true" ref="AD184" ca="true">IFERROR(AVERAGEIFS(
  unit_details[Sqft],
  unit_details[Property Name], INDIRECT("B"&amp;ROW()),
  unit_details[Floorplan Name], INDIRECT("C"&amp;ROW()),
  unit_details[Beds], INDIRECT("D"&amp;ROW()),
  unit_details[Detected Unit Amenities], "&lt;&gt;*"&amp;$AB$3&amp;"*",
  unit_details[Leased Date], "&gt;=" &amp; ($X$2 - $AD$3)
),0)</f>
        <v>0</v>
      </c>
      <c r="AE184" s="734" cm="1">
        <f t="array" aca="true" ref="AE1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4" s="733" cm="1">
        <f t="array" aca="true" ref="AF184" ca="true">IFERROR(COUNTIFS(
  unit_details[Property Name], INDIRECT("B"&amp;ROW()),
  unit_details[Floorplan Name], INDIRECT("C"&amp;ROW()),
  unit_details[Beds], INDIRECT("D"&amp;ROW()),
  unit_details[Detected Unit Amenities], "&lt;&gt;*"&amp;$AB$3&amp;"*",
  unit_details[Leased Date], "&gt;=" &amp; ($X$2 - $AD$3)
),0)</f>
        <v>0</v>
      </c>
      <c r="AG184" s="735"/>
      <c r="AH184" s="738">
        <f t="shared" ca="true" si="6"/>
        <v>0</v>
      </c>
      <c r="AI184" s="739">
        <f t="shared" ca="true" si="7"/>
        <v>0</v>
      </c>
    </row>
    <row r="185" spans="2:35">
      <c r="B185" s="1"/>
      <c r="C185" s="80"/>
      <c r="E185" s="303"/>
      <c r="F185" s="303"/>
      <c r="J185" s="345"/>
      <c r="K185" s="6"/>
      <c r="M185" s="6"/>
      <c r="N185" s="738" t="str" cm="1">
        <f t="array" aca="true" ref="N185" ca="true">IFERROR(IF($O$3="Chunk Rent",
AVERAGEIFS('Unit-Level Data'!$O:$O,'Unit-Level Data'!$M:$M,TRUE,
          'Unit-Level Data'!$D:$D, INDIRECT("C"&amp;ROW()),
          'Unit-Level Data'!$B:$B, INDIRECT("B"&amp;ROW())),
AVERAGEIFS('Unit-Level Data'!$P:$P,'Unit-Level Data'!$M:$M,TRUE,
          'Unit-Level Data'!$D:$D, INDIRECT("C"&amp;ROW()),
          'Unit-Level Data'!$B:$B, INDIRECT("B"&amp;ROW()))),"")</f>
      </c>
      <c r="O185" s="760" t="str" cm="1">
        <f t="array" aca="true" ref="O185" ca="true">IFERROR(IF($O$3="Chunk Rent",
AVERAGEIFS('Unit-Level Data'!$Q:$Q,'Unit-Level Data'!$M:$M,TRUE,
          'Unit-Level Data'!$D:$D, INDIRECT("C"&amp;ROW()),
          'Unit-Level Data'!$B:$B, INDIRECT("B"&amp;ROW())),
AVERAGEIFS('Unit-Level Data'!$R:$R,'Unit-Level Data'!$M:$M,TRUE,
          'Unit-Level Data'!$D:$D, INDIRECT("C"&amp;ROW()),
          'Unit-Level Data'!$B:$B, INDIRECT("B"&amp;ROW()))),"")</f>
      </c>
      <c r="P185" s="733" cm="1">
        <f t="array" aca="true" ref="P185" ca="true">COUNTIFS('Unit-Level Data'!$M:$M,TRUE,
          'Unit-Level Data'!$D:$D, INDIRECT("C"&amp;ROW()),
          'Unit-Level Data'!$B:$B, INDIRECT("B"&amp;ROW()))</f>
        <v>0</v>
      </c>
      <c r="Q185" s="738" t="str" cm="1">
        <f t="array" aca="true" ref="Q1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5" s="760" t="str" cm="1">
        <f t="array" aca="true" ref="R1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5" s="733" cm="1">
        <f t="array" aca="true" ref="S185" ca="true">COUNTIFS('Unit-Level Data'!$L:$L, "&gt;=" &amp; ($X$2 - Q$5),
          'Unit-Level Data'!$L:$L, "&lt;" &amp; $X$2,
          'Unit-Level Data'!$D:$D, INDIRECT("C"&amp;ROW()),
          'Unit-Level Data'!$B:$B, INDIRECT("B"&amp;ROW()))</f>
        <v>0</v>
      </c>
      <c r="T185" s="738" t="str" cm="1">
        <f t="array" aca="true" ref="T1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5" s="760" t="str" cm="1">
        <f t="array" aca="true" ref="U1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5" s="733" cm="1">
        <f t="array" aca="true" ref="V185" ca="true">COUNTIFS('Unit-Level Data'!$L:$L, "&gt;=" &amp; ($X$2 - T$5),
          'Unit-Level Data'!$L:$L, "&lt;" &amp; $X$2,
          'Unit-Level Data'!$D:$D, INDIRECT("C"&amp;ROW()),
          'Unit-Level Data'!$B:$B, INDIRECT("B"&amp;ROW()))</f>
        <v>0</v>
      </c>
      <c r="W185" s="738" t="str" cm="1">
        <f t="array" aca="true" ref="W1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5" s="760" t="str" cm="1">
        <f t="array" aca="true" ref="X1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5" s="733" cm="1">
        <f t="array" aca="true" ref="Y185" ca="true">COUNTIFS('Unit-Level Data'!$L:$L, "&gt;=" &amp; ($X$2 - W$5),
          'Unit-Level Data'!$L:$L, "&lt;" &amp; $X$2,
          'Unit-Level Data'!$D:$D, INDIRECT("C"&amp;ROW()),
          'Unit-Level Data'!$B:$B, INDIRECT("B"&amp;ROW()))</f>
        <v>0</v>
      </c>
      <c r="Z185" s="761"/>
      <c r="AA185" s="735" cm="1">
        <f t="array" aca="true" ref="AA185" ca="true">IFERROR(AVERAGEIFS(
  unit_details[Sqft],
  unit_details[Property Name], INDIRECT("B"&amp;ROW()),
  unit_details[Floorplan Name], INDIRECT("C"&amp;ROW()),
  unit_details[Beds], INDIRECT("D"&amp;ROW()),
  unit_details[Detected Unit Amenities], "*"&amp;$AB$3&amp;"*",
  unit_details[Leased Date], "&gt;=" &amp; ($X$2 - $AD$3)
),0)</f>
        <v>0</v>
      </c>
      <c r="AB185" s="734" cm="1">
        <f t="array" aca="true" ref="AB1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5" s="733" cm="1">
        <f t="array" aca="true" ref="AC185" ca="true">IFERROR(COUNTIFS(
  unit_details[Property Name], INDIRECT("B"&amp;ROW()),
  unit_details[Floorplan Name], INDIRECT("C"&amp;ROW()),
  unit_details[Beds], INDIRECT("D"&amp;ROW()),
  unit_details[Detected Unit Amenities], "*"&amp;$AB$3&amp;"*",
  unit_details[Leased Date], "&gt;=" &amp; ($X$2 - $AD$3)
),0)</f>
        <v>0</v>
      </c>
      <c r="AD185" s="735" cm="1">
        <f t="array" aca="true" ref="AD185" ca="true">IFERROR(AVERAGEIFS(
  unit_details[Sqft],
  unit_details[Property Name], INDIRECT("B"&amp;ROW()),
  unit_details[Floorplan Name], INDIRECT("C"&amp;ROW()),
  unit_details[Beds], INDIRECT("D"&amp;ROW()),
  unit_details[Detected Unit Amenities], "&lt;&gt;*"&amp;$AB$3&amp;"*",
  unit_details[Leased Date], "&gt;=" &amp; ($X$2 - $AD$3)
),0)</f>
        <v>0</v>
      </c>
      <c r="AE185" s="734" cm="1">
        <f t="array" aca="true" ref="AE1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5" s="733" cm="1">
        <f t="array" aca="true" ref="AF185" ca="true">IFERROR(COUNTIFS(
  unit_details[Property Name], INDIRECT("B"&amp;ROW()),
  unit_details[Floorplan Name], INDIRECT("C"&amp;ROW()),
  unit_details[Beds], INDIRECT("D"&amp;ROW()),
  unit_details[Detected Unit Amenities], "&lt;&gt;*"&amp;$AB$3&amp;"*",
  unit_details[Leased Date], "&gt;=" &amp; ($X$2 - $AD$3)
),0)</f>
        <v>0</v>
      </c>
      <c r="AG185" s="735"/>
      <c r="AH185" s="738">
        <f t="shared" ca="true" si="6"/>
        <v>0</v>
      </c>
      <c r="AI185" s="739">
        <f t="shared" ca="true" si="7"/>
        <v>0</v>
      </c>
    </row>
    <row r="186" spans="2:35">
      <c r="B186" s="1"/>
      <c r="C186" s="80"/>
      <c r="E186" s="303"/>
      <c r="F186" s="303"/>
      <c r="J186" s="345"/>
      <c r="K186" s="6"/>
      <c r="M186" s="6"/>
      <c r="N186" s="738" t="str" cm="1">
        <f t="array" aca="true" ref="N186" ca="true">IFERROR(IF($O$3="Chunk Rent",
AVERAGEIFS('Unit-Level Data'!$O:$O,'Unit-Level Data'!$M:$M,TRUE,
          'Unit-Level Data'!$D:$D, INDIRECT("C"&amp;ROW()),
          'Unit-Level Data'!$B:$B, INDIRECT("B"&amp;ROW())),
AVERAGEIFS('Unit-Level Data'!$P:$P,'Unit-Level Data'!$M:$M,TRUE,
          'Unit-Level Data'!$D:$D, INDIRECT("C"&amp;ROW()),
          'Unit-Level Data'!$B:$B, INDIRECT("B"&amp;ROW()))),"")</f>
      </c>
      <c r="O186" s="760" t="str" cm="1">
        <f t="array" aca="true" ref="O186" ca="true">IFERROR(IF($O$3="Chunk Rent",
AVERAGEIFS('Unit-Level Data'!$Q:$Q,'Unit-Level Data'!$M:$M,TRUE,
          'Unit-Level Data'!$D:$D, INDIRECT("C"&amp;ROW()),
          'Unit-Level Data'!$B:$B, INDIRECT("B"&amp;ROW())),
AVERAGEIFS('Unit-Level Data'!$R:$R,'Unit-Level Data'!$M:$M,TRUE,
          'Unit-Level Data'!$D:$D, INDIRECT("C"&amp;ROW()),
          'Unit-Level Data'!$B:$B, INDIRECT("B"&amp;ROW()))),"")</f>
      </c>
      <c r="P186" s="733" cm="1">
        <f t="array" aca="true" ref="P186" ca="true">COUNTIFS('Unit-Level Data'!$M:$M,TRUE,
          'Unit-Level Data'!$D:$D, INDIRECT("C"&amp;ROW()),
          'Unit-Level Data'!$B:$B, INDIRECT("B"&amp;ROW()))</f>
        <v>0</v>
      </c>
      <c r="Q186" s="738" t="str" cm="1">
        <f t="array" aca="true" ref="Q1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6" s="760" t="str" cm="1">
        <f t="array" aca="true" ref="R1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6" s="733" cm="1">
        <f t="array" aca="true" ref="S186" ca="true">COUNTIFS('Unit-Level Data'!$L:$L, "&gt;=" &amp; ($X$2 - Q$5),
          'Unit-Level Data'!$L:$L, "&lt;" &amp; $X$2,
          'Unit-Level Data'!$D:$D, INDIRECT("C"&amp;ROW()),
          'Unit-Level Data'!$B:$B, INDIRECT("B"&amp;ROW()))</f>
        <v>0</v>
      </c>
      <c r="T186" s="738" t="str" cm="1">
        <f t="array" aca="true" ref="T1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6" s="760" t="str" cm="1">
        <f t="array" aca="true" ref="U1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6" s="733" cm="1">
        <f t="array" aca="true" ref="V186" ca="true">COUNTIFS('Unit-Level Data'!$L:$L, "&gt;=" &amp; ($X$2 - T$5),
          'Unit-Level Data'!$L:$L, "&lt;" &amp; $X$2,
          'Unit-Level Data'!$D:$D, INDIRECT("C"&amp;ROW()),
          'Unit-Level Data'!$B:$B, INDIRECT("B"&amp;ROW()))</f>
        <v>0</v>
      </c>
      <c r="W186" s="738" t="str" cm="1">
        <f t="array" aca="true" ref="W1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6" s="760" t="str" cm="1">
        <f t="array" aca="true" ref="X1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6" s="733" cm="1">
        <f t="array" aca="true" ref="Y186" ca="true">COUNTIFS('Unit-Level Data'!$L:$L, "&gt;=" &amp; ($X$2 - W$5),
          'Unit-Level Data'!$L:$L, "&lt;" &amp; $X$2,
          'Unit-Level Data'!$D:$D, INDIRECT("C"&amp;ROW()),
          'Unit-Level Data'!$B:$B, INDIRECT("B"&amp;ROW()))</f>
        <v>0</v>
      </c>
      <c r="Z186" s="761"/>
      <c r="AA186" s="735" cm="1">
        <f t="array" aca="true" ref="AA186" ca="true">IFERROR(AVERAGEIFS(
  unit_details[Sqft],
  unit_details[Property Name], INDIRECT("B"&amp;ROW()),
  unit_details[Floorplan Name], INDIRECT("C"&amp;ROW()),
  unit_details[Beds], INDIRECT("D"&amp;ROW()),
  unit_details[Detected Unit Amenities], "*"&amp;$AB$3&amp;"*",
  unit_details[Leased Date], "&gt;=" &amp; ($X$2 - $AD$3)
),0)</f>
        <v>0</v>
      </c>
      <c r="AB186" s="734" cm="1">
        <f t="array" aca="true" ref="AB1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6" s="733" cm="1">
        <f t="array" aca="true" ref="AC186" ca="true">IFERROR(COUNTIFS(
  unit_details[Property Name], INDIRECT("B"&amp;ROW()),
  unit_details[Floorplan Name], INDIRECT("C"&amp;ROW()),
  unit_details[Beds], INDIRECT("D"&amp;ROW()),
  unit_details[Detected Unit Amenities], "*"&amp;$AB$3&amp;"*",
  unit_details[Leased Date], "&gt;=" &amp; ($X$2 - $AD$3)
),0)</f>
        <v>0</v>
      </c>
      <c r="AD186" s="735" cm="1">
        <f t="array" aca="true" ref="AD186" ca="true">IFERROR(AVERAGEIFS(
  unit_details[Sqft],
  unit_details[Property Name], INDIRECT("B"&amp;ROW()),
  unit_details[Floorplan Name], INDIRECT("C"&amp;ROW()),
  unit_details[Beds], INDIRECT("D"&amp;ROW()),
  unit_details[Detected Unit Amenities], "&lt;&gt;*"&amp;$AB$3&amp;"*",
  unit_details[Leased Date], "&gt;=" &amp; ($X$2 - $AD$3)
),0)</f>
        <v>0</v>
      </c>
      <c r="AE186" s="734" cm="1">
        <f t="array" aca="true" ref="AE1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6" s="733" cm="1">
        <f t="array" aca="true" ref="AF186" ca="true">IFERROR(COUNTIFS(
  unit_details[Property Name], INDIRECT("B"&amp;ROW()),
  unit_details[Floorplan Name], INDIRECT("C"&amp;ROW()),
  unit_details[Beds], INDIRECT("D"&amp;ROW()),
  unit_details[Detected Unit Amenities], "&lt;&gt;*"&amp;$AB$3&amp;"*",
  unit_details[Leased Date], "&gt;=" &amp; ($X$2 - $AD$3)
),0)</f>
        <v>0</v>
      </c>
      <c r="AG186" s="735"/>
      <c r="AH186" s="738">
        <f t="shared" ca="true" si="6"/>
        <v>0</v>
      </c>
      <c r="AI186" s="739">
        <f t="shared" ca="true" si="7"/>
        <v>0</v>
      </c>
    </row>
    <row r="187" spans="2:35">
      <c r="B187" s="1"/>
      <c r="C187" s="80"/>
      <c r="E187" s="303"/>
      <c r="F187" s="303"/>
      <c r="J187" s="345"/>
      <c r="K187" s="6"/>
      <c r="M187" s="6"/>
      <c r="N187" s="738" t="str" cm="1">
        <f t="array" aca="true" ref="N187" ca="true">IFERROR(IF($O$3="Chunk Rent",
AVERAGEIFS('Unit-Level Data'!$O:$O,'Unit-Level Data'!$M:$M,TRUE,
          'Unit-Level Data'!$D:$D, INDIRECT("C"&amp;ROW()),
          'Unit-Level Data'!$B:$B, INDIRECT("B"&amp;ROW())),
AVERAGEIFS('Unit-Level Data'!$P:$P,'Unit-Level Data'!$M:$M,TRUE,
          'Unit-Level Data'!$D:$D, INDIRECT("C"&amp;ROW()),
          'Unit-Level Data'!$B:$B, INDIRECT("B"&amp;ROW()))),"")</f>
      </c>
      <c r="O187" s="760" t="str" cm="1">
        <f t="array" aca="true" ref="O187" ca="true">IFERROR(IF($O$3="Chunk Rent",
AVERAGEIFS('Unit-Level Data'!$Q:$Q,'Unit-Level Data'!$M:$M,TRUE,
          'Unit-Level Data'!$D:$D, INDIRECT("C"&amp;ROW()),
          'Unit-Level Data'!$B:$B, INDIRECT("B"&amp;ROW())),
AVERAGEIFS('Unit-Level Data'!$R:$R,'Unit-Level Data'!$M:$M,TRUE,
          'Unit-Level Data'!$D:$D, INDIRECT("C"&amp;ROW()),
          'Unit-Level Data'!$B:$B, INDIRECT("B"&amp;ROW()))),"")</f>
      </c>
      <c r="P187" s="733" cm="1">
        <f t="array" aca="true" ref="P187" ca="true">COUNTIFS('Unit-Level Data'!$M:$M,TRUE,
          'Unit-Level Data'!$D:$D, INDIRECT("C"&amp;ROW()),
          'Unit-Level Data'!$B:$B, INDIRECT("B"&amp;ROW()))</f>
        <v>0</v>
      </c>
      <c r="Q187" s="738" t="str" cm="1">
        <f t="array" aca="true" ref="Q1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7" s="760" t="str" cm="1">
        <f t="array" aca="true" ref="R1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7" s="733" cm="1">
        <f t="array" aca="true" ref="S187" ca="true">COUNTIFS('Unit-Level Data'!$L:$L, "&gt;=" &amp; ($X$2 - Q$5),
          'Unit-Level Data'!$L:$L, "&lt;" &amp; $X$2,
          'Unit-Level Data'!$D:$D, INDIRECT("C"&amp;ROW()),
          'Unit-Level Data'!$B:$B, INDIRECT("B"&amp;ROW()))</f>
        <v>0</v>
      </c>
      <c r="T187" s="738" t="str" cm="1">
        <f t="array" aca="true" ref="T1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7" s="760" t="str" cm="1">
        <f t="array" aca="true" ref="U1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7" s="733" cm="1">
        <f t="array" aca="true" ref="V187" ca="true">COUNTIFS('Unit-Level Data'!$L:$L, "&gt;=" &amp; ($X$2 - T$5),
          'Unit-Level Data'!$L:$L, "&lt;" &amp; $X$2,
          'Unit-Level Data'!$D:$D, INDIRECT("C"&amp;ROW()),
          'Unit-Level Data'!$B:$B, INDIRECT("B"&amp;ROW()))</f>
        <v>0</v>
      </c>
      <c r="W187" s="738" t="str" cm="1">
        <f t="array" aca="true" ref="W1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7" s="760" t="str" cm="1">
        <f t="array" aca="true" ref="X1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7" s="733" cm="1">
        <f t="array" aca="true" ref="Y187" ca="true">COUNTIFS('Unit-Level Data'!$L:$L, "&gt;=" &amp; ($X$2 - W$5),
          'Unit-Level Data'!$L:$L, "&lt;" &amp; $X$2,
          'Unit-Level Data'!$D:$D, INDIRECT("C"&amp;ROW()),
          'Unit-Level Data'!$B:$B, INDIRECT("B"&amp;ROW()))</f>
        <v>0</v>
      </c>
      <c r="Z187" s="761"/>
      <c r="AA187" s="735" cm="1">
        <f t="array" aca="true" ref="AA187" ca="true">IFERROR(AVERAGEIFS(
  unit_details[Sqft],
  unit_details[Property Name], INDIRECT("B"&amp;ROW()),
  unit_details[Floorplan Name], INDIRECT("C"&amp;ROW()),
  unit_details[Beds], INDIRECT("D"&amp;ROW()),
  unit_details[Detected Unit Amenities], "*"&amp;$AB$3&amp;"*",
  unit_details[Leased Date], "&gt;=" &amp; ($X$2 - $AD$3)
),0)</f>
        <v>0</v>
      </c>
      <c r="AB187" s="734" cm="1">
        <f t="array" aca="true" ref="AB1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7" s="733" cm="1">
        <f t="array" aca="true" ref="AC187" ca="true">IFERROR(COUNTIFS(
  unit_details[Property Name], INDIRECT("B"&amp;ROW()),
  unit_details[Floorplan Name], INDIRECT("C"&amp;ROW()),
  unit_details[Beds], INDIRECT("D"&amp;ROW()),
  unit_details[Detected Unit Amenities], "*"&amp;$AB$3&amp;"*",
  unit_details[Leased Date], "&gt;=" &amp; ($X$2 - $AD$3)
),0)</f>
        <v>0</v>
      </c>
      <c r="AD187" s="735" cm="1">
        <f t="array" aca="true" ref="AD187" ca="true">IFERROR(AVERAGEIFS(
  unit_details[Sqft],
  unit_details[Property Name], INDIRECT("B"&amp;ROW()),
  unit_details[Floorplan Name], INDIRECT("C"&amp;ROW()),
  unit_details[Beds], INDIRECT("D"&amp;ROW()),
  unit_details[Detected Unit Amenities], "&lt;&gt;*"&amp;$AB$3&amp;"*",
  unit_details[Leased Date], "&gt;=" &amp; ($X$2 - $AD$3)
),0)</f>
        <v>0</v>
      </c>
      <c r="AE187" s="734" cm="1">
        <f t="array" aca="true" ref="AE1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7" s="733" cm="1">
        <f t="array" aca="true" ref="AF187" ca="true">IFERROR(COUNTIFS(
  unit_details[Property Name], INDIRECT("B"&amp;ROW()),
  unit_details[Floorplan Name], INDIRECT("C"&amp;ROW()),
  unit_details[Beds], INDIRECT("D"&amp;ROW()),
  unit_details[Detected Unit Amenities], "&lt;&gt;*"&amp;$AB$3&amp;"*",
  unit_details[Leased Date], "&gt;=" &amp; ($X$2 - $AD$3)
),0)</f>
        <v>0</v>
      </c>
      <c r="AG187" s="735"/>
      <c r="AH187" s="738">
        <f t="shared" ca="true" si="6"/>
        <v>0</v>
      </c>
      <c r="AI187" s="739">
        <f t="shared" ca="true" si="7"/>
        <v>0</v>
      </c>
    </row>
    <row r="188" spans="2:35">
      <c r="B188" s="1"/>
      <c r="C188" s="80"/>
      <c r="E188" s="303"/>
      <c r="F188" s="303"/>
      <c r="J188" s="345"/>
      <c r="K188" s="6"/>
      <c r="M188" s="6"/>
      <c r="N188" s="738" t="str" cm="1">
        <f t="array" aca="true" ref="N188" ca="true">IFERROR(IF($O$3="Chunk Rent",
AVERAGEIFS('Unit-Level Data'!$O:$O,'Unit-Level Data'!$M:$M,TRUE,
          'Unit-Level Data'!$D:$D, INDIRECT("C"&amp;ROW()),
          'Unit-Level Data'!$B:$B, INDIRECT("B"&amp;ROW())),
AVERAGEIFS('Unit-Level Data'!$P:$P,'Unit-Level Data'!$M:$M,TRUE,
          'Unit-Level Data'!$D:$D, INDIRECT("C"&amp;ROW()),
          'Unit-Level Data'!$B:$B, INDIRECT("B"&amp;ROW()))),"")</f>
      </c>
      <c r="O188" s="760" t="str" cm="1">
        <f t="array" aca="true" ref="O188" ca="true">IFERROR(IF($O$3="Chunk Rent",
AVERAGEIFS('Unit-Level Data'!$Q:$Q,'Unit-Level Data'!$M:$M,TRUE,
          'Unit-Level Data'!$D:$D, INDIRECT("C"&amp;ROW()),
          'Unit-Level Data'!$B:$B, INDIRECT("B"&amp;ROW())),
AVERAGEIFS('Unit-Level Data'!$R:$R,'Unit-Level Data'!$M:$M,TRUE,
          'Unit-Level Data'!$D:$D, INDIRECT("C"&amp;ROW()),
          'Unit-Level Data'!$B:$B, INDIRECT("B"&amp;ROW()))),"")</f>
      </c>
      <c r="P188" s="733" cm="1">
        <f t="array" aca="true" ref="P188" ca="true">COUNTIFS('Unit-Level Data'!$M:$M,TRUE,
          'Unit-Level Data'!$D:$D, INDIRECT("C"&amp;ROW()),
          'Unit-Level Data'!$B:$B, INDIRECT("B"&amp;ROW()))</f>
        <v>0</v>
      </c>
      <c r="Q188" s="738" t="str" cm="1">
        <f t="array" aca="true" ref="Q1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8" s="760" t="str" cm="1">
        <f t="array" aca="true" ref="R1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8" s="733" cm="1">
        <f t="array" aca="true" ref="S188" ca="true">COUNTIFS('Unit-Level Data'!$L:$L, "&gt;=" &amp; ($X$2 - Q$5),
          'Unit-Level Data'!$L:$L, "&lt;" &amp; $X$2,
          'Unit-Level Data'!$D:$D, INDIRECT("C"&amp;ROW()),
          'Unit-Level Data'!$B:$B, INDIRECT("B"&amp;ROW()))</f>
        <v>0</v>
      </c>
      <c r="T188" s="738" t="str" cm="1">
        <f t="array" aca="true" ref="T1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8" s="760" t="str" cm="1">
        <f t="array" aca="true" ref="U1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8" s="733" cm="1">
        <f t="array" aca="true" ref="V188" ca="true">COUNTIFS('Unit-Level Data'!$L:$L, "&gt;=" &amp; ($X$2 - T$5),
          'Unit-Level Data'!$L:$L, "&lt;" &amp; $X$2,
          'Unit-Level Data'!$D:$D, INDIRECT("C"&amp;ROW()),
          'Unit-Level Data'!$B:$B, INDIRECT("B"&amp;ROW()))</f>
        <v>0</v>
      </c>
      <c r="W188" s="738" t="str" cm="1">
        <f t="array" aca="true" ref="W1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8" s="760" t="str" cm="1">
        <f t="array" aca="true" ref="X1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8" s="733" cm="1">
        <f t="array" aca="true" ref="Y188" ca="true">COUNTIFS('Unit-Level Data'!$L:$L, "&gt;=" &amp; ($X$2 - W$5),
          'Unit-Level Data'!$L:$L, "&lt;" &amp; $X$2,
          'Unit-Level Data'!$D:$D, INDIRECT("C"&amp;ROW()),
          'Unit-Level Data'!$B:$B, INDIRECT("B"&amp;ROW()))</f>
        <v>0</v>
      </c>
      <c r="Z188" s="761"/>
      <c r="AA188" s="735" cm="1">
        <f t="array" aca="true" ref="AA188" ca="true">IFERROR(AVERAGEIFS(
  unit_details[Sqft],
  unit_details[Property Name], INDIRECT("B"&amp;ROW()),
  unit_details[Floorplan Name], INDIRECT("C"&amp;ROW()),
  unit_details[Beds], INDIRECT("D"&amp;ROW()),
  unit_details[Detected Unit Amenities], "*"&amp;$AB$3&amp;"*",
  unit_details[Leased Date], "&gt;=" &amp; ($X$2 - $AD$3)
),0)</f>
        <v>0</v>
      </c>
      <c r="AB188" s="734" cm="1">
        <f t="array" aca="true" ref="AB1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8" s="733" cm="1">
        <f t="array" aca="true" ref="AC188" ca="true">IFERROR(COUNTIFS(
  unit_details[Property Name], INDIRECT("B"&amp;ROW()),
  unit_details[Floorplan Name], INDIRECT("C"&amp;ROW()),
  unit_details[Beds], INDIRECT("D"&amp;ROW()),
  unit_details[Detected Unit Amenities], "*"&amp;$AB$3&amp;"*",
  unit_details[Leased Date], "&gt;=" &amp; ($X$2 - $AD$3)
),0)</f>
        <v>0</v>
      </c>
      <c r="AD188" s="735" cm="1">
        <f t="array" aca="true" ref="AD188" ca="true">IFERROR(AVERAGEIFS(
  unit_details[Sqft],
  unit_details[Property Name], INDIRECT("B"&amp;ROW()),
  unit_details[Floorplan Name], INDIRECT("C"&amp;ROW()),
  unit_details[Beds], INDIRECT("D"&amp;ROW()),
  unit_details[Detected Unit Amenities], "&lt;&gt;*"&amp;$AB$3&amp;"*",
  unit_details[Leased Date], "&gt;=" &amp; ($X$2 - $AD$3)
),0)</f>
        <v>0</v>
      </c>
      <c r="AE188" s="734" cm="1">
        <f t="array" aca="true" ref="AE1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8" s="733" cm="1">
        <f t="array" aca="true" ref="AF188" ca="true">IFERROR(COUNTIFS(
  unit_details[Property Name], INDIRECT("B"&amp;ROW()),
  unit_details[Floorplan Name], INDIRECT("C"&amp;ROW()),
  unit_details[Beds], INDIRECT("D"&amp;ROW()),
  unit_details[Detected Unit Amenities], "&lt;&gt;*"&amp;$AB$3&amp;"*",
  unit_details[Leased Date], "&gt;=" &amp; ($X$2 - $AD$3)
),0)</f>
        <v>0</v>
      </c>
      <c r="AG188" s="735"/>
      <c r="AH188" s="738">
        <f t="shared" ca="true" si="6"/>
        <v>0</v>
      </c>
      <c r="AI188" s="739">
        <f t="shared" ca="true" si="7"/>
        <v>0</v>
      </c>
    </row>
    <row r="189" spans="2:35">
      <c r="B189" s="1"/>
      <c r="C189" s="80"/>
      <c r="E189" s="303"/>
      <c r="F189" s="303"/>
      <c r="J189" s="345"/>
      <c r="K189" s="6"/>
      <c r="M189" s="6"/>
      <c r="N189" s="738" t="str" cm="1">
        <f t="array" aca="true" ref="N189" ca="true">IFERROR(IF($O$3="Chunk Rent",
AVERAGEIFS('Unit-Level Data'!$O:$O,'Unit-Level Data'!$M:$M,TRUE,
          'Unit-Level Data'!$D:$D, INDIRECT("C"&amp;ROW()),
          'Unit-Level Data'!$B:$B, INDIRECT("B"&amp;ROW())),
AVERAGEIFS('Unit-Level Data'!$P:$P,'Unit-Level Data'!$M:$M,TRUE,
          'Unit-Level Data'!$D:$D, INDIRECT("C"&amp;ROW()),
          'Unit-Level Data'!$B:$B, INDIRECT("B"&amp;ROW()))),"")</f>
      </c>
      <c r="O189" s="760" t="str" cm="1">
        <f t="array" aca="true" ref="O189" ca="true">IFERROR(IF($O$3="Chunk Rent",
AVERAGEIFS('Unit-Level Data'!$Q:$Q,'Unit-Level Data'!$M:$M,TRUE,
          'Unit-Level Data'!$D:$D, INDIRECT("C"&amp;ROW()),
          'Unit-Level Data'!$B:$B, INDIRECT("B"&amp;ROW())),
AVERAGEIFS('Unit-Level Data'!$R:$R,'Unit-Level Data'!$M:$M,TRUE,
          'Unit-Level Data'!$D:$D, INDIRECT("C"&amp;ROW()),
          'Unit-Level Data'!$B:$B, INDIRECT("B"&amp;ROW()))),"")</f>
      </c>
      <c r="P189" s="733" cm="1">
        <f t="array" aca="true" ref="P189" ca="true">COUNTIFS('Unit-Level Data'!$M:$M,TRUE,
          'Unit-Level Data'!$D:$D, INDIRECT("C"&amp;ROW()),
          'Unit-Level Data'!$B:$B, INDIRECT("B"&amp;ROW()))</f>
        <v>0</v>
      </c>
      <c r="Q189" s="738" t="str" cm="1">
        <f t="array" aca="true" ref="Q1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9" s="760" t="str" cm="1">
        <f t="array" aca="true" ref="R1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9" s="733" cm="1">
        <f t="array" aca="true" ref="S189" ca="true">COUNTIFS('Unit-Level Data'!$L:$L, "&gt;=" &amp; ($X$2 - Q$5),
          'Unit-Level Data'!$L:$L, "&lt;" &amp; $X$2,
          'Unit-Level Data'!$D:$D, INDIRECT("C"&amp;ROW()),
          'Unit-Level Data'!$B:$B, INDIRECT("B"&amp;ROW()))</f>
        <v>0</v>
      </c>
      <c r="T189" s="738" t="str" cm="1">
        <f t="array" aca="true" ref="T1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9" s="760" t="str" cm="1">
        <f t="array" aca="true" ref="U1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9" s="733" cm="1">
        <f t="array" aca="true" ref="V189" ca="true">COUNTIFS('Unit-Level Data'!$L:$L, "&gt;=" &amp; ($X$2 - T$5),
          'Unit-Level Data'!$L:$L, "&lt;" &amp; $X$2,
          'Unit-Level Data'!$D:$D, INDIRECT("C"&amp;ROW()),
          'Unit-Level Data'!$B:$B, INDIRECT("B"&amp;ROW()))</f>
        <v>0</v>
      </c>
      <c r="W189" s="738" t="str" cm="1">
        <f t="array" aca="true" ref="W1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9" s="760" t="str" cm="1">
        <f t="array" aca="true" ref="X1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9" s="733" cm="1">
        <f t="array" aca="true" ref="Y189" ca="true">COUNTIFS('Unit-Level Data'!$L:$L, "&gt;=" &amp; ($X$2 - W$5),
          'Unit-Level Data'!$L:$L, "&lt;" &amp; $X$2,
          'Unit-Level Data'!$D:$D, INDIRECT("C"&amp;ROW()),
          'Unit-Level Data'!$B:$B, INDIRECT("B"&amp;ROW()))</f>
        <v>0</v>
      </c>
      <c r="Z189" s="761"/>
      <c r="AA189" s="735" cm="1">
        <f t="array" aca="true" ref="AA189" ca="true">IFERROR(AVERAGEIFS(
  unit_details[Sqft],
  unit_details[Property Name], INDIRECT("B"&amp;ROW()),
  unit_details[Floorplan Name], INDIRECT("C"&amp;ROW()),
  unit_details[Beds], INDIRECT("D"&amp;ROW()),
  unit_details[Detected Unit Amenities], "*"&amp;$AB$3&amp;"*",
  unit_details[Leased Date], "&gt;=" &amp; ($X$2 - $AD$3)
),0)</f>
        <v>0</v>
      </c>
      <c r="AB189" s="734" cm="1">
        <f t="array" aca="true" ref="AB1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9" s="733" cm="1">
        <f t="array" aca="true" ref="AC189" ca="true">IFERROR(COUNTIFS(
  unit_details[Property Name], INDIRECT("B"&amp;ROW()),
  unit_details[Floorplan Name], INDIRECT("C"&amp;ROW()),
  unit_details[Beds], INDIRECT("D"&amp;ROW()),
  unit_details[Detected Unit Amenities], "*"&amp;$AB$3&amp;"*",
  unit_details[Leased Date], "&gt;=" &amp; ($X$2 - $AD$3)
),0)</f>
        <v>0</v>
      </c>
      <c r="AD189" s="735" cm="1">
        <f t="array" aca="true" ref="AD189" ca="true">IFERROR(AVERAGEIFS(
  unit_details[Sqft],
  unit_details[Property Name], INDIRECT("B"&amp;ROW()),
  unit_details[Floorplan Name], INDIRECT("C"&amp;ROW()),
  unit_details[Beds], INDIRECT("D"&amp;ROW()),
  unit_details[Detected Unit Amenities], "&lt;&gt;*"&amp;$AB$3&amp;"*",
  unit_details[Leased Date], "&gt;=" &amp; ($X$2 - $AD$3)
),0)</f>
        <v>0</v>
      </c>
      <c r="AE189" s="734" cm="1">
        <f t="array" aca="true" ref="AE1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9" s="733" cm="1">
        <f t="array" aca="true" ref="AF189" ca="true">IFERROR(COUNTIFS(
  unit_details[Property Name], INDIRECT("B"&amp;ROW()),
  unit_details[Floorplan Name], INDIRECT("C"&amp;ROW()),
  unit_details[Beds], INDIRECT("D"&amp;ROW()),
  unit_details[Detected Unit Amenities], "&lt;&gt;*"&amp;$AB$3&amp;"*",
  unit_details[Leased Date], "&gt;=" &amp; ($X$2 - $AD$3)
),0)</f>
        <v>0</v>
      </c>
      <c r="AG189" s="735"/>
      <c r="AH189" s="738">
        <f t="shared" ca="true" si="6"/>
        <v>0</v>
      </c>
      <c r="AI189" s="739">
        <f t="shared" ca="true" si="7"/>
        <v>0</v>
      </c>
    </row>
    <row r="190" spans="2:35">
      <c r="B190" s="1"/>
      <c r="C190" s="80"/>
      <c r="E190" s="303"/>
      <c r="F190" s="303"/>
      <c r="J190" s="345"/>
      <c r="K190" s="6"/>
      <c r="M190" s="6"/>
      <c r="N190" s="738" t="str" cm="1">
        <f t="array" aca="true" ref="N190" ca="true">IFERROR(IF($O$3="Chunk Rent",
AVERAGEIFS('Unit-Level Data'!$O:$O,'Unit-Level Data'!$M:$M,TRUE,
          'Unit-Level Data'!$D:$D, INDIRECT("C"&amp;ROW()),
          'Unit-Level Data'!$B:$B, INDIRECT("B"&amp;ROW())),
AVERAGEIFS('Unit-Level Data'!$P:$P,'Unit-Level Data'!$M:$M,TRUE,
          'Unit-Level Data'!$D:$D, INDIRECT("C"&amp;ROW()),
          'Unit-Level Data'!$B:$B, INDIRECT("B"&amp;ROW()))),"")</f>
      </c>
      <c r="O190" s="760" t="str" cm="1">
        <f t="array" aca="true" ref="O190" ca="true">IFERROR(IF($O$3="Chunk Rent",
AVERAGEIFS('Unit-Level Data'!$Q:$Q,'Unit-Level Data'!$M:$M,TRUE,
          'Unit-Level Data'!$D:$D, INDIRECT("C"&amp;ROW()),
          'Unit-Level Data'!$B:$B, INDIRECT("B"&amp;ROW())),
AVERAGEIFS('Unit-Level Data'!$R:$R,'Unit-Level Data'!$M:$M,TRUE,
          'Unit-Level Data'!$D:$D, INDIRECT("C"&amp;ROW()),
          'Unit-Level Data'!$B:$B, INDIRECT("B"&amp;ROW()))),"")</f>
      </c>
      <c r="P190" s="733" cm="1">
        <f t="array" aca="true" ref="P190" ca="true">COUNTIFS('Unit-Level Data'!$M:$M,TRUE,
          'Unit-Level Data'!$D:$D, INDIRECT("C"&amp;ROW()),
          'Unit-Level Data'!$B:$B, INDIRECT("B"&amp;ROW()))</f>
        <v>0</v>
      </c>
      <c r="Q190" s="738" t="str" cm="1">
        <f t="array" aca="true" ref="Q1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0" s="760" t="str" cm="1">
        <f t="array" aca="true" ref="R1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0" s="733" cm="1">
        <f t="array" aca="true" ref="S190" ca="true">COUNTIFS('Unit-Level Data'!$L:$L, "&gt;=" &amp; ($X$2 - Q$5),
          'Unit-Level Data'!$L:$L, "&lt;" &amp; $X$2,
          'Unit-Level Data'!$D:$D, INDIRECT("C"&amp;ROW()),
          'Unit-Level Data'!$B:$B, INDIRECT("B"&amp;ROW()))</f>
        <v>0</v>
      </c>
      <c r="T190" s="738" t="str" cm="1">
        <f t="array" aca="true" ref="T1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0" s="760" t="str" cm="1">
        <f t="array" aca="true" ref="U1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0" s="733" cm="1">
        <f t="array" aca="true" ref="V190" ca="true">COUNTIFS('Unit-Level Data'!$L:$L, "&gt;=" &amp; ($X$2 - T$5),
          'Unit-Level Data'!$L:$L, "&lt;" &amp; $X$2,
          'Unit-Level Data'!$D:$D, INDIRECT("C"&amp;ROW()),
          'Unit-Level Data'!$B:$B, INDIRECT("B"&amp;ROW()))</f>
        <v>0</v>
      </c>
      <c r="W190" s="738" t="str" cm="1">
        <f t="array" aca="true" ref="W1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0" s="760" t="str" cm="1">
        <f t="array" aca="true" ref="X1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0" s="733" cm="1">
        <f t="array" aca="true" ref="Y190" ca="true">COUNTIFS('Unit-Level Data'!$L:$L, "&gt;=" &amp; ($X$2 - W$5),
          'Unit-Level Data'!$L:$L, "&lt;" &amp; $X$2,
          'Unit-Level Data'!$D:$D, INDIRECT("C"&amp;ROW()),
          'Unit-Level Data'!$B:$B, INDIRECT("B"&amp;ROW()))</f>
        <v>0</v>
      </c>
      <c r="Z190" s="761"/>
      <c r="AA190" s="735" cm="1">
        <f t="array" aca="true" ref="AA190" ca="true">IFERROR(AVERAGEIFS(
  unit_details[Sqft],
  unit_details[Property Name], INDIRECT("B"&amp;ROW()),
  unit_details[Floorplan Name], INDIRECT("C"&amp;ROW()),
  unit_details[Beds], INDIRECT("D"&amp;ROW()),
  unit_details[Detected Unit Amenities], "*"&amp;$AB$3&amp;"*",
  unit_details[Leased Date], "&gt;=" &amp; ($X$2 - $AD$3)
),0)</f>
        <v>0</v>
      </c>
      <c r="AB190" s="734" cm="1">
        <f t="array" aca="true" ref="AB1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0" s="733" cm="1">
        <f t="array" aca="true" ref="AC190" ca="true">IFERROR(COUNTIFS(
  unit_details[Property Name], INDIRECT("B"&amp;ROW()),
  unit_details[Floorplan Name], INDIRECT("C"&amp;ROW()),
  unit_details[Beds], INDIRECT("D"&amp;ROW()),
  unit_details[Detected Unit Amenities], "*"&amp;$AB$3&amp;"*",
  unit_details[Leased Date], "&gt;=" &amp; ($X$2 - $AD$3)
),0)</f>
        <v>0</v>
      </c>
      <c r="AD190" s="735" cm="1">
        <f t="array" aca="true" ref="AD190" ca="true">IFERROR(AVERAGEIFS(
  unit_details[Sqft],
  unit_details[Property Name], INDIRECT("B"&amp;ROW()),
  unit_details[Floorplan Name], INDIRECT("C"&amp;ROW()),
  unit_details[Beds], INDIRECT("D"&amp;ROW()),
  unit_details[Detected Unit Amenities], "&lt;&gt;*"&amp;$AB$3&amp;"*",
  unit_details[Leased Date], "&gt;=" &amp; ($X$2 - $AD$3)
),0)</f>
        <v>0</v>
      </c>
      <c r="AE190" s="734" cm="1">
        <f t="array" aca="true" ref="AE1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0" s="733" cm="1">
        <f t="array" aca="true" ref="AF190" ca="true">IFERROR(COUNTIFS(
  unit_details[Property Name], INDIRECT("B"&amp;ROW()),
  unit_details[Floorplan Name], INDIRECT("C"&amp;ROW()),
  unit_details[Beds], INDIRECT("D"&amp;ROW()),
  unit_details[Detected Unit Amenities], "&lt;&gt;*"&amp;$AB$3&amp;"*",
  unit_details[Leased Date], "&gt;=" &amp; ($X$2 - $AD$3)
),0)</f>
        <v>0</v>
      </c>
      <c r="AG190" s="735"/>
      <c r="AH190" s="738">
        <f t="shared" ca="true" si="6"/>
        <v>0</v>
      </c>
      <c r="AI190" s="739">
        <f t="shared" ca="true" si="7"/>
        <v>0</v>
      </c>
    </row>
    <row r="191" spans="2:35">
      <c r="B191" s="1"/>
      <c r="C191" s="80"/>
      <c r="E191" s="303"/>
      <c r="F191" s="303"/>
      <c r="J191" s="345"/>
      <c r="K191" s="6"/>
      <c r="M191" s="6"/>
      <c r="N191" s="738" t="str" cm="1">
        <f t="array" aca="true" ref="N191" ca="true">IFERROR(IF($O$3="Chunk Rent",
AVERAGEIFS('Unit-Level Data'!$O:$O,'Unit-Level Data'!$M:$M,TRUE,
          'Unit-Level Data'!$D:$D, INDIRECT("C"&amp;ROW()),
          'Unit-Level Data'!$B:$B, INDIRECT("B"&amp;ROW())),
AVERAGEIFS('Unit-Level Data'!$P:$P,'Unit-Level Data'!$M:$M,TRUE,
          'Unit-Level Data'!$D:$D, INDIRECT("C"&amp;ROW()),
          'Unit-Level Data'!$B:$B, INDIRECT("B"&amp;ROW()))),"")</f>
      </c>
      <c r="O191" s="760" t="str" cm="1">
        <f t="array" aca="true" ref="O191" ca="true">IFERROR(IF($O$3="Chunk Rent",
AVERAGEIFS('Unit-Level Data'!$Q:$Q,'Unit-Level Data'!$M:$M,TRUE,
          'Unit-Level Data'!$D:$D, INDIRECT("C"&amp;ROW()),
          'Unit-Level Data'!$B:$B, INDIRECT("B"&amp;ROW())),
AVERAGEIFS('Unit-Level Data'!$R:$R,'Unit-Level Data'!$M:$M,TRUE,
          'Unit-Level Data'!$D:$D, INDIRECT("C"&amp;ROW()),
          'Unit-Level Data'!$B:$B, INDIRECT("B"&amp;ROW()))),"")</f>
      </c>
      <c r="P191" s="733" cm="1">
        <f t="array" aca="true" ref="P191" ca="true">COUNTIFS('Unit-Level Data'!$M:$M,TRUE,
          'Unit-Level Data'!$D:$D, INDIRECT("C"&amp;ROW()),
          'Unit-Level Data'!$B:$B, INDIRECT("B"&amp;ROW()))</f>
        <v>0</v>
      </c>
      <c r="Q191" s="738" t="str" cm="1">
        <f t="array" aca="true" ref="Q1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1" s="760" t="str" cm="1">
        <f t="array" aca="true" ref="R1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1" s="733" cm="1">
        <f t="array" aca="true" ref="S191" ca="true">COUNTIFS('Unit-Level Data'!$L:$L, "&gt;=" &amp; ($X$2 - Q$5),
          'Unit-Level Data'!$L:$L, "&lt;" &amp; $X$2,
          'Unit-Level Data'!$D:$D, INDIRECT("C"&amp;ROW()),
          'Unit-Level Data'!$B:$B, INDIRECT("B"&amp;ROW()))</f>
        <v>0</v>
      </c>
      <c r="T191" s="738" t="str" cm="1">
        <f t="array" aca="true" ref="T1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1" s="760" t="str" cm="1">
        <f t="array" aca="true" ref="U1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1" s="733" cm="1">
        <f t="array" aca="true" ref="V191" ca="true">COUNTIFS('Unit-Level Data'!$L:$L, "&gt;=" &amp; ($X$2 - T$5),
          'Unit-Level Data'!$L:$L, "&lt;" &amp; $X$2,
          'Unit-Level Data'!$D:$D, INDIRECT("C"&amp;ROW()),
          'Unit-Level Data'!$B:$B, INDIRECT("B"&amp;ROW()))</f>
        <v>0</v>
      </c>
      <c r="W191" s="738" t="str" cm="1">
        <f t="array" aca="true" ref="W1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1" s="760" t="str" cm="1">
        <f t="array" aca="true" ref="X1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1" s="733" cm="1">
        <f t="array" aca="true" ref="Y191" ca="true">COUNTIFS('Unit-Level Data'!$L:$L, "&gt;=" &amp; ($X$2 - W$5),
          'Unit-Level Data'!$L:$L, "&lt;" &amp; $X$2,
          'Unit-Level Data'!$D:$D, INDIRECT("C"&amp;ROW()),
          'Unit-Level Data'!$B:$B, INDIRECT("B"&amp;ROW()))</f>
        <v>0</v>
      </c>
      <c r="Z191" s="761"/>
      <c r="AA191" s="735" cm="1">
        <f t="array" aca="true" ref="AA191" ca="true">IFERROR(AVERAGEIFS(
  unit_details[Sqft],
  unit_details[Property Name], INDIRECT("B"&amp;ROW()),
  unit_details[Floorplan Name], INDIRECT("C"&amp;ROW()),
  unit_details[Beds], INDIRECT("D"&amp;ROW()),
  unit_details[Detected Unit Amenities], "*"&amp;$AB$3&amp;"*",
  unit_details[Leased Date], "&gt;=" &amp; ($X$2 - $AD$3)
),0)</f>
        <v>0</v>
      </c>
      <c r="AB191" s="734" cm="1">
        <f t="array" aca="true" ref="AB1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1" s="733" cm="1">
        <f t="array" aca="true" ref="AC191" ca="true">IFERROR(COUNTIFS(
  unit_details[Property Name], INDIRECT("B"&amp;ROW()),
  unit_details[Floorplan Name], INDIRECT("C"&amp;ROW()),
  unit_details[Beds], INDIRECT("D"&amp;ROW()),
  unit_details[Detected Unit Amenities], "*"&amp;$AB$3&amp;"*",
  unit_details[Leased Date], "&gt;=" &amp; ($X$2 - $AD$3)
),0)</f>
        <v>0</v>
      </c>
      <c r="AD191" s="735" cm="1">
        <f t="array" aca="true" ref="AD191" ca="true">IFERROR(AVERAGEIFS(
  unit_details[Sqft],
  unit_details[Property Name], INDIRECT("B"&amp;ROW()),
  unit_details[Floorplan Name], INDIRECT("C"&amp;ROW()),
  unit_details[Beds], INDIRECT("D"&amp;ROW()),
  unit_details[Detected Unit Amenities], "&lt;&gt;*"&amp;$AB$3&amp;"*",
  unit_details[Leased Date], "&gt;=" &amp; ($X$2 - $AD$3)
),0)</f>
        <v>0</v>
      </c>
      <c r="AE191" s="734" cm="1">
        <f t="array" aca="true" ref="AE1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1" s="733" cm="1">
        <f t="array" aca="true" ref="AF191" ca="true">IFERROR(COUNTIFS(
  unit_details[Property Name], INDIRECT("B"&amp;ROW()),
  unit_details[Floorplan Name], INDIRECT("C"&amp;ROW()),
  unit_details[Beds], INDIRECT("D"&amp;ROW()),
  unit_details[Detected Unit Amenities], "&lt;&gt;*"&amp;$AB$3&amp;"*",
  unit_details[Leased Date], "&gt;=" &amp; ($X$2 - $AD$3)
),0)</f>
        <v>0</v>
      </c>
      <c r="AG191" s="735"/>
      <c r="AH191" s="738">
        <f t="shared" ca="true" si="6"/>
        <v>0</v>
      </c>
      <c r="AI191" s="739">
        <f t="shared" ca="true" si="7"/>
        <v>0</v>
      </c>
    </row>
    <row r="192" spans="2:35">
      <c r="B192" s="1"/>
      <c r="C192" s="80"/>
      <c r="E192" s="303"/>
      <c r="F192" s="303"/>
      <c r="J192" s="345"/>
      <c r="K192" s="6"/>
      <c r="M192" s="6"/>
      <c r="N192" s="738" t="str" cm="1">
        <f t="array" aca="true" ref="N192" ca="true">IFERROR(IF($O$3="Chunk Rent",
AVERAGEIFS('Unit-Level Data'!$O:$O,'Unit-Level Data'!$M:$M,TRUE,
          'Unit-Level Data'!$D:$D, INDIRECT("C"&amp;ROW()),
          'Unit-Level Data'!$B:$B, INDIRECT("B"&amp;ROW())),
AVERAGEIFS('Unit-Level Data'!$P:$P,'Unit-Level Data'!$M:$M,TRUE,
          'Unit-Level Data'!$D:$D, INDIRECT("C"&amp;ROW()),
          'Unit-Level Data'!$B:$B, INDIRECT("B"&amp;ROW()))),"")</f>
      </c>
      <c r="O192" s="760" t="str" cm="1">
        <f t="array" aca="true" ref="O192" ca="true">IFERROR(IF($O$3="Chunk Rent",
AVERAGEIFS('Unit-Level Data'!$Q:$Q,'Unit-Level Data'!$M:$M,TRUE,
          'Unit-Level Data'!$D:$D, INDIRECT("C"&amp;ROW()),
          'Unit-Level Data'!$B:$B, INDIRECT("B"&amp;ROW())),
AVERAGEIFS('Unit-Level Data'!$R:$R,'Unit-Level Data'!$M:$M,TRUE,
          'Unit-Level Data'!$D:$D, INDIRECT("C"&amp;ROW()),
          'Unit-Level Data'!$B:$B, INDIRECT("B"&amp;ROW()))),"")</f>
      </c>
      <c r="P192" s="733" cm="1">
        <f t="array" aca="true" ref="P192" ca="true">COUNTIFS('Unit-Level Data'!$M:$M,TRUE,
          'Unit-Level Data'!$D:$D, INDIRECT("C"&amp;ROW()),
          'Unit-Level Data'!$B:$B, INDIRECT("B"&amp;ROW()))</f>
        <v>0</v>
      </c>
      <c r="Q192" s="738" t="str" cm="1">
        <f t="array" aca="true" ref="Q1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2" s="760" t="str" cm="1">
        <f t="array" aca="true" ref="R1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2" s="733" cm="1">
        <f t="array" aca="true" ref="S192" ca="true">COUNTIFS('Unit-Level Data'!$L:$L, "&gt;=" &amp; ($X$2 - Q$5),
          'Unit-Level Data'!$L:$L, "&lt;" &amp; $X$2,
          'Unit-Level Data'!$D:$D, INDIRECT("C"&amp;ROW()),
          'Unit-Level Data'!$B:$B, INDIRECT("B"&amp;ROW()))</f>
        <v>0</v>
      </c>
      <c r="T192" s="738" t="str" cm="1">
        <f t="array" aca="true" ref="T1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2" s="760" t="str" cm="1">
        <f t="array" aca="true" ref="U1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2" s="733" cm="1">
        <f t="array" aca="true" ref="V192" ca="true">COUNTIFS('Unit-Level Data'!$L:$L, "&gt;=" &amp; ($X$2 - T$5),
          'Unit-Level Data'!$L:$L, "&lt;" &amp; $X$2,
          'Unit-Level Data'!$D:$D, INDIRECT("C"&amp;ROW()),
          'Unit-Level Data'!$B:$B, INDIRECT("B"&amp;ROW()))</f>
        <v>0</v>
      </c>
      <c r="W192" s="738" t="str" cm="1">
        <f t="array" aca="true" ref="W1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2" s="760" t="str" cm="1">
        <f t="array" aca="true" ref="X1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2" s="733" cm="1">
        <f t="array" aca="true" ref="Y192" ca="true">COUNTIFS('Unit-Level Data'!$L:$L, "&gt;=" &amp; ($X$2 - W$5),
          'Unit-Level Data'!$L:$L, "&lt;" &amp; $X$2,
          'Unit-Level Data'!$D:$D, INDIRECT("C"&amp;ROW()),
          'Unit-Level Data'!$B:$B, INDIRECT("B"&amp;ROW()))</f>
        <v>0</v>
      </c>
      <c r="Z192" s="761"/>
      <c r="AA192" s="735" cm="1">
        <f t="array" aca="true" ref="AA192" ca="true">IFERROR(AVERAGEIFS(
  unit_details[Sqft],
  unit_details[Property Name], INDIRECT("B"&amp;ROW()),
  unit_details[Floorplan Name], INDIRECT("C"&amp;ROW()),
  unit_details[Beds], INDIRECT("D"&amp;ROW()),
  unit_details[Detected Unit Amenities], "*"&amp;$AB$3&amp;"*",
  unit_details[Leased Date], "&gt;=" &amp; ($X$2 - $AD$3)
),0)</f>
        <v>0</v>
      </c>
      <c r="AB192" s="734" cm="1">
        <f t="array" aca="true" ref="AB1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2" s="733" cm="1">
        <f t="array" aca="true" ref="AC192" ca="true">IFERROR(COUNTIFS(
  unit_details[Property Name], INDIRECT("B"&amp;ROW()),
  unit_details[Floorplan Name], INDIRECT("C"&amp;ROW()),
  unit_details[Beds], INDIRECT("D"&amp;ROW()),
  unit_details[Detected Unit Amenities], "*"&amp;$AB$3&amp;"*",
  unit_details[Leased Date], "&gt;=" &amp; ($X$2 - $AD$3)
),0)</f>
        <v>0</v>
      </c>
      <c r="AD192" s="735" cm="1">
        <f t="array" aca="true" ref="AD192" ca="true">IFERROR(AVERAGEIFS(
  unit_details[Sqft],
  unit_details[Property Name], INDIRECT("B"&amp;ROW()),
  unit_details[Floorplan Name], INDIRECT("C"&amp;ROW()),
  unit_details[Beds], INDIRECT("D"&amp;ROW()),
  unit_details[Detected Unit Amenities], "&lt;&gt;*"&amp;$AB$3&amp;"*",
  unit_details[Leased Date], "&gt;=" &amp; ($X$2 - $AD$3)
),0)</f>
        <v>0</v>
      </c>
      <c r="AE192" s="734" cm="1">
        <f t="array" aca="true" ref="AE1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2" s="733" cm="1">
        <f t="array" aca="true" ref="AF192" ca="true">IFERROR(COUNTIFS(
  unit_details[Property Name], INDIRECT("B"&amp;ROW()),
  unit_details[Floorplan Name], INDIRECT("C"&amp;ROW()),
  unit_details[Beds], INDIRECT("D"&amp;ROW()),
  unit_details[Detected Unit Amenities], "&lt;&gt;*"&amp;$AB$3&amp;"*",
  unit_details[Leased Date], "&gt;=" &amp; ($X$2 - $AD$3)
),0)</f>
        <v>0</v>
      </c>
      <c r="AG192" s="735"/>
      <c r="AH192" s="738">
        <f t="shared" ca="true" si="6"/>
        <v>0</v>
      </c>
      <c r="AI192" s="739">
        <f t="shared" ca="true" si="7"/>
        <v>0</v>
      </c>
    </row>
    <row r="193" spans="2:35">
      <c r="B193" s="1"/>
      <c r="C193" s="80"/>
      <c r="E193" s="303"/>
      <c r="F193" s="303"/>
      <c r="J193" s="345"/>
      <c r="K193" s="6"/>
      <c r="M193" s="6"/>
      <c r="N193" s="738" t="str" cm="1">
        <f t="array" aca="true" ref="N193" ca="true">IFERROR(IF($O$3="Chunk Rent",
AVERAGEIFS('Unit-Level Data'!$O:$O,'Unit-Level Data'!$M:$M,TRUE,
          'Unit-Level Data'!$D:$D, INDIRECT("C"&amp;ROW()),
          'Unit-Level Data'!$B:$B, INDIRECT("B"&amp;ROW())),
AVERAGEIFS('Unit-Level Data'!$P:$P,'Unit-Level Data'!$M:$M,TRUE,
          'Unit-Level Data'!$D:$D, INDIRECT("C"&amp;ROW()),
          'Unit-Level Data'!$B:$B, INDIRECT("B"&amp;ROW()))),"")</f>
      </c>
      <c r="O193" s="760" t="str" cm="1">
        <f t="array" aca="true" ref="O193" ca="true">IFERROR(IF($O$3="Chunk Rent",
AVERAGEIFS('Unit-Level Data'!$Q:$Q,'Unit-Level Data'!$M:$M,TRUE,
          'Unit-Level Data'!$D:$D, INDIRECT("C"&amp;ROW()),
          'Unit-Level Data'!$B:$B, INDIRECT("B"&amp;ROW())),
AVERAGEIFS('Unit-Level Data'!$R:$R,'Unit-Level Data'!$M:$M,TRUE,
          'Unit-Level Data'!$D:$D, INDIRECT("C"&amp;ROW()),
          'Unit-Level Data'!$B:$B, INDIRECT("B"&amp;ROW()))),"")</f>
      </c>
      <c r="P193" s="733" cm="1">
        <f t="array" aca="true" ref="P193" ca="true">COUNTIFS('Unit-Level Data'!$M:$M,TRUE,
          'Unit-Level Data'!$D:$D, INDIRECT("C"&amp;ROW()),
          'Unit-Level Data'!$B:$B, INDIRECT("B"&amp;ROW()))</f>
        <v>0</v>
      </c>
      <c r="Q193" s="738" t="str" cm="1">
        <f t="array" aca="true" ref="Q1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3" s="760" t="str" cm="1">
        <f t="array" aca="true" ref="R1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3" s="733" cm="1">
        <f t="array" aca="true" ref="S193" ca="true">COUNTIFS('Unit-Level Data'!$L:$L, "&gt;=" &amp; ($X$2 - Q$5),
          'Unit-Level Data'!$L:$L, "&lt;" &amp; $X$2,
          'Unit-Level Data'!$D:$D, INDIRECT("C"&amp;ROW()),
          'Unit-Level Data'!$B:$B, INDIRECT("B"&amp;ROW()))</f>
        <v>0</v>
      </c>
      <c r="T193" s="738" t="str" cm="1">
        <f t="array" aca="true" ref="T1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3" s="760" t="str" cm="1">
        <f t="array" aca="true" ref="U1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3" s="733" cm="1">
        <f t="array" aca="true" ref="V193" ca="true">COUNTIFS('Unit-Level Data'!$L:$L, "&gt;=" &amp; ($X$2 - T$5),
          'Unit-Level Data'!$L:$L, "&lt;" &amp; $X$2,
          'Unit-Level Data'!$D:$D, INDIRECT("C"&amp;ROW()),
          'Unit-Level Data'!$B:$B, INDIRECT("B"&amp;ROW()))</f>
        <v>0</v>
      </c>
      <c r="W193" s="738" t="str" cm="1">
        <f t="array" aca="true" ref="W1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3" s="760" t="str" cm="1">
        <f t="array" aca="true" ref="X1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3" s="733" cm="1">
        <f t="array" aca="true" ref="Y193" ca="true">COUNTIFS('Unit-Level Data'!$L:$L, "&gt;=" &amp; ($X$2 - W$5),
          'Unit-Level Data'!$L:$L, "&lt;" &amp; $X$2,
          'Unit-Level Data'!$D:$D, INDIRECT("C"&amp;ROW()),
          'Unit-Level Data'!$B:$B, INDIRECT("B"&amp;ROW()))</f>
        <v>0</v>
      </c>
      <c r="Z193" s="761"/>
      <c r="AA193" s="735" cm="1">
        <f t="array" aca="true" ref="AA193" ca="true">IFERROR(AVERAGEIFS(
  unit_details[Sqft],
  unit_details[Property Name], INDIRECT("B"&amp;ROW()),
  unit_details[Floorplan Name], INDIRECT("C"&amp;ROW()),
  unit_details[Beds], INDIRECT("D"&amp;ROW()),
  unit_details[Detected Unit Amenities], "*"&amp;$AB$3&amp;"*",
  unit_details[Leased Date], "&gt;=" &amp; ($X$2 - $AD$3)
),0)</f>
        <v>0</v>
      </c>
      <c r="AB193" s="734" cm="1">
        <f t="array" aca="true" ref="AB1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3" s="733" cm="1">
        <f t="array" aca="true" ref="AC193" ca="true">IFERROR(COUNTIFS(
  unit_details[Property Name], INDIRECT("B"&amp;ROW()),
  unit_details[Floorplan Name], INDIRECT("C"&amp;ROW()),
  unit_details[Beds], INDIRECT("D"&amp;ROW()),
  unit_details[Detected Unit Amenities], "*"&amp;$AB$3&amp;"*",
  unit_details[Leased Date], "&gt;=" &amp; ($X$2 - $AD$3)
),0)</f>
        <v>0</v>
      </c>
      <c r="AD193" s="735" cm="1">
        <f t="array" aca="true" ref="AD193" ca="true">IFERROR(AVERAGEIFS(
  unit_details[Sqft],
  unit_details[Property Name], INDIRECT("B"&amp;ROW()),
  unit_details[Floorplan Name], INDIRECT("C"&amp;ROW()),
  unit_details[Beds], INDIRECT("D"&amp;ROW()),
  unit_details[Detected Unit Amenities], "&lt;&gt;*"&amp;$AB$3&amp;"*",
  unit_details[Leased Date], "&gt;=" &amp; ($X$2 - $AD$3)
),0)</f>
        <v>0</v>
      </c>
      <c r="AE193" s="734" cm="1">
        <f t="array" aca="true" ref="AE1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3" s="733" cm="1">
        <f t="array" aca="true" ref="AF193" ca="true">IFERROR(COUNTIFS(
  unit_details[Property Name], INDIRECT("B"&amp;ROW()),
  unit_details[Floorplan Name], INDIRECT("C"&amp;ROW()),
  unit_details[Beds], INDIRECT("D"&amp;ROW()),
  unit_details[Detected Unit Amenities], "&lt;&gt;*"&amp;$AB$3&amp;"*",
  unit_details[Leased Date], "&gt;=" &amp; ($X$2 - $AD$3)
),0)</f>
        <v>0</v>
      </c>
      <c r="AG193" s="735"/>
      <c r="AH193" s="738">
        <f t="shared" ca="true" si="6"/>
        <v>0</v>
      </c>
      <c r="AI193" s="739">
        <f t="shared" ca="true" si="7"/>
        <v>0</v>
      </c>
    </row>
    <row r="194" spans="2:35">
      <c r="B194" s="1"/>
      <c r="C194" s="80"/>
      <c r="E194" s="303"/>
      <c r="F194" s="303"/>
      <c r="J194" s="345"/>
      <c r="K194" s="6"/>
      <c r="M194" s="6"/>
      <c r="N194" s="738" t="str" cm="1">
        <f t="array" aca="true" ref="N194" ca="true">IFERROR(IF($O$3="Chunk Rent",
AVERAGEIFS('Unit-Level Data'!$O:$O,'Unit-Level Data'!$M:$M,TRUE,
          'Unit-Level Data'!$D:$D, INDIRECT("C"&amp;ROW()),
          'Unit-Level Data'!$B:$B, INDIRECT("B"&amp;ROW())),
AVERAGEIFS('Unit-Level Data'!$P:$P,'Unit-Level Data'!$M:$M,TRUE,
          'Unit-Level Data'!$D:$D, INDIRECT("C"&amp;ROW()),
          'Unit-Level Data'!$B:$B, INDIRECT("B"&amp;ROW()))),"")</f>
      </c>
      <c r="O194" s="760" t="str" cm="1">
        <f t="array" aca="true" ref="O194" ca="true">IFERROR(IF($O$3="Chunk Rent",
AVERAGEIFS('Unit-Level Data'!$Q:$Q,'Unit-Level Data'!$M:$M,TRUE,
          'Unit-Level Data'!$D:$D, INDIRECT("C"&amp;ROW()),
          'Unit-Level Data'!$B:$B, INDIRECT("B"&amp;ROW())),
AVERAGEIFS('Unit-Level Data'!$R:$R,'Unit-Level Data'!$M:$M,TRUE,
          'Unit-Level Data'!$D:$D, INDIRECT("C"&amp;ROW()),
          'Unit-Level Data'!$B:$B, INDIRECT("B"&amp;ROW()))),"")</f>
      </c>
      <c r="P194" s="733" cm="1">
        <f t="array" aca="true" ref="P194" ca="true">COUNTIFS('Unit-Level Data'!$M:$M,TRUE,
          'Unit-Level Data'!$D:$D, INDIRECT("C"&amp;ROW()),
          'Unit-Level Data'!$B:$B, INDIRECT("B"&amp;ROW()))</f>
        <v>0</v>
      </c>
      <c r="Q194" s="738" t="str" cm="1">
        <f t="array" aca="true" ref="Q1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4" s="760" t="str" cm="1">
        <f t="array" aca="true" ref="R1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4" s="733" cm="1">
        <f t="array" aca="true" ref="S194" ca="true">COUNTIFS('Unit-Level Data'!$L:$L, "&gt;=" &amp; ($X$2 - Q$5),
          'Unit-Level Data'!$L:$L, "&lt;" &amp; $X$2,
          'Unit-Level Data'!$D:$D, INDIRECT("C"&amp;ROW()),
          'Unit-Level Data'!$B:$B, INDIRECT("B"&amp;ROW()))</f>
        <v>0</v>
      </c>
      <c r="T194" s="738" t="str" cm="1">
        <f t="array" aca="true" ref="T1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4" s="760" t="str" cm="1">
        <f t="array" aca="true" ref="U1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4" s="733" cm="1">
        <f t="array" aca="true" ref="V194" ca="true">COUNTIFS('Unit-Level Data'!$L:$L, "&gt;=" &amp; ($X$2 - T$5),
          'Unit-Level Data'!$L:$L, "&lt;" &amp; $X$2,
          'Unit-Level Data'!$D:$D, INDIRECT("C"&amp;ROW()),
          'Unit-Level Data'!$B:$B, INDIRECT("B"&amp;ROW()))</f>
        <v>0</v>
      </c>
      <c r="W194" s="738" t="str" cm="1">
        <f t="array" aca="true" ref="W1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4" s="760" t="str" cm="1">
        <f t="array" aca="true" ref="X1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4" s="733" cm="1">
        <f t="array" aca="true" ref="Y194" ca="true">COUNTIFS('Unit-Level Data'!$L:$L, "&gt;=" &amp; ($X$2 - W$5),
          'Unit-Level Data'!$L:$L, "&lt;" &amp; $X$2,
          'Unit-Level Data'!$D:$D, INDIRECT("C"&amp;ROW()),
          'Unit-Level Data'!$B:$B, INDIRECT("B"&amp;ROW()))</f>
        <v>0</v>
      </c>
      <c r="Z194" s="761"/>
      <c r="AA194" s="735" cm="1">
        <f t="array" aca="true" ref="AA194" ca="true">IFERROR(AVERAGEIFS(
  unit_details[Sqft],
  unit_details[Property Name], INDIRECT("B"&amp;ROW()),
  unit_details[Floorplan Name], INDIRECT("C"&amp;ROW()),
  unit_details[Beds], INDIRECT("D"&amp;ROW()),
  unit_details[Detected Unit Amenities], "*"&amp;$AB$3&amp;"*",
  unit_details[Leased Date], "&gt;=" &amp; ($X$2 - $AD$3)
),0)</f>
        <v>0</v>
      </c>
      <c r="AB194" s="734" cm="1">
        <f t="array" aca="true" ref="AB1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4" s="733" cm="1">
        <f t="array" aca="true" ref="AC194" ca="true">IFERROR(COUNTIFS(
  unit_details[Property Name], INDIRECT("B"&amp;ROW()),
  unit_details[Floorplan Name], INDIRECT("C"&amp;ROW()),
  unit_details[Beds], INDIRECT("D"&amp;ROW()),
  unit_details[Detected Unit Amenities], "*"&amp;$AB$3&amp;"*",
  unit_details[Leased Date], "&gt;=" &amp; ($X$2 - $AD$3)
),0)</f>
        <v>0</v>
      </c>
      <c r="AD194" s="735" cm="1">
        <f t="array" aca="true" ref="AD194" ca="true">IFERROR(AVERAGEIFS(
  unit_details[Sqft],
  unit_details[Property Name], INDIRECT("B"&amp;ROW()),
  unit_details[Floorplan Name], INDIRECT("C"&amp;ROW()),
  unit_details[Beds], INDIRECT("D"&amp;ROW()),
  unit_details[Detected Unit Amenities], "&lt;&gt;*"&amp;$AB$3&amp;"*",
  unit_details[Leased Date], "&gt;=" &amp; ($X$2 - $AD$3)
),0)</f>
        <v>0</v>
      </c>
      <c r="AE194" s="734" cm="1">
        <f t="array" aca="true" ref="AE1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4" s="733" cm="1">
        <f t="array" aca="true" ref="AF194" ca="true">IFERROR(COUNTIFS(
  unit_details[Property Name], INDIRECT("B"&amp;ROW()),
  unit_details[Floorplan Name], INDIRECT("C"&amp;ROW()),
  unit_details[Beds], INDIRECT("D"&amp;ROW()),
  unit_details[Detected Unit Amenities], "&lt;&gt;*"&amp;$AB$3&amp;"*",
  unit_details[Leased Date], "&gt;=" &amp; ($X$2 - $AD$3)
),0)</f>
        <v>0</v>
      </c>
      <c r="AG194" s="735"/>
      <c r="AH194" s="738">
        <f t="shared" ca="true" si="6"/>
        <v>0</v>
      </c>
      <c r="AI194" s="739">
        <f t="shared" ca="true" si="7"/>
        <v>0</v>
      </c>
    </row>
    <row r="195" spans="2:35">
      <c r="B195" s="1"/>
      <c r="C195" s="80"/>
      <c r="E195" s="303"/>
      <c r="F195" s="303"/>
      <c r="J195" s="345"/>
      <c r="K195" s="6"/>
      <c r="M195" s="6"/>
      <c r="N195" s="738" t="str" cm="1">
        <f t="array" aca="true" ref="N195" ca="true">IFERROR(IF($O$3="Chunk Rent",
AVERAGEIFS('Unit-Level Data'!$O:$O,'Unit-Level Data'!$M:$M,TRUE,
          'Unit-Level Data'!$D:$D, INDIRECT("C"&amp;ROW()),
          'Unit-Level Data'!$B:$B, INDIRECT("B"&amp;ROW())),
AVERAGEIFS('Unit-Level Data'!$P:$P,'Unit-Level Data'!$M:$M,TRUE,
          'Unit-Level Data'!$D:$D, INDIRECT("C"&amp;ROW()),
          'Unit-Level Data'!$B:$B, INDIRECT("B"&amp;ROW()))),"")</f>
      </c>
      <c r="O195" s="760" t="str" cm="1">
        <f t="array" aca="true" ref="O195" ca="true">IFERROR(IF($O$3="Chunk Rent",
AVERAGEIFS('Unit-Level Data'!$Q:$Q,'Unit-Level Data'!$M:$M,TRUE,
          'Unit-Level Data'!$D:$D, INDIRECT("C"&amp;ROW()),
          'Unit-Level Data'!$B:$B, INDIRECT("B"&amp;ROW())),
AVERAGEIFS('Unit-Level Data'!$R:$R,'Unit-Level Data'!$M:$M,TRUE,
          'Unit-Level Data'!$D:$D, INDIRECT("C"&amp;ROW()),
          'Unit-Level Data'!$B:$B, INDIRECT("B"&amp;ROW()))),"")</f>
      </c>
      <c r="P195" s="733" cm="1">
        <f t="array" aca="true" ref="P195" ca="true">COUNTIFS('Unit-Level Data'!$M:$M,TRUE,
          'Unit-Level Data'!$D:$D, INDIRECT("C"&amp;ROW()),
          'Unit-Level Data'!$B:$B, INDIRECT("B"&amp;ROW()))</f>
        <v>0</v>
      </c>
      <c r="Q195" s="738" t="str" cm="1">
        <f t="array" aca="true" ref="Q1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5" s="760" t="str" cm="1">
        <f t="array" aca="true" ref="R1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5" s="733" cm="1">
        <f t="array" aca="true" ref="S195" ca="true">COUNTIFS('Unit-Level Data'!$L:$L, "&gt;=" &amp; ($X$2 - Q$5),
          'Unit-Level Data'!$L:$L, "&lt;" &amp; $X$2,
          'Unit-Level Data'!$D:$D, INDIRECT("C"&amp;ROW()),
          'Unit-Level Data'!$B:$B, INDIRECT("B"&amp;ROW()))</f>
        <v>0</v>
      </c>
      <c r="T195" s="738" t="str" cm="1">
        <f t="array" aca="true" ref="T1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5" s="760" t="str" cm="1">
        <f t="array" aca="true" ref="U1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5" s="733" cm="1">
        <f t="array" aca="true" ref="V195" ca="true">COUNTIFS('Unit-Level Data'!$L:$L, "&gt;=" &amp; ($X$2 - T$5),
          'Unit-Level Data'!$L:$L, "&lt;" &amp; $X$2,
          'Unit-Level Data'!$D:$D, INDIRECT("C"&amp;ROW()),
          'Unit-Level Data'!$B:$B, INDIRECT("B"&amp;ROW()))</f>
        <v>0</v>
      </c>
      <c r="W195" s="738" t="str" cm="1">
        <f t="array" aca="true" ref="W1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5" s="760" t="str" cm="1">
        <f t="array" aca="true" ref="X1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5" s="733" cm="1">
        <f t="array" aca="true" ref="Y195" ca="true">COUNTIFS('Unit-Level Data'!$L:$L, "&gt;=" &amp; ($X$2 - W$5),
          'Unit-Level Data'!$L:$L, "&lt;" &amp; $X$2,
          'Unit-Level Data'!$D:$D, INDIRECT("C"&amp;ROW()),
          'Unit-Level Data'!$B:$B, INDIRECT("B"&amp;ROW()))</f>
        <v>0</v>
      </c>
      <c r="Z195" s="761"/>
      <c r="AA195" s="735" cm="1">
        <f t="array" aca="true" ref="AA195" ca="true">IFERROR(AVERAGEIFS(
  unit_details[Sqft],
  unit_details[Property Name], INDIRECT("B"&amp;ROW()),
  unit_details[Floorplan Name], INDIRECT("C"&amp;ROW()),
  unit_details[Beds], INDIRECT("D"&amp;ROW()),
  unit_details[Detected Unit Amenities], "*"&amp;$AB$3&amp;"*",
  unit_details[Leased Date], "&gt;=" &amp; ($X$2 - $AD$3)
),0)</f>
        <v>0</v>
      </c>
      <c r="AB195" s="734" cm="1">
        <f t="array" aca="true" ref="AB1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5" s="733" cm="1">
        <f t="array" aca="true" ref="AC195" ca="true">IFERROR(COUNTIFS(
  unit_details[Property Name], INDIRECT("B"&amp;ROW()),
  unit_details[Floorplan Name], INDIRECT("C"&amp;ROW()),
  unit_details[Beds], INDIRECT("D"&amp;ROW()),
  unit_details[Detected Unit Amenities], "*"&amp;$AB$3&amp;"*",
  unit_details[Leased Date], "&gt;=" &amp; ($X$2 - $AD$3)
),0)</f>
        <v>0</v>
      </c>
      <c r="AD195" s="735" cm="1">
        <f t="array" aca="true" ref="AD195" ca="true">IFERROR(AVERAGEIFS(
  unit_details[Sqft],
  unit_details[Property Name], INDIRECT("B"&amp;ROW()),
  unit_details[Floorplan Name], INDIRECT("C"&amp;ROW()),
  unit_details[Beds], INDIRECT("D"&amp;ROW()),
  unit_details[Detected Unit Amenities], "&lt;&gt;*"&amp;$AB$3&amp;"*",
  unit_details[Leased Date], "&gt;=" &amp; ($X$2 - $AD$3)
),0)</f>
        <v>0</v>
      </c>
      <c r="AE195" s="734" cm="1">
        <f t="array" aca="true" ref="AE1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5" s="733" cm="1">
        <f t="array" aca="true" ref="AF195" ca="true">IFERROR(COUNTIFS(
  unit_details[Property Name], INDIRECT("B"&amp;ROW()),
  unit_details[Floorplan Name], INDIRECT("C"&amp;ROW()),
  unit_details[Beds], INDIRECT("D"&amp;ROW()),
  unit_details[Detected Unit Amenities], "&lt;&gt;*"&amp;$AB$3&amp;"*",
  unit_details[Leased Date], "&gt;=" &amp; ($X$2 - $AD$3)
),0)</f>
        <v>0</v>
      </c>
      <c r="AG195" s="735"/>
      <c r="AH195" s="738">
        <f t="shared" ca="true" si="6"/>
        <v>0</v>
      </c>
      <c r="AI195" s="739">
        <f t="shared" ca="true" si="7"/>
        <v>0</v>
      </c>
    </row>
    <row r="196" spans="2:35">
      <c r="B196" s="1"/>
      <c r="C196" s="80"/>
      <c r="E196" s="303"/>
      <c r="F196" s="303"/>
      <c r="J196" s="345"/>
      <c r="K196" s="6"/>
      <c r="M196" s="6"/>
      <c r="N196" s="738" t="str" cm="1">
        <f t="array" aca="true" ref="N196" ca="true">IFERROR(IF($O$3="Chunk Rent",
AVERAGEIFS('Unit-Level Data'!$O:$O,'Unit-Level Data'!$M:$M,TRUE,
          'Unit-Level Data'!$D:$D, INDIRECT("C"&amp;ROW()),
          'Unit-Level Data'!$B:$B, INDIRECT("B"&amp;ROW())),
AVERAGEIFS('Unit-Level Data'!$P:$P,'Unit-Level Data'!$M:$M,TRUE,
          'Unit-Level Data'!$D:$D, INDIRECT("C"&amp;ROW()),
          'Unit-Level Data'!$B:$B, INDIRECT("B"&amp;ROW()))),"")</f>
      </c>
      <c r="O196" s="760" t="str" cm="1">
        <f t="array" aca="true" ref="O196" ca="true">IFERROR(IF($O$3="Chunk Rent",
AVERAGEIFS('Unit-Level Data'!$Q:$Q,'Unit-Level Data'!$M:$M,TRUE,
          'Unit-Level Data'!$D:$D, INDIRECT("C"&amp;ROW()),
          'Unit-Level Data'!$B:$B, INDIRECT("B"&amp;ROW())),
AVERAGEIFS('Unit-Level Data'!$R:$R,'Unit-Level Data'!$M:$M,TRUE,
          'Unit-Level Data'!$D:$D, INDIRECT("C"&amp;ROW()),
          'Unit-Level Data'!$B:$B, INDIRECT("B"&amp;ROW()))),"")</f>
      </c>
      <c r="P196" s="733" cm="1">
        <f t="array" aca="true" ref="P196" ca="true">COUNTIFS('Unit-Level Data'!$M:$M,TRUE,
          'Unit-Level Data'!$D:$D, INDIRECT("C"&amp;ROW()),
          'Unit-Level Data'!$B:$B, INDIRECT("B"&amp;ROW()))</f>
        <v>0</v>
      </c>
      <c r="Q196" s="738" t="str" cm="1">
        <f t="array" aca="true" ref="Q1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6" s="760" t="str" cm="1">
        <f t="array" aca="true" ref="R1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6" s="733" cm="1">
        <f t="array" aca="true" ref="S196" ca="true">COUNTIFS('Unit-Level Data'!$L:$L, "&gt;=" &amp; ($X$2 - Q$5),
          'Unit-Level Data'!$L:$L, "&lt;" &amp; $X$2,
          'Unit-Level Data'!$D:$D, INDIRECT("C"&amp;ROW()),
          'Unit-Level Data'!$B:$B, INDIRECT("B"&amp;ROW()))</f>
        <v>0</v>
      </c>
      <c r="T196" s="738" t="str" cm="1">
        <f t="array" aca="true" ref="T1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6" s="760" t="str" cm="1">
        <f t="array" aca="true" ref="U1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6" s="733" cm="1">
        <f t="array" aca="true" ref="V196" ca="true">COUNTIFS('Unit-Level Data'!$L:$L, "&gt;=" &amp; ($X$2 - T$5),
          'Unit-Level Data'!$L:$L, "&lt;" &amp; $X$2,
          'Unit-Level Data'!$D:$D, INDIRECT("C"&amp;ROW()),
          'Unit-Level Data'!$B:$B, INDIRECT("B"&amp;ROW()))</f>
        <v>0</v>
      </c>
      <c r="W196" s="738" t="str" cm="1">
        <f t="array" aca="true" ref="W1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6" s="760" t="str" cm="1">
        <f t="array" aca="true" ref="X1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6" s="733" cm="1">
        <f t="array" aca="true" ref="Y196" ca="true">COUNTIFS('Unit-Level Data'!$L:$L, "&gt;=" &amp; ($X$2 - W$5),
          'Unit-Level Data'!$L:$L, "&lt;" &amp; $X$2,
          'Unit-Level Data'!$D:$D, INDIRECT("C"&amp;ROW()),
          'Unit-Level Data'!$B:$B, INDIRECT("B"&amp;ROW()))</f>
        <v>0</v>
      </c>
      <c r="Z196" s="761"/>
      <c r="AA196" s="735" cm="1">
        <f t="array" aca="true" ref="AA196" ca="true">IFERROR(AVERAGEIFS(
  unit_details[Sqft],
  unit_details[Property Name], INDIRECT("B"&amp;ROW()),
  unit_details[Floorplan Name], INDIRECT("C"&amp;ROW()),
  unit_details[Beds], INDIRECT("D"&amp;ROW()),
  unit_details[Detected Unit Amenities], "*"&amp;$AB$3&amp;"*",
  unit_details[Leased Date], "&gt;=" &amp; ($X$2 - $AD$3)
),0)</f>
        <v>0</v>
      </c>
      <c r="AB196" s="734" cm="1">
        <f t="array" aca="true" ref="AB1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6" s="733" cm="1">
        <f t="array" aca="true" ref="AC196" ca="true">IFERROR(COUNTIFS(
  unit_details[Property Name], INDIRECT("B"&amp;ROW()),
  unit_details[Floorplan Name], INDIRECT("C"&amp;ROW()),
  unit_details[Beds], INDIRECT("D"&amp;ROW()),
  unit_details[Detected Unit Amenities], "*"&amp;$AB$3&amp;"*",
  unit_details[Leased Date], "&gt;=" &amp; ($X$2 - $AD$3)
),0)</f>
        <v>0</v>
      </c>
      <c r="AD196" s="735" cm="1">
        <f t="array" aca="true" ref="AD196" ca="true">IFERROR(AVERAGEIFS(
  unit_details[Sqft],
  unit_details[Property Name], INDIRECT("B"&amp;ROW()),
  unit_details[Floorplan Name], INDIRECT("C"&amp;ROW()),
  unit_details[Beds], INDIRECT("D"&amp;ROW()),
  unit_details[Detected Unit Amenities], "&lt;&gt;*"&amp;$AB$3&amp;"*",
  unit_details[Leased Date], "&gt;=" &amp; ($X$2 - $AD$3)
),0)</f>
        <v>0</v>
      </c>
      <c r="AE196" s="734" cm="1">
        <f t="array" aca="true" ref="AE1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6" s="733" cm="1">
        <f t="array" aca="true" ref="AF196" ca="true">IFERROR(COUNTIFS(
  unit_details[Property Name], INDIRECT("B"&amp;ROW()),
  unit_details[Floorplan Name], INDIRECT("C"&amp;ROW()),
  unit_details[Beds], INDIRECT("D"&amp;ROW()),
  unit_details[Detected Unit Amenities], "&lt;&gt;*"&amp;$AB$3&amp;"*",
  unit_details[Leased Date], "&gt;=" &amp; ($X$2 - $AD$3)
),0)</f>
        <v>0</v>
      </c>
      <c r="AG196" s="735"/>
      <c r="AH196" s="738">
        <f t="shared" ca="true" si="6"/>
        <v>0</v>
      </c>
      <c r="AI196" s="739">
        <f t="shared" ca="true" si="7"/>
        <v>0</v>
      </c>
    </row>
    <row r="197" spans="2:35">
      <c r="B197" s="1"/>
      <c r="C197" s="80"/>
      <c r="E197" s="303"/>
      <c r="F197" s="303"/>
      <c r="J197" s="345"/>
      <c r="K197" s="6"/>
      <c r="M197" s="6"/>
      <c r="N197" s="738" t="str" cm="1">
        <f t="array" aca="true" ref="N197" ca="true">IFERROR(IF($O$3="Chunk Rent",
AVERAGEIFS('Unit-Level Data'!$O:$O,'Unit-Level Data'!$M:$M,TRUE,
          'Unit-Level Data'!$D:$D, INDIRECT("C"&amp;ROW()),
          'Unit-Level Data'!$B:$B, INDIRECT("B"&amp;ROW())),
AVERAGEIFS('Unit-Level Data'!$P:$P,'Unit-Level Data'!$M:$M,TRUE,
          'Unit-Level Data'!$D:$D, INDIRECT("C"&amp;ROW()),
          'Unit-Level Data'!$B:$B, INDIRECT("B"&amp;ROW()))),"")</f>
      </c>
      <c r="O197" s="760" t="str" cm="1">
        <f t="array" aca="true" ref="O197" ca="true">IFERROR(IF($O$3="Chunk Rent",
AVERAGEIFS('Unit-Level Data'!$Q:$Q,'Unit-Level Data'!$M:$M,TRUE,
          'Unit-Level Data'!$D:$D, INDIRECT("C"&amp;ROW()),
          'Unit-Level Data'!$B:$B, INDIRECT("B"&amp;ROW())),
AVERAGEIFS('Unit-Level Data'!$R:$R,'Unit-Level Data'!$M:$M,TRUE,
          'Unit-Level Data'!$D:$D, INDIRECT("C"&amp;ROW()),
          'Unit-Level Data'!$B:$B, INDIRECT("B"&amp;ROW()))),"")</f>
      </c>
      <c r="P197" s="733" cm="1">
        <f t="array" aca="true" ref="P197" ca="true">COUNTIFS('Unit-Level Data'!$M:$M,TRUE,
          'Unit-Level Data'!$D:$D, INDIRECT("C"&amp;ROW()),
          'Unit-Level Data'!$B:$B, INDIRECT("B"&amp;ROW()))</f>
        <v>0</v>
      </c>
      <c r="Q197" s="738" t="str" cm="1">
        <f t="array" aca="true" ref="Q1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7" s="760" t="str" cm="1">
        <f t="array" aca="true" ref="R1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7" s="733" cm="1">
        <f t="array" aca="true" ref="S197" ca="true">COUNTIFS('Unit-Level Data'!$L:$L, "&gt;=" &amp; ($X$2 - Q$5),
          'Unit-Level Data'!$L:$L, "&lt;" &amp; $X$2,
          'Unit-Level Data'!$D:$D, INDIRECT("C"&amp;ROW()),
          'Unit-Level Data'!$B:$B, INDIRECT("B"&amp;ROW()))</f>
        <v>0</v>
      </c>
      <c r="T197" s="738" t="str" cm="1">
        <f t="array" aca="true" ref="T1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7" s="760" t="str" cm="1">
        <f t="array" aca="true" ref="U1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7" s="733" cm="1">
        <f t="array" aca="true" ref="V197" ca="true">COUNTIFS('Unit-Level Data'!$L:$L, "&gt;=" &amp; ($X$2 - T$5),
          'Unit-Level Data'!$L:$L, "&lt;" &amp; $X$2,
          'Unit-Level Data'!$D:$D, INDIRECT("C"&amp;ROW()),
          'Unit-Level Data'!$B:$B, INDIRECT("B"&amp;ROW()))</f>
        <v>0</v>
      </c>
      <c r="W197" s="738" t="str" cm="1">
        <f t="array" aca="true" ref="W1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7" s="760" t="str" cm="1">
        <f t="array" aca="true" ref="X1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7" s="733" cm="1">
        <f t="array" aca="true" ref="Y197" ca="true">COUNTIFS('Unit-Level Data'!$L:$L, "&gt;=" &amp; ($X$2 - W$5),
          'Unit-Level Data'!$L:$L, "&lt;" &amp; $X$2,
          'Unit-Level Data'!$D:$D, INDIRECT("C"&amp;ROW()),
          'Unit-Level Data'!$B:$B, INDIRECT("B"&amp;ROW()))</f>
        <v>0</v>
      </c>
      <c r="Z197" s="761"/>
      <c r="AA197" s="735" cm="1">
        <f t="array" aca="true" ref="AA197" ca="true">IFERROR(AVERAGEIFS(
  unit_details[Sqft],
  unit_details[Property Name], INDIRECT("B"&amp;ROW()),
  unit_details[Floorplan Name], INDIRECT("C"&amp;ROW()),
  unit_details[Beds], INDIRECT("D"&amp;ROW()),
  unit_details[Detected Unit Amenities], "*"&amp;$AB$3&amp;"*",
  unit_details[Leased Date], "&gt;=" &amp; ($X$2 - $AD$3)
),0)</f>
        <v>0</v>
      </c>
      <c r="AB197" s="734" cm="1">
        <f t="array" aca="true" ref="AB1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7" s="733" cm="1">
        <f t="array" aca="true" ref="AC197" ca="true">IFERROR(COUNTIFS(
  unit_details[Property Name], INDIRECT("B"&amp;ROW()),
  unit_details[Floorplan Name], INDIRECT("C"&amp;ROW()),
  unit_details[Beds], INDIRECT("D"&amp;ROW()),
  unit_details[Detected Unit Amenities], "*"&amp;$AB$3&amp;"*",
  unit_details[Leased Date], "&gt;=" &amp; ($X$2 - $AD$3)
),0)</f>
        <v>0</v>
      </c>
      <c r="AD197" s="735" cm="1">
        <f t="array" aca="true" ref="AD197" ca="true">IFERROR(AVERAGEIFS(
  unit_details[Sqft],
  unit_details[Property Name], INDIRECT("B"&amp;ROW()),
  unit_details[Floorplan Name], INDIRECT("C"&amp;ROW()),
  unit_details[Beds], INDIRECT("D"&amp;ROW()),
  unit_details[Detected Unit Amenities], "&lt;&gt;*"&amp;$AB$3&amp;"*",
  unit_details[Leased Date], "&gt;=" &amp; ($X$2 - $AD$3)
),0)</f>
        <v>0</v>
      </c>
      <c r="AE197" s="734" cm="1">
        <f t="array" aca="true" ref="AE1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7" s="733" cm="1">
        <f t="array" aca="true" ref="AF197" ca="true">IFERROR(COUNTIFS(
  unit_details[Property Name], INDIRECT("B"&amp;ROW()),
  unit_details[Floorplan Name], INDIRECT("C"&amp;ROW()),
  unit_details[Beds], INDIRECT("D"&amp;ROW()),
  unit_details[Detected Unit Amenities], "&lt;&gt;*"&amp;$AB$3&amp;"*",
  unit_details[Leased Date], "&gt;=" &amp; ($X$2 - $AD$3)
),0)</f>
        <v>0</v>
      </c>
      <c r="AG197" s="735"/>
      <c r="AH197" s="738">
        <f t="shared" ca="true" si="6"/>
        <v>0</v>
      </c>
      <c r="AI197" s="739">
        <f t="shared" ca="true" si="7"/>
        <v>0</v>
      </c>
    </row>
    <row r="198" spans="2:35">
      <c r="B198" s="1"/>
      <c r="C198" s="80"/>
      <c r="E198" s="303"/>
      <c r="F198" s="303"/>
      <c r="J198" s="345"/>
      <c r="K198" s="6"/>
      <c r="M198" s="6"/>
      <c r="N198" s="738" t="str" cm="1">
        <f t="array" aca="true" ref="N198" ca="true">IFERROR(IF($O$3="Chunk Rent",
AVERAGEIFS('Unit-Level Data'!$O:$O,'Unit-Level Data'!$M:$M,TRUE,
          'Unit-Level Data'!$D:$D, INDIRECT("C"&amp;ROW()),
          'Unit-Level Data'!$B:$B, INDIRECT("B"&amp;ROW())),
AVERAGEIFS('Unit-Level Data'!$P:$P,'Unit-Level Data'!$M:$M,TRUE,
          'Unit-Level Data'!$D:$D, INDIRECT("C"&amp;ROW()),
          'Unit-Level Data'!$B:$B, INDIRECT("B"&amp;ROW()))),"")</f>
      </c>
      <c r="O198" s="760" t="str" cm="1">
        <f t="array" aca="true" ref="O198" ca="true">IFERROR(IF($O$3="Chunk Rent",
AVERAGEIFS('Unit-Level Data'!$Q:$Q,'Unit-Level Data'!$M:$M,TRUE,
          'Unit-Level Data'!$D:$D, INDIRECT("C"&amp;ROW()),
          'Unit-Level Data'!$B:$B, INDIRECT("B"&amp;ROW())),
AVERAGEIFS('Unit-Level Data'!$R:$R,'Unit-Level Data'!$M:$M,TRUE,
          'Unit-Level Data'!$D:$D, INDIRECT("C"&amp;ROW()),
          'Unit-Level Data'!$B:$B, INDIRECT("B"&amp;ROW()))),"")</f>
      </c>
      <c r="P198" s="733" cm="1">
        <f t="array" aca="true" ref="P198" ca="true">COUNTIFS('Unit-Level Data'!$M:$M,TRUE,
          'Unit-Level Data'!$D:$D, INDIRECT("C"&amp;ROW()),
          'Unit-Level Data'!$B:$B, INDIRECT("B"&amp;ROW()))</f>
        <v>0</v>
      </c>
      <c r="Q198" s="738" t="str" cm="1">
        <f t="array" aca="true" ref="Q1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8" s="760" t="str" cm="1">
        <f t="array" aca="true" ref="R1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8" s="733" cm="1">
        <f t="array" aca="true" ref="S198" ca="true">COUNTIFS('Unit-Level Data'!$L:$L, "&gt;=" &amp; ($X$2 - Q$5),
          'Unit-Level Data'!$L:$L, "&lt;" &amp; $X$2,
          'Unit-Level Data'!$D:$D, INDIRECT("C"&amp;ROW()),
          'Unit-Level Data'!$B:$B, INDIRECT("B"&amp;ROW()))</f>
        <v>0</v>
      </c>
      <c r="T198" s="738" t="str" cm="1">
        <f t="array" aca="true" ref="T1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8" s="760" t="str" cm="1">
        <f t="array" aca="true" ref="U1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8" s="733" cm="1">
        <f t="array" aca="true" ref="V198" ca="true">COUNTIFS('Unit-Level Data'!$L:$L, "&gt;=" &amp; ($X$2 - T$5),
          'Unit-Level Data'!$L:$L, "&lt;" &amp; $X$2,
          'Unit-Level Data'!$D:$D, INDIRECT("C"&amp;ROW()),
          'Unit-Level Data'!$B:$B, INDIRECT("B"&amp;ROW()))</f>
        <v>0</v>
      </c>
      <c r="W198" s="738" t="str" cm="1">
        <f t="array" aca="true" ref="W1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8" s="760" t="str" cm="1">
        <f t="array" aca="true" ref="X1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8" s="733" cm="1">
        <f t="array" aca="true" ref="Y198" ca="true">COUNTIFS('Unit-Level Data'!$L:$L, "&gt;=" &amp; ($X$2 - W$5),
          'Unit-Level Data'!$L:$L, "&lt;" &amp; $X$2,
          'Unit-Level Data'!$D:$D, INDIRECT("C"&amp;ROW()),
          'Unit-Level Data'!$B:$B, INDIRECT("B"&amp;ROW()))</f>
        <v>0</v>
      </c>
      <c r="Z198" s="761"/>
      <c r="AA198" s="735" cm="1">
        <f t="array" aca="true" ref="AA198" ca="true">IFERROR(AVERAGEIFS(
  unit_details[Sqft],
  unit_details[Property Name], INDIRECT("B"&amp;ROW()),
  unit_details[Floorplan Name], INDIRECT("C"&amp;ROW()),
  unit_details[Beds], INDIRECT("D"&amp;ROW()),
  unit_details[Detected Unit Amenities], "*"&amp;$AB$3&amp;"*",
  unit_details[Leased Date], "&gt;=" &amp; ($X$2 - $AD$3)
),0)</f>
        <v>0</v>
      </c>
      <c r="AB198" s="734" cm="1">
        <f t="array" aca="true" ref="AB1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8" s="733" cm="1">
        <f t="array" aca="true" ref="AC198" ca="true">IFERROR(COUNTIFS(
  unit_details[Property Name], INDIRECT("B"&amp;ROW()),
  unit_details[Floorplan Name], INDIRECT("C"&amp;ROW()),
  unit_details[Beds], INDIRECT("D"&amp;ROW()),
  unit_details[Detected Unit Amenities], "*"&amp;$AB$3&amp;"*",
  unit_details[Leased Date], "&gt;=" &amp; ($X$2 - $AD$3)
),0)</f>
        <v>0</v>
      </c>
      <c r="AD198" s="735" cm="1">
        <f t="array" aca="true" ref="AD198" ca="true">IFERROR(AVERAGEIFS(
  unit_details[Sqft],
  unit_details[Property Name], INDIRECT("B"&amp;ROW()),
  unit_details[Floorplan Name], INDIRECT("C"&amp;ROW()),
  unit_details[Beds], INDIRECT("D"&amp;ROW()),
  unit_details[Detected Unit Amenities], "&lt;&gt;*"&amp;$AB$3&amp;"*",
  unit_details[Leased Date], "&gt;=" &amp; ($X$2 - $AD$3)
),0)</f>
        <v>0</v>
      </c>
      <c r="AE198" s="734" cm="1">
        <f t="array" aca="true" ref="AE1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8" s="733" cm="1">
        <f t="array" aca="true" ref="AF198" ca="true">IFERROR(COUNTIFS(
  unit_details[Property Name], INDIRECT("B"&amp;ROW()),
  unit_details[Floorplan Name], INDIRECT("C"&amp;ROW()),
  unit_details[Beds], INDIRECT("D"&amp;ROW()),
  unit_details[Detected Unit Amenities], "&lt;&gt;*"&amp;$AB$3&amp;"*",
  unit_details[Leased Date], "&gt;=" &amp; ($X$2 - $AD$3)
),0)</f>
        <v>0</v>
      </c>
      <c r="AG198" s="735"/>
      <c r="AH198" s="738">
        <f t="shared" ca="true" si="6"/>
        <v>0</v>
      </c>
      <c r="AI198" s="739">
        <f t="shared" ca="true" si="7"/>
        <v>0</v>
      </c>
    </row>
    <row r="199" spans="2:35">
      <c r="B199" s="1"/>
      <c r="C199" s="80"/>
      <c r="E199" s="303"/>
      <c r="F199" s="303"/>
      <c r="J199" s="345"/>
      <c r="K199" s="6"/>
      <c r="M199" s="6"/>
      <c r="N199" s="738" t="str" cm="1">
        <f t="array" aca="true" ref="N199" ca="true">IFERROR(IF($O$3="Chunk Rent",
AVERAGEIFS('Unit-Level Data'!$O:$O,'Unit-Level Data'!$M:$M,TRUE,
          'Unit-Level Data'!$D:$D, INDIRECT("C"&amp;ROW()),
          'Unit-Level Data'!$B:$B, INDIRECT("B"&amp;ROW())),
AVERAGEIFS('Unit-Level Data'!$P:$P,'Unit-Level Data'!$M:$M,TRUE,
          'Unit-Level Data'!$D:$D, INDIRECT("C"&amp;ROW()),
          'Unit-Level Data'!$B:$B, INDIRECT("B"&amp;ROW()))),"")</f>
      </c>
      <c r="O199" s="760" t="str" cm="1">
        <f t="array" aca="true" ref="O199" ca="true">IFERROR(IF($O$3="Chunk Rent",
AVERAGEIFS('Unit-Level Data'!$Q:$Q,'Unit-Level Data'!$M:$M,TRUE,
          'Unit-Level Data'!$D:$D, INDIRECT("C"&amp;ROW()),
          'Unit-Level Data'!$B:$B, INDIRECT("B"&amp;ROW())),
AVERAGEIFS('Unit-Level Data'!$R:$R,'Unit-Level Data'!$M:$M,TRUE,
          'Unit-Level Data'!$D:$D, INDIRECT("C"&amp;ROW()),
          'Unit-Level Data'!$B:$B, INDIRECT("B"&amp;ROW()))),"")</f>
      </c>
      <c r="P199" s="733" cm="1">
        <f t="array" aca="true" ref="P199" ca="true">COUNTIFS('Unit-Level Data'!$M:$M,TRUE,
          'Unit-Level Data'!$D:$D, INDIRECT("C"&amp;ROW()),
          'Unit-Level Data'!$B:$B, INDIRECT("B"&amp;ROW()))</f>
        <v>0</v>
      </c>
      <c r="Q199" s="738" t="str" cm="1">
        <f t="array" aca="true" ref="Q1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9" s="760" t="str" cm="1">
        <f t="array" aca="true" ref="R1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9" s="733" cm="1">
        <f t="array" aca="true" ref="S199" ca="true">COUNTIFS('Unit-Level Data'!$L:$L, "&gt;=" &amp; ($X$2 - Q$5),
          'Unit-Level Data'!$L:$L, "&lt;" &amp; $X$2,
          'Unit-Level Data'!$D:$D, INDIRECT("C"&amp;ROW()),
          'Unit-Level Data'!$B:$B, INDIRECT("B"&amp;ROW()))</f>
        <v>0</v>
      </c>
      <c r="T199" s="738" t="str" cm="1">
        <f t="array" aca="true" ref="T1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9" s="760" t="str" cm="1">
        <f t="array" aca="true" ref="U1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9" s="733" cm="1">
        <f t="array" aca="true" ref="V199" ca="true">COUNTIFS('Unit-Level Data'!$L:$L, "&gt;=" &amp; ($X$2 - T$5),
          'Unit-Level Data'!$L:$L, "&lt;" &amp; $X$2,
          'Unit-Level Data'!$D:$D, INDIRECT("C"&amp;ROW()),
          'Unit-Level Data'!$B:$B, INDIRECT("B"&amp;ROW()))</f>
        <v>0</v>
      </c>
      <c r="W199" s="738" t="str" cm="1">
        <f t="array" aca="true" ref="W1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9" s="760" t="str" cm="1">
        <f t="array" aca="true" ref="X1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9" s="733" cm="1">
        <f t="array" aca="true" ref="Y199" ca="true">COUNTIFS('Unit-Level Data'!$L:$L, "&gt;=" &amp; ($X$2 - W$5),
          'Unit-Level Data'!$L:$L, "&lt;" &amp; $X$2,
          'Unit-Level Data'!$D:$D, INDIRECT("C"&amp;ROW()),
          'Unit-Level Data'!$B:$B, INDIRECT("B"&amp;ROW()))</f>
        <v>0</v>
      </c>
      <c r="Z199" s="761"/>
      <c r="AA199" s="735" cm="1">
        <f t="array" aca="true" ref="AA199" ca="true">IFERROR(AVERAGEIFS(
  unit_details[Sqft],
  unit_details[Property Name], INDIRECT("B"&amp;ROW()),
  unit_details[Floorplan Name], INDIRECT("C"&amp;ROW()),
  unit_details[Beds], INDIRECT("D"&amp;ROW()),
  unit_details[Detected Unit Amenities], "*"&amp;$AB$3&amp;"*",
  unit_details[Leased Date], "&gt;=" &amp; ($X$2 - $AD$3)
),0)</f>
        <v>0</v>
      </c>
      <c r="AB199" s="734" cm="1">
        <f t="array" aca="true" ref="AB1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9" s="733" cm="1">
        <f t="array" aca="true" ref="AC199" ca="true">IFERROR(COUNTIFS(
  unit_details[Property Name], INDIRECT("B"&amp;ROW()),
  unit_details[Floorplan Name], INDIRECT("C"&amp;ROW()),
  unit_details[Beds], INDIRECT("D"&amp;ROW()),
  unit_details[Detected Unit Amenities], "*"&amp;$AB$3&amp;"*",
  unit_details[Leased Date], "&gt;=" &amp; ($X$2 - $AD$3)
),0)</f>
        <v>0</v>
      </c>
      <c r="AD199" s="735" cm="1">
        <f t="array" aca="true" ref="AD199" ca="true">IFERROR(AVERAGEIFS(
  unit_details[Sqft],
  unit_details[Property Name], INDIRECT("B"&amp;ROW()),
  unit_details[Floorplan Name], INDIRECT("C"&amp;ROW()),
  unit_details[Beds], INDIRECT("D"&amp;ROW()),
  unit_details[Detected Unit Amenities], "&lt;&gt;*"&amp;$AB$3&amp;"*",
  unit_details[Leased Date], "&gt;=" &amp; ($X$2 - $AD$3)
),0)</f>
        <v>0</v>
      </c>
      <c r="AE199" s="734" cm="1">
        <f t="array" aca="true" ref="AE1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9" s="733" cm="1">
        <f t="array" aca="true" ref="AF199" ca="true">IFERROR(COUNTIFS(
  unit_details[Property Name], INDIRECT("B"&amp;ROW()),
  unit_details[Floorplan Name], INDIRECT("C"&amp;ROW()),
  unit_details[Beds], INDIRECT("D"&amp;ROW()),
  unit_details[Detected Unit Amenities], "&lt;&gt;*"&amp;$AB$3&amp;"*",
  unit_details[Leased Date], "&gt;=" &amp; ($X$2 - $AD$3)
),0)</f>
        <v>0</v>
      </c>
      <c r="AG199" s="735"/>
      <c r="AH199" s="738">
        <f t="shared" ca="true" si="6"/>
        <v>0</v>
      </c>
      <c r="AI199" s="739">
        <f t="shared" ca="true" si="7"/>
        <v>0</v>
      </c>
    </row>
    <row r="200" spans="2:35">
      <c r="B200" s="1"/>
      <c r="C200" s="80"/>
      <c r="E200" s="303"/>
      <c r="F200" s="303"/>
      <c r="J200" s="345"/>
      <c r="K200" s="6"/>
      <c r="M200" s="6"/>
      <c r="N200" s="738" t="str" cm="1">
        <f t="array" aca="true" ref="N200" ca="true">IFERROR(IF($O$3="Chunk Rent",
AVERAGEIFS('Unit-Level Data'!$O:$O,'Unit-Level Data'!$M:$M,TRUE,
          'Unit-Level Data'!$D:$D, INDIRECT("C"&amp;ROW()),
          'Unit-Level Data'!$B:$B, INDIRECT("B"&amp;ROW())),
AVERAGEIFS('Unit-Level Data'!$P:$P,'Unit-Level Data'!$M:$M,TRUE,
          'Unit-Level Data'!$D:$D, INDIRECT("C"&amp;ROW()),
          'Unit-Level Data'!$B:$B, INDIRECT("B"&amp;ROW()))),"")</f>
      </c>
      <c r="O200" s="760" t="str" cm="1">
        <f t="array" aca="true" ref="O200" ca="true">IFERROR(IF($O$3="Chunk Rent",
AVERAGEIFS('Unit-Level Data'!$Q:$Q,'Unit-Level Data'!$M:$M,TRUE,
          'Unit-Level Data'!$D:$D, INDIRECT("C"&amp;ROW()),
          'Unit-Level Data'!$B:$B, INDIRECT("B"&amp;ROW())),
AVERAGEIFS('Unit-Level Data'!$R:$R,'Unit-Level Data'!$M:$M,TRUE,
          'Unit-Level Data'!$D:$D, INDIRECT("C"&amp;ROW()),
          'Unit-Level Data'!$B:$B, INDIRECT("B"&amp;ROW()))),"")</f>
      </c>
      <c r="P200" s="733" cm="1">
        <f t="array" aca="true" ref="P200" ca="true">COUNTIFS('Unit-Level Data'!$M:$M,TRUE,
          'Unit-Level Data'!$D:$D, INDIRECT("C"&amp;ROW()),
          'Unit-Level Data'!$B:$B, INDIRECT("B"&amp;ROW()))</f>
        <v>0</v>
      </c>
      <c r="Q200" s="738" t="str" cm="1">
        <f t="array" aca="true" ref="Q2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0" s="760" t="str" cm="1">
        <f t="array" aca="true" ref="R2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0" s="733" cm="1">
        <f t="array" aca="true" ref="S200" ca="true">COUNTIFS('Unit-Level Data'!$L:$L, "&gt;=" &amp; ($X$2 - Q$5),
          'Unit-Level Data'!$L:$L, "&lt;" &amp; $X$2,
          'Unit-Level Data'!$D:$D, INDIRECT("C"&amp;ROW()),
          'Unit-Level Data'!$B:$B, INDIRECT("B"&amp;ROW()))</f>
        <v>0</v>
      </c>
      <c r="T200" s="738" t="str" cm="1">
        <f t="array" aca="true" ref="T2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0" s="760" t="str" cm="1">
        <f t="array" aca="true" ref="U2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0" s="733" cm="1">
        <f t="array" aca="true" ref="V200" ca="true">COUNTIFS('Unit-Level Data'!$L:$L, "&gt;=" &amp; ($X$2 - T$5),
          'Unit-Level Data'!$L:$L, "&lt;" &amp; $X$2,
          'Unit-Level Data'!$D:$D, INDIRECT("C"&amp;ROW()),
          'Unit-Level Data'!$B:$B, INDIRECT("B"&amp;ROW()))</f>
        <v>0</v>
      </c>
      <c r="W200" s="738" t="str" cm="1">
        <f t="array" aca="true" ref="W2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0" s="760" t="str" cm="1">
        <f t="array" aca="true" ref="X2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0" s="733" cm="1">
        <f t="array" aca="true" ref="Y200" ca="true">COUNTIFS('Unit-Level Data'!$L:$L, "&gt;=" &amp; ($X$2 - W$5),
          'Unit-Level Data'!$L:$L, "&lt;" &amp; $X$2,
          'Unit-Level Data'!$D:$D, INDIRECT("C"&amp;ROW()),
          'Unit-Level Data'!$B:$B, INDIRECT("B"&amp;ROW()))</f>
        <v>0</v>
      </c>
      <c r="Z200" s="761"/>
      <c r="AA200" s="735" cm="1">
        <f t="array" aca="true" ref="AA200" ca="true">IFERROR(AVERAGEIFS(
  unit_details[Sqft],
  unit_details[Property Name], INDIRECT("B"&amp;ROW()),
  unit_details[Floorplan Name], INDIRECT("C"&amp;ROW()),
  unit_details[Beds], INDIRECT("D"&amp;ROW()),
  unit_details[Detected Unit Amenities], "*"&amp;$AB$3&amp;"*",
  unit_details[Leased Date], "&gt;=" &amp; ($X$2 - $AD$3)
),0)</f>
        <v>0</v>
      </c>
      <c r="AB200" s="734" cm="1">
        <f t="array" aca="true" ref="AB2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0" s="733" cm="1">
        <f t="array" aca="true" ref="AC200" ca="true">IFERROR(COUNTIFS(
  unit_details[Property Name], INDIRECT("B"&amp;ROW()),
  unit_details[Floorplan Name], INDIRECT("C"&amp;ROW()),
  unit_details[Beds], INDIRECT("D"&amp;ROW()),
  unit_details[Detected Unit Amenities], "*"&amp;$AB$3&amp;"*",
  unit_details[Leased Date], "&gt;=" &amp; ($X$2 - $AD$3)
),0)</f>
        <v>0</v>
      </c>
      <c r="AD200" s="735" cm="1">
        <f t="array" aca="true" ref="AD200" ca="true">IFERROR(AVERAGEIFS(
  unit_details[Sqft],
  unit_details[Property Name], INDIRECT("B"&amp;ROW()),
  unit_details[Floorplan Name], INDIRECT("C"&amp;ROW()),
  unit_details[Beds], INDIRECT("D"&amp;ROW()),
  unit_details[Detected Unit Amenities], "&lt;&gt;*"&amp;$AB$3&amp;"*",
  unit_details[Leased Date], "&gt;=" &amp; ($X$2 - $AD$3)
),0)</f>
        <v>0</v>
      </c>
      <c r="AE200" s="734" cm="1">
        <f t="array" aca="true" ref="AE2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0" s="733" cm="1">
        <f t="array" aca="true" ref="AF200" ca="true">IFERROR(COUNTIFS(
  unit_details[Property Name], INDIRECT("B"&amp;ROW()),
  unit_details[Floorplan Name], INDIRECT("C"&amp;ROW()),
  unit_details[Beds], INDIRECT("D"&amp;ROW()),
  unit_details[Detected Unit Amenities], "&lt;&gt;*"&amp;$AB$3&amp;"*",
  unit_details[Leased Date], "&gt;=" &amp; ($X$2 - $AD$3)
),0)</f>
        <v>0</v>
      </c>
      <c r="AG200" s="735"/>
      <c r="AH200" s="738">
        <f t="shared" ca="true" si="6"/>
        <v>0</v>
      </c>
      <c r="AI200" s="739">
        <f t="shared" ca="true" si="7"/>
        <v>0</v>
      </c>
    </row>
    <row r="201" spans="2:35">
      <c r="B201" s="1"/>
      <c r="C201" s="80"/>
      <c r="E201" s="303"/>
      <c r="F201" s="303"/>
      <c r="J201" s="345"/>
      <c r="K201" s="6"/>
      <c r="M201" s="6"/>
      <c r="N201" s="738" t="str" cm="1">
        <f t="array" aca="true" ref="N201" ca="true">IFERROR(IF($O$3="Chunk Rent",
AVERAGEIFS('Unit-Level Data'!$O:$O,'Unit-Level Data'!$M:$M,TRUE,
          'Unit-Level Data'!$D:$D, INDIRECT("C"&amp;ROW()),
          'Unit-Level Data'!$B:$B, INDIRECT("B"&amp;ROW())),
AVERAGEIFS('Unit-Level Data'!$P:$P,'Unit-Level Data'!$M:$M,TRUE,
          'Unit-Level Data'!$D:$D, INDIRECT("C"&amp;ROW()),
          'Unit-Level Data'!$B:$B, INDIRECT("B"&amp;ROW()))),"")</f>
      </c>
      <c r="O201" s="760" t="str" cm="1">
        <f t="array" aca="true" ref="O201" ca="true">IFERROR(IF($O$3="Chunk Rent",
AVERAGEIFS('Unit-Level Data'!$Q:$Q,'Unit-Level Data'!$M:$M,TRUE,
          'Unit-Level Data'!$D:$D, INDIRECT("C"&amp;ROW()),
          'Unit-Level Data'!$B:$B, INDIRECT("B"&amp;ROW())),
AVERAGEIFS('Unit-Level Data'!$R:$R,'Unit-Level Data'!$M:$M,TRUE,
          'Unit-Level Data'!$D:$D, INDIRECT("C"&amp;ROW()),
          'Unit-Level Data'!$B:$B, INDIRECT("B"&amp;ROW()))),"")</f>
      </c>
      <c r="P201" s="733" cm="1">
        <f t="array" aca="true" ref="P201" ca="true">COUNTIFS('Unit-Level Data'!$M:$M,TRUE,
          'Unit-Level Data'!$D:$D, INDIRECT("C"&amp;ROW()),
          'Unit-Level Data'!$B:$B, INDIRECT("B"&amp;ROW()))</f>
        <v>0</v>
      </c>
      <c r="Q201" s="738" t="str" cm="1">
        <f t="array" aca="true" ref="Q2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1" s="760" t="str" cm="1">
        <f t="array" aca="true" ref="R2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1" s="733" cm="1">
        <f t="array" aca="true" ref="S201" ca="true">COUNTIFS('Unit-Level Data'!$L:$L, "&gt;=" &amp; ($X$2 - Q$5),
          'Unit-Level Data'!$L:$L, "&lt;" &amp; $X$2,
          'Unit-Level Data'!$D:$D, INDIRECT("C"&amp;ROW()),
          'Unit-Level Data'!$B:$B, INDIRECT("B"&amp;ROW()))</f>
        <v>0</v>
      </c>
      <c r="T201" s="738" t="str" cm="1">
        <f t="array" aca="true" ref="T2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1" s="760" t="str" cm="1">
        <f t="array" aca="true" ref="U2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1" s="733" cm="1">
        <f t="array" aca="true" ref="V201" ca="true">COUNTIFS('Unit-Level Data'!$L:$L, "&gt;=" &amp; ($X$2 - T$5),
          'Unit-Level Data'!$L:$L, "&lt;" &amp; $X$2,
          'Unit-Level Data'!$D:$D, INDIRECT("C"&amp;ROW()),
          'Unit-Level Data'!$B:$B, INDIRECT("B"&amp;ROW()))</f>
        <v>0</v>
      </c>
      <c r="W201" s="738" t="str" cm="1">
        <f t="array" aca="true" ref="W2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1" s="760" t="str" cm="1">
        <f t="array" aca="true" ref="X2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1" s="733" cm="1">
        <f t="array" aca="true" ref="Y201" ca="true">COUNTIFS('Unit-Level Data'!$L:$L, "&gt;=" &amp; ($X$2 - W$5),
          'Unit-Level Data'!$L:$L, "&lt;" &amp; $X$2,
          'Unit-Level Data'!$D:$D, INDIRECT("C"&amp;ROW()),
          'Unit-Level Data'!$B:$B, INDIRECT("B"&amp;ROW()))</f>
        <v>0</v>
      </c>
      <c r="Z201" s="761"/>
      <c r="AA201" s="735" cm="1">
        <f t="array" aca="true" ref="AA201" ca="true">IFERROR(AVERAGEIFS(
  unit_details[Sqft],
  unit_details[Property Name], INDIRECT("B"&amp;ROW()),
  unit_details[Floorplan Name], INDIRECT("C"&amp;ROW()),
  unit_details[Beds], INDIRECT("D"&amp;ROW()),
  unit_details[Detected Unit Amenities], "*"&amp;$AB$3&amp;"*",
  unit_details[Leased Date], "&gt;=" &amp; ($X$2 - $AD$3)
),0)</f>
        <v>0</v>
      </c>
      <c r="AB201" s="734" cm="1">
        <f t="array" aca="true" ref="AB2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1" s="733" cm="1">
        <f t="array" aca="true" ref="AC201" ca="true">IFERROR(COUNTIFS(
  unit_details[Property Name], INDIRECT("B"&amp;ROW()),
  unit_details[Floorplan Name], INDIRECT("C"&amp;ROW()),
  unit_details[Beds], INDIRECT("D"&amp;ROW()),
  unit_details[Detected Unit Amenities], "*"&amp;$AB$3&amp;"*",
  unit_details[Leased Date], "&gt;=" &amp; ($X$2 - $AD$3)
),0)</f>
        <v>0</v>
      </c>
      <c r="AD201" s="735" cm="1">
        <f t="array" aca="true" ref="AD201" ca="true">IFERROR(AVERAGEIFS(
  unit_details[Sqft],
  unit_details[Property Name], INDIRECT("B"&amp;ROW()),
  unit_details[Floorplan Name], INDIRECT("C"&amp;ROW()),
  unit_details[Beds], INDIRECT("D"&amp;ROW()),
  unit_details[Detected Unit Amenities], "&lt;&gt;*"&amp;$AB$3&amp;"*",
  unit_details[Leased Date], "&gt;=" &amp; ($X$2 - $AD$3)
),0)</f>
        <v>0</v>
      </c>
      <c r="AE201" s="734" cm="1">
        <f t="array" aca="true" ref="AE2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1" s="733" cm="1">
        <f t="array" aca="true" ref="AF201" ca="true">IFERROR(COUNTIFS(
  unit_details[Property Name], INDIRECT("B"&amp;ROW()),
  unit_details[Floorplan Name], INDIRECT("C"&amp;ROW()),
  unit_details[Beds], INDIRECT("D"&amp;ROW()),
  unit_details[Detected Unit Amenities], "&lt;&gt;*"&amp;$AB$3&amp;"*",
  unit_details[Leased Date], "&gt;=" &amp; ($X$2 - $AD$3)
),0)</f>
        <v>0</v>
      </c>
      <c r="AG201" s="735"/>
      <c r="AH201" s="738">
        <f t="shared" ref="AH201:AH264" ca="true" si="8">IF(OR(AB201=0,AE201=0),0,IFERROR(AB201-AE201,0))</f>
        <v>0</v>
      </c>
      <c r="AI201" s="739">
        <f t="shared" ref="AI201:AI264" ca="true" si="9">IFERROR(AH201/AE201,0)</f>
        <v>0</v>
      </c>
    </row>
    <row r="202" spans="2:35">
      <c r="B202" s="1"/>
      <c r="C202" s="80"/>
      <c r="E202" s="303"/>
      <c r="F202" s="303"/>
      <c r="J202" s="345"/>
      <c r="K202" s="6"/>
      <c r="M202" s="6"/>
      <c r="N202" s="738" t="str" cm="1">
        <f t="array" aca="true" ref="N202" ca="true">IFERROR(IF($O$3="Chunk Rent",
AVERAGEIFS('Unit-Level Data'!$O:$O,'Unit-Level Data'!$M:$M,TRUE,
          'Unit-Level Data'!$D:$D, INDIRECT("C"&amp;ROW()),
          'Unit-Level Data'!$B:$B, INDIRECT("B"&amp;ROW())),
AVERAGEIFS('Unit-Level Data'!$P:$P,'Unit-Level Data'!$M:$M,TRUE,
          'Unit-Level Data'!$D:$D, INDIRECT("C"&amp;ROW()),
          'Unit-Level Data'!$B:$B, INDIRECT("B"&amp;ROW()))),"")</f>
      </c>
      <c r="O202" s="760" t="str" cm="1">
        <f t="array" aca="true" ref="O202" ca="true">IFERROR(IF($O$3="Chunk Rent",
AVERAGEIFS('Unit-Level Data'!$Q:$Q,'Unit-Level Data'!$M:$M,TRUE,
          'Unit-Level Data'!$D:$D, INDIRECT("C"&amp;ROW()),
          'Unit-Level Data'!$B:$B, INDIRECT("B"&amp;ROW())),
AVERAGEIFS('Unit-Level Data'!$R:$R,'Unit-Level Data'!$M:$M,TRUE,
          'Unit-Level Data'!$D:$D, INDIRECT("C"&amp;ROW()),
          'Unit-Level Data'!$B:$B, INDIRECT("B"&amp;ROW()))),"")</f>
      </c>
      <c r="P202" s="733" cm="1">
        <f t="array" aca="true" ref="P202" ca="true">COUNTIFS('Unit-Level Data'!$M:$M,TRUE,
          'Unit-Level Data'!$D:$D, INDIRECT("C"&amp;ROW()),
          'Unit-Level Data'!$B:$B, INDIRECT("B"&amp;ROW()))</f>
        <v>0</v>
      </c>
      <c r="Q202" s="738" t="str" cm="1">
        <f t="array" aca="true" ref="Q2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2" s="760" t="str" cm="1">
        <f t="array" aca="true" ref="R2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2" s="733" cm="1">
        <f t="array" aca="true" ref="S202" ca="true">COUNTIFS('Unit-Level Data'!$L:$L, "&gt;=" &amp; ($X$2 - Q$5),
          'Unit-Level Data'!$L:$L, "&lt;" &amp; $X$2,
          'Unit-Level Data'!$D:$D, INDIRECT("C"&amp;ROW()),
          'Unit-Level Data'!$B:$B, INDIRECT("B"&amp;ROW()))</f>
        <v>0</v>
      </c>
      <c r="T202" s="738" t="str" cm="1">
        <f t="array" aca="true" ref="T2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2" s="760" t="str" cm="1">
        <f t="array" aca="true" ref="U2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2" s="733" cm="1">
        <f t="array" aca="true" ref="V202" ca="true">COUNTIFS('Unit-Level Data'!$L:$L, "&gt;=" &amp; ($X$2 - T$5),
          'Unit-Level Data'!$L:$L, "&lt;" &amp; $X$2,
          'Unit-Level Data'!$D:$D, INDIRECT("C"&amp;ROW()),
          'Unit-Level Data'!$B:$B, INDIRECT("B"&amp;ROW()))</f>
        <v>0</v>
      </c>
      <c r="W202" s="738" t="str" cm="1">
        <f t="array" aca="true" ref="W2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2" s="760" t="str" cm="1">
        <f t="array" aca="true" ref="X2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2" s="733" cm="1">
        <f t="array" aca="true" ref="Y202" ca="true">COUNTIFS('Unit-Level Data'!$L:$L, "&gt;=" &amp; ($X$2 - W$5),
          'Unit-Level Data'!$L:$L, "&lt;" &amp; $X$2,
          'Unit-Level Data'!$D:$D, INDIRECT("C"&amp;ROW()),
          'Unit-Level Data'!$B:$B, INDIRECT("B"&amp;ROW()))</f>
        <v>0</v>
      </c>
      <c r="Z202" s="761"/>
      <c r="AA202" s="735" cm="1">
        <f t="array" aca="true" ref="AA202" ca="true">IFERROR(AVERAGEIFS(
  unit_details[Sqft],
  unit_details[Property Name], INDIRECT("B"&amp;ROW()),
  unit_details[Floorplan Name], INDIRECT("C"&amp;ROW()),
  unit_details[Beds], INDIRECT("D"&amp;ROW()),
  unit_details[Detected Unit Amenities], "*"&amp;$AB$3&amp;"*",
  unit_details[Leased Date], "&gt;=" &amp; ($X$2 - $AD$3)
),0)</f>
        <v>0</v>
      </c>
      <c r="AB202" s="734" cm="1">
        <f t="array" aca="true" ref="AB2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2" s="733" cm="1">
        <f t="array" aca="true" ref="AC202" ca="true">IFERROR(COUNTIFS(
  unit_details[Property Name], INDIRECT("B"&amp;ROW()),
  unit_details[Floorplan Name], INDIRECT("C"&amp;ROW()),
  unit_details[Beds], INDIRECT("D"&amp;ROW()),
  unit_details[Detected Unit Amenities], "*"&amp;$AB$3&amp;"*",
  unit_details[Leased Date], "&gt;=" &amp; ($X$2 - $AD$3)
),0)</f>
        <v>0</v>
      </c>
      <c r="AD202" s="735" cm="1">
        <f t="array" aca="true" ref="AD202" ca="true">IFERROR(AVERAGEIFS(
  unit_details[Sqft],
  unit_details[Property Name], INDIRECT("B"&amp;ROW()),
  unit_details[Floorplan Name], INDIRECT("C"&amp;ROW()),
  unit_details[Beds], INDIRECT("D"&amp;ROW()),
  unit_details[Detected Unit Amenities], "&lt;&gt;*"&amp;$AB$3&amp;"*",
  unit_details[Leased Date], "&gt;=" &amp; ($X$2 - $AD$3)
),0)</f>
        <v>0</v>
      </c>
      <c r="AE202" s="734" cm="1">
        <f t="array" aca="true" ref="AE2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2" s="733" cm="1">
        <f t="array" aca="true" ref="AF202" ca="true">IFERROR(COUNTIFS(
  unit_details[Property Name], INDIRECT("B"&amp;ROW()),
  unit_details[Floorplan Name], INDIRECT("C"&amp;ROW()),
  unit_details[Beds], INDIRECT("D"&amp;ROW()),
  unit_details[Detected Unit Amenities], "&lt;&gt;*"&amp;$AB$3&amp;"*",
  unit_details[Leased Date], "&gt;=" &amp; ($X$2 - $AD$3)
),0)</f>
        <v>0</v>
      </c>
      <c r="AG202" s="735"/>
      <c r="AH202" s="738">
        <f t="shared" ca="true" si="8"/>
        <v>0</v>
      </c>
      <c r="AI202" s="739">
        <f t="shared" ca="true" si="9"/>
        <v>0</v>
      </c>
    </row>
    <row r="203" spans="2:35">
      <c r="B203" s="1"/>
      <c r="C203" s="80"/>
      <c r="E203" s="303"/>
      <c r="F203" s="303"/>
      <c r="J203" s="345"/>
      <c r="K203" s="6"/>
      <c r="M203" s="6"/>
      <c r="N203" s="738" t="str" cm="1">
        <f t="array" aca="true" ref="N203" ca="true">IFERROR(IF($O$3="Chunk Rent",
AVERAGEIFS('Unit-Level Data'!$O:$O,'Unit-Level Data'!$M:$M,TRUE,
          'Unit-Level Data'!$D:$D, INDIRECT("C"&amp;ROW()),
          'Unit-Level Data'!$B:$B, INDIRECT("B"&amp;ROW())),
AVERAGEIFS('Unit-Level Data'!$P:$P,'Unit-Level Data'!$M:$M,TRUE,
          'Unit-Level Data'!$D:$D, INDIRECT("C"&amp;ROW()),
          'Unit-Level Data'!$B:$B, INDIRECT("B"&amp;ROW()))),"")</f>
      </c>
      <c r="O203" s="760" t="str" cm="1">
        <f t="array" aca="true" ref="O203" ca="true">IFERROR(IF($O$3="Chunk Rent",
AVERAGEIFS('Unit-Level Data'!$Q:$Q,'Unit-Level Data'!$M:$M,TRUE,
          'Unit-Level Data'!$D:$D, INDIRECT("C"&amp;ROW()),
          'Unit-Level Data'!$B:$B, INDIRECT("B"&amp;ROW())),
AVERAGEIFS('Unit-Level Data'!$R:$R,'Unit-Level Data'!$M:$M,TRUE,
          'Unit-Level Data'!$D:$D, INDIRECT("C"&amp;ROW()),
          'Unit-Level Data'!$B:$B, INDIRECT("B"&amp;ROW()))),"")</f>
      </c>
      <c r="P203" s="733" cm="1">
        <f t="array" aca="true" ref="P203" ca="true">COUNTIFS('Unit-Level Data'!$M:$M,TRUE,
          'Unit-Level Data'!$D:$D, INDIRECT("C"&amp;ROW()),
          'Unit-Level Data'!$B:$B, INDIRECT("B"&amp;ROW()))</f>
        <v>0</v>
      </c>
      <c r="Q203" s="738" t="str" cm="1">
        <f t="array" aca="true" ref="Q2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3" s="760" t="str" cm="1">
        <f t="array" aca="true" ref="R2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3" s="733" cm="1">
        <f t="array" aca="true" ref="S203" ca="true">COUNTIFS('Unit-Level Data'!$L:$L, "&gt;=" &amp; ($X$2 - Q$5),
          'Unit-Level Data'!$L:$L, "&lt;" &amp; $X$2,
          'Unit-Level Data'!$D:$D, INDIRECT("C"&amp;ROW()),
          'Unit-Level Data'!$B:$B, INDIRECT("B"&amp;ROW()))</f>
        <v>0</v>
      </c>
      <c r="T203" s="738" t="str" cm="1">
        <f t="array" aca="true" ref="T2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3" s="760" t="str" cm="1">
        <f t="array" aca="true" ref="U2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3" s="733" cm="1">
        <f t="array" aca="true" ref="V203" ca="true">COUNTIFS('Unit-Level Data'!$L:$L, "&gt;=" &amp; ($X$2 - T$5),
          'Unit-Level Data'!$L:$L, "&lt;" &amp; $X$2,
          'Unit-Level Data'!$D:$D, INDIRECT("C"&amp;ROW()),
          'Unit-Level Data'!$B:$B, INDIRECT("B"&amp;ROW()))</f>
        <v>0</v>
      </c>
      <c r="W203" s="738" t="str" cm="1">
        <f t="array" aca="true" ref="W2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3" s="760" t="str" cm="1">
        <f t="array" aca="true" ref="X2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3" s="733" cm="1">
        <f t="array" aca="true" ref="Y203" ca="true">COUNTIFS('Unit-Level Data'!$L:$L, "&gt;=" &amp; ($X$2 - W$5),
          'Unit-Level Data'!$L:$L, "&lt;" &amp; $X$2,
          'Unit-Level Data'!$D:$D, INDIRECT("C"&amp;ROW()),
          'Unit-Level Data'!$B:$B, INDIRECT("B"&amp;ROW()))</f>
        <v>0</v>
      </c>
      <c r="Z203" s="761"/>
      <c r="AA203" s="735" cm="1">
        <f t="array" aca="true" ref="AA203" ca="true">IFERROR(AVERAGEIFS(
  unit_details[Sqft],
  unit_details[Property Name], INDIRECT("B"&amp;ROW()),
  unit_details[Floorplan Name], INDIRECT("C"&amp;ROW()),
  unit_details[Beds], INDIRECT("D"&amp;ROW()),
  unit_details[Detected Unit Amenities], "*"&amp;$AB$3&amp;"*",
  unit_details[Leased Date], "&gt;=" &amp; ($X$2 - $AD$3)
),0)</f>
        <v>0</v>
      </c>
      <c r="AB203" s="734" cm="1">
        <f t="array" aca="true" ref="AB2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3" s="733" cm="1">
        <f t="array" aca="true" ref="AC203" ca="true">IFERROR(COUNTIFS(
  unit_details[Property Name], INDIRECT("B"&amp;ROW()),
  unit_details[Floorplan Name], INDIRECT("C"&amp;ROW()),
  unit_details[Beds], INDIRECT("D"&amp;ROW()),
  unit_details[Detected Unit Amenities], "*"&amp;$AB$3&amp;"*",
  unit_details[Leased Date], "&gt;=" &amp; ($X$2 - $AD$3)
),0)</f>
        <v>0</v>
      </c>
      <c r="AD203" s="735" cm="1">
        <f t="array" aca="true" ref="AD203" ca="true">IFERROR(AVERAGEIFS(
  unit_details[Sqft],
  unit_details[Property Name], INDIRECT("B"&amp;ROW()),
  unit_details[Floorplan Name], INDIRECT("C"&amp;ROW()),
  unit_details[Beds], INDIRECT("D"&amp;ROW()),
  unit_details[Detected Unit Amenities], "&lt;&gt;*"&amp;$AB$3&amp;"*",
  unit_details[Leased Date], "&gt;=" &amp; ($X$2 - $AD$3)
),0)</f>
        <v>0</v>
      </c>
      <c r="AE203" s="734" cm="1">
        <f t="array" aca="true" ref="AE2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3" s="733" cm="1">
        <f t="array" aca="true" ref="AF203" ca="true">IFERROR(COUNTIFS(
  unit_details[Property Name], INDIRECT("B"&amp;ROW()),
  unit_details[Floorplan Name], INDIRECT("C"&amp;ROW()),
  unit_details[Beds], INDIRECT("D"&amp;ROW()),
  unit_details[Detected Unit Amenities], "&lt;&gt;*"&amp;$AB$3&amp;"*",
  unit_details[Leased Date], "&gt;=" &amp; ($X$2 - $AD$3)
),0)</f>
        <v>0</v>
      </c>
      <c r="AG203" s="735"/>
      <c r="AH203" s="738">
        <f t="shared" ca="true" si="8"/>
        <v>0</v>
      </c>
      <c r="AI203" s="739">
        <f t="shared" ca="true" si="9"/>
        <v>0</v>
      </c>
    </row>
    <row r="204" spans="2:35">
      <c r="B204" s="1"/>
      <c r="C204" s="80"/>
      <c r="E204" s="303"/>
      <c r="F204" s="303"/>
      <c r="J204" s="345"/>
      <c r="K204" s="6"/>
      <c r="M204" s="6"/>
      <c r="N204" s="738" t="str" cm="1">
        <f t="array" aca="true" ref="N204" ca="true">IFERROR(IF($O$3="Chunk Rent",
AVERAGEIFS('Unit-Level Data'!$O:$O,'Unit-Level Data'!$M:$M,TRUE,
          'Unit-Level Data'!$D:$D, INDIRECT("C"&amp;ROW()),
          'Unit-Level Data'!$B:$B, INDIRECT("B"&amp;ROW())),
AVERAGEIFS('Unit-Level Data'!$P:$P,'Unit-Level Data'!$M:$M,TRUE,
          'Unit-Level Data'!$D:$D, INDIRECT("C"&amp;ROW()),
          'Unit-Level Data'!$B:$B, INDIRECT("B"&amp;ROW()))),"")</f>
      </c>
      <c r="O204" s="760" t="str" cm="1">
        <f t="array" aca="true" ref="O204" ca="true">IFERROR(IF($O$3="Chunk Rent",
AVERAGEIFS('Unit-Level Data'!$Q:$Q,'Unit-Level Data'!$M:$M,TRUE,
          'Unit-Level Data'!$D:$D, INDIRECT("C"&amp;ROW()),
          'Unit-Level Data'!$B:$B, INDIRECT("B"&amp;ROW())),
AVERAGEIFS('Unit-Level Data'!$R:$R,'Unit-Level Data'!$M:$M,TRUE,
          'Unit-Level Data'!$D:$D, INDIRECT("C"&amp;ROW()),
          'Unit-Level Data'!$B:$B, INDIRECT("B"&amp;ROW()))),"")</f>
      </c>
      <c r="P204" s="733" cm="1">
        <f t="array" aca="true" ref="P204" ca="true">COUNTIFS('Unit-Level Data'!$M:$M,TRUE,
          'Unit-Level Data'!$D:$D, INDIRECT("C"&amp;ROW()),
          'Unit-Level Data'!$B:$B, INDIRECT("B"&amp;ROW()))</f>
        <v>0</v>
      </c>
      <c r="Q204" s="738" t="str" cm="1">
        <f t="array" aca="true" ref="Q2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4" s="760" t="str" cm="1">
        <f t="array" aca="true" ref="R2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4" s="733" cm="1">
        <f t="array" aca="true" ref="S204" ca="true">COUNTIFS('Unit-Level Data'!$L:$L, "&gt;=" &amp; ($X$2 - Q$5),
          'Unit-Level Data'!$L:$L, "&lt;" &amp; $X$2,
          'Unit-Level Data'!$D:$D, INDIRECT("C"&amp;ROW()),
          'Unit-Level Data'!$B:$B, INDIRECT("B"&amp;ROW()))</f>
        <v>0</v>
      </c>
      <c r="T204" s="738" t="str" cm="1">
        <f t="array" aca="true" ref="T2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4" s="760" t="str" cm="1">
        <f t="array" aca="true" ref="U2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4" s="733" cm="1">
        <f t="array" aca="true" ref="V204" ca="true">COUNTIFS('Unit-Level Data'!$L:$L, "&gt;=" &amp; ($X$2 - T$5),
          'Unit-Level Data'!$L:$L, "&lt;" &amp; $X$2,
          'Unit-Level Data'!$D:$D, INDIRECT("C"&amp;ROW()),
          'Unit-Level Data'!$B:$B, INDIRECT("B"&amp;ROW()))</f>
        <v>0</v>
      </c>
      <c r="W204" s="738" t="str" cm="1">
        <f t="array" aca="true" ref="W2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4" s="760" t="str" cm="1">
        <f t="array" aca="true" ref="X2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4" s="733" cm="1">
        <f t="array" aca="true" ref="Y204" ca="true">COUNTIFS('Unit-Level Data'!$L:$L, "&gt;=" &amp; ($X$2 - W$5),
          'Unit-Level Data'!$L:$L, "&lt;" &amp; $X$2,
          'Unit-Level Data'!$D:$D, INDIRECT("C"&amp;ROW()),
          'Unit-Level Data'!$B:$B, INDIRECT("B"&amp;ROW()))</f>
        <v>0</v>
      </c>
      <c r="Z204" s="761"/>
      <c r="AA204" s="735" cm="1">
        <f t="array" aca="true" ref="AA204" ca="true">IFERROR(AVERAGEIFS(
  unit_details[Sqft],
  unit_details[Property Name], INDIRECT("B"&amp;ROW()),
  unit_details[Floorplan Name], INDIRECT("C"&amp;ROW()),
  unit_details[Beds], INDIRECT("D"&amp;ROW()),
  unit_details[Detected Unit Amenities], "*"&amp;$AB$3&amp;"*",
  unit_details[Leased Date], "&gt;=" &amp; ($X$2 - $AD$3)
),0)</f>
        <v>0</v>
      </c>
      <c r="AB204" s="734" cm="1">
        <f t="array" aca="true" ref="AB2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4" s="733" cm="1">
        <f t="array" aca="true" ref="AC204" ca="true">IFERROR(COUNTIFS(
  unit_details[Property Name], INDIRECT("B"&amp;ROW()),
  unit_details[Floorplan Name], INDIRECT("C"&amp;ROW()),
  unit_details[Beds], INDIRECT("D"&amp;ROW()),
  unit_details[Detected Unit Amenities], "*"&amp;$AB$3&amp;"*",
  unit_details[Leased Date], "&gt;=" &amp; ($X$2 - $AD$3)
),0)</f>
        <v>0</v>
      </c>
      <c r="AD204" s="735" cm="1">
        <f t="array" aca="true" ref="AD204" ca="true">IFERROR(AVERAGEIFS(
  unit_details[Sqft],
  unit_details[Property Name], INDIRECT("B"&amp;ROW()),
  unit_details[Floorplan Name], INDIRECT("C"&amp;ROW()),
  unit_details[Beds], INDIRECT("D"&amp;ROW()),
  unit_details[Detected Unit Amenities], "&lt;&gt;*"&amp;$AB$3&amp;"*",
  unit_details[Leased Date], "&gt;=" &amp; ($X$2 - $AD$3)
),0)</f>
        <v>0</v>
      </c>
      <c r="AE204" s="734" cm="1">
        <f t="array" aca="true" ref="AE2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4" s="733" cm="1">
        <f t="array" aca="true" ref="AF204" ca="true">IFERROR(COUNTIFS(
  unit_details[Property Name], INDIRECT("B"&amp;ROW()),
  unit_details[Floorplan Name], INDIRECT("C"&amp;ROW()),
  unit_details[Beds], INDIRECT("D"&amp;ROW()),
  unit_details[Detected Unit Amenities], "&lt;&gt;*"&amp;$AB$3&amp;"*",
  unit_details[Leased Date], "&gt;=" &amp; ($X$2 - $AD$3)
),0)</f>
        <v>0</v>
      </c>
      <c r="AG204" s="735"/>
      <c r="AH204" s="738">
        <f t="shared" ca="true" si="8"/>
        <v>0</v>
      </c>
      <c r="AI204" s="739">
        <f t="shared" ca="true" si="9"/>
        <v>0</v>
      </c>
    </row>
    <row r="205" spans="2:35">
      <c r="B205" s="1"/>
      <c r="C205" s="80"/>
      <c r="E205" s="303"/>
      <c r="F205" s="303"/>
      <c r="J205" s="345"/>
      <c r="K205" s="6"/>
      <c r="M205" s="6"/>
      <c r="N205" s="738" t="str" cm="1">
        <f t="array" aca="true" ref="N205" ca="true">IFERROR(IF($O$3="Chunk Rent",
AVERAGEIFS('Unit-Level Data'!$O:$O,'Unit-Level Data'!$M:$M,TRUE,
          'Unit-Level Data'!$D:$D, INDIRECT("C"&amp;ROW()),
          'Unit-Level Data'!$B:$B, INDIRECT("B"&amp;ROW())),
AVERAGEIFS('Unit-Level Data'!$P:$P,'Unit-Level Data'!$M:$M,TRUE,
          'Unit-Level Data'!$D:$D, INDIRECT("C"&amp;ROW()),
          'Unit-Level Data'!$B:$B, INDIRECT("B"&amp;ROW()))),"")</f>
      </c>
      <c r="O205" s="760" t="str" cm="1">
        <f t="array" aca="true" ref="O205" ca="true">IFERROR(IF($O$3="Chunk Rent",
AVERAGEIFS('Unit-Level Data'!$Q:$Q,'Unit-Level Data'!$M:$M,TRUE,
          'Unit-Level Data'!$D:$D, INDIRECT("C"&amp;ROW()),
          'Unit-Level Data'!$B:$B, INDIRECT("B"&amp;ROW())),
AVERAGEIFS('Unit-Level Data'!$R:$R,'Unit-Level Data'!$M:$M,TRUE,
          'Unit-Level Data'!$D:$D, INDIRECT("C"&amp;ROW()),
          'Unit-Level Data'!$B:$B, INDIRECT("B"&amp;ROW()))),"")</f>
      </c>
      <c r="P205" s="733" cm="1">
        <f t="array" aca="true" ref="P205" ca="true">COUNTIFS('Unit-Level Data'!$M:$M,TRUE,
          'Unit-Level Data'!$D:$D, INDIRECT("C"&amp;ROW()),
          'Unit-Level Data'!$B:$B, INDIRECT("B"&amp;ROW()))</f>
        <v>0</v>
      </c>
      <c r="Q205" s="738" t="str" cm="1">
        <f t="array" aca="true" ref="Q2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5" s="760" t="str" cm="1">
        <f t="array" aca="true" ref="R2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5" s="733" cm="1">
        <f t="array" aca="true" ref="S205" ca="true">COUNTIFS('Unit-Level Data'!$L:$L, "&gt;=" &amp; ($X$2 - Q$5),
          'Unit-Level Data'!$L:$L, "&lt;" &amp; $X$2,
          'Unit-Level Data'!$D:$D, INDIRECT("C"&amp;ROW()),
          'Unit-Level Data'!$B:$B, INDIRECT("B"&amp;ROW()))</f>
        <v>0</v>
      </c>
      <c r="T205" s="738" t="str" cm="1">
        <f t="array" aca="true" ref="T2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5" s="760" t="str" cm="1">
        <f t="array" aca="true" ref="U2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5" s="733" cm="1">
        <f t="array" aca="true" ref="V205" ca="true">COUNTIFS('Unit-Level Data'!$L:$L, "&gt;=" &amp; ($X$2 - T$5),
          'Unit-Level Data'!$L:$L, "&lt;" &amp; $X$2,
          'Unit-Level Data'!$D:$D, INDIRECT("C"&amp;ROW()),
          'Unit-Level Data'!$B:$B, INDIRECT("B"&amp;ROW()))</f>
        <v>0</v>
      </c>
      <c r="W205" s="738" t="str" cm="1">
        <f t="array" aca="true" ref="W2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5" s="760" t="str" cm="1">
        <f t="array" aca="true" ref="X2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5" s="733" cm="1">
        <f t="array" aca="true" ref="Y205" ca="true">COUNTIFS('Unit-Level Data'!$L:$L, "&gt;=" &amp; ($X$2 - W$5),
          'Unit-Level Data'!$L:$L, "&lt;" &amp; $X$2,
          'Unit-Level Data'!$D:$D, INDIRECT("C"&amp;ROW()),
          'Unit-Level Data'!$B:$B, INDIRECT("B"&amp;ROW()))</f>
        <v>0</v>
      </c>
      <c r="Z205" s="761"/>
      <c r="AA205" s="735" cm="1">
        <f t="array" aca="true" ref="AA205" ca="true">IFERROR(AVERAGEIFS(
  unit_details[Sqft],
  unit_details[Property Name], INDIRECT("B"&amp;ROW()),
  unit_details[Floorplan Name], INDIRECT("C"&amp;ROW()),
  unit_details[Beds], INDIRECT("D"&amp;ROW()),
  unit_details[Detected Unit Amenities], "*"&amp;$AB$3&amp;"*",
  unit_details[Leased Date], "&gt;=" &amp; ($X$2 - $AD$3)
),0)</f>
        <v>0</v>
      </c>
      <c r="AB205" s="734" cm="1">
        <f t="array" aca="true" ref="AB2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5" s="733" cm="1">
        <f t="array" aca="true" ref="AC205" ca="true">IFERROR(COUNTIFS(
  unit_details[Property Name], INDIRECT("B"&amp;ROW()),
  unit_details[Floorplan Name], INDIRECT("C"&amp;ROW()),
  unit_details[Beds], INDIRECT("D"&amp;ROW()),
  unit_details[Detected Unit Amenities], "*"&amp;$AB$3&amp;"*",
  unit_details[Leased Date], "&gt;=" &amp; ($X$2 - $AD$3)
),0)</f>
        <v>0</v>
      </c>
      <c r="AD205" s="735" cm="1">
        <f t="array" aca="true" ref="AD205" ca="true">IFERROR(AVERAGEIFS(
  unit_details[Sqft],
  unit_details[Property Name], INDIRECT("B"&amp;ROW()),
  unit_details[Floorplan Name], INDIRECT("C"&amp;ROW()),
  unit_details[Beds], INDIRECT("D"&amp;ROW()),
  unit_details[Detected Unit Amenities], "&lt;&gt;*"&amp;$AB$3&amp;"*",
  unit_details[Leased Date], "&gt;=" &amp; ($X$2 - $AD$3)
),0)</f>
        <v>0</v>
      </c>
      <c r="AE205" s="734" cm="1">
        <f t="array" aca="true" ref="AE2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5" s="733" cm="1">
        <f t="array" aca="true" ref="AF205" ca="true">IFERROR(COUNTIFS(
  unit_details[Property Name], INDIRECT("B"&amp;ROW()),
  unit_details[Floorplan Name], INDIRECT("C"&amp;ROW()),
  unit_details[Beds], INDIRECT("D"&amp;ROW()),
  unit_details[Detected Unit Amenities], "&lt;&gt;*"&amp;$AB$3&amp;"*",
  unit_details[Leased Date], "&gt;=" &amp; ($X$2 - $AD$3)
),0)</f>
        <v>0</v>
      </c>
      <c r="AG205" s="735"/>
      <c r="AH205" s="738">
        <f t="shared" ca="true" si="8"/>
        <v>0</v>
      </c>
      <c r="AI205" s="739">
        <f t="shared" ca="true" si="9"/>
        <v>0</v>
      </c>
    </row>
    <row r="206" spans="2:35">
      <c r="B206" s="1"/>
      <c r="C206" s="80"/>
      <c r="E206" s="303"/>
      <c r="F206" s="303"/>
      <c r="J206" s="345"/>
      <c r="K206" s="6"/>
      <c r="M206" s="6"/>
      <c r="N206" s="738" t="str" cm="1">
        <f t="array" aca="true" ref="N206" ca="true">IFERROR(IF($O$3="Chunk Rent",
AVERAGEIFS('Unit-Level Data'!$O:$O,'Unit-Level Data'!$M:$M,TRUE,
          'Unit-Level Data'!$D:$D, INDIRECT("C"&amp;ROW()),
          'Unit-Level Data'!$B:$B, INDIRECT("B"&amp;ROW())),
AVERAGEIFS('Unit-Level Data'!$P:$P,'Unit-Level Data'!$M:$M,TRUE,
          'Unit-Level Data'!$D:$D, INDIRECT("C"&amp;ROW()),
          'Unit-Level Data'!$B:$B, INDIRECT("B"&amp;ROW()))),"")</f>
      </c>
      <c r="O206" s="760" t="str" cm="1">
        <f t="array" aca="true" ref="O206" ca="true">IFERROR(IF($O$3="Chunk Rent",
AVERAGEIFS('Unit-Level Data'!$Q:$Q,'Unit-Level Data'!$M:$M,TRUE,
          'Unit-Level Data'!$D:$D, INDIRECT("C"&amp;ROW()),
          'Unit-Level Data'!$B:$B, INDIRECT("B"&amp;ROW())),
AVERAGEIFS('Unit-Level Data'!$R:$R,'Unit-Level Data'!$M:$M,TRUE,
          'Unit-Level Data'!$D:$D, INDIRECT("C"&amp;ROW()),
          'Unit-Level Data'!$B:$B, INDIRECT("B"&amp;ROW()))),"")</f>
      </c>
      <c r="P206" s="733" cm="1">
        <f t="array" aca="true" ref="P206" ca="true">COUNTIFS('Unit-Level Data'!$M:$M,TRUE,
          'Unit-Level Data'!$D:$D, INDIRECT("C"&amp;ROW()),
          'Unit-Level Data'!$B:$B, INDIRECT("B"&amp;ROW()))</f>
        <v>0</v>
      </c>
      <c r="Q206" s="738" t="str" cm="1">
        <f t="array" aca="true" ref="Q2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6" s="760" t="str" cm="1">
        <f t="array" aca="true" ref="R2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6" s="733" cm="1">
        <f t="array" aca="true" ref="S206" ca="true">COUNTIFS('Unit-Level Data'!$L:$L, "&gt;=" &amp; ($X$2 - Q$5),
          'Unit-Level Data'!$L:$L, "&lt;" &amp; $X$2,
          'Unit-Level Data'!$D:$D, INDIRECT("C"&amp;ROW()),
          'Unit-Level Data'!$B:$B, INDIRECT("B"&amp;ROW()))</f>
        <v>0</v>
      </c>
      <c r="T206" s="738" t="str" cm="1">
        <f t="array" aca="true" ref="T2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6" s="760" t="str" cm="1">
        <f t="array" aca="true" ref="U2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6" s="733" cm="1">
        <f t="array" aca="true" ref="V206" ca="true">COUNTIFS('Unit-Level Data'!$L:$L, "&gt;=" &amp; ($X$2 - T$5),
          'Unit-Level Data'!$L:$L, "&lt;" &amp; $X$2,
          'Unit-Level Data'!$D:$D, INDIRECT("C"&amp;ROW()),
          'Unit-Level Data'!$B:$B, INDIRECT("B"&amp;ROW()))</f>
        <v>0</v>
      </c>
      <c r="W206" s="738" t="str" cm="1">
        <f t="array" aca="true" ref="W2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6" s="760" t="str" cm="1">
        <f t="array" aca="true" ref="X2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6" s="733" cm="1">
        <f t="array" aca="true" ref="Y206" ca="true">COUNTIFS('Unit-Level Data'!$L:$L, "&gt;=" &amp; ($X$2 - W$5),
          'Unit-Level Data'!$L:$L, "&lt;" &amp; $X$2,
          'Unit-Level Data'!$D:$D, INDIRECT("C"&amp;ROW()),
          'Unit-Level Data'!$B:$B, INDIRECT("B"&amp;ROW()))</f>
        <v>0</v>
      </c>
      <c r="Z206" s="761"/>
      <c r="AA206" s="735" cm="1">
        <f t="array" aca="true" ref="AA206" ca="true">IFERROR(AVERAGEIFS(
  unit_details[Sqft],
  unit_details[Property Name], INDIRECT("B"&amp;ROW()),
  unit_details[Floorplan Name], INDIRECT("C"&amp;ROW()),
  unit_details[Beds], INDIRECT("D"&amp;ROW()),
  unit_details[Detected Unit Amenities], "*"&amp;$AB$3&amp;"*",
  unit_details[Leased Date], "&gt;=" &amp; ($X$2 - $AD$3)
),0)</f>
        <v>0</v>
      </c>
      <c r="AB206" s="734" cm="1">
        <f t="array" aca="true" ref="AB2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6" s="733" cm="1">
        <f t="array" aca="true" ref="AC206" ca="true">IFERROR(COUNTIFS(
  unit_details[Property Name], INDIRECT("B"&amp;ROW()),
  unit_details[Floorplan Name], INDIRECT("C"&amp;ROW()),
  unit_details[Beds], INDIRECT("D"&amp;ROW()),
  unit_details[Detected Unit Amenities], "*"&amp;$AB$3&amp;"*",
  unit_details[Leased Date], "&gt;=" &amp; ($X$2 - $AD$3)
),0)</f>
        <v>0</v>
      </c>
      <c r="AD206" s="735" cm="1">
        <f t="array" aca="true" ref="AD206" ca="true">IFERROR(AVERAGEIFS(
  unit_details[Sqft],
  unit_details[Property Name], INDIRECT("B"&amp;ROW()),
  unit_details[Floorplan Name], INDIRECT("C"&amp;ROW()),
  unit_details[Beds], INDIRECT("D"&amp;ROW()),
  unit_details[Detected Unit Amenities], "&lt;&gt;*"&amp;$AB$3&amp;"*",
  unit_details[Leased Date], "&gt;=" &amp; ($X$2 - $AD$3)
),0)</f>
        <v>0</v>
      </c>
      <c r="AE206" s="734" cm="1">
        <f t="array" aca="true" ref="AE2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6" s="733" cm="1">
        <f t="array" aca="true" ref="AF206" ca="true">IFERROR(COUNTIFS(
  unit_details[Property Name], INDIRECT("B"&amp;ROW()),
  unit_details[Floorplan Name], INDIRECT("C"&amp;ROW()),
  unit_details[Beds], INDIRECT("D"&amp;ROW()),
  unit_details[Detected Unit Amenities], "&lt;&gt;*"&amp;$AB$3&amp;"*",
  unit_details[Leased Date], "&gt;=" &amp; ($X$2 - $AD$3)
),0)</f>
        <v>0</v>
      </c>
      <c r="AG206" s="735"/>
      <c r="AH206" s="738">
        <f t="shared" ca="true" si="8"/>
        <v>0</v>
      </c>
      <c r="AI206" s="739">
        <f t="shared" ca="true" si="9"/>
        <v>0</v>
      </c>
    </row>
    <row r="207" spans="2:35">
      <c r="B207" s="1"/>
      <c r="C207" s="80"/>
      <c r="E207" s="303"/>
      <c r="F207" s="303"/>
      <c r="J207" s="345"/>
      <c r="K207" s="6"/>
      <c r="M207" s="6"/>
      <c r="N207" s="738" t="str" cm="1">
        <f t="array" aca="true" ref="N207" ca="true">IFERROR(IF($O$3="Chunk Rent",
AVERAGEIFS('Unit-Level Data'!$O:$O,'Unit-Level Data'!$M:$M,TRUE,
          'Unit-Level Data'!$D:$D, INDIRECT("C"&amp;ROW()),
          'Unit-Level Data'!$B:$B, INDIRECT("B"&amp;ROW())),
AVERAGEIFS('Unit-Level Data'!$P:$P,'Unit-Level Data'!$M:$M,TRUE,
          'Unit-Level Data'!$D:$D, INDIRECT("C"&amp;ROW()),
          'Unit-Level Data'!$B:$B, INDIRECT("B"&amp;ROW()))),"")</f>
      </c>
      <c r="O207" s="760" t="str" cm="1">
        <f t="array" aca="true" ref="O207" ca="true">IFERROR(IF($O$3="Chunk Rent",
AVERAGEIFS('Unit-Level Data'!$Q:$Q,'Unit-Level Data'!$M:$M,TRUE,
          'Unit-Level Data'!$D:$D, INDIRECT("C"&amp;ROW()),
          'Unit-Level Data'!$B:$B, INDIRECT("B"&amp;ROW())),
AVERAGEIFS('Unit-Level Data'!$R:$R,'Unit-Level Data'!$M:$M,TRUE,
          'Unit-Level Data'!$D:$D, INDIRECT("C"&amp;ROW()),
          'Unit-Level Data'!$B:$B, INDIRECT("B"&amp;ROW()))),"")</f>
      </c>
      <c r="P207" s="733" cm="1">
        <f t="array" aca="true" ref="P207" ca="true">COUNTIFS('Unit-Level Data'!$M:$M,TRUE,
          'Unit-Level Data'!$D:$D, INDIRECT("C"&amp;ROW()),
          'Unit-Level Data'!$B:$B, INDIRECT("B"&amp;ROW()))</f>
        <v>0</v>
      </c>
      <c r="Q207" s="738" t="str" cm="1">
        <f t="array" aca="true" ref="Q2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7" s="760" t="str" cm="1">
        <f t="array" aca="true" ref="R2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7" s="733" cm="1">
        <f t="array" aca="true" ref="S207" ca="true">COUNTIFS('Unit-Level Data'!$L:$L, "&gt;=" &amp; ($X$2 - Q$5),
          'Unit-Level Data'!$L:$L, "&lt;" &amp; $X$2,
          'Unit-Level Data'!$D:$D, INDIRECT("C"&amp;ROW()),
          'Unit-Level Data'!$B:$B, INDIRECT("B"&amp;ROW()))</f>
        <v>0</v>
      </c>
      <c r="T207" s="738" t="str" cm="1">
        <f t="array" aca="true" ref="T2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7" s="760" t="str" cm="1">
        <f t="array" aca="true" ref="U2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7" s="733" cm="1">
        <f t="array" aca="true" ref="V207" ca="true">COUNTIFS('Unit-Level Data'!$L:$L, "&gt;=" &amp; ($X$2 - T$5),
          'Unit-Level Data'!$L:$L, "&lt;" &amp; $X$2,
          'Unit-Level Data'!$D:$D, INDIRECT("C"&amp;ROW()),
          'Unit-Level Data'!$B:$B, INDIRECT("B"&amp;ROW()))</f>
        <v>0</v>
      </c>
      <c r="W207" s="738" t="str" cm="1">
        <f t="array" aca="true" ref="W2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7" s="760" t="str" cm="1">
        <f t="array" aca="true" ref="X2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7" s="733" cm="1">
        <f t="array" aca="true" ref="Y207" ca="true">COUNTIFS('Unit-Level Data'!$L:$L, "&gt;=" &amp; ($X$2 - W$5),
          'Unit-Level Data'!$L:$L, "&lt;" &amp; $X$2,
          'Unit-Level Data'!$D:$D, INDIRECT("C"&amp;ROW()),
          'Unit-Level Data'!$B:$B, INDIRECT("B"&amp;ROW()))</f>
        <v>0</v>
      </c>
      <c r="Z207" s="761"/>
      <c r="AA207" s="735" cm="1">
        <f t="array" aca="true" ref="AA207" ca="true">IFERROR(AVERAGEIFS(
  unit_details[Sqft],
  unit_details[Property Name], INDIRECT("B"&amp;ROW()),
  unit_details[Floorplan Name], INDIRECT("C"&amp;ROW()),
  unit_details[Beds], INDIRECT("D"&amp;ROW()),
  unit_details[Detected Unit Amenities], "*"&amp;$AB$3&amp;"*",
  unit_details[Leased Date], "&gt;=" &amp; ($X$2 - $AD$3)
),0)</f>
        <v>0</v>
      </c>
      <c r="AB207" s="734" cm="1">
        <f t="array" aca="true" ref="AB2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7" s="733" cm="1">
        <f t="array" aca="true" ref="AC207" ca="true">IFERROR(COUNTIFS(
  unit_details[Property Name], INDIRECT("B"&amp;ROW()),
  unit_details[Floorplan Name], INDIRECT("C"&amp;ROW()),
  unit_details[Beds], INDIRECT("D"&amp;ROW()),
  unit_details[Detected Unit Amenities], "*"&amp;$AB$3&amp;"*",
  unit_details[Leased Date], "&gt;=" &amp; ($X$2 - $AD$3)
),0)</f>
        <v>0</v>
      </c>
      <c r="AD207" s="735" cm="1">
        <f t="array" aca="true" ref="AD207" ca="true">IFERROR(AVERAGEIFS(
  unit_details[Sqft],
  unit_details[Property Name], INDIRECT("B"&amp;ROW()),
  unit_details[Floorplan Name], INDIRECT("C"&amp;ROW()),
  unit_details[Beds], INDIRECT("D"&amp;ROW()),
  unit_details[Detected Unit Amenities], "&lt;&gt;*"&amp;$AB$3&amp;"*",
  unit_details[Leased Date], "&gt;=" &amp; ($X$2 - $AD$3)
),0)</f>
        <v>0</v>
      </c>
      <c r="AE207" s="734" cm="1">
        <f t="array" aca="true" ref="AE2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7" s="733" cm="1">
        <f t="array" aca="true" ref="AF207" ca="true">IFERROR(COUNTIFS(
  unit_details[Property Name], INDIRECT("B"&amp;ROW()),
  unit_details[Floorplan Name], INDIRECT("C"&amp;ROW()),
  unit_details[Beds], INDIRECT("D"&amp;ROW()),
  unit_details[Detected Unit Amenities], "&lt;&gt;*"&amp;$AB$3&amp;"*",
  unit_details[Leased Date], "&gt;=" &amp; ($X$2 - $AD$3)
),0)</f>
        <v>0</v>
      </c>
      <c r="AG207" s="735"/>
      <c r="AH207" s="738">
        <f t="shared" ca="true" si="8"/>
        <v>0</v>
      </c>
      <c r="AI207" s="739">
        <f t="shared" ca="true" si="9"/>
        <v>0</v>
      </c>
    </row>
    <row r="208" spans="2:35">
      <c r="B208" s="1"/>
      <c r="C208" s="80"/>
      <c r="E208" s="303"/>
      <c r="F208" s="303"/>
      <c r="J208" s="345"/>
      <c r="K208" s="6"/>
      <c r="M208" s="6"/>
      <c r="N208" s="738" t="str" cm="1">
        <f t="array" aca="true" ref="N208" ca="true">IFERROR(IF($O$3="Chunk Rent",
AVERAGEIFS('Unit-Level Data'!$O:$O,'Unit-Level Data'!$M:$M,TRUE,
          'Unit-Level Data'!$D:$D, INDIRECT("C"&amp;ROW()),
          'Unit-Level Data'!$B:$B, INDIRECT("B"&amp;ROW())),
AVERAGEIFS('Unit-Level Data'!$P:$P,'Unit-Level Data'!$M:$M,TRUE,
          'Unit-Level Data'!$D:$D, INDIRECT("C"&amp;ROW()),
          'Unit-Level Data'!$B:$B, INDIRECT("B"&amp;ROW()))),"")</f>
      </c>
      <c r="O208" s="760" t="str" cm="1">
        <f t="array" aca="true" ref="O208" ca="true">IFERROR(IF($O$3="Chunk Rent",
AVERAGEIFS('Unit-Level Data'!$Q:$Q,'Unit-Level Data'!$M:$M,TRUE,
          'Unit-Level Data'!$D:$D, INDIRECT("C"&amp;ROW()),
          'Unit-Level Data'!$B:$B, INDIRECT("B"&amp;ROW())),
AVERAGEIFS('Unit-Level Data'!$R:$R,'Unit-Level Data'!$M:$M,TRUE,
          'Unit-Level Data'!$D:$D, INDIRECT("C"&amp;ROW()),
          'Unit-Level Data'!$B:$B, INDIRECT("B"&amp;ROW()))),"")</f>
      </c>
      <c r="P208" s="733" cm="1">
        <f t="array" aca="true" ref="P208" ca="true">COUNTIFS('Unit-Level Data'!$M:$M,TRUE,
          'Unit-Level Data'!$D:$D, INDIRECT("C"&amp;ROW()),
          'Unit-Level Data'!$B:$B, INDIRECT("B"&amp;ROW()))</f>
        <v>0</v>
      </c>
      <c r="Q208" s="738" t="str" cm="1">
        <f t="array" aca="true" ref="Q2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8" s="760" t="str" cm="1">
        <f t="array" aca="true" ref="R2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8" s="733" cm="1">
        <f t="array" aca="true" ref="S208" ca="true">COUNTIFS('Unit-Level Data'!$L:$L, "&gt;=" &amp; ($X$2 - Q$5),
          'Unit-Level Data'!$L:$L, "&lt;" &amp; $X$2,
          'Unit-Level Data'!$D:$D, INDIRECT("C"&amp;ROW()),
          'Unit-Level Data'!$B:$B, INDIRECT("B"&amp;ROW()))</f>
        <v>0</v>
      </c>
      <c r="T208" s="738" t="str" cm="1">
        <f t="array" aca="true" ref="T2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8" s="760" t="str" cm="1">
        <f t="array" aca="true" ref="U2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8" s="733" cm="1">
        <f t="array" aca="true" ref="V208" ca="true">COUNTIFS('Unit-Level Data'!$L:$L, "&gt;=" &amp; ($X$2 - T$5),
          'Unit-Level Data'!$L:$L, "&lt;" &amp; $X$2,
          'Unit-Level Data'!$D:$D, INDIRECT("C"&amp;ROW()),
          'Unit-Level Data'!$B:$B, INDIRECT("B"&amp;ROW()))</f>
        <v>0</v>
      </c>
      <c r="W208" s="738" t="str" cm="1">
        <f t="array" aca="true" ref="W2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8" s="760" t="str" cm="1">
        <f t="array" aca="true" ref="X2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8" s="733" cm="1">
        <f t="array" aca="true" ref="Y208" ca="true">COUNTIFS('Unit-Level Data'!$L:$L, "&gt;=" &amp; ($X$2 - W$5),
          'Unit-Level Data'!$L:$L, "&lt;" &amp; $X$2,
          'Unit-Level Data'!$D:$D, INDIRECT("C"&amp;ROW()),
          'Unit-Level Data'!$B:$B, INDIRECT("B"&amp;ROW()))</f>
        <v>0</v>
      </c>
      <c r="Z208" s="761"/>
      <c r="AA208" s="735" cm="1">
        <f t="array" aca="true" ref="AA208" ca="true">IFERROR(AVERAGEIFS(
  unit_details[Sqft],
  unit_details[Property Name], INDIRECT("B"&amp;ROW()),
  unit_details[Floorplan Name], INDIRECT("C"&amp;ROW()),
  unit_details[Beds], INDIRECT("D"&amp;ROW()),
  unit_details[Detected Unit Amenities], "*"&amp;$AB$3&amp;"*",
  unit_details[Leased Date], "&gt;=" &amp; ($X$2 - $AD$3)
),0)</f>
        <v>0</v>
      </c>
      <c r="AB208" s="734" cm="1">
        <f t="array" aca="true" ref="AB2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8" s="733" cm="1">
        <f t="array" aca="true" ref="AC208" ca="true">IFERROR(COUNTIFS(
  unit_details[Property Name], INDIRECT("B"&amp;ROW()),
  unit_details[Floorplan Name], INDIRECT("C"&amp;ROW()),
  unit_details[Beds], INDIRECT("D"&amp;ROW()),
  unit_details[Detected Unit Amenities], "*"&amp;$AB$3&amp;"*",
  unit_details[Leased Date], "&gt;=" &amp; ($X$2 - $AD$3)
),0)</f>
        <v>0</v>
      </c>
      <c r="AD208" s="735" cm="1">
        <f t="array" aca="true" ref="AD208" ca="true">IFERROR(AVERAGEIFS(
  unit_details[Sqft],
  unit_details[Property Name], INDIRECT("B"&amp;ROW()),
  unit_details[Floorplan Name], INDIRECT("C"&amp;ROW()),
  unit_details[Beds], INDIRECT("D"&amp;ROW()),
  unit_details[Detected Unit Amenities], "&lt;&gt;*"&amp;$AB$3&amp;"*",
  unit_details[Leased Date], "&gt;=" &amp; ($X$2 - $AD$3)
),0)</f>
        <v>0</v>
      </c>
      <c r="AE208" s="734" cm="1">
        <f t="array" aca="true" ref="AE2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8" s="733" cm="1">
        <f t="array" aca="true" ref="AF208" ca="true">IFERROR(COUNTIFS(
  unit_details[Property Name], INDIRECT("B"&amp;ROW()),
  unit_details[Floorplan Name], INDIRECT("C"&amp;ROW()),
  unit_details[Beds], INDIRECT("D"&amp;ROW()),
  unit_details[Detected Unit Amenities], "&lt;&gt;*"&amp;$AB$3&amp;"*",
  unit_details[Leased Date], "&gt;=" &amp; ($X$2 - $AD$3)
),0)</f>
        <v>0</v>
      </c>
      <c r="AG208" s="735"/>
      <c r="AH208" s="738">
        <f t="shared" ca="true" si="8"/>
        <v>0</v>
      </c>
      <c r="AI208" s="739">
        <f t="shared" ca="true" si="9"/>
        <v>0</v>
      </c>
    </row>
    <row r="209" spans="2:35">
      <c r="B209" s="1"/>
      <c r="C209" s="80"/>
      <c r="E209" s="303"/>
      <c r="F209" s="303"/>
      <c r="J209" s="345"/>
      <c r="K209" s="6"/>
      <c r="M209" s="6"/>
      <c r="N209" s="738" t="str" cm="1">
        <f t="array" aca="true" ref="N209" ca="true">IFERROR(IF($O$3="Chunk Rent",
AVERAGEIFS('Unit-Level Data'!$O:$O,'Unit-Level Data'!$M:$M,TRUE,
          'Unit-Level Data'!$D:$D, INDIRECT("C"&amp;ROW()),
          'Unit-Level Data'!$B:$B, INDIRECT("B"&amp;ROW())),
AVERAGEIFS('Unit-Level Data'!$P:$P,'Unit-Level Data'!$M:$M,TRUE,
          'Unit-Level Data'!$D:$D, INDIRECT("C"&amp;ROW()),
          'Unit-Level Data'!$B:$B, INDIRECT("B"&amp;ROW()))),"")</f>
      </c>
      <c r="O209" s="760" t="str" cm="1">
        <f t="array" aca="true" ref="O209" ca="true">IFERROR(IF($O$3="Chunk Rent",
AVERAGEIFS('Unit-Level Data'!$Q:$Q,'Unit-Level Data'!$M:$M,TRUE,
          'Unit-Level Data'!$D:$D, INDIRECT("C"&amp;ROW()),
          'Unit-Level Data'!$B:$B, INDIRECT("B"&amp;ROW())),
AVERAGEIFS('Unit-Level Data'!$R:$R,'Unit-Level Data'!$M:$M,TRUE,
          'Unit-Level Data'!$D:$D, INDIRECT("C"&amp;ROW()),
          'Unit-Level Data'!$B:$B, INDIRECT("B"&amp;ROW()))),"")</f>
      </c>
      <c r="P209" s="733" cm="1">
        <f t="array" aca="true" ref="P209" ca="true">COUNTIFS('Unit-Level Data'!$M:$M,TRUE,
          'Unit-Level Data'!$D:$D, INDIRECT("C"&amp;ROW()),
          'Unit-Level Data'!$B:$B, INDIRECT("B"&amp;ROW()))</f>
        <v>0</v>
      </c>
      <c r="Q209" s="738" t="str" cm="1">
        <f t="array" aca="true" ref="Q2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9" s="760" t="str" cm="1">
        <f t="array" aca="true" ref="R2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9" s="733" cm="1">
        <f t="array" aca="true" ref="S209" ca="true">COUNTIFS('Unit-Level Data'!$L:$L, "&gt;=" &amp; ($X$2 - Q$5),
          'Unit-Level Data'!$L:$L, "&lt;" &amp; $X$2,
          'Unit-Level Data'!$D:$D, INDIRECT("C"&amp;ROW()),
          'Unit-Level Data'!$B:$B, INDIRECT("B"&amp;ROW()))</f>
        <v>0</v>
      </c>
      <c r="T209" s="738" t="str" cm="1">
        <f t="array" aca="true" ref="T2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9" s="760" t="str" cm="1">
        <f t="array" aca="true" ref="U2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9" s="733" cm="1">
        <f t="array" aca="true" ref="V209" ca="true">COUNTIFS('Unit-Level Data'!$L:$L, "&gt;=" &amp; ($X$2 - T$5),
          'Unit-Level Data'!$L:$L, "&lt;" &amp; $X$2,
          'Unit-Level Data'!$D:$D, INDIRECT("C"&amp;ROW()),
          'Unit-Level Data'!$B:$B, INDIRECT("B"&amp;ROW()))</f>
        <v>0</v>
      </c>
      <c r="W209" s="738" t="str" cm="1">
        <f t="array" aca="true" ref="W2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9" s="760" t="str" cm="1">
        <f t="array" aca="true" ref="X2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9" s="733" cm="1">
        <f t="array" aca="true" ref="Y209" ca="true">COUNTIFS('Unit-Level Data'!$L:$L, "&gt;=" &amp; ($X$2 - W$5),
          'Unit-Level Data'!$L:$L, "&lt;" &amp; $X$2,
          'Unit-Level Data'!$D:$D, INDIRECT("C"&amp;ROW()),
          'Unit-Level Data'!$B:$B, INDIRECT("B"&amp;ROW()))</f>
        <v>0</v>
      </c>
      <c r="Z209" s="761"/>
      <c r="AA209" s="735" cm="1">
        <f t="array" aca="true" ref="AA209" ca="true">IFERROR(AVERAGEIFS(
  unit_details[Sqft],
  unit_details[Property Name], INDIRECT("B"&amp;ROW()),
  unit_details[Floorplan Name], INDIRECT("C"&amp;ROW()),
  unit_details[Beds], INDIRECT("D"&amp;ROW()),
  unit_details[Detected Unit Amenities], "*"&amp;$AB$3&amp;"*",
  unit_details[Leased Date], "&gt;=" &amp; ($X$2 - $AD$3)
),0)</f>
        <v>0</v>
      </c>
      <c r="AB209" s="734" cm="1">
        <f t="array" aca="true" ref="AB2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9" s="733" cm="1">
        <f t="array" aca="true" ref="AC209" ca="true">IFERROR(COUNTIFS(
  unit_details[Property Name], INDIRECT("B"&amp;ROW()),
  unit_details[Floorplan Name], INDIRECT("C"&amp;ROW()),
  unit_details[Beds], INDIRECT("D"&amp;ROW()),
  unit_details[Detected Unit Amenities], "*"&amp;$AB$3&amp;"*",
  unit_details[Leased Date], "&gt;=" &amp; ($X$2 - $AD$3)
),0)</f>
        <v>0</v>
      </c>
      <c r="AD209" s="735" cm="1">
        <f t="array" aca="true" ref="AD209" ca="true">IFERROR(AVERAGEIFS(
  unit_details[Sqft],
  unit_details[Property Name], INDIRECT("B"&amp;ROW()),
  unit_details[Floorplan Name], INDIRECT("C"&amp;ROW()),
  unit_details[Beds], INDIRECT("D"&amp;ROW()),
  unit_details[Detected Unit Amenities], "&lt;&gt;*"&amp;$AB$3&amp;"*",
  unit_details[Leased Date], "&gt;=" &amp; ($X$2 - $AD$3)
),0)</f>
        <v>0</v>
      </c>
      <c r="AE209" s="734" cm="1">
        <f t="array" aca="true" ref="AE2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9" s="733" cm="1">
        <f t="array" aca="true" ref="AF209" ca="true">IFERROR(COUNTIFS(
  unit_details[Property Name], INDIRECT("B"&amp;ROW()),
  unit_details[Floorplan Name], INDIRECT("C"&amp;ROW()),
  unit_details[Beds], INDIRECT("D"&amp;ROW()),
  unit_details[Detected Unit Amenities], "&lt;&gt;*"&amp;$AB$3&amp;"*",
  unit_details[Leased Date], "&gt;=" &amp; ($X$2 - $AD$3)
),0)</f>
        <v>0</v>
      </c>
      <c r="AG209" s="735"/>
      <c r="AH209" s="738">
        <f t="shared" ca="true" si="8"/>
        <v>0</v>
      </c>
      <c r="AI209" s="739">
        <f t="shared" ca="true" si="9"/>
        <v>0</v>
      </c>
    </row>
    <row r="210" spans="2:35">
      <c r="B210" s="1"/>
      <c r="C210" s="80"/>
      <c r="E210" s="303"/>
      <c r="F210" s="303"/>
      <c r="J210" s="345"/>
      <c r="K210" s="6"/>
      <c r="M210" s="6"/>
      <c r="N210" s="738" t="str" cm="1">
        <f t="array" aca="true" ref="N210" ca="true">IFERROR(IF($O$3="Chunk Rent",
AVERAGEIFS('Unit-Level Data'!$O:$O,'Unit-Level Data'!$M:$M,TRUE,
          'Unit-Level Data'!$D:$D, INDIRECT("C"&amp;ROW()),
          'Unit-Level Data'!$B:$B, INDIRECT("B"&amp;ROW())),
AVERAGEIFS('Unit-Level Data'!$P:$P,'Unit-Level Data'!$M:$M,TRUE,
          'Unit-Level Data'!$D:$D, INDIRECT("C"&amp;ROW()),
          'Unit-Level Data'!$B:$B, INDIRECT("B"&amp;ROW()))),"")</f>
      </c>
      <c r="O210" s="760" t="str" cm="1">
        <f t="array" aca="true" ref="O210" ca="true">IFERROR(IF($O$3="Chunk Rent",
AVERAGEIFS('Unit-Level Data'!$Q:$Q,'Unit-Level Data'!$M:$M,TRUE,
          'Unit-Level Data'!$D:$D, INDIRECT("C"&amp;ROW()),
          'Unit-Level Data'!$B:$B, INDIRECT("B"&amp;ROW())),
AVERAGEIFS('Unit-Level Data'!$R:$R,'Unit-Level Data'!$M:$M,TRUE,
          'Unit-Level Data'!$D:$D, INDIRECT("C"&amp;ROW()),
          'Unit-Level Data'!$B:$B, INDIRECT("B"&amp;ROW()))),"")</f>
      </c>
      <c r="P210" s="733" cm="1">
        <f t="array" aca="true" ref="P210" ca="true">COUNTIFS('Unit-Level Data'!$M:$M,TRUE,
          'Unit-Level Data'!$D:$D, INDIRECT("C"&amp;ROW()),
          'Unit-Level Data'!$B:$B, INDIRECT("B"&amp;ROW()))</f>
        <v>0</v>
      </c>
      <c r="Q210" s="738" t="str" cm="1">
        <f t="array" aca="true" ref="Q2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0" s="760" t="str" cm="1">
        <f t="array" aca="true" ref="R2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0" s="733" cm="1">
        <f t="array" aca="true" ref="S210" ca="true">COUNTIFS('Unit-Level Data'!$L:$L, "&gt;=" &amp; ($X$2 - Q$5),
          'Unit-Level Data'!$L:$L, "&lt;" &amp; $X$2,
          'Unit-Level Data'!$D:$D, INDIRECT("C"&amp;ROW()),
          'Unit-Level Data'!$B:$B, INDIRECT("B"&amp;ROW()))</f>
        <v>0</v>
      </c>
      <c r="T210" s="738" t="str" cm="1">
        <f t="array" aca="true" ref="T2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0" s="760" t="str" cm="1">
        <f t="array" aca="true" ref="U2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0" s="733" cm="1">
        <f t="array" aca="true" ref="V210" ca="true">COUNTIFS('Unit-Level Data'!$L:$L, "&gt;=" &amp; ($X$2 - T$5),
          'Unit-Level Data'!$L:$L, "&lt;" &amp; $X$2,
          'Unit-Level Data'!$D:$D, INDIRECT("C"&amp;ROW()),
          'Unit-Level Data'!$B:$B, INDIRECT("B"&amp;ROW()))</f>
        <v>0</v>
      </c>
      <c r="W210" s="738" t="str" cm="1">
        <f t="array" aca="true" ref="W2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0" s="760" t="str" cm="1">
        <f t="array" aca="true" ref="X2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0" s="733" cm="1">
        <f t="array" aca="true" ref="Y210" ca="true">COUNTIFS('Unit-Level Data'!$L:$L, "&gt;=" &amp; ($X$2 - W$5),
          'Unit-Level Data'!$L:$L, "&lt;" &amp; $X$2,
          'Unit-Level Data'!$D:$D, INDIRECT("C"&amp;ROW()),
          'Unit-Level Data'!$B:$B, INDIRECT("B"&amp;ROW()))</f>
        <v>0</v>
      </c>
      <c r="Z210" s="761"/>
      <c r="AA210" s="735" cm="1">
        <f t="array" aca="true" ref="AA210" ca="true">IFERROR(AVERAGEIFS(
  unit_details[Sqft],
  unit_details[Property Name], INDIRECT("B"&amp;ROW()),
  unit_details[Floorplan Name], INDIRECT("C"&amp;ROW()),
  unit_details[Beds], INDIRECT("D"&amp;ROW()),
  unit_details[Detected Unit Amenities], "*"&amp;$AB$3&amp;"*",
  unit_details[Leased Date], "&gt;=" &amp; ($X$2 - $AD$3)
),0)</f>
        <v>0</v>
      </c>
      <c r="AB210" s="734" cm="1">
        <f t="array" aca="true" ref="AB2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0" s="733" cm="1">
        <f t="array" aca="true" ref="AC210" ca="true">IFERROR(COUNTIFS(
  unit_details[Property Name], INDIRECT("B"&amp;ROW()),
  unit_details[Floorplan Name], INDIRECT("C"&amp;ROW()),
  unit_details[Beds], INDIRECT("D"&amp;ROW()),
  unit_details[Detected Unit Amenities], "*"&amp;$AB$3&amp;"*",
  unit_details[Leased Date], "&gt;=" &amp; ($X$2 - $AD$3)
),0)</f>
        <v>0</v>
      </c>
      <c r="AD210" s="735" cm="1">
        <f t="array" aca="true" ref="AD210" ca="true">IFERROR(AVERAGEIFS(
  unit_details[Sqft],
  unit_details[Property Name], INDIRECT("B"&amp;ROW()),
  unit_details[Floorplan Name], INDIRECT("C"&amp;ROW()),
  unit_details[Beds], INDIRECT("D"&amp;ROW()),
  unit_details[Detected Unit Amenities], "&lt;&gt;*"&amp;$AB$3&amp;"*",
  unit_details[Leased Date], "&gt;=" &amp; ($X$2 - $AD$3)
),0)</f>
        <v>0</v>
      </c>
      <c r="AE210" s="734" cm="1">
        <f t="array" aca="true" ref="AE2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0" s="733" cm="1">
        <f t="array" aca="true" ref="AF210" ca="true">IFERROR(COUNTIFS(
  unit_details[Property Name], INDIRECT("B"&amp;ROW()),
  unit_details[Floorplan Name], INDIRECT("C"&amp;ROW()),
  unit_details[Beds], INDIRECT("D"&amp;ROW()),
  unit_details[Detected Unit Amenities], "&lt;&gt;*"&amp;$AB$3&amp;"*",
  unit_details[Leased Date], "&gt;=" &amp; ($X$2 - $AD$3)
),0)</f>
        <v>0</v>
      </c>
      <c r="AG210" s="735"/>
      <c r="AH210" s="738">
        <f t="shared" ca="true" si="8"/>
        <v>0</v>
      </c>
      <c r="AI210" s="739">
        <f t="shared" ca="true" si="9"/>
        <v>0</v>
      </c>
    </row>
    <row r="211" spans="2:35">
      <c r="B211" s="1"/>
      <c r="C211" s="80"/>
      <c r="E211" s="303"/>
      <c r="F211" s="303"/>
      <c r="J211" s="345"/>
      <c r="K211" s="6"/>
      <c r="M211" s="6"/>
      <c r="N211" s="738" t="str" cm="1">
        <f t="array" aca="true" ref="N211" ca="true">IFERROR(IF($O$3="Chunk Rent",
AVERAGEIFS('Unit-Level Data'!$O:$O,'Unit-Level Data'!$M:$M,TRUE,
          'Unit-Level Data'!$D:$D, INDIRECT("C"&amp;ROW()),
          'Unit-Level Data'!$B:$B, INDIRECT("B"&amp;ROW())),
AVERAGEIFS('Unit-Level Data'!$P:$P,'Unit-Level Data'!$M:$M,TRUE,
          'Unit-Level Data'!$D:$D, INDIRECT("C"&amp;ROW()),
          'Unit-Level Data'!$B:$B, INDIRECT("B"&amp;ROW()))),"")</f>
      </c>
      <c r="O211" s="760" t="str" cm="1">
        <f t="array" aca="true" ref="O211" ca="true">IFERROR(IF($O$3="Chunk Rent",
AVERAGEIFS('Unit-Level Data'!$Q:$Q,'Unit-Level Data'!$M:$M,TRUE,
          'Unit-Level Data'!$D:$D, INDIRECT("C"&amp;ROW()),
          'Unit-Level Data'!$B:$B, INDIRECT("B"&amp;ROW())),
AVERAGEIFS('Unit-Level Data'!$R:$R,'Unit-Level Data'!$M:$M,TRUE,
          'Unit-Level Data'!$D:$D, INDIRECT("C"&amp;ROW()),
          'Unit-Level Data'!$B:$B, INDIRECT("B"&amp;ROW()))),"")</f>
      </c>
      <c r="P211" s="733" cm="1">
        <f t="array" aca="true" ref="P211" ca="true">COUNTIFS('Unit-Level Data'!$M:$M,TRUE,
          'Unit-Level Data'!$D:$D, INDIRECT("C"&amp;ROW()),
          'Unit-Level Data'!$B:$B, INDIRECT("B"&amp;ROW()))</f>
        <v>0</v>
      </c>
      <c r="Q211" s="738" t="str" cm="1">
        <f t="array" aca="true" ref="Q2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1" s="760" t="str" cm="1">
        <f t="array" aca="true" ref="R2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1" s="733" cm="1">
        <f t="array" aca="true" ref="S211" ca="true">COUNTIFS('Unit-Level Data'!$L:$L, "&gt;=" &amp; ($X$2 - Q$5),
          'Unit-Level Data'!$L:$L, "&lt;" &amp; $X$2,
          'Unit-Level Data'!$D:$D, INDIRECT("C"&amp;ROW()),
          'Unit-Level Data'!$B:$B, INDIRECT("B"&amp;ROW()))</f>
        <v>0</v>
      </c>
      <c r="T211" s="738" t="str" cm="1">
        <f t="array" aca="true" ref="T2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1" s="760" t="str" cm="1">
        <f t="array" aca="true" ref="U2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1" s="733" cm="1">
        <f t="array" aca="true" ref="V211" ca="true">COUNTIFS('Unit-Level Data'!$L:$L, "&gt;=" &amp; ($X$2 - T$5),
          'Unit-Level Data'!$L:$L, "&lt;" &amp; $X$2,
          'Unit-Level Data'!$D:$D, INDIRECT("C"&amp;ROW()),
          'Unit-Level Data'!$B:$B, INDIRECT("B"&amp;ROW()))</f>
        <v>0</v>
      </c>
      <c r="W211" s="738" t="str" cm="1">
        <f t="array" aca="true" ref="W2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1" s="760" t="str" cm="1">
        <f t="array" aca="true" ref="X2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1" s="733" cm="1">
        <f t="array" aca="true" ref="Y211" ca="true">COUNTIFS('Unit-Level Data'!$L:$L, "&gt;=" &amp; ($X$2 - W$5),
          'Unit-Level Data'!$L:$L, "&lt;" &amp; $X$2,
          'Unit-Level Data'!$D:$D, INDIRECT("C"&amp;ROW()),
          'Unit-Level Data'!$B:$B, INDIRECT("B"&amp;ROW()))</f>
        <v>0</v>
      </c>
      <c r="Z211" s="761"/>
      <c r="AA211" s="735" cm="1">
        <f t="array" aca="true" ref="AA211" ca="true">IFERROR(AVERAGEIFS(
  unit_details[Sqft],
  unit_details[Property Name], INDIRECT("B"&amp;ROW()),
  unit_details[Floorplan Name], INDIRECT("C"&amp;ROW()),
  unit_details[Beds], INDIRECT("D"&amp;ROW()),
  unit_details[Detected Unit Amenities], "*"&amp;$AB$3&amp;"*",
  unit_details[Leased Date], "&gt;=" &amp; ($X$2 - $AD$3)
),0)</f>
        <v>0</v>
      </c>
      <c r="AB211" s="734" cm="1">
        <f t="array" aca="true" ref="AB2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1" s="733" cm="1">
        <f t="array" aca="true" ref="AC211" ca="true">IFERROR(COUNTIFS(
  unit_details[Property Name], INDIRECT("B"&amp;ROW()),
  unit_details[Floorplan Name], INDIRECT("C"&amp;ROW()),
  unit_details[Beds], INDIRECT("D"&amp;ROW()),
  unit_details[Detected Unit Amenities], "*"&amp;$AB$3&amp;"*",
  unit_details[Leased Date], "&gt;=" &amp; ($X$2 - $AD$3)
),0)</f>
        <v>0</v>
      </c>
      <c r="AD211" s="735" cm="1">
        <f t="array" aca="true" ref="AD211" ca="true">IFERROR(AVERAGEIFS(
  unit_details[Sqft],
  unit_details[Property Name], INDIRECT("B"&amp;ROW()),
  unit_details[Floorplan Name], INDIRECT("C"&amp;ROW()),
  unit_details[Beds], INDIRECT("D"&amp;ROW()),
  unit_details[Detected Unit Amenities], "&lt;&gt;*"&amp;$AB$3&amp;"*",
  unit_details[Leased Date], "&gt;=" &amp; ($X$2 - $AD$3)
),0)</f>
        <v>0</v>
      </c>
      <c r="AE211" s="734" cm="1">
        <f t="array" aca="true" ref="AE2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1" s="733" cm="1">
        <f t="array" aca="true" ref="AF211" ca="true">IFERROR(COUNTIFS(
  unit_details[Property Name], INDIRECT("B"&amp;ROW()),
  unit_details[Floorplan Name], INDIRECT("C"&amp;ROW()),
  unit_details[Beds], INDIRECT("D"&amp;ROW()),
  unit_details[Detected Unit Amenities], "&lt;&gt;*"&amp;$AB$3&amp;"*",
  unit_details[Leased Date], "&gt;=" &amp; ($X$2 - $AD$3)
),0)</f>
        <v>0</v>
      </c>
      <c r="AG211" s="735"/>
      <c r="AH211" s="738">
        <f t="shared" ca="true" si="8"/>
        <v>0</v>
      </c>
      <c r="AI211" s="739">
        <f t="shared" ca="true" si="9"/>
        <v>0</v>
      </c>
    </row>
    <row r="212" spans="2:35">
      <c r="B212" s="1"/>
      <c r="C212" s="80"/>
      <c r="E212" s="303"/>
      <c r="F212" s="303"/>
      <c r="J212" s="345"/>
      <c r="K212" s="6"/>
      <c r="M212" s="6"/>
      <c r="N212" s="738" t="str" cm="1">
        <f t="array" aca="true" ref="N212" ca="true">IFERROR(IF($O$3="Chunk Rent",
AVERAGEIFS('Unit-Level Data'!$O:$O,'Unit-Level Data'!$M:$M,TRUE,
          'Unit-Level Data'!$D:$D, INDIRECT("C"&amp;ROW()),
          'Unit-Level Data'!$B:$B, INDIRECT("B"&amp;ROW())),
AVERAGEIFS('Unit-Level Data'!$P:$P,'Unit-Level Data'!$M:$M,TRUE,
          'Unit-Level Data'!$D:$D, INDIRECT("C"&amp;ROW()),
          'Unit-Level Data'!$B:$B, INDIRECT("B"&amp;ROW()))),"")</f>
      </c>
      <c r="O212" s="760" t="str" cm="1">
        <f t="array" aca="true" ref="O212" ca="true">IFERROR(IF($O$3="Chunk Rent",
AVERAGEIFS('Unit-Level Data'!$Q:$Q,'Unit-Level Data'!$M:$M,TRUE,
          'Unit-Level Data'!$D:$D, INDIRECT("C"&amp;ROW()),
          'Unit-Level Data'!$B:$B, INDIRECT("B"&amp;ROW())),
AVERAGEIFS('Unit-Level Data'!$R:$R,'Unit-Level Data'!$M:$M,TRUE,
          'Unit-Level Data'!$D:$D, INDIRECT("C"&amp;ROW()),
          'Unit-Level Data'!$B:$B, INDIRECT("B"&amp;ROW()))),"")</f>
      </c>
      <c r="P212" s="733" cm="1">
        <f t="array" aca="true" ref="P212" ca="true">COUNTIFS('Unit-Level Data'!$M:$M,TRUE,
          'Unit-Level Data'!$D:$D, INDIRECT("C"&amp;ROW()),
          'Unit-Level Data'!$B:$B, INDIRECT("B"&amp;ROW()))</f>
        <v>0</v>
      </c>
      <c r="Q212" s="738" t="str" cm="1">
        <f t="array" aca="true" ref="Q2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2" s="760" t="str" cm="1">
        <f t="array" aca="true" ref="R2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2" s="733" cm="1">
        <f t="array" aca="true" ref="S212" ca="true">COUNTIFS('Unit-Level Data'!$L:$L, "&gt;=" &amp; ($X$2 - Q$5),
          'Unit-Level Data'!$L:$L, "&lt;" &amp; $X$2,
          'Unit-Level Data'!$D:$D, INDIRECT("C"&amp;ROW()),
          'Unit-Level Data'!$B:$B, INDIRECT("B"&amp;ROW()))</f>
        <v>0</v>
      </c>
      <c r="T212" s="738" t="str" cm="1">
        <f t="array" aca="true" ref="T2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2" s="760" t="str" cm="1">
        <f t="array" aca="true" ref="U2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2" s="733" cm="1">
        <f t="array" aca="true" ref="V212" ca="true">COUNTIFS('Unit-Level Data'!$L:$L, "&gt;=" &amp; ($X$2 - T$5),
          'Unit-Level Data'!$L:$L, "&lt;" &amp; $X$2,
          'Unit-Level Data'!$D:$D, INDIRECT("C"&amp;ROW()),
          'Unit-Level Data'!$B:$B, INDIRECT("B"&amp;ROW()))</f>
        <v>0</v>
      </c>
      <c r="W212" s="738" t="str" cm="1">
        <f t="array" aca="true" ref="W2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2" s="760" t="str" cm="1">
        <f t="array" aca="true" ref="X2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2" s="733" cm="1">
        <f t="array" aca="true" ref="Y212" ca="true">COUNTIFS('Unit-Level Data'!$L:$L, "&gt;=" &amp; ($X$2 - W$5),
          'Unit-Level Data'!$L:$L, "&lt;" &amp; $X$2,
          'Unit-Level Data'!$D:$D, INDIRECT("C"&amp;ROW()),
          'Unit-Level Data'!$B:$B, INDIRECT("B"&amp;ROW()))</f>
        <v>0</v>
      </c>
      <c r="Z212" s="761"/>
      <c r="AA212" s="735" cm="1">
        <f t="array" aca="true" ref="AA212" ca="true">IFERROR(AVERAGEIFS(
  unit_details[Sqft],
  unit_details[Property Name], INDIRECT("B"&amp;ROW()),
  unit_details[Floorplan Name], INDIRECT("C"&amp;ROW()),
  unit_details[Beds], INDIRECT("D"&amp;ROW()),
  unit_details[Detected Unit Amenities], "*"&amp;$AB$3&amp;"*",
  unit_details[Leased Date], "&gt;=" &amp; ($X$2 - $AD$3)
),0)</f>
        <v>0</v>
      </c>
      <c r="AB212" s="734" cm="1">
        <f t="array" aca="true" ref="AB2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2" s="733" cm="1">
        <f t="array" aca="true" ref="AC212" ca="true">IFERROR(COUNTIFS(
  unit_details[Property Name], INDIRECT("B"&amp;ROW()),
  unit_details[Floorplan Name], INDIRECT("C"&amp;ROW()),
  unit_details[Beds], INDIRECT("D"&amp;ROW()),
  unit_details[Detected Unit Amenities], "*"&amp;$AB$3&amp;"*",
  unit_details[Leased Date], "&gt;=" &amp; ($X$2 - $AD$3)
),0)</f>
        <v>0</v>
      </c>
      <c r="AD212" s="735" cm="1">
        <f t="array" aca="true" ref="AD212" ca="true">IFERROR(AVERAGEIFS(
  unit_details[Sqft],
  unit_details[Property Name], INDIRECT("B"&amp;ROW()),
  unit_details[Floorplan Name], INDIRECT("C"&amp;ROW()),
  unit_details[Beds], INDIRECT("D"&amp;ROW()),
  unit_details[Detected Unit Amenities], "&lt;&gt;*"&amp;$AB$3&amp;"*",
  unit_details[Leased Date], "&gt;=" &amp; ($X$2 - $AD$3)
),0)</f>
        <v>0</v>
      </c>
      <c r="AE212" s="734" cm="1">
        <f t="array" aca="true" ref="AE2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2" s="733" cm="1">
        <f t="array" aca="true" ref="AF212" ca="true">IFERROR(COUNTIFS(
  unit_details[Property Name], INDIRECT("B"&amp;ROW()),
  unit_details[Floorplan Name], INDIRECT("C"&amp;ROW()),
  unit_details[Beds], INDIRECT("D"&amp;ROW()),
  unit_details[Detected Unit Amenities], "&lt;&gt;*"&amp;$AB$3&amp;"*",
  unit_details[Leased Date], "&gt;=" &amp; ($X$2 - $AD$3)
),0)</f>
        <v>0</v>
      </c>
      <c r="AG212" s="735"/>
      <c r="AH212" s="738">
        <f t="shared" ca="true" si="8"/>
        <v>0</v>
      </c>
      <c r="AI212" s="739">
        <f t="shared" ca="true" si="9"/>
        <v>0</v>
      </c>
    </row>
    <row r="213" spans="2:35">
      <c r="B213" s="1"/>
      <c r="C213" s="80"/>
      <c r="E213" s="303"/>
      <c r="F213" s="303"/>
      <c r="J213" s="345"/>
      <c r="K213" s="6"/>
      <c r="M213" s="6"/>
      <c r="N213" s="738" t="str" cm="1">
        <f t="array" aca="true" ref="N213" ca="true">IFERROR(IF($O$3="Chunk Rent",
AVERAGEIFS('Unit-Level Data'!$O:$O,'Unit-Level Data'!$M:$M,TRUE,
          'Unit-Level Data'!$D:$D, INDIRECT("C"&amp;ROW()),
          'Unit-Level Data'!$B:$B, INDIRECT("B"&amp;ROW())),
AVERAGEIFS('Unit-Level Data'!$P:$P,'Unit-Level Data'!$M:$M,TRUE,
          'Unit-Level Data'!$D:$D, INDIRECT("C"&amp;ROW()),
          'Unit-Level Data'!$B:$B, INDIRECT("B"&amp;ROW()))),"")</f>
      </c>
      <c r="O213" s="760" t="str" cm="1">
        <f t="array" aca="true" ref="O213" ca="true">IFERROR(IF($O$3="Chunk Rent",
AVERAGEIFS('Unit-Level Data'!$Q:$Q,'Unit-Level Data'!$M:$M,TRUE,
          'Unit-Level Data'!$D:$D, INDIRECT("C"&amp;ROW()),
          'Unit-Level Data'!$B:$B, INDIRECT("B"&amp;ROW())),
AVERAGEIFS('Unit-Level Data'!$R:$R,'Unit-Level Data'!$M:$M,TRUE,
          'Unit-Level Data'!$D:$D, INDIRECT("C"&amp;ROW()),
          'Unit-Level Data'!$B:$B, INDIRECT("B"&amp;ROW()))),"")</f>
      </c>
      <c r="P213" s="733" cm="1">
        <f t="array" aca="true" ref="P213" ca="true">COUNTIFS('Unit-Level Data'!$M:$M,TRUE,
          'Unit-Level Data'!$D:$D, INDIRECT("C"&amp;ROW()),
          'Unit-Level Data'!$B:$B, INDIRECT("B"&amp;ROW()))</f>
        <v>0</v>
      </c>
      <c r="Q213" s="738" t="str" cm="1">
        <f t="array" aca="true" ref="Q2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3" s="760" t="str" cm="1">
        <f t="array" aca="true" ref="R2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3" s="733" cm="1">
        <f t="array" aca="true" ref="S213" ca="true">COUNTIFS('Unit-Level Data'!$L:$L, "&gt;=" &amp; ($X$2 - Q$5),
          'Unit-Level Data'!$L:$L, "&lt;" &amp; $X$2,
          'Unit-Level Data'!$D:$D, INDIRECT("C"&amp;ROW()),
          'Unit-Level Data'!$B:$B, INDIRECT("B"&amp;ROW()))</f>
        <v>0</v>
      </c>
      <c r="T213" s="738" t="str" cm="1">
        <f t="array" aca="true" ref="T2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3" s="760" t="str" cm="1">
        <f t="array" aca="true" ref="U2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3" s="733" cm="1">
        <f t="array" aca="true" ref="V213" ca="true">COUNTIFS('Unit-Level Data'!$L:$L, "&gt;=" &amp; ($X$2 - T$5),
          'Unit-Level Data'!$L:$L, "&lt;" &amp; $X$2,
          'Unit-Level Data'!$D:$D, INDIRECT("C"&amp;ROW()),
          'Unit-Level Data'!$B:$B, INDIRECT("B"&amp;ROW()))</f>
        <v>0</v>
      </c>
      <c r="W213" s="738" t="str" cm="1">
        <f t="array" aca="true" ref="W2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3" s="760" t="str" cm="1">
        <f t="array" aca="true" ref="X2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3" s="733" cm="1">
        <f t="array" aca="true" ref="Y213" ca="true">COUNTIFS('Unit-Level Data'!$L:$L, "&gt;=" &amp; ($X$2 - W$5),
          'Unit-Level Data'!$L:$L, "&lt;" &amp; $X$2,
          'Unit-Level Data'!$D:$D, INDIRECT("C"&amp;ROW()),
          'Unit-Level Data'!$B:$B, INDIRECT("B"&amp;ROW()))</f>
        <v>0</v>
      </c>
      <c r="Z213" s="761"/>
      <c r="AA213" s="735" cm="1">
        <f t="array" aca="true" ref="AA213" ca="true">IFERROR(AVERAGEIFS(
  unit_details[Sqft],
  unit_details[Property Name], INDIRECT("B"&amp;ROW()),
  unit_details[Floorplan Name], INDIRECT("C"&amp;ROW()),
  unit_details[Beds], INDIRECT("D"&amp;ROW()),
  unit_details[Detected Unit Amenities], "*"&amp;$AB$3&amp;"*",
  unit_details[Leased Date], "&gt;=" &amp; ($X$2 - $AD$3)
),0)</f>
        <v>0</v>
      </c>
      <c r="AB213" s="734" cm="1">
        <f t="array" aca="true" ref="AB2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3" s="733" cm="1">
        <f t="array" aca="true" ref="AC213" ca="true">IFERROR(COUNTIFS(
  unit_details[Property Name], INDIRECT("B"&amp;ROW()),
  unit_details[Floorplan Name], INDIRECT("C"&amp;ROW()),
  unit_details[Beds], INDIRECT("D"&amp;ROW()),
  unit_details[Detected Unit Amenities], "*"&amp;$AB$3&amp;"*",
  unit_details[Leased Date], "&gt;=" &amp; ($X$2 - $AD$3)
),0)</f>
        <v>0</v>
      </c>
      <c r="AD213" s="735" cm="1">
        <f t="array" aca="true" ref="AD213" ca="true">IFERROR(AVERAGEIFS(
  unit_details[Sqft],
  unit_details[Property Name], INDIRECT("B"&amp;ROW()),
  unit_details[Floorplan Name], INDIRECT("C"&amp;ROW()),
  unit_details[Beds], INDIRECT("D"&amp;ROW()),
  unit_details[Detected Unit Amenities], "&lt;&gt;*"&amp;$AB$3&amp;"*",
  unit_details[Leased Date], "&gt;=" &amp; ($X$2 - $AD$3)
),0)</f>
        <v>0</v>
      </c>
      <c r="AE213" s="734" cm="1">
        <f t="array" aca="true" ref="AE2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3" s="733" cm="1">
        <f t="array" aca="true" ref="AF213" ca="true">IFERROR(COUNTIFS(
  unit_details[Property Name], INDIRECT("B"&amp;ROW()),
  unit_details[Floorplan Name], INDIRECT("C"&amp;ROW()),
  unit_details[Beds], INDIRECT("D"&amp;ROW()),
  unit_details[Detected Unit Amenities], "&lt;&gt;*"&amp;$AB$3&amp;"*",
  unit_details[Leased Date], "&gt;=" &amp; ($X$2 - $AD$3)
),0)</f>
        <v>0</v>
      </c>
      <c r="AG213" s="735"/>
      <c r="AH213" s="738">
        <f t="shared" ca="true" si="8"/>
        <v>0</v>
      </c>
      <c r="AI213" s="739">
        <f t="shared" ca="true" si="9"/>
        <v>0</v>
      </c>
    </row>
    <row r="214" spans="2:35">
      <c r="B214" s="1"/>
      <c r="C214" s="80"/>
      <c r="E214" s="303"/>
      <c r="F214" s="303"/>
      <c r="J214" s="345"/>
      <c r="K214" s="6"/>
      <c r="M214" s="6"/>
      <c r="N214" s="738" t="str" cm="1">
        <f t="array" aca="true" ref="N214" ca="true">IFERROR(IF($O$3="Chunk Rent",
AVERAGEIFS('Unit-Level Data'!$O:$O,'Unit-Level Data'!$M:$M,TRUE,
          'Unit-Level Data'!$D:$D, INDIRECT("C"&amp;ROW()),
          'Unit-Level Data'!$B:$B, INDIRECT("B"&amp;ROW())),
AVERAGEIFS('Unit-Level Data'!$P:$P,'Unit-Level Data'!$M:$M,TRUE,
          'Unit-Level Data'!$D:$D, INDIRECT("C"&amp;ROW()),
          'Unit-Level Data'!$B:$B, INDIRECT("B"&amp;ROW()))),"")</f>
      </c>
      <c r="O214" s="760" t="str" cm="1">
        <f t="array" aca="true" ref="O214" ca="true">IFERROR(IF($O$3="Chunk Rent",
AVERAGEIFS('Unit-Level Data'!$Q:$Q,'Unit-Level Data'!$M:$M,TRUE,
          'Unit-Level Data'!$D:$D, INDIRECT("C"&amp;ROW()),
          'Unit-Level Data'!$B:$B, INDIRECT("B"&amp;ROW())),
AVERAGEIFS('Unit-Level Data'!$R:$R,'Unit-Level Data'!$M:$M,TRUE,
          'Unit-Level Data'!$D:$D, INDIRECT("C"&amp;ROW()),
          'Unit-Level Data'!$B:$B, INDIRECT("B"&amp;ROW()))),"")</f>
      </c>
      <c r="P214" s="733" cm="1">
        <f t="array" aca="true" ref="P214" ca="true">COUNTIFS('Unit-Level Data'!$M:$M,TRUE,
          'Unit-Level Data'!$D:$D, INDIRECT("C"&amp;ROW()),
          'Unit-Level Data'!$B:$B, INDIRECT("B"&amp;ROW()))</f>
        <v>0</v>
      </c>
      <c r="Q214" s="738" t="str" cm="1">
        <f t="array" aca="true" ref="Q2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4" s="760" t="str" cm="1">
        <f t="array" aca="true" ref="R2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4" s="733" cm="1">
        <f t="array" aca="true" ref="S214" ca="true">COUNTIFS('Unit-Level Data'!$L:$L, "&gt;=" &amp; ($X$2 - Q$5),
          'Unit-Level Data'!$L:$L, "&lt;" &amp; $X$2,
          'Unit-Level Data'!$D:$D, INDIRECT("C"&amp;ROW()),
          'Unit-Level Data'!$B:$B, INDIRECT("B"&amp;ROW()))</f>
        <v>0</v>
      </c>
      <c r="T214" s="738" t="str" cm="1">
        <f t="array" aca="true" ref="T2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4" s="760" t="str" cm="1">
        <f t="array" aca="true" ref="U2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4" s="733" cm="1">
        <f t="array" aca="true" ref="V214" ca="true">COUNTIFS('Unit-Level Data'!$L:$L, "&gt;=" &amp; ($X$2 - T$5),
          'Unit-Level Data'!$L:$L, "&lt;" &amp; $X$2,
          'Unit-Level Data'!$D:$D, INDIRECT("C"&amp;ROW()),
          'Unit-Level Data'!$B:$B, INDIRECT("B"&amp;ROW()))</f>
        <v>0</v>
      </c>
      <c r="W214" s="738" t="str" cm="1">
        <f t="array" aca="true" ref="W2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4" s="760" t="str" cm="1">
        <f t="array" aca="true" ref="X2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4" s="733" cm="1">
        <f t="array" aca="true" ref="Y214" ca="true">COUNTIFS('Unit-Level Data'!$L:$L, "&gt;=" &amp; ($X$2 - W$5),
          'Unit-Level Data'!$L:$L, "&lt;" &amp; $X$2,
          'Unit-Level Data'!$D:$D, INDIRECT("C"&amp;ROW()),
          'Unit-Level Data'!$B:$B, INDIRECT("B"&amp;ROW()))</f>
        <v>0</v>
      </c>
      <c r="Z214" s="761"/>
      <c r="AA214" s="735" cm="1">
        <f t="array" aca="true" ref="AA214" ca="true">IFERROR(AVERAGEIFS(
  unit_details[Sqft],
  unit_details[Property Name], INDIRECT("B"&amp;ROW()),
  unit_details[Floorplan Name], INDIRECT("C"&amp;ROW()),
  unit_details[Beds], INDIRECT("D"&amp;ROW()),
  unit_details[Detected Unit Amenities], "*"&amp;$AB$3&amp;"*",
  unit_details[Leased Date], "&gt;=" &amp; ($X$2 - $AD$3)
),0)</f>
        <v>0</v>
      </c>
      <c r="AB214" s="734" cm="1">
        <f t="array" aca="true" ref="AB2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4" s="733" cm="1">
        <f t="array" aca="true" ref="AC214" ca="true">IFERROR(COUNTIFS(
  unit_details[Property Name], INDIRECT("B"&amp;ROW()),
  unit_details[Floorplan Name], INDIRECT("C"&amp;ROW()),
  unit_details[Beds], INDIRECT("D"&amp;ROW()),
  unit_details[Detected Unit Amenities], "*"&amp;$AB$3&amp;"*",
  unit_details[Leased Date], "&gt;=" &amp; ($X$2 - $AD$3)
),0)</f>
        <v>0</v>
      </c>
      <c r="AD214" s="735" cm="1">
        <f t="array" aca="true" ref="AD214" ca="true">IFERROR(AVERAGEIFS(
  unit_details[Sqft],
  unit_details[Property Name], INDIRECT("B"&amp;ROW()),
  unit_details[Floorplan Name], INDIRECT("C"&amp;ROW()),
  unit_details[Beds], INDIRECT("D"&amp;ROW()),
  unit_details[Detected Unit Amenities], "&lt;&gt;*"&amp;$AB$3&amp;"*",
  unit_details[Leased Date], "&gt;=" &amp; ($X$2 - $AD$3)
),0)</f>
        <v>0</v>
      </c>
      <c r="AE214" s="734" cm="1">
        <f t="array" aca="true" ref="AE2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4" s="733" cm="1">
        <f t="array" aca="true" ref="AF214" ca="true">IFERROR(COUNTIFS(
  unit_details[Property Name], INDIRECT("B"&amp;ROW()),
  unit_details[Floorplan Name], INDIRECT("C"&amp;ROW()),
  unit_details[Beds], INDIRECT("D"&amp;ROW()),
  unit_details[Detected Unit Amenities], "&lt;&gt;*"&amp;$AB$3&amp;"*",
  unit_details[Leased Date], "&gt;=" &amp; ($X$2 - $AD$3)
),0)</f>
        <v>0</v>
      </c>
      <c r="AG214" s="735"/>
      <c r="AH214" s="738">
        <f t="shared" ca="true" si="8"/>
        <v>0</v>
      </c>
      <c r="AI214" s="739">
        <f t="shared" ca="true" si="9"/>
        <v>0</v>
      </c>
    </row>
    <row r="215" spans="2:35">
      <c r="B215" s="1"/>
      <c r="C215" s="80"/>
      <c r="E215" s="303"/>
      <c r="F215" s="303"/>
      <c r="J215" s="345"/>
      <c r="K215" s="6"/>
      <c r="M215" s="6"/>
      <c r="N215" s="738" t="str" cm="1">
        <f t="array" aca="true" ref="N215" ca="true">IFERROR(IF($O$3="Chunk Rent",
AVERAGEIFS('Unit-Level Data'!$O:$O,'Unit-Level Data'!$M:$M,TRUE,
          'Unit-Level Data'!$D:$D, INDIRECT("C"&amp;ROW()),
          'Unit-Level Data'!$B:$B, INDIRECT("B"&amp;ROW())),
AVERAGEIFS('Unit-Level Data'!$P:$P,'Unit-Level Data'!$M:$M,TRUE,
          'Unit-Level Data'!$D:$D, INDIRECT("C"&amp;ROW()),
          'Unit-Level Data'!$B:$B, INDIRECT("B"&amp;ROW()))),"")</f>
      </c>
      <c r="O215" s="760" t="str" cm="1">
        <f t="array" aca="true" ref="O215" ca="true">IFERROR(IF($O$3="Chunk Rent",
AVERAGEIFS('Unit-Level Data'!$Q:$Q,'Unit-Level Data'!$M:$M,TRUE,
          'Unit-Level Data'!$D:$D, INDIRECT("C"&amp;ROW()),
          'Unit-Level Data'!$B:$B, INDIRECT("B"&amp;ROW())),
AVERAGEIFS('Unit-Level Data'!$R:$R,'Unit-Level Data'!$M:$M,TRUE,
          'Unit-Level Data'!$D:$D, INDIRECT("C"&amp;ROW()),
          'Unit-Level Data'!$B:$B, INDIRECT("B"&amp;ROW()))),"")</f>
      </c>
      <c r="P215" s="733" cm="1">
        <f t="array" aca="true" ref="P215" ca="true">COUNTIFS('Unit-Level Data'!$M:$M,TRUE,
          'Unit-Level Data'!$D:$D, INDIRECT("C"&amp;ROW()),
          'Unit-Level Data'!$B:$B, INDIRECT("B"&amp;ROW()))</f>
        <v>0</v>
      </c>
      <c r="Q215" s="738" t="str" cm="1">
        <f t="array" aca="true" ref="Q2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5" s="760" t="str" cm="1">
        <f t="array" aca="true" ref="R2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5" s="733" cm="1">
        <f t="array" aca="true" ref="S215" ca="true">COUNTIFS('Unit-Level Data'!$L:$L, "&gt;=" &amp; ($X$2 - Q$5),
          'Unit-Level Data'!$L:$L, "&lt;" &amp; $X$2,
          'Unit-Level Data'!$D:$D, INDIRECT("C"&amp;ROW()),
          'Unit-Level Data'!$B:$B, INDIRECT("B"&amp;ROW()))</f>
        <v>0</v>
      </c>
      <c r="T215" s="738" t="str" cm="1">
        <f t="array" aca="true" ref="T2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5" s="760" t="str" cm="1">
        <f t="array" aca="true" ref="U2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5" s="733" cm="1">
        <f t="array" aca="true" ref="V215" ca="true">COUNTIFS('Unit-Level Data'!$L:$L, "&gt;=" &amp; ($X$2 - T$5),
          'Unit-Level Data'!$L:$L, "&lt;" &amp; $X$2,
          'Unit-Level Data'!$D:$D, INDIRECT("C"&amp;ROW()),
          'Unit-Level Data'!$B:$B, INDIRECT("B"&amp;ROW()))</f>
        <v>0</v>
      </c>
      <c r="W215" s="738" t="str" cm="1">
        <f t="array" aca="true" ref="W2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5" s="760" t="str" cm="1">
        <f t="array" aca="true" ref="X2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5" s="733" cm="1">
        <f t="array" aca="true" ref="Y215" ca="true">COUNTIFS('Unit-Level Data'!$L:$L, "&gt;=" &amp; ($X$2 - W$5),
          'Unit-Level Data'!$L:$L, "&lt;" &amp; $X$2,
          'Unit-Level Data'!$D:$D, INDIRECT("C"&amp;ROW()),
          'Unit-Level Data'!$B:$B, INDIRECT("B"&amp;ROW()))</f>
        <v>0</v>
      </c>
      <c r="Z215" s="761"/>
      <c r="AA215" s="735" cm="1">
        <f t="array" aca="true" ref="AA215" ca="true">IFERROR(AVERAGEIFS(
  unit_details[Sqft],
  unit_details[Property Name], INDIRECT("B"&amp;ROW()),
  unit_details[Floorplan Name], INDIRECT("C"&amp;ROW()),
  unit_details[Beds], INDIRECT("D"&amp;ROW()),
  unit_details[Detected Unit Amenities], "*"&amp;$AB$3&amp;"*",
  unit_details[Leased Date], "&gt;=" &amp; ($X$2 - $AD$3)
),0)</f>
        <v>0</v>
      </c>
      <c r="AB215" s="734" cm="1">
        <f t="array" aca="true" ref="AB2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5" s="733" cm="1">
        <f t="array" aca="true" ref="AC215" ca="true">IFERROR(COUNTIFS(
  unit_details[Property Name], INDIRECT("B"&amp;ROW()),
  unit_details[Floorplan Name], INDIRECT("C"&amp;ROW()),
  unit_details[Beds], INDIRECT("D"&amp;ROW()),
  unit_details[Detected Unit Amenities], "*"&amp;$AB$3&amp;"*",
  unit_details[Leased Date], "&gt;=" &amp; ($X$2 - $AD$3)
),0)</f>
        <v>0</v>
      </c>
      <c r="AD215" s="735" cm="1">
        <f t="array" aca="true" ref="AD215" ca="true">IFERROR(AVERAGEIFS(
  unit_details[Sqft],
  unit_details[Property Name], INDIRECT("B"&amp;ROW()),
  unit_details[Floorplan Name], INDIRECT("C"&amp;ROW()),
  unit_details[Beds], INDIRECT("D"&amp;ROW()),
  unit_details[Detected Unit Amenities], "&lt;&gt;*"&amp;$AB$3&amp;"*",
  unit_details[Leased Date], "&gt;=" &amp; ($X$2 - $AD$3)
),0)</f>
        <v>0</v>
      </c>
      <c r="AE215" s="734" cm="1">
        <f t="array" aca="true" ref="AE2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5" s="733" cm="1">
        <f t="array" aca="true" ref="AF215" ca="true">IFERROR(COUNTIFS(
  unit_details[Property Name], INDIRECT("B"&amp;ROW()),
  unit_details[Floorplan Name], INDIRECT("C"&amp;ROW()),
  unit_details[Beds], INDIRECT("D"&amp;ROW()),
  unit_details[Detected Unit Amenities], "&lt;&gt;*"&amp;$AB$3&amp;"*",
  unit_details[Leased Date], "&gt;=" &amp; ($X$2 - $AD$3)
),0)</f>
        <v>0</v>
      </c>
      <c r="AG215" s="735"/>
      <c r="AH215" s="738">
        <f t="shared" ca="true" si="8"/>
        <v>0</v>
      </c>
      <c r="AI215" s="739">
        <f t="shared" ca="true" si="9"/>
        <v>0</v>
      </c>
    </row>
    <row r="216" spans="2:35">
      <c r="B216" s="1"/>
      <c r="C216" s="80"/>
      <c r="E216" s="303"/>
      <c r="F216" s="303"/>
      <c r="J216" s="345"/>
      <c r="K216" s="6"/>
      <c r="M216" s="6"/>
      <c r="N216" s="738" t="str" cm="1">
        <f t="array" aca="true" ref="N216" ca="true">IFERROR(IF($O$3="Chunk Rent",
AVERAGEIFS('Unit-Level Data'!$O:$O,'Unit-Level Data'!$M:$M,TRUE,
          'Unit-Level Data'!$D:$D, INDIRECT("C"&amp;ROW()),
          'Unit-Level Data'!$B:$B, INDIRECT("B"&amp;ROW())),
AVERAGEIFS('Unit-Level Data'!$P:$P,'Unit-Level Data'!$M:$M,TRUE,
          'Unit-Level Data'!$D:$D, INDIRECT("C"&amp;ROW()),
          'Unit-Level Data'!$B:$B, INDIRECT("B"&amp;ROW()))),"")</f>
      </c>
      <c r="O216" s="760" t="str" cm="1">
        <f t="array" aca="true" ref="O216" ca="true">IFERROR(IF($O$3="Chunk Rent",
AVERAGEIFS('Unit-Level Data'!$Q:$Q,'Unit-Level Data'!$M:$M,TRUE,
          'Unit-Level Data'!$D:$D, INDIRECT("C"&amp;ROW()),
          'Unit-Level Data'!$B:$B, INDIRECT("B"&amp;ROW())),
AVERAGEIFS('Unit-Level Data'!$R:$R,'Unit-Level Data'!$M:$M,TRUE,
          'Unit-Level Data'!$D:$D, INDIRECT("C"&amp;ROW()),
          'Unit-Level Data'!$B:$B, INDIRECT("B"&amp;ROW()))),"")</f>
      </c>
      <c r="P216" s="733" cm="1">
        <f t="array" aca="true" ref="P216" ca="true">COUNTIFS('Unit-Level Data'!$M:$M,TRUE,
          'Unit-Level Data'!$D:$D, INDIRECT("C"&amp;ROW()),
          'Unit-Level Data'!$B:$B, INDIRECT("B"&amp;ROW()))</f>
        <v>0</v>
      </c>
      <c r="Q216" s="738" t="str" cm="1">
        <f t="array" aca="true" ref="Q2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6" s="760" t="str" cm="1">
        <f t="array" aca="true" ref="R2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6" s="733" cm="1">
        <f t="array" aca="true" ref="S216" ca="true">COUNTIFS('Unit-Level Data'!$L:$L, "&gt;=" &amp; ($X$2 - Q$5),
          'Unit-Level Data'!$L:$L, "&lt;" &amp; $X$2,
          'Unit-Level Data'!$D:$D, INDIRECT("C"&amp;ROW()),
          'Unit-Level Data'!$B:$B, INDIRECT("B"&amp;ROW()))</f>
        <v>0</v>
      </c>
      <c r="T216" s="738" t="str" cm="1">
        <f t="array" aca="true" ref="T2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6" s="760" t="str" cm="1">
        <f t="array" aca="true" ref="U2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6" s="733" cm="1">
        <f t="array" aca="true" ref="V216" ca="true">COUNTIFS('Unit-Level Data'!$L:$L, "&gt;=" &amp; ($X$2 - T$5),
          'Unit-Level Data'!$L:$L, "&lt;" &amp; $X$2,
          'Unit-Level Data'!$D:$D, INDIRECT("C"&amp;ROW()),
          'Unit-Level Data'!$B:$B, INDIRECT("B"&amp;ROW()))</f>
        <v>0</v>
      </c>
      <c r="W216" s="738" t="str" cm="1">
        <f t="array" aca="true" ref="W2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6" s="760" t="str" cm="1">
        <f t="array" aca="true" ref="X2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6" s="733" cm="1">
        <f t="array" aca="true" ref="Y216" ca="true">COUNTIFS('Unit-Level Data'!$L:$L, "&gt;=" &amp; ($X$2 - W$5),
          'Unit-Level Data'!$L:$L, "&lt;" &amp; $X$2,
          'Unit-Level Data'!$D:$D, INDIRECT("C"&amp;ROW()),
          'Unit-Level Data'!$B:$B, INDIRECT("B"&amp;ROW()))</f>
        <v>0</v>
      </c>
      <c r="Z216" s="761"/>
      <c r="AA216" s="735" cm="1">
        <f t="array" aca="true" ref="AA216" ca="true">IFERROR(AVERAGEIFS(
  unit_details[Sqft],
  unit_details[Property Name], INDIRECT("B"&amp;ROW()),
  unit_details[Floorplan Name], INDIRECT("C"&amp;ROW()),
  unit_details[Beds], INDIRECT("D"&amp;ROW()),
  unit_details[Detected Unit Amenities], "*"&amp;$AB$3&amp;"*",
  unit_details[Leased Date], "&gt;=" &amp; ($X$2 - $AD$3)
),0)</f>
        <v>0</v>
      </c>
      <c r="AB216" s="734" cm="1">
        <f t="array" aca="true" ref="AB2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6" s="733" cm="1">
        <f t="array" aca="true" ref="AC216" ca="true">IFERROR(COUNTIFS(
  unit_details[Property Name], INDIRECT("B"&amp;ROW()),
  unit_details[Floorplan Name], INDIRECT("C"&amp;ROW()),
  unit_details[Beds], INDIRECT("D"&amp;ROW()),
  unit_details[Detected Unit Amenities], "*"&amp;$AB$3&amp;"*",
  unit_details[Leased Date], "&gt;=" &amp; ($X$2 - $AD$3)
),0)</f>
        <v>0</v>
      </c>
      <c r="AD216" s="735" cm="1">
        <f t="array" aca="true" ref="AD216" ca="true">IFERROR(AVERAGEIFS(
  unit_details[Sqft],
  unit_details[Property Name], INDIRECT("B"&amp;ROW()),
  unit_details[Floorplan Name], INDIRECT("C"&amp;ROW()),
  unit_details[Beds], INDIRECT("D"&amp;ROW()),
  unit_details[Detected Unit Amenities], "&lt;&gt;*"&amp;$AB$3&amp;"*",
  unit_details[Leased Date], "&gt;=" &amp; ($X$2 - $AD$3)
),0)</f>
        <v>0</v>
      </c>
      <c r="AE216" s="734" cm="1">
        <f t="array" aca="true" ref="AE2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6" s="733" cm="1">
        <f t="array" aca="true" ref="AF216" ca="true">IFERROR(COUNTIFS(
  unit_details[Property Name], INDIRECT("B"&amp;ROW()),
  unit_details[Floorplan Name], INDIRECT("C"&amp;ROW()),
  unit_details[Beds], INDIRECT("D"&amp;ROW()),
  unit_details[Detected Unit Amenities], "&lt;&gt;*"&amp;$AB$3&amp;"*",
  unit_details[Leased Date], "&gt;=" &amp; ($X$2 - $AD$3)
),0)</f>
        <v>0</v>
      </c>
      <c r="AG216" s="735"/>
      <c r="AH216" s="738">
        <f t="shared" ca="true" si="8"/>
        <v>0</v>
      </c>
      <c r="AI216" s="739">
        <f t="shared" ca="true" si="9"/>
        <v>0</v>
      </c>
    </row>
    <row r="217" spans="2:35">
      <c r="B217" s="1"/>
      <c r="C217" s="80"/>
      <c r="E217" s="303"/>
      <c r="F217" s="303"/>
      <c r="J217" s="345"/>
      <c r="K217" s="6"/>
      <c r="M217" s="6"/>
      <c r="N217" s="738" t="str" cm="1">
        <f t="array" aca="true" ref="N217" ca="true">IFERROR(IF($O$3="Chunk Rent",
AVERAGEIFS('Unit-Level Data'!$O:$O,'Unit-Level Data'!$M:$M,TRUE,
          'Unit-Level Data'!$D:$D, INDIRECT("C"&amp;ROW()),
          'Unit-Level Data'!$B:$B, INDIRECT("B"&amp;ROW())),
AVERAGEIFS('Unit-Level Data'!$P:$P,'Unit-Level Data'!$M:$M,TRUE,
          'Unit-Level Data'!$D:$D, INDIRECT("C"&amp;ROW()),
          'Unit-Level Data'!$B:$B, INDIRECT("B"&amp;ROW()))),"")</f>
      </c>
      <c r="O217" s="760" t="str" cm="1">
        <f t="array" aca="true" ref="O217" ca="true">IFERROR(IF($O$3="Chunk Rent",
AVERAGEIFS('Unit-Level Data'!$Q:$Q,'Unit-Level Data'!$M:$M,TRUE,
          'Unit-Level Data'!$D:$D, INDIRECT("C"&amp;ROW()),
          'Unit-Level Data'!$B:$B, INDIRECT("B"&amp;ROW())),
AVERAGEIFS('Unit-Level Data'!$R:$R,'Unit-Level Data'!$M:$M,TRUE,
          'Unit-Level Data'!$D:$D, INDIRECT("C"&amp;ROW()),
          'Unit-Level Data'!$B:$B, INDIRECT("B"&amp;ROW()))),"")</f>
      </c>
      <c r="P217" s="733" cm="1">
        <f t="array" aca="true" ref="P217" ca="true">COUNTIFS('Unit-Level Data'!$M:$M,TRUE,
          'Unit-Level Data'!$D:$D, INDIRECT("C"&amp;ROW()),
          'Unit-Level Data'!$B:$B, INDIRECT("B"&amp;ROW()))</f>
        <v>0</v>
      </c>
      <c r="Q217" s="738" t="str" cm="1">
        <f t="array" aca="true" ref="Q2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7" s="760" t="str" cm="1">
        <f t="array" aca="true" ref="R2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7" s="733" cm="1">
        <f t="array" aca="true" ref="S217" ca="true">COUNTIFS('Unit-Level Data'!$L:$L, "&gt;=" &amp; ($X$2 - Q$5),
          'Unit-Level Data'!$L:$L, "&lt;" &amp; $X$2,
          'Unit-Level Data'!$D:$D, INDIRECT("C"&amp;ROW()),
          'Unit-Level Data'!$B:$B, INDIRECT("B"&amp;ROW()))</f>
        <v>0</v>
      </c>
      <c r="T217" s="738" t="str" cm="1">
        <f t="array" aca="true" ref="T2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7" s="760" t="str" cm="1">
        <f t="array" aca="true" ref="U2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7" s="733" cm="1">
        <f t="array" aca="true" ref="V217" ca="true">COUNTIFS('Unit-Level Data'!$L:$L, "&gt;=" &amp; ($X$2 - T$5),
          'Unit-Level Data'!$L:$L, "&lt;" &amp; $X$2,
          'Unit-Level Data'!$D:$D, INDIRECT("C"&amp;ROW()),
          'Unit-Level Data'!$B:$B, INDIRECT("B"&amp;ROW()))</f>
        <v>0</v>
      </c>
      <c r="W217" s="738" t="str" cm="1">
        <f t="array" aca="true" ref="W2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7" s="760" t="str" cm="1">
        <f t="array" aca="true" ref="X2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7" s="733" cm="1">
        <f t="array" aca="true" ref="Y217" ca="true">COUNTIFS('Unit-Level Data'!$L:$L, "&gt;=" &amp; ($X$2 - W$5),
          'Unit-Level Data'!$L:$L, "&lt;" &amp; $X$2,
          'Unit-Level Data'!$D:$D, INDIRECT("C"&amp;ROW()),
          'Unit-Level Data'!$B:$B, INDIRECT("B"&amp;ROW()))</f>
        <v>0</v>
      </c>
      <c r="Z217" s="761"/>
      <c r="AA217" s="735" cm="1">
        <f t="array" aca="true" ref="AA217" ca="true">IFERROR(AVERAGEIFS(
  unit_details[Sqft],
  unit_details[Property Name], INDIRECT("B"&amp;ROW()),
  unit_details[Floorplan Name], INDIRECT("C"&amp;ROW()),
  unit_details[Beds], INDIRECT("D"&amp;ROW()),
  unit_details[Detected Unit Amenities], "*"&amp;$AB$3&amp;"*",
  unit_details[Leased Date], "&gt;=" &amp; ($X$2 - $AD$3)
),0)</f>
        <v>0</v>
      </c>
      <c r="AB217" s="734" cm="1">
        <f t="array" aca="true" ref="AB2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7" s="733" cm="1">
        <f t="array" aca="true" ref="AC217" ca="true">IFERROR(COUNTIFS(
  unit_details[Property Name], INDIRECT("B"&amp;ROW()),
  unit_details[Floorplan Name], INDIRECT("C"&amp;ROW()),
  unit_details[Beds], INDIRECT("D"&amp;ROW()),
  unit_details[Detected Unit Amenities], "*"&amp;$AB$3&amp;"*",
  unit_details[Leased Date], "&gt;=" &amp; ($X$2 - $AD$3)
),0)</f>
        <v>0</v>
      </c>
      <c r="AD217" s="735" cm="1">
        <f t="array" aca="true" ref="AD217" ca="true">IFERROR(AVERAGEIFS(
  unit_details[Sqft],
  unit_details[Property Name], INDIRECT("B"&amp;ROW()),
  unit_details[Floorplan Name], INDIRECT("C"&amp;ROW()),
  unit_details[Beds], INDIRECT("D"&amp;ROW()),
  unit_details[Detected Unit Amenities], "&lt;&gt;*"&amp;$AB$3&amp;"*",
  unit_details[Leased Date], "&gt;=" &amp; ($X$2 - $AD$3)
),0)</f>
        <v>0</v>
      </c>
      <c r="AE217" s="734" cm="1">
        <f t="array" aca="true" ref="AE2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7" s="733" cm="1">
        <f t="array" aca="true" ref="AF217" ca="true">IFERROR(COUNTIFS(
  unit_details[Property Name], INDIRECT("B"&amp;ROW()),
  unit_details[Floorplan Name], INDIRECT("C"&amp;ROW()),
  unit_details[Beds], INDIRECT("D"&amp;ROW()),
  unit_details[Detected Unit Amenities], "&lt;&gt;*"&amp;$AB$3&amp;"*",
  unit_details[Leased Date], "&gt;=" &amp; ($X$2 - $AD$3)
),0)</f>
        <v>0</v>
      </c>
      <c r="AG217" s="735"/>
      <c r="AH217" s="738">
        <f t="shared" ca="true" si="8"/>
        <v>0</v>
      </c>
      <c r="AI217" s="739">
        <f t="shared" ca="true" si="9"/>
        <v>0</v>
      </c>
    </row>
    <row r="218" spans="2:35">
      <c r="B218" s="1"/>
      <c r="C218" s="80"/>
      <c r="E218" s="303"/>
      <c r="F218" s="303"/>
      <c r="J218" s="345"/>
      <c r="K218" s="6"/>
      <c r="M218" s="6"/>
      <c r="N218" s="738" t="str" cm="1">
        <f t="array" aca="true" ref="N218" ca="true">IFERROR(IF($O$3="Chunk Rent",
AVERAGEIFS('Unit-Level Data'!$O:$O,'Unit-Level Data'!$M:$M,TRUE,
          'Unit-Level Data'!$D:$D, INDIRECT("C"&amp;ROW()),
          'Unit-Level Data'!$B:$B, INDIRECT("B"&amp;ROW())),
AVERAGEIFS('Unit-Level Data'!$P:$P,'Unit-Level Data'!$M:$M,TRUE,
          'Unit-Level Data'!$D:$D, INDIRECT("C"&amp;ROW()),
          'Unit-Level Data'!$B:$B, INDIRECT("B"&amp;ROW()))),"")</f>
      </c>
      <c r="O218" s="760" t="str" cm="1">
        <f t="array" aca="true" ref="O218" ca="true">IFERROR(IF($O$3="Chunk Rent",
AVERAGEIFS('Unit-Level Data'!$Q:$Q,'Unit-Level Data'!$M:$M,TRUE,
          'Unit-Level Data'!$D:$D, INDIRECT("C"&amp;ROW()),
          'Unit-Level Data'!$B:$B, INDIRECT("B"&amp;ROW())),
AVERAGEIFS('Unit-Level Data'!$R:$R,'Unit-Level Data'!$M:$M,TRUE,
          'Unit-Level Data'!$D:$D, INDIRECT("C"&amp;ROW()),
          'Unit-Level Data'!$B:$B, INDIRECT("B"&amp;ROW()))),"")</f>
      </c>
      <c r="P218" s="733" cm="1">
        <f t="array" aca="true" ref="P218" ca="true">COUNTIFS('Unit-Level Data'!$M:$M,TRUE,
          'Unit-Level Data'!$D:$D, INDIRECT("C"&amp;ROW()),
          'Unit-Level Data'!$B:$B, INDIRECT("B"&amp;ROW()))</f>
        <v>0</v>
      </c>
      <c r="Q218" s="738" t="str" cm="1">
        <f t="array" aca="true" ref="Q2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8" s="760" t="str" cm="1">
        <f t="array" aca="true" ref="R2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8" s="733" cm="1">
        <f t="array" aca="true" ref="S218" ca="true">COUNTIFS('Unit-Level Data'!$L:$L, "&gt;=" &amp; ($X$2 - Q$5),
          'Unit-Level Data'!$L:$L, "&lt;" &amp; $X$2,
          'Unit-Level Data'!$D:$D, INDIRECT("C"&amp;ROW()),
          'Unit-Level Data'!$B:$B, INDIRECT("B"&amp;ROW()))</f>
        <v>0</v>
      </c>
      <c r="T218" s="738" t="str" cm="1">
        <f t="array" aca="true" ref="T2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8" s="760" t="str" cm="1">
        <f t="array" aca="true" ref="U2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8" s="733" cm="1">
        <f t="array" aca="true" ref="V218" ca="true">COUNTIFS('Unit-Level Data'!$L:$L, "&gt;=" &amp; ($X$2 - T$5),
          'Unit-Level Data'!$L:$L, "&lt;" &amp; $X$2,
          'Unit-Level Data'!$D:$D, INDIRECT("C"&amp;ROW()),
          'Unit-Level Data'!$B:$B, INDIRECT("B"&amp;ROW()))</f>
        <v>0</v>
      </c>
      <c r="W218" s="738" t="str" cm="1">
        <f t="array" aca="true" ref="W2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8" s="760" t="str" cm="1">
        <f t="array" aca="true" ref="X2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8" s="733" cm="1">
        <f t="array" aca="true" ref="Y218" ca="true">COUNTIFS('Unit-Level Data'!$L:$L, "&gt;=" &amp; ($X$2 - W$5),
          'Unit-Level Data'!$L:$L, "&lt;" &amp; $X$2,
          'Unit-Level Data'!$D:$D, INDIRECT("C"&amp;ROW()),
          'Unit-Level Data'!$B:$B, INDIRECT("B"&amp;ROW()))</f>
        <v>0</v>
      </c>
      <c r="Z218" s="761"/>
      <c r="AA218" s="735" cm="1">
        <f t="array" aca="true" ref="AA218" ca="true">IFERROR(AVERAGEIFS(
  unit_details[Sqft],
  unit_details[Property Name], INDIRECT("B"&amp;ROW()),
  unit_details[Floorplan Name], INDIRECT("C"&amp;ROW()),
  unit_details[Beds], INDIRECT("D"&amp;ROW()),
  unit_details[Detected Unit Amenities], "*"&amp;$AB$3&amp;"*",
  unit_details[Leased Date], "&gt;=" &amp; ($X$2 - $AD$3)
),0)</f>
        <v>0</v>
      </c>
      <c r="AB218" s="734" cm="1">
        <f t="array" aca="true" ref="AB2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8" s="733" cm="1">
        <f t="array" aca="true" ref="AC218" ca="true">IFERROR(COUNTIFS(
  unit_details[Property Name], INDIRECT("B"&amp;ROW()),
  unit_details[Floorplan Name], INDIRECT("C"&amp;ROW()),
  unit_details[Beds], INDIRECT("D"&amp;ROW()),
  unit_details[Detected Unit Amenities], "*"&amp;$AB$3&amp;"*",
  unit_details[Leased Date], "&gt;=" &amp; ($X$2 - $AD$3)
),0)</f>
        <v>0</v>
      </c>
      <c r="AD218" s="735" cm="1">
        <f t="array" aca="true" ref="AD218" ca="true">IFERROR(AVERAGEIFS(
  unit_details[Sqft],
  unit_details[Property Name], INDIRECT("B"&amp;ROW()),
  unit_details[Floorplan Name], INDIRECT("C"&amp;ROW()),
  unit_details[Beds], INDIRECT("D"&amp;ROW()),
  unit_details[Detected Unit Amenities], "&lt;&gt;*"&amp;$AB$3&amp;"*",
  unit_details[Leased Date], "&gt;=" &amp; ($X$2 - $AD$3)
),0)</f>
        <v>0</v>
      </c>
      <c r="AE218" s="734" cm="1">
        <f t="array" aca="true" ref="AE2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8" s="733" cm="1">
        <f t="array" aca="true" ref="AF218" ca="true">IFERROR(COUNTIFS(
  unit_details[Property Name], INDIRECT("B"&amp;ROW()),
  unit_details[Floorplan Name], INDIRECT("C"&amp;ROW()),
  unit_details[Beds], INDIRECT("D"&amp;ROW()),
  unit_details[Detected Unit Amenities], "&lt;&gt;*"&amp;$AB$3&amp;"*",
  unit_details[Leased Date], "&gt;=" &amp; ($X$2 - $AD$3)
),0)</f>
        <v>0</v>
      </c>
      <c r="AG218" s="735"/>
      <c r="AH218" s="738">
        <f t="shared" ca="true" si="8"/>
        <v>0</v>
      </c>
      <c r="AI218" s="739">
        <f t="shared" ca="true" si="9"/>
        <v>0</v>
      </c>
    </row>
    <row r="219" spans="2:35">
      <c r="B219" s="1"/>
      <c r="C219" s="80"/>
      <c r="E219" s="303"/>
      <c r="F219" s="303"/>
      <c r="J219" s="345"/>
      <c r="K219" s="6"/>
      <c r="M219" s="6"/>
      <c r="N219" s="738" t="str" cm="1">
        <f t="array" aca="true" ref="N219" ca="true">IFERROR(IF($O$3="Chunk Rent",
AVERAGEIFS('Unit-Level Data'!$O:$O,'Unit-Level Data'!$M:$M,TRUE,
          'Unit-Level Data'!$D:$D, INDIRECT("C"&amp;ROW()),
          'Unit-Level Data'!$B:$B, INDIRECT("B"&amp;ROW())),
AVERAGEIFS('Unit-Level Data'!$P:$P,'Unit-Level Data'!$M:$M,TRUE,
          'Unit-Level Data'!$D:$D, INDIRECT("C"&amp;ROW()),
          'Unit-Level Data'!$B:$B, INDIRECT("B"&amp;ROW()))),"")</f>
      </c>
      <c r="O219" s="760" t="str" cm="1">
        <f t="array" aca="true" ref="O219" ca="true">IFERROR(IF($O$3="Chunk Rent",
AVERAGEIFS('Unit-Level Data'!$Q:$Q,'Unit-Level Data'!$M:$M,TRUE,
          'Unit-Level Data'!$D:$D, INDIRECT("C"&amp;ROW()),
          'Unit-Level Data'!$B:$B, INDIRECT("B"&amp;ROW())),
AVERAGEIFS('Unit-Level Data'!$R:$R,'Unit-Level Data'!$M:$M,TRUE,
          'Unit-Level Data'!$D:$D, INDIRECT("C"&amp;ROW()),
          'Unit-Level Data'!$B:$B, INDIRECT("B"&amp;ROW()))),"")</f>
      </c>
      <c r="P219" s="733" cm="1">
        <f t="array" aca="true" ref="P219" ca="true">COUNTIFS('Unit-Level Data'!$M:$M,TRUE,
          'Unit-Level Data'!$D:$D, INDIRECT("C"&amp;ROW()),
          'Unit-Level Data'!$B:$B, INDIRECT("B"&amp;ROW()))</f>
        <v>0</v>
      </c>
      <c r="Q219" s="738" t="str" cm="1">
        <f t="array" aca="true" ref="Q2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9" s="760" t="str" cm="1">
        <f t="array" aca="true" ref="R2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9" s="733" cm="1">
        <f t="array" aca="true" ref="S219" ca="true">COUNTIFS('Unit-Level Data'!$L:$L, "&gt;=" &amp; ($X$2 - Q$5),
          'Unit-Level Data'!$L:$L, "&lt;" &amp; $X$2,
          'Unit-Level Data'!$D:$D, INDIRECT("C"&amp;ROW()),
          'Unit-Level Data'!$B:$B, INDIRECT("B"&amp;ROW()))</f>
        <v>0</v>
      </c>
      <c r="T219" s="738" t="str" cm="1">
        <f t="array" aca="true" ref="T2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9" s="760" t="str" cm="1">
        <f t="array" aca="true" ref="U2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9" s="733" cm="1">
        <f t="array" aca="true" ref="V219" ca="true">COUNTIFS('Unit-Level Data'!$L:$L, "&gt;=" &amp; ($X$2 - T$5),
          'Unit-Level Data'!$L:$L, "&lt;" &amp; $X$2,
          'Unit-Level Data'!$D:$D, INDIRECT("C"&amp;ROW()),
          'Unit-Level Data'!$B:$B, INDIRECT("B"&amp;ROW()))</f>
        <v>0</v>
      </c>
      <c r="W219" s="738" t="str" cm="1">
        <f t="array" aca="true" ref="W2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9" s="760" t="str" cm="1">
        <f t="array" aca="true" ref="X2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9" s="733" cm="1">
        <f t="array" aca="true" ref="Y219" ca="true">COUNTIFS('Unit-Level Data'!$L:$L, "&gt;=" &amp; ($X$2 - W$5),
          'Unit-Level Data'!$L:$L, "&lt;" &amp; $X$2,
          'Unit-Level Data'!$D:$D, INDIRECT("C"&amp;ROW()),
          'Unit-Level Data'!$B:$B, INDIRECT("B"&amp;ROW()))</f>
        <v>0</v>
      </c>
      <c r="Z219" s="761"/>
      <c r="AA219" s="735" cm="1">
        <f t="array" aca="true" ref="AA219" ca="true">IFERROR(AVERAGEIFS(
  unit_details[Sqft],
  unit_details[Property Name], INDIRECT("B"&amp;ROW()),
  unit_details[Floorplan Name], INDIRECT("C"&amp;ROW()),
  unit_details[Beds], INDIRECT("D"&amp;ROW()),
  unit_details[Detected Unit Amenities], "*"&amp;$AB$3&amp;"*",
  unit_details[Leased Date], "&gt;=" &amp; ($X$2 - $AD$3)
),0)</f>
        <v>0</v>
      </c>
      <c r="AB219" s="734" cm="1">
        <f t="array" aca="true" ref="AB2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9" s="733" cm="1">
        <f t="array" aca="true" ref="AC219" ca="true">IFERROR(COUNTIFS(
  unit_details[Property Name], INDIRECT("B"&amp;ROW()),
  unit_details[Floorplan Name], INDIRECT("C"&amp;ROW()),
  unit_details[Beds], INDIRECT("D"&amp;ROW()),
  unit_details[Detected Unit Amenities], "*"&amp;$AB$3&amp;"*",
  unit_details[Leased Date], "&gt;=" &amp; ($X$2 - $AD$3)
),0)</f>
        <v>0</v>
      </c>
      <c r="AD219" s="735" cm="1">
        <f t="array" aca="true" ref="AD219" ca="true">IFERROR(AVERAGEIFS(
  unit_details[Sqft],
  unit_details[Property Name], INDIRECT("B"&amp;ROW()),
  unit_details[Floorplan Name], INDIRECT("C"&amp;ROW()),
  unit_details[Beds], INDIRECT("D"&amp;ROW()),
  unit_details[Detected Unit Amenities], "&lt;&gt;*"&amp;$AB$3&amp;"*",
  unit_details[Leased Date], "&gt;=" &amp; ($X$2 - $AD$3)
),0)</f>
        <v>0</v>
      </c>
      <c r="AE219" s="734" cm="1">
        <f t="array" aca="true" ref="AE2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9" s="733" cm="1">
        <f t="array" aca="true" ref="AF219" ca="true">IFERROR(COUNTIFS(
  unit_details[Property Name], INDIRECT("B"&amp;ROW()),
  unit_details[Floorplan Name], INDIRECT("C"&amp;ROW()),
  unit_details[Beds], INDIRECT("D"&amp;ROW()),
  unit_details[Detected Unit Amenities], "&lt;&gt;*"&amp;$AB$3&amp;"*",
  unit_details[Leased Date], "&gt;=" &amp; ($X$2 - $AD$3)
),0)</f>
        <v>0</v>
      </c>
      <c r="AG219" s="735"/>
      <c r="AH219" s="738">
        <f t="shared" ca="true" si="8"/>
        <v>0</v>
      </c>
      <c r="AI219" s="739">
        <f t="shared" ca="true" si="9"/>
        <v>0</v>
      </c>
    </row>
    <row r="220" spans="2:35">
      <c r="B220" s="1"/>
      <c r="C220" s="80"/>
      <c r="E220" s="303"/>
      <c r="F220" s="303"/>
      <c r="J220" s="345"/>
      <c r="K220" s="6"/>
      <c r="M220" s="6"/>
      <c r="N220" s="738" t="str" cm="1">
        <f t="array" aca="true" ref="N220" ca="true">IFERROR(IF($O$3="Chunk Rent",
AVERAGEIFS('Unit-Level Data'!$O:$O,'Unit-Level Data'!$M:$M,TRUE,
          'Unit-Level Data'!$D:$D, INDIRECT("C"&amp;ROW()),
          'Unit-Level Data'!$B:$B, INDIRECT("B"&amp;ROW())),
AVERAGEIFS('Unit-Level Data'!$P:$P,'Unit-Level Data'!$M:$M,TRUE,
          'Unit-Level Data'!$D:$D, INDIRECT("C"&amp;ROW()),
          'Unit-Level Data'!$B:$B, INDIRECT("B"&amp;ROW()))),"")</f>
      </c>
      <c r="O220" s="760" t="str" cm="1">
        <f t="array" aca="true" ref="O220" ca="true">IFERROR(IF($O$3="Chunk Rent",
AVERAGEIFS('Unit-Level Data'!$Q:$Q,'Unit-Level Data'!$M:$M,TRUE,
          'Unit-Level Data'!$D:$D, INDIRECT("C"&amp;ROW()),
          'Unit-Level Data'!$B:$B, INDIRECT("B"&amp;ROW())),
AVERAGEIFS('Unit-Level Data'!$R:$R,'Unit-Level Data'!$M:$M,TRUE,
          'Unit-Level Data'!$D:$D, INDIRECT("C"&amp;ROW()),
          'Unit-Level Data'!$B:$B, INDIRECT("B"&amp;ROW()))),"")</f>
      </c>
      <c r="P220" s="733" cm="1">
        <f t="array" aca="true" ref="P220" ca="true">COUNTIFS('Unit-Level Data'!$M:$M,TRUE,
          'Unit-Level Data'!$D:$D, INDIRECT("C"&amp;ROW()),
          'Unit-Level Data'!$B:$B, INDIRECT("B"&amp;ROW()))</f>
        <v>0</v>
      </c>
      <c r="Q220" s="738" t="str" cm="1">
        <f t="array" aca="true" ref="Q2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0" s="760" t="str" cm="1">
        <f t="array" aca="true" ref="R2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0" s="733" cm="1">
        <f t="array" aca="true" ref="S220" ca="true">COUNTIFS('Unit-Level Data'!$L:$L, "&gt;=" &amp; ($X$2 - Q$5),
          'Unit-Level Data'!$L:$L, "&lt;" &amp; $X$2,
          'Unit-Level Data'!$D:$D, INDIRECT("C"&amp;ROW()),
          'Unit-Level Data'!$B:$B, INDIRECT("B"&amp;ROW()))</f>
        <v>0</v>
      </c>
      <c r="T220" s="738" t="str" cm="1">
        <f t="array" aca="true" ref="T2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0" s="760" t="str" cm="1">
        <f t="array" aca="true" ref="U2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0" s="733" cm="1">
        <f t="array" aca="true" ref="V220" ca="true">COUNTIFS('Unit-Level Data'!$L:$L, "&gt;=" &amp; ($X$2 - T$5),
          'Unit-Level Data'!$L:$L, "&lt;" &amp; $X$2,
          'Unit-Level Data'!$D:$D, INDIRECT("C"&amp;ROW()),
          'Unit-Level Data'!$B:$B, INDIRECT("B"&amp;ROW()))</f>
        <v>0</v>
      </c>
      <c r="W220" s="738" t="str" cm="1">
        <f t="array" aca="true" ref="W2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0" s="760" t="str" cm="1">
        <f t="array" aca="true" ref="X2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0" s="733" cm="1">
        <f t="array" aca="true" ref="Y220" ca="true">COUNTIFS('Unit-Level Data'!$L:$L, "&gt;=" &amp; ($X$2 - W$5),
          'Unit-Level Data'!$L:$L, "&lt;" &amp; $X$2,
          'Unit-Level Data'!$D:$D, INDIRECT("C"&amp;ROW()),
          'Unit-Level Data'!$B:$B, INDIRECT("B"&amp;ROW()))</f>
        <v>0</v>
      </c>
      <c r="Z220" s="761"/>
      <c r="AA220" s="735" cm="1">
        <f t="array" aca="true" ref="AA220" ca="true">IFERROR(AVERAGEIFS(
  unit_details[Sqft],
  unit_details[Property Name], INDIRECT("B"&amp;ROW()),
  unit_details[Floorplan Name], INDIRECT("C"&amp;ROW()),
  unit_details[Beds], INDIRECT("D"&amp;ROW()),
  unit_details[Detected Unit Amenities], "*"&amp;$AB$3&amp;"*",
  unit_details[Leased Date], "&gt;=" &amp; ($X$2 - $AD$3)
),0)</f>
        <v>0</v>
      </c>
      <c r="AB220" s="734" cm="1">
        <f t="array" aca="true" ref="AB2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0" s="733" cm="1">
        <f t="array" aca="true" ref="AC220" ca="true">IFERROR(COUNTIFS(
  unit_details[Property Name], INDIRECT("B"&amp;ROW()),
  unit_details[Floorplan Name], INDIRECT("C"&amp;ROW()),
  unit_details[Beds], INDIRECT("D"&amp;ROW()),
  unit_details[Detected Unit Amenities], "*"&amp;$AB$3&amp;"*",
  unit_details[Leased Date], "&gt;=" &amp; ($X$2 - $AD$3)
),0)</f>
        <v>0</v>
      </c>
      <c r="AD220" s="735" cm="1">
        <f t="array" aca="true" ref="AD220" ca="true">IFERROR(AVERAGEIFS(
  unit_details[Sqft],
  unit_details[Property Name], INDIRECT("B"&amp;ROW()),
  unit_details[Floorplan Name], INDIRECT("C"&amp;ROW()),
  unit_details[Beds], INDIRECT("D"&amp;ROW()),
  unit_details[Detected Unit Amenities], "&lt;&gt;*"&amp;$AB$3&amp;"*",
  unit_details[Leased Date], "&gt;=" &amp; ($X$2 - $AD$3)
),0)</f>
        <v>0</v>
      </c>
      <c r="AE220" s="734" cm="1">
        <f t="array" aca="true" ref="AE2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0" s="733" cm="1">
        <f t="array" aca="true" ref="AF220" ca="true">IFERROR(COUNTIFS(
  unit_details[Property Name], INDIRECT("B"&amp;ROW()),
  unit_details[Floorplan Name], INDIRECT("C"&amp;ROW()),
  unit_details[Beds], INDIRECT("D"&amp;ROW()),
  unit_details[Detected Unit Amenities], "&lt;&gt;*"&amp;$AB$3&amp;"*",
  unit_details[Leased Date], "&gt;=" &amp; ($X$2 - $AD$3)
),0)</f>
        <v>0</v>
      </c>
      <c r="AG220" s="735"/>
      <c r="AH220" s="738">
        <f t="shared" ca="true" si="8"/>
        <v>0</v>
      </c>
      <c r="AI220" s="739">
        <f t="shared" ca="true" si="9"/>
        <v>0</v>
      </c>
    </row>
    <row r="221" spans="2:35">
      <c r="B221" s="1"/>
      <c r="C221" s="80"/>
      <c r="E221" s="303"/>
      <c r="F221" s="303"/>
      <c r="J221" s="345"/>
      <c r="K221" s="6"/>
      <c r="M221" s="6"/>
      <c r="N221" s="738" t="str" cm="1">
        <f t="array" aca="true" ref="N221" ca="true">IFERROR(IF($O$3="Chunk Rent",
AVERAGEIFS('Unit-Level Data'!$O:$O,'Unit-Level Data'!$M:$M,TRUE,
          'Unit-Level Data'!$D:$D, INDIRECT("C"&amp;ROW()),
          'Unit-Level Data'!$B:$B, INDIRECT("B"&amp;ROW())),
AVERAGEIFS('Unit-Level Data'!$P:$P,'Unit-Level Data'!$M:$M,TRUE,
          'Unit-Level Data'!$D:$D, INDIRECT("C"&amp;ROW()),
          'Unit-Level Data'!$B:$B, INDIRECT("B"&amp;ROW()))),"")</f>
      </c>
      <c r="O221" s="760" t="str" cm="1">
        <f t="array" aca="true" ref="O221" ca="true">IFERROR(IF($O$3="Chunk Rent",
AVERAGEIFS('Unit-Level Data'!$Q:$Q,'Unit-Level Data'!$M:$M,TRUE,
          'Unit-Level Data'!$D:$D, INDIRECT("C"&amp;ROW()),
          'Unit-Level Data'!$B:$B, INDIRECT("B"&amp;ROW())),
AVERAGEIFS('Unit-Level Data'!$R:$R,'Unit-Level Data'!$M:$M,TRUE,
          'Unit-Level Data'!$D:$D, INDIRECT("C"&amp;ROW()),
          'Unit-Level Data'!$B:$B, INDIRECT("B"&amp;ROW()))),"")</f>
      </c>
      <c r="P221" s="733" cm="1">
        <f t="array" aca="true" ref="P221" ca="true">COUNTIFS('Unit-Level Data'!$M:$M,TRUE,
          'Unit-Level Data'!$D:$D, INDIRECT("C"&amp;ROW()),
          'Unit-Level Data'!$B:$B, INDIRECT("B"&amp;ROW()))</f>
        <v>0</v>
      </c>
      <c r="Q221" s="738" t="str" cm="1">
        <f t="array" aca="true" ref="Q2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1" s="760" t="str" cm="1">
        <f t="array" aca="true" ref="R2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1" s="733" cm="1">
        <f t="array" aca="true" ref="S221" ca="true">COUNTIFS('Unit-Level Data'!$L:$L, "&gt;=" &amp; ($X$2 - Q$5),
          'Unit-Level Data'!$L:$L, "&lt;" &amp; $X$2,
          'Unit-Level Data'!$D:$D, INDIRECT("C"&amp;ROW()),
          'Unit-Level Data'!$B:$B, INDIRECT("B"&amp;ROW()))</f>
        <v>0</v>
      </c>
      <c r="T221" s="738" t="str" cm="1">
        <f t="array" aca="true" ref="T2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1" s="760" t="str" cm="1">
        <f t="array" aca="true" ref="U2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1" s="733" cm="1">
        <f t="array" aca="true" ref="V221" ca="true">COUNTIFS('Unit-Level Data'!$L:$L, "&gt;=" &amp; ($X$2 - T$5),
          'Unit-Level Data'!$L:$L, "&lt;" &amp; $X$2,
          'Unit-Level Data'!$D:$D, INDIRECT("C"&amp;ROW()),
          'Unit-Level Data'!$B:$B, INDIRECT("B"&amp;ROW()))</f>
        <v>0</v>
      </c>
      <c r="W221" s="738" t="str" cm="1">
        <f t="array" aca="true" ref="W2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1" s="760" t="str" cm="1">
        <f t="array" aca="true" ref="X2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1" s="733" cm="1">
        <f t="array" aca="true" ref="Y221" ca="true">COUNTIFS('Unit-Level Data'!$L:$L, "&gt;=" &amp; ($X$2 - W$5),
          'Unit-Level Data'!$L:$L, "&lt;" &amp; $X$2,
          'Unit-Level Data'!$D:$D, INDIRECT("C"&amp;ROW()),
          'Unit-Level Data'!$B:$B, INDIRECT("B"&amp;ROW()))</f>
        <v>0</v>
      </c>
      <c r="Z221" s="761"/>
      <c r="AA221" s="735" cm="1">
        <f t="array" aca="true" ref="AA221" ca="true">IFERROR(AVERAGEIFS(
  unit_details[Sqft],
  unit_details[Property Name], INDIRECT("B"&amp;ROW()),
  unit_details[Floorplan Name], INDIRECT("C"&amp;ROW()),
  unit_details[Beds], INDIRECT("D"&amp;ROW()),
  unit_details[Detected Unit Amenities], "*"&amp;$AB$3&amp;"*",
  unit_details[Leased Date], "&gt;=" &amp; ($X$2 - $AD$3)
),0)</f>
        <v>0</v>
      </c>
      <c r="AB221" s="734" cm="1">
        <f t="array" aca="true" ref="AB2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1" s="733" cm="1">
        <f t="array" aca="true" ref="AC221" ca="true">IFERROR(COUNTIFS(
  unit_details[Property Name], INDIRECT("B"&amp;ROW()),
  unit_details[Floorplan Name], INDIRECT("C"&amp;ROW()),
  unit_details[Beds], INDIRECT("D"&amp;ROW()),
  unit_details[Detected Unit Amenities], "*"&amp;$AB$3&amp;"*",
  unit_details[Leased Date], "&gt;=" &amp; ($X$2 - $AD$3)
),0)</f>
        <v>0</v>
      </c>
      <c r="AD221" s="735" cm="1">
        <f t="array" aca="true" ref="AD221" ca="true">IFERROR(AVERAGEIFS(
  unit_details[Sqft],
  unit_details[Property Name], INDIRECT("B"&amp;ROW()),
  unit_details[Floorplan Name], INDIRECT("C"&amp;ROW()),
  unit_details[Beds], INDIRECT("D"&amp;ROW()),
  unit_details[Detected Unit Amenities], "&lt;&gt;*"&amp;$AB$3&amp;"*",
  unit_details[Leased Date], "&gt;=" &amp; ($X$2 - $AD$3)
),0)</f>
        <v>0</v>
      </c>
      <c r="AE221" s="734" cm="1">
        <f t="array" aca="true" ref="AE2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1" s="733" cm="1">
        <f t="array" aca="true" ref="AF221" ca="true">IFERROR(COUNTIFS(
  unit_details[Property Name], INDIRECT("B"&amp;ROW()),
  unit_details[Floorplan Name], INDIRECT("C"&amp;ROW()),
  unit_details[Beds], INDIRECT("D"&amp;ROW()),
  unit_details[Detected Unit Amenities], "&lt;&gt;*"&amp;$AB$3&amp;"*",
  unit_details[Leased Date], "&gt;=" &amp; ($X$2 - $AD$3)
),0)</f>
        <v>0</v>
      </c>
      <c r="AG221" s="735"/>
      <c r="AH221" s="738">
        <f t="shared" ca="true" si="8"/>
        <v>0</v>
      </c>
      <c r="AI221" s="739">
        <f t="shared" ca="true" si="9"/>
        <v>0</v>
      </c>
    </row>
    <row r="222" spans="2:35">
      <c r="B222" s="1"/>
      <c r="C222" s="80"/>
      <c r="E222" s="303"/>
      <c r="F222" s="303"/>
      <c r="J222" s="345"/>
      <c r="K222" s="6"/>
      <c r="M222" s="6"/>
      <c r="N222" s="738" t="str" cm="1">
        <f t="array" aca="true" ref="N222" ca="true">IFERROR(IF($O$3="Chunk Rent",
AVERAGEIFS('Unit-Level Data'!$O:$O,'Unit-Level Data'!$M:$M,TRUE,
          'Unit-Level Data'!$D:$D, INDIRECT("C"&amp;ROW()),
          'Unit-Level Data'!$B:$B, INDIRECT("B"&amp;ROW())),
AVERAGEIFS('Unit-Level Data'!$P:$P,'Unit-Level Data'!$M:$M,TRUE,
          'Unit-Level Data'!$D:$D, INDIRECT("C"&amp;ROW()),
          'Unit-Level Data'!$B:$B, INDIRECT("B"&amp;ROW()))),"")</f>
      </c>
      <c r="O222" s="760" t="str" cm="1">
        <f t="array" aca="true" ref="O222" ca="true">IFERROR(IF($O$3="Chunk Rent",
AVERAGEIFS('Unit-Level Data'!$Q:$Q,'Unit-Level Data'!$M:$M,TRUE,
          'Unit-Level Data'!$D:$D, INDIRECT("C"&amp;ROW()),
          'Unit-Level Data'!$B:$B, INDIRECT("B"&amp;ROW())),
AVERAGEIFS('Unit-Level Data'!$R:$R,'Unit-Level Data'!$M:$M,TRUE,
          'Unit-Level Data'!$D:$D, INDIRECT("C"&amp;ROW()),
          'Unit-Level Data'!$B:$B, INDIRECT("B"&amp;ROW()))),"")</f>
      </c>
      <c r="P222" s="733" cm="1">
        <f t="array" aca="true" ref="P222" ca="true">COUNTIFS('Unit-Level Data'!$M:$M,TRUE,
          'Unit-Level Data'!$D:$D, INDIRECT("C"&amp;ROW()),
          'Unit-Level Data'!$B:$B, INDIRECT("B"&amp;ROW()))</f>
        <v>0</v>
      </c>
      <c r="Q222" s="738" t="str" cm="1">
        <f t="array" aca="true" ref="Q2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2" s="760" t="str" cm="1">
        <f t="array" aca="true" ref="R2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2" s="733" cm="1">
        <f t="array" aca="true" ref="S222" ca="true">COUNTIFS('Unit-Level Data'!$L:$L, "&gt;=" &amp; ($X$2 - Q$5),
          'Unit-Level Data'!$L:$L, "&lt;" &amp; $X$2,
          'Unit-Level Data'!$D:$D, INDIRECT("C"&amp;ROW()),
          'Unit-Level Data'!$B:$B, INDIRECT("B"&amp;ROW()))</f>
        <v>0</v>
      </c>
      <c r="T222" s="738" t="str" cm="1">
        <f t="array" aca="true" ref="T2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2" s="760" t="str" cm="1">
        <f t="array" aca="true" ref="U2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2" s="733" cm="1">
        <f t="array" aca="true" ref="V222" ca="true">COUNTIFS('Unit-Level Data'!$L:$L, "&gt;=" &amp; ($X$2 - T$5),
          'Unit-Level Data'!$L:$L, "&lt;" &amp; $X$2,
          'Unit-Level Data'!$D:$D, INDIRECT("C"&amp;ROW()),
          'Unit-Level Data'!$B:$B, INDIRECT("B"&amp;ROW()))</f>
        <v>0</v>
      </c>
      <c r="W222" s="738" t="str" cm="1">
        <f t="array" aca="true" ref="W2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2" s="760" t="str" cm="1">
        <f t="array" aca="true" ref="X2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2" s="733" cm="1">
        <f t="array" aca="true" ref="Y222" ca="true">COUNTIFS('Unit-Level Data'!$L:$L, "&gt;=" &amp; ($X$2 - W$5),
          'Unit-Level Data'!$L:$L, "&lt;" &amp; $X$2,
          'Unit-Level Data'!$D:$D, INDIRECT("C"&amp;ROW()),
          'Unit-Level Data'!$B:$B, INDIRECT("B"&amp;ROW()))</f>
        <v>0</v>
      </c>
      <c r="Z222" s="761"/>
      <c r="AA222" s="735" cm="1">
        <f t="array" aca="true" ref="AA222" ca="true">IFERROR(AVERAGEIFS(
  unit_details[Sqft],
  unit_details[Property Name], INDIRECT("B"&amp;ROW()),
  unit_details[Floorplan Name], INDIRECT("C"&amp;ROW()),
  unit_details[Beds], INDIRECT("D"&amp;ROW()),
  unit_details[Detected Unit Amenities], "*"&amp;$AB$3&amp;"*",
  unit_details[Leased Date], "&gt;=" &amp; ($X$2 - $AD$3)
),0)</f>
        <v>0</v>
      </c>
      <c r="AB222" s="734" cm="1">
        <f t="array" aca="true" ref="AB2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2" s="733" cm="1">
        <f t="array" aca="true" ref="AC222" ca="true">IFERROR(COUNTIFS(
  unit_details[Property Name], INDIRECT("B"&amp;ROW()),
  unit_details[Floorplan Name], INDIRECT("C"&amp;ROW()),
  unit_details[Beds], INDIRECT("D"&amp;ROW()),
  unit_details[Detected Unit Amenities], "*"&amp;$AB$3&amp;"*",
  unit_details[Leased Date], "&gt;=" &amp; ($X$2 - $AD$3)
),0)</f>
        <v>0</v>
      </c>
      <c r="AD222" s="735" cm="1">
        <f t="array" aca="true" ref="AD222" ca="true">IFERROR(AVERAGEIFS(
  unit_details[Sqft],
  unit_details[Property Name], INDIRECT("B"&amp;ROW()),
  unit_details[Floorplan Name], INDIRECT("C"&amp;ROW()),
  unit_details[Beds], INDIRECT("D"&amp;ROW()),
  unit_details[Detected Unit Amenities], "&lt;&gt;*"&amp;$AB$3&amp;"*",
  unit_details[Leased Date], "&gt;=" &amp; ($X$2 - $AD$3)
),0)</f>
        <v>0</v>
      </c>
      <c r="AE222" s="734" cm="1">
        <f t="array" aca="true" ref="AE2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2" s="733" cm="1">
        <f t="array" aca="true" ref="AF222" ca="true">IFERROR(COUNTIFS(
  unit_details[Property Name], INDIRECT("B"&amp;ROW()),
  unit_details[Floorplan Name], INDIRECT("C"&amp;ROW()),
  unit_details[Beds], INDIRECT("D"&amp;ROW()),
  unit_details[Detected Unit Amenities], "&lt;&gt;*"&amp;$AB$3&amp;"*",
  unit_details[Leased Date], "&gt;=" &amp; ($X$2 - $AD$3)
),0)</f>
        <v>0</v>
      </c>
      <c r="AG222" s="735"/>
      <c r="AH222" s="738">
        <f t="shared" ca="true" si="8"/>
        <v>0</v>
      </c>
      <c r="AI222" s="739">
        <f t="shared" ca="true" si="9"/>
        <v>0</v>
      </c>
    </row>
    <row r="223" spans="2:35">
      <c r="B223" s="1"/>
      <c r="C223" s="80"/>
      <c r="E223" s="303"/>
      <c r="F223" s="303"/>
      <c r="J223" s="345"/>
      <c r="K223" s="6"/>
      <c r="M223" s="6"/>
      <c r="N223" s="738" t="str" cm="1">
        <f t="array" aca="true" ref="N223" ca="true">IFERROR(IF($O$3="Chunk Rent",
AVERAGEIFS('Unit-Level Data'!$O:$O,'Unit-Level Data'!$M:$M,TRUE,
          'Unit-Level Data'!$D:$D, INDIRECT("C"&amp;ROW()),
          'Unit-Level Data'!$B:$B, INDIRECT("B"&amp;ROW())),
AVERAGEIFS('Unit-Level Data'!$P:$P,'Unit-Level Data'!$M:$M,TRUE,
          'Unit-Level Data'!$D:$D, INDIRECT("C"&amp;ROW()),
          'Unit-Level Data'!$B:$B, INDIRECT("B"&amp;ROW()))),"")</f>
      </c>
      <c r="O223" s="760" t="str" cm="1">
        <f t="array" aca="true" ref="O223" ca="true">IFERROR(IF($O$3="Chunk Rent",
AVERAGEIFS('Unit-Level Data'!$Q:$Q,'Unit-Level Data'!$M:$M,TRUE,
          'Unit-Level Data'!$D:$D, INDIRECT("C"&amp;ROW()),
          'Unit-Level Data'!$B:$B, INDIRECT("B"&amp;ROW())),
AVERAGEIFS('Unit-Level Data'!$R:$R,'Unit-Level Data'!$M:$M,TRUE,
          'Unit-Level Data'!$D:$D, INDIRECT("C"&amp;ROW()),
          'Unit-Level Data'!$B:$B, INDIRECT("B"&amp;ROW()))),"")</f>
      </c>
      <c r="P223" s="733" cm="1">
        <f t="array" aca="true" ref="P223" ca="true">COUNTIFS('Unit-Level Data'!$M:$M,TRUE,
          'Unit-Level Data'!$D:$D, INDIRECT("C"&amp;ROW()),
          'Unit-Level Data'!$B:$B, INDIRECT("B"&amp;ROW()))</f>
        <v>0</v>
      </c>
      <c r="Q223" s="738" t="str" cm="1">
        <f t="array" aca="true" ref="Q2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3" s="760" t="str" cm="1">
        <f t="array" aca="true" ref="R2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3" s="733" cm="1">
        <f t="array" aca="true" ref="S223" ca="true">COUNTIFS('Unit-Level Data'!$L:$L, "&gt;=" &amp; ($X$2 - Q$5),
          'Unit-Level Data'!$L:$L, "&lt;" &amp; $X$2,
          'Unit-Level Data'!$D:$D, INDIRECT("C"&amp;ROW()),
          'Unit-Level Data'!$B:$B, INDIRECT("B"&amp;ROW()))</f>
        <v>0</v>
      </c>
      <c r="T223" s="738" t="str" cm="1">
        <f t="array" aca="true" ref="T2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3" s="760" t="str" cm="1">
        <f t="array" aca="true" ref="U2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3" s="733" cm="1">
        <f t="array" aca="true" ref="V223" ca="true">COUNTIFS('Unit-Level Data'!$L:$L, "&gt;=" &amp; ($X$2 - T$5),
          'Unit-Level Data'!$L:$L, "&lt;" &amp; $X$2,
          'Unit-Level Data'!$D:$D, INDIRECT("C"&amp;ROW()),
          'Unit-Level Data'!$B:$B, INDIRECT("B"&amp;ROW()))</f>
        <v>0</v>
      </c>
      <c r="W223" s="738" t="str" cm="1">
        <f t="array" aca="true" ref="W2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3" s="760" t="str" cm="1">
        <f t="array" aca="true" ref="X2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3" s="733" cm="1">
        <f t="array" aca="true" ref="Y223" ca="true">COUNTIFS('Unit-Level Data'!$L:$L, "&gt;=" &amp; ($X$2 - W$5),
          'Unit-Level Data'!$L:$L, "&lt;" &amp; $X$2,
          'Unit-Level Data'!$D:$D, INDIRECT("C"&amp;ROW()),
          'Unit-Level Data'!$B:$B, INDIRECT("B"&amp;ROW()))</f>
        <v>0</v>
      </c>
      <c r="Z223" s="761"/>
      <c r="AA223" s="735" cm="1">
        <f t="array" aca="true" ref="AA223" ca="true">IFERROR(AVERAGEIFS(
  unit_details[Sqft],
  unit_details[Property Name], INDIRECT("B"&amp;ROW()),
  unit_details[Floorplan Name], INDIRECT("C"&amp;ROW()),
  unit_details[Beds], INDIRECT("D"&amp;ROW()),
  unit_details[Detected Unit Amenities], "*"&amp;$AB$3&amp;"*",
  unit_details[Leased Date], "&gt;=" &amp; ($X$2 - $AD$3)
),0)</f>
        <v>0</v>
      </c>
      <c r="AB223" s="734" cm="1">
        <f t="array" aca="true" ref="AB2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3" s="733" cm="1">
        <f t="array" aca="true" ref="AC223" ca="true">IFERROR(COUNTIFS(
  unit_details[Property Name], INDIRECT("B"&amp;ROW()),
  unit_details[Floorplan Name], INDIRECT("C"&amp;ROW()),
  unit_details[Beds], INDIRECT("D"&amp;ROW()),
  unit_details[Detected Unit Amenities], "*"&amp;$AB$3&amp;"*",
  unit_details[Leased Date], "&gt;=" &amp; ($X$2 - $AD$3)
),0)</f>
        <v>0</v>
      </c>
      <c r="AD223" s="735" cm="1">
        <f t="array" aca="true" ref="AD223" ca="true">IFERROR(AVERAGEIFS(
  unit_details[Sqft],
  unit_details[Property Name], INDIRECT("B"&amp;ROW()),
  unit_details[Floorplan Name], INDIRECT("C"&amp;ROW()),
  unit_details[Beds], INDIRECT("D"&amp;ROW()),
  unit_details[Detected Unit Amenities], "&lt;&gt;*"&amp;$AB$3&amp;"*",
  unit_details[Leased Date], "&gt;=" &amp; ($X$2 - $AD$3)
),0)</f>
        <v>0</v>
      </c>
      <c r="AE223" s="734" cm="1">
        <f t="array" aca="true" ref="AE2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3" s="733" cm="1">
        <f t="array" aca="true" ref="AF223" ca="true">IFERROR(COUNTIFS(
  unit_details[Property Name], INDIRECT("B"&amp;ROW()),
  unit_details[Floorplan Name], INDIRECT("C"&amp;ROW()),
  unit_details[Beds], INDIRECT("D"&amp;ROW()),
  unit_details[Detected Unit Amenities], "&lt;&gt;*"&amp;$AB$3&amp;"*",
  unit_details[Leased Date], "&gt;=" &amp; ($X$2 - $AD$3)
),0)</f>
        <v>0</v>
      </c>
      <c r="AG223" s="735"/>
      <c r="AH223" s="738">
        <f t="shared" ca="true" si="8"/>
        <v>0</v>
      </c>
      <c r="AI223" s="739">
        <f t="shared" ca="true" si="9"/>
        <v>0</v>
      </c>
    </row>
    <row r="224" spans="2:35">
      <c r="B224" s="1"/>
      <c r="C224" s="80"/>
      <c r="E224" s="303"/>
      <c r="F224" s="303"/>
      <c r="J224" s="345"/>
      <c r="K224" s="6"/>
      <c r="M224" s="6"/>
      <c r="N224" s="738" t="str" cm="1">
        <f t="array" aca="true" ref="N224" ca="true">IFERROR(IF($O$3="Chunk Rent",
AVERAGEIFS('Unit-Level Data'!$O:$O,'Unit-Level Data'!$M:$M,TRUE,
          'Unit-Level Data'!$D:$D, INDIRECT("C"&amp;ROW()),
          'Unit-Level Data'!$B:$B, INDIRECT("B"&amp;ROW())),
AVERAGEIFS('Unit-Level Data'!$P:$P,'Unit-Level Data'!$M:$M,TRUE,
          'Unit-Level Data'!$D:$D, INDIRECT("C"&amp;ROW()),
          'Unit-Level Data'!$B:$B, INDIRECT("B"&amp;ROW()))),"")</f>
      </c>
      <c r="O224" s="760" t="str" cm="1">
        <f t="array" aca="true" ref="O224" ca="true">IFERROR(IF($O$3="Chunk Rent",
AVERAGEIFS('Unit-Level Data'!$Q:$Q,'Unit-Level Data'!$M:$M,TRUE,
          'Unit-Level Data'!$D:$D, INDIRECT("C"&amp;ROW()),
          'Unit-Level Data'!$B:$B, INDIRECT("B"&amp;ROW())),
AVERAGEIFS('Unit-Level Data'!$R:$R,'Unit-Level Data'!$M:$M,TRUE,
          'Unit-Level Data'!$D:$D, INDIRECT("C"&amp;ROW()),
          'Unit-Level Data'!$B:$B, INDIRECT("B"&amp;ROW()))),"")</f>
      </c>
      <c r="P224" s="733" cm="1">
        <f t="array" aca="true" ref="P224" ca="true">COUNTIFS('Unit-Level Data'!$M:$M,TRUE,
          'Unit-Level Data'!$D:$D, INDIRECT("C"&amp;ROW()),
          'Unit-Level Data'!$B:$B, INDIRECT("B"&amp;ROW()))</f>
        <v>0</v>
      </c>
      <c r="Q224" s="738" t="str" cm="1">
        <f t="array" aca="true" ref="Q2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4" s="760" t="str" cm="1">
        <f t="array" aca="true" ref="R2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4" s="733" cm="1">
        <f t="array" aca="true" ref="S224" ca="true">COUNTIFS('Unit-Level Data'!$L:$L, "&gt;=" &amp; ($X$2 - Q$5),
          'Unit-Level Data'!$L:$L, "&lt;" &amp; $X$2,
          'Unit-Level Data'!$D:$D, INDIRECT("C"&amp;ROW()),
          'Unit-Level Data'!$B:$B, INDIRECT("B"&amp;ROW()))</f>
        <v>0</v>
      </c>
      <c r="T224" s="738" t="str" cm="1">
        <f t="array" aca="true" ref="T2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4" s="760" t="str" cm="1">
        <f t="array" aca="true" ref="U2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4" s="733" cm="1">
        <f t="array" aca="true" ref="V224" ca="true">COUNTIFS('Unit-Level Data'!$L:$L, "&gt;=" &amp; ($X$2 - T$5),
          'Unit-Level Data'!$L:$L, "&lt;" &amp; $X$2,
          'Unit-Level Data'!$D:$D, INDIRECT("C"&amp;ROW()),
          'Unit-Level Data'!$B:$B, INDIRECT("B"&amp;ROW()))</f>
        <v>0</v>
      </c>
      <c r="W224" s="738" t="str" cm="1">
        <f t="array" aca="true" ref="W2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4" s="760" t="str" cm="1">
        <f t="array" aca="true" ref="X2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4" s="733" cm="1">
        <f t="array" aca="true" ref="Y224" ca="true">COUNTIFS('Unit-Level Data'!$L:$L, "&gt;=" &amp; ($X$2 - W$5),
          'Unit-Level Data'!$L:$L, "&lt;" &amp; $X$2,
          'Unit-Level Data'!$D:$D, INDIRECT("C"&amp;ROW()),
          'Unit-Level Data'!$B:$B, INDIRECT("B"&amp;ROW()))</f>
        <v>0</v>
      </c>
      <c r="Z224" s="761"/>
      <c r="AA224" s="735" cm="1">
        <f t="array" aca="true" ref="AA224" ca="true">IFERROR(AVERAGEIFS(
  unit_details[Sqft],
  unit_details[Property Name], INDIRECT("B"&amp;ROW()),
  unit_details[Floorplan Name], INDIRECT("C"&amp;ROW()),
  unit_details[Beds], INDIRECT("D"&amp;ROW()),
  unit_details[Detected Unit Amenities], "*"&amp;$AB$3&amp;"*",
  unit_details[Leased Date], "&gt;=" &amp; ($X$2 - $AD$3)
),0)</f>
        <v>0</v>
      </c>
      <c r="AB224" s="734" cm="1">
        <f t="array" aca="true" ref="AB2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4" s="733" cm="1">
        <f t="array" aca="true" ref="AC224" ca="true">IFERROR(COUNTIFS(
  unit_details[Property Name], INDIRECT("B"&amp;ROW()),
  unit_details[Floorplan Name], INDIRECT("C"&amp;ROW()),
  unit_details[Beds], INDIRECT("D"&amp;ROW()),
  unit_details[Detected Unit Amenities], "*"&amp;$AB$3&amp;"*",
  unit_details[Leased Date], "&gt;=" &amp; ($X$2 - $AD$3)
),0)</f>
        <v>0</v>
      </c>
      <c r="AD224" s="735" cm="1">
        <f t="array" aca="true" ref="AD224" ca="true">IFERROR(AVERAGEIFS(
  unit_details[Sqft],
  unit_details[Property Name], INDIRECT("B"&amp;ROW()),
  unit_details[Floorplan Name], INDIRECT("C"&amp;ROW()),
  unit_details[Beds], INDIRECT("D"&amp;ROW()),
  unit_details[Detected Unit Amenities], "&lt;&gt;*"&amp;$AB$3&amp;"*",
  unit_details[Leased Date], "&gt;=" &amp; ($X$2 - $AD$3)
),0)</f>
        <v>0</v>
      </c>
      <c r="AE224" s="734" cm="1">
        <f t="array" aca="true" ref="AE2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4" s="733" cm="1">
        <f t="array" aca="true" ref="AF224" ca="true">IFERROR(COUNTIFS(
  unit_details[Property Name], INDIRECT("B"&amp;ROW()),
  unit_details[Floorplan Name], INDIRECT("C"&amp;ROW()),
  unit_details[Beds], INDIRECT("D"&amp;ROW()),
  unit_details[Detected Unit Amenities], "&lt;&gt;*"&amp;$AB$3&amp;"*",
  unit_details[Leased Date], "&gt;=" &amp; ($X$2 - $AD$3)
),0)</f>
        <v>0</v>
      </c>
      <c r="AG224" s="735"/>
      <c r="AH224" s="738">
        <f t="shared" ca="true" si="8"/>
        <v>0</v>
      </c>
      <c r="AI224" s="739">
        <f t="shared" ca="true" si="9"/>
        <v>0</v>
      </c>
    </row>
    <row r="225" spans="2:35">
      <c r="B225" s="1"/>
      <c r="C225" s="80"/>
      <c r="E225" s="303"/>
      <c r="F225" s="303"/>
      <c r="J225" s="345"/>
      <c r="K225" s="6"/>
      <c r="M225" s="6"/>
      <c r="N225" s="738" t="str" cm="1">
        <f t="array" aca="true" ref="N225" ca="true">IFERROR(IF($O$3="Chunk Rent",
AVERAGEIFS('Unit-Level Data'!$O:$O,'Unit-Level Data'!$M:$M,TRUE,
          'Unit-Level Data'!$D:$D, INDIRECT("C"&amp;ROW()),
          'Unit-Level Data'!$B:$B, INDIRECT("B"&amp;ROW())),
AVERAGEIFS('Unit-Level Data'!$P:$P,'Unit-Level Data'!$M:$M,TRUE,
          'Unit-Level Data'!$D:$D, INDIRECT("C"&amp;ROW()),
          'Unit-Level Data'!$B:$B, INDIRECT("B"&amp;ROW()))),"")</f>
      </c>
      <c r="O225" s="760" t="str" cm="1">
        <f t="array" aca="true" ref="O225" ca="true">IFERROR(IF($O$3="Chunk Rent",
AVERAGEIFS('Unit-Level Data'!$Q:$Q,'Unit-Level Data'!$M:$M,TRUE,
          'Unit-Level Data'!$D:$D, INDIRECT("C"&amp;ROW()),
          'Unit-Level Data'!$B:$B, INDIRECT("B"&amp;ROW())),
AVERAGEIFS('Unit-Level Data'!$R:$R,'Unit-Level Data'!$M:$M,TRUE,
          'Unit-Level Data'!$D:$D, INDIRECT("C"&amp;ROW()),
          'Unit-Level Data'!$B:$B, INDIRECT("B"&amp;ROW()))),"")</f>
      </c>
      <c r="P225" s="733" cm="1">
        <f t="array" aca="true" ref="P225" ca="true">COUNTIFS('Unit-Level Data'!$M:$M,TRUE,
          'Unit-Level Data'!$D:$D, INDIRECT("C"&amp;ROW()),
          'Unit-Level Data'!$B:$B, INDIRECT("B"&amp;ROW()))</f>
        <v>0</v>
      </c>
      <c r="Q225" s="738" t="str" cm="1">
        <f t="array" aca="true" ref="Q2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5" s="760" t="str" cm="1">
        <f t="array" aca="true" ref="R2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5" s="733" cm="1">
        <f t="array" aca="true" ref="S225" ca="true">COUNTIFS('Unit-Level Data'!$L:$L, "&gt;=" &amp; ($X$2 - Q$5),
          'Unit-Level Data'!$L:$L, "&lt;" &amp; $X$2,
          'Unit-Level Data'!$D:$D, INDIRECT("C"&amp;ROW()),
          'Unit-Level Data'!$B:$B, INDIRECT("B"&amp;ROW()))</f>
        <v>0</v>
      </c>
      <c r="T225" s="738" t="str" cm="1">
        <f t="array" aca="true" ref="T2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5" s="760" t="str" cm="1">
        <f t="array" aca="true" ref="U2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5" s="733" cm="1">
        <f t="array" aca="true" ref="V225" ca="true">COUNTIFS('Unit-Level Data'!$L:$L, "&gt;=" &amp; ($X$2 - T$5),
          'Unit-Level Data'!$L:$L, "&lt;" &amp; $X$2,
          'Unit-Level Data'!$D:$D, INDIRECT("C"&amp;ROW()),
          'Unit-Level Data'!$B:$B, INDIRECT("B"&amp;ROW()))</f>
        <v>0</v>
      </c>
      <c r="W225" s="738" t="str" cm="1">
        <f t="array" aca="true" ref="W2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5" s="760" t="str" cm="1">
        <f t="array" aca="true" ref="X2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5" s="733" cm="1">
        <f t="array" aca="true" ref="Y225" ca="true">COUNTIFS('Unit-Level Data'!$L:$L, "&gt;=" &amp; ($X$2 - W$5),
          'Unit-Level Data'!$L:$L, "&lt;" &amp; $X$2,
          'Unit-Level Data'!$D:$D, INDIRECT("C"&amp;ROW()),
          'Unit-Level Data'!$B:$B, INDIRECT("B"&amp;ROW()))</f>
        <v>0</v>
      </c>
      <c r="Z225" s="761"/>
      <c r="AA225" s="735" cm="1">
        <f t="array" aca="true" ref="AA225" ca="true">IFERROR(AVERAGEIFS(
  unit_details[Sqft],
  unit_details[Property Name], INDIRECT("B"&amp;ROW()),
  unit_details[Floorplan Name], INDIRECT("C"&amp;ROW()),
  unit_details[Beds], INDIRECT("D"&amp;ROW()),
  unit_details[Detected Unit Amenities], "*"&amp;$AB$3&amp;"*",
  unit_details[Leased Date], "&gt;=" &amp; ($X$2 - $AD$3)
),0)</f>
        <v>0</v>
      </c>
      <c r="AB225" s="734" cm="1">
        <f t="array" aca="true" ref="AB2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5" s="733" cm="1">
        <f t="array" aca="true" ref="AC225" ca="true">IFERROR(COUNTIFS(
  unit_details[Property Name], INDIRECT("B"&amp;ROW()),
  unit_details[Floorplan Name], INDIRECT("C"&amp;ROW()),
  unit_details[Beds], INDIRECT("D"&amp;ROW()),
  unit_details[Detected Unit Amenities], "*"&amp;$AB$3&amp;"*",
  unit_details[Leased Date], "&gt;=" &amp; ($X$2 - $AD$3)
),0)</f>
        <v>0</v>
      </c>
      <c r="AD225" s="735" cm="1">
        <f t="array" aca="true" ref="AD225" ca="true">IFERROR(AVERAGEIFS(
  unit_details[Sqft],
  unit_details[Property Name], INDIRECT("B"&amp;ROW()),
  unit_details[Floorplan Name], INDIRECT("C"&amp;ROW()),
  unit_details[Beds], INDIRECT("D"&amp;ROW()),
  unit_details[Detected Unit Amenities], "&lt;&gt;*"&amp;$AB$3&amp;"*",
  unit_details[Leased Date], "&gt;=" &amp; ($X$2 - $AD$3)
),0)</f>
        <v>0</v>
      </c>
      <c r="AE225" s="734" cm="1">
        <f t="array" aca="true" ref="AE2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5" s="733" cm="1">
        <f t="array" aca="true" ref="AF225" ca="true">IFERROR(COUNTIFS(
  unit_details[Property Name], INDIRECT("B"&amp;ROW()),
  unit_details[Floorplan Name], INDIRECT("C"&amp;ROW()),
  unit_details[Beds], INDIRECT("D"&amp;ROW()),
  unit_details[Detected Unit Amenities], "&lt;&gt;*"&amp;$AB$3&amp;"*",
  unit_details[Leased Date], "&gt;=" &amp; ($X$2 - $AD$3)
),0)</f>
        <v>0</v>
      </c>
      <c r="AG225" s="735"/>
      <c r="AH225" s="738">
        <f t="shared" ca="true" si="8"/>
        <v>0</v>
      </c>
      <c r="AI225" s="739">
        <f t="shared" ca="true" si="9"/>
        <v>0</v>
      </c>
    </row>
    <row r="226" spans="2:35">
      <c r="B226" s="1"/>
      <c r="C226" s="80"/>
      <c r="E226" s="303"/>
      <c r="F226" s="303"/>
      <c r="J226" s="345"/>
      <c r="K226" s="6"/>
      <c r="M226" s="6"/>
      <c r="N226" s="738" t="str" cm="1">
        <f t="array" aca="true" ref="N226" ca="true">IFERROR(IF($O$3="Chunk Rent",
AVERAGEIFS('Unit-Level Data'!$O:$O,'Unit-Level Data'!$M:$M,TRUE,
          'Unit-Level Data'!$D:$D, INDIRECT("C"&amp;ROW()),
          'Unit-Level Data'!$B:$B, INDIRECT("B"&amp;ROW())),
AVERAGEIFS('Unit-Level Data'!$P:$P,'Unit-Level Data'!$M:$M,TRUE,
          'Unit-Level Data'!$D:$D, INDIRECT("C"&amp;ROW()),
          'Unit-Level Data'!$B:$B, INDIRECT("B"&amp;ROW()))),"")</f>
      </c>
      <c r="O226" s="760" t="str" cm="1">
        <f t="array" aca="true" ref="O226" ca="true">IFERROR(IF($O$3="Chunk Rent",
AVERAGEIFS('Unit-Level Data'!$Q:$Q,'Unit-Level Data'!$M:$M,TRUE,
          'Unit-Level Data'!$D:$D, INDIRECT("C"&amp;ROW()),
          'Unit-Level Data'!$B:$B, INDIRECT("B"&amp;ROW())),
AVERAGEIFS('Unit-Level Data'!$R:$R,'Unit-Level Data'!$M:$M,TRUE,
          'Unit-Level Data'!$D:$D, INDIRECT("C"&amp;ROW()),
          'Unit-Level Data'!$B:$B, INDIRECT("B"&amp;ROW()))),"")</f>
      </c>
      <c r="P226" s="733" cm="1">
        <f t="array" aca="true" ref="P226" ca="true">COUNTIFS('Unit-Level Data'!$M:$M,TRUE,
          'Unit-Level Data'!$D:$D, INDIRECT("C"&amp;ROW()),
          'Unit-Level Data'!$B:$B, INDIRECT("B"&amp;ROW()))</f>
        <v>0</v>
      </c>
      <c r="Q226" s="738" t="str" cm="1">
        <f t="array" aca="true" ref="Q2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6" s="760" t="str" cm="1">
        <f t="array" aca="true" ref="R2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6" s="733" cm="1">
        <f t="array" aca="true" ref="S226" ca="true">COUNTIFS('Unit-Level Data'!$L:$L, "&gt;=" &amp; ($X$2 - Q$5),
          'Unit-Level Data'!$L:$L, "&lt;" &amp; $X$2,
          'Unit-Level Data'!$D:$D, INDIRECT("C"&amp;ROW()),
          'Unit-Level Data'!$B:$B, INDIRECT("B"&amp;ROW()))</f>
        <v>0</v>
      </c>
      <c r="T226" s="738" t="str" cm="1">
        <f t="array" aca="true" ref="T2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6" s="760" t="str" cm="1">
        <f t="array" aca="true" ref="U2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6" s="733" cm="1">
        <f t="array" aca="true" ref="V226" ca="true">COUNTIFS('Unit-Level Data'!$L:$L, "&gt;=" &amp; ($X$2 - T$5),
          'Unit-Level Data'!$L:$L, "&lt;" &amp; $X$2,
          'Unit-Level Data'!$D:$D, INDIRECT("C"&amp;ROW()),
          'Unit-Level Data'!$B:$B, INDIRECT("B"&amp;ROW()))</f>
        <v>0</v>
      </c>
      <c r="W226" s="738" t="str" cm="1">
        <f t="array" aca="true" ref="W2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6" s="760" t="str" cm="1">
        <f t="array" aca="true" ref="X2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6" s="733" cm="1">
        <f t="array" aca="true" ref="Y226" ca="true">COUNTIFS('Unit-Level Data'!$L:$L, "&gt;=" &amp; ($X$2 - W$5),
          'Unit-Level Data'!$L:$L, "&lt;" &amp; $X$2,
          'Unit-Level Data'!$D:$D, INDIRECT("C"&amp;ROW()),
          'Unit-Level Data'!$B:$B, INDIRECT("B"&amp;ROW()))</f>
        <v>0</v>
      </c>
      <c r="Z226" s="761"/>
      <c r="AA226" s="735" cm="1">
        <f t="array" aca="true" ref="AA226" ca="true">IFERROR(AVERAGEIFS(
  unit_details[Sqft],
  unit_details[Property Name], INDIRECT("B"&amp;ROW()),
  unit_details[Floorplan Name], INDIRECT("C"&amp;ROW()),
  unit_details[Beds], INDIRECT("D"&amp;ROW()),
  unit_details[Detected Unit Amenities], "*"&amp;$AB$3&amp;"*",
  unit_details[Leased Date], "&gt;=" &amp; ($X$2 - $AD$3)
),0)</f>
        <v>0</v>
      </c>
      <c r="AB226" s="734" cm="1">
        <f t="array" aca="true" ref="AB2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6" s="733" cm="1">
        <f t="array" aca="true" ref="AC226" ca="true">IFERROR(COUNTIFS(
  unit_details[Property Name], INDIRECT("B"&amp;ROW()),
  unit_details[Floorplan Name], INDIRECT("C"&amp;ROW()),
  unit_details[Beds], INDIRECT("D"&amp;ROW()),
  unit_details[Detected Unit Amenities], "*"&amp;$AB$3&amp;"*",
  unit_details[Leased Date], "&gt;=" &amp; ($X$2 - $AD$3)
),0)</f>
        <v>0</v>
      </c>
      <c r="AD226" s="735" cm="1">
        <f t="array" aca="true" ref="AD226" ca="true">IFERROR(AVERAGEIFS(
  unit_details[Sqft],
  unit_details[Property Name], INDIRECT("B"&amp;ROW()),
  unit_details[Floorplan Name], INDIRECT("C"&amp;ROW()),
  unit_details[Beds], INDIRECT("D"&amp;ROW()),
  unit_details[Detected Unit Amenities], "&lt;&gt;*"&amp;$AB$3&amp;"*",
  unit_details[Leased Date], "&gt;=" &amp; ($X$2 - $AD$3)
),0)</f>
        <v>0</v>
      </c>
      <c r="AE226" s="734" cm="1">
        <f t="array" aca="true" ref="AE2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6" s="733" cm="1">
        <f t="array" aca="true" ref="AF226" ca="true">IFERROR(COUNTIFS(
  unit_details[Property Name], INDIRECT("B"&amp;ROW()),
  unit_details[Floorplan Name], INDIRECT("C"&amp;ROW()),
  unit_details[Beds], INDIRECT("D"&amp;ROW()),
  unit_details[Detected Unit Amenities], "&lt;&gt;*"&amp;$AB$3&amp;"*",
  unit_details[Leased Date], "&gt;=" &amp; ($X$2 - $AD$3)
),0)</f>
        <v>0</v>
      </c>
      <c r="AG226" s="735"/>
      <c r="AH226" s="738">
        <f t="shared" ca="true" si="8"/>
        <v>0</v>
      </c>
      <c r="AI226" s="739">
        <f t="shared" ca="true" si="9"/>
        <v>0</v>
      </c>
    </row>
    <row r="227" spans="2:35">
      <c r="B227" s="1"/>
      <c r="C227" s="80"/>
      <c r="E227" s="303"/>
      <c r="F227" s="303"/>
      <c r="J227" s="345"/>
      <c r="K227" s="6"/>
      <c r="M227" s="6"/>
      <c r="N227" s="738" t="str" cm="1">
        <f t="array" aca="true" ref="N227" ca="true">IFERROR(IF($O$3="Chunk Rent",
AVERAGEIFS('Unit-Level Data'!$O:$O,'Unit-Level Data'!$M:$M,TRUE,
          'Unit-Level Data'!$D:$D, INDIRECT("C"&amp;ROW()),
          'Unit-Level Data'!$B:$B, INDIRECT("B"&amp;ROW())),
AVERAGEIFS('Unit-Level Data'!$P:$P,'Unit-Level Data'!$M:$M,TRUE,
          'Unit-Level Data'!$D:$D, INDIRECT("C"&amp;ROW()),
          'Unit-Level Data'!$B:$B, INDIRECT("B"&amp;ROW()))),"")</f>
      </c>
      <c r="O227" s="760" t="str" cm="1">
        <f t="array" aca="true" ref="O227" ca="true">IFERROR(IF($O$3="Chunk Rent",
AVERAGEIFS('Unit-Level Data'!$Q:$Q,'Unit-Level Data'!$M:$M,TRUE,
          'Unit-Level Data'!$D:$D, INDIRECT("C"&amp;ROW()),
          'Unit-Level Data'!$B:$B, INDIRECT("B"&amp;ROW())),
AVERAGEIFS('Unit-Level Data'!$R:$R,'Unit-Level Data'!$M:$M,TRUE,
          'Unit-Level Data'!$D:$D, INDIRECT("C"&amp;ROW()),
          'Unit-Level Data'!$B:$B, INDIRECT("B"&amp;ROW()))),"")</f>
      </c>
      <c r="P227" s="733" cm="1">
        <f t="array" aca="true" ref="P227" ca="true">COUNTIFS('Unit-Level Data'!$M:$M,TRUE,
          'Unit-Level Data'!$D:$D, INDIRECT("C"&amp;ROW()),
          'Unit-Level Data'!$B:$B, INDIRECT("B"&amp;ROW()))</f>
        <v>0</v>
      </c>
      <c r="Q227" s="738" t="str" cm="1">
        <f t="array" aca="true" ref="Q2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7" s="760" t="str" cm="1">
        <f t="array" aca="true" ref="R2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7" s="733" cm="1">
        <f t="array" aca="true" ref="S227" ca="true">COUNTIFS('Unit-Level Data'!$L:$L, "&gt;=" &amp; ($X$2 - Q$5),
          'Unit-Level Data'!$L:$L, "&lt;" &amp; $X$2,
          'Unit-Level Data'!$D:$D, INDIRECT("C"&amp;ROW()),
          'Unit-Level Data'!$B:$B, INDIRECT("B"&amp;ROW()))</f>
        <v>0</v>
      </c>
      <c r="T227" s="738" t="str" cm="1">
        <f t="array" aca="true" ref="T2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7" s="760" t="str" cm="1">
        <f t="array" aca="true" ref="U2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7" s="733" cm="1">
        <f t="array" aca="true" ref="V227" ca="true">COUNTIFS('Unit-Level Data'!$L:$L, "&gt;=" &amp; ($X$2 - T$5),
          'Unit-Level Data'!$L:$L, "&lt;" &amp; $X$2,
          'Unit-Level Data'!$D:$D, INDIRECT("C"&amp;ROW()),
          'Unit-Level Data'!$B:$B, INDIRECT("B"&amp;ROW()))</f>
        <v>0</v>
      </c>
      <c r="W227" s="738" t="str" cm="1">
        <f t="array" aca="true" ref="W2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7" s="760" t="str" cm="1">
        <f t="array" aca="true" ref="X2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7" s="733" cm="1">
        <f t="array" aca="true" ref="Y227" ca="true">COUNTIFS('Unit-Level Data'!$L:$L, "&gt;=" &amp; ($X$2 - W$5),
          'Unit-Level Data'!$L:$L, "&lt;" &amp; $X$2,
          'Unit-Level Data'!$D:$D, INDIRECT("C"&amp;ROW()),
          'Unit-Level Data'!$B:$B, INDIRECT("B"&amp;ROW()))</f>
        <v>0</v>
      </c>
      <c r="Z227" s="761"/>
      <c r="AA227" s="735" cm="1">
        <f t="array" aca="true" ref="AA227" ca="true">IFERROR(AVERAGEIFS(
  unit_details[Sqft],
  unit_details[Property Name], INDIRECT("B"&amp;ROW()),
  unit_details[Floorplan Name], INDIRECT("C"&amp;ROW()),
  unit_details[Beds], INDIRECT("D"&amp;ROW()),
  unit_details[Detected Unit Amenities], "*"&amp;$AB$3&amp;"*",
  unit_details[Leased Date], "&gt;=" &amp; ($X$2 - $AD$3)
),0)</f>
        <v>0</v>
      </c>
      <c r="AB227" s="734" cm="1">
        <f t="array" aca="true" ref="AB2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7" s="733" cm="1">
        <f t="array" aca="true" ref="AC227" ca="true">IFERROR(COUNTIFS(
  unit_details[Property Name], INDIRECT("B"&amp;ROW()),
  unit_details[Floorplan Name], INDIRECT("C"&amp;ROW()),
  unit_details[Beds], INDIRECT("D"&amp;ROW()),
  unit_details[Detected Unit Amenities], "*"&amp;$AB$3&amp;"*",
  unit_details[Leased Date], "&gt;=" &amp; ($X$2 - $AD$3)
),0)</f>
        <v>0</v>
      </c>
      <c r="AD227" s="735" cm="1">
        <f t="array" aca="true" ref="AD227" ca="true">IFERROR(AVERAGEIFS(
  unit_details[Sqft],
  unit_details[Property Name], INDIRECT("B"&amp;ROW()),
  unit_details[Floorplan Name], INDIRECT("C"&amp;ROW()),
  unit_details[Beds], INDIRECT("D"&amp;ROW()),
  unit_details[Detected Unit Amenities], "&lt;&gt;*"&amp;$AB$3&amp;"*",
  unit_details[Leased Date], "&gt;=" &amp; ($X$2 - $AD$3)
),0)</f>
        <v>0</v>
      </c>
      <c r="AE227" s="734" cm="1">
        <f t="array" aca="true" ref="AE2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7" s="733" cm="1">
        <f t="array" aca="true" ref="AF227" ca="true">IFERROR(COUNTIFS(
  unit_details[Property Name], INDIRECT("B"&amp;ROW()),
  unit_details[Floorplan Name], INDIRECT("C"&amp;ROW()),
  unit_details[Beds], INDIRECT("D"&amp;ROW()),
  unit_details[Detected Unit Amenities], "&lt;&gt;*"&amp;$AB$3&amp;"*",
  unit_details[Leased Date], "&gt;=" &amp; ($X$2 - $AD$3)
),0)</f>
        <v>0</v>
      </c>
      <c r="AG227" s="735"/>
      <c r="AH227" s="738">
        <f t="shared" ca="true" si="8"/>
        <v>0</v>
      </c>
      <c r="AI227" s="739">
        <f t="shared" ca="true" si="9"/>
        <v>0</v>
      </c>
    </row>
    <row r="228" spans="2:35">
      <c r="B228" s="1"/>
      <c r="C228" s="80"/>
      <c r="E228" s="303"/>
      <c r="F228" s="303"/>
      <c r="J228" s="345"/>
      <c r="K228" s="6"/>
      <c r="M228" s="6"/>
      <c r="N228" s="738" t="str" cm="1">
        <f t="array" aca="true" ref="N228" ca="true">IFERROR(IF($O$3="Chunk Rent",
AVERAGEIFS('Unit-Level Data'!$O:$O,'Unit-Level Data'!$M:$M,TRUE,
          'Unit-Level Data'!$D:$D, INDIRECT("C"&amp;ROW()),
          'Unit-Level Data'!$B:$B, INDIRECT("B"&amp;ROW())),
AVERAGEIFS('Unit-Level Data'!$P:$P,'Unit-Level Data'!$M:$M,TRUE,
          'Unit-Level Data'!$D:$D, INDIRECT("C"&amp;ROW()),
          'Unit-Level Data'!$B:$B, INDIRECT("B"&amp;ROW()))),"")</f>
      </c>
      <c r="O228" s="760" t="str" cm="1">
        <f t="array" aca="true" ref="O228" ca="true">IFERROR(IF($O$3="Chunk Rent",
AVERAGEIFS('Unit-Level Data'!$Q:$Q,'Unit-Level Data'!$M:$M,TRUE,
          'Unit-Level Data'!$D:$D, INDIRECT("C"&amp;ROW()),
          'Unit-Level Data'!$B:$B, INDIRECT("B"&amp;ROW())),
AVERAGEIFS('Unit-Level Data'!$R:$R,'Unit-Level Data'!$M:$M,TRUE,
          'Unit-Level Data'!$D:$D, INDIRECT("C"&amp;ROW()),
          'Unit-Level Data'!$B:$B, INDIRECT("B"&amp;ROW()))),"")</f>
      </c>
      <c r="P228" s="733" cm="1">
        <f t="array" aca="true" ref="P228" ca="true">COUNTIFS('Unit-Level Data'!$M:$M,TRUE,
          'Unit-Level Data'!$D:$D, INDIRECT("C"&amp;ROW()),
          'Unit-Level Data'!$B:$B, INDIRECT("B"&amp;ROW()))</f>
        <v>0</v>
      </c>
      <c r="Q228" s="738" t="str" cm="1">
        <f t="array" aca="true" ref="Q2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8" s="760" t="str" cm="1">
        <f t="array" aca="true" ref="R2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8" s="733" cm="1">
        <f t="array" aca="true" ref="S228" ca="true">COUNTIFS('Unit-Level Data'!$L:$L, "&gt;=" &amp; ($X$2 - Q$5),
          'Unit-Level Data'!$L:$L, "&lt;" &amp; $X$2,
          'Unit-Level Data'!$D:$D, INDIRECT("C"&amp;ROW()),
          'Unit-Level Data'!$B:$B, INDIRECT("B"&amp;ROW()))</f>
        <v>0</v>
      </c>
      <c r="T228" s="738" t="str" cm="1">
        <f t="array" aca="true" ref="T2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8" s="760" t="str" cm="1">
        <f t="array" aca="true" ref="U2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8" s="733" cm="1">
        <f t="array" aca="true" ref="V228" ca="true">COUNTIFS('Unit-Level Data'!$L:$L, "&gt;=" &amp; ($X$2 - T$5),
          'Unit-Level Data'!$L:$L, "&lt;" &amp; $X$2,
          'Unit-Level Data'!$D:$D, INDIRECT("C"&amp;ROW()),
          'Unit-Level Data'!$B:$B, INDIRECT("B"&amp;ROW()))</f>
        <v>0</v>
      </c>
      <c r="W228" s="738" t="str" cm="1">
        <f t="array" aca="true" ref="W2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8" s="760" t="str" cm="1">
        <f t="array" aca="true" ref="X2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8" s="733" cm="1">
        <f t="array" aca="true" ref="Y228" ca="true">COUNTIFS('Unit-Level Data'!$L:$L, "&gt;=" &amp; ($X$2 - W$5),
          'Unit-Level Data'!$L:$L, "&lt;" &amp; $X$2,
          'Unit-Level Data'!$D:$D, INDIRECT("C"&amp;ROW()),
          'Unit-Level Data'!$B:$B, INDIRECT("B"&amp;ROW()))</f>
        <v>0</v>
      </c>
      <c r="Z228" s="761"/>
      <c r="AA228" s="735" cm="1">
        <f t="array" aca="true" ref="AA228" ca="true">IFERROR(AVERAGEIFS(
  unit_details[Sqft],
  unit_details[Property Name], INDIRECT("B"&amp;ROW()),
  unit_details[Floorplan Name], INDIRECT("C"&amp;ROW()),
  unit_details[Beds], INDIRECT("D"&amp;ROW()),
  unit_details[Detected Unit Amenities], "*"&amp;$AB$3&amp;"*",
  unit_details[Leased Date], "&gt;=" &amp; ($X$2 - $AD$3)
),0)</f>
        <v>0</v>
      </c>
      <c r="AB228" s="734" cm="1">
        <f t="array" aca="true" ref="AB2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8" s="733" cm="1">
        <f t="array" aca="true" ref="AC228" ca="true">IFERROR(COUNTIFS(
  unit_details[Property Name], INDIRECT("B"&amp;ROW()),
  unit_details[Floorplan Name], INDIRECT("C"&amp;ROW()),
  unit_details[Beds], INDIRECT("D"&amp;ROW()),
  unit_details[Detected Unit Amenities], "*"&amp;$AB$3&amp;"*",
  unit_details[Leased Date], "&gt;=" &amp; ($X$2 - $AD$3)
),0)</f>
        <v>0</v>
      </c>
      <c r="AD228" s="735" cm="1">
        <f t="array" aca="true" ref="AD228" ca="true">IFERROR(AVERAGEIFS(
  unit_details[Sqft],
  unit_details[Property Name], INDIRECT("B"&amp;ROW()),
  unit_details[Floorplan Name], INDIRECT("C"&amp;ROW()),
  unit_details[Beds], INDIRECT("D"&amp;ROW()),
  unit_details[Detected Unit Amenities], "&lt;&gt;*"&amp;$AB$3&amp;"*",
  unit_details[Leased Date], "&gt;=" &amp; ($X$2 - $AD$3)
),0)</f>
        <v>0</v>
      </c>
      <c r="AE228" s="734" cm="1">
        <f t="array" aca="true" ref="AE2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8" s="733" cm="1">
        <f t="array" aca="true" ref="AF228" ca="true">IFERROR(COUNTIFS(
  unit_details[Property Name], INDIRECT("B"&amp;ROW()),
  unit_details[Floorplan Name], INDIRECT("C"&amp;ROW()),
  unit_details[Beds], INDIRECT("D"&amp;ROW()),
  unit_details[Detected Unit Amenities], "&lt;&gt;*"&amp;$AB$3&amp;"*",
  unit_details[Leased Date], "&gt;=" &amp; ($X$2 - $AD$3)
),0)</f>
        <v>0</v>
      </c>
      <c r="AG228" s="735"/>
      <c r="AH228" s="738">
        <f t="shared" ca="true" si="8"/>
        <v>0</v>
      </c>
      <c r="AI228" s="739">
        <f t="shared" ca="true" si="9"/>
        <v>0</v>
      </c>
    </row>
    <row r="229" spans="2:35">
      <c r="B229" s="1"/>
      <c r="C229" s="80"/>
      <c r="E229" s="303"/>
      <c r="F229" s="303"/>
      <c r="J229" s="345"/>
      <c r="K229" s="6"/>
      <c r="M229" s="6"/>
      <c r="N229" s="738" t="str" cm="1">
        <f t="array" aca="true" ref="N229" ca="true">IFERROR(IF($O$3="Chunk Rent",
AVERAGEIFS('Unit-Level Data'!$O:$O,'Unit-Level Data'!$M:$M,TRUE,
          'Unit-Level Data'!$D:$D, INDIRECT("C"&amp;ROW()),
          'Unit-Level Data'!$B:$B, INDIRECT("B"&amp;ROW())),
AVERAGEIFS('Unit-Level Data'!$P:$P,'Unit-Level Data'!$M:$M,TRUE,
          'Unit-Level Data'!$D:$D, INDIRECT("C"&amp;ROW()),
          'Unit-Level Data'!$B:$B, INDIRECT("B"&amp;ROW()))),"")</f>
      </c>
      <c r="O229" s="760" t="str" cm="1">
        <f t="array" aca="true" ref="O229" ca="true">IFERROR(IF($O$3="Chunk Rent",
AVERAGEIFS('Unit-Level Data'!$Q:$Q,'Unit-Level Data'!$M:$M,TRUE,
          'Unit-Level Data'!$D:$D, INDIRECT("C"&amp;ROW()),
          'Unit-Level Data'!$B:$B, INDIRECT("B"&amp;ROW())),
AVERAGEIFS('Unit-Level Data'!$R:$R,'Unit-Level Data'!$M:$M,TRUE,
          'Unit-Level Data'!$D:$D, INDIRECT("C"&amp;ROW()),
          'Unit-Level Data'!$B:$B, INDIRECT("B"&amp;ROW()))),"")</f>
      </c>
      <c r="P229" s="733" cm="1">
        <f t="array" aca="true" ref="P229" ca="true">COUNTIFS('Unit-Level Data'!$M:$M,TRUE,
          'Unit-Level Data'!$D:$D, INDIRECT("C"&amp;ROW()),
          'Unit-Level Data'!$B:$B, INDIRECT("B"&amp;ROW()))</f>
        <v>0</v>
      </c>
      <c r="Q229" s="738" t="str" cm="1">
        <f t="array" aca="true" ref="Q2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9" s="760" t="str" cm="1">
        <f t="array" aca="true" ref="R2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9" s="733" cm="1">
        <f t="array" aca="true" ref="S229" ca="true">COUNTIFS('Unit-Level Data'!$L:$L, "&gt;=" &amp; ($X$2 - Q$5),
          'Unit-Level Data'!$L:$L, "&lt;" &amp; $X$2,
          'Unit-Level Data'!$D:$D, INDIRECT("C"&amp;ROW()),
          'Unit-Level Data'!$B:$B, INDIRECT("B"&amp;ROW()))</f>
        <v>0</v>
      </c>
      <c r="T229" s="738" t="str" cm="1">
        <f t="array" aca="true" ref="T2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9" s="760" t="str" cm="1">
        <f t="array" aca="true" ref="U2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9" s="733" cm="1">
        <f t="array" aca="true" ref="V229" ca="true">COUNTIFS('Unit-Level Data'!$L:$L, "&gt;=" &amp; ($X$2 - T$5),
          'Unit-Level Data'!$L:$L, "&lt;" &amp; $X$2,
          'Unit-Level Data'!$D:$D, INDIRECT("C"&amp;ROW()),
          'Unit-Level Data'!$B:$B, INDIRECT("B"&amp;ROW()))</f>
        <v>0</v>
      </c>
      <c r="W229" s="738" t="str" cm="1">
        <f t="array" aca="true" ref="W2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9" s="760" t="str" cm="1">
        <f t="array" aca="true" ref="X2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9" s="733" cm="1">
        <f t="array" aca="true" ref="Y229" ca="true">COUNTIFS('Unit-Level Data'!$L:$L, "&gt;=" &amp; ($X$2 - W$5),
          'Unit-Level Data'!$L:$L, "&lt;" &amp; $X$2,
          'Unit-Level Data'!$D:$D, INDIRECT("C"&amp;ROW()),
          'Unit-Level Data'!$B:$B, INDIRECT("B"&amp;ROW()))</f>
        <v>0</v>
      </c>
      <c r="Z229" s="761"/>
      <c r="AA229" s="735" cm="1">
        <f t="array" aca="true" ref="AA229" ca="true">IFERROR(AVERAGEIFS(
  unit_details[Sqft],
  unit_details[Property Name], INDIRECT("B"&amp;ROW()),
  unit_details[Floorplan Name], INDIRECT("C"&amp;ROW()),
  unit_details[Beds], INDIRECT("D"&amp;ROW()),
  unit_details[Detected Unit Amenities], "*"&amp;$AB$3&amp;"*",
  unit_details[Leased Date], "&gt;=" &amp; ($X$2 - $AD$3)
),0)</f>
        <v>0</v>
      </c>
      <c r="AB229" s="734" cm="1">
        <f t="array" aca="true" ref="AB2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9" s="733" cm="1">
        <f t="array" aca="true" ref="AC229" ca="true">IFERROR(COUNTIFS(
  unit_details[Property Name], INDIRECT("B"&amp;ROW()),
  unit_details[Floorplan Name], INDIRECT("C"&amp;ROW()),
  unit_details[Beds], INDIRECT("D"&amp;ROW()),
  unit_details[Detected Unit Amenities], "*"&amp;$AB$3&amp;"*",
  unit_details[Leased Date], "&gt;=" &amp; ($X$2 - $AD$3)
),0)</f>
        <v>0</v>
      </c>
      <c r="AD229" s="735" cm="1">
        <f t="array" aca="true" ref="AD229" ca="true">IFERROR(AVERAGEIFS(
  unit_details[Sqft],
  unit_details[Property Name], INDIRECT("B"&amp;ROW()),
  unit_details[Floorplan Name], INDIRECT("C"&amp;ROW()),
  unit_details[Beds], INDIRECT("D"&amp;ROW()),
  unit_details[Detected Unit Amenities], "&lt;&gt;*"&amp;$AB$3&amp;"*",
  unit_details[Leased Date], "&gt;=" &amp; ($X$2 - $AD$3)
),0)</f>
        <v>0</v>
      </c>
      <c r="AE229" s="734" cm="1">
        <f t="array" aca="true" ref="AE2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9" s="733" cm="1">
        <f t="array" aca="true" ref="AF229" ca="true">IFERROR(COUNTIFS(
  unit_details[Property Name], INDIRECT("B"&amp;ROW()),
  unit_details[Floorplan Name], INDIRECT("C"&amp;ROW()),
  unit_details[Beds], INDIRECT("D"&amp;ROW()),
  unit_details[Detected Unit Amenities], "&lt;&gt;*"&amp;$AB$3&amp;"*",
  unit_details[Leased Date], "&gt;=" &amp; ($X$2 - $AD$3)
),0)</f>
        <v>0</v>
      </c>
      <c r="AG229" s="735"/>
      <c r="AH229" s="738">
        <f t="shared" ca="true" si="8"/>
        <v>0</v>
      </c>
      <c r="AI229" s="739">
        <f t="shared" ca="true" si="9"/>
        <v>0</v>
      </c>
    </row>
    <row r="230" spans="2:35">
      <c r="B230" s="1"/>
      <c r="C230" s="80"/>
      <c r="E230" s="303"/>
      <c r="F230" s="303"/>
      <c r="J230" s="345"/>
      <c r="K230" s="6"/>
      <c r="M230" s="6"/>
      <c r="N230" s="738" t="str" cm="1">
        <f t="array" aca="true" ref="N230" ca="true">IFERROR(IF($O$3="Chunk Rent",
AVERAGEIFS('Unit-Level Data'!$O:$O,'Unit-Level Data'!$M:$M,TRUE,
          'Unit-Level Data'!$D:$D, INDIRECT("C"&amp;ROW()),
          'Unit-Level Data'!$B:$B, INDIRECT("B"&amp;ROW())),
AVERAGEIFS('Unit-Level Data'!$P:$P,'Unit-Level Data'!$M:$M,TRUE,
          'Unit-Level Data'!$D:$D, INDIRECT("C"&amp;ROW()),
          'Unit-Level Data'!$B:$B, INDIRECT("B"&amp;ROW()))),"")</f>
      </c>
      <c r="O230" s="760" t="str" cm="1">
        <f t="array" aca="true" ref="O230" ca="true">IFERROR(IF($O$3="Chunk Rent",
AVERAGEIFS('Unit-Level Data'!$Q:$Q,'Unit-Level Data'!$M:$M,TRUE,
          'Unit-Level Data'!$D:$D, INDIRECT("C"&amp;ROW()),
          'Unit-Level Data'!$B:$B, INDIRECT("B"&amp;ROW())),
AVERAGEIFS('Unit-Level Data'!$R:$R,'Unit-Level Data'!$M:$M,TRUE,
          'Unit-Level Data'!$D:$D, INDIRECT("C"&amp;ROW()),
          'Unit-Level Data'!$B:$B, INDIRECT("B"&amp;ROW()))),"")</f>
      </c>
      <c r="P230" s="733" cm="1">
        <f t="array" aca="true" ref="P230" ca="true">COUNTIFS('Unit-Level Data'!$M:$M,TRUE,
          'Unit-Level Data'!$D:$D, INDIRECT("C"&amp;ROW()),
          'Unit-Level Data'!$B:$B, INDIRECT("B"&amp;ROW()))</f>
        <v>0</v>
      </c>
      <c r="Q230" s="738" t="str" cm="1">
        <f t="array" aca="true" ref="Q2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0" s="760" t="str" cm="1">
        <f t="array" aca="true" ref="R2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0" s="733" cm="1">
        <f t="array" aca="true" ref="S230" ca="true">COUNTIFS('Unit-Level Data'!$L:$L, "&gt;=" &amp; ($X$2 - Q$5),
          'Unit-Level Data'!$L:$L, "&lt;" &amp; $X$2,
          'Unit-Level Data'!$D:$D, INDIRECT("C"&amp;ROW()),
          'Unit-Level Data'!$B:$B, INDIRECT("B"&amp;ROW()))</f>
        <v>0</v>
      </c>
      <c r="T230" s="738" t="str" cm="1">
        <f t="array" aca="true" ref="T2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0" s="760" t="str" cm="1">
        <f t="array" aca="true" ref="U2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0" s="733" cm="1">
        <f t="array" aca="true" ref="V230" ca="true">COUNTIFS('Unit-Level Data'!$L:$L, "&gt;=" &amp; ($X$2 - T$5),
          'Unit-Level Data'!$L:$L, "&lt;" &amp; $X$2,
          'Unit-Level Data'!$D:$D, INDIRECT("C"&amp;ROW()),
          'Unit-Level Data'!$B:$B, INDIRECT("B"&amp;ROW()))</f>
        <v>0</v>
      </c>
      <c r="W230" s="738" t="str" cm="1">
        <f t="array" aca="true" ref="W2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0" s="760" t="str" cm="1">
        <f t="array" aca="true" ref="X2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0" s="733" cm="1">
        <f t="array" aca="true" ref="Y230" ca="true">COUNTIFS('Unit-Level Data'!$L:$L, "&gt;=" &amp; ($X$2 - W$5),
          'Unit-Level Data'!$L:$L, "&lt;" &amp; $X$2,
          'Unit-Level Data'!$D:$D, INDIRECT("C"&amp;ROW()),
          'Unit-Level Data'!$B:$B, INDIRECT("B"&amp;ROW()))</f>
        <v>0</v>
      </c>
      <c r="Z230" s="761"/>
      <c r="AA230" s="735" cm="1">
        <f t="array" aca="true" ref="AA230" ca="true">IFERROR(AVERAGEIFS(
  unit_details[Sqft],
  unit_details[Property Name], INDIRECT("B"&amp;ROW()),
  unit_details[Floorplan Name], INDIRECT("C"&amp;ROW()),
  unit_details[Beds], INDIRECT("D"&amp;ROW()),
  unit_details[Detected Unit Amenities], "*"&amp;$AB$3&amp;"*",
  unit_details[Leased Date], "&gt;=" &amp; ($X$2 - $AD$3)
),0)</f>
        <v>0</v>
      </c>
      <c r="AB230" s="734" cm="1">
        <f t="array" aca="true" ref="AB2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0" s="733" cm="1">
        <f t="array" aca="true" ref="AC230" ca="true">IFERROR(COUNTIFS(
  unit_details[Property Name], INDIRECT("B"&amp;ROW()),
  unit_details[Floorplan Name], INDIRECT("C"&amp;ROW()),
  unit_details[Beds], INDIRECT("D"&amp;ROW()),
  unit_details[Detected Unit Amenities], "*"&amp;$AB$3&amp;"*",
  unit_details[Leased Date], "&gt;=" &amp; ($X$2 - $AD$3)
),0)</f>
        <v>0</v>
      </c>
      <c r="AD230" s="735" cm="1">
        <f t="array" aca="true" ref="AD230" ca="true">IFERROR(AVERAGEIFS(
  unit_details[Sqft],
  unit_details[Property Name], INDIRECT("B"&amp;ROW()),
  unit_details[Floorplan Name], INDIRECT("C"&amp;ROW()),
  unit_details[Beds], INDIRECT("D"&amp;ROW()),
  unit_details[Detected Unit Amenities], "&lt;&gt;*"&amp;$AB$3&amp;"*",
  unit_details[Leased Date], "&gt;=" &amp; ($X$2 - $AD$3)
),0)</f>
        <v>0</v>
      </c>
      <c r="AE230" s="734" cm="1">
        <f t="array" aca="true" ref="AE2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0" s="733" cm="1">
        <f t="array" aca="true" ref="AF230" ca="true">IFERROR(COUNTIFS(
  unit_details[Property Name], INDIRECT("B"&amp;ROW()),
  unit_details[Floorplan Name], INDIRECT("C"&amp;ROW()),
  unit_details[Beds], INDIRECT("D"&amp;ROW()),
  unit_details[Detected Unit Amenities], "&lt;&gt;*"&amp;$AB$3&amp;"*",
  unit_details[Leased Date], "&gt;=" &amp; ($X$2 - $AD$3)
),0)</f>
        <v>0</v>
      </c>
      <c r="AG230" s="735"/>
      <c r="AH230" s="738">
        <f t="shared" ca="true" si="8"/>
        <v>0</v>
      </c>
      <c r="AI230" s="739">
        <f t="shared" ca="true" si="9"/>
        <v>0</v>
      </c>
    </row>
    <row r="231" spans="2:35">
      <c r="B231" s="1"/>
      <c r="C231" s="80"/>
      <c r="E231" s="303"/>
      <c r="F231" s="303"/>
      <c r="J231" s="345"/>
      <c r="K231" s="6"/>
      <c r="M231" s="6"/>
      <c r="N231" s="738" t="str" cm="1">
        <f t="array" aca="true" ref="N231" ca="true">IFERROR(IF($O$3="Chunk Rent",
AVERAGEIFS('Unit-Level Data'!$O:$O,'Unit-Level Data'!$M:$M,TRUE,
          'Unit-Level Data'!$D:$D, INDIRECT("C"&amp;ROW()),
          'Unit-Level Data'!$B:$B, INDIRECT("B"&amp;ROW())),
AVERAGEIFS('Unit-Level Data'!$P:$P,'Unit-Level Data'!$M:$M,TRUE,
          'Unit-Level Data'!$D:$D, INDIRECT("C"&amp;ROW()),
          'Unit-Level Data'!$B:$B, INDIRECT("B"&amp;ROW()))),"")</f>
      </c>
      <c r="O231" s="760" t="str" cm="1">
        <f t="array" aca="true" ref="O231" ca="true">IFERROR(IF($O$3="Chunk Rent",
AVERAGEIFS('Unit-Level Data'!$Q:$Q,'Unit-Level Data'!$M:$M,TRUE,
          'Unit-Level Data'!$D:$D, INDIRECT("C"&amp;ROW()),
          'Unit-Level Data'!$B:$B, INDIRECT("B"&amp;ROW())),
AVERAGEIFS('Unit-Level Data'!$R:$R,'Unit-Level Data'!$M:$M,TRUE,
          'Unit-Level Data'!$D:$D, INDIRECT("C"&amp;ROW()),
          'Unit-Level Data'!$B:$B, INDIRECT("B"&amp;ROW()))),"")</f>
      </c>
      <c r="P231" s="733" cm="1">
        <f t="array" aca="true" ref="P231" ca="true">COUNTIFS('Unit-Level Data'!$M:$M,TRUE,
          'Unit-Level Data'!$D:$D, INDIRECT("C"&amp;ROW()),
          'Unit-Level Data'!$B:$B, INDIRECT("B"&amp;ROW()))</f>
        <v>0</v>
      </c>
      <c r="Q231" s="738" t="str" cm="1">
        <f t="array" aca="true" ref="Q2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1" s="760" t="str" cm="1">
        <f t="array" aca="true" ref="R2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1" s="733" cm="1">
        <f t="array" aca="true" ref="S231" ca="true">COUNTIFS('Unit-Level Data'!$L:$L, "&gt;=" &amp; ($X$2 - Q$5),
          'Unit-Level Data'!$L:$L, "&lt;" &amp; $X$2,
          'Unit-Level Data'!$D:$D, INDIRECT("C"&amp;ROW()),
          'Unit-Level Data'!$B:$B, INDIRECT("B"&amp;ROW()))</f>
        <v>0</v>
      </c>
      <c r="T231" s="738" t="str" cm="1">
        <f t="array" aca="true" ref="T2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1" s="760" t="str" cm="1">
        <f t="array" aca="true" ref="U2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1" s="733" cm="1">
        <f t="array" aca="true" ref="V231" ca="true">COUNTIFS('Unit-Level Data'!$L:$L, "&gt;=" &amp; ($X$2 - T$5),
          'Unit-Level Data'!$L:$L, "&lt;" &amp; $X$2,
          'Unit-Level Data'!$D:$D, INDIRECT("C"&amp;ROW()),
          'Unit-Level Data'!$B:$B, INDIRECT("B"&amp;ROW()))</f>
        <v>0</v>
      </c>
      <c r="W231" s="738" t="str" cm="1">
        <f t="array" aca="true" ref="W2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1" s="760" t="str" cm="1">
        <f t="array" aca="true" ref="X2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1" s="733" cm="1">
        <f t="array" aca="true" ref="Y231" ca="true">COUNTIFS('Unit-Level Data'!$L:$L, "&gt;=" &amp; ($X$2 - W$5),
          'Unit-Level Data'!$L:$L, "&lt;" &amp; $X$2,
          'Unit-Level Data'!$D:$D, INDIRECT("C"&amp;ROW()),
          'Unit-Level Data'!$B:$B, INDIRECT("B"&amp;ROW()))</f>
        <v>0</v>
      </c>
      <c r="Z231" s="761"/>
      <c r="AA231" s="735" cm="1">
        <f t="array" aca="true" ref="AA231" ca="true">IFERROR(AVERAGEIFS(
  unit_details[Sqft],
  unit_details[Property Name], INDIRECT("B"&amp;ROW()),
  unit_details[Floorplan Name], INDIRECT("C"&amp;ROW()),
  unit_details[Beds], INDIRECT("D"&amp;ROW()),
  unit_details[Detected Unit Amenities], "*"&amp;$AB$3&amp;"*",
  unit_details[Leased Date], "&gt;=" &amp; ($X$2 - $AD$3)
),0)</f>
        <v>0</v>
      </c>
      <c r="AB231" s="734" cm="1">
        <f t="array" aca="true" ref="AB2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1" s="733" cm="1">
        <f t="array" aca="true" ref="AC231" ca="true">IFERROR(COUNTIFS(
  unit_details[Property Name], INDIRECT("B"&amp;ROW()),
  unit_details[Floorplan Name], INDIRECT("C"&amp;ROW()),
  unit_details[Beds], INDIRECT("D"&amp;ROW()),
  unit_details[Detected Unit Amenities], "*"&amp;$AB$3&amp;"*",
  unit_details[Leased Date], "&gt;=" &amp; ($X$2 - $AD$3)
),0)</f>
        <v>0</v>
      </c>
      <c r="AD231" s="735" cm="1">
        <f t="array" aca="true" ref="AD231" ca="true">IFERROR(AVERAGEIFS(
  unit_details[Sqft],
  unit_details[Property Name], INDIRECT("B"&amp;ROW()),
  unit_details[Floorplan Name], INDIRECT("C"&amp;ROW()),
  unit_details[Beds], INDIRECT("D"&amp;ROW()),
  unit_details[Detected Unit Amenities], "&lt;&gt;*"&amp;$AB$3&amp;"*",
  unit_details[Leased Date], "&gt;=" &amp; ($X$2 - $AD$3)
),0)</f>
        <v>0</v>
      </c>
      <c r="AE231" s="734" cm="1">
        <f t="array" aca="true" ref="AE2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1" s="733" cm="1">
        <f t="array" aca="true" ref="AF231" ca="true">IFERROR(COUNTIFS(
  unit_details[Property Name], INDIRECT("B"&amp;ROW()),
  unit_details[Floorplan Name], INDIRECT("C"&amp;ROW()),
  unit_details[Beds], INDIRECT("D"&amp;ROW()),
  unit_details[Detected Unit Amenities], "&lt;&gt;*"&amp;$AB$3&amp;"*",
  unit_details[Leased Date], "&gt;=" &amp; ($X$2 - $AD$3)
),0)</f>
        <v>0</v>
      </c>
      <c r="AG231" s="735"/>
      <c r="AH231" s="738">
        <f t="shared" ca="true" si="8"/>
        <v>0</v>
      </c>
      <c r="AI231" s="739">
        <f t="shared" ca="true" si="9"/>
        <v>0</v>
      </c>
    </row>
    <row r="232" spans="2:35">
      <c r="B232" s="1"/>
      <c r="C232" s="80"/>
      <c r="E232" s="303"/>
      <c r="F232" s="303"/>
      <c r="J232" s="345"/>
      <c r="K232" s="6"/>
      <c r="M232" s="6"/>
      <c r="N232" s="738" t="str" cm="1">
        <f t="array" aca="true" ref="N232" ca="true">IFERROR(IF($O$3="Chunk Rent",
AVERAGEIFS('Unit-Level Data'!$O:$O,'Unit-Level Data'!$M:$M,TRUE,
          'Unit-Level Data'!$D:$D, INDIRECT("C"&amp;ROW()),
          'Unit-Level Data'!$B:$B, INDIRECT("B"&amp;ROW())),
AVERAGEIFS('Unit-Level Data'!$P:$P,'Unit-Level Data'!$M:$M,TRUE,
          'Unit-Level Data'!$D:$D, INDIRECT("C"&amp;ROW()),
          'Unit-Level Data'!$B:$B, INDIRECT("B"&amp;ROW()))),"")</f>
      </c>
      <c r="O232" s="760" t="str" cm="1">
        <f t="array" aca="true" ref="O232" ca="true">IFERROR(IF($O$3="Chunk Rent",
AVERAGEIFS('Unit-Level Data'!$Q:$Q,'Unit-Level Data'!$M:$M,TRUE,
          'Unit-Level Data'!$D:$D, INDIRECT("C"&amp;ROW()),
          'Unit-Level Data'!$B:$B, INDIRECT("B"&amp;ROW())),
AVERAGEIFS('Unit-Level Data'!$R:$R,'Unit-Level Data'!$M:$M,TRUE,
          'Unit-Level Data'!$D:$D, INDIRECT("C"&amp;ROW()),
          'Unit-Level Data'!$B:$B, INDIRECT("B"&amp;ROW()))),"")</f>
      </c>
      <c r="P232" s="733" cm="1">
        <f t="array" aca="true" ref="P232" ca="true">COUNTIFS('Unit-Level Data'!$M:$M,TRUE,
          'Unit-Level Data'!$D:$D, INDIRECT("C"&amp;ROW()),
          'Unit-Level Data'!$B:$B, INDIRECT("B"&amp;ROW()))</f>
        <v>0</v>
      </c>
      <c r="Q232" s="738" t="str" cm="1">
        <f t="array" aca="true" ref="Q2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2" s="760" t="str" cm="1">
        <f t="array" aca="true" ref="R2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2" s="733" cm="1">
        <f t="array" aca="true" ref="S232" ca="true">COUNTIFS('Unit-Level Data'!$L:$L, "&gt;=" &amp; ($X$2 - Q$5),
          'Unit-Level Data'!$L:$L, "&lt;" &amp; $X$2,
          'Unit-Level Data'!$D:$D, INDIRECT("C"&amp;ROW()),
          'Unit-Level Data'!$B:$B, INDIRECT("B"&amp;ROW()))</f>
        <v>0</v>
      </c>
      <c r="T232" s="738" t="str" cm="1">
        <f t="array" aca="true" ref="T2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2" s="760" t="str" cm="1">
        <f t="array" aca="true" ref="U2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2" s="733" cm="1">
        <f t="array" aca="true" ref="V232" ca="true">COUNTIFS('Unit-Level Data'!$L:$L, "&gt;=" &amp; ($X$2 - T$5),
          'Unit-Level Data'!$L:$L, "&lt;" &amp; $X$2,
          'Unit-Level Data'!$D:$D, INDIRECT("C"&amp;ROW()),
          'Unit-Level Data'!$B:$B, INDIRECT("B"&amp;ROW()))</f>
        <v>0</v>
      </c>
      <c r="W232" s="738" t="str" cm="1">
        <f t="array" aca="true" ref="W2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2" s="760" t="str" cm="1">
        <f t="array" aca="true" ref="X2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2" s="733" cm="1">
        <f t="array" aca="true" ref="Y232" ca="true">COUNTIFS('Unit-Level Data'!$L:$L, "&gt;=" &amp; ($X$2 - W$5),
          'Unit-Level Data'!$L:$L, "&lt;" &amp; $X$2,
          'Unit-Level Data'!$D:$D, INDIRECT("C"&amp;ROW()),
          'Unit-Level Data'!$B:$B, INDIRECT("B"&amp;ROW()))</f>
        <v>0</v>
      </c>
      <c r="Z232" s="761"/>
      <c r="AA232" s="735" cm="1">
        <f t="array" aca="true" ref="AA232" ca="true">IFERROR(AVERAGEIFS(
  unit_details[Sqft],
  unit_details[Property Name], INDIRECT("B"&amp;ROW()),
  unit_details[Floorplan Name], INDIRECT("C"&amp;ROW()),
  unit_details[Beds], INDIRECT("D"&amp;ROW()),
  unit_details[Detected Unit Amenities], "*"&amp;$AB$3&amp;"*",
  unit_details[Leased Date], "&gt;=" &amp; ($X$2 - $AD$3)
),0)</f>
        <v>0</v>
      </c>
      <c r="AB232" s="734" cm="1">
        <f t="array" aca="true" ref="AB2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2" s="733" cm="1">
        <f t="array" aca="true" ref="AC232" ca="true">IFERROR(COUNTIFS(
  unit_details[Property Name], INDIRECT("B"&amp;ROW()),
  unit_details[Floorplan Name], INDIRECT("C"&amp;ROW()),
  unit_details[Beds], INDIRECT("D"&amp;ROW()),
  unit_details[Detected Unit Amenities], "*"&amp;$AB$3&amp;"*",
  unit_details[Leased Date], "&gt;=" &amp; ($X$2 - $AD$3)
),0)</f>
        <v>0</v>
      </c>
      <c r="AD232" s="735" cm="1">
        <f t="array" aca="true" ref="AD232" ca="true">IFERROR(AVERAGEIFS(
  unit_details[Sqft],
  unit_details[Property Name], INDIRECT("B"&amp;ROW()),
  unit_details[Floorplan Name], INDIRECT("C"&amp;ROW()),
  unit_details[Beds], INDIRECT("D"&amp;ROW()),
  unit_details[Detected Unit Amenities], "&lt;&gt;*"&amp;$AB$3&amp;"*",
  unit_details[Leased Date], "&gt;=" &amp; ($X$2 - $AD$3)
),0)</f>
        <v>0</v>
      </c>
      <c r="AE232" s="734" cm="1">
        <f t="array" aca="true" ref="AE2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2" s="733" cm="1">
        <f t="array" aca="true" ref="AF232" ca="true">IFERROR(COUNTIFS(
  unit_details[Property Name], INDIRECT("B"&amp;ROW()),
  unit_details[Floorplan Name], INDIRECT("C"&amp;ROW()),
  unit_details[Beds], INDIRECT("D"&amp;ROW()),
  unit_details[Detected Unit Amenities], "&lt;&gt;*"&amp;$AB$3&amp;"*",
  unit_details[Leased Date], "&gt;=" &amp; ($X$2 - $AD$3)
),0)</f>
        <v>0</v>
      </c>
      <c r="AG232" s="735"/>
      <c r="AH232" s="738">
        <f t="shared" ca="true" si="8"/>
        <v>0</v>
      </c>
      <c r="AI232" s="739">
        <f t="shared" ca="true" si="9"/>
        <v>0</v>
      </c>
    </row>
    <row r="233" spans="2:35">
      <c r="B233" s="1"/>
      <c r="C233" s="80"/>
      <c r="E233" s="303"/>
      <c r="F233" s="303"/>
      <c r="J233" s="345"/>
      <c r="K233" s="6"/>
      <c r="M233" s="6"/>
      <c r="N233" s="738" t="str" cm="1">
        <f t="array" aca="true" ref="N233" ca="true">IFERROR(IF($O$3="Chunk Rent",
AVERAGEIFS('Unit-Level Data'!$O:$O,'Unit-Level Data'!$M:$M,TRUE,
          'Unit-Level Data'!$D:$D, INDIRECT("C"&amp;ROW()),
          'Unit-Level Data'!$B:$B, INDIRECT("B"&amp;ROW())),
AVERAGEIFS('Unit-Level Data'!$P:$P,'Unit-Level Data'!$M:$M,TRUE,
          'Unit-Level Data'!$D:$D, INDIRECT("C"&amp;ROW()),
          'Unit-Level Data'!$B:$B, INDIRECT("B"&amp;ROW()))),"")</f>
      </c>
      <c r="O233" s="760" t="str" cm="1">
        <f t="array" aca="true" ref="O233" ca="true">IFERROR(IF($O$3="Chunk Rent",
AVERAGEIFS('Unit-Level Data'!$Q:$Q,'Unit-Level Data'!$M:$M,TRUE,
          'Unit-Level Data'!$D:$D, INDIRECT("C"&amp;ROW()),
          'Unit-Level Data'!$B:$B, INDIRECT("B"&amp;ROW())),
AVERAGEIFS('Unit-Level Data'!$R:$R,'Unit-Level Data'!$M:$M,TRUE,
          'Unit-Level Data'!$D:$D, INDIRECT("C"&amp;ROW()),
          'Unit-Level Data'!$B:$B, INDIRECT("B"&amp;ROW()))),"")</f>
      </c>
      <c r="P233" s="733" cm="1">
        <f t="array" aca="true" ref="P233" ca="true">COUNTIFS('Unit-Level Data'!$M:$M,TRUE,
          'Unit-Level Data'!$D:$D, INDIRECT("C"&amp;ROW()),
          'Unit-Level Data'!$B:$B, INDIRECT("B"&amp;ROW()))</f>
        <v>0</v>
      </c>
      <c r="Q233" s="738" t="str" cm="1">
        <f t="array" aca="true" ref="Q2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3" s="760" t="str" cm="1">
        <f t="array" aca="true" ref="R2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3" s="733" cm="1">
        <f t="array" aca="true" ref="S233" ca="true">COUNTIFS('Unit-Level Data'!$L:$L, "&gt;=" &amp; ($X$2 - Q$5),
          'Unit-Level Data'!$L:$L, "&lt;" &amp; $X$2,
          'Unit-Level Data'!$D:$D, INDIRECT("C"&amp;ROW()),
          'Unit-Level Data'!$B:$B, INDIRECT("B"&amp;ROW()))</f>
        <v>0</v>
      </c>
      <c r="T233" s="738" t="str" cm="1">
        <f t="array" aca="true" ref="T2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3" s="760" t="str" cm="1">
        <f t="array" aca="true" ref="U2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3" s="733" cm="1">
        <f t="array" aca="true" ref="V233" ca="true">COUNTIFS('Unit-Level Data'!$L:$L, "&gt;=" &amp; ($X$2 - T$5),
          'Unit-Level Data'!$L:$L, "&lt;" &amp; $X$2,
          'Unit-Level Data'!$D:$D, INDIRECT("C"&amp;ROW()),
          'Unit-Level Data'!$B:$B, INDIRECT("B"&amp;ROW()))</f>
        <v>0</v>
      </c>
      <c r="W233" s="738" t="str" cm="1">
        <f t="array" aca="true" ref="W2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3" s="760" t="str" cm="1">
        <f t="array" aca="true" ref="X2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3" s="733" cm="1">
        <f t="array" aca="true" ref="Y233" ca="true">COUNTIFS('Unit-Level Data'!$L:$L, "&gt;=" &amp; ($X$2 - W$5),
          'Unit-Level Data'!$L:$L, "&lt;" &amp; $X$2,
          'Unit-Level Data'!$D:$D, INDIRECT("C"&amp;ROW()),
          'Unit-Level Data'!$B:$B, INDIRECT("B"&amp;ROW()))</f>
        <v>0</v>
      </c>
      <c r="Z233" s="761"/>
      <c r="AA233" s="735" cm="1">
        <f t="array" aca="true" ref="AA233" ca="true">IFERROR(AVERAGEIFS(
  unit_details[Sqft],
  unit_details[Property Name], INDIRECT("B"&amp;ROW()),
  unit_details[Floorplan Name], INDIRECT("C"&amp;ROW()),
  unit_details[Beds], INDIRECT("D"&amp;ROW()),
  unit_details[Detected Unit Amenities], "*"&amp;$AB$3&amp;"*",
  unit_details[Leased Date], "&gt;=" &amp; ($X$2 - $AD$3)
),0)</f>
        <v>0</v>
      </c>
      <c r="AB233" s="734" cm="1">
        <f t="array" aca="true" ref="AB2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3" s="733" cm="1">
        <f t="array" aca="true" ref="AC233" ca="true">IFERROR(COUNTIFS(
  unit_details[Property Name], INDIRECT("B"&amp;ROW()),
  unit_details[Floorplan Name], INDIRECT("C"&amp;ROW()),
  unit_details[Beds], INDIRECT("D"&amp;ROW()),
  unit_details[Detected Unit Amenities], "*"&amp;$AB$3&amp;"*",
  unit_details[Leased Date], "&gt;=" &amp; ($X$2 - $AD$3)
),0)</f>
        <v>0</v>
      </c>
      <c r="AD233" s="735" cm="1">
        <f t="array" aca="true" ref="AD233" ca="true">IFERROR(AVERAGEIFS(
  unit_details[Sqft],
  unit_details[Property Name], INDIRECT("B"&amp;ROW()),
  unit_details[Floorplan Name], INDIRECT("C"&amp;ROW()),
  unit_details[Beds], INDIRECT("D"&amp;ROW()),
  unit_details[Detected Unit Amenities], "&lt;&gt;*"&amp;$AB$3&amp;"*",
  unit_details[Leased Date], "&gt;=" &amp; ($X$2 - $AD$3)
),0)</f>
        <v>0</v>
      </c>
      <c r="AE233" s="734" cm="1">
        <f t="array" aca="true" ref="AE2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3" s="733" cm="1">
        <f t="array" aca="true" ref="AF233" ca="true">IFERROR(COUNTIFS(
  unit_details[Property Name], INDIRECT("B"&amp;ROW()),
  unit_details[Floorplan Name], INDIRECT("C"&amp;ROW()),
  unit_details[Beds], INDIRECT("D"&amp;ROW()),
  unit_details[Detected Unit Amenities], "&lt;&gt;*"&amp;$AB$3&amp;"*",
  unit_details[Leased Date], "&gt;=" &amp; ($X$2 - $AD$3)
),0)</f>
        <v>0</v>
      </c>
      <c r="AG233" s="735"/>
      <c r="AH233" s="738">
        <f t="shared" ca="true" si="8"/>
        <v>0</v>
      </c>
      <c r="AI233" s="739">
        <f t="shared" ca="true" si="9"/>
        <v>0</v>
      </c>
    </row>
    <row r="234" spans="2:35">
      <c r="B234" s="1"/>
      <c r="C234" s="80"/>
      <c r="E234" s="303"/>
      <c r="F234" s="303"/>
      <c r="J234" s="345"/>
      <c r="K234" s="6"/>
      <c r="M234" s="6"/>
      <c r="N234" s="738" t="str" cm="1">
        <f t="array" aca="true" ref="N234" ca="true">IFERROR(IF($O$3="Chunk Rent",
AVERAGEIFS('Unit-Level Data'!$O:$O,'Unit-Level Data'!$M:$M,TRUE,
          'Unit-Level Data'!$D:$D, INDIRECT("C"&amp;ROW()),
          'Unit-Level Data'!$B:$B, INDIRECT("B"&amp;ROW())),
AVERAGEIFS('Unit-Level Data'!$P:$P,'Unit-Level Data'!$M:$M,TRUE,
          'Unit-Level Data'!$D:$D, INDIRECT("C"&amp;ROW()),
          'Unit-Level Data'!$B:$B, INDIRECT("B"&amp;ROW()))),"")</f>
      </c>
      <c r="O234" s="760" t="str" cm="1">
        <f t="array" aca="true" ref="O234" ca="true">IFERROR(IF($O$3="Chunk Rent",
AVERAGEIFS('Unit-Level Data'!$Q:$Q,'Unit-Level Data'!$M:$M,TRUE,
          'Unit-Level Data'!$D:$D, INDIRECT("C"&amp;ROW()),
          'Unit-Level Data'!$B:$B, INDIRECT("B"&amp;ROW())),
AVERAGEIFS('Unit-Level Data'!$R:$R,'Unit-Level Data'!$M:$M,TRUE,
          'Unit-Level Data'!$D:$D, INDIRECT("C"&amp;ROW()),
          'Unit-Level Data'!$B:$B, INDIRECT("B"&amp;ROW()))),"")</f>
      </c>
      <c r="P234" s="733" cm="1">
        <f t="array" aca="true" ref="P234" ca="true">COUNTIFS('Unit-Level Data'!$M:$M,TRUE,
          'Unit-Level Data'!$D:$D, INDIRECT("C"&amp;ROW()),
          'Unit-Level Data'!$B:$B, INDIRECT("B"&amp;ROW()))</f>
        <v>0</v>
      </c>
      <c r="Q234" s="738" t="str" cm="1">
        <f t="array" aca="true" ref="Q2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4" s="760" t="str" cm="1">
        <f t="array" aca="true" ref="R2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4" s="733" cm="1">
        <f t="array" aca="true" ref="S234" ca="true">COUNTIFS('Unit-Level Data'!$L:$L, "&gt;=" &amp; ($X$2 - Q$5),
          'Unit-Level Data'!$L:$L, "&lt;" &amp; $X$2,
          'Unit-Level Data'!$D:$D, INDIRECT("C"&amp;ROW()),
          'Unit-Level Data'!$B:$B, INDIRECT("B"&amp;ROW()))</f>
        <v>0</v>
      </c>
      <c r="T234" s="738" t="str" cm="1">
        <f t="array" aca="true" ref="T2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4" s="760" t="str" cm="1">
        <f t="array" aca="true" ref="U2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4" s="733" cm="1">
        <f t="array" aca="true" ref="V234" ca="true">COUNTIFS('Unit-Level Data'!$L:$L, "&gt;=" &amp; ($X$2 - T$5),
          'Unit-Level Data'!$L:$L, "&lt;" &amp; $X$2,
          'Unit-Level Data'!$D:$D, INDIRECT("C"&amp;ROW()),
          'Unit-Level Data'!$B:$B, INDIRECT("B"&amp;ROW()))</f>
        <v>0</v>
      </c>
      <c r="W234" s="738" t="str" cm="1">
        <f t="array" aca="true" ref="W2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4" s="760" t="str" cm="1">
        <f t="array" aca="true" ref="X2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4" s="733" cm="1">
        <f t="array" aca="true" ref="Y234" ca="true">COUNTIFS('Unit-Level Data'!$L:$L, "&gt;=" &amp; ($X$2 - W$5),
          'Unit-Level Data'!$L:$L, "&lt;" &amp; $X$2,
          'Unit-Level Data'!$D:$D, INDIRECT("C"&amp;ROW()),
          'Unit-Level Data'!$B:$B, INDIRECT("B"&amp;ROW()))</f>
        <v>0</v>
      </c>
      <c r="Z234" s="761"/>
      <c r="AA234" s="735" cm="1">
        <f t="array" aca="true" ref="AA234" ca="true">IFERROR(AVERAGEIFS(
  unit_details[Sqft],
  unit_details[Property Name], INDIRECT("B"&amp;ROW()),
  unit_details[Floorplan Name], INDIRECT("C"&amp;ROW()),
  unit_details[Beds], INDIRECT("D"&amp;ROW()),
  unit_details[Detected Unit Amenities], "*"&amp;$AB$3&amp;"*",
  unit_details[Leased Date], "&gt;=" &amp; ($X$2 - $AD$3)
),0)</f>
        <v>0</v>
      </c>
      <c r="AB234" s="734" cm="1">
        <f t="array" aca="true" ref="AB2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4" s="733" cm="1">
        <f t="array" aca="true" ref="AC234" ca="true">IFERROR(COUNTIFS(
  unit_details[Property Name], INDIRECT("B"&amp;ROW()),
  unit_details[Floorplan Name], INDIRECT("C"&amp;ROW()),
  unit_details[Beds], INDIRECT("D"&amp;ROW()),
  unit_details[Detected Unit Amenities], "*"&amp;$AB$3&amp;"*",
  unit_details[Leased Date], "&gt;=" &amp; ($X$2 - $AD$3)
),0)</f>
        <v>0</v>
      </c>
      <c r="AD234" s="735" cm="1">
        <f t="array" aca="true" ref="AD234" ca="true">IFERROR(AVERAGEIFS(
  unit_details[Sqft],
  unit_details[Property Name], INDIRECT("B"&amp;ROW()),
  unit_details[Floorplan Name], INDIRECT("C"&amp;ROW()),
  unit_details[Beds], INDIRECT("D"&amp;ROW()),
  unit_details[Detected Unit Amenities], "&lt;&gt;*"&amp;$AB$3&amp;"*",
  unit_details[Leased Date], "&gt;=" &amp; ($X$2 - $AD$3)
),0)</f>
        <v>0</v>
      </c>
      <c r="AE234" s="734" cm="1">
        <f t="array" aca="true" ref="AE2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4" s="733" cm="1">
        <f t="array" aca="true" ref="AF234" ca="true">IFERROR(COUNTIFS(
  unit_details[Property Name], INDIRECT("B"&amp;ROW()),
  unit_details[Floorplan Name], INDIRECT("C"&amp;ROW()),
  unit_details[Beds], INDIRECT("D"&amp;ROW()),
  unit_details[Detected Unit Amenities], "&lt;&gt;*"&amp;$AB$3&amp;"*",
  unit_details[Leased Date], "&gt;=" &amp; ($X$2 - $AD$3)
),0)</f>
        <v>0</v>
      </c>
      <c r="AG234" s="735"/>
      <c r="AH234" s="738">
        <f t="shared" ca="true" si="8"/>
        <v>0</v>
      </c>
      <c r="AI234" s="739">
        <f t="shared" ca="true" si="9"/>
        <v>0</v>
      </c>
    </row>
    <row r="235" spans="2:35">
      <c r="B235" s="1"/>
      <c r="C235" s="80"/>
      <c r="E235" s="303"/>
      <c r="F235" s="303"/>
      <c r="J235" s="345"/>
      <c r="K235" s="6"/>
      <c r="M235" s="6"/>
      <c r="N235" s="738" t="str" cm="1">
        <f t="array" aca="true" ref="N235" ca="true">IFERROR(IF($O$3="Chunk Rent",
AVERAGEIFS('Unit-Level Data'!$O:$O,'Unit-Level Data'!$M:$M,TRUE,
          'Unit-Level Data'!$D:$D, INDIRECT("C"&amp;ROW()),
          'Unit-Level Data'!$B:$B, INDIRECT("B"&amp;ROW())),
AVERAGEIFS('Unit-Level Data'!$P:$P,'Unit-Level Data'!$M:$M,TRUE,
          'Unit-Level Data'!$D:$D, INDIRECT("C"&amp;ROW()),
          'Unit-Level Data'!$B:$B, INDIRECT("B"&amp;ROW()))),"")</f>
      </c>
      <c r="O235" s="760" t="str" cm="1">
        <f t="array" aca="true" ref="O235" ca="true">IFERROR(IF($O$3="Chunk Rent",
AVERAGEIFS('Unit-Level Data'!$Q:$Q,'Unit-Level Data'!$M:$M,TRUE,
          'Unit-Level Data'!$D:$D, INDIRECT("C"&amp;ROW()),
          'Unit-Level Data'!$B:$B, INDIRECT("B"&amp;ROW())),
AVERAGEIFS('Unit-Level Data'!$R:$R,'Unit-Level Data'!$M:$M,TRUE,
          'Unit-Level Data'!$D:$D, INDIRECT("C"&amp;ROW()),
          'Unit-Level Data'!$B:$B, INDIRECT("B"&amp;ROW()))),"")</f>
      </c>
      <c r="P235" s="733" cm="1">
        <f t="array" aca="true" ref="P235" ca="true">COUNTIFS('Unit-Level Data'!$M:$M,TRUE,
          'Unit-Level Data'!$D:$D, INDIRECT("C"&amp;ROW()),
          'Unit-Level Data'!$B:$B, INDIRECT("B"&amp;ROW()))</f>
        <v>0</v>
      </c>
      <c r="Q235" s="738" t="str" cm="1">
        <f t="array" aca="true" ref="Q2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5" s="760" t="str" cm="1">
        <f t="array" aca="true" ref="R2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5" s="733" cm="1">
        <f t="array" aca="true" ref="S235" ca="true">COUNTIFS('Unit-Level Data'!$L:$L, "&gt;=" &amp; ($X$2 - Q$5),
          'Unit-Level Data'!$L:$L, "&lt;" &amp; $X$2,
          'Unit-Level Data'!$D:$D, INDIRECT("C"&amp;ROW()),
          'Unit-Level Data'!$B:$B, INDIRECT("B"&amp;ROW()))</f>
        <v>0</v>
      </c>
      <c r="T235" s="738" t="str" cm="1">
        <f t="array" aca="true" ref="T2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5" s="760" t="str" cm="1">
        <f t="array" aca="true" ref="U2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5" s="733" cm="1">
        <f t="array" aca="true" ref="V235" ca="true">COUNTIFS('Unit-Level Data'!$L:$L, "&gt;=" &amp; ($X$2 - T$5),
          'Unit-Level Data'!$L:$L, "&lt;" &amp; $X$2,
          'Unit-Level Data'!$D:$D, INDIRECT("C"&amp;ROW()),
          'Unit-Level Data'!$B:$B, INDIRECT("B"&amp;ROW()))</f>
        <v>0</v>
      </c>
      <c r="W235" s="738" t="str" cm="1">
        <f t="array" aca="true" ref="W2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5" s="760" t="str" cm="1">
        <f t="array" aca="true" ref="X2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5" s="733" cm="1">
        <f t="array" aca="true" ref="Y235" ca="true">COUNTIFS('Unit-Level Data'!$L:$L, "&gt;=" &amp; ($X$2 - W$5),
          'Unit-Level Data'!$L:$L, "&lt;" &amp; $X$2,
          'Unit-Level Data'!$D:$D, INDIRECT("C"&amp;ROW()),
          'Unit-Level Data'!$B:$B, INDIRECT("B"&amp;ROW()))</f>
        <v>0</v>
      </c>
      <c r="Z235" s="761"/>
      <c r="AA235" s="735" cm="1">
        <f t="array" aca="true" ref="AA235" ca="true">IFERROR(AVERAGEIFS(
  unit_details[Sqft],
  unit_details[Property Name], INDIRECT("B"&amp;ROW()),
  unit_details[Floorplan Name], INDIRECT("C"&amp;ROW()),
  unit_details[Beds], INDIRECT("D"&amp;ROW()),
  unit_details[Detected Unit Amenities], "*"&amp;$AB$3&amp;"*",
  unit_details[Leased Date], "&gt;=" &amp; ($X$2 - $AD$3)
),0)</f>
        <v>0</v>
      </c>
      <c r="AB235" s="734" cm="1">
        <f t="array" aca="true" ref="AB2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5" s="733" cm="1">
        <f t="array" aca="true" ref="AC235" ca="true">IFERROR(COUNTIFS(
  unit_details[Property Name], INDIRECT("B"&amp;ROW()),
  unit_details[Floorplan Name], INDIRECT("C"&amp;ROW()),
  unit_details[Beds], INDIRECT("D"&amp;ROW()),
  unit_details[Detected Unit Amenities], "*"&amp;$AB$3&amp;"*",
  unit_details[Leased Date], "&gt;=" &amp; ($X$2 - $AD$3)
),0)</f>
        <v>0</v>
      </c>
      <c r="AD235" s="735" cm="1">
        <f t="array" aca="true" ref="AD235" ca="true">IFERROR(AVERAGEIFS(
  unit_details[Sqft],
  unit_details[Property Name], INDIRECT("B"&amp;ROW()),
  unit_details[Floorplan Name], INDIRECT("C"&amp;ROW()),
  unit_details[Beds], INDIRECT("D"&amp;ROW()),
  unit_details[Detected Unit Amenities], "&lt;&gt;*"&amp;$AB$3&amp;"*",
  unit_details[Leased Date], "&gt;=" &amp; ($X$2 - $AD$3)
),0)</f>
        <v>0</v>
      </c>
      <c r="AE235" s="734" cm="1">
        <f t="array" aca="true" ref="AE2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5" s="733" cm="1">
        <f t="array" aca="true" ref="AF235" ca="true">IFERROR(COUNTIFS(
  unit_details[Property Name], INDIRECT("B"&amp;ROW()),
  unit_details[Floorplan Name], INDIRECT("C"&amp;ROW()),
  unit_details[Beds], INDIRECT("D"&amp;ROW()),
  unit_details[Detected Unit Amenities], "&lt;&gt;*"&amp;$AB$3&amp;"*",
  unit_details[Leased Date], "&gt;=" &amp; ($X$2 - $AD$3)
),0)</f>
        <v>0</v>
      </c>
      <c r="AG235" s="735"/>
      <c r="AH235" s="738">
        <f t="shared" ca="true" si="8"/>
        <v>0</v>
      </c>
      <c r="AI235" s="739">
        <f t="shared" ca="true" si="9"/>
        <v>0</v>
      </c>
    </row>
    <row r="236" spans="2:35">
      <c r="B236" s="1"/>
      <c r="C236" s="80"/>
      <c r="E236" s="303"/>
      <c r="F236" s="303"/>
      <c r="J236" s="345"/>
      <c r="K236" s="6"/>
      <c r="M236" s="6"/>
      <c r="N236" s="738" t="str" cm="1">
        <f t="array" aca="true" ref="N236" ca="true">IFERROR(IF($O$3="Chunk Rent",
AVERAGEIFS('Unit-Level Data'!$O:$O,'Unit-Level Data'!$M:$M,TRUE,
          'Unit-Level Data'!$D:$D, INDIRECT("C"&amp;ROW()),
          'Unit-Level Data'!$B:$B, INDIRECT("B"&amp;ROW())),
AVERAGEIFS('Unit-Level Data'!$P:$P,'Unit-Level Data'!$M:$M,TRUE,
          'Unit-Level Data'!$D:$D, INDIRECT("C"&amp;ROW()),
          'Unit-Level Data'!$B:$B, INDIRECT("B"&amp;ROW()))),"")</f>
      </c>
      <c r="O236" s="760" t="str" cm="1">
        <f t="array" aca="true" ref="O236" ca="true">IFERROR(IF($O$3="Chunk Rent",
AVERAGEIFS('Unit-Level Data'!$Q:$Q,'Unit-Level Data'!$M:$M,TRUE,
          'Unit-Level Data'!$D:$D, INDIRECT("C"&amp;ROW()),
          'Unit-Level Data'!$B:$B, INDIRECT("B"&amp;ROW())),
AVERAGEIFS('Unit-Level Data'!$R:$R,'Unit-Level Data'!$M:$M,TRUE,
          'Unit-Level Data'!$D:$D, INDIRECT("C"&amp;ROW()),
          'Unit-Level Data'!$B:$B, INDIRECT("B"&amp;ROW()))),"")</f>
      </c>
      <c r="P236" s="733" cm="1">
        <f t="array" aca="true" ref="P236" ca="true">COUNTIFS('Unit-Level Data'!$M:$M,TRUE,
          'Unit-Level Data'!$D:$D, INDIRECT("C"&amp;ROW()),
          'Unit-Level Data'!$B:$B, INDIRECT("B"&amp;ROW()))</f>
        <v>0</v>
      </c>
      <c r="Q236" s="738" t="str" cm="1">
        <f t="array" aca="true" ref="Q2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6" s="760" t="str" cm="1">
        <f t="array" aca="true" ref="R2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6" s="733" cm="1">
        <f t="array" aca="true" ref="S236" ca="true">COUNTIFS('Unit-Level Data'!$L:$L, "&gt;=" &amp; ($X$2 - Q$5),
          'Unit-Level Data'!$L:$L, "&lt;" &amp; $X$2,
          'Unit-Level Data'!$D:$D, INDIRECT("C"&amp;ROW()),
          'Unit-Level Data'!$B:$B, INDIRECT("B"&amp;ROW()))</f>
        <v>0</v>
      </c>
      <c r="T236" s="738" t="str" cm="1">
        <f t="array" aca="true" ref="T2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6" s="760" t="str" cm="1">
        <f t="array" aca="true" ref="U2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6" s="733" cm="1">
        <f t="array" aca="true" ref="V236" ca="true">COUNTIFS('Unit-Level Data'!$L:$L, "&gt;=" &amp; ($X$2 - T$5),
          'Unit-Level Data'!$L:$L, "&lt;" &amp; $X$2,
          'Unit-Level Data'!$D:$D, INDIRECT("C"&amp;ROW()),
          'Unit-Level Data'!$B:$B, INDIRECT("B"&amp;ROW()))</f>
        <v>0</v>
      </c>
      <c r="W236" s="738" t="str" cm="1">
        <f t="array" aca="true" ref="W2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6" s="760" t="str" cm="1">
        <f t="array" aca="true" ref="X2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6" s="733" cm="1">
        <f t="array" aca="true" ref="Y236" ca="true">COUNTIFS('Unit-Level Data'!$L:$L, "&gt;=" &amp; ($X$2 - W$5),
          'Unit-Level Data'!$L:$L, "&lt;" &amp; $X$2,
          'Unit-Level Data'!$D:$D, INDIRECT("C"&amp;ROW()),
          'Unit-Level Data'!$B:$B, INDIRECT("B"&amp;ROW()))</f>
        <v>0</v>
      </c>
      <c r="Z236" s="761"/>
      <c r="AA236" s="735" cm="1">
        <f t="array" aca="true" ref="AA236" ca="true">IFERROR(AVERAGEIFS(
  unit_details[Sqft],
  unit_details[Property Name], INDIRECT("B"&amp;ROW()),
  unit_details[Floorplan Name], INDIRECT("C"&amp;ROW()),
  unit_details[Beds], INDIRECT("D"&amp;ROW()),
  unit_details[Detected Unit Amenities], "*"&amp;$AB$3&amp;"*",
  unit_details[Leased Date], "&gt;=" &amp; ($X$2 - $AD$3)
),0)</f>
        <v>0</v>
      </c>
      <c r="AB236" s="734" cm="1">
        <f t="array" aca="true" ref="AB2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6" s="733" cm="1">
        <f t="array" aca="true" ref="AC236" ca="true">IFERROR(COUNTIFS(
  unit_details[Property Name], INDIRECT("B"&amp;ROW()),
  unit_details[Floorplan Name], INDIRECT("C"&amp;ROW()),
  unit_details[Beds], INDIRECT("D"&amp;ROW()),
  unit_details[Detected Unit Amenities], "*"&amp;$AB$3&amp;"*",
  unit_details[Leased Date], "&gt;=" &amp; ($X$2 - $AD$3)
),0)</f>
        <v>0</v>
      </c>
      <c r="AD236" s="735" cm="1">
        <f t="array" aca="true" ref="AD236" ca="true">IFERROR(AVERAGEIFS(
  unit_details[Sqft],
  unit_details[Property Name], INDIRECT("B"&amp;ROW()),
  unit_details[Floorplan Name], INDIRECT("C"&amp;ROW()),
  unit_details[Beds], INDIRECT("D"&amp;ROW()),
  unit_details[Detected Unit Amenities], "&lt;&gt;*"&amp;$AB$3&amp;"*",
  unit_details[Leased Date], "&gt;=" &amp; ($X$2 - $AD$3)
),0)</f>
        <v>0</v>
      </c>
      <c r="AE236" s="734" cm="1">
        <f t="array" aca="true" ref="AE2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6" s="733" cm="1">
        <f t="array" aca="true" ref="AF236" ca="true">IFERROR(COUNTIFS(
  unit_details[Property Name], INDIRECT("B"&amp;ROW()),
  unit_details[Floorplan Name], INDIRECT("C"&amp;ROW()),
  unit_details[Beds], INDIRECT("D"&amp;ROW()),
  unit_details[Detected Unit Amenities], "&lt;&gt;*"&amp;$AB$3&amp;"*",
  unit_details[Leased Date], "&gt;=" &amp; ($X$2 - $AD$3)
),0)</f>
        <v>0</v>
      </c>
      <c r="AG236" s="735"/>
      <c r="AH236" s="738">
        <f t="shared" ca="true" si="8"/>
        <v>0</v>
      </c>
      <c r="AI236" s="739">
        <f t="shared" ca="true" si="9"/>
        <v>0</v>
      </c>
    </row>
    <row r="237" spans="2:35">
      <c r="B237" s="1"/>
      <c r="C237" s="80"/>
      <c r="E237" s="303"/>
      <c r="F237" s="303"/>
      <c r="J237" s="345"/>
      <c r="K237" s="6"/>
      <c r="M237" s="6"/>
      <c r="N237" s="738" t="str" cm="1">
        <f t="array" aca="true" ref="N237" ca="true">IFERROR(IF($O$3="Chunk Rent",
AVERAGEIFS('Unit-Level Data'!$O:$O,'Unit-Level Data'!$M:$M,TRUE,
          'Unit-Level Data'!$D:$D, INDIRECT("C"&amp;ROW()),
          'Unit-Level Data'!$B:$B, INDIRECT("B"&amp;ROW())),
AVERAGEIFS('Unit-Level Data'!$P:$P,'Unit-Level Data'!$M:$M,TRUE,
          'Unit-Level Data'!$D:$D, INDIRECT("C"&amp;ROW()),
          'Unit-Level Data'!$B:$B, INDIRECT("B"&amp;ROW()))),"")</f>
      </c>
      <c r="O237" s="760" t="str" cm="1">
        <f t="array" aca="true" ref="O237" ca="true">IFERROR(IF($O$3="Chunk Rent",
AVERAGEIFS('Unit-Level Data'!$Q:$Q,'Unit-Level Data'!$M:$M,TRUE,
          'Unit-Level Data'!$D:$D, INDIRECT("C"&amp;ROW()),
          'Unit-Level Data'!$B:$B, INDIRECT("B"&amp;ROW())),
AVERAGEIFS('Unit-Level Data'!$R:$R,'Unit-Level Data'!$M:$M,TRUE,
          'Unit-Level Data'!$D:$D, INDIRECT("C"&amp;ROW()),
          'Unit-Level Data'!$B:$B, INDIRECT("B"&amp;ROW()))),"")</f>
      </c>
      <c r="P237" s="733" cm="1">
        <f t="array" aca="true" ref="P237" ca="true">COUNTIFS('Unit-Level Data'!$M:$M,TRUE,
          'Unit-Level Data'!$D:$D, INDIRECT("C"&amp;ROW()),
          'Unit-Level Data'!$B:$B, INDIRECT("B"&amp;ROW()))</f>
        <v>0</v>
      </c>
      <c r="Q237" s="738" t="str" cm="1">
        <f t="array" aca="true" ref="Q2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7" s="760" t="str" cm="1">
        <f t="array" aca="true" ref="R2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7" s="733" cm="1">
        <f t="array" aca="true" ref="S237" ca="true">COUNTIFS('Unit-Level Data'!$L:$L, "&gt;=" &amp; ($X$2 - Q$5),
          'Unit-Level Data'!$L:$L, "&lt;" &amp; $X$2,
          'Unit-Level Data'!$D:$D, INDIRECT("C"&amp;ROW()),
          'Unit-Level Data'!$B:$B, INDIRECT("B"&amp;ROW()))</f>
        <v>0</v>
      </c>
      <c r="T237" s="738" t="str" cm="1">
        <f t="array" aca="true" ref="T2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7" s="760" t="str" cm="1">
        <f t="array" aca="true" ref="U2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7" s="733" cm="1">
        <f t="array" aca="true" ref="V237" ca="true">COUNTIFS('Unit-Level Data'!$L:$L, "&gt;=" &amp; ($X$2 - T$5),
          'Unit-Level Data'!$L:$L, "&lt;" &amp; $X$2,
          'Unit-Level Data'!$D:$D, INDIRECT("C"&amp;ROW()),
          'Unit-Level Data'!$B:$B, INDIRECT("B"&amp;ROW()))</f>
        <v>0</v>
      </c>
      <c r="W237" s="738" t="str" cm="1">
        <f t="array" aca="true" ref="W2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7" s="760" t="str" cm="1">
        <f t="array" aca="true" ref="X2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7" s="733" cm="1">
        <f t="array" aca="true" ref="Y237" ca="true">COUNTIFS('Unit-Level Data'!$L:$L, "&gt;=" &amp; ($X$2 - W$5),
          'Unit-Level Data'!$L:$L, "&lt;" &amp; $X$2,
          'Unit-Level Data'!$D:$D, INDIRECT("C"&amp;ROW()),
          'Unit-Level Data'!$B:$B, INDIRECT("B"&amp;ROW()))</f>
        <v>0</v>
      </c>
      <c r="Z237" s="761"/>
      <c r="AA237" s="735" cm="1">
        <f t="array" aca="true" ref="AA237" ca="true">IFERROR(AVERAGEIFS(
  unit_details[Sqft],
  unit_details[Property Name], INDIRECT("B"&amp;ROW()),
  unit_details[Floorplan Name], INDIRECT("C"&amp;ROW()),
  unit_details[Beds], INDIRECT("D"&amp;ROW()),
  unit_details[Detected Unit Amenities], "*"&amp;$AB$3&amp;"*",
  unit_details[Leased Date], "&gt;=" &amp; ($X$2 - $AD$3)
),0)</f>
        <v>0</v>
      </c>
      <c r="AB237" s="734" cm="1">
        <f t="array" aca="true" ref="AB2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7" s="733" cm="1">
        <f t="array" aca="true" ref="AC237" ca="true">IFERROR(COUNTIFS(
  unit_details[Property Name], INDIRECT("B"&amp;ROW()),
  unit_details[Floorplan Name], INDIRECT("C"&amp;ROW()),
  unit_details[Beds], INDIRECT("D"&amp;ROW()),
  unit_details[Detected Unit Amenities], "*"&amp;$AB$3&amp;"*",
  unit_details[Leased Date], "&gt;=" &amp; ($X$2 - $AD$3)
),0)</f>
        <v>0</v>
      </c>
      <c r="AD237" s="735" cm="1">
        <f t="array" aca="true" ref="AD237" ca="true">IFERROR(AVERAGEIFS(
  unit_details[Sqft],
  unit_details[Property Name], INDIRECT("B"&amp;ROW()),
  unit_details[Floorplan Name], INDIRECT("C"&amp;ROW()),
  unit_details[Beds], INDIRECT("D"&amp;ROW()),
  unit_details[Detected Unit Amenities], "&lt;&gt;*"&amp;$AB$3&amp;"*",
  unit_details[Leased Date], "&gt;=" &amp; ($X$2 - $AD$3)
),0)</f>
        <v>0</v>
      </c>
      <c r="AE237" s="734" cm="1">
        <f t="array" aca="true" ref="AE2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7" s="733" cm="1">
        <f t="array" aca="true" ref="AF237" ca="true">IFERROR(COUNTIFS(
  unit_details[Property Name], INDIRECT("B"&amp;ROW()),
  unit_details[Floorplan Name], INDIRECT("C"&amp;ROW()),
  unit_details[Beds], INDIRECT("D"&amp;ROW()),
  unit_details[Detected Unit Amenities], "&lt;&gt;*"&amp;$AB$3&amp;"*",
  unit_details[Leased Date], "&gt;=" &amp; ($X$2 - $AD$3)
),0)</f>
        <v>0</v>
      </c>
      <c r="AG237" s="735"/>
      <c r="AH237" s="738">
        <f t="shared" ca="true" si="8"/>
        <v>0</v>
      </c>
      <c r="AI237" s="739">
        <f t="shared" ca="true" si="9"/>
        <v>0</v>
      </c>
    </row>
    <row r="238" spans="2:35">
      <c r="B238" s="1"/>
      <c r="C238" s="80"/>
      <c r="E238" s="303"/>
      <c r="F238" s="303"/>
      <c r="J238" s="345"/>
      <c r="K238" s="6"/>
      <c r="M238" s="6"/>
      <c r="N238" s="738" t="str" cm="1">
        <f t="array" aca="true" ref="N238" ca="true">IFERROR(IF($O$3="Chunk Rent",
AVERAGEIFS('Unit-Level Data'!$O:$O,'Unit-Level Data'!$M:$M,TRUE,
          'Unit-Level Data'!$D:$D, INDIRECT("C"&amp;ROW()),
          'Unit-Level Data'!$B:$B, INDIRECT("B"&amp;ROW())),
AVERAGEIFS('Unit-Level Data'!$P:$P,'Unit-Level Data'!$M:$M,TRUE,
          'Unit-Level Data'!$D:$D, INDIRECT("C"&amp;ROW()),
          'Unit-Level Data'!$B:$B, INDIRECT("B"&amp;ROW()))),"")</f>
      </c>
      <c r="O238" s="760" t="str" cm="1">
        <f t="array" aca="true" ref="O238" ca="true">IFERROR(IF($O$3="Chunk Rent",
AVERAGEIFS('Unit-Level Data'!$Q:$Q,'Unit-Level Data'!$M:$M,TRUE,
          'Unit-Level Data'!$D:$D, INDIRECT("C"&amp;ROW()),
          'Unit-Level Data'!$B:$B, INDIRECT("B"&amp;ROW())),
AVERAGEIFS('Unit-Level Data'!$R:$R,'Unit-Level Data'!$M:$M,TRUE,
          'Unit-Level Data'!$D:$D, INDIRECT("C"&amp;ROW()),
          'Unit-Level Data'!$B:$B, INDIRECT("B"&amp;ROW()))),"")</f>
      </c>
      <c r="P238" s="733" cm="1">
        <f t="array" aca="true" ref="P238" ca="true">COUNTIFS('Unit-Level Data'!$M:$M,TRUE,
          'Unit-Level Data'!$D:$D, INDIRECT("C"&amp;ROW()),
          'Unit-Level Data'!$B:$B, INDIRECT("B"&amp;ROW()))</f>
        <v>0</v>
      </c>
      <c r="Q238" s="738" t="str" cm="1">
        <f t="array" aca="true" ref="Q2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8" s="760" t="str" cm="1">
        <f t="array" aca="true" ref="R2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8" s="733" cm="1">
        <f t="array" aca="true" ref="S238" ca="true">COUNTIFS('Unit-Level Data'!$L:$L, "&gt;=" &amp; ($X$2 - Q$5),
          'Unit-Level Data'!$L:$L, "&lt;" &amp; $X$2,
          'Unit-Level Data'!$D:$D, INDIRECT("C"&amp;ROW()),
          'Unit-Level Data'!$B:$B, INDIRECT("B"&amp;ROW()))</f>
        <v>0</v>
      </c>
      <c r="T238" s="738" t="str" cm="1">
        <f t="array" aca="true" ref="T2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8" s="760" t="str" cm="1">
        <f t="array" aca="true" ref="U2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8" s="733" cm="1">
        <f t="array" aca="true" ref="V238" ca="true">COUNTIFS('Unit-Level Data'!$L:$L, "&gt;=" &amp; ($X$2 - T$5),
          'Unit-Level Data'!$L:$L, "&lt;" &amp; $X$2,
          'Unit-Level Data'!$D:$D, INDIRECT("C"&amp;ROW()),
          'Unit-Level Data'!$B:$B, INDIRECT("B"&amp;ROW()))</f>
        <v>0</v>
      </c>
      <c r="W238" s="738" t="str" cm="1">
        <f t="array" aca="true" ref="W2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8" s="760" t="str" cm="1">
        <f t="array" aca="true" ref="X2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8" s="733" cm="1">
        <f t="array" aca="true" ref="Y238" ca="true">COUNTIFS('Unit-Level Data'!$L:$L, "&gt;=" &amp; ($X$2 - W$5),
          'Unit-Level Data'!$L:$L, "&lt;" &amp; $X$2,
          'Unit-Level Data'!$D:$D, INDIRECT("C"&amp;ROW()),
          'Unit-Level Data'!$B:$B, INDIRECT("B"&amp;ROW()))</f>
        <v>0</v>
      </c>
      <c r="Z238" s="761"/>
      <c r="AA238" s="735" cm="1">
        <f t="array" aca="true" ref="AA238" ca="true">IFERROR(AVERAGEIFS(
  unit_details[Sqft],
  unit_details[Property Name], INDIRECT("B"&amp;ROW()),
  unit_details[Floorplan Name], INDIRECT("C"&amp;ROW()),
  unit_details[Beds], INDIRECT("D"&amp;ROW()),
  unit_details[Detected Unit Amenities], "*"&amp;$AB$3&amp;"*",
  unit_details[Leased Date], "&gt;=" &amp; ($X$2 - $AD$3)
),0)</f>
        <v>0</v>
      </c>
      <c r="AB238" s="734" cm="1">
        <f t="array" aca="true" ref="AB2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8" s="733" cm="1">
        <f t="array" aca="true" ref="AC238" ca="true">IFERROR(COUNTIFS(
  unit_details[Property Name], INDIRECT("B"&amp;ROW()),
  unit_details[Floorplan Name], INDIRECT("C"&amp;ROW()),
  unit_details[Beds], INDIRECT("D"&amp;ROW()),
  unit_details[Detected Unit Amenities], "*"&amp;$AB$3&amp;"*",
  unit_details[Leased Date], "&gt;=" &amp; ($X$2 - $AD$3)
),0)</f>
        <v>0</v>
      </c>
      <c r="AD238" s="735" cm="1">
        <f t="array" aca="true" ref="AD238" ca="true">IFERROR(AVERAGEIFS(
  unit_details[Sqft],
  unit_details[Property Name], INDIRECT("B"&amp;ROW()),
  unit_details[Floorplan Name], INDIRECT("C"&amp;ROW()),
  unit_details[Beds], INDIRECT("D"&amp;ROW()),
  unit_details[Detected Unit Amenities], "&lt;&gt;*"&amp;$AB$3&amp;"*",
  unit_details[Leased Date], "&gt;=" &amp; ($X$2 - $AD$3)
),0)</f>
        <v>0</v>
      </c>
      <c r="AE238" s="734" cm="1">
        <f t="array" aca="true" ref="AE2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8" s="733" cm="1">
        <f t="array" aca="true" ref="AF238" ca="true">IFERROR(COUNTIFS(
  unit_details[Property Name], INDIRECT("B"&amp;ROW()),
  unit_details[Floorplan Name], INDIRECT("C"&amp;ROW()),
  unit_details[Beds], INDIRECT("D"&amp;ROW()),
  unit_details[Detected Unit Amenities], "&lt;&gt;*"&amp;$AB$3&amp;"*",
  unit_details[Leased Date], "&gt;=" &amp; ($X$2 - $AD$3)
),0)</f>
        <v>0</v>
      </c>
      <c r="AG238" s="735"/>
      <c r="AH238" s="738">
        <f t="shared" ca="true" si="8"/>
        <v>0</v>
      </c>
      <c r="AI238" s="739">
        <f t="shared" ca="true" si="9"/>
        <v>0</v>
      </c>
    </row>
    <row r="239" spans="2:35">
      <c r="B239" s="1"/>
      <c r="C239" s="80"/>
      <c r="E239" s="303"/>
      <c r="F239" s="303"/>
      <c r="J239" s="345"/>
      <c r="K239" s="6"/>
      <c r="M239" s="6"/>
      <c r="N239" s="738" t="str" cm="1">
        <f t="array" aca="true" ref="N239" ca="true">IFERROR(IF($O$3="Chunk Rent",
AVERAGEIFS('Unit-Level Data'!$O:$O,'Unit-Level Data'!$M:$M,TRUE,
          'Unit-Level Data'!$D:$D, INDIRECT("C"&amp;ROW()),
          'Unit-Level Data'!$B:$B, INDIRECT("B"&amp;ROW())),
AVERAGEIFS('Unit-Level Data'!$P:$P,'Unit-Level Data'!$M:$M,TRUE,
          'Unit-Level Data'!$D:$D, INDIRECT("C"&amp;ROW()),
          'Unit-Level Data'!$B:$B, INDIRECT("B"&amp;ROW()))),"")</f>
      </c>
      <c r="O239" s="760" t="str" cm="1">
        <f t="array" aca="true" ref="O239" ca="true">IFERROR(IF($O$3="Chunk Rent",
AVERAGEIFS('Unit-Level Data'!$Q:$Q,'Unit-Level Data'!$M:$M,TRUE,
          'Unit-Level Data'!$D:$D, INDIRECT("C"&amp;ROW()),
          'Unit-Level Data'!$B:$B, INDIRECT("B"&amp;ROW())),
AVERAGEIFS('Unit-Level Data'!$R:$R,'Unit-Level Data'!$M:$M,TRUE,
          'Unit-Level Data'!$D:$D, INDIRECT("C"&amp;ROW()),
          'Unit-Level Data'!$B:$B, INDIRECT("B"&amp;ROW()))),"")</f>
      </c>
      <c r="P239" s="733" cm="1">
        <f t="array" aca="true" ref="P239" ca="true">COUNTIFS('Unit-Level Data'!$M:$M,TRUE,
          'Unit-Level Data'!$D:$D, INDIRECT("C"&amp;ROW()),
          'Unit-Level Data'!$B:$B, INDIRECT("B"&amp;ROW()))</f>
        <v>0</v>
      </c>
      <c r="Q239" s="738" t="str" cm="1">
        <f t="array" aca="true" ref="Q2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9" s="760" t="str" cm="1">
        <f t="array" aca="true" ref="R2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9" s="733" cm="1">
        <f t="array" aca="true" ref="S239" ca="true">COUNTIFS('Unit-Level Data'!$L:$L, "&gt;=" &amp; ($X$2 - Q$5),
          'Unit-Level Data'!$L:$L, "&lt;" &amp; $X$2,
          'Unit-Level Data'!$D:$D, INDIRECT("C"&amp;ROW()),
          'Unit-Level Data'!$B:$B, INDIRECT("B"&amp;ROW()))</f>
        <v>0</v>
      </c>
      <c r="T239" s="738" t="str" cm="1">
        <f t="array" aca="true" ref="T2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9" s="760" t="str" cm="1">
        <f t="array" aca="true" ref="U2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9" s="733" cm="1">
        <f t="array" aca="true" ref="V239" ca="true">COUNTIFS('Unit-Level Data'!$L:$L, "&gt;=" &amp; ($X$2 - T$5),
          'Unit-Level Data'!$L:$L, "&lt;" &amp; $X$2,
          'Unit-Level Data'!$D:$D, INDIRECT("C"&amp;ROW()),
          'Unit-Level Data'!$B:$B, INDIRECT("B"&amp;ROW()))</f>
        <v>0</v>
      </c>
      <c r="W239" s="738" t="str" cm="1">
        <f t="array" aca="true" ref="W2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9" s="760" t="str" cm="1">
        <f t="array" aca="true" ref="X2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9" s="733" cm="1">
        <f t="array" aca="true" ref="Y239" ca="true">COUNTIFS('Unit-Level Data'!$L:$L, "&gt;=" &amp; ($X$2 - W$5),
          'Unit-Level Data'!$L:$L, "&lt;" &amp; $X$2,
          'Unit-Level Data'!$D:$D, INDIRECT("C"&amp;ROW()),
          'Unit-Level Data'!$B:$B, INDIRECT("B"&amp;ROW()))</f>
        <v>0</v>
      </c>
      <c r="Z239" s="761"/>
      <c r="AA239" s="735" cm="1">
        <f t="array" aca="true" ref="AA239" ca="true">IFERROR(AVERAGEIFS(
  unit_details[Sqft],
  unit_details[Property Name], INDIRECT("B"&amp;ROW()),
  unit_details[Floorplan Name], INDIRECT("C"&amp;ROW()),
  unit_details[Beds], INDIRECT("D"&amp;ROW()),
  unit_details[Detected Unit Amenities], "*"&amp;$AB$3&amp;"*",
  unit_details[Leased Date], "&gt;=" &amp; ($X$2 - $AD$3)
),0)</f>
        <v>0</v>
      </c>
      <c r="AB239" s="734" cm="1">
        <f t="array" aca="true" ref="AB2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9" s="733" cm="1">
        <f t="array" aca="true" ref="AC239" ca="true">IFERROR(COUNTIFS(
  unit_details[Property Name], INDIRECT("B"&amp;ROW()),
  unit_details[Floorplan Name], INDIRECT("C"&amp;ROW()),
  unit_details[Beds], INDIRECT("D"&amp;ROW()),
  unit_details[Detected Unit Amenities], "*"&amp;$AB$3&amp;"*",
  unit_details[Leased Date], "&gt;=" &amp; ($X$2 - $AD$3)
),0)</f>
        <v>0</v>
      </c>
      <c r="AD239" s="735" cm="1">
        <f t="array" aca="true" ref="AD239" ca="true">IFERROR(AVERAGEIFS(
  unit_details[Sqft],
  unit_details[Property Name], INDIRECT("B"&amp;ROW()),
  unit_details[Floorplan Name], INDIRECT("C"&amp;ROW()),
  unit_details[Beds], INDIRECT("D"&amp;ROW()),
  unit_details[Detected Unit Amenities], "&lt;&gt;*"&amp;$AB$3&amp;"*",
  unit_details[Leased Date], "&gt;=" &amp; ($X$2 - $AD$3)
),0)</f>
        <v>0</v>
      </c>
      <c r="AE239" s="734" cm="1">
        <f t="array" aca="true" ref="AE2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9" s="733" cm="1">
        <f t="array" aca="true" ref="AF239" ca="true">IFERROR(COUNTIFS(
  unit_details[Property Name], INDIRECT("B"&amp;ROW()),
  unit_details[Floorplan Name], INDIRECT("C"&amp;ROW()),
  unit_details[Beds], INDIRECT("D"&amp;ROW()),
  unit_details[Detected Unit Amenities], "&lt;&gt;*"&amp;$AB$3&amp;"*",
  unit_details[Leased Date], "&gt;=" &amp; ($X$2 - $AD$3)
),0)</f>
        <v>0</v>
      </c>
      <c r="AG239" s="735"/>
      <c r="AH239" s="738">
        <f t="shared" ca="true" si="8"/>
        <v>0</v>
      </c>
      <c r="AI239" s="739">
        <f t="shared" ca="true" si="9"/>
        <v>0</v>
      </c>
    </row>
    <row r="240" spans="2:35">
      <c r="B240" s="1"/>
      <c r="C240" s="80"/>
      <c r="E240" s="303"/>
      <c r="F240" s="303"/>
      <c r="J240" s="345"/>
      <c r="K240" s="6"/>
      <c r="M240" s="6"/>
      <c r="N240" s="738" t="str" cm="1">
        <f t="array" aca="true" ref="N240" ca="true">IFERROR(IF($O$3="Chunk Rent",
AVERAGEIFS('Unit-Level Data'!$O:$O,'Unit-Level Data'!$M:$M,TRUE,
          'Unit-Level Data'!$D:$D, INDIRECT("C"&amp;ROW()),
          'Unit-Level Data'!$B:$B, INDIRECT("B"&amp;ROW())),
AVERAGEIFS('Unit-Level Data'!$P:$P,'Unit-Level Data'!$M:$M,TRUE,
          'Unit-Level Data'!$D:$D, INDIRECT("C"&amp;ROW()),
          'Unit-Level Data'!$B:$B, INDIRECT("B"&amp;ROW()))),"")</f>
      </c>
      <c r="O240" s="760" t="str" cm="1">
        <f t="array" aca="true" ref="O240" ca="true">IFERROR(IF($O$3="Chunk Rent",
AVERAGEIFS('Unit-Level Data'!$Q:$Q,'Unit-Level Data'!$M:$M,TRUE,
          'Unit-Level Data'!$D:$D, INDIRECT("C"&amp;ROW()),
          'Unit-Level Data'!$B:$B, INDIRECT("B"&amp;ROW())),
AVERAGEIFS('Unit-Level Data'!$R:$R,'Unit-Level Data'!$M:$M,TRUE,
          'Unit-Level Data'!$D:$D, INDIRECT("C"&amp;ROW()),
          'Unit-Level Data'!$B:$B, INDIRECT("B"&amp;ROW()))),"")</f>
      </c>
      <c r="P240" s="733" cm="1">
        <f t="array" aca="true" ref="P240" ca="true">COUNTIFS('Unit-Level Data'!$M:$M,TRUE,
          'Unit-Level Data'!$D:$D, INDIRECT("C"&amp;ROW()),
          'Unit-Level Data'!$B:$B, INDIRECT("B"&amp;ROW()))</f>
        <v>0</v>
      </c>
      <c r="Q240" s="738" t="str" cm="1">
        <f t="array" aca="true" ref="Q2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0" s="760" t="str" cm="1">
        <f t="array" aca="true" ref="R2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0" s="733" cm="1">
        <f t="array" aca="true" ref="S240" ca="true">COUNTIFS('Unit-Level Data'!$L:$L, "&gt;=" &amp; ($X$2 - Q$5),
          'Unit-Level Data'!$L:$L, "&lt;" &amp; $X$2,
          'Unit-Level Data'!$D:$D, INDIRECT("C"&amp;ROW()),
          'Unit-Level Data'!$B:$B, INDIRECT("B"&amp;ROW()))</f>
        <v>0</v>
      </c>
      <c r="T240" s="738" t="str" cm="1">
        <f t="array" aca="true" ref="T2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0" s="760" t="str" cm="1">
        <f t="array" aca="true" ref="U2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0" s="733" cm="1">
        <f t="array" aca="true" ref="V240" ca="true">COUNTIFS('Unit-Level Data'!$L:$L, "&gt;=" &amp; ($X$2 - T$5),
          'Unit-Level Data'!$L:$L, "&lt;" &amp; $X$2,
          'Unit-Level Data'!$D:$D, INDIRECT("C"&amp;ROW()),
          'Unit-Level Data'!$B:$B, INDIRECT("B"&amp;ROW()))</f>
        <v>0</v>
      </c>
      <c r="W240" s="738" t="str" cm="1">
        <f t="array" aca="true" ref="W2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0" s="760" t="str" cm="1">
        <f t="array" aca="true" ref="X2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0" s="733" cm="1">
        <f t="array" aca="true" ref="Y240" ca="true">COUNTIFS('Unit-Level Data'!$L:$L, "&gt;=" &amp; ($X$2 - W$5),
          'Unit-Level Data'!$L:$L, "&lt;" &amp; $X$2,
          'Unit-Level Data'!$D:$D, INDIRECT("C"&amp;ROW()),
          'Unit-Level Data'!$B:$B, INDIRECT("B"&amp;ROW()))</f>
        <v>0</v>
      </c>
      <c r="Z240" s="761"/>
      <c r="AA240" s="735" cm="1">
        <f t="array" aca="true" ref="AA240" ca="true">IFERROR(AVERAGEIFS(
  unit_details[Sqft],
  unit_details[Property Name], INDIRECT("B"&amp;ROW()),
  unit_details[Floorplan Name], INDIRECT("C"&amp;ROW()),
  unit_details[Beds], INDIRECT("D"&amp;ROW()),
  unit_details[Detected Unit Amenities], "*"&amp;$AB$3&amp;"*",
  unit_details[Leased Date], "&gt;=" &amp; ($X$2 - $AD$3)
),0)</f>
        <v>0</v>
      </c>
      <c r="AB240" s="734" cm="1">
        <f t="array" aca="true" ref="AB2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0" s="733" cm="1">
        <f t="array" aca="true" ref="AC240" ca="true">IFERROR(COUNTIFS(
  unit_details[Property Name], INDIRECT("B"&amp;ROW()),
  unit_details[Floorplan Name], INDIRECT("C"&amp;ROW()),
  unit_details[Beds], INDIRECT("D"&amp;ROW()),
  unit_details[Detected Unit Amenities], "*"&amp;$AB$3&amp;"*",
  unit_details[Leased Date], "&gt;=" &amp; ($X$2 - $AD$3)
),0)</f>
        <v>0</v>
      </c>
      <c r="AD240" s="735" cm="1">
        <f t="array" aca="true" ref="AD240" ca="true">IFERROR(AVERAGEIFS(
  unit_details[Sqft],
  unit_details[Property Name], INDIRECT("B"&amp;ROW()),
  unit_details[Floorplan Name], INDIRECT("C"&amp;ROW()),
  unit_details[Beds], INDIRECT("D"&amp;ROW()),
  unit_details[Detected Unit Amenities], "&lt;&gt;*"&amp;$AB$3&amp;"*",
  unit_details[Leased Date], "&gt;=" &amp; ($X$2 - $AD$3)
),0)</f>
        <v>0</v>
      </c>
      <c r="AE240" s="734" cm="1">
        <f t="array" aca="true" ref="AE2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0" s="733" cm="1">
        <f t="array" aca="true" ref="AF240" ca="true">IFERROR(COUNTIFS(
  unit_details[Property Name], INDIRECT("B"&amp;ROW()),
  unit_details[Floorplan Name], INDIRECT("C"&amp;ROW()),
  unit_details[Beds], INDIRECT("D"&amp;ROW()),
  unit_details[Detected Unit Amenities], "&lt;&gt;*"&amp;$AB$3&amp;"*",
  unit_details[Leased Date], "&gt;=" &amp; ($X$2 - $AD$3)
),0)</f>
        <v>0</v>
      </c>
      <c r="AG240" s="735"/>
      <c r="AH240" s="738">
        <f t="shared" ca="true" si="8"/>
        <v>0</v>
      </c>
      <c r="AI240" s="739">
        <f t="shared" ca="true" si="9"/>
        <v>0</v>
      </c>
    </row>
    <row r="241" spans="2:35">
      <c r="B241" s="1"/>
      <c r="C241" s="80"/>
      <c r="E241" s="303"/>
      <c r="F241" s="303"/>
      <c r="J241" s="345"/>
      <c r="K241" s="6"/>
      <c r="M241" s="6"/>
      <c r="N241" s="738" t="str" cm="1">
        <f t="array" aca="true" ref="N241" ca="true">IFERROR(IF($O$3="Chunk Rent",
AVERAGEIFS('Unit-Level Data'!$O:$O,'Unit-Level Data'!$M:$M,TRUE,
          'Unit-Level Data'!$D:$D, INDIRECT("C"&amp;ROW()),
          'Unit-Level Data'!$B:$B, INDIRECT("B"&amp;ROW())),
AVERAGEIFS('Unit-Level Data'!$P:$P,'Unit-Level Data'!$M:$M,TRUE,
          'Unit-Level Data'!$D:$D, INDIRECT("C"&amp;ROW()),
          'Unit-Level Data'!$B:$B, INDIRECT("B"&amp;ROW()))),"")</f>
      </c>
      <c r="O241" s="760" t="str" cm="1">
        <f t="array" aca="true" ref="O241" ca="true">IFERROR(IF($O$3="Chunk Rent",
AVERAGEIFS('Unit-Level Data'!$Q:$Q,'Unit-Level Data'!$M:$M,TRUE,
          'Unit-Level Data'!$D:$D, INDIRECT("C"&amp;ROW()),
          'Unit-Level Data'!$B:$B, INDIRECT("B"&amp;ROW())),
AVERAGEIFS('Unit-Level Data'!$R:$R,'Unit-Level Data'!$M:$M,TRUE,
          'Unit-Level Data'!$D:$D, INDIRECT("C"&amp;ROW()),
          'Unit-Level Data'!$B:$B, INDIRECT("B"&amp;ROW()))),"")</f>
      </c>
      <c r="P241" s="733" cm="1">
        <f t="array" aca="true" ref="P241" ca="true">COUNTIFS('Unit-Level Data'!$M:$M,TRUE,
          'Unit-Level Data'!$D:$D, INDIRECT("C"&amp;ROW()),
          'Unit-Level Data'!$B:$B, INDIRECT("B"&amp;ROW()))</f>
        <v>0</v>
      </c>
      <c r="Q241" s="738" t="str" cm="1">
        <f t="array" aca="true" ref="Q2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1" s="760" t="str" cm="1">
        <f t="array" aca="true" ref="R2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1" s="733" cm="1">
        <f t="array" aca="true" ref="S241" ca="true">COUNTIFS('Unit-Level Data'!$L:$L, "&gt;=" &amp; ($X$2 - Q$5),
          'Unit-Level Data'!$L:$L, "&lt;" &amp; $X$2,
          'Unit-Level Data'!$D:$D, INDIRECT("C"&amp;ROW()),
          'Unit-Level Data'!$B:$B, INDIRECT("B"&amp;ROW()))</f>
        <v>0</v>
      </c>
      <c r="T241" s="738" t="str" cm="1">
        <f t="array" aca="true" ref="T2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1" s="760" t="str" cm="1">
        <f t="array" aca="true" ref="U2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1" s="733" cm="1">
        <f t="array" aca="true" ref="V241" ca="true">COUNTIFS('Unit-Level Data'!$L:$L, "&gt;=" &amp; ($X$2 - T$5),
          'Unit-Level Data'!$L:$L, "&lt;" &amp; $X$2,
          'Unit-Level Data'!$D:$D, INDIRECT("C"&amp;ROW()),
          'Unit-Level Data'!$B:$B, INDIRECT("B"&amp;ROW()))</f>
        <v>0</v>
      </c>
      <c r="W241" s="738" t="str" cm="1">
        <f t="array" aca="true" ref="W2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1" s="760" t="str" cm="1">
        <f t="array" aca="true" ref="X2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1" s="733" cm="1">
        <f t="array" aca="true" ref="Y241" ca="true">COUNTIFS('Unit-Level Data'!$L:$L, "&gt;=" &amp; ($X$2 - W$5),
          'Unit-Level Data'!$L:$L, "&lt;" &amp; $X$2,
          'Unit-Level Data'!$D:$D, INDIRECT("C"&amp;ROW()),
          'Unit-Level Data'!$B:$B, INDIRECT("B"&amp;ROW()))</f>
        <v>0</v>
      </c>
      <c r="Z241" s="761"/>
      <c r="AA241" s="735" cm="1">
        <f t="array" aca="true" ref="AA241" ca="true">IFERROR(AVERAGEIFS(
  unit_details[Sqft],
  unit_details[Property Name], INDIRECT("B"&amp;ROW()),
  unit_details[Floorplan Name], INDIRECT("C"&amp;ROW()),
  unit_details[Beds], INDIRECT("D"&amp;ROW()),
  unit_details[Detected Unit Amenities], "*"&amp;$AB$3&amp;"*",
  unit_details[Leased Date], "&gt;=" &amp; ($X$2 - $AD$3)
),0)</f>
        <v>0</v>
      </c>
      <c r="AB241" s="734" cm="1">
        <f t="array" aca="true" ref="AB2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1" s="733" cm="1">
        <f t="array" aca="true" ref="AC241" ca="true">IFERROR(COUNTIFS(
  unit_details[Property Name], INDIRECT("B"&amp;ROW()),
  unit_details[Floorplan Name], INDIRECT("C"&amp;ROW()),
  unit_details[Beds], INDIRECT("D"&amp;ROW()),
  unit_details[Detected Unit Amenities], "*"&amp;$AB$3&amp;"*",
  unit_details[Leased Date], "&gt;=" &amp; ($X$2 - $AD$3)
),0)</f>
        <v>0</v>
      </c>
      <c r="AD241" s="735" cm="1">
        <f t="array" aca="true" ref="AD241" ca="true">IFERROR(AVERAGEIFS(
  unit_details[Sqft],
  unit_details[Property Name], INDIRECT("B"&amp;ROW()),
  unit_details[Floorplan Name], INDIRECT("C"&amp;ROW()),
  unit_details[Beds], INDIRECT("D"&amp;ROW()),
  unit_details[Detected Unit Amenities], "&lt;&gt;*"&amp;$AB$3&amp;"*",
  unit_details[Leased Date], "&gt;=" &amp; ($X$2 - $AD$3)
),0)</f>
        <v>0</v>
      </c>
      <c r="AE241" s="734" cm="1">
        <f t="array" aca="true" ref="AE2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1" s="733" cm="1">
        <f t="array" aca="true" ref="AF241" ca="true">IFERROR(COUNTIFS(
  unit_details[Property Name], INDIRECT("B"&amp;ROW()),
  unit_details[Floorplan Name], INDIRECT("C"&amp;ROW()),
  unit_details[Beds], INDIRECT("D"&amp;ROW()),
  unit_details[Detected Unit Amenities], "&lt;&gt;*"&amp;$AB$3&amp;"*",
  unit_details[Leased Date], "&gt;=" &amp; ($X$2 - $AD$3)
),0)</f>
        <v>0</v>
      </c>
      <c r="AG241" s="735"/>
      <c r="AH241" s="738">
        <f t="shared" ca="true" si="8"/>
        <v>0</v>
      </c>
      <c r="AI241" s="739">
        <f t="shared" ca="true" si="9"/>
        <v>0</v>
      </c>
    </row>
    <row r="242" spans="2:35">
      <c r="B242" s="1"/>
      <c r="C242" s="80"/>
      <c r="E242" s="303"/>
      <c r="F242" s="303"/>
      <c r="J242" s="345"/>
      <c r="K242" s="6"/>
      <c r="M242" s="6"/>
      <c r="N242" s="738" t="str" cm="1">
        <f t="array" aca="true" ref="N242" ca="true">IFERROR(IF($O$3="Chunk Rent",
AVERAGEIFS('Unit-Level Data'!$O:$O,'Unit-Level Data'!$M:$M,TRUE,
          'Unit-Level Data'!$D:$D, INDIRECT("C"&amp;ROW()),
          'Unit-Level Data'!$B:$B, INDIRECT("B"&amp;ROW())),
AVERAGEIFS('Unit-Level Data'!$P:$P,'Unit-Level Data'!$M:$M,TRUE,
          'Unit-Level Data'!$D:$D, INDIRECT("C"&amp;ROW()),
          'Unit-Level Data'!$B:$B, INDIRECT("B"&amp;ROW()))),"")</f>
      </c>
      <c r="O242" s="760" t="str" cm="1">
        <f t="array" aca="true" ref="O242" ca="true">IFERROR(IF($O$3="Chunk Rent",
AVERAGEIFS('Unit-Level Data'!$Q:$Q,'Unit-Level Data'!$M:$M,TRUE,
          'Unit-Level Data'!$D:$D, INDIRECT("C"&amp;ROW()),
          'Unit-Level Data'!$B:$B, INDIRECT("B"&amp;ROW())),
AVERAGEIFS('Unit-Level Data'!$R:$R,'Unit-Level Data'!$M:$M,TRUE,
          'Unit-Level Data'!$D:$D, INDIRECT("C"&amp;ROW()),
          'Unit-Level Data'!$B:$B, INDIRECT("B"&amp;ROW()))),"")</f>
      </c>
      <c r="P242" s="733" cm="1">
        <f t="array" aca="true" ref="P242" ca="true">COUNTIFS('Unit-Level Data'!$M:$M,TRUE,
          'Unit-Level Data'!$D:$D, INDIRECT("C"&amp;ROW()),
          'Unit-Level Data'!$B:$B, INDIRECT("B"&amp;ROW()))</f>
        <v>0</v>
      </c>
      <c r="Q242" s="738" t="str" cm="1">
        <f t="array" aca="true" ref="Q2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2" s="760" t="str" cm="1">
        <f t="array" aca="true" ref="R2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2" s="733" cm="1">
        <f t="array" aca="true" ref="S242" ca="true">COUNTIFS('Unit-Level Data'!$L:$L, "&gt;=" &amp; ($X$2 - Q$5),
          'Unit-Level Data'!$L:$L, "&lt;" &amp; $X$2,
          'Unit-Level Data'!$D:$D, INDIRECT("C"&amp;ROW()),
          'Unit-Level Data'!$B:$B, INDIRECT("B"&amp;ROW()))</f>
        <v>0</v>
      </c>
      <c r="T242" s="738" t="str" cm="1">
        <f t="array" aca="true" ref="T2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2" s="760" t="str" cm="1">
        <f t="array" aca="true" ref="U2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2" s="733" cm="1">
        <f t="array" aca="true" ref="V242" ca="true">COUNTIFS('Unit-Level Data'!$L:$L, "&gt;=" &amp; ($X$2 - T$5),
          'Unit-Level Data'!$L:$L, "&lt;" &amp; $X$2,
          'Unit-Level Data'!$D:$D, INDIRECT("C"&amp;ROW()),
          'Unit-Level Data'!$B:$B, INDIRECT("B"&amp;ROW()))</f>
        <v>0</v>
      </c>
      <c r="W242" s="738" t="str" cm="1">
        <f t="array" aca="true" ref="W2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2" s="760" t="str" cm="1">
        <f t="array" aca="true" ref="X2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2" s="733" cm="1">
        <f t="array" aca="true" ref="Y242" ca="true">COUNTIFS('Unit-Level Data'!$L:$L, "&gt;=" &amp; ($X$2 - W$5),
          'Unit-Level Data'!$L:$L, "&lt;" &amp; $X$2,
          'Unit-Level Data'!$D:$D, INDIRECT("C"&amp;ROW()),
          'Unit-Level Data'!$B:$B, INDIRECT("B"&amp;ROW()))</f>
        <v>0</v>
      </c>
      <c r="Z242" s="761"/>
      <c r="AA242" s="735" cm="1">
        <f t="array" aca="true" ref="AA242" ca="true">IFERROR(AVERAGEIFS(
  unit_details[Sqft],
  unit_details[Property Name], INDIRECT("B"&amp;ROW()),
  unit_details[Floorplan Name], INDIRECT("C"&amp;ROW()),
  unit_details[Beds], INDIRECT("D"&amp;ROW()),
  unit_details[Detected Unit Amenities], "*"&amp;$AB$3&amp;"*",
  unit_details[Leased Date], "&gt;=" &amp; ($X$2 - $AD$3)
),0)</f>
        <v>0</v>
      </c>
      <c r="AB242" s="734" cm="1">
        <f t="array" aca="true" ref="AB2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2" s="733" cm="1">
        <f t="array" aca="true" ref="AC242" ca="true">IFERROR(COUNTIFS(
  unit_details[Property Name], INDIRECT("B"&amp;ROW()),
  unit_details[Floorplan Name], INDIRECT("C"&amp;ROW()),
  unit_details[Beds], INDIRECT("D"&amp;ROW()),
  unit_details[Detected Unit Amenities], "*"&amp;$AB$3&amp;"*",
  unit_details[Leased Date], "&gt;=" &amp; ($X$2 - $AD$3)
),0)</f>
        <v>0</v>
      </c>
      <c r="AD242" s="735" cm="1">
        <f t="array" aca="true" ref="AD242" ca="true">IFERROR(AVERAGEIFS(
  unit_details[Sqft],
  unit_details[Property Name], INDIRECT("B"&amp;ROW()),
  unit_details[Floorplan Name], INDIRECT("C"&amp;ROW()),
  unit_details[Beds], INDIRECT("D"&amp;ROW()),
  unit_details[Detected Unit Amenities], "&lt;&gt;*"&amp;$AB$3&amp;"*",
  unit_details[Leased Date], "&gt;=" &amp; ($X$2 - $AD$3)
),0)</f>
        <v>0</v>
      </c>
      <c r="AE242" s="734" cm="1">
        <f t="array" aca="true" ref="AE2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2" s="733" cm="1">
        <f t="array" aca="true" ref="AF242" ca="true">IFERROR(COUNTIFS(
  unit_details[Property Name], INDIRECT("B"&amp;ROW()),
  unit_details[Floorplan Name], INDIRECT("C"&amp;ROW()),
  unit_details[Beds], INDIRECT("D"&amp;ROW()),
  unit_details[Detected Unit Amenities], "&lt;&gt;*"&amp;$AB$3&amp;"*",
  unit_details[Leased Date], "&gt;=" &amp; ($X$2 - $AD$3)
),0)</f>
        <v>0</v>
      </c>
      <c r="AG242" s="735"/>
      <c r="AH242" s="738">
        <f t="shared" ca="true" si="8"/>
        <v>0</v>
      </c>
      <c r="AI242" s="739">
        <f t="shared" ca="true" si="9"/>
        <v>0</v>
      </c>
    </row>
    <row r="243" spans="2:35">
      <c r="B243" s="1"/>
      <c r="C243" s="80"/>
      <c r="E243" s="303"/>
      <c r="F243" s="303"/>
      <c r="J243" s="345"/>
      <c r="K243" s="6"/>
      <c r="M243" s="6"/>
      <c r="N243" s="738" t="str" cm="1">
        <f t="array" aca="true" ref="N243" ca="true">IFERROR(IF($O$3="Chunk Rent",
AVERAGEIFS('Unit-Level Data'!$O:$O,'Unit-Level Data'!$M:$M,TRUE,
          'Unit-Level Data'!$D:$D, INDIRECT("C"&amp;ROW()),
          'Unit-Level Data'!$B:$B, INDIRECT("B"&amp;ROW())),
AVERAGEIFS('Unit-Level Data'!$P:$P,'Unit-Level Data'!$M:$M,TRUE,
          'Unit-Level Data'!$D:$D, INDIRECT("C"&amp;ROW()),
          'Unit-Level Data'!$B:$B, INDIRECT("B"&amp;ROW()))),"")</f>
      </c>
      <c r="O243" s="760" t="str" cm="1">
        <f t="array" aca="true" ref="O243" ca="true">IFERROR(IF($O$3="Chunk Rent",
AVERAGEIFS('Unit-Level Data'!$Q:$Q,'Unit-Level Data'!$M:$M,TRUE,
          'Unit-Level Data'!$D:$D, INDIRECT("C"&amp;ROW()),
          'Unit-Level Data'!$B:$B, INDIRECT("B"&amp;ROW())),
AVERAGEIFS('Unit-Level Data'!$R:$R,'Unit-Level Data'!$M:$M,TRUE,
          'Unit-Level Data'!$D:$D, INDIRECT("C"&amp;ROW()),
          'Unit-Level Data'!$B:$B, INDIRECT("B"&amp;ROW()))),"")</f>
      </c>
      <c r="P243" s="733" cm="1">
        <f t="array" aca="true" ref="P243" ca="true">COUNTIFS('Unit-Level Data'!$M:$M,TRUE,
          'Unit-Level Data'!$D:$D, INDIRECT("C"&amp;ROW()),
          'Unit-Level Data'!$B:$B, INDIRECT("B"&amp;ROW()))</f>
        <v>0</v>
      </c>
      <c r="Q243" s="738" t="str" cm="1">
        <f t="array" aca="true" ref="Q2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3" s="760" t="str" cm="1">
        <f t="array" aca="true" ref="R2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3" s="733" cm="1">
        <f t="array" aca="true" ref="S243" ca="true">COUNTIFS('Unit-Level Data'!$L:$L, "&gt;=" &amp; ($X$2 - Q$5),
          'Unit-Level Data'!$L:$L, "&lt;" &amp; $X$2,
          'Unit-Level Data'!$D:$D, INDIRECT("C"&amp;ROW()),
          'Unit-Level Data'!$B:$B, INDIRECT("B"&amp;ROW()))</f>
        <v>0</v>
      </c>
      <c r="T243" s="738" t="str" cm="1">
        <f t="array" aca="true" ref="T2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3" s="760" t="str" cm="1">
        <f t="array" aca="true" ref="U2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3" s="733" cm="1">
        <f t="array" aca="true" ref="V243" ca="true">COUNTIFS('Unit-Level Data'!$L:$L, "&gt;=" &amp; ($X$2 - T$5),
          'Unit-Level Data'!$L:$L, "&lt;" &amp; $X$2,
          'Unit-Level Data'!$D:$D, INDIRECT("C"&amp;ROW()),
          'Unit-Level Data'!$B:$B, INDIRECT("B"&amp;ROW()))</f>
        <v>0</v>
      </c>
      <c r="W243" s="738" t="str" cm="1">
        <f t="array" aca="true" ref="W2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3" s="760" t="str" cm="1">
        <f t="array" aca="true" ref="X2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3" s="733" cm="1">
        <f t="array" aca="true" ref="Y243" ca="true">COUNTIFS('Unit-Level Data'!$L:$L, "&gt;=" &amp; ($X$2 - W$5),
          'Unit-Level Data'!$L:$L, "&lt;" &amp; $X$2,
          'Unit-Level Data'!$D:$D, INDIRECT("C"&amp;ROW()),
          'Unit-Level Data'!$B:$B, INDIRECT("B"&amp;ROW()))</f>
        <v>0</v>
      </c>
      <c r="Z243" s="761"/>
      <c r="AA243" s="735" cm="1">
        <f t="array" aca="true" ref="AA243" ca="true">IFERROR(AVERAGEIFS(
  unit_details[Sqft],
  unit_details[Property Name], INDIRECT("B"&amp;ROW()),
  unit_details[Floorplan Name], INDIRECT("C"&amp;ROW()),
  unit_details[Beds], INDIRECT("D"&amp;ROW()),
  unit_details[Detected Unit Amenities], "*"&amp;$AB$3&amp;"*",
  unit_details[Leased Date], "&gt;=" &amp; ($X$2 - $AD$3)
),0)</f>
        <v>0</v>
      </c>
      <c r="AB243" s="734" cm="1">
        <f t="array" aca="true" ref="AB2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3" s="733" cm="1">
        <f t="array" aca="true" ref="AC243" ca="true">IFERROR(COUNTIFS(
  unit_details[Property Name], INDIRECT("B"&amp;ROW()),
  unit_details[Floorplan Name], INDIRECT("C"&amp;ROW()),
  unit_details[Beds], INDIRECT("D"&amp;ROW()),
  unit_details[Detected Unit Amenities], "*"&amp;$AB$3&amp;"*",
  unit_details[Leased Date], "&gt;=" &amp; ($X$2 - $AD$3)
),0)</f>
        <v>0</v>
      </c>
      <c r="AD243" s="735" cm="1">
        <f t="array" aca="true" ref="AD243" ca="true">IFERROR(AVERAGEIFS(
  unit_details[Sqft],
  unit_details[Property Name], INDIRECT("B"&amp;ROW()),
  unit_details[Floorplan Name], INDIRECT("C"&amp;ROW()),
  unit_details[Beds], INDIRECT("D"&amp;ROW()),
  unit_details[Detected Unit Amenities], "&lt;&gt;*"&amp;$AB$3&amp;"*",
  unit_details[Leased Date], "&gt;=" &amp; ($X$2 - $AD$3)
),0)</f>
        <v>0</v>
      </c>
      <c r="AE243" s="734" cm="1">
        <f t="array" aca="true" ref="AE2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3" s="733" cm="1">
        <f t="array" aca="true" ref="AF243" ca="true">IFERROR(COUNTIFS(
  unit_details[Property Name], INDIRECT("B"&amp;ROW()),
  unit_details[Floorplan Name], INDIRECT("C"&amp;ROW()),
  unit_details[Beds], INDIRECT("D"&amp;ROW()),
  unit_details[Detected Unit Amenities], "&lt;&gt;*"&amp;$AB$3&amp;"*",
  unit_details[Leased Date], "&gt;=" &amp; ($X$2 - $AD$3)
),0)</f>
        <v>0</v>
      </c>
      <c r="AG243" s="735"/>
      <c r="AH243" s="738">
        <f t="shared" ca="true" si="8"/>
        <v>0</v>
      </c>
      <c r="AI243" s="739">
        <f t="shared" ca="true" si="9"/>
        <v>0</v>
      </c>
    </row>
    <row r="244" spans="2:35">
      <c r="B244" s="1"/>
      <c r="C244" s="80"/>
      <c r="E244" s="303"/>
      <c r="F244" s="303"/>
      <c r="J244" s="345"/>
      <c r="K244" s="6"/>
      <c r="M244" s="6"/>
      <c r="N244" s="738" t="str" cm="1">
        <f t="array" aca="true" ref="N244" ca="true">IFERROR(IF($O$3="Chunk Rent",
AVERAGEIFS('Unit-Level Data'!$O:$O,'Unit-Level Data'!$M:$M,TRUE,
          'Unit-Level Data'!$D:$D, INDIRECT("C"&amp;ROW()),
          'Unit-Level Data'!$B:$B, INDIRECT("B"&amp;ROW())),
AVERAGEIFS('Unit-Level Data'!$P:$P,'Unit-Level Data'!$M:$M,TRUE,
          'Unit-Level Data'!$D:$D, INDIRECT("C"&amp;ROW()),
          'Unit-Level Data'!$B:$B, INDIRECT("B"&amp;ROW()))),"")</f>
      </c>
      <c r="O244" s="760" t="str" cm="1">
        <f t="array" aca="true" ref="O244" ca="true">IFERROR(IF($O$3="Chunk Rent",
AVERAGEIFS('Unit-Level Data'!$Q:$Q,'Unit-Level Data'!$M:$M,TRUE,
          'Unit-Level Data'!$D:$D, INDIRECT("C"&amp;ROW()),
          'Unit-Level Data'!$B:$B, INDIRECT("B"&amp;ROW())),
AVERAGEIFS('Unit-Level Data'!$R:$R,'Unit-Level Data'!$M:$M,TRUE,
          'Unit-Level Data'!$D:$D, INDIRECT("C"&amp;ROW()),
          'Unit-Level Data'!$B:$B, INDIRECT("B"&amp;ROW()))),"")</f>
      </c>
      <c r="P244" s="733" cm="1">
        <f t="array" aca="true" ref="P244" ca="true">COUNTIFS('Unit-Level Data'!$M:$M,TRUE,
          'Unit-Level Data'!$D:$D, INDIRECT("C"&amp;ROW()),
          'Unit-Level Data'!$B:$B, INDIRECT("B"&amp;ROW()))</f>
        <v>0</v>
      </c>
      <c r="Q244" s="738" t="str" cm="1">
        <f t="array" aca="true" ref="Q2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4" s="760" t="str" cm="1">
        <f t="array" aca="true" ref="R2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4" s="733" cm="1">
        <f t="array" aca="true" ref="S244" ca="true">COUNTIFS('Unit-Level Data'!$L:$L, "&gt;=" &amp; ($X$2 - Q$5),
          'Unit-Level Data'!$L:$L, "&lt;" &amp; $X$2,
          'Unit-Level Data'!$D:$D, INDIRECT("C"&amp;ROW()),
          'Unit-Level Data'!$B:$B, INDIRECT("B"&amp;ROW()))</f>
        <v>0</v>
      </c>
      <c r="T244" s="738" t="str" cm="1">
        <f t="array" aca="true" ref="T2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4" s="760" t="str" cm="1">
        <f t="array" aca="true" ref="U2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4" s="733" cm="1">
        <f t="array" aca="true" ref="V244" ca="true">COUNTIFS('Unit-Level Data'!$L:$L, "&gt;=" &amp; ($X$2 - T$5),
          'Unit-Level Data'!$L:$L, "&lt;" &amp; $X$2,
          'Unit-Level Data'!$D:$D, INDIRECT("C"&amp;ROW()),
          'Unit-Level Data'!$B:$B, INDIRECT("B"&amp;ROW()))</f>
        <v>0</v>
      </c>
      <c r="W244" s="738" t="str" cm="1">
        <f t="array" aca="true" ref="W2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4" s="760" t="str" cm="1">
        <f t="array" aca="true" ref="X2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4" s="733" cm="1">
        <f t="array" aca="true" ref="Y244" ca="true">COUNTIFS('Unit-Level Data'!$L:$L, "&gt;=" &amp; ($X$2 - W$5),
          'Unit-Level Data'!$L:$L, "&lt;" &amp; $X$2,
          'Unit-Level Data'!$D:$D, INDIRECT("C"&amp;ROW()),
          'Unit-Level Data'!$B:$B, INDIRECT("B"&amp;ROW()))</f>
        <v>0</v>
      </c>
      <c r="Z244" s="761"/>
      <c r="AA244" s="735" cm="1">
        <f t="array" aca="true" ref="AA244" ca="true">IFERROR(AVERAGEIFS(
  unit_details[Sqft],
  unit_details[Property Name], INDIRECT("B"&amp;ROW()),
  unit_details[Floorplan Name], INDIRECT("C"&amp;ROW()),
  unit_details[Beds], INDIRECT("D"&amp;ROW()),
  unit_details[Detected Unit Amenities], "*"&amp;$AB$3&amp;"*",
  unit_details[Leased Date], "&gt;=" &amp; ($X$2 - $AD$3)
),0)</f>
        <v>0</v>
      </c>
      <c r="AB244" s="734" cm="1">
        <f t="array" aca="true" ref="AB2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4" s="733" cm="1">
        <f t="array" aca="true" ref="AC244" ca="true">IFERROR(COUNTIFS(
  unit_details[Property Name], INDIRECT("B"&amp;ROW()),
  unit_details[Floorplan Name], INDIRECT("C"&amp;ROW()),
  unit_details[Beds], INDIRECT("D"&amp;ROW()),
  unit_details[Detected Unit Amenities], "*"&amp;$AB$3&amp;"*",
  unit_details[Leased Date], "&gt;=" &amp; ($X$2 - $AD$3)
),0)</f>
        <v>0</v>
      </c>
      <c r="AD244" s="735" cm="1">
        <f t="array" aca="true" ref="AD244" ca="true">IFERROR(AVERAGEIFS(
  unit_details[Sqft],
  unit_details[Property Name], INDIRECT("B"&amp;ROW()),
  unit_details[Floorplan Name], INDIRECT("C"&amp;ROW()),
  unit_details[Beds], INDIRECT("D"&amp;ROW()),
  unit_details[Detected Unit Amenities], "&lt;&gt;*"&amp;$AB$3&amp;"*",
  unit_details[Leased Date], "&gt;=" &amp; ($X$2 - $AD$3)
),0)</f>
        <v>0</v>
      </c>
      <c r="AE244" s="734" cm="1">
        <f t="array" aca="true" ref="AE2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4" s="733" cm="1">
        <f t="array" aca="true" ref="AF244" ca="true">IFERROR(COUNTIFS(
  unit_details[Property Name], INDIRECT("B"&amp;ROW()),
  unit_details[Floorplan Name], INDIRECT("C"&amp;ROW()),
  unit_details[Beds], INDIRECT("D"&amp;ROW()),
  unit_details[Detected Unit Amenities], "&lt;&gt;*"&amp;$AB$3&amp;"*",
  unit_details[Leased Date], "&gt;=" &amp; ($X$2 - $AD$3)
),0)</f>
        <v>0</v>
      </c>
      <c r="AG244" s="735"/>
      <c r="AH244" s="738">
        <f t="shared" ca="true" si="8"/>
        <v>0</v>
      </c>
      <c r="AI244" s="739">
        <f t="shared" ca="true" si="9"/>
        <v>0</v>
      </c>
    </row>
    <row r="245" spans="2:35">
      <c r="B245" s="1"/>
      <c r="C245" s="80"/>
      <c r="E245" s="303"/>
      <c r="F245" s="303"/>
      <c r="J245" s="345"/>
      <c r="K245" s="6"/>
      <c r="M245" s="745"/>
      <c r="N245" s="738" t="str" cm="1">
        <f t="array" aca="true" ref="N245" ca="true">IFERROR(IF($O$3="Chunk Rent",
AVERAGEIFS('Unit-Level Data'!$O:$O,'Unit-Level Data'!$M:$M,TRUE,
          'Unit-Level Data'!$D:$D, INDIRECT("C"&amp;ROW()),
          'Unit-Level Data'!$B:$B, INDIRECT("B"&amp;ROW())),
AVERAGEIFS('Unit-Level Data'!$P:$P,'Unit-Level Data'!$M:$M,TRUE,
          'Unit-Level Data'!$D:$D, INDIRECT("C"&amp;ROW()),
          'Unit-Level Data'!$B:$B, INDIRECT("B"&amp;ROW()))),"")</f>
      </c>
      <c r="O245" s="760" t="str" cm="1">
        <f t="array" aca="true" ref="O245" ca="true">IFERROR(IF($O$3="Chunk Rent",
AVERAGEIFS('Unit-Level Data'!$Q:$Q,'Unit-Level Data'!$M:$M,TRUE,
          'Unit-Level Data'!$D:$D, INDIRECT("C"&amp;ROW()),
          'Unit-Level Data'!$B:$B, INDIRECT("B"&amp;ROW())),
AVERAGEIFS('Unit-Level Data'!$R:$R,'Unit-Level Data'!$M:$M,TRUE,
          'Unit-Level Data'!$D:$D, INDIRECT("C"&amp;ROW()),
          'Unit-Level Data'!$B:$B, INDIRECT("B"&amp;ROW()))),"")</f>
      </c>
      <c r="P245" s="733" cm="1">
        <f t="array" aca="true" ref="P245" ca="true">COUNTIFS('Unit-Level Data'!$M:$M,TRUE,
          'Unit-Level Data'!$D:$D, INDIRECT("C"&amp;ROW()),
          'Unit-Level Data'!$B:$B, INDIRECT("B"&amp;ROW()))</f>
        <v>0</v>
      </c>
      <c r="Q245" s="738" t="str" cm="1">
        <f t="array" aca="true" ref="Q2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5" s="760" t="str" cm="1">
        <f t="array" aca="true" ref="R2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5" s="733" cm="1">
        <f t="array" aca="true" ref="S245" ca="true">COUNTIFS('Unit-Level Data'!$L:$L, "&gt;=" &amp; ($X$2 - Q$5),
          'Unit-Level Data'!$L:$L, "&lt;" &amp; $X$2,
          'Unit-Level Data'!$D:$D, INDIRECT("C"&amp;ROW()),
          'Unit-Level Data'!$B:$B, INDIRECT("B"&amp;ROW()))</f>
        <v>0</v>
      </c>
      <c r="T245" s="738" t="str" cm="1">
        <f t="array" aca="true" ref="T2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5" s="760" t="str" cm="1">
        <f t="array" aca="true" ref="U2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5" s="733" cm="1">
        <f t="array" aca="true" ref="V245" ca="true">COUNTIFS('Unit-Level Data'!$L:$L, "&gt;=" &amp; ($X$2 - T$5),
          'Unit-Level Data'!$L:$L, "&lt;" &amp; $X$2,
          'Unit-Level Data'!$D:$D, INDIRECT("C"&amp;ROW()),
          'Unit-Level Data'!$B:$B, INDIRECT("B"&amp;ROW()))</f>
        <v>0</v>
      </c>
      <c r="W245" s="738" t="str" cm="1">
        <f t="array" aca="true" ref="W2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5" s="760" t="str" cm="1">
        <f t="array" aca="true" ref="X2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5" s="733" cm="1">
        <f t="array" aca="true" ref="Y245" ca="true">COUNTIFS('Unit-Level Data'!$L:$L, "&gt;=" &amp; ($X$2 - W$5),
          'Unit-Level Data'!$L:$L, "&lt;" &amp; $X$2,
          'Unit-Level Data'!$D:$D, INDIRECT("C"&amp;ROW()),
          'Unit-Level Data'!$B:$B, INDIRECT("B"&amp;ROW()))</f>
        <v>0</v>
      </c>
      <c r="Z245" s="761"/>
      <c r="AA245" s="735" cm="1">
        <f t="array" aca="true" ref="AA245" ca="true">IFERROR(AVERAGEIFS(
  unit_details[Sqft],
  unit_details[Property Name], INDIRECT("B"&amp;ROW()),
  unit_details[Floorplan Name], INDIRECT("C"&amp;ROW()),
  unit_details[Beds], INDIRECT("D"&amp;ROW()),
  unit_details[Detected Unit Amenities], "*"&amp;$AB$3&amp;"*",
  unit_details[Leased Date], "&gt;=" &amp; ($X$2 - $AD$3)
),0)</f>
        <v>0</v>
      </c>
      <c r="AB245" s="734" cm="1">
        <f t="array" aca="true" ref="AB2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5" s="733" cm="1">
        <f t="array" aca="true" ref="AC245" ca="true">IFERROR(COUNTIFS(
  unit_details[Property Name], INDIRECT("B"&amp;ROW()),
  unit_details[Floorplan Name], INDIRECT("C"&amp;ROW()),
  unit_details[Beds], INDIRECT("D"&amp;ROW()),
  unit_details[Detected Unit Amenities], "*"&amp;$AB$3&amp;"*",
  unit_details[Leased Date], "&gt;=" &amp; ($X$2 - $AD$3)
),0)</f>
        <v>0</v>
      </c>
      <c r="AD245" s="735" cm="1">
        <f t="array" aca="true" ref="AD245" ca="true">IFERROR(AVERAGEIFS(
  unit_details[Sqft],
  unit_details[Property Name], INDIRECT("B"&amp;ROW()),
  unit_details[Floorplan Name], INDIRECT("C"&amp;ROW()),
  unit_details[Beds], INDIRECT("D"&amp;ROW()),
  unit_details[Detected Unit Amenities], "&lt;&gt;*"&amp;$AB$3&amp;"*",
  unit_details[Leased Date], "&gt;=" &amp; ($X$2 - $AD$3)
),0)</f>
        <v>0</v>
      </c>
      <c r="AE245" s="734" cm="1">
        <f t="array" aca="true" ref="AE2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5" s="733" cm="1">
        <f t="array" aca="true" ref="AF245" ca="true">IFERROR(COUNTIFS(
  unit_details[Property Name], INDIRECT("B"&amp;ROW()),
  unit_details[Floorplan Name], INDIRECT("C"&amp;ROW()),
  unit_details[Beds], INDIRECT("D"&amp;ROW()),
  unit_details[Detected Unit Amenities], "&lt;&gt;*"&amp;$AB$3&amp;"*",
  unit_details[Leased Date], "&gt;=" &amp; ($X$2 - $AD$3)
),0)</f>
        <v>0</v>
      </c>
      <c r="AG245" s="735"/>
      <c r="AH245" s="738">
        <f t="shared" ca="true" si="8"/>
        <v>0</v>
      </c>
      <c r="AI245" s="739">
        <f t="shared" ca="true" si="9"/>
        <v>0</v>
      </c>
    </row>
    <row r="246" spans="2:35">
      <c r="B246" s="1"/>
      <c r="C246" s="80"/>
      <c r="E246" s="303"/>
      <c r="F246" s="303"/>
      <c r="J246" s="345"/>
      <c r="K246" s="6"/>
      <c r="M246" s="745"/>
      <c r="N246" s="738" t="str" cm="1">
        <f t="array" aca="true" ref="N246" ca="true">IFERROR(IF($O$3="Chunk Rent",
AVERAGEIFS('Unit-Level Data'!$O:$O,'Unit-Level Data'!$M:$M,TRUE,
          'Unit-Level Data'!$D:$D, INDIRECT("C"&amp;ROW()),
          'Unit-Level Data'!$B:$B, INDIRECT("B"&amp;ROW())),
AVERAGEIFS('Unit-Level Data'!$P:$P,'Unit-Level Data'!$M:$M,TRUE,
          'Unit-Level Data'!$D:$D, INDIRECT("C"&amp;ROW()),
          'Unit-Level Data'!$B:$B, INDIRECT("B"&amp;ROW()))),"")</f>
      </c>
      <c r="O246" s="760" t="str" cm="1">
        <f t="array" aca="true" ref="O246" ca="true">IFERROR(IF($O$3="Chunk Rent",
AVERAGEIFS('Unit-Level Data'!$Q:$Q,'Unit-Level Data'!$M:$M,TRUE,
          'Unit-Level Data'!$D:$D, INDIRECT("C"&amp;ROW()),
          'Unit-Level Data'!$B:$B, INDIRECT("B"&amp;ROW())),
AVERAGEIFS('Unit-Level Data'!$R:$R,'Unit-Level Data'!$M:$M,TRUE,
          'Unit-Level Data'!$D:$D, INDIRECT("C"&amp;ROW()),
          'Unit-Level Data'!$B:$B, INDIRECT("B"&amp;ROW()))),"")</f>
      </c>
      <c r="P246" s="733" cm="1">
        <f t="array" aca="true" ref="P246" ca="true">COUNTIFS('Unit-Level Data'!$M:$M,TRUE,
          'Unit-Level Data'!$D:$D, INDIRECT("C"&amp;ROW()),
          'Unit-Level Data'!$B:$B, INDIRECT("B"&amp;ROW()))</f>
        <v>0</v>
      </c>
      <c r="Q246" s="738" t="str" cm="1">
        <f t="array" aca="true" ref="Q2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6" s="760" t="str" cm="1">
        <f t="array" aca="true" ref="R2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6" s="733" cm="1">
        <f t="array" aca="true" ref="S246" ca="true">COUNTIFS('Unit-Level Data'!$L:$L, "&gt;=" &amp; ($X$2 - Q$5),
          'Unit-Level Data'!$L:$L, "&lt;" &amp; $X$2,
          'Unit-Level Data'!$D:$D, INDIRECT("C"&amp;ROW()),
          'Unit-Level Data'!$B:$B, INDIRECT("B"&amp;ROW()))</f>
        <v>0</v>
      </c>
      <c r="T246" s="738" t="str" cm="1">
        <f t="array" aca="true" ref="T2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6" s="760" t="str" cm="1">
        <f t="array" aca="true" ref="U2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6" s="733" cm="1">
        <f t="array" aca="true" ref="V246" ca="true">COUNTIFS('Unit-Level Data'!$L:$L, "&gt;=" &amp; ($X$2 - T$5),
          'Unit-Level Data'!$L:$L, "&lt;" &amp; $X$2,
          'Unit-Level Data'!$D:$D, INDIRECT("C"&amp;ROW()),
          'Unit-Level Data'!$B:$B, INDIRECT("B"&amp;ROW()))</f>
        <v>0</v>
      </c>
      <c r="W246" s="738" t="str" cm="1">
        <f t="array" aca="true" ref="W2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6" s="760" t="str" cm="1">
        <f t="array" aca="true" ref="X2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6" s="733" cm="1">
        <f t="array" aca="true" ref="Y246" ca="true">COUNTIFS('Unit-Level Data'!$L:$L, "&gt;=" &amp; ($X$2 - W$5),
          'Unit-Level Data'!$L:$L, "&lt;" &amp; $X$2,
          'Unit-Level Data'!$D:$D, INDIRECT("C"&amp;ROW()),
          'Unit-Level Data'!$B:$B, INDIRECT("B"&amp;ROW()))</f>
        <v>0</v>
      </c>
      <c r="Z246" s="761"/>
      <c r="AA246" s="735" cm="1">
        <f t="array" aca="true" ref="AA246" ca="true">IFERROR(AVERAGEIFS(
  unit_details[Sqft],
  unit_details[Property Name], INDIRECT("B"&amp;ROW()),
  unit_details[Floorplan Name], INDIRECT("C"&amp;ROW()),
  unit_details[Beds], INDIRECT("D"&amp;ROW()),
  unit_details[Detected Unit Amenities], "*"&amp;$AB$3&amp;"*",
  unit_details[Leased Date], "&gt;=" &amp; ($X$2 - $AD$3)
),0)</f>
        <v>0</v>
      </c>
      <c r="AB246" s="734" cm="1">
        <f t="array" aca="true" ref="AB2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6" s="733" cm="1">
        <f t="array" aca="true" ref="AC246" ca="true">IFERROR(COUNTIFS(
  unit_details[Property Name], INDIRECT("B"&amp;ROW()),
  unit_details[Floorplan Name], INDIRECT("C"&amp;ROW()),
  unit_details[Beds], INDIRECT("D"&amp;ROW()),
  unit_details[Detected Unit Amenities], "*"&amp;$AB$3&amp;"*",
  unit_details[Leased Date], "&gt;=" &amp; ($X$2 - $AD$3)
),0)</f>
        <v>0</v>
      </c>
      <c r="AD246" s="735" cm="1">
        <f t="array" aca="true" ref="AD246" ca="true">IFERROR(AVERAGEIFS(
  unit_details[Sqft],
  unit_details[Property Name], INDIRECT("B"&amp;ROW()),
  unit_details[Floorplan Name], INDIRECT("C"&amp;ROW()),
  unit_details[Beds], INDIRECT("D"&amp;ROW()),
  unit_details[Detected Unit Amenities], "&lt;&gt;*"&amp;$AB$3&amp;"*",
  unit_details[Leased Date], "&gt;=" &amp; ($X$2 - $AD$3)
),0)</f>
        <v>0</v>
      </c>
      <c r="AE246" s="734" cm="1">
        <f t="array" aca="true" ref="AE2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6" s="733" cm="1">
        <f t="array" aca="true" ref="AF246" ca="true">IFERROR(COUNTIFS(
  unit_details[Property Name], INDIRECT("B"&amp;ROW()),
  unit_details[Floorplan Name], INDIRECT("C"&amp;ROW()),
  unit_details[Beds], INDIRECT("D"&amp;ROW()),
  unit_details[Detected Unit Amenities], "&lt;&gt;*"&amp;$AB$3&amp;"*",
  unit_details[Leased Date], "&gt;=" &amp; ($X$2 - $AD$3)
),0)</f>
        <v>0</v>
      </c>
      <c r="AG246" s="735"/>
      <c r="AH246" s="738">
        <f t="shared" ca="true" si="8"/>
        <v>0</v>
      </c>
      <c r="AI246" s="739">
        <f t="shared" ca="true" si="9"/>
        <v>0</v>
      </c>
    </row>
    <row r="247" spans="2:35">
      <c r="B247" s="1"/>
      <c r="C247" s="80"/>
      <c r="E247" s="303"/>
      <c r="F247" s="303"/>
      <c r="J247" s="345"/>
      <c r="K247" s="6"/>
      <c r="M247" s="745"/>
      <c r="N247" s="738" t="str" cm="1">
        <f t="array" aca="true" ref="N247" ca="true">IFERROR(IF($O$3="Chunk Rent",
AVERAGEIFS('Unit-Level Data'!$O:$O,'Unit-Level Data'!$M:$M,TRUE,
          'Unit-Level Data'!$D:$D, INDIRECT("C"&amp;ROW()),
          'Unit-Level Data'!$B:$B, INDIRECT("B"&amp;ROW())),
AVERAGEIFS('Unit-Level Data'!$P:$P,'Unit-Level Data'!$M:$M,TRUE,
          'Unit-Level Data'!$D:$D, INDIRECT("C"&amp;ROW()),
          'Unit-Level Data'!$B:$B, INDIRECT("B"&amp;ROW()))),"")</f>
      </c>
      <c r="O247" s="760" t="str" cm="1">
        <f t="array" aca="true" ref="O247" ca="true">IFERROR(IF($O$3="Chunk Rent",
AVERAGEIFS('Unit-Level Data'!$Q:$Q,'Unit-Level Data'!$M:$M,TRUE,
          'Unit-Level Data'!$D:$D, INDIRECT("C"&amp;ROW()),
          'Unit-Level Data'!$B:$B, INDIRECT("B"&amp;ROW())),
AVERAGEIFS('Unit-Level Data'!$R:$R,'Unit-Level Data'!$M:$M,TRUE,
          'Unit-Level Data'!$D:$D, INDIRECT("C"&amp;ROW()),
          'Unit-Level Data'!$B:$B, INDIRECT("B"&amp;ROW()))),"")</f>
      </c>
      <c r="P247" s="733" cm="1">
        <f t="array" aca="true" ref="P247" ca="true">COUNTIFS('Unit-Level Data'!$M:$M,TRUE,
          'Unit-Level Data'!$D:$D, INDIRECT("C"&amp;ROW()),
          'Unit-Level Data'!$B:$B, INDIRECT("B"&amp;ROW()))</f>
        <v>0</v>
      </c>
      <c r="Q247" s="738" t="str" cm="1">
        <f t="array" aca="true" ref="Q2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7" s="760" t="str" cm="1">
        <f t="array" aca="true" ref="R2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7" s="733" cm="1">
        <f t="array" aca="true" ref="S247" ca="true">COUNTIFS('Unit-Level Data'!$L:$L, "&gt;=" &amp; ($X$2 - Q$5),
          'Unit-Level Data'!$L:$L, "&lt;" &amp; $X$2,
          'Unit-Level Data'!$D:$D, INDIRECT("C"&amp;ROW()),
          'Unit-Level Data'!$B:$B, INDIRECT("B"&amp;ROW()))</f>
        <v>0</v>
      </c>
      <c r="T247" s="738" t="str" cm="1">
        <f t="array" aca="true" ref="T2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7" s="760" t="str" cm="1">
        <f t="array" aca="true" ref="U2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7" s="733" cm="1">
        <f t="array" aca="true" ref="V247" ca="true">COUNTIFS('Unit-Level Data'!$L:$L, "&gt;=" &amp; ($X$2 - T$5),
          'Unit-Level Data'!$L:$L, "&lt;" &amp; $X$2,
          'Unit-Level Data'!$D:$D, INDIRECT("C"&amp;ROW()),
          'Unit-Level Data'!$B:$B, INDIRECT("B"&amp;ROW()))</f>
        <v>0</v>
      </c>
      <c r="W247" s="738" t="str" cm="1">
        <f t="array" aca="true" ref="W2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7" s="760" t="str" cm="1">
        <f t="array" aca="true" ref="X2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7" s="733" cm="1">
        <f t="array" aca="true" ref="Y247" ca="true">COUNTIFS('Unit-Level Data'!$L:$L, "&gt;=" &amp; ($X$2 - W$5),
          'Unit-Level Data'!$L:$L, "&lt;" &amp; $X$2,
          'Unit-Level Data'!$D:$D, INDIRECT("C"&amp;ROW()),
          'Unit-Level Data'!$B:$B, INDIRECT("B"&amp;ROW()))</f>
        <v>0</v>
      </c>
      <c r="Z247" s="761"/>
      <c r="AA247" s="735" cm="1">
        <f t="array" aca="true" ref="AA247" ca="true">IFERROR(AVERAGEIFS(
  unit_details[Sqft],
  unit_details[Property Name], INDIRECT("B"&amp;ROW()),
  unit_details[Floorplan Name], INDIRECT("C"&amp;ROW()),
  unit_details[Beds], INDIRECT("D"&amp;ROW()),
  unit_details[Detected Unit Amenities], "*"&amp;$AB$3&amp;"*",
  unit_details[Leased Date], "&gt;=" &amp; ($X$2 - $AD$3)
),0)</f>
        <v>0</v>
      </c>
      <c r="AB247" s="734" cm="1">
        <f t="array" aca="true" ref="AB2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7" s="733" cm="1">
        <f t="array" aca="true" ref="AC247" ca="true">IFERROR(COUNTIFS(
  unit_details[Property Name], INDIRECT("B"&amp;ROW()),
  unit_details[Floorplan Name], INDIRECT("C"&amp;ROW()),
  unit_details[Beds], INDIRECT("D"&amp;ROW()),
  unit_details[Detected Unit Amenities], "*"&amp;$AB$3&amp;"*",
  unit_details[Leased Date], "&gt;=" &amp; ($X$2 - $AD$3)
),0)</f>
        <v>0</v>
      </c>
      <c r="AD247" s="735" cm="1">
        <f t="array" aca="true" ref="AD247" ca="true">IFERROR(AVERAGEIFS(
  unit_details[Sqft],
  unit_details[Property Name], INDIRECT("B"&amp;ROW()),
  unit_details[Floorplan Name], INDIRECT("C"&amp;ROW()),
  unit_details[Beds], INDIRECT("D"&amp;ROW()),
  unit_details[Detected Unit Amenities], "&lt;&gt;*"&amp;$AB$3&amp;"*",
  unit_details[Leased Date], "&gt;=" &amp; ($X$2 - $AD$3)
),0)</f>
        <v>0</v>
      </c>
      <c r="AE247" s="734" cm="1">
        <f t="array" aca="true" ref="AE2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7" s="733" cm="1">
        <f t="array" aca="true" ref="AF247" ca="true">IFERROR(COUNTIFS(
  unit_details[Property Name], INDIRECT("B"&amp;ROW()),
  unit_details[Floorplan Name], INDIRECT("C"&amp;ROW()),
  unit_details[Beds], INDIRECT("D"&amp;ROW()),
  unit_details[Detected Unit Amenities], "&lt;&gt;*"&amp;$AB$3&amp;"*",
  unit_details[Leased Date], "&gt;=" &amp; ($X$2 - $AD$3)
),0)</f>
        <v>0</v>
      </c>
      <c r="AG247" s="735"/>
      <c r="AH247" s="738">
        <f t="shared" ca="true" si="8"/>
        <v>0</v>
      </c>
      <c r="AI247" s="739">
        <f t="shared" ca="true" si="9"/>
        <v>0</v>
      </c>
    </row>
    <row r="248" spans="2:35">
      <c r="B248" s="1"/>
      <c r="C248" s="80"/>
      <c r="E248" s="303"/>
      <c r="F248" s="303"/>
      <c r="J248" s="345"/>
      <c r="K248" s="6"/>
      <c r="M248" s="745"/>
      <c r="N248" s="738" t="str" cm="1">
        <f t="array" aca="true" ref="N248" ca="true">IFERROR(IF($O$3="Chunk Rent",
AVERAGEIFS('Unit-Level Data'!$O:$O,'Unit-Level Data'!$M:$M,TRUE,
          'Unit-Level Data'!$D:$D, INDIRECT("C"&amp;ROW()),
          'Unit-Level Data'!$B:$B, INDIRECT("B"&amp;ROW())),
AVERAGEIFS('Unit-Level Data'!$P:$P,'Unit-Level Data'!$M:$M,TRUE,
          'Unit-Level Data'!$D:$D, INDIRECT("C"&amp;ROW()),
          'Unit-Level Data'!$B:$B, INDIRECT("B"&amp;ROW()))),"")</f>
      </c>
      <c r="O248" s="760" t="str" cm="1">
        <f t="array" aca="true" ref="O248" ca="true">IFERROR(IF($O$3="Chunk Rent",
AVERAGEIFS('Unit-Level Data'!$Q:$Q,'Unit-Level Data'!$M:$M,TRUE,
          'Unit-Level Data'!$D:$D, INDIRECT("C"&amp;ROW()),
          'Unit-Level Data'!$B:$B, INDIRECT("B"&amp;ROW())),
AVERAGEIFS('Unit-Level Data'!$R:$R,'Unit-Level Data'!$M:$M,TRUE,
          'Unit-Level Data'!$D:$D, INDIRECT("C"&amp;ROW()),
          'Unit-Level Data'!$B:$B, INDIRECT("B"&amp;ROW()))),"")</f>
      </c>
      <c r="P248" s="733" cm="1">
        <f t="array" aca="true" ref="P248" ca="true">COUNTIFS('Unit-Level Data'!$M:$M,TRUE,
          'Unit-Level Data'!$D:$D, INDIRECT("C"&amp;ROW()),
          'Unit-Level Data'!$B:$B, INDIRECT("B"&amp;ROW()))</f>
        <v>0</v>
      </c>
      <c r="Q248" s="738" t="str" cm="1">
        <f t="array" aca="true" ref="Q2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8" s="760" t="str" cm="1">
        <f t="array" aca="true" ref="R2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8" s="733" cm="1">
        <f t="array" aca="true" ref="S248" ca="true">COUNTIFS('Unit-Level Data'!$L:$L, "&gt;=" &amp; ($X$2 - Q$5),
          'Unit-Level Data'!$L:$L, "&lt;" &amp; $X$2,
          'Unit-Level Data'!$D:$D, INDIRECT("C"&amp;ROW()),
          'Unit-Level Data'!$B:$B, INDIRECT("B"&amp;ROW()))</f>
        <v>0</v>
      </c>
      <c r="T248" s="738" t="str" cm="1">
        <f t="array" aca="true" ref="T2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8" s="760" t="str" cm="1">
        <f t="array" aca="true" ref="U2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8" s="733" cm="1">
        <f t="array" aca="true" ref="V248" ca="true">COUNTIFS('Unit-Level Data'!$L:$L, "&gt;=" &amp; ($X$2 - T$5),
          'Unit-Level Data'!$L:$L, "&lt;" &amp; $X$2,
          'Unit-Level Data'!$D:$D, INDIRECT("C"&amp;ROW()),
          'Unit-Level Data'!$B:$B, INDIRECT("B"&amp;ROW()))</f>
        <v>0</v>
      </c>
      <c r="W248" s="738" t="str" cm="1">
        <f t="array" aca="true" ref="W2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8" s="760" t="str" cm="1">
        <f t="array" aca="true" ref="X2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8" s="733" cm="1">
        <f t="array" aca="true" ref="Y248" ca="true">COUNTIFS('Unit-Level Data'!$L:$L, "&gt;=" &amp; ($X$2 - W$5),
          'Unit-Level Data'!$L:$L, "&lt;" &amp; $X$2,
          'Unit-Level Data'!$D:$D, INDIRECT("C"&amp;ROW()),
          'Unit-Level Data'!$B:$B, INDIRECT("B"&amp;ROW()))</f>
        <v>0</v>
      </c>
      <c r="Z248" s="761"/>
      <c r="AA248" s="735" cm="1">
        <f t="array" aca="true" ref="AA248" ca="true">IFERROR(AVERAGEIFS(
  unit_details[Sqft],
  unit_details[Property Name], INDIRECT("B"&amp;ROW()),
  unit_details[Floorplan Name], INDIRECT("C"&amp;ROW()),
  unit_details[Beds], INDIRECT("D"&amp;ROW()),
  unit_details[Detected Unit Amenities], "*"&amp;$AB$3&amp;"*",
  unit_details[Leased Date], "&gt;=" &amp; ($X$2 - $AD$3)
),0)</f>
        <v>0</v>
      </c>
      <c r="AB248" s="734" cm="1">
        <f t="array" aca="true" ref="AB2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8" s="733" cm="1">
        <f t="array" aca="true" ref="AC248" ca="true">IFERROR(COUNTIFS(
  unit_details[Property Name], INDIRECT("B"&amp;ROW()),
  unit_details[Floorplan Name], INDIRECT("C"&amp;ROW()),
  unit_details[Beds], INDIRECT("D"&amp;ROW()),
  unit_details[Detected Unit Amenities], "*"&amp;$AB$3&amp;"*",
  unit_details[Leased Date], "&gt;=" &amp; ($X$2 - $AD$3)
),0)</f>
        <v>0</v>
      </c>
      <c r="AD248" s="735" cm="1">
        <f t="array" aca="true" ref="AD248" ca="true">IFERROR(AVERAGEIFS(
  unit_details[Sqft],
  unit_details[Property Name], INDIRECT("B"&amp;ROW()),
  unit_details[Floorplan Name], INDIRECT("C"&amp;ROW()),
  unit_details[Beds], INDIRECT("D"&amp;ROW()),
  unit_details[Detected Unit Amenities], "&lt;&gt;*"&amp;$AB$3&amp;"*",
  unit_details[Leased Date], "&gt;=" &amp; ($X$2 - $AD$3)
),0)</f>
        <v>0</v>
      </c>
      <c r="AE248" s="734" cm="1">
        <f t="array" aca="true" ref="AE2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8" s="733" cm="1">
        <f t="array" aca="true" ref="AF248" ca="true">IFERROR(COUNTIFS(
  unit_details[Property Name], INDIRECT("B"&amp;ROW()),
  unit_details[Floorplan Name], INDIRECT("C"&amp;ROW()),
  unit_details[Beds], INDIRECT("D"&amp;ROW()),
  unit_details[Detected Unit Amenities], "&lt;&gt;*"&amp;$AB$3&amp;"*",
  unit_details[Leased Date], "&gt;=" &amp; ($X$2 - $AD$3)
),0)</f>
        <v>0</v>
      </c>
      <c r="AG248" s="735"/>
      <c r="AH248" s="738">
        <f t="shared" ca="true" si="8"/>
        <v>0</v>
      </c>
      <c r="AI248" s="739">
        <f t="shared" ca="true" si="9"/>
        <v>0</v>
      </c>
    </row>
    <row r="249" spans="2:35">
      <c r="B249" s="1"/>
      <c r="C249" s="80"/>
      <c r="E249" s="303"/>
      <c r="F249" s="303"/>
      <c r="J249" s="345"/>
      <c r="K249" s="6"/>
      <c r="M249" s="745"/>
      <c r="N249" s="738" t="str" cm="1">
        <f t="array" aca="true" ref="N249" ca="true">IFERROR(IF($O$3="Chunk Rent",
AVERAGEIFS('Unit-Level Data'!$O:$O,'Unit-Level Data'!$M:$M,TRUE,
          'Unit-Level Data'!$D:$D, INDIRECT("C"&amp;ROW()),
          'Unit-Level Data'!$B:$B, INDIRECT("B"&amp;ROW())),
AVERAGEIFS('Unit-Level Data'!$P:$P,'Unit-Level Data'!$M:$M,TRUE,
          'Unit-Level Data'!$D:$D, INDIRECT("C"&amp;ROW()),
          'Unit-Level Data'!$B:$B, INDIRECT("B"&amp;ROW()))),"")</f>
      </c>
      <c r="O249" s="760" t="str" cm="1">
        <f t="array" aca="true" ref="O249" ca="true">IFERROR(IF($O$3="Chunk Rent",
AVERAGEIFS('Unit-Level Data'!$Q:$Q,'Unit-Level Data'!$M:$M,TRUE,
          'Unit-Level Data'!$D:$D, INDIRECT("C"&amp;ROW()),
          'Unit-Level Data'!$B:$B, INDIRECT("B"&amp;ROW())),
AVERAGEIFS('Unit-Level Data'!$R:$R,'Unit-Level Data'!$M:$M,TRUE,
          'Unit-Level Data'!$D:$D, INDIRECT("C"&amp;ROW()),
          'Unit-Level Data'!$B:$B, INDIRECT("B"&amp;ROW()))),"")</f>
      </c>
      <c r="P249" s="733" cm="1">
        <f t="array" aca="true" ref="P249" ca="true">COUNTIFS('Unit-Level Data'!$M:$M,TRUE,
          'Unit-Level Data'!$D:$D, INDIRECT("C"&amp;ROW()),
          'Unit-Level Data'!$B:$B, INDIRECT("B"&amp;ROW()))</f>
        <v>0</v>
      </c>
      <c r="Q249" s="738" t="str" cm="1">
        <f t="array" aca="true" ref="Q2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9" s="760" t="str" cm="1">
        <f t="array" aca="true" ref="R2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9" s="733" cm="1">
        <f t="array" aca="true" ref="S249" ca="true">COUNTIFS('Unit-Level Data'!$L:$L, "&gt;=" &amp; ($X$2 - Q$5),
          'Unit-Level Data'!$L:$L, "&lt;" &amp; $X$2,
          'Unit-Level Data'!$D:$D, INDIRECT("C"&amp;ROW()),
          'Unit-Level Data'!$B:$B, INDIRECT("B"&amp;ROW()))</f>
        <v>0</v>
      </c>
      <c r="T249" s="738" t="str" cm="1">
        <f t="array" aca="true" ref="T2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9" s="760" t="str" cm="1">
        <f t="array" aca="true" ref="U2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9" s="733" cm="1">
        <f t="array" aca="true" ref="V249" ca="true">COUNTIFS('Unit-Level Data'!$L:$L, "&gt;=" &amp; ($X$2 - T$5),
          'Unit-Level Data'!$L:$L, "&lt;" &amp; $X$2,
          'Unit-Level Data'!$D:$D, INDIRECT("C"&amp;ROW()),
          'Unit-Level Data'!$B:$B, INDIRECT("B"&amp;ROW()))</f>
        <v>0</v>
      </c>
      <c r="W249" s="738" t="str" cm="1">
        <f t="array" aca="true" ref="W2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9" s="760" t="str" cm="1">
        <f t="array" aca="true" ref="X2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9" s="733" cm="1">
        <f t="array" aca="true" ref="Y249" ca="true">COUNTIFS('Unit-Level Data'!$L:$L, "&gt;=" &amp; ($X$2 - W$5),
          'Unit-Level Data'!$L:$L, "&lt;" &amp; $X$2,
          'Unit-Level Data'!$D:$D, INDIRECT("C"&amp;ROW()),
          'Unit-Level Data'!$B:$B, INDIRECT("B"&amp;ROW()))</f>
        <v>0</v>
      </c>
      <c r="Z249" s="761"/>
      <c r="AA249" s="735" cm="1">
        <f t="array" aca="true" ref="AA249" ca="true">IFERROR(AVERAGEIFS(
  unit_details[Sqft],
  unit_details[Property Name], INDIRECT("B"&amp;ROW()),
  unit_details[Floorplan Name], INDIRECT("C"&amp;ROW()),
  unit_details[Beds], INDIRECT("D"&amp;ROW()),
  unit_details[Detected Unit Amenities], "*"&amp;$AB$3&amp;"*",
  unit_details[Leased Date], "&gt;=" &amp; ($X$2 - $AD$3)
),0)</f>
        <v>0</v>
      </c>
      <c r="AB249" s="734" cm="1">
        <f t="array" aca="true" ref="AB2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9" s="733" cm="1">
        <f t="array" aca="true" ref="AC249" ca="true">IFERROR(COUNTIFS(
  unit_details[Property Name], INDIRECT("B"&amp;ROW()),
  unit_details[Floorplan Name], INDIRECT("C"&amp;ROW()),
  unit_details[Beds], INDIRECT("D"&amp;ROW()),
  unit_details[Detected Unit Amenities], "*"&amp;$AB$3&amp;"*",
  unit_details[Leased Date], "&gt;=" &amp; ($X$2 - $AD$3)
),0)</f>
        <v>0</v>
      </c>
      <c r="AD249" s="735" cm="1">
        <f t="array" aca="true" ref="AD249" ca="true">IFERROR(AVERAGEIFS(
  unit_details[Sqft],
  unit_details[Property Name], INDIRECT("B"&amp;ROW()),
  unit_details[Floorplan Name], INDIRECT("C"&amp;ROW()),
  unit_details[Beds], INDIRECT("D"&amp;ROW()),
  unit_details[Detected Unit Amenities], "&lt;&gt;*"&amp;$AB$3&amp;"*",
  unit_details[Leased Date], "&gt;=" &amp; ($X$2 - $AD$3)
),0)</f>
        <v>0</v>
      </c>
      <c r="AE249" s="734" cm="1">
        <f t="array" aca="true" ref="AE2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9" s="733" cm="1">
        <f t="array" aca="true" ref="AF249" ca="true">IFERROR(COUNTIFS(
  unit_details[Property Name], INDIRECT("B"&amp;ROW()),
  unit_details[Floorplan Name], INDIRECT("C"&amp;ROW()),
  unit_details[Beds], INDIRECT("D"&amp;ROW()),
  unit_details[Detected Unit Amenities], "&lt;&gt;*"&amp;$AB$3&amp;"*",
  unit_details[Leased Date], "&gt;=" &amp; ($X$2 - $AD$3)
),0)</f>
        <v>0</v>
      </c>
      <c r="AG249" s="735"/>
      <c r="AH249" s="738">
        <f t="shared" ca="true" si="8"/>
        <v>0</v>
      </c>
      <c r="AI249" s="739">
        <f t="shared" ca="true" si="9"/>
        <v>0</v>
      </c>
    </row>
    <row r="250" spans="2:35">
      <c r="B250" s="1"/>
      <c r="C250" s="80"/>
      <c r="E250" s="303"/>
      <c r="F250" s="303"/>
      <c r="J250" s="345"/>
      <c r="K250" s="6"/>
      <c r="M250" s="745"/>
      <c r="N250" s="738" t="str" cm="1">
        <f t="array" aca="true" ref="N250" ca="true">IFERROR(IF($O$3="Chunk Rent",
AVERAGEIFS('Unit-Level Data'!$O:$O,'Unit-Level Data'!$M:$M,TRUE,
          'Unit-Level Data'!$D:$D, INDIRECT("C"&amp;ROW()),
          'Unit-Level Data'!$B:$B, INDIRECT("B"&amp;ROW())),
AVERAGEIFS('Unit-Level Data'!$P:$P,'Unit-Level Data'!$M:$M,TRUE,
          'Unit-Level Data'!$D:$D, INDIRECT("C"&amp;ROW()),
          'Unit-Level Data'!$B:$B, INDIRECT("B"&amp;ROW()))),"")</f>
      </c>
      <c r="O250" s="760" t="str" cm="1">
        <f t="array" aca="true" ref="O250" ca="true">IFERROR(IF($O$3="Chunk Rent",
AVERAGEIFS('Unit-Level Data'!$Q:$Q,'Unit-Level Data'!$M:$M,TRUE,
          'Unit-Level Data'!$D:$D, INDIRECT("C"&amp;ROW()),
          'Unit-Level Data'!$B:$B, INDIRECT("B"&amp;ROW())),
AVERAGEIFS('Unit-Level Data'!$R:$R,'Unit-Level Data'!$M:$M,TRUE,
          'Unit-Level Data'!$D:$D, INDIRECT("C"&amp;ROW()),
          'Unit-Level Data'!$B:$B, INDIRECT("B"&amp;ROW()))),"")</f>
      </c>
      <c r="P250" s="733" cm="1">
        <f t="array" aca="true" ref="P250" ca="true">COUNTIFS('Unit-Level Data'!$M:$M,TRUE,
          'Unit-Level Data'!$D:$D, INDIRECT("C"&amp;ROW()),
          'Unit-Level Data'!$B:$B, INDIRECT("B"&amp;ROW()))</f>
        <v>0</v>
      </c>
      <c r="Q250" s="738" t="str" cm="1">
        <f t="array" aca="true" ref="Q2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0" s="760" t="str" cm="1">
        <f t="array" aca="true" ref="R2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0" s="733" cm="1">
        <f t="array" aca="true" ref="S250" ca="true">COUNTIFS('Unit-Level Data'!$L:$L, "&gt;=" &amp; ($X$2 - Q$5),
          'Unit-Level Data'!$L:$L, "&lt;" &amp; $X$2,
          'Unit-Level Data'!$D:$D, INDIRECT("C"&amp;ROW()),
          'Unit-Level Data'!$B:$B, INDIRECT("B"&amp;ROW()))</f>
        <v>0</v>
      </c>
      <c r="T250" s="738" t="str" cm="1">
        <f t="array" aca="true" ref="T2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0" s="760" t="str" cm="1">
        <f t="array" aca="true" ref="U2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0" s="733" cm="1">
        <f t="array" aca="true" ref="V250" ca="true">COUNTIFS('Unit-Level Data'!$L:$L, "&gt;=" &amp; ($X$2 - T$5),
          'Unit-Level Data'!$L:$L, "&lt;" &amp; $X$2,
          'Unit-Level Data'!$D:$D, INDIRECT("C"&amp;ROW()),
          'Unit-Level Data'!$B:$B, INDIRECT("B"&amp;ROW()))</f>
        <v>0</v>
      </c>
      <c r="W250" s="738" t="str" cm="1">
        <f t="array" aca="true" ref="W2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0" s="760" t="str" cm="1">
        <f t="array" aca="true" ref="X2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0" s="733" cm="1">
        <f t="array" aca="true" ref="Y250" ca="true">COUNTIFS('Unit-Level Data'!$L:$L, "&gt;=" &amp; ($X$2 - W$5),
          'Unit-Level Data'!$L:$L, "&lt;" &amp; $X$2,
          'Unit-Level Data'!$D:$D, INDIRECT("C"&amp;ROW()),
          'Unit-Level Data'!$B:$B, INDIRECT("B"&amp;ROW()))</f>
        <v>0</v>
      </c>
      <c r="Z250" s="761"/>
      <c r="AA250" s="735" cm="1">
        <f t="array" aca="true" ref="AA250" ca="true">IFERROR(AVERAGEIFS(
  unit_details[Sqft],
  unit_details[Property Name], INDIRECT("B"&amp;ROW()),
  unit_details[Floorplan Name], INDIRECT("C"&amp;ROW()),
  unit_details[Beds], INDIRECT("D"&amp;ROW()),
  unit_details[Detected Unit Amenities], "*"&amp;$AB$3&amp;"*",
  unit_details[Leased Date], "&gt;=" &amp; ($X$2 - $AD$3)
),0)</f>
        <v>0</v>
      </c>
      <c r="AB250" s="734" cm="1">
        <f t="array" aca="true" ref="AB2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0" s="733" cm="1">
        <f t="array" aca="true" ref="AC250" ca="true">IFERROR(COUNTIFS(
  unit_details[Property Name], INDIRECT("B"&amp;ROW()),
  unit_details[Floorplan Name], INDIRECT("C"&amp;ROW()),
  unit_details[Beds], INDIRECT("D"&amp;ROW()),
  unit_details[Detected Unit Amenities], "*"&amp;$AB$3&amp;"*",
  unit_details[Leased Date], "&gt;=" &amp; ($X$2 - $AD$3)
),0)</f>
        <v>0</v>
      </c>
      <c r="AD250" s="735" cm="1">
        <f t="array" aca="true" ref="AD250" ca="true">IFERROR(AVERAGEIFS(
  unit_details[Sqft],
  unit_details[Property Name], INDIRECT("B"&amp;ROW()),
  unit_details[Floorplan Name], INDIRECT("C"&amp;ROW()),
  unit_details[Beds], INDIRECT("D"&amp;ROW()),
  unit_details[Detected Unit Amenities], "&lt;&gt;*"&amp;$AB$3&amp;"*",
  unit_details[Leased Date], "&gt;=" &amp; ($X$2 - $AD$3)
),0)</f>
        <v>0</v>
      </c>
      <c r="AE250" s="734" cm="1">
        <f t="array" aca="true" ref="AE2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0" s="733" cm="1">
        <f t="array" aca="true" ref="AF250" ca="true">IFERROR(COUNTIFS(
  unit_details[Property Name], INDIRECT("B"&amp;ROW()),
  unit_details[Floorplan Name], INDIRECT("C"&amp;ROW()),
  unit_details[Beds], INDIRECT("D"&amp;ROW()),
  unit_details[Detected Unit Amenities], "&lt;&gt;*"&amp;$AB$3&amp;"*",
  unit_details[Leased Date], "&gt;=" &amp; ($X$2 - $AD$3)
),0)</f>
        <v>0</v>
      </c>
      <c r="AG250" s="735"/>
      <c r="AH250" s="738">
        <f t="shared" ca="true" si="8"/>
        <v>0</v>
      </c>
      <c r="AI250" s="739">
        <f t="shared" ca="true" si="9"/>
        <v>0</v>
      </c>
    </row>
    <row r="251" spans="2:35">
      <c r="B251" s="1"/>
      <c r="C251" s="80"/>
      <c r="E251" s="303"/>
      <c r="F251" s="303"/>
      <c r="J251" s="345"/>
      <c r="K251" s="6"/>
      <c r="M251" s="745"/>
      <c r="N251" s="738" t="str" cm="1">
        <f t="array" aca="true" ref="N251" ca="true">IFERROR(IF($O$3="Chunk Rent",
AVERAGEIFS('Unit-Level Data'!$O:$O,'Unit-Level Data'!$M:$M,TRUE,
          'Unit-Level Data'!$D:$D, INDIRECT("C"&amp;ROW()),
          'Unit-Level Data'!$B:$B, INDIRECT("B"&amp;ROW())),
AVERAGEIFS('Unit-Level Data'!$P:$P,'Unit-Level Data'!$M:$M,TRUE,
          'Unit-Level Data'!$D:$D, INDIRECT("C"&amp;ROW()),
          'Unit-Level Data'!$B:$B, INDIRECT("B"&amp;ROW()))),"")</f>
      </c>
      <c r="O251" s="760" t="str" cm="1">
        <f t="array" aca="true" ref="O251" ca="true">IFERROR(IF($O$3="Chunk Rent",
AVERAGEIFS('Unit-Level Data'!$Q:$Q,'Unit-Level Data'!$M:$M,TRUE,
          'Unit-Level Data'!$D:$D, INDIRECT("C"&amp;ROW()),
          'Unit-Level Data'!$B:$B, INDIRECT("B"&amp;ROW())),
AVERAGEIFS('Unit-Level Data'!$R:$R,'Unit-Level Data'!$M:$M,TRUE,
          'Unit-Level Data'!$D:$D, INDIRECT("C"&amp;ROW()),
          'Unit-Level Data'!$B:$B, INDIRECT("B"&amp;ROW()))),"")</f>
      </c>
      <c r="P251" s="733" cm="1">
        <f t="array" aca="true" ref="P251" ca="true">COUNTIFS('Unit-Level Data'!$M:$M,TRUE,
          'Unit-Level Data'!$D:$D, INDIRECT("C"&amp;ROW()),
          'Unit-Level Data'!$B:$B, INDIRECT("B"&amp;ROW()))</f>
        <v>0</v>
      </c>
      <c r="Q251" s="738" t="str" cm="1">
        <f t="array" aca="true" ref="Q2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1" s="760" t="str" cm="1">
        <f t="array" aca="true" ref="R2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1" s="733" cm="1">
        <f t="array" aca="true" ref="S251" ca="true">COUNTIFS('Unit-Level Data'!$L:$L, "&gt;=" &amp; ($X$2 - Q$5),
          'Unit-Level Data'!$L:$L, "&lt;" &amp; $X$2,
          'Unit-Level Data'!$D:$D, INDIRECT("C"&amp;ROW()),
          'Unit-Level Data'!$B:$B, INDIRECT("B"&amp;ROW()))</f>
        <v>0</v>
      </c>
      <c r="T251" s="738" t="str" cm="1">
        <f t="array" aca="true" ref="T2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1" s="760" t="str" cm="1">
        <f t="array" aca="true" ref="U2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1" s="733" cm="1">
        <f t="array" aca="true" ref="V251" ca="true">COUNTIFS('Unit-Level Data'!$L:$L, "&gt;=" &amp; ($X$2 - T$5),
          'Unit-Level Data'!$L:$L, "&lt;" &amp; $X$2,
          'Unit-Level Data'!$D:$D, INDIRECT("C"&amp;ROW()),
          'Unit-Level Data'!$B:$B, INDIRECT("B"&amp;ROW()))</f>
        <v>0</v>
      </c>
      <c r="W251" s="738" t="str" cm="1">
        <f t="array" aca="true" ref="W2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1" s="760" t="str" cm="1">
        <f t="array" aca="true" ref="X2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1" s="733" cm="1">
        <f t="array" aca="true" ref="Y251" ca="true">COUNTIFS('Unit-Level Data'!$L:$L, "&gt;=" &amp; ($X$2 - W$5),
          'Unit-Level Data'!$L:$L, "&lt;" &amp; $X$2,
          'Unit-Level Data'!$D:$D, INDIRECT("C"&amp;ROW()),
          'Unit-Level Data'!$B:$B, INDIRECT("B"&amp;ROW()))</f>
        <v>0</v>
      </c>
      <c r="Z251" s="761"/>
      <c r="AA251" s="735" cm="1">
        <f t="array" aca="true" ref="AA251" ca="true">IFERROR(AVERAGEIFS(
  unit_details[Sqft],
  unit_details[Property Name], INDIRECT("B"&amp;ROW()),
  unit_details[Floorplan Name], INDIRECT("C"&amp;ROW()),
  unit_details[Beds], INDIRECT("D"&amp;ROW()),
  unit_details[Detected Unit Amenities], "*"&amp;$AB$3&amp;"*",
  unit_details[Leased Date], "&gt;=" &amp; ($X$2 - $AD$3)
),0)</f>
        <v>0</v>
      </c>
      <c r="AB251" s="734" cm="1">
        <f t="array" aca="true" ref="AB2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1" s="733" cm="1">
        <f t="array" aca="true" ref="AC251" ca="true">IFERROR(COUNTIFS(
  unit_details[Property Name], INDIRECT("B"&amp;ROW()),
  unit_details[Floorplan Name], INDIRECT("C"&amp;ROW()),
  unit_details[Beds], INDIRECT("D"&amp;ROW()),
  unit_details[Detected Unit Amenities], "*"&amp;$AB$3&amp;"*",
  unit_details[Leased Date], "&gt;=" &amp; ($X$2 - $AD$3)
),0)</f>
        <v>0</v>
      </c>
      <c r="AD251" s="735" cm="1">
        <f t="array" aca="true" ref="AD251" ca="true">IFERROR(AVERAGEIFS(
  unit_details[Sqft],
  unit_details[Property Name], INDIRECT("B"&amp;ROW()),
  unit_details[Floorplan Name], INDIRECT("C"&amp;ROW()),
  unit_details[Beds], INDIRECT("D"&amp;ROW()),
  unit_details[Detected Unit Amenities], "&lt;&gt;*"&amp;$AB$3&amp;"*",
  unit_details[Leased Date], "&gt;=" &amp; ($X$2 - $AD$3)
),0)</f>
        <v>0</v>
      </c>
      <c r="AE251" s="734" cm="1">
        <f t="array" aca="true" ref="AE2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1" s="733" cm="1">
        <f t="array" aca="true" ref="AF251" ca="true">IFERROR(COUNTIFS(
  unit_details[Property Name], INDIRECT("B"&amp;ROW()),
  unit_details[Floorplan Name], INDIRECT("C"&amp;ROW()),
  unit_details[Beds], INDIRECT("D"&amp;ROW()),
  unit_details[Detected Unit Amenities], "&lt;&gt;*"&amp;$AB$3&amp;"*",
  unit_details[Leased Date], "&gt;=" &amp; ($X$2 - $AD$3)
),0)</f>
        <v>0</v>
      </c>
      <c r="AG251" s="735"/>
      <c r="AH251" s="738">
        <f t="shared" ca="true" si="8"/>
        <v>0</v>
      </c>
      <c r="AI251" s="739">
        <f t="shared" ca="true" si="9"/>
        <v>0</v>
      </c>
    </row>
    <row r="252" spans="2:35">
      <c r="B252" s="1"/>
      <c r="C252" s="80"/>
      <c r="E252" s="303"/>
      <c r="F252" s="303"/>
      <c r="J252" s="345"/>
      <c r="K252" s="6"/>
      <c r="M252" s="745"/>
      <c r="N252" s="738" t="str" cm="1">
        <f t="array" aca="true" ref="N252" ca="true">IFERROR(IF($O$3="Chunk Rent",
AVERAGEIFS('Unit-Level Data'!$O:$O,'Unit-Level Data'!$M:$M,TRUE,
          'Unit-Level Data'!$D:$D, INDIRECT("C"&amp;ROW()),
          'Unit-Level Data'!$B:$B, INDIRECT("B"&amp;ROW())),
AVERAGEIFS('Unit-Level Data'!$P:$P,'Unit-Level Data'!$M:$M,TRUE,
          'Unit-Level Data'!$D:$D, INDIRECT("C"&amp;ROW()),
          'Unit-Level Data'!$B:$B, INDIRECT("B"&amp;ROW()))),"")</f>
      </c>
      <c r="O252" s="760" t="str" cm="1">
        <f t="array" aca="true" ref="O252" ca="true">IFERROR(IF($O$3="Chunk Rent",
AVERAGEIFS('Unit-Level Data'!$Q:$Q,'Unit-Level Data'!$M:$M,TRUE,
          'Unit-Level Data'!$D:$D, INDIRECT("C"&amp;ROW()),
          'Unit-Level Data'!$B:$B, INDIRECT("B"&amp;ROW())),
AVERAGEIFS('Unit-Level Data'!$R:$R,'Unit-Level Data'!$M:$M,TRUE,
          'Unit-Level Data'!$D:$D, INDIRECT("C"&amp;ROW()),
          'Unit-Level Data'!$B:$B, INDIRECT("B"&amp;ROW()))),"")</f>
      </c>
      <c r="P252" s="733" cm="1">
        <f t="array" aca="true" ref="P252" ca="true">COUNTIFS('Unit-Level Data'!$M:$M,TRUE,
          'Unit-Level Data'!$D:$D, INDIRECT("C"&amp;ROW()),
          'Unit-Level Data'!$B:$B, INDIRECT("B"&amp;ROW()))</f>
        <v>0</v>
      </c>
      <c r="Q252" s="738" t="str" cm="1">
        <f t="array" aca="true" ref="Q2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2" s="760" t="str" cm="1">
        <f t="array" aca="true" ref="R2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2" s="733" cm="1">
        <f t="array" aca="true" ref="S252" ca="true">COUNTIFS('Unit-Level Data'!$L:$L, "&gt;=" &amp; ($X$2 - Q$5),
          'Unit-Level Data'!$L:$L, "&lt;" &amp; $X$2,
          'Unit-Level Data'!$D:$D, INDIRECT("C"&amp;ROW()),
          'Unit-Level Data'!$B:$B, INDIRECT("B"&amp;ROW()))</f>
        <v>0</v>
      </c>
      <c r="T252" s="738" t="str" cm="1">
        <f t="array" aca="true" ref="T2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2" s="760" t="str" cm="1">
        <f t="array" aca="true" ref="U2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2" s="733" cm="1">
        <f t="array" aca="true" ref="V252" ca="true">COUNTIFS('Unit-Level Data'!$L:$L, "&gt;=" &amp; ($X$2 - T$5),
          'Unit-Level Data'!$L:$L, "&lt;" &amp; $X$2,
          'Unit-Level Data'!$D:$D, INDIRECT("C"&amp;ROW()),
          'Unit-Level Data'!$B:$B, INDIRECT("B"&amp;ROW()))</f>
        <v>0</v>
      </c>
      <c r="W252" s="738" t="str" cm="1">
        <f t="array" aca="true" ref="W2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2" s="760" t="str" cm="1">
        <f t="array" aca="true" ref="X2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2" s="733" cm="1">
        <f t="array" aca="true" ref="Y252" ca="true">COUNTIFS('Unit-Level Data'!$L:$L, "&gt;=" &amp; ($X$2 - W$5),
          'Unit-Level Data'!$L:$L, "&lt;" &amp; $X$2,
          'Unit-Level Data'!$D:$D, INDIRECT("C"&amp;ROW()),
          'Unit-Level Data'!$B:$B, INDIRECT("B"&amp;ROW()))</f>
        <v>0</v>
      </c>
      <c r="Z252" s="761"/>
      <c r="AA252" s="735" cm="1">
        <f t="array" aca="true" ref="AA252" ca="true">IFERROR(AVERAGEIFS(
  unit_details[Sqft],
  unit_details[Property Name], INDIRECT("B"&amp;ROW()),
  unit_details[Floorplan Name], INDIRECT("C"&amp;ROW()),
  unit_details[Beds], INDIRECT("D"&amp;ROW()),
  unit_details[Detected Unit Amenities], "*"&amp;$AB$3&amp;"*",
  unit_details[Leased Date], "&gt;=" &amp; ($X$2 - $AD$3)
),0)</f>
        <v>0</v>
      </c>
      <c r="AB252" s="734" cm="1">
        <f t="array" aca="true" ref="AB2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2" s="733" cm="1">
        <f t="array" aca="true" ref="AC252" ca="true">IFERROR(COUNTIFS(
  unit_details[Property Name], INDIRECT("B"&amp;ROW()),
  unit_details[Floorplan Name], INDIRECT("C"&amp;ROW()),
  unit_details[Beds], INDIRECT("D"&amp;ROW()),
  unit_details[Detected Unit Amenities], "*"&amp;$AB$3&amp;"*",
  unit_details[Leased Date], "&gt;=" &amp; ($X$2 - $AD$3)
),0)</f>
        <v>0</v>
      </c>
      <c r="AD252" s="735" cm="1">
        <f t="array" aca="true" ref="AD252" ca="true">IFERROR(AVERAGEIFS(
  unit_details[Sqft],
  unit_details[Property Name], INDIRECT("B"&amp;ROW()),
  unit_details[Floorplan Name], INDIRECT("C"&amp;ROW()),
  unit_details[Beds], INDIRECT("D"&amp;ROW()),
  unit_details[Detected Unit Amenities], "&lt;&gt;*"&amp;$AB$3&amp;"*",
  unit_details[Leased Date], "&gt;=" &amp; ($X$2 - $AD$3)
),0)</f>
        <v>0</v>
      </c>
      <c r="AE252" s="734" cm="1">
        <f t="array" aca="true" ref="AE2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2" s="733" cm="1">
        <f t="array" aca="true" ref="AF252" ca="true">IFERROR(COUNTIFS(
  unit_details[Property Name], INDIRECT("B"&amp;ROW()),
  unit_details[Floorplan Name], INDIRECT("C"&amp;ROW()),
  unit_details[Beds], INDIRECT("D"&amp;ROW()),
  unit_details[Detected Unit Amenities], "&lt;&gt;*"&amp;$AB$3&amp;"*",
  unit_details[Leased Date], "&gt;=" &amp; ($X$2 - $AD$3)
),0)</f>
        <v>0</v>
      </c>
      <c r="AG252" s="735"/>
      <c r="AH252" s="738">
        <f t="shared" ca="true" si="8"/>
        <v>0</v>
      </c>
      <c r="AI252" s="739">
        <f t="shared" ca="true" si="9"/>
        <v>0</v>
      </c>
    </row>
    <row r="253" spans="2:35">
      <c r="B253" s="1"/>
      <c r="C253" s="80"/>
      <c r="E253" s="303"/>
      <c r="F253" s="303"/>
      <c r="J253" s="345"/>
      <c r="K253" s="6"/>
      <c r="M253" s="745"/>
      <c r="N253" s="738" t="str" cm="1">
        <f t="array" aca="true" ref="N253" ca="true">IFERROR(IF($O$3="Chunk Rent",
AVERAGEIFS('Unit-Level Data'!$O:$O,'Unit-Level Data'!$M:$M,TRUE,
          'Unit-Level Data'!$D:$D, INDIRECT("C"&amp;ROW()),
          'Unit-Level Data'!$B:$B, INDIRECT("B"&amp;ROW())),
AVERAGEIFS('Unit-Level Data'!$P:$P,'Unit-Level Data'!$M:$M,TRUE,
          'Unit-Level Data'!$D:$D, INDIRECT("C"&amp;ROW()),
          'Unit-Level Data'!$B:$B, INDIRECT("B"&amp;ROW()))),"")</f>
      </c>
      <c r="O253" s="760" t="str" cm="1">
        <f t="array" aca="true" ref="O253" ca="true">IFERROR(IF($O$3="Chunk Rent",
AVERAGEIFS('Unit-Level Data'!$Q:$Q,'Unit-Level Data'!$M:$M,TRUE,
          'Unit-Level Data'!$D:$D, INDIRECT("C"&amp;ROW()),
          'Unit-Level Data'!$B:$B, INDIRECT("B"&amp;ROW())),
AVERAGEIFS('Unit-Level Data'!$R:$R,'Unit-Level Data'!$M:$M,TRUE,
          'Unit-Level Data'!$D:$D, INDIRECT("C"&amp;ROW()),
          'Unit-Level Data'!$B:$B, INDIRECT("B"&amp;ROW()))),"")</f>
      </c>
      <c r="P253" s="733" cm="1">
        <f t="array" aca="true" ref="P253" ca="true">COUNTIFS('Unit-Level Data'!$M:$M,TRUE,
          'Unit-Level Data'!$D:$D, INDIRECT("C"&amp;ROW()),
          'Unit-Level Data'!$B:$B, INDIRECT("B"&amp;ROW()))</f>
        <v>0</v>
      </c>
      <c r="Q253" s="738" t="str" cm="1">
        <f t="array" aca="true" ref="Q2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3" s="760" t="str" cm="1">
        <f t="array" aca="true" ref="R2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3" s="733" cm="1">
        <f t="array" aca="true" ref="S253" ca="true">COUNTIFS('Unit-Level Data'!$L:$L, "&gt;=" &amp; ($X$2 - Q$5),
          'Unit-Level Data'!$L:$L, "&lt;" &amp; $X$2,
          'Unit-Level Data'!$D:$D, INDIRECT("C"&amp;ROW()),
          'Unit-Level Data'!$B:$B, INDIRECT("B"&amp;ROW()))</f>
        <v>0</v>
      </c>
      <c r="T253" s="738" t="str" cm="1">
        <f t="array" aca="true" ref="T2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3" s="760" t="str" cm="1">
        <f t="array" aca="true" ref="U2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3" s="733" cm="1">
        <f t="array" aca="true" ref="V253" ca="true">COUNTIFS('Unit-Level Data'!$L:$L, "&gt;=" &amp; ($X$2 - T$5),
          'Unit-Level Data'!$L:$L, "&lt;" &amp; $X$2,
          'Unit-Level Data'!$D:$D, INDIRECT("C"&amp;ROW()),
          'Unit-Level Data'!$B:$B, INDIRECT("B"&amp;ROW()))</f>
        <v>0</v>
      </c>
      <c r="W253" s="738" t="str" cm="1">
        <f t="array" aca="true" ref="W2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3" s="760" t="str" cm="1">
        <f t="array" aca="true" ref="X2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3" s="733" cm="1">
        <f t="array" aca="true" ref="Y253" ca="true">COUNTIFS('Unit-Level Data'!$L:$L, "&gt;=" &amp; ($X$2 - W$5),
          'Unit-Level Data'!$L:$L, "&lt;" &amp; $X$2,
          'Unit-Level Data'!$D:$D, INDIRECT("C"&amp;ROW()),
          'Unit-Level Data'!$B:$B, INDIRECT("B"&amp;ROW()))</f>
        <v>0</v>
      </c>
      <c r="Z253" s="761"/>
      <c r="AA253" s="735" cm="1">
        <f t="array" aca="true" ref="AA253" ca="true">IFERROR(AVERAGEIFS(
  unit_details[Sqft],
  unit_details[Property Name], INDIRECT("B"&amp;ROW()),
  unit_details[Floorplan Name], INDIRECT("C"&amp;ROW()),
  unit_details[Beds], INDIRECT("D"&amp;ROW()),
  unit_details[Detected Unit Amenities], "*"&amp;$AB$3&amp;"*",
  unit_details[Leased Date], "&gt;=" &amp; ($X$2 - $AD$3)
),0)</f>
        <v>0</v>
      </c>
      <c r="AB253" s="734" cm="1">
        <f t="array" aca="true" ref="AB2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3" s="733" cm="1">
        <f t="array" aca="true" ref="AC253" ca="true">IFERROR(COUNTIFS(
  unit_details[Property Name], INDIRECT("B"&amp;ROW()),
  unit_details[Floorplan Name], INDIRECT("C"&amp;ROW()),
  unit_details[Beds], INDIRECT("D"&amp;ROW()),
  unit_details[Detected Unit Amenities], "*"&amp;$AB$3&amp;"*",
  unit_details[Leased Date], "&gt;=" &amp; ($X$2 - $AD$3)
),0)</f>
        <v>0</v>
      </c>
      <c r="AD253" s="735" cm="1">
        <f t="array" aca="true" ref="AD253" ca="true">IFERROR(AVERAGEIFS(
  unit_details[Sqft],
  unit_details[Property Name], INDIRECT("B"&amp;ROW()),
  unit_details[Floorplan Name], INDIRECT("C"&amp;ROW()),
  unit_details[Beds], INDIRECT("D"&amp;ROW()),
  unit_details[Detected Unit Amenities], "&lt;&gt;*"&amp;$AB$3&amp;"*",
  unit_details[Leased Date], "&gt;=" &amp; ($X$2 - $AD$3)
),0)</f>
        <v>0</v>
      </c>
      <c r="AE253" s="734" cm="1">
        <f t="array" aca="true" ref="AE2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3" s="733" cm="1">
        <f t="array" aca="true" ref="AF253" ca="true">IFERROR(COUNTIFS(
  unit_details[Property Name], INDIRECT("B"&amp;ROW()),
  unit_details[Floorplan Name], INDIRECT("C"&amp;ROW()),
  unit_details[Beds], INDIRECT("D"&amp;ROW()),
  unit_details[Detected Unit Amenities], "&lt;&gt;*"&amp;$AB$3&amp;"*",
  unit_details[Leased Date], "&gt;=" &amp; ($X$2 - $AD$3)
),0)</f>
        <v>0</v>
      </c>
      <c r="AG253" s="735"/>
      <c r="AH253" s="738">
        <f t="shared" ca="true" si="8"/>
        <v>0</v>
      </c>
      <c r="AI253" s="739">
        <f t="shared" ca="true" si="9"/>
        <v>0</v>
      </c>
    </row>
    <row r="254" spans="2:35">
      <c r="B254" s="1"/>
      <c r="C254" s="80"/>
      <c r="E254" s="303"/>
      <c r="F254" s="303"/>
      <c r="J254" s="345"/>
      <c r="K254" s="6"/>
      <c r="M254" s="745"/>
      <c r="N254" s="738" t="str" cm="1">
        <f t="array" aca="true" ref="N254" ca="true">IFERROR(IF($O$3="Chunk Rent",
AVERAGEIFS('Unit-Level Data'!$O:$O,'Unit-Level Data'!$M:$M,TRUE,
          'Unit-Level Data'!$D:$D, INDIRECT("C"&amp;ROW()),
          'Unit-Level Data'!$B:$B, INDIRECT("B"&amp;ROW())),
AVERAGEIFS('Unit-Level Data'!$P:$P,'Unit-Level Data'!$M:$M,TRUE,
          'Unit-Level Data'!$D:$D, INDIRECT("C"&amp;ROW()),
          'Unit-Level Data'!$B:$B, INDIRECT("B"&amp;ROW()))),"")</f>
      </c>
      <c r="O254" s="760" t="str" cm="1">
        <f t="array" aca="true" ref="O254" ca="true">IFERROR(IF($O$3="Chunk Rent",
AVERAGEIFS('Unit-Level Data'!$Q:$Q,'Unit-Level Data'!$M:$M,TRUE,
          'Unit-Level Data'!$D:$D, INDIRECT("C"&amp;ROW()),
          'Unit-Level Data'!$B:$B, INDIRECT("B"&amp;ROW())),
AVERAGEIFS('Unit-Level Data'!$R:$R,'Unit-Level Data'!$M:$M,TRUE,
          'Unit-Level Data'!$D:$D, INDIRECT("C"&amp;ROW()),
          'Unit-Level Data'!$B:$B, INDIRECT("B"&amp;ROW()))),"")</f>
      </c>
      <c r="P254" s="733" cm="1">
        <f t="array" aca="true" ref="P254" ca="true">COUNTIFS('Unit-Level Data'!$M:$M,TRUE,
          'Unit-Level Data'!$D:$D, INDIRECT("C"&amp;ROW()),
          'Unit-Level Data'!$B:$B, INDIRECT("B"&amp;ROW()))</f>
        <v>0</v>
      </c>
      <c r="Q254" s="738" t="str" cm="1">
        <f t="array" aca="true" ref="Q2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4" s="760" t="str" cm="1">
        <f t="array" aca="true" ref="R2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4" s="733" cm="1">
        <f t="array" aca="true" ref="S254" ca="true">COUNTIFS('Unit-Level Data'!$L:$L, "&gt;=" &amp; ($X$2 - Q$5),
          'Unit-Level Data'!$L:$L, "&lt;" &amp; $X$2,
          'Unit-Level Data'!$D:$D, INDIRECT("C"&amp;ROW()),
          'Unit-Level Data'!$B:$B, INDIRECT("B"&amp;ROW()))</f>
        <v>0</v>
      </c>
      <c r="T254" s="738" t="str" cm="1">
        <f t="array" aca="true" ref="T2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4" s="760" t="str" cm="1">
        <f t="array" aca="true" ref="U2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4" s="733" cm="1">
        <f t="array" aca="true" ref="V254" ca="true">COUNTIFS('Unit-Level Data'!$L:$L, "&gt;=" &amp; ($X$2 - T$5),
          'Unit-Level Data'!$L:$L, "&lt;" &amp; $X$2,
          'Unit-Level Data'!$D:$D, INDIRECT("C"&amp;ROW()),
          'Unit-Level Data'!$B:$B, INDIRECT("B"&amp;ROW()))</f>
        <v>0</v>
      </c>
      <c r="W254" s="738" t="str" cm="1">
        <f t="array" aca="true" ref="W2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4" s="760" t="str" cm="1">
        <f t="array" aca="true" ref="X2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4" s="733" cm="1">
        <f t="array" aca="true" ref="Y254" ca="true">COUNTIFS('Unit-Level Data'!$L:$L, "&gt;=" &amp; ($X$2 - W$5),
          'Unit-Level Data'!$L:$L, "&lt;" &amp; $X$2,
          'Unit-Level Data'!$D:$D, INDIRECT("C"&amp;ROW()),
          'Unit-Level Data'!$B:$B, INDIRECT("B"&amp;ROW()))</f>
        <v>0</v>
      </c>
      <c r="Z254" s="761"/>
      <c r="AA254" s="735" cm="1">
        <f t="array" aca="true" ref="AA254" ca="true">IFERROR(AVERAGEIFS(
  unit_details[Sqft],
  unit_details[Property Name], INDIRECT("B"&amp;ROW()),
  unit_details[Floorplan Name], INDIRECT("C"&amp;ROW()),
  unit_details[Beds], INDIRECT("D"&amp;ROW()),
  unit_details[Detected Unit Amenities], "*"&amp;$AB$3&amp;"*",
  unit_details[Leased Date], "&gt;=" &amp; ($X$2 - $AD$3)
),0)</f>
        <v>0</v>
      </c>
      <c r="AB254" s="734" cm="1">
        <f t="array" aca="true" ref="AB2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4" s="733" cm="1">
        <f t="array" aca="true" ref="AC254" ca="true">IFERROR(COUNTIFS(
  unit_details[Property Name], INDIRECT("B"&amp;ROW()),
  unit_details[Floorplan Name], INDIRECT("C"&amp;ROW()),
  unit_details[Beds], INDIRECT("D"&amp;ROW()),
  unit_details[Detected Unit Amenities], "*"&amp;$AB$3&amp;"*",
  unit_details[Leased Date], "&gt;=" &amp; ($X$2 - $AD$3)
),0)</f>
        <v>0</v>
      </c>
      <c r="AD254" s="735" cm="1">
        <f t="array" aca="true" ref="AD254" ca="true">IFERROR(AVERAGEIFS(
  unit_details[Sqft],
  unit_details[Property Name], INDIRECT("B"&amp;ROW()),
  unit_details[Floorplan Name], INDIRECT("C"&amp;ROW()),
  unit_details[Beds], INDIRECT("D"&amp;ROW()),
  unit_details[Detected Unit Amenities], "&lt;&gt;*"&amp;$AB$3&amp;"*",
  unit_details[Leased Date], "&gt;=" &amp; ($X$2 - $AD$3)
),0)</f>
        <v>0</v>
      </c>
      <c r="AE254" s="734" cm="1">
        <f t="array" aca="true" ref="AE2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4" s="733" cm="1">
        <f t="array" aca="true" ref="AF254" ca="true">IFERROR(COUNTIFS(
  unit_details[Property Name], INDIRECT("B"&amp;ROW()),
  unit_details[Floorplan Name], INDIRECT("C"&amp;ROW()),
  unit_details[Beds], INDIRECT("D"&amp;ROW()),
  unit_details[Detected Unit Amenities], "&lt;&gt;*"&amp;$AB$3&amp;"*",
  unit_details[Leased Date], "&gt;=" &amp; ($X$2 - $AD$3)
),0)</f>
        <v>0</v>
      </c>
      <c r="AG254" s="735"/>
      <c r="AH254" s="738">
        <f t="shared" ca="true" si="8"/>
        <v>0</v>
      </c>
      <c r="AI254" s="739">
        <f t="shared" ca="true" si="9"/>
        <v>0</v>
      </c>
    </row>
    <row r="255" spans="2:35">
      <c r="B255" s="1"/>
      <c r="C255" s="80"/>
      <c r="E255" s="303"/>
      <c r="F255" s="303"/>
      <c r="J255" s="345"/>
      <c r="K255" s="6"/>
      <c r="M255" s="745"/>
      <c r="N255" s="738" t="str" cm="1">
        <f t="array" aca="true" ref="N255" ca="true">IFERROR(IF($O$3="Chunk Rent",
AVERAGEIFS('Unit-Level Data'!$O:$O,'Unit-Level Data'!$M:$M,TRUE,
          'Unit-Level Data'!$D:$D, INDIRECT("C"&amp;ROW()),
          'Unit-Level Data'!$B:$B, INDIRECT("B"&amp;ROW())),
AVERAGEIFS('Unit-Level Data'!$P:$P,'Unit-Level Data'!$M:$M,TRUE,
          'Unit-Level Data'!$D:$D, INDIRECT("C"&amp;ROW()),
          'Unit-Level Data'!$B:$B, INDIRECT("B"&amp;ROW()))),"")</f>
      </c>
      <c r="O255" s="760" t="str" cm="1">
        <f t="array" aca="true" ref="O255" ca="true">IFERROR(IF($O$3="Chunk Rent",
AVERAGEIFS('Unit-Level Data'!$Q:$Q,'Unit-Level Data'!$M:$M,TRUE,
          'Unit-Level Data'!$D:$D, INDIRECT("C"&amp;ROW()),
          'Unit-Level Data'!$B:$B, INDIRECT("B"&amp;ROW())),
AVERAGEIFS('Unit-Level Data'!$R:$R,'Unit-Level Data'!$M:$M,TRUE,
          'Unit-Level Data'!$D:$D, INDIRECT("C"&amp;ROW()),
          'Unit-Level Data'!$B:$B, INDIRECT("B"&amp;ROW()))),"")</f>
      </c>
      <c r="P255" s="733" cm="1">
        <f t="array" aca="true" ref="P255" ca="true">COUNTIFS('Unit-Level Data'!$M:$M,TRUE,
          'Unit-Level Data'!$D:$D, INDIRECT("C"&amp;ROW()),
          'Unit-Level Data'!$B:$B, INDIRECT("B"&amp;ROW()))</f>
        <v>0</v>
      </c>
      <c r="Q255" s="738" t="str" cm="1">
        <f t="array" aca="true" ref="Q2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5" s="760" t="str" cm="1">
        <f t="array" aca="true" ref="R2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5" s="733" cm="1">
        <f t="array" aca="true" ref="S255" ca="true">COUNTIFS('Unit-Level Data'!$L:$L, "&gt;=" &amp; ($X$2 - Q$5),
          'Unit-Level Data'!$L:$L, "&lt;" &amp; $X$2,
          'Unit-Level Data'!$D:$D, INDIRECT("C"&amp;ROW()),
          'Unit-Level Data'!$B:$B, INDIRECT("B"&amp;ROW()))</f>
        <v>0</v>
      </c>
      <c r="T255" s="738" t="str" cm="1">
        <f t="array" aca="true" ref="T2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5" s="760" t="str" cm="1">
        <f t="array" aca="true" ref="U2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5" s="733" cm="1">
        <f t="array" aca="true" ref="V255" ca="true">COUNTIFS('Unit-Level Data'!$L:$L, "&gt;=" &amp; ($X$2 - T$5),
          'Unit-Level Data'!$L:$L, "&lt;" &amp; $X$2,
          'Unit-Level Data'!$D:$D, INDIRECT("C"&amp;ROW()),
          'Unit-Level Data'!$B:$B, INDIRECT("B"&amp;ROW()))</f>
        <v>0</v>
      </c>
      <c r="W255" s="738" t="str" cm="1">
        <f t="array" aca="true" ref="W2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5" s="760" t="str" cm="1">
        <f t="array" aca="true" ref="X2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5" s="733" cm="1">
        <f t="array" aca="true" ref="Y255" ca="true">COUNTIFS('Unit-Level Data'!$L:$L, "&gt;=" &amp; ($X$2 - W$5),
          'Unit-Level Data'!$L:$L, "&lt;" &amp; $X$2,
          'Unit-Level Data'!$D:$D, INDIRECT("C"&amp;ROW()),
          'Unit-Level Data'!$B:$B, INDIRECT("B"&amp;ROW()))</f>
        <v>0</v>
      </c>
      <c r="Z255" s="761"/>
      <c r="AA255" s="735" cm="1">
        <f t="array" aca="true" ref="AA255" ca="true">IFERROR(AVERAGEIFS(
  unit_details[Sqft],
  unit_details[Property Name], INDIRECT("B"&amp;ROW()),
  unit_details[Floorplan Name], INDIRECT("C"&amp;ROW()),
  unit_details[Beds], INDIRECT("D"&amp;ROW()),
  unit_details[Detected Unit Amenities], "*"&amp;$AB$3&amp;"*",
  unit_details[Leased Date], "&gt;=" &amp; ($X$2 - $AD$3)
),0)</f>
        <v>0</v>
      </c>
      <c r="AB255" s="734" cm="1">
        <f t="array" aca="true" ref="AB2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5" s="733" cm="1">
        <f t="array" aca="true" ref="AC255" ca="true">IFERROR(COUNTIFS(
  unit_details[Property Name], INDIRECT("B"&amp;ROW()),
  unit_details[Floorplan Name], INDIRECT("C"&amp;ROW()),
  unit_details[Beds], INDIRECT("D"&amp;ROW()),
  unit_details[Detected Unit Amenities], "*"&amp;$AB$3&amp;"*",
  unit_details[Leased Date], "&gt;=" &amp; ($X$2 - $AD$3)
),0)</f>
        <v>0</v>
      </c>
      <c r="AD255" s="735" cm="1">
        <f t="array" aca="true" ref="AD255" ca="true">IFERROR(AVERAGEIFS(
  unit_details[Sqft],
  unit_details[Property Name], INDIRECT("B"&amp;ROW()),
  unit_details[Floorplan Name], INDIRECT("C"&amp;ROW()),
  unit_details[Beds], INDIRECT("D"&amp;ROW()),
  unit_details[Detected Unit Amenities], "&lt;&gt;*"&amp;$AB$3&amp;"*",
  unit_details[Leased Date], "&gt;=" &amp; ($X$2 - $AD$3)
),0)</f>
        <v>0</v>
      </c>
      <c r="AE255" s="734" cm="1">
        <f t="array" aca="true" ref="AE2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5" s="733" cm="1">
        <f t="array" aca="true" ref="AF255" ca="true">IFERROR(COUNTIFS(
  unit_details[Property Name], INDIRECT("B"&amp;ROW()),
  unit_details[Floorplan Name], INDIRECT("C"&amp;ROW()),
  unit_details[Beds], INDIRECT("D"&amp;ROW()),
  unit_details[Detected Unit Amenities], "&lt;&gt;*"&amp;$AB$3&amp;"*",
  unit_details[Leased Date], "&gt;=" &amp; ($X$2 - $AD$3)
),0)</f>
        <v>0</v>
      </c>
      <c r="AG255" s="735"/>
      <c r="AH255" s="738">
        <f t="shared" ca="true" si="8"/>
        <v>0</v>
      </c>
      <c r="AI255" s="739">
        <f t="shared" ca="true" si="9"/>
        <v>0</v>
      </c>
    </row>
    <row r="256" spans="2:35">
      <c r="B256" s="1"/>
      <c r="C256" s="80"/>
      <c r="E256" s="303"/>
      <c r="F256" s="303"/>
      <c r="J256" s="345"/>
      <c r="K256" s="6"/>
      <c r="M256" s="745"/>
      <c r="N256" s="738" t="str" cm="1">
        <f t="array" aca="true" ref="N256" ca="true">IFERROR(IF($O$3="Chunk Rent",
AVERAGEIFS('Unit-Level Data'!$O:$O,'Unit-Level Data'!$M:$M,TRUE,
          'Unit-Level Data'!$D:$D, INDIRECT("C"&amp;ROW()),
          'Unit-Level Data'!$B:$B, INDIRECT("B"&amp;ROW())),
AVERAGEIFS('Unit-Level Data'!$P:$P,'Unit-Level Data'!$M:$M,TRUE,
          'Unit-Level Data'!$D:$D, INDIRECT("C"&amp;ROW()),
          'Unit-Level Data'!$B:$B, INDIRECT("B"&amp;ROW()))),"")</f>
      </c>
      <c r="O256" s="760" t="str" cm="1">
        <f t="array" aca="true" ref="O256" ca="true">IFERROR(IF($O$3="Chunk Rent",
AVERAGEIFS('Unit-Level Data'!$Q:$Q,'Unit-Level Data'!$M:$M,TRUE,
          'Unit-Level Data'!$D:$D, INDIRECT("C"&amp;ROW()),
          'Unit-Level Data'!$B:$B, INDIRECT("B"&amp;ROW())),
AVERAGEIFS('Unit-Level Data'!$R:$R,'Unit-Level Data'!$M:$M,TRUE,
          'Unit-Level Data'!$D:$D, INDIRECT("C"&amp;ROW()),
          'Unit-Level Data'!$B:$B, INDIRECT("B"&amp;ROW()))),"")</f>
      </c>
      <c r="P256" s="733" cm="1">
        <f t="array" aca="true" ref="P256" ca="true">COUNTIFS('Unit-Level Data'!$M:$M,TRUE,
          'Unit-Level Data'!$D:$D, INDIRECT("C"&amp;ROW()),
          'Unit-Level Data'!$B:$B, INDIRECT("B"&amp;ROW()))</f>
        <v>0</v>
      </c>
      <c r="Q256" s="738" t="str" cm="1">
        <f t="array" aca="true" ref="Q2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6" s="760" t="str" cm="1">
        <f t="array" aca="true" ref="R2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6" s="733" cm="1">
        <f t="array" aca="true" ref="S256" ca="true">COUNTIFS('Unit-Level Data'!$L:$L, "&gt;=" &amp; ($X$2 - Q$5),
          'Unit-Level Data'!$L:$L, "&lt;" &amp; $X$2,
          'Unit-Level Data'!$D:$D, INDIRECT("C"&amp;ROW()),
          'Unit-Level Data'!$B:$B, INDIRECT("B"&amp;ROW()))</f>
        <v>0</v>
      </c>
      <c r="T256" s="738" t="str" cm="1">
        <f t="array" aca="true" ref="T2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6" s="760" t="str" cm="1">
        <f t="array" aca="true" ref="U2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6" s="733" cm="1">
        <f t="array" aca="true" ref="V256" ca="true">COUNTIFS('Unit-Level Data'!$L:$L, "&gt;=" &amp; ($X$2 - T$5),
          'Unit-Level Data'!$L:$L, "&lt;" &amp; $X$2,
          'Unit-Level Data'!$D:$D, INDIRECT("C"&amp;ROW()),
          'Unit-Level Data'!$B:$B, INDIRECT("B"&amp;ROW()))</f>
        <v>0</v>
      </c>
      <c r="W256" s="738" t="str" cm="1">
        <f t="array" aca="true" ref="W2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6" s="760" t="str" cm="1">
        <f t="array" aca="true" ref="X2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6" s="733" cm="1">
        <f t="array" aca="true" ref="Y256" ca="true">COUNTIFS('Unit-Level Data'!$L:$L, "&gt;=" &amp; ($X$2 - W$5),
          'Unit-Level Data'!$L:$L, "&lt;" &amp; $X$2,
          'Unit-Level Data'!$D:$D, INDIRECT("C"&amp;ROW()),
          'Unit-Level Data'!$B:$B, INDIRECT("B"&amp;ROW()))</f>
        <v>0</v>
      </c>
      <c r="Z256" s="761"/>
      <c r="AA256" s="735" cm="1">
        <f t="array" aca="true" ref="AA256" ca="true">IFERROR(AVERAGEIFS(
  unit_details[Sqft],
  unit_details[Property Name], INDIRECT("B"&amp;ROW()),
  unit_details[Floorplan Name], INDIRECT("C"&amp;ROW()),
  unit_details[Beds], INDIRECT("D"&amp;ROW()),
  unit_details[Detected Unit Amenities], "*"&amp;$AB$3&amp;"*",
  unit_details[Leased Date], "&gt;=" &amp; ($X$2 - $AD$3)
),0)</f>
        <v>0</v>
      </c>
      <c r="AB256" s="734" cm="1">
        <f t="array" aca="true" ref="AB2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6" s="733" cm="1">
        <f t="array" aca="true" ref="AC256" ca="true">IFERROR(COUNTIFS(
  unit_details[Property Name], INDIRECT("B"&amp;ROW()),
  unit_details[Floorplan Name], INDIRECT("C"&amp;ROW()),
  unit_details[Beds], INDIRECT("D"&amp;ROW()),
  unit_details[Detected Unit Amenities], "*"&amp;$AB$3&amp;"*",
  unit_details[Leased Date], "&gt;=" &amp; ($X$2 - $AD$3)
),0)</f>
        <v>0</v>
      </c>
      <c r="AD256" s="735" cm="1">
        <f t="array" aca="true" ref="AD256" ca="true">IFERROR(AVERAGEIFS(
  unit_details[Sqft],
  unit_details[Property Name], INDIRECT("B"&amp;ROW()),
  unit_details[Floorplan Name], INDIRECT("C"&amp;ROW()),
  unit_details[Beds], INDIRECT("D"&amp;ROW()),
  unit_details[Detected Unit Amenities], "&lt;&gt;*"&amp;$AB$3&amp;"*",
  unit_details[Leased Date], "&gt;=" &amp; ($X$2 - $AD$3)
),0)</f>
        <v>0</v>
      </c>
      <c r="AE256" s="734" cm="1">
        <f t="array" aca="true" ref="AE2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6" s="733" cm="1">
        <f t="array" aca="true" ref="AF256" ca="true">IFERROR(COUNTIFS(
  unit_details[Property Name], INDIRECT("B"&amp;ROW()),
  unit_details[Floorplan Name], INDIRECT("C"&amp;ROW()),
  unit_details[Beds], INDIRECT("D"&amp;ROW()),
  unit_details[Detected Unit Amenities], "&lt;&gt;*"&amp;$AB$3&amp;"*",
  unit_details[Leased Date], "&gt;=" &amp; ($X$2 - $AD$3)
),0)</f>
        <v>0</v>
      </c>
      <c r="AG256" s="735"/>
      <c r="AH256" s="738">
        <f t="shared" ca="true" si="8"/>
        <v>0</v>
      </c>
      <c r="AI256" s="739">
        <f t="shared" ca="true" si="9"/>
        <v>0</v>
      </c>
    </row>
    <row r="257" spans="2:35">
      <c r="B257" s="1"/>
      <c r="C257" s="80"/>
      <c r="E257" s="303"/>
      <c r="F257" s="303"/>
      <c r="J257" s="345"/>
      <c r="K257" s="6"/>
      <c r="M257" s="745"/>
      <c r="N257" s="738" t="str" cm="1">
        <f t="array" aca="true" ref="N257" ca="true">IFERROR(IF($O$3="Chunk Rent",
AVERAGEIFS('Unit-Level Data'!$O:$O,'Unit-Level Data'!$M:$M,TRUE,
          'Unit-Level Data'!$D:$D, INDIRECT("C"&amp;ROW()),
          'Unit-Level Data'!$B:$B, INDIRECT("B"&amp;ROW())),
AVERAGEIFS('Unit-Level Data'!$P:$P,'Unit-Level Data'!$M:$M,TRUE,
          'Unit-Level Data'!$D:$D, INDIRECT("C"&amp;ROW()),
          'Unit-Level Data'!$B:$B, INDIRECT("B"&amp;ROW()))),"")</f>
      </c>
      <c r="O257" s="760" t="str" cm="1">
        <f t="array" aca="true" ref="O257" ca="true">IFERROR(IF($O$3="Chunk Rent",
AVERAGEIFS('Unit-Level Data'!$Q:$Q,'Unit-Level Data'!$M:$M,TRUE,
          'Unit-Level Data'!$D:$D, INDIRECT("C"&amp;ROW()),
          'Unit-Level Data'!$B:$B, INDIRECT("B"&amp;ROW())),
AVERAGEIFS('Unit-Level Data'!$R:$R,'Unit-Level Data'!$M:$M,TRUE,
          'Unit-Level Data'!$D:$D, INDIRECT("C"&amp;ROW()),
          'Unit-Level Data'!$B:$B, INDIRECT("B"&amp;ROW()))),"")</f>
      </c>
      <c r="P257" s="733" cm="1">
        <f t="array" aca="true" ref="P257" ca="true">COUNTIFS('Unit-Level Data'!$M:$M,TRUE,
          'Unit-Level Data'!$D:$D, INDIRECT("C"&amp;ROW()),
          'Unit-Level Data'!$B:$B, INDIRECT("B"&amp;ROW()))</f>
        <v>0</v>
      </c>
      <c r="Q257" s="738" t="str" cm="1">
        <f t="array" aca="true" ref="Q2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7" s="760" t="str" cm="1">
        <f t="array" aca="true" ref="R2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7" s="733" cm="1">
        <f t="array" aca="true" ref="S257" ca="true">COUNTIFS('Unit-Level Data'!$L:$L, "&gt;=" &amp; ($X$2 - Q$5),
          'Unit-Level Data'!$L:$L, "&lt;" &amp; $X$2,
          'Unit-Level Data'!$D:$D, INDIRECT("C"&amp;ROW()),
          'Unit-Level Data'!$B:$B, INDIRECT("B"&amp;ROW()))</f>
        <v>0</v>
      </c>
      <c r="T257" s="738" t="str" cm="1">
        <f t="array" aca="true" ref="T2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7" s="760" t="str" cm="1">
        <f t="array" aca="true" ref="U2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7" s="733" cm="1">
        <f t="array" aca="true" ref="V257" ca="true">COUNTIFS('Unit-Level Data'!$L:$L, "&gt;=" &amp; ($X$2 - T$5),
          'Unit-Level Data'!$L:$L, "&lt;" &amp; $X$2,
          'Unit-Level Data'!$D:$D, INDIRECT("C"&amp;ROW()),
          'Unit-Level Data'!$B:$B, INDIRECT("B"&amp;ROW()))</f>
        <v>0</v>
      </c>
      <c r="W257" s="738" t="str" cm="1">
        <f t="array" aca="true" ref="W2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7" s="760" t="str" cm="1">
        <f t="array" aca="true" ref="X2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7" s="733" cm="1">
        <f t="array" aca="true" ref="Y257" ca="true">COUNTIFS('Unit-Level Data'!$L:$L, "&gt;=" &amp; ($X$2 - W$5),
          'Unit-Level Data'!$L:$L, "&lt;" &amp; $X$2,
          'Unit-Level Data'!$D:$D, INDIRECT("C"&amp;ROW()),
          'Unit-Level Data'!$B:$B, INDIRECT("B"&amp;ROW()))</f>
        <v>0</v>
      </c>
      <c r="Z257" s="761"/>
      <c r="AA257" s="735" cm="1">
        <f t="array" aca="true" ref="AA257" ca="true">IFERROR(AVERAGEIFS(
  unit_details[Sqft],
  unit_details[Property Name], INDIRECT("B"&amp;ROW()),
  unit_details[Floorplan Name], INDIRECT("C"&amp;ROW()),
  unit_details[Beds], INDIRECT("D"&amp;ROW()),
  unit_details[Detected Unit Amenities], "*"&amp;$AB$3&amp;"*",
  unit_details[Leased Date], "&gt;=" &amp; ($X$2 - $AD$3)
),0)</f>
        <v>0</v>
      </c>
      <c r="AB257" s="734" cm="1">
        <f t="array" aca="true" ref="AB2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7" s="733" cm="1">
        <f t="array" aca="true" ref="AC257" ca="true">IFERROR(COUNTIFS(
  unit_details[Property Name], INDIRECT("B"&amp;ROW()),
  unit_details[Floorplan Name], INDIRECT("C"&amp;ROW()),
  unit_details[Beds], INDIRECT("D"&amp;ROW()),
  unit_details[Detected Unit Amenities], "*"&amp;$AB$3&amp;"*",
  unit_details[Leased Date], "&gt;=" &amp; ($X$2 - $AD$3)
),0)</f>
        <v>0</v>
      </c>
      <c r="AD257" s="735" cm="1">
        <f t="array" aca="true" ref="AD257" ca="true">IFERROR(AVERAGEIFS(
  unit_details[Sqft],
  unit_details[Property Name], INDIRECT("B"&amp;ROW()),
  unit_details[Floorplan Name], INDIRECT("C"&amp;ROW()),
  unit_details[Beds], INDIRECT("D"&amp;ROW()),
  unit_details[Detected Unit Amenities], "&lt;&gt;*"&amp;$AB$3&amp;"*",
  unit_details[Leased Date], "&gt;=" &amp; ($X$2 - $AD$3)
),0)</f>
        <v>0</v>
      </c>
      <c r="AE257" s="734" cm="1">
        <f t="array" aca="true" ref="AE2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7" s="733" cm="1">
        <f t="array" aca="true" ref="AF257" ca="true">IFERROR(COUNTIFS(
  unit_details[Property Name], INDIRECT("B"&amp;ROW()),
  unit_details[Floorplan Name], INDIRECT("C"&amp;ROW()),
  unit_details[Beds], INDIRECT("D"&amp;ROW()),
  unit_details[Detected Unit Amenities], "&lt;&gt;*"&amp;$AB$3&amp;"*",
  unit_details[Leased Date], "&gt;=" &amp; ($X$2 - $AD$3)
),0)</f>
        <v>0</v>
      </c>
      <c r="AG257" s="735"/>
      <c r="AH257" s="738">
        <f t="shared" ca="true" si="8"/>
        <v>0</v>
      </c>
      <c r="AI257" s="739">
        <f t="shared" ca="true" si="9"/>
        <v>0</v>
      </c>
    </row>
    <row r="258" spans="2:35">
      <c r="B258" s="1"/>
      <c r="C258" s="80"/>
      <c r="E258" s="303"/>
      <c r="F258" s="303"/>
      <c r="J258" s="345"/>
      <c r="K258" s="6"/>
      <c r="M258" s="745"/>
      <c r="N258" s="738" t="str" cm="1">
        <f t="array" aca="true" ref="N258" ca="true">IFERROR(IF($O$3="Chunk Rent",
AVERAGEIFS('Unit-Level Data'!$O:$O,'Unit-Level Data'!$M:$M,TRUE,
          'Unit-Level Data'!$D:$D, INDIRECT("C"&amp;ROW()),
          'Unit-Level Data'!$B:$B, INDIRECT("B"&amp;ROW())),
AVERAGEIFS('Unit-Level Data'!$P:$P,'Unit-Level Data'!$M:$M,TRUE,
          'Unit-Level Data'!$D:$D, INDIRECT("C"&amp;ROW()),
          'Unit-Level Data'!$B:$B, INDIRECT("B"&amp;ROW()))),"")</f>
      </c>
      <c r="O258" s="760" t="str" cm="1">
        <f t="array" aca="true" ref="O258" ca="true">IFERROR(IF($O$3="Chunk Rent",
AVERAGEIFS('Unit-Level Data'!$Q:$Q,'Unit-Level Data'!$M:$M,TRUE,
          'Unit-Level Data'!$D:$D, INDIRECT("C"&amp;ROW()),
          'Unit-Level Data'!$B:$B, INDIRECT("B"&amp;ROW())),
AVERAGEIFS('Unit-Level Data'!$R:$R,'Unit-Level Data'!$M:$M,TRUE,
          'Unit-Level Data'!$D:$D, INDIRECT("C"&amp;ROW()),
          'Unit-Level Data'!$B:$B, INDIRECT("B"&amp;ROW()))),"")</f>
      </c>
      <c r="P258" s="733" cm="1">
        <f t="array" aca="true" ref="P258" ca="true">COUNTIFS('Unit-Level Data'!$M:$M,TRUE,
          'Unit-Level Data'!$D:$D, INDIRECT("C"&amp;ROW()),
          'Unit-Level Data'!$B:$B, INDIRECT("B"&amp;ROW()))</f>
        <v>0</v>
      </c>
      <c r="Q258" s="738" t="str" cm="1">
        <f t="array" aca="true" ref="Q2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8" s="760" t="str" cm="1">
        <f t="array" aca="true" ref="R2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8" s="733" cm="1">
        <f t="array" aca="true" ref="S258" ca="true">COUNTIFS('Unit-Level Data'!$L:$L, "&gt;=" &amp; ($X$2 - Q$5),
          'Unit-Level Data'!$L:$L, "&lt;" &amp; $X$2,
          'Unit-Level Data'!$D:$D, INDIRECT("C"&amp;ROW()),
          'Unit-Level Data'!$B:$B, INDIRECT("B"&amp;ROW()))</f>
        <v>0</v>
      </c>
      <c r="T258" s="738" t="str" cm="1">
        <f t="array" aca="true" ref="T2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8" s="760" t="str" cm="1">
        <f t="array" aca="true" ref="U2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8" s="733" cm="1">
        <f t="array" aca="true" ref="V258" ca="true">COUNTIFS('Unit-Level Data'!$L:$L, "&gt;=" &amp; ($X$2 - T$5),
          'Unit-Level Data'!$L:$L, "&lt;" &amp; $X$2,
          'Unit-Level Data'!$D:$D, INDIRECT("C"&amp;ROW()),
          'Unit-Level Data'!$B:$B, INDIRECT("B"&amp;ROW()))</f>
        <v>0</v>
      </c>
      <c r="W258" s="738" t="str" cm="1">
        <f t="array" aca="true" ref="W2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8" s="760" t="str" cm="1">
        <f t="array" aca="true" ref="X2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8" s="733" cm="1">
        <f t="array" aca="true" ref="Y258" ca="true">COUNTIFS('Unit-Level Data'!$L:$L, "&gt;=" &amp; ($X$2 - W$5),
          'Unit-Level Data'!$L:$L, "&lt;" &amp; $X$2,
          'Unit-Level Data'!$D:$D, INDIRECT("C"&amp;ROW()),
          'Unit-Level Data'!$B:$B, INDIRECT("B"&amp;ROW()))</f>
        <v>0</v>
      </c>
      <c r="Z258" s="761"/>
      <c r="AA258" s="735" cm="1">
        <f t="array" aca="true" ref="AA258" ca="true">IFERROR(AVERAGEIFS(
  unit_details[Sqft],
  unit_details[Property Name], INDIRECT("B"&amp;ROW()),
  unit_details[Floorplan Name], INDIRECT("C"&amp;ROW()),
  unit_details[Beds], INDIRECT("D"&amp;ROW()),
  unit_details[Detected Unit Amenities], "*"&amp;$AB$3&amp;"*",
  unit_details[Leased Date], "&gt;=" &amp; ($X$2 - $AD$3)
),0)</f>
        <v>0</v>
      </c>
      <c r="AB258" s="734" cm="1">
        <f t="array" aca="true" ref="AB2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8" s="733" cm="1">
        <f t="array" aca="true" ref="AC258" ca="true">IFERROR(COUNTIFS(
  unit_details[Property Name], INDIRECT("B"&amp;ROW()),
  unit_details[Floorplan Name], INDIRECT("C"&amp;ROW()),
  unit_details[Beds], INDIRECT("D"&amp;ROW()),
  unit_details[Detected Unit Amenities], "*"&amp;$AB$3&amp;"*",
  unit_details[Leased Date], "&gt;=" &amp; ($X$2 - $AD$3)
),0)</f>
        <v>0</v>
      </c>
      <c r="AD258" s="735" cm="1">
        <f t="array" aca="true" ref="AD258" ca="true">IFERROR(AVERAGEIFS(
  unit_details[Sqft],
  unit_details[Property Name], INDIRECT("B"&amp;ROW()),
  unit_details[Floorplan Name], INDIRECT("C"&amp;ROW()),
  unit_details[Beds], INDIRECT("D"&amp;ROW()),
  unit_details[Detected Unit Amenities], "&lt;&gt;*"&amp;$AB$3&amp;"*",
  unit_details[Leased Date], "&gt;=" &amp; ($X$2 - $AD$3)
),0)</f>
        <v>0</v>
      </c>
      <c r="AE258" s="734" cm="1">
        <f t="array" aca="true" ref="AE2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8" s="733" cm="1">
        <f t="array" aca="true" ref="AF258" ca="true">IFERROR(COUNTIFS(
  unit_details[Property Name], INDIRECT("B"&amp;ROW()),
  unit_details[Floorplan Name], INDIRECT("C"&amp;ROW()),
  unit_details[Beds], INDIRECT("D"&amp;ROW()),
  unit_details[Detected Unit Amenities], "&lt;&gt;*"&amp;$AB$3&amp;"*",
  unit_details[Leased Date], "&gt;=" &amp; ($X$2 - $AD$3)
),0)</f>
        <v>0</v>
      </c>
      <c r="AG258" s="735"/>
      <c r="AH258" s="738">
        <f t="shared" ca="true" si="8"/>
        <v>0</v>
      </c>
      <c r="AI258" s="739">
        <f t="shared" ca="true" si="9"/>
        <v>0</v>
      </c>
    </row>
    <row r="259" spans="2:35">
      <c r="B259" s="1"/>
      <c r="C259" s="80"/>
      <c r="E259" s="303"/>
      <c r="F259" s="303"/>
      <c r="J259" s="345"/>
      <c r="K259" s="6"/>
      <c r="M259" s="745"/>
      <c r="N259" s="738" t="str" cm="1">
        <f t="array" aca="true" ref="N259" ca="true">IFERROR(IF($O$3="Chunk Rent",
AVERAGEIFS('Unit-Level Data'!$O:$O,'Unit-Level Data'!$M:$M,TRUE,
          'Unit-Level Data'!$D:$D, INDIRECT("C"&amp;ROW()),
          'Unit-Level Data'!$B:$B, INDIRECT("B"&amp;ROW())),
AVERAGEIFS('Unit-Level Data'!$P:$P,'Unit-Level Data'!$M:$M,TRUE,
          'Unit-Level Data'!$D:$D, INDIRECT("C"&amp;ROW()),
          'Unit-Level Data'!$B:$B, INDIRECT("B"&amp;ROW()))),"")</f>
      </c>
      <c r="O259" s="760" t="str" cm="1">
        <f t="array" aca="true" ref="O259" ca="true">IFERROR(IF($O$3="Chunk Rent",
AVERAGEIFS('Unit-Level Data'!$Q:$Q,'Unit-Level Data'!$M:$M,TRUE,
          'Unit-Level Data'!$D:$D, INDIRECT("C"&amp;ROW()),
          'Unit-Level Data'!$B:$B, INDIRECT("B"&amp;ROW())),
AVERAGEIFS('Unit-Level Data'!$R:$R,'Unit-Level Data'!$M:$M,TRUE,
          'Unit-Level Data'!$D:$D, INDIRECT("C"&amp;ROW()),
          'Unit-Level Data'!$B:$B, INDIRECT("B"&amp;ROW()))),"")</f>
      </c>
      <c r="P259" s="733" cm="1">
        <f t="array" aca="true" ref="P259" ca="true">COUNTIFS('Unit-Level Data'!$M:$M,TRUE,
          'Unit-Level Data'!$D:$D, INDIRECT("C"&amp;ROW()),
          'Unit-Level Data'!$B:$B, INDIRECT("B"&amp;ROW()))</f>
        <v>0</v>
      </c>
      <c r="Q259" s="738" t="str" cm="1">
        <f t="array" aca="true" ref="Q2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9" s="760" t="str" cm="1">
        <f t="array" aca="true" ref="R2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9" s="733" cm="1">
        <f t="array" aca="true" ref="S259" ca="true">COUNTIFS('Unit-Level Data'!$L:$L, "&gt;=" &amp; ($X$2 - Q$5),
          'Unit-Level Data'!$L:$L, "&lt;" &amp; $X$2,
          'Unit-Level Data'!$D:$D, INDIRECT("C"&amp;ROW()),
          'Unit-Level Data'!$B:$B, INDIRECT("B"&amp;ROW()))</f>
        <v>0</v>
      </c>
      <c r="T259" s="738" t="str" cm="1">
        <f t="array" aca="true" ref="T2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9" s="760" t="str" cm="1">
        <f t="array" aca="true" ref="U2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9" s="733" cm="1">
        <f t="array" aca="true" ref="V259" ca="true">COUNTIFS('Unit-Level Data'!$L:$L, "&gt;=" &amp; ($X$2 - T$5),
          'Unit-Level Data'!$L:$L, "&lt;" &amp; $X$2,
          'Unit-Level Data'!$D:$D, INDIRECT("C"&amp;ROW()),
          'Unit-Level Data'!$B:$B, INDIRECT("B"&amp;ROW()))</f>
        <v>0</v>
      </c>
      <c r="W259" s="738" t="str" cm="1">
        <f t="array" aca="true" ref="W2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9" s="760" t="str" cm="1">
        <f t="array" aca="true" ref="X2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9" s="733" cm="1">
        <f t="array" aca="true" ref="Y259" ca="true">COUNTIFS('Unit-Level Data'!$L:$L, "&gt;=" &amp; ($X$2 - W$5),
          'Unit-Level Data'!$L:$L, "&lt;" &amp; $X$2,
          'Unit-Level Data'!$D:$D, INDIRECT("C"&amp;ROW()),
          'Unit-Level Data'!$B:$B, INDIRECT("B"&amp;ROW()))</f>
        <v>0</v>
      </c>
      <c r="Z259" s="761"/>
      <c r="AA259" s="735" cm="1">
        <f t="array" aca="true" ref="AA259" ca="true">IFERROR(AVERAGEIFS(
  unit_details[Sqft],
  unit_details[Property Name], INDIRECT("B"&amp;ROW()),
  unit_details[Floorplan Name], INDIRECT("C"&amp;ROW()),
  unit_details[Beds], INDIRECT("D"&amp;ROW()),
  unit_details[Detected Unit Amenities], "*"&amp;$AB$3&amp;"*",
  unit_details[Leased Date], "&gt;=" &amp; ($X$2 - $AD$3)
),0)</f>
        <v>0</v>
      </c>
      <c r="AB259" s="734" cm="1">
        <f t="array" aca="true" ref="AB2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9" s="733" cm="1">
        <f t="array" aca="true" ref="AC259" ca="true">IFERROR(COUNTIFS(
  unit_details[Property Name], INDIRECT("B"&amp;ROW()),
  unit_details[Floorplan Name], INDIRECT("C"&amp;ROW()),
  unit_details[Beds], INDIRECT("D"&amp;ROW()),
  unit_details[Detected Unit Amenities], "*"&amp;$AB$3&amp;"*",
  unit_details[Leased Date], "&gt;=" &amp; ($X$2 - $AD$3)
),0)</f>
        <v>0</v>
      </c>
      <c r="AD259" s="735" cm="1">
        <f t="array" aca="true" ref="AD259" ca="true">IFERROR(AVERAGEIFS(
  unit_details[Sqft],
  unit_details[Property Name], INDIRECT("B"&amp;ROW()),
  unit_details[Floorplan Name], INDIRECT("C"&amp;ROW()),
  unit_details[Beds], INDIRECT("D"&amp;ROW()),
  unit_details[Detected Unit Amenities], "&lt;&gt;*"&amp;$AB$3&amp;"*",
  unit_details[Leased Date], "&gt;=" &amp; ($X$2 - $AD$3)
),0)</f>
        <v>0</v>
      </c>
      <c r="AE259" s="734" cm="1">
        <f t="array" aca="true" ref="AE2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9" s="733" cm="1">
        <f t="array" aca="true" ref="AF259" ca="true">IFERROR(COUNTIFS(
  unit_details[Property Name], INDIRECT("B"&amp;ROW()),
  unit_details[Floorplan Name], INDIRECT("C"&amp;ROW()),
  unit_details[Beds], INDIRECT("D"&amp;ROW()),
  unit_details[Detected Unit Amenities], "&lt;&gt;*"&amp;$AB$3&amp;"*",
  unit_details[Leased Date], "&gt;=" &amp; ($X$2 - $AD$3)
),0)</f>
        <v>0</v>
      </c>
      <c r="AG259" s="735"/>
      <c r="AH259" s="738">
        <f t="shared" ca="true" si="8"/>
        <v>0</v>
      </c>
      <c r="AI259" s="739">
        <f t="shared" ca="true" si="9"/>
        <v>0</v>
      </c>
    </row>
    <row r="260" spans="2:35">
      <c r="B260" s="1"/>
      <c r="C260" s="80"/>
      <c r="E260" s="303"/>
      <c r="F260" s="303"/>
      <c r="J260" s="345"/>
      <c r="K260" s="6"/>
      <c r="M260" s="745"/>
      <c r="N260" s="738" t="str" cm="1">
        <f t="array" aca="true" ref="N260" ca="true">IFERROR(IF($O$3="Chunk Rent",
AVERAGEIFS('Unit-Level Data'!$O:$O,'Unit-Level Data'!$M:$M,TRUE,
          'Unit-Level Data'!$D:$D, INDIRECT("C"&amp;ROW()),
          'Unit-Level Data'!$B:$B, INDIRECT("B"&amp;ROW())),
AVERAGEIFS('Unit-Level Data'!$P:$P,'Unit-Level Data'!$M:$M,TRUE,
          'Unit-Level Data'!$D:$D, INDIRECT("C"&amp;ROW()),
          'Unit-Level Data'!$B:$B, INDIRECT("B"&amp;ROW()))),"")</f>
      </c>
      <c r="O260" s="760" t="str" cm="1">
        <f t="array" aca="true" ref="O260" ca="true">IFERROR(IF($O$3="Chunk Rent",
AVERAGEIFS('Unit-Level Data'!$Q:$Q,'Unit-Level Data'!$M:$M,TRUE,
          'Unit-Level Data'!$D:$D, INDIRECT("C"&amp;ROW()),
          'Unit-Level Data'!$B:$B, INDIRECT("B"&amp;ROW())),
AVERAGEIFS('Unit-Level Data'!$R:$R,'Unit-Level Data'!$M:$M,TRUE,
          'Unit-Level Data'!$D:$D, INDIRECT("C"&amp;ROW()),
          'Unit-Level Data'!$B:$B, INDIRECT("B"&amp;ROW()))),"")</f>
      </c>
      <c r="P260" s="733" cm="1">
        <f t="array" aca="true" ref="P260" ca="true">COUNTIFS('Unit-Level Data'!$M:$M,TRUE,
          'Unit-Level Data'!$D:$D, INDIRECT("C"&amp;ROW()),
          'Unit-Level Data'!$B:$B, INDIRECT("B"&amp;ROW()))</f>
        <v>0</v>
      </c>
      <c r="Q260" s="738" t="str" cm="1">
        <f t="array" aca="true" ref="Q2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0" s="760" t="str" cm="1">
        <f t="array" aca="true" ref="R2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0" s="733" cm="1">
        <f t="array" aca="true" ref="S260" ca="true">COUNTIFS('Unit-Level Data'!$L:$L, "&gt;=" &amp; ($X$2 - Q$5),
          'Unit-Level Data'!$L:$L, "&lt;" &amp; $X$2,
          'Unit-Level Data'!$D:$D, INDIRECT("C"&amp;ROW()),
          'Unit-Level Data'!$B:$B, INDIRECT("B"&amp;ROW()))</f>
        <v>0</v>
      </c>
      <c r="T260" s="738" t="str" cm="1">
        <f t="array" aca="true" ref="T2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0" s="760" t="str" cm="1">
        <f t="array" aca="true" ref="U2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0" s="733" cm="1">
        <f t="array" aca="true" ref="V260" ca="true">COUNTIFS('Unit-Level Data'!$L:$L, "&gt;=" &amp; ($X$2 - T$5),
          'Unit-Level Data'!$L:$L, "&lt;" &amp; $X$2,
          'Unit-Level Data'!$D:$D, INDIRECT("C"&amp;ROW()),
          'Unit-Level Data'!$B:$B, INDIRECT("B"&amp;ROW()))</f>
        <v>0</v>
      </c>
      <c r="W260" s="738" t="str" cm="1">
        <f t="array" aca="true" ref="W2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0" s="760" t="str" cm="1">
        <f t="array" aca="true" ref="X2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0" s="733" cm="1">
        <f t="array" aca="true" ref="Y260" ca="true">COUNTIFS('Unit-Level Data'!$L:$L, "&gt;=" &amp; ($X$2 - W$5),
          'Unit-Level Data'!$L:$L, "&lt;" &amp; $X$2,
          'Unit-Level Data'!$D:$D, INDIRECT("C"&amp;ROW()),
          'Unit-Level Data'!$B:$B, INDIRECT("B"&amp;ROW()))</f>
        <v>0</v>
      </c>
      <c r="Z260" s="761"/>
      <c r="AA260" s="735" cm="1">
        <f t="array" aca="true" ref="AA260" ca="true">IFERROR(AVERAGEIFS(
  unit_details[Sqft],
  unit_details[Property Name], INDIRECT("B"&amp;ROW()),
  unit_details[Floorplan Name], INDIRECT("C"&amp;ROW()),
  unit_details[Beds], INDIRECT("D"&amp;ROW()),
  unit_details[Detected Unit Amenities], "*"&amp;$AB$3&amp;"*",
  unit_details[Leased Date], "&gt;=" &amp; ($X$2 - $AD$3)
),0)</f>
        <v>0</v>
      </c>
      <c r="AB260" s="734" cm="1">
        <f t="array" aca="true" ref="AB2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0" s="733" cm="1">
        <f t="array" aca="true" ref="AC260" ca="true">IFERROR(COUNTIFS(
  unit_details[Property Name], INDIRECT("B"&amp;ROW()),
  unit_details[Floorplan Name], INDIRECT("C"&amp;ROW()),
  unit_details[Beds], INDIRECT("D"&amp;ROW()),
  unit_details[Detected Unit Amenities], "*"&amp;$AB$3&amp;"*",
  unit_details[Leased Date], "&gt;=" &amp; ($X$2 - $AD$3)
),0)</f>
        <v>0</v>
      </c>
      <c r="AD260" s="735" cm="1">
        <f t="array" aca="true" ref="AD260" ca="true">IFERROR(AVERAGEIFS(
  unit_details[Sqft],
  unit_details[Property Name], INDIRECT("B"&amp;ROW()),
  unit_details[Floorplan Name], INDIRECT("C"&amp;ROW()),
  unit_details[Beds], INDIRECT("D"&amp;ROW()),
  unit_details[Detected Unit Amenities], "&lt;&gt;*"&amp;$AB$3&amp;"*",
  unit_details[Leased Date], "&gt;=" &amp; ($X$2 - $AD$3)
),0)</f>
        <v>0</v>
      </c>
      <c r="AE260" s="734" cm="1">
        <f t="array" aca="true" ref="AE2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0" s="733" cm="1">
        <f t="array" aca="true" ref="AF260" ca="true">IFERROR(COUNTIFS(
  unit_details[Property Name], INDIRECT("B"&amp;ROW()),
  unit_details[Floorplan Name], INDIRECT("C"&amp;ROW()),
  unit_details[Beds], INDIRECT("D"&amp;ROW()),
  unit_details[Detected Unit Amenities], "&lt;&gt;*"&amp;$AB$3&amp;"*",
  unit_details[Leased Date], "&gt;=" &amp; ($X$2 - $AD$3)
),0)</f>
        <v>0</v>
      </c>
      <c r="AG260" s="735"/>
      <c r="AH260" s="738">
        <f t="shared" ca="true" si="8"/>
        <v>0</v>
      </c>
      <c r="AI260" s="739">
        <f t="shared" ca="true" si="9"/>
        <v>0</v>
      </c>
    </row>
    <row r="261" spans="2:35">
      <c r="B261" s="1"/>
      <c r="C261" s="80"/>
      <c r="E261" s="303"/>
      <c r="F261" s="303"/>
      <c r="J261" s="345"/>
      <c r="K261" s="6"/>
      <c r="M261" s="745"/>
      <c r="N261" s="738" t="str" cm="1">
        <f t="array" aca="true" ref="N261" ca="true">IFERROR(IF($O$3="Chunk Rent",
AVERAGEIFS('Unit-Level Data'!$O:$O,'Unit-Level Data'!$M:$M,TRUE,
          'Unit-Level Data'!$D:$D, INDIRECT("C"&amp;ROW()),
          'Unit-Level Data'!$B:$B, INDIRECT("B"&amp;ROW())),
AVERAGEIFS('Unit-Level Data'!$P:$P,'Unit-Level Data'!$M:$M,TRUE,
          'Unit-Level Data'!$D:$D, INDIRECT("C"&amp;ROW()),
          'Unit-Level Data'!$B:$B, INDIRECT("B"&amp;ROW()))),"")</f>
      </c>
      <c r="O261" s="760" t="str" cm="1">
        <f t="array" aca="true" ref="O261" ca="true">IFERROR(IF($O$3="Chunk Rent",
AVERAGEIFS('Unit-Level Data'!$Q:$Q,'Unit-Level Data'!$M:$M,TRUE,
          'Unit-Level Data'!$D:$D, INDIRECT("C"&amp;ROW()),
          'Unit-Level Data'!$B:$B, INDIRECT("B"&amp;ROW())),
AVERAGEIFS('Unit-Level Data'!$R:$R,'Unit-Level Data'!$M:$M,TRUE,
          'Unit-Level Data'!$D:$D, INDIRECT("C"&amp;ROW()),
          'Unit-Level Data'!$B:$B, INDIRECT("B"&amp;ROW()))),"")</f>
      </c>
      <c r="P261" s="733" cm="1">
        <f t="array" aca="true" ref="P261" ca="true">COUNTIFS('Unit-Level Data'!$M:$M,TRUE,
          'Unit-Level Data'!$D:$D, INDIRECT("C"&amp;ROW()),
          'Unit-Level Data'!$B:$B, INDIRECT("B"&amp;ROW()))</f>
        <v>0</v>
      </c>
      <c r="Q261" s="738" t="str" cm="1">
        <f t="array" aca="true" ref="Q2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1" s="760" t="str" cm="1">
        <f t="array" aca="true" ref="R2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1" s="733" cm="1">
        <f t="array" aca="true" ref="S261" ca="true">COUNTIFS('Unit-Level Data'!$L:$L, "&gt;=" &amp; ($X$2 - Q$5),
          'Unit-Level Data'!$L:$L, "&lt;" &amp; $X$2,
          'Unit-Level Data'!$D:$D, INDIRECT("C"&amp;ROW()),
          'Unit-Level Data'!$B:$B, INDIRECT("B"&amp;ROW()))</f>
        <v>0</v>
      </c>
      <c r="T261" s="738" t="str" cm="1">
        <f t="array" aca="true" ref="T2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1" s="760" t="str" cm="1">
        <f t="array" aca="true" ref="U2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1" s="733" cm="1">
        <f t="array" aca="true" ref="V261" ca="true">COUNTIFS('Unit-Level Data'!$L:$L, "&gt;=" &amp; ($X$2 - T$5),
          'Unit-Level Data'!$L:$L, "&lt;" &amp; $X$2,
          'Unit-Level Data'!$D:$D, INDIRECT("C"&amp;ROW()),
          'Unit-Level Data'!$B:$B, INDIRECT("B"&amp;ROW()))</f>
        <v>0</v>
      </c>
      <c r="W261" s="738" t="str" cm="1">
        <f t="array" aca="true" ref="W2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1" s="760" t="str" cm="1">
        <f t="array" aca="true" ref="X2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1" s="733" cm="1">
        <f t="array" aca="true" ref="Y261" ca="true">COUNTIFS('Unit-Level Data'!$L:$L, "&gt;=" &amp; ($X$2 - W$5),
          'Unit-Level Data'!$L:$L, "&lt;" &amp; $X$2,
          'Unit-Level Data'!$D:$D, INDIRECT("C"&amp;ROW()),
          'Unit-Level Data'!$B:$B, INDIRECT("B"&amp;ROW()))</f>
        <v>0</v>
      </c>
      <c r="Z261" s="761"/>
      <c r="AA261" s="735" cm="1">
        <f t="array" aca="true" ref="AA261" ca="true">IFERROR(AVERAGEIFS(
  unit_details[Sqft],
  unit_details[Property Name], INDIRECT("B"&amp;ROW()),
  unit_details[Floorplan Name], INDIRECT("C"&amp;ROW()),
  unit_details[Beds], INDIRECT("D"&amp;ROW()),
  unit_details[Detected Unit Amenities], "*"&amp;$AB$3&amp;"*",
  unit_details[Leased Date], "&gt;=" &amp; ($X$2 - $AD$3)
),0)</f>
        <v>0</v>
      </c>
      <c r="AB261" s="734" cm="1">
        <f t="array" aca="true" ref="AB2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1" s="733" cm="1">
        <f t="array" aca="true" ref="AC261" ca="true">IFERROR(COUNTIFS(
  unit_details[Property Name], INDIRECT("B"&amp;ROW()),
  unit_details[Floorplan Name], INDIRECT("C"&amp;ROW()),
  unit_details[Beds], INDIRECT("D"&amp;ROW()),
  unit_details[Detected Unit Amenities], "*"&amp;$AB$3&amp;"*",
  unit_details[Leased Date], "&gt;=" &amp; ($X$2 - $AD$3)
),0)</f>
        <v>0</v>
      </c>
      <c r="AD261" s="735" cm="1">
        <f t="array" aca="true" ref="AD261" ca="true">IFERROR(AVERAGEIFS(
  unit_details[Sqft],
  unit_details[Property Name], INDIRECT("B"&amp;ROW()),
  unit_details[Floorplan Name], INDIRECT("C"&amp;ROW()),
  unit_details[Beds], INDIRECT("D"&amp;ROW()),
  unit_details[Detected Unit Amenities], "&lt;&gt;*"&amp;$AB$3&amp;"*",
  unit_details[Leased Date], "&gt;=" &amp; ($X$2 - $AD$3)
),0)</f>
        <v>0</v>
      </c>
      <c r="AE261" s="734" cm="1">
        <f t="array" aca="true" ref="AE2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1" s="733" cm="1">
        <f t="array" aca="true" ref="AF261" ca="true">IFERROR(COUNTIFS(
  unit_details[Property Name], INDIRECT("B"&amp;ROW()),
  unit_details[Floorplan Name], INDIRECT("C"&amp;ROW()),
  unit_details[Beds], INDIRECT("D"&amp;ROW()),
  unit_details[Detected Unit Amenities], "&lt;&gt;*"&amp;$AB$3&amp;"*",
  unit_details[Leased Date], "&gt;=" &amp; ($X$2 - $AD$3)
),0)</f>
        <v>0</v>
      </c>
      <c r="AG261" s="735"/>
      <c r="AH261" s="738">
        <f t="shared" ca="true" si="8"/>
        <v>0</v>
      </c>
      <c r="AI261" s="739">
        <f t="shared" ca="true" si="9"/>
        <v>0</v>
      </c>
    </row>
    <row r="262" spans="2:35">
      <c r="B262" s="1"/>
      <c r="C262" s="80"/>
      <c r="E262" s="303"/>
      <c r="F262" s="303"/>
      <c r="J262" s="345"/>
      <c r="K262" s="6"/>
      <c r="M262" s="745"/>
      <c r="N262" s="738" t="str" cm="1">
        <f t="array" aca="true" ref="N262" ca="true">IFERROR(IF($O$3="Chunk Rent",
AVERAGEIFS('Unit-Level Data'!$O:$O,'Unit-Level Data'!$M:$M,TRUE,
          'Unit-Level Data'!$D:$D, INDIRECT("C"&amp;ROW()),
          'Unit-Level Data'!$B:$B, INDIRECT("B"&amp;ROW())),
AVERAGEIFS('Unit-Level Data'!$P:$P,'Unit-Level Data'!$M:$M,TRUE,
          'Unit-Level Data'!$D:$D, INDIRECT("C"&amp;ROW()),
          'Unit-Level Data'!$B:$B, INDIRECT("B"&amp;ROW()))),"")</f>
      </c>
      <c r="O262" s="760" t="str" cm="1">
        <f t="array" aca="true" ref="O262" ca="true">IFERROR(IF($O$3="Chunk Rent",
AVERAGEIFS('Unit-Level Data'!$Q:$Q,'Unit-Level Data'!$M:$M,TRUE,
          'Unit-Level Data'!$D:$D, INDIRECT("C"&amp;ROW()),
          'Unit-Level Data'!$B:$B, INDIRECT("B"&amp;ROW())),
AVERAGEIFS('Unit-Level Data'!$R:$R,'Unit-Level Data'!$M:$M,TRUE,
          'Unit-Level Data'!$D:$D, INDIRECT("C"&amp;ROW()),
          'Unit-Level Data'!$B:$B, INDIRECT("B"&amp;ROW()))),"")</f>
      </c>
      <c r="P262" s="733" cm="1">
        <f t="array" aca="true" ref="P262" ca="true">COUNTIFS('Unit-Level Data'!$M:$M,TRUE,
          'Unit-Level Data'!$D:$D, INDIRECT("C"&amp;ROW()),
          'Unit-Level Data'!$B:$B, INDIRECT("B"&amp;ROW()))</f>
        <v>0</v>
      </c>
      <c r="Q262" s="738" t="str" cm="1">
        <f t="array" aca="true" ref="Q2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2" s="760" t="str" cm="1">
        <f t="array" aca="true" ref="R2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2" s="733" cm="1">
        <f t="array" aca="true" ref="S262" ca="true">COUNTIFS('Unit-Level Data'!$L:$L, "&gt;=" &amp; ($X$2 - Q$5),
          'Unit-Level Data'!$L:$L, "&lt;" &amp; $X$2,
          'Unit-Level Data'!$D:$D, INDIRECT("C"&amp;ROW()),
          'Unit-Level Data'!$B:$B, INDIRECT("B"&amp;ROW()))</f>
        <v>0</v>
      </c>
      <c r="T262" s="738" t="str" cm="1">
        <f t="array" aca="true" ref="T2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2" s="760" t="str" cm="1">
        <f t="array" aca="true" ref="U2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2" s="733" cm="1">
        <f t="array" aca="true" ref="V262" ca="true">COUNTIFS('Unit-Level Data'!$L:$L, "&gt;=" &amp; ($X$2 - T$5),
          'Unit-Level Data'!$L:$L, "&lt;" &amp; $X$2,
          'Unit-Level Data'!$D:$D, INDIRECT("C"&amp;ROW()),
          'Unit-Level Data'!$B:$B, INDIRECT("B"&amp;ROW()))</f>
        <v>0</v>
      </c>
      <c r="W262" s="738" t="str" cm="1">
        <f t="array" aca="true" ref="W2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2" s="760" t="str" cm="1">
        <f t="array" aca="true" ref="X2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2" s="733" cm="1">
        <f t="array" aca="true" ref="Y262" ca="true">COUNTIFS('Unit-Level Data'!$L:$L, "&gt;=" &amp; ($X$2 - W$5),
          'Unit-Level Data'!$L:$L, "&lt;" &amp; $X$2,
          'Unit-Level Data'!$D:$D, INDIRECT("C"&amp;ROW()),
          'Unit-Level Data'!$B:$B, INDIRECT("B"&amp;ROW()))</f>
        <v>0</v>
      </c>
      <c r="Z262" s="761"/>
      <c r="AA262" s="735" cm="1">
        <f t="array" aca="true" ref="AA262" ca="true">IFERROR(AVERAGEIFS(
  unit_details[Sqft],
  unit_details[Property Name], INDIRECT("B"&amp;ROW()),
  unit_details[Floorplan Name], INDIRECT("C"&amp;ROW()),
  unit_details[Beds], INDIRECT("D"&amp;ROW()),
  unit_details[Detected Unit Amenities], "*"&amp;$AB$3&amp;"*",
  unit_details[Leased Date], "&gt;=" &amp; ($X$2 - $AD$3)
),0)</f>
        <v>0</v>
      </c>
      <c r="AB262" s="734" cm="1">
        <f t="array" aca="true" ref="AB2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2" s="733" cm="1">
        <f t="array" aca="true" ref="AC262" ca="true">IFERROR(COUNTIFS(
  unit_details[Property Name], INDIRECT("B"&amp;ROW()),
  unit_details[Floorplan Name], INDIRECT("C"&amp;ROW()),
  unit_details[Beds], INDIRECT("D"&amp;ROW()),
  unit_details[Detected Unit Amenities], "*"&amp;$AB$3&amp;"*",
  unit_details[Leased Date], "&gt;=" &amp; ($X$2 - $AD$3)
),0)</f>
        <v>0</v>
      </c>
      <c r="AD262" s="735" cm="1">
        <f t="array" aca="true" ref="AD262" ca="true">IFERROR(AVERAGEIFS(
  unit_details[Sqft],
  unit_details[Property Name], INDIRECT("B"&amp;ROW()),
  unit_details[Floorplan Name], INDIRECT("C"&amp;ROW()),
  unit_details[Beds], INDIRECT("D"&amp;ROW()),
  unit_details[Detected Unit Amenities], "&lt;&gt;*"&amp;$AB$3&amp;"*",
  unit_details[Leased Date], "&gt;=" &amp; ($X$2 - $AD$3)
),0)</f>
        <v>0</v>
      </c>
      <c r="AE262" s="734" cm="1">
        <f t="array" aca="true" ref="AE2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2" s="733" cm="1">
        <f t="array" aca="true" ref="AF262" ca="true">IFERROR(COUNTIFS(
  unit_details[Property Name], INDIRECT("B"&amp;ROW()),
  unit_details[Floorplan Name], INDIRECT("C"&amp;ROW()),
  unit_details[Beds], INDIRECT("D"&amp;ROW()),
  unit_details[Detected Unit Amenities], "&lt;&gt;*"&amp;$AB$3&amp;"*",
  unit_details[Leased Date], "&gt;=" &amp; ($X$2 - $AD$3)
),0)</f>
        <v>0</v>
      </c>
      <c r="AG262" s="735"/>
      <c r="AH262" s="738">
        <f t="shared" ca="true" si="8"/>
        <v>0</v>
      </c>
      <c r="AI262" s="739">
        <f t="shared" ca="true" si="9"/>
        <v>0</v>
      </c>
    </row>
    <row r="263" spans="2:35">
      <c r="B263" s="1"/>
      <c r="C263" s="80"/>
      <c r="E263" s="303"/>
      <c r="F263" s="303"/>
      <c r="J263" s="345"/>
      <c r="K263" s="6"/>
      <c r="M263" s="745"/>
      <c r="N263" s="738" t="str" cm="1">
        <f t="array" aca="true" ref="N263" ca="true">IFERROR(IF($O$3="Chunk Rent",
AVERAGEIFS('Unit-Level Data'!$O:$O,'Unit-Level Data'!$M:$M,TRUE,
          'Unit-Level Data'!$D:$D, INDIRECT("C"&amp;ROW()),
          'Unit-Level Data'!$B:$B, INDIRECT("B"&amp;ROW())),
AVERAGEIFS('Unit-Level Data'!$P:$P,'Unit-Level Data'!$M:$M,TRUE,
          'Unit-Level Data'!$D:$D, INDIRECT("C"&amp;ROW()),
          'Unit-Level Data'!$B:$B, INDIRECT("B"&amp;ROW()))),"")</f>
      </c>
      <c r="O263" s="760" t="str" cm="1">
        <f t="array" aca="true" ref="O263" ca="true">IFERROR(IF($O$3="Chunk Rent",
AVERAGEIFS('Unit-Level Data'!$Q:$Q,'Unit-Level Data'!$M:$M,TRUE,
          'Unit-Level Data'!$D:$D, INDIRECT("C"&amp;ROW()),
          'Unit-Level Data'!$B:$B, INDIRECT("B"&amp;ROW())),
AVERAGEIFS('Unit-Level Data'!$R:$R,'Unit-Level Data'!$M:$M,TRUE,
          'Unit-Level Data'!$D:$D, INDIRECT("C"&amp;ROW()),
          'Unit-Level Data'!$B:$B, INDIRECT("B"&amp;ROW()))),"")</f>
      </c>
      <c r="P263" s="733" cm="1">
        <f t="array" aca="true" ref="P263" ca="true">COUNTIFS('Unit-Level Data'!$M:$M,TRUE,
          'Unit-Level Data'!$D:$D, INDIRECT("C"&amp;ROW()),
          'Unit-Level Data'!$B:$B, INDIRECT("B"&amp;ROW()))</f>
        <v>0</v>
      </c>
      <c r="Q263" s="738" t="str" cm="1">
        <f t="array" aca="true" ref="Q2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3" s="760" t="str" cm="1">
        <f t="array" aca="true" ref="R2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3" s="733" cm="1">
        <f t="array" aca="true" ref="S263" ca="true">COUNTIFS('Unit-Level Data'!$L:$L, "&gt;=" &amp; ($X$2 - Q$5),
          'Unit-Level Data'!$L:$L, "&lt;" &amp; $X$2,
          'Unit-Level Data'!$D:$D, INDIRECT("C"&amp;ROW()),
          'Unit-Level Data'!$B:$B, INDIRECT("B"&amp;ROW()))</f>
        <v>0</v>
      </c>
      <c r="T263" s="738" t="str" cm="1">
        <f t="array" aca="true" ref="T2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3" s="760" t="str" cm="1">
        <f t="array" aca="true" ref="U2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3" s="733" cm="1">
        <f t="array" aca="true" ref="V263" ca="true">COUNTIFS('Unit-Level Data'!$L:$L, "&gt;=" &amp; ($X$2 - T$5),
          'Unit-Level Data'!$L:$L, "&lt;" &amp; $X$2,
          'Unit-Level Data'!$D:$D, INDIRECT("C"&amp;ROW()),
          'Unit-Level Data'!$B:$B, INDIRECT("B"&amp;ROW()))</f>
        <v>0</v>
      </c>
      <c r="W263" s="738" t="str" cm="1">
        <f t="array" aca="true" ref="W2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3" s="760" t="str" cm="1">
        <f t="array" aca="true" ref="X2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3" s="733" cm="1">
        <f t="array" aca="true" ref="Y263" ca="true">COUNTIFS('Unit-Level Data'!$L:$L, "&gt;=" &amp; ($X$2 - W$5),
          'Unit-Level Data'!$L:$L, "&lt;" &amp; $X$2,
          'Unit-Level Data'!$D:$D, INDIRECT("C"&amp;ROW()),
          'Unit-Level Data'!$B:$B, INDIRECT("B"&amp;ROW()))</f>
        <v>0</v>
      </c>
      <c r="Z263" s="761"/>
      <c r="AA263" s="735" cm="1">
        <f t="array" aca="true" ref="AA263" ca="true">IFERROR(AVERAGEIFS(
  unit_details[Sqft],
  unit_details[Property Name], INDIRECT("B"&amp;ROW()),
  unit_details[Floorplan Name], INDIRECT("C"&amp;ROW()),
  unit_details[Beds], INDIRECT("D"&amp;ROW()),
  unit_details[Detected Unit Amenities], "*"&amp;$AB$3&amp;"*",
  unit_details[Leased Date], "&gt;=" &amp; ($X$2 - $AD$3)
),0)</f>
        <v>0</v>
      </c>
      <c r="AB263" s="734" cm="1">
        <f t="array" aca="true" ref="AB2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3" s="733" cm="1">
        <f t="array" aca="true" ref="AC263" ca="true">IFERROR(COUNTIFS(
  unit_details[Property Name], INDIRECT("B"&amp;ROW()),
  unit_details[Floorplan Name], INDIRECT("C"&amp;ROW()),
  unit_details[Beds], INDIRECT("D"&amp;ROW()),
  unit_details[Detected Unit Amenities], "*"&amp;$AB$3&amp;"*",
  unit_details[Leased Date], "&gt;=" &amp; ($X$2 - $AD$3)
),0)</f>
        <v>0</v>
      </c>
      <c r="AD263" s="735" cm="1">
        <f t="array" aca="true" ref="AD263" ca="true">IFERROR(AVERAGEIFS(
  unit_details[Sqft],
  unit_details[Property Name], INDIRECT("B"&amp;ROW()),
  unit_details[Floorplan Name], INDIRECT("C"&amp;ROW()),
  unit_details[Beds], INDIRECT("D"&amp;ROW()),
  unit_details[Detected Unit Amenities], "&lt;&gt;*"&amp;$AB$3&amp;"*",
  unit_details[Leased Date], "&gt;=" &amp; ($X$2 - $AD$3)
),0)</f>
        <v>0</v>
      </c>
      <c r="AE263" s="734" cm="1">
        <f t="array" aca="true" ref="AE2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3" s="733" cm="1">
        <f t="array" aca="true" ref="AF263" ca="true">IFERROR(COUNTIFS(
  unit_details[Property Name], INDIRECT("B"&amp;ROW()),
  unit_details[Floorplan Name], INDIRECT("C"&amp;ROW()),
  unit_details[Beds], INDIRECT("D"&amp;ROW()),
  unit_details[Detected Unit Amenities], "&lt;&gt;*"&amp;$AB$3&amp;"*",
  unit_details[Leased Date], "&gt;=" &amp; ($X$2 - $AD$3)
),0)</f>
        <v>0</v>
      </c>
      <c r="AG263" s="735"/>
      <c r="AH263" s="738">
        <f t="shared" ca="true" si="8"/>
        <v>0</v>
      </c>
      <c r="AI263" s="739">
        <f t="shared" ca="true" si="9"/>
        <v>0</v>
      </c>
    </row>
    <row r="264" spans="2:35">
      <c r="B264" s="1"/>
      <c r="C264" s="80"/>
      <c r="E264" s="303"/>
      <c r="F264" s="303"/>
      <c r="J264" s="345"/>
      <c r="K264" s="6"/>
      <c r="M264" s="745"/>
      <c r="N264" s="738" t="str" cm="1">
        <f t="array" aca="true" ref="N264" ca="true">IFERROR(IF($O$3="Chunk Rent",
AVERAGEIFS('Unit-Level Data'!$O:$O,'Unit-Level Data'!$M:$M,TRUE,
          'Unit-Level Data'!$D:$D, INDIRECT("C"&amp;ROW()),
          'Unit-Level Data'!$B:$B, INDIRECT("B"&amp;ROW())),
AVERAGEIFS('Unit-Level Data'!$P:$P,'Unit-Level Data'!$M:$M,TRUE,
          'Unit-Level Data'!$D:$D, INDIRECT("C"&amp;ROW()),
          'Unit-Level Data'!$B:$B, INDIRECT("B"&amp;ROW()))),"")</f>
      </c>
      <c r="O264" s="760" t="str" cm="1">
        <f t="array" aca="true" ref="O264" ca="true">IFERROR(IF($O$3="Chunk Rent",
AVERAGEIFS('Unit-Level Data'!$Q:$Q,'Unit-Level Data'!$M:$M,TRUE,
          'Unit-Level Data'!$D:$D, INDIRECT("C"&amp;ROW()),
          'Unit-Level Data'!$B:$B, INDIRECT("B"&amp;ROW())),
AVERAGEIFS('Unit-Level Data'!$R:$R,'Unit-Level Data'!$M:$M,TRUE,
          'Unit-Level Data'!$D:$D, INDIRECT("C"&amp;ROW()),
          'Unit-Level Data'!$B:$B, INDIRECT("B"&amp;ROW()))),"")</f>
      </c>
      <c r="P264" s="733" cm="1">
        <f t="array" aca="true" ref="P264" ca="true">COUNTIFS('Unit-Level Data'!$M:$M,TRUE,
          'Unit-Level Data'!$D:$D, INDIRECT("C"&amp;ROW()),
          'Unit-Level Data'!$B:$B, INDIRECT("B"&amp;ROW()))</f>
        <v>0</v>
      </c>
      <c r="Q264" s="738" t="str" cm="1">
        <f t="array" aca="true" ref="Q2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4" s="760" t="str" cm="1">
        <f t="array" aca="true" ref="R2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4" s="733" cm="1">
        <f t="array" aca="true" ref="S264" ca="true">COUNTIFS('Unit-Level Data'!$L:$L, "&gt;=" &amp; ($X$2 - Q$5),
          'Unit-Level Data'!$L:$L, "&lt;" &amp; $X$2,
          'Unit-Level Data'!$D:$D, INDIRECT("C"&amp;ROW()),
          'Unit-Level Data'!$B:$B, INDIRECT("B"&amp;ROW()))</f>
        <v>0</v>
      </c>
      <c r="T264" s="738" t="str" cm="1">
        <f t="array" aca="true" ref="T2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4" s="760" t="str" cm="1">
        <f t="array" aca="true" ref="U2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4" s="733" cm="1">
        <f t="array" aca="true" ref="V264" ca="true">COUNTIFS('Unit-Level Data'!$L:$L, "&gt;=" &amp; ($X$2 - T$5),
          'Unit-Level Data'!$L:$L, "&lt;" &amp; $X$2,
          'Unit-Level Data'!$D:$D, INDIRECT("C"&amp;ROW()),
          'Unit-Level Data'!$B:$B, INDIRECT("B"&amp;ROW()))</f>
        <v>0</v>
      </c>
      <c r="W264" s="738" t="str" cm="1">
        <f t="array" aca="true" ref="W2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4" s="760" t="str" cm="1">
        <f t="array" aca="true" ref="X2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4" s="733" cm="1">
        <f t="array" aca="true" ref="Y264" ca="true">COUNTIFS('Unit-Level Data'!$L:$L, "&gt;=" &amp; ($X$2 - W$5),
          'Unit-Level Data'!$L:$L, "&lt;" &amp; $X$2,
          'Unit-Level Data'!$D:$D, INDIRECT("C"&amp;ROW()),
          'Unit-Level Data'!$B:$B, INDIRECT("B"&amp;ROW()))</f>
        <v>0</v>
      </c>
      <c r="Z264" s="761"/>
      <c r="AA264" s="735" cm="1">
        <f t="array" aca="true" ref="AA264" ca="true">IFERROR(AVERAGEIFS(
  unit_details[Sqft],
  unit_details[Property Name], INDIRECT("B"&amp;ROW()),
  unit_details[Floorplan Name], INDIRECT("C"&amp;ROW()),
  unit_details[Beds], INDIRECT("D"&amp;ROW()),
  unit_details[Detected Unit Amenities], "*"&amp;$AB$3&amp;"*",
  unit_details[Leased Date], "&gt;=" &amp; ($X$2 - $AD$3)
),0)</f>
        <v>0</v>
      </c>
      <c r="AB264" s="734" cm="1">
        <f t="array" aca="true" ref="AB2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4" s="733" cm="1">
        <f t="array" aca="true" ref="AC264" ca="true">IFERROR(COUNTIFS(
  unit_details[Property Name], INDIRECT("B"&amp;ROW()),
  unit_details[Floorplan Name], INDIRECT("C"&amp;ROW()),
  unit_details[Beds], INDIRECT("D"&amp;ROW()),
  unit_details[Detected Unit Amenities], "*"&amp;$AB$3&amp;"*",
  unit_details[Leased Date], "&gt;=" &amp; ($X$2 - $AD$3)
),0)</f>
        <v>0</v>
      </c>
      <c r="AD264" s="735" cm="1">
        <f t="array" aca="true" ref="AD264" ca="true">IFERROR(AVERAGEIFS(
  unit_details[Sqft],
  unit_details[Property Name], INDIRECT("B"&amp;ROW()),
  unit_details[Floorplan Name], INDIRECT("C"&amp;ROW()),
  unit_details[Beds], INDIRECT("D"&amp;ROW()),
  unit_details[Detected Unit Amenities], "&lt;&gt;*"&amp;$AB$3&amp;"*",
  unit_details[Leased Date], "&gt;=" &amp; ($X$2 - $AD$3)
),0)</f>
        <v>0</v>
      </c>
      <c r="AE264" s="734" cm="1">
        <f t="array" aca="true" ref="AE2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4" s="733" cm="1">
        <f t="array" aca="true" ref="AF264" ca="true">IFERROR(COUNTIFS(
  unit_details[Property Name], INDIRECT("B"&amp;ROW()),
  unit_details[Floorplan Name], INDIRECT("C"&amp;ROW()),
  unit_details[Beds], INDIRECT("D"&amp;ROW()),
  unit_details[Detected Unit Amenities], "&lt;&gt;*"&amp;$AB$3&amp;"*",
  unit_details[Leased Date], "&gt;=" &amp; ($X$2 - $AD$3)
),0)</f>
        <v>0</v>
      </c>
      <c r="AG264" s="735"/>
      <c r="AH264" s="738">
        <f t="shared" ca="true" si="8"/>
        <v>0</v>
      </c>
      <c r="AI264" s="739">
        <f t="shared" ca="true" si="9"/>
        <v>0</v>
      </c>
    </row>
    <row r="265" spans="2:35">
      <c r="B265" s="1"/>
      <c r="C265" s="80"/>
      <c r="E265" s="303"/>
      <c r="F265" s="303"/>
      <c r="J265" s="345"/>
      <c r="K265" s="6"/>
      <c r="M265" s="745"/>
      <c r="N265" s="738" t="str" cm="1">
        <f t="array" aca="true" ref="N265" ca="true">IFERROR(IF($O$3="Chunk Rent",
AVERAGEIFS('Unit-Level Data'!$O:$O,'Unit-Level Data'!$M:$M,TRUE,
          'Unit-Level Data'!$D:$D, INDIRECT("C"&amp;ROW()),
          'Unit-Level Data'!$B:$B, INDIRECT("B"&amp;ROW())),
AVERAGEIFS('Unit-Level Data'!$P:$P,'Unit-Level Data'!$M:$M,TRUE,
          'Unit-Level Data'!$D:$D, INDIRECT("C"&amp;ROW()),
          'Unit-Level Data'!$B:$B, INDIRECT("B"&amp;ROW()))),"")</f>
      </c>
      <c r="O265" s="760" t="str" cm="1">
        <f t="array" aca="true" ref="O265" ca="true">IFERROR(IF($O$3="Chunk Rent",
AVERAGEIFS('Unit-Level Data'!$Q:$Q,'Unit-Level Data'!$M:$M,TRUE,
          'Unit-Level Data'!$D:$D, INDIRECT("C"&amp;ROW()),
          'Unit-Level Data'!$B:$B, INDIRECT("B"&amp;ROW())),
AVERAGEIFS('Unit-Level Data'!$R:$R,'Unit-Level Data'!$M:$M,TRUE,
          'Unit-Level Data'!$D:$D, INDIRECT("C"&amp;ROW()),
          'Unit-Level Data'!$B:$B, INDIRECT("B"&amp;ROW()))),"")</f>
      </c>
      <c r="P265" s="733" cm="1">
        <f t="array" aca="true" ref="P265" ca="true">COUNTIFS('Unit-Level Data'!$M:$M,TRUE,
          'Unit-Level Data'!$D:$D, INDIRECT("C"&amp;ROW()),
          'Unit-Level Data'!$B:$B, INDIRECT("B"&amp;ROW()))</f>
        <v>0</v>
      </c>
      <c r="Q265" s="738" t="str" cm="1">
        <f t="array" aca="true" ref="Q2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5" s="760" t="str" cm="1">
        <f t="array" aca="true" ref="R2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5" s="733" cm="1">
        <f t="array" aca="true" ref="S265" ca="true">COUNTIFS('Unit-Level Data'!$L:$L, "&gt;=" &amp; ($X$2 - Q$5),
          'Unit-Level Data'!$L:$L, "&lt;" &amp; $X$2,
          'Unit-Level Data'!$D:$D, INDIRECT("C"&amp;ROW()),
          'Unit-Level Data'!$B:$B, INDIRECT("B"&amp;ROW()))</f>
        <v>0</v>
      </c>
      <c r="T265" s="738" t="str" cm="1">
        <f t="array" aca="true" ref="T2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5" s="760" t="str" cm="1">
        <f t="array" aca="true" ref="U2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5" s="733" cm="1">
        <f t="array" aca="true" ref="V265" ca="true">COUNTIFS('Unit-Level Data'!$L:$L, "&gt;=" &amp; ($X$2 - T$5),
          'Unit-Level Data'!$L:$L, "&lt;" &amp; $X$2,
          'Unit-Level Data'!$D:$D, INDIRECT("C"&amp;ROW()),
          'Unit-Level Data'!$B:$B, INDIRECT("B"&amp;ROW()))</f>
        <v>0</v>
      </c>
      <c r="W265" s="738" t="str" cm="1">
        <f t="array" aca="true" ref="W2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5" s="760" t="str" cm="1">
        <f t="array" aca="true" ref="X2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5" s="733" cm="1">
        <f t="array" aca="true" ref="Y265" ca="true">COUNTIFS('Unit-Level Data'!$L:$L, "&gt;=" &amp; ($X$2 - W$5),
          'Unit-Level Data'!$L:$L, "&lt;" &amp; $X$2,
          'Unit-Level Data'!$D:$D, INDIRECT("C"&amp;ROW()),
          'Unit-Level Data'!$B:$B, INDIRECT("B"&amp;ROW()))</f>
        <v>0</v>
      </c>
      <c r="Z265" s="761"/>
      <c r="AA265" s="735" cm="1">
        <f t="array" aca="true" ref="AA265" ca="true">IFERROR(AVERAGEIFS(
  unit_details[Sqft],
  unit_details[Property Name], INDIRECT("B"&amp;ROW()),
  unit_details[Floorplan Name], INDIRECT("C"&amp;ROW()),
  unit_details[Beds], INDIRECT("D"&amp;ROW()),
  unit_details[Detected Unit Amenities], "*"&amp;$AB$3&amp;"*",
  unit_details[Leased Date], "&gt;=" &amp; ($X$2 - $AD$3)
),0)</f>
        <v>0</v>
      </c>
      <c r="AB265" s="734" cm="1">
        <f t="array" aca="true" ref="AB2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5" s="733" cm="1">
        <f t="array" aca="true" ref="AC265" ca="true">IFERROR(COUNTIFS(
  unit_details[Property Name], INDIRECT("B"&amp;ROW()),
  unit_details[Floorplan Name], INDIRECT("C"&amp;ROW()),
  unit_details[Beds], INDIRECT("D"&amp;ROW()),
  unit_details[Detected Unit Amenities], "*"&amp;$AB$3&amp;"*",
  unit_details[Leased Date], "&gt;=" &amp; ($X$2 - $AD$3)
),0)</f>
        <v>0</v>
      </c>
      <c r="AD265" s="735" cm="1">
        <f t="array" aca="true" ref="AD265" ca="true">IFERROR(AVERAGEIFS(
  unit_details[Sqft],
  unit_details[Property Name], INDIRECT("B"&amp;ROW()),
  unit_details[Floorplan Name], INDIRECT("C"&amp;ROW()),
  unit_details[Beds], INDIRECT("D"&amp;ROW()),
  unit_details[Detected Unit Amenities], "&lt;&gt;*"&amp;$AB$3&amp;"*",
  unit_details[Leased Date], "&gt;=" &amp; ($X$2 - $AD$3)
),0)</f>
        <v>0</v>
      </c>
      <c r="AE265" s="734" cm="1">
        <f t="array" aca="true" ref="AE2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5" s="733" cm="1">
        <f t="array" aca="true" ref="AF265" ca="true">IFERROR(COUNTIFS(
  unit_details[Property Name], INDIRECT("B"&amp;ROW()),
  unit_details[Floorplan Name], INDIRECT("C"&amp;ROW()),
  unit_details[Beds], INDIRECT("D"&amp;ROW()),
  unit_details[Detected Unit Amenities], "&lt;&gt;*"&amp;$AB$3&amp;"*",
  unit_details[Leased Date], "&gt;=" &amp; ($X$2 - $AD$3)
),0)</f>
        <v>0</v>
      </c>
      <c r="AG265" s="735"/>
      <c r="AH265" s="738">
        <f t="shared" ref="AH265:AH328" ca="true" si="10">IF(OR(AB265=0,AE265=0),0,IFERROR(AB265-AE265,0))</f>
        <v>0</v>
      </c>
      <c r="AI265" s="739">
        <f t="shared" ref="AI265:AI328" ca="true" si="11">IFERROR(AH265/AE265,0)</f>
        <v>0</v>
      </c>
    </row>
    <row r="266" spans="2:35">
      <c r="B266" s="1"/>
      <c r="C266" s="80"/>
      <c r="E266" s="303"/>
      <c r="F266" s="303"/>
      <c r="J266" s="345"/>
      <c r="K266" s="6"/>
      <c r="M266" s="745"/>
      <c r="N266" s="738" t="str" cm="1">
        <f t="array" aca="true" ref="N266" ca="true">IFERROR(IF($O$3="Chunk Rent",
AVERAGEIFS('Unit-Level Data'!$O:$O,'Unit-Level Data'!$M:$M,TRUE,
          'Unit-Level Data'!$D:$D, INDIRECT("C"&amp;ROW()),
          'Unit-Level Data'!$B:$B, INDIRECT("B"&amp;ROW())),
AVERAGEIFS('Unit-Level Data'!$P:$P,'Unit-Level Data'!$M:$M,TRUE,
          'Unit-Level Data'!$D:$D, INDIRECT("C"&amp;ROW()),
          'Unit-Level Data'!$B:$B, INDIRECT("B"&amp;ROW()))),"")</f>
      </c>
      <c r="O266" s="760" t="str" cm="1">
        <f t="array" aca="true" ref="O266" ca="true">IFERROR(IF($O$3="Chunk Rent",
AVERAGEIFS('Unit-Level Data'!$Q:$Q,'Unit-Level Data'!$M:$M,TRUE,
          'Unit-Level Data'!$D:$D, INDIRECT("C"&amp;ROW()),
          'Unit-Level Data'!$B:$B, INDIRECT("B"&amp;ROW())),
AVERAGEIFS('Unit-Level Data'!$R:$R,'Unit-Level Data'!$M:$M,TRUE,
          'Unit-Level Data'!$D:$D, INDIRECT("C"&amp;ROW()),
          'Unit-Level Data'!$B:$B, INDIRECT("B"&amp;ROW()))),"")</f>
      </c>
      <c r="P266" s="733" cm="1">
        <f t="array" aca="true" ref="P266" ca="true">COUNTIFS('Unit-Level Data'!$M:$M,TRUE,
          'Unit-Level Data'!$D:$D, INDIRECT("C"&amp;ROW()),
          'Unit-Level Data'!$B:$B, INDIRECT("B"&amp;ROW()))</f>
        <v>0</v>
      </c>
      <c r="Q266" s="738" t="str" cm="1">
        <f t="array" aca="true" ref="Q2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6" s="760" t="str" cm="1">
        <f t="array" aca="true" ref="R2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6" s="733" cm="1">
        <f t="array" aca="true" ref="S266" ca="true">COUNTIFS('Unit-Level Data'!$L:$L, "&gt;=" &amp; ($X$2 - Q$5),
          'Unit-Level Data'!$L:$L, "&lt;" &amp; $X$2,
          'Unit-Level Data'!$D:$D, INDIRECT("C"&amp;ROW()),
          'Unit-Level Data'!$B:$B, INDIRECT("B"&amp;ROW()))</f>
        <v>0</v>
      </c>
      <c r="T266" s="738" t="str" cm="1">
        <f t="array" aca="true" ref="T2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6" s="760" t="str" cm="1">
        <f t="array" aca="true" ref="U2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6" s="733" cm="1">
        <f t="array" aca="true" ref="V266" ca="true">COUNTIFS('Unit-Level Data'!$L:$L, "&gt;=" &amp; ($X$2 - T$5),
          'Unit-Level Data'!$L:$L, "&lt;" &amp; $X$2,
          'Unit-Level Data'!$D:$D, INDIRECT("C"&amp;ROW()),
          'Unit-Level Data'!$B:$B, INDIRECT("B"&amp;ROW()))</f>
        <v>0</v>
      </c>
      <c r="W266" s="738" t="str" cm="1">
        <f t="array" aca="true" ref="W2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6" s="760" t="str" cm="1">
        <f t="array" aca="true" ref="X2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6" s="733" cm="1">
        <f t="array" aca="true" ref="Y266" ca="true">COUNTIFS('Unit-Level Data'!$L:$L, "&gt;=" &amp; ($X$2 - W$5),
          'Unit-Level Data'!$L:$L, "&lt;" &amp; $X$2,
          'Unit-Level Data'!$D:$D, INDIRECT("C"&amp;ROW()),
          'Unit-Level Data'!$B:$B, INDIRECT("B"&amp;ROW()))</f>
        <v>0</v>
      </c>
      <c r="Z266" s="761"/>
      <c r="AA266" s="735" cm="1">
        <f t="array" aca="true" ref="AA266" ca="true">IFERROR(AVERAGEIFS(
  unit_details[Sqft],
  unit_details[Property Name], INDIRECT("B"&amp;ROW()),
  unit_details[Floorplan Name], INDIRECT("C"&amp;ROW()),
  unit_details[Beds], INDIRECT("D"&amp;ROW()),
  unit_details[Detected Unit Amenities], "*"&amp;$AB$3&amp;"*",
  unit_details[Leased Date], "&gt;=" &amp; ($X$2 - $AD$3)
),0)</f>
        <v>0</v>
      </c>
      <c r="AB266" s="734" cm="1">
        <f t="array" aca="true" ref="AB2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6" s="733" cm="1">
        <f t="array" aca="true" ref="AC266" ca="true">IFERROR(COUNTIFS(
  unit_details[Property Name], INDIRECT("B"&amp;ROW()),
  unit_details[Floorplan Name], INDIRECT("C"&amp;ROW()),
  unit_details[Beds], INDIRECT("D"&amp;ROW()),
  unit_details[Detected Unit Amenities], "*"&amp;$AB$3&amp;"*",
  unit_details[Leased Date], "&gt;=" &amp; ($X$2 - $AD$3)
),0)</f>
        <v>0</v>
      </c>
      <c r="AD266" s="735" cm="1">
        <f t="array" aca="true" ref="AD266" ca="true">IFERROR(AVERAGEIFS(
  unit_details[Sqft],
  unit_details[Property Name], INDIRECT("B"&amp;ROW()),
  unit_details[Floorplan Name], INDIRECT("C"&amp;ROW()),
  unit_details[Beds], INDIRECT("D"&amp;ROW()),
  unit_details[Detected Unit Amenities], "&lt;&gt;*"&amp;$AB$3&amp;"*",
  unit_details[Leased Date], "&gt;=" &amp; ($X$2 - $AD$3)
),0)</f>
        <v>0</v>
      </c>
      <c r="AE266" s="734" cm="1">
        <f t="array" aca="true" ref="AE2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6" s="733" cm="1">
        <f t="array" aca="true" ref="AF266" ca="true">IFERROR(COUNTIFS(
  unit_details[Property Name], INDIRECT("B"&amp;ROW()),
  unit_details[Floorplan Name], INDIRECT("C"&amp;ROW()),
  unit_details[Beds], INDIRECT("D"&amp;ROW()),
  unit_details[Detected Unit Amenities], "&lt;&gt;*"&amp;$AB$3&amp;"*",
  unit_details[Leased Date], "&gt;=" &amp; ($X$2 - $AD$3)
),0)</f>
        <v>0</v>
      </c>
      <c r="AG266" s="735"/>
      <c r="AH266" s="738">
        <f t="shared" ca="true" si="10"/>
        <v>0</v>
      </c>
      <c r="AI266" s="739">
        <f t="shared" ca="true" si="11"/>
        <v>0</v>
      </c>
    </row>
    <row r="267" spans="2:35">
      <c r="B267" s="1"/>
      <c r="C267" s="80"/>
      <c r="E267" s="303"/>
      <c r="F267" s="303"/>
      <c r="J267" s="345"/>
      <c r="K267" s="6"/>
      <c r="M267" s="745"/>
      <c r="N267" s="738" t="str" cm="1">
        <f t="array" aca="true" ref="N267" ca="true">IFERROR(IF($O$3="Chunk Rent",
AVERAGEIFS('Unit-Level Data'!$O:$O,'Unit-Level Data'!$M:$M,TRUE,
          'Unit-Level Data'!$D:$D, INDIRECT("C"&amp;ROW()),
          'Unit-Level Data'!$B:$B, INDIRECT("B"&amp;ROW())),
AVERAGEIFS('Unit-Level Data'!$P:$P,'Unit-Level Data'!$M:$M,TRUE,
          'Unit-Level Data'!$D:$D, INDIRECT("C"&amp;ROW()),
          'Unit-Level Data'!$B:$B, INDIRECT("B"&amp;ROW()))),"")</f>
      </c>
      <c r="O267" s="760" t="str" cm="1">
        <f t="array" aca="true" ref="O267" ca="true">IFERROR(IF($O$3="Chunk Rent",
AVERAGEIFS('Unit-Level Data'!$Q:$Q,'Unit-Level Data'!$M:$M,TRUE,
          'Unit-Level Data'!$D:$D, INDIRECT("C"&amp;ROW()),
          'Unit-Level Data'!$B:$B, INDIRECT("B"&amp;ROW())),
AVERAGEIFS('Unit-Level Data'!$R:$R,'Unit-Level Data'!$M:$M,TRUE,
          'Unit-Level Data'!$D:$D, INDIRECT("C"&amp;ROW()),
          'Unit-Level Data'!$B:$B, INDIRECT("B"&amp;ROW()))),"")</f>
      </c>
      <c r="P267" s="733" cm="1">
        <f t="array" aca="true" ref="P267" ca="true">COUNTIFS('Unit-Level Data'!$M:$M,TRUE,
          'Unit-Level Data'!$D:$D, INDIRECT("C"&amp;ROW()),
          'Unit-Level Data'!$B:$B, INDIRECT("B"&amp;ROW()))</f>
        <v>0</v>
      </c>
      <c r="Q267" s="738" t="str" cm="1">
        <f t="array" aca="true" ref="Q2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7" s="760" t="str" cm="1">
        <f t="array" aca="true" ref="R2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7" s="733" cm="1">
        <f t="array" aca="true" ref="S267" ca="true">COUNTIFS('Unit-Level Data'!$L:$L, "&gt;=" &amp; ($X$2 - Q$5),
          'Unit-Level Data'!$L:$L, "&lt;" &amp; $X$2,
          'Unit-Level Data'!$D:$D, INDIRECT("C"&amp;ROW()),
          'Unit-Level Data'!$B:$B, INDIRECT("B"&amp;ROW()))</f>
        <v>0</v>
      </c>
      <c r="T267" s="738" t="str" cm="1">
        <f t="array" aca="true" ref="T2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7" s="760" t="str" cm="1">
        <f t="array" aca="true" ref="U2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7" s="733" cm="1">
        <f t="array" aca="true" ref="V267" ca="true">COUNTIFS('Unit-Level Data'!$L:$L, "&gt;=" &amp; ($X$2 - T$5),
          'Unit-Level Data'!$L:$L, "&lt;" &amp; $X$2,
          'Unit-Level Data'!$D:$D, INDIRECT("C"&amp;ROW()),
          'Unit-Level Data'!$B:$B, INDIRECT("B"&amp;ROW()))</f>
        <v>0</v>
      </c>
      <c r="W267" s="738" t="str" cm="1">
        <f t="array" aca="true" ref="W2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7" s="760" t="str" cm="1">
        <f t="array" aca="true" ref="X2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7" s="733" cm="1">
        <f t="array" aca="true" ref="Y267" ca="true">COUNTIFS('Unit-Level Data'!$L:$L, "&gt;=" &amp; ($X$2 - W$5),
          'Unit-Level Data'!$L:$L, "&lt;" &amp; $X$2,
          'Unit-Level Data'!$D:$D, INDIRECT("C"&amp;ROW()),
          'Unit-Level Data'!$B:$B, INDIRECT("B"&amp;ROW()))</f>
        <v>0</v>
      </c>
      <c r="Z267" s="761"/>
      <c r="AA267" s="735" cm="1">
        <f t="array" aca="true" ref="AA267" ca="true">IFERROR(AVERAGEIFS(
  unit_details[Sqft],
  unit_details[Property Name], INDIRECT("B"&amp;ROW()),
  unit_details[Floorplan Name], INDIRECT("C"&amp;ROW()),
  unit_details[Beds], INDIRECT("D"&amp;ROW()),
  unit_details[Detected Unit Amenities], "*"&amp;$AB$3&amp;"*",
  unit_details[Leased Date], "&gt;=" &amp; ($X$2 - $AD$3)
),0)</f>
        <v>0</v>
      </c>
      <c r="AB267" s="734" cm="1">
        <f t="array" aca="true" ref="AB2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7" s="733" cm="1">
        <f t="array" aca="true" ref="AC267" ca="true">IFERROR(COUNTIFS(
  unit_details[Property Name], INDIRECT("B"&amp;ROW()),
  unit_details[Floorplan Name], INDIRECT("C"&amp;ROW()),
  unit_details[Beds], INDIRECT("D"&amp;ROW()),
  unit_details[Detected Unit Amenities], "*"&amp;$AB$3&amp;"*",
  unit_details[Leased Date], "&gt;=" &amp; ($X$2 - $AD$3)
),0)</f>
        <v>0</v>
      </c>
      <c r="AD267" s="735" cm="1">
        <f t="array" aca="true" ref="AD267" ca="true">IFERROR(AVERAGEIFS(
  unit_details[Sqft],
  unit_details[Property Name], INDIRECT("B"&amp;ROW()),
  unit_details[Floorplan Name], INDIRECT("C"&amp;ROW()),
  unit_details[Beds], INDIRECT("D"&amp;ROW()),
  unit_details[Detected Unit Amenities], "&lt;&gt;*"&amp;$AB$3&amp;"*",
  unit_details[Leased Date], "&gt;=" &amp; ($X$2 - $AD$3)
),0)</f>
        <v>0</v>
      </c>
      <c r="AE267" s="734" cm="1">
        <f t="array" aca="true" ref="AE2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7" s="733" cm="1">
        <f t="array" aca="true" ref="AF267" ca="true">IFERROR(COUNTIFS(
  unit_details[Property Name], INDIRECT("B"&amp;ROW()),
  unit_details[Floorplan Name], INDIRECT("C"&amp;ROW()),
  unit_details[Beds], INDIRECT("D"&amp;ROW()),
  unit_details[Detected Unit Amenities], "&lt;&gt;*"&amp;$AB$3&amp;"*",
  unit_details[Leased Date], "&gt;=" &amp; ($X$2 - $AD$3)
),0)</f>
        <v>0</v>
      </c>
      <c r="AG267" s="735"/>
      <c r="AH267" s="738">
        <f t="shared" ca="true" si="10"/>
        <v>0</v>
      </c>
      <c r="AI267" s="739">
        <f t="shared" ca="true" si="11"/>
        <v>0</v>
      </c>
    </row>
    <row r="268" spans="2:35">
      <c r="B268" s="1"/>
      <c r="C268" s="80"/>
      <c r="E268" s="303"/>
      <c r="F268" s="303"/>
      <c r="J268" s="345"/>
      <c r="K268" s="6"/>
      <c r="M268" s="745"/>
      <c r="N268" s="738" t="str" cm="1">
        <f t="array" aca="true" ref="N268" ca="true">IFERROR(IF($O$3="Chunk Rent",
AVERAGEIFS('Unit-Level Data'!$O:$O,'Unit-Level Data'!$M:$M,TRUE,
          'Unit-Level Data'!$D:$D, INDIRECT("C"&amp;ROW()),
          'Unit-Level Data'!$B:$B, INDIRECT("B"&amp;ROW())),
AVERAGEIFS('Unit-Level Data'!$P:$P,'Unit-Level Data'!$M:$M,TRUE,
          'Unit-Level Data'!$D:$D, INDIRECT("C"&amp;ROW()),
          'Unit-Level Data'!$B:$B, INDIRECT("B"&amp;ROW()))),"")</f>
      </c>
      <c r="O268" s="760" t="str" cm="1">
        <f t="array" aca="true" ref="O268" ca="true">IFERROR(IF($O$3="Chunk Rent",
AVERAGEIFS('Unit-Level Data'!$Q:$Q,'Unit-Level Data'!$M:$M,TRUE,
          'Unit-Level Data'!$D:$D, INDIRECT("C"&amp;ROW()),
          'Unit-Level Data'!$B:$B, INDIRECT("B"&amp;ROW())),
AVERAGEIFS('Unit-Level Data'!$R:$R,'Unit-Level Data'!$M:$M,TRUE,
          'Unit-Level Data'!$D:$D, INDIRECT("C"&amp;ROW()),
          'Unit-Level Data'!$B:$B, INDIRECT("B"&amp;ROW()))),"")</f>
      </c>
      <c r="P268" s="733" cm="1">
        <f t="array" aca="true" ref="P268" ca="true">COUNTIFS('Unit-Level Data'!$M:$M,TRUE,
          'Unit-Level Data'!$D:$D, INDIRECT("C"&amp;ROW()),
          'Unit-Level Data'!$B:$B, INDIRECT("B"&amp;ROW()))</f>
        <v>0</v>
      </c>
      <c r="Q268" s="738" t="str" cm="1">
        <f t="array" aca="true" ref="Q2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8" s="760" t="str" cm="1">
        <f t="array" aca="true" ref="R2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8" s="733" cm="1">
        <f t="array" aca="true" ref="S268" ca="true">COUNTIFS('Unit-Level Data'!$L:$L, "&gt;=" &amp; ($X$2 - Q$5),
          'Unit-Level Data'!$L:$L, "&lt;" &amp; $X$2,
          'Unit-Level Data'!$D:$D, INDIRECT("C"&amp;ROW()),
          'Unit-Level Data'!$B:$B, INDIRECT("B"&amp;ROW()))</f>
        <v>0</v>
      </c>
      <c r="T268" s="738" t="str" cm="1">
        <f t="array" aca="true" ref="T2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8" s="760" t="str" cm="1">
        <f t="array" aca="true" ref="U2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8" s="733" cm="1">
        <f t="array" aca="true" ref="V268" ca="true">COUNTIFS('Unit-Level Data'!$L:$L, "&gt;=" &amp; ($X$2 - T$5),
          'Unit-Level Data'!$L:$L, "&lt;" &amp; $X$2,
          'Unit-Level Data'!$D:$D, INDIRECT("C"&amp;ROW()),
          'Unit-Level Data'!$B:$B, INDIRECT("B"&amp;ROW()))</f>
        <v>0</v>
      </c>
      <c r="W268" s="738" t="str" cm="1">
        <f t="array" aca="true" ref="W2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8" s="760" t="str" cm="1">
        <f t="array" aca="true" ref="X2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8" s="733" cm="1">
        <f t="array" aca="true" ref="Y268" ca="true">COUNTIFS('Unit-Level Data'!$L:$L, "&gt;=" &amp; ($X$2 - W$5),
          'Unit-Level Data'!$L:$L, "&lt;" &amp; $X$2,
          'Unit-Level Data'!$D:$D, INDIRECT("C"&amp;ROW()),
          'Unit-Level Data'!$B:$B, INDIRECT("B"&amp;ROW()))</f>
        <v>0</v>
      </c>
      <c r="Z268" s="761"/>
      <c r="AA268" s="735" cm="1">
        <f t="array" aca="true" ref="AA268" ca="true">IFERROR(AVERAGEIFS(
  unit_details[Sqft],
  unit_details[Property Name], INDIRECT("B"&amp;ROW()),
  unit_details[Floorplan Name], INDIRECT("C"&amp;ROW()),
  unit_details[Beds], INDIRECT("D"&amp;ROW()),
  unit_details[Detected Unit Amenities], "*"&amp;$AB$3&amp;"*",
  unit_details[Leased Date], "&gt;=" &amp; ($X$2 - $AD$3)
),0)</f>
        <v>0</v>
      </c>
      <c r="AB268" s="734" cm="1">
        <f t="array" aca="true" ref="AB2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8" s="733" cm="1">
        <f t="array" aca="true" ref="AC268" ca="true">IFERROR(COUNTIFS(
  unit_details[Property Name], INDIRECT("B"&amp;ROW()),
  unit_details[Floorplan Name], INDIRECT("C"&amp;ROW()),
  unit_details[Beds], INDIRECT("D"&amp;ROW()),
  unit_details[Detected Unit Amenities], "*"&amp;$AB$3&amp;"*",
  unit_details[Leased Date], "&gt;=" &amp; ($X$2 - $AD$3)
),0)</f>
        <v>0</v>
      </c>
      <c r="AD268" s="735" cm="1">
        <f t="array" aca="true" ref="AD268" ca="true">IFERROR(AVERAGEIFS(
  unit_details[Sqft],
  unit_details[Property Name], INDIRECT("B"&amp;ROW()),
  unit_details[Floorplan Name], INDIRECT("C"&amp;ROW()),
  unit_details[Beds], INDIRECT("D"&amp;ROW()),
  unit_details[Detected Unit Amenities], "&lt;&gt;*"&amp;$AB$3&amp;"*",
  unit_details[Leased Date], "&gt;=" &amp; ($X$2 - $AD$3)
),0)</f>
        <v>0</v>
      </c>
      <c r="AE268" s="734" cm="1">
        <f t="array" aca="true" ref="AE2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8" s="733" cm="1">
        <f t="array" aca="true" ref="AF268" ca="true">IFERROR(COUNTIFS(
  unit_details[Property Name], INDIRECT("B"&amp;ROW()),
  unit_details[Floorplan Name], INDIRECT("C"&amp;ROW()),
  unit_details[Beds], INDIRECT("D"&amp;ROW()),
  unit_details[Detected Unit Amenities], "&lt;&gt;*"&amp;$AB$3&amp;"*",
  unit_details[Leased Date], "&gt;=" &amp; ($X$2 - $AD$3)
),0)</f>
        <v>0</v>
      </c>
      <c r="AG268" s="735"/>
      <c r="AH268" s="738">
        <f t="shared" ca="true" si="10"/>
        <v>0</v>
      </c>
      <c r="AI268" s="739">
        <f t="shared" ca="true" si="11"/>
        <v>0</v>
      </c>
    </row>
    <row r="269" spans="2:35">
      <c r="B269" s="1"/>
      <c r="C269" s="80"/>
      <c r="E269" s="303"/>
      <c r="F269" s="303"/>
      <c r="J269" s="345"/>
      <c r="K269" s="6"/>
      <c r="M269" s="745"/>
      <c r="N269" s="738" t="str" cm="1">
        <f t="array" aca="true" ref="N269" ca="true">IFERROR(IF($O$3="Chunk Rent",
AVERAGEIFS('Unit-Level Data'!$O:$O,'Unit-Level Data'!$M:$M,TRUE,
          'Unit-Level Data'!$D:$D, INDIRECT("C"&amp;ROW()),
          'Unit-Level Data'!$B:$B, INDIRECT("B"&amp;ROW())),
AVERAGEIFS('Unit-Level Data'!$P:$P,'Unit-Level Data'!$M:$M,TRUE,
          'Unit-Level Data'!$D:$D, INDIRECT("C"&amp;ROW()),
          'Unit-Level Data'!$B:$B, INDIRECT("B"&amp;ROW()))),"")</f>
      </c>
      <c r="O269" s="760" t="str" cm="1">
        <f t="array" aca="true" ref="O269" ca="true">IFERROR(IF($O$3="Chunk Rent",
AVERAGEIFS('Unit-Level Data'!$Q:$Q,'Unit-Level Data'!$M:$M,TRUE,
          'Unit-Level Data'!$D:$D, INDIRECT("C"&amp;ROW()),
          'Unit-Level Data'!$B:$B, INDIRECT("B"&amp;ROW())),
AVERAGEIFS('Unit-Level Data'!$R:$R,'Unit-Level Data'!$M:$M,TRUE,
          'Unit-Level Data'!$D:$D, INDIRECT("C"&amp;ROW()),
          'Unit-Level Data'!$B:$B, INDIRECT("B"&amp;ROW()))),"")</f>
      </c>
      <c r="P269" s="733" cm="1">
        <f t="array" aca="true" ref="P269" ca="true">COUNTIFS('Unit-Level Data'!$M:$M,TRUE,
          'Unit-Level Data'!$D:$D, INDIRECT("C"&amp;ROW()),
          'Unit-Level Data'!$B:$B, INDIRECT("B"&amp;ROW()))</f>
        <v>0</v>
      </c>
      <c r="Q269" s="738" t="str" cm="1">
        <f t="array" aca="true" ref="Q2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9" s="760" t="str" cm="1">
        <f t="array" aca="true" ref="R2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9" s="733" cm="1">
        <f t="array" aca="true" ref="S269" ca="true">COUNTIFS('Unit-Level Data'!$L:$L, "&gt;=" &amp; ($X$2 - Q$5),
          'Unit-Level Data'!$L:$L, "&lt;" &amp; $X$2,
          'Unit-Level Data'!$D:$D, INDIRECT("C"&amp;ROW()),
          'Unit-Level Data'!$B:$B, INDIRECT("B"&amp;ROW()))</f>
        <v>0</v>
      </c>
      <c r="T269" s="738" t="str" cm="1">
        <f t="array" aca="true" ref="T2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9" s="760" t="str" cm="1">
        <f t="array" aca="true" ref="U2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9" s="733" cm="1">
        <f t="array" aca="true" ref="V269" ca="true">COUNTIFS('Unit-Level Data'!$L:$L, "&gt;=" &amp; ($X$2 - T$5),
          'Unit-Level Data'!$L:$L, "&lt;" &amp; $X$2,
          'Unit-Level Data'!$D:$D, INDIRECT("C"&amp;ROW()),
          'Unit-Level Data'!$B:$B, INDIRECT("B"&amp;ROW()))</f>
        <v>0</v>
      </c>
      <c r="W269" s="738" t="str" cm="1">
        <f t="array" aca="true" ref="W2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9" s="760" t="str" cm="1">
        <f t="array" aca="true" ref="X2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9" s="733" cm="1">
        <f t="array" aca="true" ref="Y269" ca="true">COUNTIFS('Unit-Level Data'!$L:$L, "&gt;=" &amp; ($X$2 - W$5),
          'Unit-Level Data'!$L:$L, "&lt;" &amp; $X$2,
          'Unit-Level Data'!$D:$D, INDIRECT("C"&amp;ROW()),
          'Unit-Level Data'!$B:$B, INDIRECT("B"&amp;ROW()))</f>
        <v>0</v>
      </c>
      <c r="Z269" s="761"/>
      <c r="AA269" s="735" cm="1">
        <f t="array" aca="true" ref="AA269" ca="true">IFERROR(AVERAGEIFS(
  unit_details[Sqft],
  unit_details[Property Name], INDIRECT("B"&amp;ROW()),
  unit_details[Floorplan Name], INDIRECT("C"&amp;ROW()),
  unit_details[Beds], INDIRECT("D"&amp;ROW()),
  unit_details[Detected Unit Amenities], "*"&amp;$AB$3&amp;"*",
  unit_details[Leased Date], "&gt;=" &amp; ($X$2 - $AD$3)
),0)</f>
        <v>0</v>
      </c>
      <c r="AB269" s="734" cm="1">
        <f t="array" aca="true" ref="AB2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9" s="733" cm="1">
        <f t="array" aca="true" ref="AC269" ca="true">IFERROR(COUNTIFS(
  unit_details[Property Name], INDIRECT("B"&amp;ROW()),
  unit_details[Floorplan Name], INDIRECT("C"&amp;ROW()),
  unit_details[Beds], INDIRECT("D"&amp;ROW()),
  unit_details[Detected Unit Amenities], "*"&amp;$AB$3&amp;"*",
  unit_details[Leased Date], "&gt;=" &amp; ($X$2 - $AD$3)
),0)</f>
        <v>0</v>
      </c>
      <c r="AD269" s="735" cm="1">
        <f t="array" aca="true" ref="AD269" ca="true">IFERROR(AVERAGEIFS(
  unit_details[Sqft],
  unit_details[Property Name], INDIRECT("B"&amp;ROW()),
  unit_details[Floorplan Name], INDIRECT("C"&amp;ROW()),
  unit_details[Beds], INDIRECT("D"&amp;ROW()),
  unit_details[Detected Unit Amenities], "&lt;&gt;*"&amp;$AB$3&amp;"*",
  unit_details[Leased Date], "&gt;=" &amp; ($X$2 - $AD$3)
),0)</f>
        <v>0</v>
      </c>
      <c r="AE269" s="734" cm="1">
        <f t="array" aca="true" ref="AE2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9" s="733" cm="1">
        <f t="array" aca="true" ref="AF269" ca="true">IFERROR(COUNTIFS(
  unit_details[Property Name], INDIRECT("B"&amp;ROW()),
  unit_details[Floorplan Name], INDIRECT("C"&amp;ROW()),
  unit_details[Beds], INDIRECT("D"&amp;ROW()),
  unit_details[Detected Unit Amenities], "&lt;&gt;*"&amp;$AB$3&amp;"*",
  unit_details[Leased Date], "&gt;=" &amp; ($X$2 - $AD$3)
),0)</f>
        <v>0</v>
      </c>
      <c r="AG269" s="735"/>
      <c r="AH269" s="738">
        <f t="shared" ca="true" si="10"/>
        <v>0</v>
      </c>
      <c r="AI269" s="739">
        <f t="shared" ca="true" si="11"/>
        <v>0</v>
      </c>
    </row>
    <row r="270" spans="2:35">
      <c r="B270" s="1"/>
      <c r="C270" s="80"/>
      <c r="E270" s="303"/>
      <c r="F270" s="303"/>
      <c r="J270" s="345"/>
      <c r="K270" s="6"/>
      <c r="M270" s="745"/>
      <c r="N270" s="738" t="str" cm="1">
        <f t="array" aca="true" ref="N270" ca="true">IFERROR(IF($O$3="Chunk Rent",
AVERAGEIFS('Unit-Level Data'!$O:$O,'Unit-Level Data'!$M:$M,TRUE,
          'Unit-Level Data'!$D:$D, INDIRECT("C"&amp;ROW()),
          'Unit-Level Data'!$B:$B, INDIRECT("B"&amp;ROW())),
AVERAGEIFS('Unit-Level Data'!$P:$P,'Unit-Level Data'!$M:$M,TRUE,
          'Unit-Level Data'!$D:$D, INDIRECT("C"&amp;ROW()),
          'Unit-Level Data'!$B:$B, INDIRECT("B"&amp;ROW()))),"")</f>
      </c>
      <c r="O270" s="760" t="str" cm="1">
        <f t="array" aca="true" ref="O270" ca="true">IFERROR(IF($O$3="Chunk Rent",
AVERAGEIFS('Unit-Level Data'!$Q:$Q,'Unit-Level Data'!$M:$M,TRUE,
          'Unit-Level Data'!$D:$D, INDIRECT("C"&amp;ROW()),
          'Unit-Level Data'!$B:$B, INDIRECT("B"&amp;ROW())),
AVERAGEIFS('Unit-Level Data'!$R:$R,'Unit-Level Data'!$M:$M,TRUE,
          'Unit-Level Data'!$D:$D, INDIRECT("C"&amp;ROW()),
          'Unit-Level Data'!$B:$B, INDIRECT("B"&amp;ROW()))),"")</f>
      </c>
      <c r="P270" s="733" cm="1">
        <f t="array" aca="true" ref="P270" ca="true">COUNTIFS('Unit-Level Data'!$M:$M,TRUE,
          'Unit-Level Data'!$D:$D, INDIRECT("C"&amp;ROW()),
          'Unit-Level Data'!$B:$B, INDIRECT("B"&amp;ROW()))</f>
        <v>0</v>
      </c>
      <c r="Q270" s="738" t="str" cm="1">
        <f t="array" aca="true" ref="Q2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0" s="760" t="str" cm="1">
        <f t="array" aca="true" ref="R2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0" s="733" cm="1">
        <f t="array" aca="true" ref="S270" ca="true">COUNTIFS('Unit-Level Data'!$L:$L, "&gt;=" &amp; ($X$2 - Q$5),
          'Unit-Level Data'!$L:$L, "&lt;" &amp; $X$2,
          'Unit-Level Data'!$D:$D, INDIRECT("C"&amp;ROW()),
          'Unit-Level Data'!$B:$B, INDIRECT("B"&amp;ROW()))</f>
        <v>0</v>
      </c>
      <c r="T270" s="738" t="str" cm="1">
        <f t="array" aca="true" ref="T2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0" s="760" t="str" cm="1">
        <f t="array" aca="true" ref="U2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0" s="733" cm="1">
        <f t="array" aca="true" ref="V270" ca="true">COUNTIFS('Unit-Level Data'!$L:$L, "&gt;=" &amp; ($X$2 - T$5),
          'Unit-Level Data'!$L:$L, "&lt;" &amp; $X$2,
          'Unit-Level Data'!$D:$D, INDIRECT("C"&amp;ROW()),
          'Unit-Level Data'!$B:$B, INDIRECT("B"&amp;ROW()))</f>
        <v>0</v>
      </c>
      <c r="W270" s="738" t="str" cm="1">
        <f t="array" aca="true" ref="W2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0" s="760" t="str" cm="1">
        <f t="array" aca="true" ref="X2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0" s="733" cm="1">
        <f t="array" aca="true" ref="Y270" ca="true">COUNTIFS('Unit-Level Data'!$L:$L, "&gt;=" &amp; ($X$2 - W$5),
          'Unit-Level Data'!$L:$L, "&lt;" &amp; $X$2,
          'Unit-Level Data'!$D:$D, INDIRECT("C"&amp;ROW()),
          'Unit-Level Data'!$B:$B, INDIRECT("B"&amp;ROW()))</f>
        <v>0</v>
      </c>
      <c r="Z270" s="761"/>
      <c r="AA270" s="735" cm="1">
        <f t="array" aca="true" ref="AA270" ca="true">IFERROR(AVERAGEIFS(
  unit_details[Sqft],
  unit_details[Property Name], INDIRECT("B"&amp;ROW()),
  unit_details[Floorplan Name], INDIRECT("C"&amp;ROW()),
  unit_details[Beds], INDIRECT("D"&amp;ROW()),
  unit_details[Detected Unit Amenities], "*"&amp;$AB$3&amp;"*",
  unit_details[Leased Date], "&gt;=" &amp; ($X$2 - $AD$3)
),0)</f>
        <v>0</v>
      </c>
      <c r="AB270" s="734" cm="1">
        <f t="array" aca="true" ref="AB2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0" s="733" cm="1">
        <f t="array" aca="true" ref="AC270" ca="true">IFERROR(COUNTIFS(
  unit_details[Property Name], INDIRECT("B"&amp;ROW()),
  unit_details[Floorplan Name], INDIRECT("C"&amp;ROW()),
  unit_details[Beds], INDIRECT("D"&amp;ROW()),
  unit_details[Detected Unit Amenities], "*"&amp;$AB$3&amp;"*",
  unit_details[Leased Date], "&gt;=" &amp; ($X$2 - $AD$3)
),0)</f>
        <v>0</v>
      </c>
      <c r="AD270" s="735" cm="1">
        <f t="array" aca="true" ref="AD270" ca="true">IFERROR(AVERAGEIFS(
  unit_details[Sqft],
  unit_details[Property Name], INDIRECT("B"&amp;ROW()),
  unit_details[Floorplan Name], INDIRECT("C"&amp;ROW()),
  unit_details[Beds], INDIRECT("D"&amp;ROW()),
  unit_details[Detected Unit Amenities], "&lt;&gt;*"&amp;$AB$3&amp;"*",
  unit_details[Leased Date], "&gt;=" &amp; ($X$2 - $AD$3)
),0)</f>
        <v>0</v>
      </c>
      <c r="AE270" s="734" cm="1">
        <f t="array" aca="true" ref="AE2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0" s="733" cm="1">
        <f t="array" aca="true" ref="AF270" ca="true">IFERROR(COUNTIFS(
  unit_details[Property Name], INDIRECT("B"&amp;ROW()),
  unit_details[Floorplan Name], INDIRECT("C"&amp;ROW()),
  unit_details[Beds], INDIRECT("D"&amp;ROW()),
  unit_details[Detected Unit Amenities], "&lt;&gt;*"&amp;$AB$3&amp;"*",
  unit_details[Leased Date], "&gt;=" &amp; ($X$2 - $AD$3)
),0)</f>
        <v>0</v>
      </c>
      <c r="AG270" s="735"/>
      <c r="AH270" s="738">
        <f t="shared" ca="true" si="10"/>
        <v>0</v>
      </c>
      <c r="AI270" s="739">
        <f t="shared" ca="true" si="11"/>
        <v>0</v>
      </c>
    </row>
    <row r="271" spans="2:35">
      <c r="B271" s="1"/>
      <c r="C271" s="80"/>
      <c r="E271" s="303"/>
      <c r="F271" s="303"/>
      <c r="J271" s="345"/>
      <c r="K271" s="6"/>
      <c r="M271" s="745"/>
      <c r="N271" s="738" t="str" cm="1">
        <f t="array" aca="true" ref="N271" ca="true">IFERROR(IF($O$3="Chunk Rent",
AVERAGEIFS('Unit-Level Data'!$O:$O,'Unit-Level Data'!$M:$M,TRUE,
          'Unit-Level Data'!$D:$D, INDIRECT("C"&amp;ROW()),
          'Unit-Level Data'!$B:$B, INDIRECT("B"&amp;ROW())),
AVERAGEIFS('Unit-Level Data'!$P:$P,'Unit-Level Data'!$M:$M,TRUE,
          'Unit-Level Data'!$D:$D, INDIRECT("C"&amp;ROW()),
          'Unit-Level Data'!$B:$B, INDIRECT("B"&amp;ROW()))),"")</f>
      </c>
      <c r="O271" s="760" t="str" cm="1">
        <f t="array" aca="true" ref="O271" ca="true">IFERROR(IF($O$3="Chunk Rent",
AVERAGEIFS('Unit-Level Data'!$Q:$Q,'Unit-Level Data'!$M:$M,TRUE,
          'Unit-Level Data'!$D:$D, INDIRECT("C"&amp;ROW()),
          'Unit-Level Data'!$B:$B, INDIRECT("B"&amp;ROW())),
AVERAGEIFS('Unit-Level Data'!$R:$R,'Unit-Level Data'!$M:$M,TRUE,
          'Unit-Level Data'!$D:$D, INDIRECT("C"&amp;ROW()),
          'Unit-Level Data'!$B:$B, INDIRECT("B"&amp;ROW()))),"")</f>
      </c>
      <c r="P271" s="733" cm="1">
        <f t="array" aca="true" ref="P271" ca="true">COUNTIFS('Unit-Level Data'!$M:$M,TRUE,
          'Unit-Level Data'!$D:$D, INDIRECT("C"&amp;ROW()),
          'Unit-Level Data'!$B:$B, INDIRECT("B"&amp;ROW()))</f>
        <v>0</v>
      </c>
      <c r="Q271" s="738" t="str" cm="1">
        <f t="array" aca="true" ref="Q2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1" s="760" t="str" cm="1">
        <f t="array" aca="true" ref="R2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1" s="733" cm="1">
        <f t="array" aca="true" ref="S271" ca="true">COUNTIFS('Unit-Level Data'!$L:$L, "&gt;=" &amp; ($X$2 - Q$5),
          'Unit-Level Data'!$L:$L, "&lt;" &amp; $X$2,
          'Unit-Level Data'!$D:$D, INDIRECT("C"&amp;ROW()),
          'Unit-Level Data'!$B:$B, INDIRECT("B"&amp;ROW()))</f>
        <v>0</v>
      </c>
      <c r="T271" s="738" t="str" cm="1">
        <f t="array" aca="true" ref="T2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1" s="760" t="str" cm="1">
        <f t="array" aca="true" ref="U2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1" s="733" cm="1">
        <f t="array" aca="true" ref="V271" ca="true">COUNTIFS('Unit-Level Data'!$L:$L, "&gt;=" &amp; ($X$2 - T$5),
          'Unit-Level Data'!$L:$L, "&lt;" &amp; $X$2,
          'Unit-Level Data'!$D:$D, INDIRECT("C"&amp;ROW()),
          'Unit-Level Data'!$B:$B, INDIRECT("B"&amp;ROW()))</f>
        <v>0</v>
      </c>
      <c r="W271" s="738" t="str" cm="1">
        <f t="array" aca="true" ref="W2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1" s="760" t="str" cm="1">
        <f t="array" aca="true" ref="X2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1" s="733" cm="1">
        <f t="array" aca="true" ref="Y271" ca="true">COUNTIFS('Unit-Level Data'!$L:$L, "&gt;=" &amp; ($X$2 - W$5),
          'Unit-Level Data'!$L:$L, "&lt;" &amp; $X$2,
          'Unit-Level Data'!$D:$D, INDIRECT("C"&amp;ROW()),
          'Unit-Level Data'!$B:$B, INDIRECT("B"&amp;ROW()))</f>
        <v>0</v>
      </c>
      <c r="Z271" s="761"/>
      <c r="AA271" s="735" cm="1">
        <f t="array" aca="true" ref="AA271" ca="true">IFERROR(AVERAGEIFS(
  unit_details[Sqft],
  unit_details[Property Name], INDIRECT("B"&amp;ROW()),
  unit_details[Floorplan Name], INDIRECT("C"&amp;ROW()),
  unit_details[Beds], INDIRECT("D"&amp;ROW()),
  unit_details[Detected Unit Amenities], "*"&amp;$AB$3&amp;"*",
  unit_details[Leased Date], "&gt;=" &amp; ($X$2 - $AD$3)
),0)</f>
        <v>0</v>
      </c>
      <c r="AB271" s="734" cm="1">
        <f t="array" aca="true" ref="AB2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1" s="733" cm="1">
        <f t="array" aca="true" ref="AC271" ca="true">IFERROR(COUNTIFS(
  unit_details[Property Name], INDIRECT("B"&amp;ROW()),
  unit_details[Floorplan Name], INDIRECT("C"&amp;ROW()),
  unit_details[Beds], INDIRECT("D"&amp;ROW()),
  unit_details[Detected Unit Amenities], "*"&amp;$AB$3&amp;"*",
  unit_details[Leased Date], "&gt;=" &amp; ($X$2 - $AD$3)
),0)</f>
        <v>0</v>
      </c>
      <c r="AD271" s="735" cm="1">
        <f t="array" aca="true" ref="AD271" ca="true">IFERROR(AVERAGEIFS(
  unit_details[Sqft],
  unit_details[Property Name], INDIRECT("B"&amp;ROW()),
  unit_details[Floorplan Name], INDIRECT("C"&amp;ROW()),
  unit_details[Beds], INDIRECT("D"&amp;ROW()),
  unit_details[Detected Unit Amenities], "&lt;&gt;*"&amp;$AB$3&amp;"*",
  unit_details[Leased Date], "&gt;=" &amp; ($X$2 - $AD$3)
),0)</f>
        <v>0</v>
      </c>
      <c r="AE271" s="734" cm="1">
        <f t="array" aca="true" ref="AE2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1" s="733" cm="1">
        <f t="array" aca="true" ref="AF271" ca="true">IFERROR(COUNTIFS(
  unit_details[Property Name], INDIRECT("B"&amp;ROW()),
  unit_details[Floorplan Name], INDIRECT("C"&amp;ROW()),
  unit_details[Beds], INDIRECT("D"&amp;ROW()),
  unit_details[Detected Unit Amenities], "&lt;&gt;*"&amp;$AB$3&amp;"*",
  unit_details[Leased Date], "&gt;=" &amp; ($X$2 - $AD$3)
),0)</f>
        <v>0</v>
      </c>
      <c r="AG271" s="735"/>
      <c r="AH271" s="738">
        <f t="shared" ca="true" si="10"/>
        <v>0</v>
      </c>
      <c r="AI271" s="739">
        <f t="shared" ca="true" si="11"/>
        <v>0</v>
      </c>
    </row>
    <row r="272" spans="2:35">
      <c r="B272" s="1"/>
      <c r="C272" s="80"/>
      <c r="E272" s="303"/>
      <c r="F272" s="303"/>
      <c r="J272" s="345"/>
      <c r="K272" s="6"/>
      <c r="M272" s="745"/>
      <c r="N272" s="738" t="str" cm="1">
        <f t="array" aca="true" ref="N272" ca="true">IFERROR(IF($O$3="Chunk Rent",
AVERAGEIFS('Unit-Level Data'!$O:$O,'Unit-Level Data'!$M:$M,TRUE,
          'Unit-Level Data'!$D:$D, INDIRECT("C"&amp;ROW()),
          'Unit-Level Data'!$B:$B, INDIRECT("B"&amp;ROW())),
AVERAGEIFS('Unit-Level Data'!$P:$P,'Unit-Level Data'!$M:$M,TRUE,
          'Unit-Level Data'!$D:$D, INDIRECT("C"&amp;ROW()),
          'Unit-Level Data'!$B:$B, INDIRECT("B"&amp;ROW()))),"")</f>
      </c>
      <c r="O272" s="760" t="str" cm="1">
        <f t="array" aca="true" ref="O272" ca="true">IFERROR(IF($O$3="Chunk Rent",
AVERAGEIFS('Unit-Level Data'!$Q:$Q,'Unit-Level Data'!$M:$M,TRUE,
          'Unit-Level Data'!$D:$D, INDIRECT("C"&amp;ROW()),
          'Unit-Level Data'!$B:$B, INDIRECT("B"&amp;ROW())),
AVERAGEIFS('Unit-Level Data'!$R:$R,'Unit-Level Data'!$M:$M,TRUE,
          'Unit-Level Data'!$D:$D, INDIRECT("C"&amp;ROW()),
          'Unit-Level Data'!$B:$B, INDIRECT("B"&amp;ROW()))),"")</f>
      </c>
      <c r="P272" s="733" cm="1">
        <f t="array" aca="true" ref="P272" ca="true">COUNTIFS('Unit-Level Data'!$M:$M,TRUE,
          'Unit-Level Data'!$D:$D, INDIRECT("C"&amp;ROW()),
          'Unit-Level Data'!$B:$B, INDIRECT("B"&amp;ROW()))</f>
        <v>0</v>
      </c>
      <c r="Q272" s="738" t="str" cm="1">
        <f t="array" aca="true" ref="Q2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2" s="760" t="str" cm="1">
        <f t="array" aca="true" ref="R2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2" s="733" cm="1">
        <f t="array" aca="true" ref="S272" ca="true">COUNTIFS('Unit-Level Data'!$L:$L, "&gt;=" &amp; ($X$2 - Q$5),
          'Unit-Level Data'!$L:$L, "&lt;" &amp; $X$2,
          'Unit-Level Data'!$D:$D, INDIRECT("C"&amp;ROW()),
          'Unit-Level Data'!$B:$B, INDIRECT("B"&amp;ROW()))</f>
        <v>0</v>
      </c>
      <c r="T272" s="738" t="str" cm="1">
        <f t="array" aca="true" ref="T2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2" s="760" t="str" cm="1">
        <f t="array" aca="true" ref="U2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2" s="733" cm="1">
        <f t="array" aca="true" ref="V272" ca="true">COUNTIFS('Unit-Level Data'!$L:$L, "&gt;=" &amp; ($X$2 - T$5),
          'Unit-Level Data'!$L:$L, "&lt;" &amp; $X$2,
          'Unit-Level Data'!$D:$D, INDIRECT("C"&amp;ROW()),
          'Unit-Level Data'!$B:$B, INDIRECT("B"&amp;ROW()))</f>
        <v>0</v>
      </c>
      <c r="W272" s="738" t="str" cm="1">
        <f t="array" aca="true" ref="W2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2" s="760" t="str" cm="1">
        <f t="array" aca="true" ref="X2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2" s="733" cm="1">
        <f t="array" aca="true" ref="Y272" ca="true">COUNTIFS('Unit-Level Data'!$L:$L, "&gt;=" &amp; ($X$2 - W$5),
          'Unit-Level Data'!$L:$L, "&lt;" &amp; $X$2,
          'Unit-Level Data'!$D:$D, INDIRECT("C"&amp;ROW()),
          'Unit-Level Data'!$B:$B, INDIRECT("B"&amp;ROW()))</f>
        <v>0</v>
      </c>
      <c r="Z272" s="761"/>
      <c r="AA272" s="735" cm="1">
        <f t="array" aca="true" ref="AA272" ca="true">IFERROR(AVERAGEIFS(
  unit_details[Sqft],
  unit_details[Property Name], INDIRECT("B"&amp;ROW()),
  unit_details[Floorplan Name], INDIRECT("C"&amp;ROW()),
  unit_details[Beds], INDIRECT("D"&amp;ROW()),
  unit_details[Detected Unit Amenities], "*"&amp;$AB$3&amp;"*",
  unit_details[Leased Date], "&gt;=" &amp; ($X$2 - $AD$3)
),0)</f>
        <v>0</v>
      </c>
      <c r="AB272" s="734" cm="1">
        <f t="array" aca="true" ref="AB2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2" s="733" cm="1">
        <f t="array" aca="true" ref="AC272" ca="true">IFERROR(COUNTIFS(
  unit_details[Property Name], INDIRECT("B"&amp;ROW()),
  unit_details[Floorplan Name], INDIRECT("C"&amp;ROW()),
  unit_details[Beds], INDIRECT("D"&amp;ROW()),
  unit_details[Detected Unit Amenities], "*"&amp;$AB$3&amp;"*",
  unit_details[Leased Date], "&gt;=" &amp; ($X$2 - $AD$3)
),0)</f>
        <v>0</v>
      </c>
      <c r="AD272" s="735" cm="1">
        <f t="array" aca="true" ref="AD272" ca="true">IFERROR(AVERAGEIFS(
  unit_details[Sqft],
  unit_details[Property Name], INDIRECT("B"&amp;ROW()),
  unit_details[Floorplan Name], INDIRECT("C"&amp;ROW()),
  unit_details[Beds], INDIRECT("D"&amp;ROW()),
  unit_details[Detected Unit Amenities], "&lt;&gt;*"&amp;$AB$3&amp;"*",
  unit_details[Leased Date], "&gt;=" &amp; ($X$2 - $AD$3)
),0)</f>
        <v>0</v>
      </c>
      <c r="AE272" s="734" cm="1">
        <f t="array" aca="true" ref="AE2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2" s="733" cm="1">
        <f t="array" aca="true" ref="AF272" ca="true">IFERROR(COUNTIFS(
  unit_details[Property Name], INDIRECT("B"&amp;ROW()),
  unit_details[Floorplan Name], INDIRECT("C"&amp;ROW()),
  unit_details[Beds], INDIRECT("D"&amp;ROW()),
  unit_details[Detected Unit Amenities], "&lt;&gt;*"&amp;$AB$3&amp;"*",
  unit_details[Leased Date], "&gt;=" &amp; ($X$2 - $AD$3)
),0)</f>
        <v>0</v>
      </c>
      <c r="AG272" s="735"/>
      <c r="AH272" s="738">
        <f t="shared" ca="true" si="10"/>
        <v>0</v>
      </c>
      <c r="AI272" s="739">
        <f t="shared" ca="true" si="11"/>
        <v>0</v>
      </c>
    </row>
    <row r="273" spans="2:35">
      <c r="B273" s="1"/>
      <c r="C273" s="80"/>
      <c r="E273" s="303"/>
      <c r="F273" s="303"/>
      <c r="J273" s="345"/>
      <c r="K273" s="6"/>
      <c r="M273" s="745"/>
      <c r="N273" s="738" t="str" cm="1">
        <f t="array" aca="true" ref="N273" ca="true">IFERROR(IF($O$3="Chunk Rent",
AVERAGEIFS('Unit-Level Data'!$O:$O,'Unit-Level Data'!$M:$M,TRUE,
          'Unit-Level Data'!$D:$D, INDIRECT("C"&amp;ROW()),
          'Unit-Level Data'!$B:$B, INDIRECT("B"&amp;ROW())),
AVERAGEIFS('Unit-Level Data'!$P:$P,'Unit-Level Data'!$M:$M,TRUE,
          'Unit-Level Data'!$D:$D, INDIRECT("C"&amp;ROW()),
          'Unit-Level Data'!$B:$B, INDIRECT("B"&amp;ROW()))),"")</f>
      </c>
      <c r="O273" s="760" t="str" cm="1">
        <f t="array" aca="true" ref="O273" ca="true">IFERROR(IF($O$3="Chunk Rent",
AVERAGEIFS('Unit-Level Data'!$Q:$Q,'Unit-Level Data'!$M:$M,TRUE,
          'Unit-Level Data'!$D:$D, INDIRECT("C"&amp;ROW()),
          'Unit-Level Data'!$B:$B, INDIRECT("B"&amp;ROW())),
AVERAGEIFS('Unit-Level Data'!$R:$R,'Unit-Level Data'!$M:$M,TRUE,
          'Unit-Level Data'!$D:$D, INDIRECT("C"&amp;ROW()),
          'Unit-Level Data'!$B:$B, INDIRECT("B"&amp;ROW()))),"")</f>
      </c>
      <c r="P273" s="733" cm="1">
        <f t="array" aca="true" ref="P273" ca="true">COUNTIFS('Unit-Level Data'!$M:$M,TRUE,
          'Unit-Level Data'!$D:$D, INDIRECT("C"&amp;ROW()),
          'Unit-Level Data'!$B:$B, INDIRECT("B"&amp;ROW()))</f>
        <v>0</v>
      </c>
      <c r="Q273" s="738" t="str" cm="1">
        <f t="array" aca="true" ref="Q2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3" s="760" t="str" cm="1">
        <f t="array" aca="true" ref="R2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3" s="733" cm="1">
        <f t="array" aca="true" ref="S273" ca="true">COUNTIFS('Unit-Level Data'!$L:$L, "&gt;=" &amp; ($X$2 - Q$5),
          'Unit-Level Data'!$L:$L, "&lt;" &amp; $X$2,
          'Unit-Level Data'!$D:$D, INDIRECT("C"&amp;ROW()),
          'Unit-Level Data'!$B:$B, INDIRECT("B"&amp;ROW()))</f>
        <v>0</v>
      </c>
      <c r="T273" s="738" t="str" cm="1">
        <f t="array" aca="true" ref="T2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3" s="760" t="str" cm="1">
        <f t="array" aca="true" ref="U2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3" s="733" cm="1">
        <f t="array" aca="true" ref="V273" ca="true">COUNTIFS('Unit-Level Data'!$L:$L, "&gt;=" &amp; ($X$2 - T$5),
          'Unit-Level Data'!$L:$L, "&lt;" &amp; $X$2,
          'Unit-Level Data'!$D:$D, INDIRECT("C"&amp;ROW()),
          'Unit-Level Data'!$B:$B, INDIRECT("B"&amp;ROW()))</f>
        <v>0</v>
      </c>
      <c r="W273" s="738" t="str" cm="1">
        <f t="array" aca="true" ref="W2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3" s="760" t="str" cm="1">
        <f t="array" aca="true" ref="X2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3" s="733" cm="1">
        <f t="array" aca="true" ref="Y273" ca="true">COUNTIFS('Unit-Level Data'!$L:$L, "&gt;=" &amp; ($X$2 - W$5),
          'Unit-Level Data'!$L:$L, "&lt;" &amp; $X$2,
          'Unit-Level Data'!$D:$D, INDIRECT("C"&amp;ROW()),
          'Unit-Level Data'!$B:$B, INDIRECT("B"&amp;ROW()))</f>
        <v>0</v>
      </c>
      <c r="Z273" s="761"/>
      <c r="AA273" s="735" cm="1">
        <f t="array" aca="true" ref="AA273" ca="true">IFERROR(AVERAGEIFS(
  unit_details[Sqft],
  unit_details[Property Name], INDIRECT("B"&amp;ROW()),
  unit_details[Floorplan Name], INDIRECT("C"&amp;ROW()),
  unit_details[Beds], INDIRECT("D"&amp;ROW()),
  unit_details[Detected Unit Amenities], "*"&amp;$AB$3&amp;"*",
  unit_details[Leased Date], "&gt;=" &amp; ($X$2 - $AD$3)
),0)</f>
        <v>0</v>
      </c>
      <c r="AB273" s="734" cm="1">
        <f t="array" aca="true" ref="AB2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3" s="733" cm="1">
        <f t="array" aca="true" ref="AC273" ca="true">IFERROR(COUNTIFS(
  unit_details[Property Name], INDIRECT("B"&amp;ROW()),
  unit_details[Floorplan Name], INDIRECT("C"&amp;ROW()),
  unit_details[Beds], INDIRECT("D"&amp;ROW()),
  unit_details[Detected Unit Amenities], "*"&amp;$AB$3&amp;"*",
  unit_details[Leased Date], "&gt;=" &amp; ($X$2 - $AD$3)
),0)</f>
        <v>0</v>
      </c>
      <c r="AD273" s="735" cm="1">
        <f t="array" aca="true" ref="AD273" ca="true">IFERROR(AVERAGEIFS(
  unit_details[Sqft],
  unit_details[Property Name], INDIRECT("B"&amp;ROW()),
  unit_details[Floorplan Name], INDIRECT("C"&amp;ROW()),
  unit_details[Beds], INDIRECT("D"&amp;ROW()),
  unit_details[Detected Unit Amenities], "&lt;&gt;*"&amp;$AB$3&amp;"*",
  unit_details[Leased Date], "&gt;=" &amp; ($X$2 - $AD$3)
),0)</f>
        <v>0</v>
      </c>
      <c r="AE273" s="734" cm="1">
        <f t="array" aca="true" ref="AE2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3" s="733" cm="1">
        <f t="array" aca="true" ref="AF273" ca="true">IFERROR(COUNTIFS(
  unit_details[Property Name], INDIRECT("B"&amp;ROW()),
  unit_details[Floorplan Name], INDIRECT("C"&amp;ROW()),
  unit_details[Beds], INDIRECT("D"&amp;ROW()),
  unit_details[Detected Unit Amenities], "&lt;&gt;*"&amp;$AB$3&amp;"*",
  unit_details[Leased Date], "&gt;=" &amp; ($X$2 - $AD$3)
),0)</f>
        <v>0</v>
      </c>
      <c r="AG273" s="735"/>
      <c r="AH273" s="738">
        <f t="shared" ca="true" si="10"/>
        <v>0</v>
      </c>
      <c r="AI273" s="739">
        <f t="shared" ca="true" si="11"/>
        <v>0</v>
      </c>
    </row>
    <row r="274" spans="2:35">
      <c r="B274" s="1"/>
      <c r="C274" s="80"/>
      <c r="E274" s="303"/>
      <c r="F274" s="303"/>
      <c r="J274" s="345"/>
      <c r="K274" s="6"/>
      <c r="M274" s="745"/>
      <c r="N274" s="738" t="str" cm="1">
        <f t="array" aca="true" ref="N274" ca="true">IFERROR(IF($O$3="Chunk Rent",
AVERAGEIFS('Unit-Level Data'!$O:$O,'Unit-Level Data'!$M:$M,TRUE,
          'Unit-Level Data'!$D:$D, INDIRECT("C"&amp;ROW()),
          'Unit-Level Data'!$B:$B, INDIRECT("B"&amp;ROW())),
AVERAGEIFS('Unit-Level Data'!$P:$P,'Unit-Level Data'!$M:$M,TRUE,
          'Unit-Level Data'!$D:$D, INDIRECT("C"&amp;ROW()),
          'Unit-Level Data'!$B:$B, INDIRECT("B"&amp;ROW()))),"")</f>
      </c>
      <c r="O274" s="760" t="str" cm="1">
        <f t="array" aca="true" ref="O274" ca="true">IFERROR(IF($O$3="Chunk Rent",
AVERAGEIFS('Unit-Level Data'!$Q:$Q,'Unit-Level Data'!$M:$M,TRUE,
          'Unit-Level Data'!$D:$D, INDIRECT("C"&amp;ROW()),
          'Unit-Level Data'!$B:$B, INDIRECT("B"&amp;ROW())),
AVERAGEIFS('Unit-Level Data'!$R:$R,'Unit-Level Data'!$M:$M,TRUE,
          'Unit-Level Data'!$D:$D, INDIRECT("C"&amp;ROW()),
          'Unit-Level Data'!$B:$B, INDIRECT("B"&amp;ROW()))),"")</f>
      </c>
      <c r="P274" s="733" cm="1">
        <f t="array" aca="true" ref="P274" ca="true">COUNTIFS('Unit-Level Data'!$M:$M,TRUE,
          'Unit-Level Data'!$D:$D, INDIRECT("C"&amp;ROW()),
          'Unit-Level Data'!$B:$B, INDIRECT("B"&amp;ROW()))</f>
        <v>0</v>
      </c>
      <c r="Q274" s="738" t="str" cm="1">
        <f t="array" aca="true" ref="Q2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4" s="760" t="str" cm="1">
        <f t="array" aca="true" ref="R2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4" s="733" cm="1">
        <f t="array" aca="true" ref="S274" ca="true">COUNTIFS('Unit-Level Data'!$L:$L, "&gt;=" &amp; ($X$2 - Q$5),
          'Unit-Level Data'!$L:$L, "&lt;" &amp; $X$2,
          'Unit-Level Data'!$D:$D, INDIRECT("C"&amp;ROW()),
          'Unit-Level Data'!$B:$B, INDIRECT("B"&amp;ROW()))</f>
        <v>0</v>
      </c>
      <c r="T274" s="738" t="str" cm="1">
        <f t="array" aca="true" ref="T2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4" s="760" t="str" cm="1">
        <f t="array" aca="true" ref="U2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4" s="733" cm="1">
        <f t="array" aca="true" ref="V274" ca="true">COUNTIFS('Unit-Level Data'!$L:$L, "&gt;=" &amp; ($X$2 - T$5),
          'Unit-Level Data'!$L:$L, "&lt;" &amp; $X$2,
          'Unit-Level Data'!$D:$D, INDIRECT("C"&amp;ROW()),
          'Unit-Level Data'!$B:$B, INDIRECT("B"&amp;ROW()))</f>
        <v>0</v>
      </c>
      <c r="W274" s="738" t="str" cm="1">
        <f t="array" aca="true" ref="W2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4" s="760" t="str" cm="1">
        <f t="array" aca="true" ref="X2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4" s="733" cm="1">
        <f t="array" aca="true" ref="Y274" ca="true">COUNTIFS('Unit-Level Data'!$L:$L, "&gt;=" &amp; ($X$2 - W$5),
          'Unit-Level Data'!$L:$L, "&lt;" &amp; $X$2,
          'Unit-Level Data'!$D:$D, INDIRECT("C"&amp;ROW()),
          'Unit-Level Data'!$B:$B, INDIRECT("B"&amp;ROW()))</f>
        <v>0</v>
      </c>
      <c r="Z274" s="761"/>
      <c r="AA274" s="735" cm="1">
        <f t="array" aca="true" ref="AA274" ca="true">IFERROR(AVERAGEIFS(
  unit_details[Sqft],
  unit_details[Property Name], INDIRECT("B"&amp;ROW()),
  unit_details[Floorplan Name], INDIRECT("C"&amp;ROW()),
  unit_details[Beds], INDIRECT("D"&amp;ROW()),
  unit_details[Detected Unit Amenities], "*"&amp;$AB$3&amp;"*",
  unit_details[Leased Date], "&gt;=" &amp; ($X$2 - $AD$3)
),0)</f>
        <v>0</v>
      </c>
      <c r="AB274" s="734" cm="1">
        <f t="array" aca="true" ref="AB2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4" s="733" cm="1">
        <f t="array" aca="true" ref="AC274" ca="true">IFERROR(COUNTIFS(
  unit_details[Property Name], INDIRECT("B"&amp;ROW()),
  unit_details[Floorplan Name], INDIRECT("C"&amp;ROW()),
  unit_details[Beds], INDIRECT("D"&amp;ROW()),
  unit_details[Detected Unit Amenities], "*"&amp;$AB$3&amp;"*",
  unit_details[Leased Date], "&gt;=" &amp; ($X$2 - $AD$3)
),0)</f>
        <v>0</v>
      </c>
      <c r="AD274" s="735" cm="1">
        <f t="array" aca="true" ref="AD274" ca="true">IFERROR(AVERAGEIFS(
  unit_details[Sqft],
  unit_details[Property Name], INDIRECT("B"&amp;ROW()),
  unit_details[Floorplan Name], INDIRECT("C"&amp;ROW()),
  unit_details[Beds], INDIRECT("D"&amp;ROW()),
  unit_details[Detected Unit Amenities], "&lt;&gt;*"&amp;$AB$3&amp;"*",
  unit_details[Leased Date], "&gt;=" &amp; ($X$2 - $AD$3)
),0)</f>
        <v>0</v>
      </c>
      <c r="AE274" s="734" cm="1">
        <f t="array" aca="true" ref="AE2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4" s="733" cm="1">
        <f t="array" aca="true" ref="AF274" ca="true">IFERROR(COUNTIFS(
  unit_details[Property Name], INDIRECT("B"&amp;ROW()),
  unit_details[Floorplan Name], INDIRECT("C"&amp;ROW()),
  unit_details[Beds], INDIRECT("D"&amp;ROW()),
  unit_details[Detected Unit Amenities], "&lt;&gt;*"&amp;$AB$3&amp;"*",
  unit_details[Leased Date], "&gt;=" &amp; ($X$2 - $AD$3)
),0)</f>
        <v>0</v>
      </c>
      <c r="AG274" s="735"/>
      <c r="AH274" s="738">
        <f t="shared" ca="true" si="10"/>
        <v>0</v>
      </c>
      <c r="AI274" s="739">
        <f t="shared" ca="true" si="11"/>
        <v>0</v>
      </c>
    </row>
    <row r="275" spans="2:35">
      <c r="B275" s="1"/>
      <c r="C275" s="80"/>
      <c r="E275" s="303"/>
      <c r="F275" s="303"/>
      <c r="J275" s="345"/>
      <c r="K275" s="6"/>
      <c r="M275" s="745"/>
      <c r="N275" s="738" t="str" cm="1">
        <f t="array" aca="true" ref="N275" ca="true">IFERROR(IF($O$3="Chunk Rent",
AVERAGEIFS('Unit-Level Data'!$O:$O,'Unit-Level Data'!$M:$M,TRUE,
          'Unit-Level Data'!$D:$D, INDIRECT("C"&amp;ROW()),
          'Unit-Level Data'!$B:$B, INDIRECT("B"&amp;ROW())),
AVERAGEIFS('Unit-Level Data'!$P:$P,'Unit-Level Data'!$M:$M,TRUE,
          'Unit-Level Data'!$D:$D, INDIRECT("C"&amp;ROW()),
          'Unit-Level Data'!$B:$B, INDIRECT("B"&amp;ROW()))),"")</f>
      </c>
      <c r="O275" s="760" t="str" cm="1">
        <f t="array" aca="true" ref="O275" ca="true">IFERROR(IF($O$3="Chunk Rent",
AVERAGEIFS('Unit-Level Data'!$Q:$Q,'Unit-Level Data'!$M:$M,TRUE,
          'Unit-Level Data'!$D:$D, INDIRECT("C"&amp;ROW()),
          'Unit-Level Data'!$B:$B, INDIRECT("B"&amp;ROW())),
AVERAGEIFS('Unit-Level Data'!$R:$R,'Unit-Level Data'!$M:$M,TRUE,
          'Unit-Level Data'!$D:$D, INDIRECT("C"&amp;ROW()),
          'Unit-Level Data'!$B:$B, INDIRECT("B"&amp;ROW()))),"")</f>
      </c>
      <c r="P275" s="733" cm="1">
        <f t="array" aca="true" ref="P275" ca="true">COUNTIFS('Unit-Level Data'!$M:$M,TRUE,
          'Unit-Level Data'!$D:$D, INDIRECT("C"&amp;ROW()),
          'Unit-Level Data'!$B:$B, INDIRECT("B"&amp;ROW()))</f>
        <v>0</v>
      </c>
      <c r="Q275" s="738" t="str" cm="1">
        <f t="array" aca="true" ref="Q2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5" s="760" t="str" cm="1">
        <f t="array" aca="true" ref="R2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5" s="733" cm="1">
        <f t="array" aca="true" ref="S275" ca="true">COUNTIFS('Unit-Level Data'!$L:$L, "&gt;=" &amp; ($X$2 - Q$5),
          'Unit-Level Data'!$L:$L, "&lt;" &amp; $X$2,
          'Unit-Level Data'!$D:$D, INDIRECT("C"&amp;ROW()),
          'Unit-Level Data'!$B:$B, INDIRECT("B"&amp;ROW()))</f>
        <v>0</v>
      </c>
      <c r="T275" s="738" t="str" cm="1">
        <f t="array" aca="true" ref="T2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5" s="760" t="str" cm="1">
        <f t="array" aca="true" ref="U2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5" s="733" cm="1">
        <f t="array" aca="true" ref="V275" ca="true">COUNTIFS('Unit-Level Data'!$L:$L, "&gt;=" &amp; ($X$2 - T$5),
          'Unit-Level Data'!$L:$L, "&lt;" &amp; $X$2,
          'Unit-Level Data'!$D:$D, INDIRECT("C"&amp;ROW()),
          'Unit-Level Data'!$B:$B, INDIRECT("B"&amp;ROW()))</f>
        <v>0</v>
      </c>
      <c r="W275" s="738" t="str" cm="1">
        <f t="array" aca="true" ref="W2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5" s="760" t="str" cm="1">
        <f t="array" aca="true" ref="X2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5" s="733" cm="1">
        <f t="array" aca="true" ref="Y275" ca="true">COUNTIFS('Unit-Level Data'!$L:$L, "&gt;=" &amp; ($X$2 - W$5),
          'Unit-Level Data'!$L:$L, "&lt;" &amp; $X$2,
          'Unit-Level Data'!$D:$D, INDIRECT("C"&amp;ROW()),
          'Unit-Level Data'!$B:$B, INDIRECT("B"&amp;ROW()))</f>
        <v>0</v>
      </c>
      <c r="Z275" s="761"/>
      <c r="AA275" s="735" cm="1">
        <f t="array" aca="true" ref="AA275" ca="true">IFERROR(AVERAGEIFS(
  unit_details[Sqft],
  unit_details[Property Name], INDIRECT("B"&amp;ROW()),
  unit_details[Floorplan Name], INDIRECT("C"&amp;ROW()),
  unit_details[Beds], INDIRECT("D"&amp;ROW()),
  unit_details[Detected Unit Amenities], "*"&amp;$AB$3&amp;"*",
  unit_details[Leased Date], "&gt;=" &amp; ($X$2 - $AD$3)
),0)</f>
        <v>0</v>
      </c>
      <c r="AB275" s="734" cm="1">
        <f t="array" aca="true" ref="AB2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5" s="733" cm="1">
        <f t="array" aca="true" ref="AC275" ca="true">IFERROR(COUNTIFS(
  unit_details[Property Name], INDIRECT("B"&amp;ROW()),
  unit_details[Floorplan Name], INDIRECT("C"&amp;ROW()),
  unit_details[Beds], INDIRECT("D"&amp;ROW()),
  unit_details[Detected Unit Amenities], "*"&amp;$AB$3&amp;"*",
  unit_details[Leased Date], "&gt;=" &amp; ($X$2 - $AD$3)
),0)</f>
        <v>0</v>
      </c>
      <c r="AD275" s="735" cm="1">
        <f t="array" aca="true" ref="AD275" ca="true">IFERROR(AVERAGEIFS(
  unit_details[Sqft],
  unit_details[Property Name], INDIRECT("B"&amp;ROW()),
  unit_details[Floorplan Name], INDIRECT("C"&amp;ROW()),
  unit_details[Beds], INDIRECT("D"&amp;ROW()),
  unit_details[Detected Unit Amenities], "&lt;&gt;*"&amp;$AB$3&amp;"*",
  unit_details[Leased Date], "&gt;=" &amp; ($X$2 - $AD$3)
),0)</f>
        <v>0</v>
      </c>
      <c r="AE275" s="734" cm="1">
        <f t="array" aca="true" ref="AE2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5" s="733" cm="1">
        <f t="array" aca="true" ref="AF275" ca="true">IFERROR(COUNTIFS(
  unit_details[Property Name], INDIRECT("B"&amp;ROW()),
  unit_details[Floorplan Name], INDIRECT("C"&amp;ROW()),
  unit_details[Beds], INDIRECT("D"&amp;ROW()),
  unit_details[Detected Unit Amenities], "&lt;&gt;*"&amp;$AB$3&amp;"*",
  unit_details[Leased Date], "&gt;=" &amp; ($X$2 - $AD$3)
),0)</f>
        <v>0</v>
      </c>
      <c r="AG275" s="735"/>
      <c r="AH275" s="738">
        <f t="shared" ca="true" si="10"/>
        <v>0</v>
      </c>
      <c r="AI275" s="739">
        <f t="shared" ca="true" si="11"/>
        <v>0</v>
      </c>
    </row>
    <row r="276" spans="2:35">
      <c r="B276" s="1"/>
      <c r="C276" s="80"/>
      <c r="E276" s="303"/>
      <c r="F276" s="303"/>
      <c r="J276" s="345"/>
      <c r="K276" s="6"/>
      <c r="M276" s="745"/>
      <c r="N276" s="738" t="str" cm="1">
        <f t="array" aca="true" ref="N276" ca="true">IFERROR(IF($O$3="Chunk Rent",
AVERAGEIFS('Unit-Level Data'!$O:$O,'Unit-Level Data'!$M:$M,TRUE,
          'Unit-Level Data'!$D:$D, INDIRECT("C"&amp;ROW()),
          'Unit-Level Data'!$B:$B, INDIRECT("B"&amp;ROW())),
AVERAGEIFS('Unit-Level Data'!$P:$P,'Unit-Level Data'!$M:$M,TRUE,
          'Unit-Level Data'!$D:$D, INDIRECT("C"&amp;ROW()),
          'Unit-Level Data'!$B:$B, INDIRECT("B"&amp;ROW()))),"")</f>
      </c>
      <c r="O276" s="760" t="str" cm="1">
        <f t="array" aca="true" ref="O276" ca="true">IFERROR(IF($O$3="Chunk Rent",
AVERAGEIFS('Unit-Level Data'!$Q:$Q,'Unit-Level Data'!$M:$M,TRUE,
          'Unit-Level Data'!$D:$D, INDIRECT("C"&amp;ROW()),
          'Unit-Level Data'!$B:$B, INDIRECT("B"&amp;ROW())),
AVERAGEIFS('Unit-Level Data'!$R:$R,'Unit-Level Data'!$M:$M,TRUE,
          'Unit-Level Data'!$D:$D, INDIRECT("C"&amp;ROW()),
          'Unit-Level Data'!$B:$B, INDIRECT("B"&amp;ROW()))),"")</f>
      </c>
      <c r="P276" s="733" cm="1">
        <f t="array" aca="true" ref="P276" ca="true">COUNTIFS('Unit-Level Data'!$M:$M,TRUE,
          'Unit-Level Data'!$D:$D, INDIRECT("C"&amp;ROW()),
          'Unit-Level Data'!$B:$B, INDIRECT("B"&amp;ROW()))</f>
        <v>0</v>
      </c>
      <c r="Q276" s="738" t="str" cm="1">
        <f t="array" aca="true" ref="Q2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6" s="760" t="str" cm="1">
        <f t="array" aca="true" ref="R2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6" s="733" cm="1">
        <f t="array" aca="true" ref="S276" ca="true">COUNTIFS('Unit-Level Data'!$L:$L, "&gt;=" &amp; ($X$2 - Q$5),
          'Unit-Level Data'!$L:$L, "&lt;" &amp; $X$2,
          'Unit-Level Data'!$D:$D, INDIRECT("C"&amp;ROW()),
          'Unit-Level Data'!$B:$B, INDIRECT("B"&amp;ROW()))</f>
        <v>0</v>
      </c>
      <c r="T276" s="738" t="str" cm="1">
        <f t="array" aca="true" ref="T2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6" s="760" t="str" cm="1">
        <f t="array" aca="true" ref="U2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6" s="733" cm="1">
        <f t="array" aca="true" ref="V276" ca="true">COUNTIFS('Unit-Level Data'!$L:$L, "&gt;=" &amp; ($X$2 - T$5),
          'Unit-Level Data'!$L:$L, "&lt;" &amp; $X$2,
          'Unit-Level Data'!$D:$D, INDIRECT("C"&amp;ROW()),
          'Unit-Level Data'!$B:$B, INDIRECT("B"&amp;ROW()))</f>
        <v>0</v>
      </c>
      <c r="W276" s="738" t="str" cm="1">
        <f t="array" aca="true" ref="W2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6" s="760" t="str" cm="1">
        <f t="array" aca="true" ref="X2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6" s="733" cm="1">
        <f t="array" aca="true" ref="Y276" ca="true">COUNTIFS('Unit-Level Data'!$L:$L, "&gt;=" &amp; ($X$2 - W$5),
          'Unit-Level Data'!$L:$L, "&lt;" &amp; $X$2,
          'Unit-Level Data'!$D:$D, INDIRECT("C"&amp;ROW()),
          'Unit-Level Data'!$B:$B, INDIRECT("B"&amp;ROW()))</f>
        <v>0</v>
      </c>
      <c r="Z276" s="761"/>
      <c r="AA276" s="735" cm="1">
        <f t="array" aca="true" ref="AA276" ca="true">IFERROR(AVERAGEIFS(
  unit_details[Sqft],
  unit_details[Property Name], INDIRECT("B"&amp;ROW()),
  unit_details[Floorplan Name], INDIRECT("C"&amp;ROW()),
  unit_details[Beds], INDIRECT("D"&amp;ROW()),
  unit_details[Detected Unit Amenities], "*"&amp;$AB$3&amp;"*",
  unit_details[Leased Date], "&gt;=" &amp; ($X$2 - $AD$3)
),0)</f>
        <v>0</v>
      </c>
      <c r="AB276" s="734" cm="1">
        <f t="array" aca="true" ref="AB2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6" s="733" cm="1">
        <f t="array" aca="true" ref="AC276" ca="true">IFERROR(COUNTIFS(
  unit_details[Property Name], INDIRECT("B"&amp;ROW()),
  unit_details[Floorplan Name], INDIRECT("C"&amp;ROW()),
  unit_details[Beds], INDIRECT("D"&amp;ROW()),
  unit_details[Detected Unit Amenities], "*"&amp;$AB$3&amp;"*",
  unit_details[Leased Date], "&gt;=" &amp; ($X$2 - $AD$3)
),0)</f>
        <v>0</v>
      </c>
      <c r="AD276" s="735" cm="1">
        <f t="array" aca="true" ref="AD276" ca="true">IFERROR(AVERAGEIFS(
  unit_details[Sqft],
  unit_details[Property Name], INDIRECT("B"&amp;ROW()),
  unit_details[Floorplan Name], INDIRECT("C"&amp;ROW()),
  unit_details[Beds], INDIRECT("D"&amp;ROW()),
  unit_details[Detected Unit Amenities], "&lt;&gt;*"&amp;$AB$3&amp;"*",
  unit_details[Leased Date], "&gt;=" &amp; ($X$2 - $AD$3)
),0)</f>
        <v>0</v>
      </c>
      <c r="AE276" s="734" cm="1">
        <f t="array" aca="true" ref="AE2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6" s="733" cm="1">
        <f t="array" aca="true" ref="AF276" ca="true">IFERROR(COUNTIFS(
  unit_details[Property Name], INDIRECT("B"&amp;ROW()),
  unit_details[Floorplan Name], INDIRECT("C"&amp;ROW()),
  unit_details[Beds], INDIRECT("D"&amp;ROW()),
  unit_details[Detected Unit Amenities], "&lt;&gt;*"&amp;$AB$3&amp;"*",
  unit_details[Leased Date], "&gt;=" &amp; ($X$2 - $AD$3)
),0)</f>
        <v>0</v>
      </c>
      <c r="AG276" s="735"/>
      <c r="AH276" s="738">
        <f t="shared" ca="true" si="10"/>
        <v>0</v>
      </c>
      <c r="AI276" s="739">
        <f t="shared" ca="true" si="11"/>
        <v>0</v>
      </c>
    </row>
    <row r="277" spans="2:35">
      <c r="B277" s="1"/>
      <c r="C277" s="80"/>
      <c r="E277" s="303"/>
      <c r="F277" s="303"/>
      <c r="J277" s="345"/>
      <c r="K277" s="6"/>
      <c r="M277" s="745"/>
      <c r="N277" s="738" t="str" cm="1">
        <f t="array" aca="true" ref="N277" ca="true">IFERROR(IF($O$3="Chunk Rent",
AVERAGEIFS('Unit-Level Data'!$O:$O,'Unit-Level Data'!$M:$M,TRUE,
          'Unit-Level Data'!$D:$D, INDIRECT("C"&amp;ROW()),
          'Unit-Level Data'!$B:$B, INDIRECT("B"&amp;ROW())),
AVERAGEIFS('Unit-Level Data'!$P:$P,'Unit-Level Data'!$M:$M,TRUE,
          'Unit-Level Data'!$D:$D, INDIRECT("C"&amp;ROW()),
          'Unit-Level Data'!$B:$B, INDIRECT("B"&amp;ROW()))),"")</f>
      </c>
      <c r="O277" s="760" t="str" cm="1">
        <f t="array" aca="true" ref="O277" ca="true">IFERROR(IF($O$3="Chunk Rent",
AVERAGEIFS('Unit-Level Data'!$Q:$Q,'Unit-Level Data'!$M:$M,TRUE,
          'Unit-Level Data'!$D:$D, INDIRECT("C"&amp;ROW()),
          'Unit-Level Data'!$B:$B, INDIRECT("B"&amp;ROW())),
AVERAGEIFS('Unit-Level Data'!$R:$R,'Unit-Level Data'!$M:$M,TRUE,
          'Unit-Level Data'!$D:$D, INDIRECT("C"&amp;ROW()),
          'Unit-Level Data'!$B:$B, INDIRECT("B"&amp;ROW()))),"")</f>
      </c>
      <c r="P277" s="733" cm="1">
        <f t="array" aca="true" ref="P277" ca="true">COUNTIFS('Unit-Level Data'!$M:$M,TRUE,
          'Unit-Level Data'!$D:$D, INDIRECT("C"&amp;ROW()),
          'Unit-Level Data'!$B:$B, INDIRECT("B"&amp;ROW()))</f>
        <v>0</v>
      </c>
      <c r="Q277" s="738" t="str" cm="1">
        <f t="array" aca="true" ref="Q2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7" s="760" t="str" cm="1">
        <f t="array" aca="true" ref="R2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7" s="733" cm="1">
        <f t="array" aca="true" ref="S277" ca="true">COUNTIFS('Unit-Level Data'!$L:$L, "&gt;=" &amp; ($X$2 - Q$5),
          'Unit-Level Data'!$L:$L, "&lt;" &amp; $X$2,
          'Unit-Level Data'!$D:$D, INDIRECT("C"&amp;ROW()),
          'Unit-Level Data'!$B:$B, INDIRECT("B"&amp;ROW()))</f>
        <v>0</v>
      </c>
      <c r="T277" s="738" t="str" cm="1">
        <f t="array" aca="true" ref="T2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7" s="760" t="str" cm="1">
        <f t="array" aca="true" ref="U2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7" s="733" cm="1">
        <f t="array" aca="true" ref="V277" ca="true">COUNTIFS('Unit-Level Data'!$L:$L, "&gt;=" &amp; ($X$2 - T$5),
          'Unit-Level Data'!$L:$L, "&lt;" &amp; $X$2,
          'Unit-Level Data'!$D:$D, INDIRECT("C"&amp;ROW()),
          'Unit-Level Data'!$B:$B, INDIRECT("B"&amp;ROW()))</f>
        <v>0</v>
      </c>
      <c r="W277" s="738" t="str" cm="1">
        <f t="array" aca="true" ref="W2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7" s="760" t="str" cm="1">
        <f t="array" aca="true" ref="X2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7" s="733" cm="1">
        <f t="array" aca="true" ref="Y277" ca="true">COUNTIFS('Unit-Level Data'!$L:$L, "&gt;=" &amp; ($X$2 - W$5),
          'Unit-Level Data'!$L:$L, "&lt;" &amp; $X$2,
          'Unit-Level Data'!$D:$D, INDIRECT("C"&amp;ROW()),
          'Unit-Level Data'!$B:$B, INDIRECT("B"&amp;ROW()))</f>
        <v>0</v>
      </c>
      <c r="Z277" s="761"/>
      <c r="AA277" s="735" cm="1">
        <f t="array" aca="true" ref="AA277" ca="true">IFERROR(AVERAGEIFS(
  unit_details[Sqft],
  unit_details[Property Name], INDIRECT("B"&amp;ROW()),
  unit_details[Floorplan Name], INDIRECT("C"&amp;ROW()),
  unit_details[Beds], INDIRECT("D"&amp;ROW()),
  unit_details[Detected Unit Amenities], "*"&amp;$AB$3&amp;"*",
  unit_details[Leased Date], "&gt;=" &amp; ($X$2 - $AD$3)
),0)</f>
        <v>0</v>
      </c>
      <c r="AB277" s="734" cm="1">
        <f t="array" aca="true" ref="AB2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7" s="733" cm="1">
        <f t="array" aca="true" ref="AC277" ca="true">IFERROR(COUNTIFS(
  unit_details[Property Name], INDIRECT("B"&amp;ROW()),
  unit_details[Floorplan Name], INDIRECT("C"&amp;ROW()),
  unit_details[Beds], INDIRECT("D"&amp;ROW()),
  unit_details[Detected Unit Amenities], "*"&amp;$AB$3&amp;"*",
  unit_details[Leased Date], "&gt;=" &amp; ($X$2 - $AD$3)
),0)</f>
        <v>0</v>
      </c>
      <c r="AD277" s="735" cm="1">
        <f t="array" aca="true" ref="AD277" ca="true">IFERROR(AVERAGEIFS(
  unit_details[Sqft],
  unit_details[Property Name], INDIRECT("B"&amp;ROW()),
  unit_details[Floorplan Name], INDIRECT("C"&amp;ROW()),
  unit_details[Beds], INDIRECT("D"&amp;ROW()),
  unit_details[Detected Unit Amenities], "&lt;&gt;*"&amp;$AB$3&amp;"*",
  unit_details[Leased Date], "&gt;=" &amp; ($X$2 - $AD$3)
),0)</f>
        <v>0</v>
      </c>
      <c r="AE277" s="734" cm="1">
        <f t="array" aca="true" ref="AE2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7" s="733" cm="1">
        <f t="array" aca="true" ref="AF277" ca="true">IFERROR(COUNTIFS(
  unit_details[Property Name], INDIRECT("B"&amp;ROW()),
  unit_details[Floorplan Name], INDIRECT("C"&amp;ROW()),
  unit_details[Beds], INDIRECT("D"&amp;ROW()),
  unit_details[Detected Unit Amenities], "&lt;&gt;*"&amp;$AB$3&amp;"*",
  unit_details[Leased Date], "&gt;=" &amp; ($X$2 - $AD$3)
),0)</f>
        <v>0</v>
      </c>
      <c r="AG277" s="735"/>
      <c r="AH277" s="738">
        <f t="shared" ca="true" si="10"/>
        <v>0</v>
      </c>
      <c r="AI277" s="739">
        <f t="shared" ca="true" si="11"/>
        <v>0</v>
      </c>
    </row>
    <row r="278" spans="2:35">
      <c r="B278" s="1"/>
      <c r="C278" s="80"/>
      <c r="E278" s="303"/>
      <c r="F278" s="303"/>
      <c r="J278" s="345"/>
      <c r="K278" s="6"/>
      <c r="M278" s="745"/>
      <c r="N278" s="738" t="str" cm="1">
        <f t="array" aca="true" ref="N278" ca="true">IFERROR(IF($O$3="Chunk Rent",
AVERAGEIFS('Unit-Level Data'!$O:$O,'Unit-Level Data'!$M:$M,TRUE,
          'Unit-Level Data'!$D:$D, INDIRECT("C"&amp;ROW()),
          'Unit-Level Data'!$B:$B, INDIRECT("B"&amp;ROW())),
AVERAGEIFS('Unit-Level Data'!$P:$P,'Unit-Level Data'!$M:$M,TRUE,
          'Unit-Level Data'!$D:$D, INDIRECT("C"&amp;ROW()),
          'Unit-Level Data'!$B:$B, INDIRECT("B"&amp;ROW()))),"")</f>
      </c>
      <c r="O278" s="760" t="str" cm="1">
        <f t="array" aca="true" ref="O278" ca="true">IFERROR(IF($O$3="Chunk Rent",
AVERAGEIFS('Unit-Level Data'!$Q:$Q,'Unit-Level Data'!$M:$M,TRUE,
          'Unit-Level Data'!$D:$D, INDIRECT("C"&amp;ROW()),
          'Unit-Level Data'!$B:$B, INDIRECT("B"&amp;ROW())),
AVERAGEIFS('Unit-Level Data'!$R:$R,'Unit-Level Data'!$M:$M,TRUE,
          'Unit-Level Data'!$D:$D, INDIRECT("C"&amp;ROW()),
          'Unit-Level Data'!$B:$B, INDIRECT("B"&amp;ROW()))),"")</f>
      </c>
      <c r="P278" s="733" cm="1">
        <f t="array" aca="true" ref="P278" ca="true">COUNTIFS('Unit-Level Data'!$M:$M,TRUE,
          'Unit-Level Data'!$D:$D, INDIRECT("C"&amp;ROW()),
          'Unit-Level Data'!$B:$B, INDIRECT("B"&amp;ROW()))</f>
        <v>0</v>
      </c>
      <c r="Q278" s="738" t="str" cm="1">
        <f t="array" aca="true" ref="Q2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8" s="760" t="str" cm="1">
        <f t="array" aca="true" ref="R2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8" s="733" cm="1">
        <f t="array" aca="true" ref="S278" ca="true">COUNTIFS('Unit-Level Data'!$L:$L, "&gt;=" &amp; ($X$2 - Q$5),
          'Unit-Level Data'!$L:$L, "&lt;" &amp; $X$2,
          'Unit-Level Data'!$D:$D, INDIRECT("C"&amp;ROW()),
          'Unit-Level Data'!$B:$B, INDIRECT("B"&amp;ROW()))</f>
        <v>0</v>
      </c>
      <c r="T278" s="738" t="str" cm="1">
        <f t="array" aca="true" ref="T2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8" s="760" t="str" cm="1">
        <f t="array" aca="true" ref="U2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8" s="733" cm="1">
        <f t="array" aca="true" ref="V278" ca="true">COUNTIFS('Unit-Level Data'!$L:$L, "&gt;=" &amp; ($X$2 - T$5),
          'Unit-Level Data'!$L:$L, "&lt;" &amp; $X$2,
          'Unit-Level Data'!$D:$D, INDIRECT("C"&amp;ROW()),
          'Unit-Level Data'!$B:$B, INDIRECT("B"&amp;ROW()))</f>
        <v>0</v>
      </c>
      <c r="W278" s="738" t="str" cm="1">
        <f t="array" aca="true" ref="W2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8" s="760" t="str" cm="1">
        <f t="array" aca="true" ref="X2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8" s="733" cm="1">
        <f t="array" aca="true" ref="Y278" ca="true">COUNTIFS('Unit-Level Data'!$L:$L, "&gt;=" &amp; ($X$2 - W$5),
          'Unit-Level Data'!$L:$L, "&lt;" &amp; $X$2,
          'Unit-Level Data'!$D:$D, INDIRECT("C"&amp;ROW()),
          'Unit-Level Data'!$B:$B, INDIRECT("B"&amp;ROW()))</f>
        <v>0</v>
      </c>
      <c r="Z278" s="761"/>
      <c r="AA278" s="735" cm="1">
        <f t="array" aca="true" ref="AA278" ca="true">IFERROR(AVERAGEIFS(
  unit_details[Sqft],
  unit_details[Property Name], INDIRECT("B"&amp;ROW()),
  unit_details[Floorplan Name], INDIRECT("C"&amp;ROW()),
  unit_details[Beds], INDIRECT("D"&amp;ROW()),
  unit_details[Detected Unit Amenities], "*"&amp;$AB$3&amp;"*",
  unit_details[Leased Date], "&gt;=" &amp; ($X$2 - $AD$3)
),0)</f>
        <v>0</v>
      </c>
      <c r="AB278" s="734" cm="1">
        <f t="array" aca="true" ref="AB2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8" s="733" cm="1">
        <f t="array" aca="true" ref="AC278" ca="true">IFERROR(COUNTIFS(
  unit_details[Property Name], INDIRECT("B"&amp;ROW()),
  unit_details[Floorplan Name], INDIRECT("C"&amp;ROW()),
  unit_details[Beds], INDIRECT("D"&amp;ROW()),
  unit_details[Detected Unit Amenities], "*"&amp;$AB$3&amp;"*",
  unit_details[Leased Date], "&gt;=" &amp; ($X$2 - $AD$3)
),0)</f>
        <v>0</v>
      </c>
      <c r="AD278" s="735" cm="1">
        <f t="array" aca="true" ref="AD278" ca="true">IFERROR(AVERAGEIFS(
  unit_details[Sqft],
  unit_details[Property Name], INDIRECT("B"&amp;ROW()),
  unit_details[Floorplan Name], INDIRECT("C"&amp;ROW()),
  unit_details[Beds], INDIRECT("D"&amp;ROW()),
  unit_details[Detected Unit Amenities], "&lt;&gt;*"&amp;$AB$3&amp;"*",
  unit_details[Leased Date], "&gt;=" &amp; ($X$2 - $AD$3)
),0)</f>
        <v>0</v>
      </c>
      <c r="AE278" s="734" cm="1">
        <f t="array" aca="true" ref="AE2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8" s="733" cm="1">
        <f t="array" aca="true" ref="AF278" ca="true">IFERROR(COUNTIFS(
  unit_details[Property Name], INDIRECT("B"&amp;ROW()),
  unit_details[Floorplan Name], INDIRECT("C"&amp;ROW()),
  unit_details[Beds], INDIRECT("D"&amp;ROW()),
  unit_details[Detected Unit Amenities], "&lt;&gt;*"&amp;$AB$3&amp;"*",
  unit_details[Leased Date], "&gt;=" &amp; ($X$2 - $AD$3)
),0)</f>
        <v>0</v>
      </c>
      <c r="AG278" s="735"/>
      <c r="AH278" s="738">
        <f t="shared" ca="true" si="10"/>
        <v>0</v>
      </c>
      <c r="AI278" s="739">
        <f t="shared" ca="true" si="11"/>
        <v>0</v>
      </c>
    </row>
    <row r="279" spans="2:35">
      <c r="B279" s="1"/>
      <c r="C279" s="80"/>
      <c r="E279" s="303"/>
      <c r="F279" s="303"/>
      <c r="J279" s="345"/>
      <c r="K279" s="6"/>
      <c r="M279" s="745"/>
      <c r="N279" s="738" t="str" cm="1">
        <f t="array" aca="true" ref="N279" ca="true">IFERROR(IF($O$3="Chunk Rent",
AVERAGEIFS('Unit-Level Data'!$O:$O,'Unit-Level Data'!$M:$M,TRUE,
          'Unit-Level Data'!$D:$D, INDIRECT("C"&amp;ROW()),
          'Unit-Level Data'!$B:$B, INDIRECT("B"&amp;ROW())),
AVERAGEIFS('Unit-Level Data'!$P:$P,'Unit-Level Data'!$M:$M,TRUE,
          'Unit-Level Data'!$D:$D, INDIRECT("C"&amp;ROW()),
          'Unit-Level Data'!$B:$B, INDIRECT("B"&amp;ROW()))),"")</f>
      </c>
      <c r="O279" s="760" t="str" cm="1">
        <f t="array" aca="true" ref="O279" ca="true">IFERROR(IF($O$3="Chunk Rent",
AVERAGEIFS('Unit-Level Data'!$Q:$Q,'Unit-Level Data'!$M:$M,TRUE,
          'Unit-Level Data'!$D:$D, INDIRECT("C"&amp;ROW()),
          'Unit-Level Data'!$B:$B, INDIRECT("B"&amp;ROW())),
AVERAGEIFS('Unit-Level Data'!$R:$R,'Unit-Level Data'!$M:$M,TRUE,
          'Unit-Level Data'!$D:$D, INDIRECT("C"&amp;ROW()),
          'Unit-Level Data'!$B:$B, INDIRECT("B"&amp;ROW()))),"")</f>
      </c>
      <c r="P279" s="733" cm="1">
        <f t="array" aca="true" ref="P279" ca="true">COUNTIFS('Unit-Level Data'!$M:$M,TRUE,
          'Unit-Level Data'!$D:$D, INDIRECT("C"&amp;ROW()),
          'Unit-Level Data'!$B:$B, INDIRECT("B"&amp;ROW()))</f>
        <v>0</v>
      </c>
      <c r="Q279" s="738" t="str" cm="1">
        <f t="array" aca="true" ref="Q2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9" s="760" t="str" cm="1">
        <f t="array" aca="true" ref="R2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9" s="733" cm="1">
        <f t="array" aca="true" ref="S279" ca="true">COUNTIFS('Unit-Level Data'!$L:$L, "&gt;=" &amp; ($X$2 - Q$5),
          'Unit-Level Data'!$L:$L, "&lt;" &amp; $X$2,
          'Unit-Level Data'!$D:$D, INDIRECT("C"&amp;ROW()),
          'Unit-Level Data'!$B:$B, INDIRECT("B"&amp;ROW()))</f>
        <v>0</v>
      </c>
      <c r="T279" s="738" t="str" cm="1">
        <f t="array" aca="true" ref="T2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9" s="760" t="str" cm="1">
        <f t="array" aca="true" ref="U2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9" s="733" cm="1">
        <f t="array" aca="true" ref="V279" ca="true">COUNTIFS('Unit-Level Data'!$L:$L, "&gt;=" &amp; ($X$2 - T$5),
          'Unit-Level Data'!$L:$L, "&lt;" &amp; $X$2,
          'Unit-Level Data'!$D:$D, INDIRECT("C"&amp;ROW()),
          'Unit-Level Data'!$B:$B, INDIRECT("B"&amp;ROW()))</f>
        <v>0</v>
      </c>
      <c r="W279" s="738" t="str" cm="1">
        <f t="array" aca="true" ref="W2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9" s="760" t="str" cm="1">
        <f t="array" aca="true" ref="X2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9" s="733" cm="1">
        <f t="array" aca="true" ref="Y279" ca="true">COUNTIFS('Unit-Level Data'!$L:$L, "&gt;=" &amp; ($X$2 - W$5),
          'Unit-Level Data'!$L:$L, "&lt;" &amp; $X$2,
          'Unit-Level Data'!$D:$D, INDIRECT("C"&amp;ROW()),
          'Unit-Level Data'!$B:$B, INDIRECT("B"&amp;ROW()))</f>
        <v>0</v>
      </c>
      <c r="Z279" s="761"/>
      <c r="AA279" s="735" cm="1">
        <f t="array" aca="true" ref="AA279" ca="true">IFERROR(AVERAGEIFS(
  unit_details[Sqft],
  unit_details[Property Name], INDIRECT("B"&amp;ROW()),
  unit_details[Floorplan Name], INDIRECT("C"&amp;ROW()),
  unit_details[Beds], INDIRECT("D"&amp;ROW()),
  unit_details[Detected Unit Amenities], "*"&amp;$AB$3&amp;"*",
  unit_details[Leased Date], "&gt;=" &amp; ($X$2 - $AD$3)
),0)</f>
        <v>0</v>
      </c>
      <c r="AB279" s="734" cm="1">
        <f t="array" aca="true" ref="AB2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9" s="733" cm="1">
        <f t="array" aca="true" ref="AC279" ca="true">IFERROR(COUNTIFS(
  unit_details[Property Name], INDIRECT("B"&amp;ROW()),
  unit_details[Floorplan Name], INDIRECT("C"&amp;ROW()),
  unit_details[Beds], INDIRECT("D"&amp;ROW()),
  unit_details[Detected Unit Amenities], "*"&amp;$AB$3&amp;"*",
  unit_details[Leased Date], "&gt;=" &amp; ($X$2 - $AD$3)
),0)</f>
        <v>0</v>
      </c>
      <c r="AD279" s="735" cm="1">
        <f t="array" aca="true" ref="AD279" ca="true">IFERROR(AVERAGEIFS(
  unit_details[Sqft],
  unit_details[Property Name], INDIRECT("B"&amp;ROW()),
  unit_details[Floorplan Name], INDIRECT("C"&amp;ROW()),
  unit_details[Beds], INDIRECT("D"&amp;ROW()),
  unit_details[Detected Unit Amenities], "&lt;&gt;*"&amp;$AB$3&amp;"*",
  unit_details[Leased Date], "&gt;=" &amp; ($X$2 - $AD$3)
),0)</f>
        <v>0</v>
      </c>
      <c r="AE279" s="734" cm="1">
        <f t="array" aca="true" ref="AE2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9" s="733" cm="1">
        <f t="array" aca="true" ref="AF279" ca="true">IFERROR(COUNTIFS(
  unit_details[Property Name], INDIRECT("B"&amp;ROW()),
  unit_details[Floorplan Name], INDIRECT("C"&amp;ROW()),
  unit_details[Beds], INDIRECT("D"&amp;ROW()),
  unit_details[Detected Unit Amenities], "&lt;&gt;*"&amp;$AB$3&amp;"*",
  unit_details[Leased Date], "&gt;=" &amp; ($X$2 - $AD$3)
),0)</f>
        <v>0</v>
      </c>
      <c r="AG279" s="735"/>
      <c r="AH279" s="738">
        <f t="shared" ca="true" si="10"/>
        <v>0</v>
      </c>
      <c r="AI279" s="739">
        <f t="shared" ca="true" si="11"/>
        <v>0</v>
      </c>
    </row>
    <row r="280" spans="2:35">
      <c r="B280" s="1"/>
      <c r="C280" s="80"/>
      <c r="E280" s="303"/>
      <c r="F280" s="303"/>
      <c r="J280" s="345"/>
      <c r="K280" s="6"/>
      <c r="M280" s="745"/>
      <c r="N280" s="738" t="str" cm="1">
        <f t="array" aca="true" ref="N280" ca="true">IFERROR(IF($O$3="Chunk Rent",
AVERAGEIFS('Unit-Level Data'!$O:$O,'Unit-Level Data'!$M:$M,TRUE,
          'Unit-Level Data'!$D:$D, INDIRECT("C"&amp;ROW()),
          'Unit-Level Data'!$B:$B, INDIRECT("B"&amp;ROW())),
AVERAGEIFS('Unit-Level Data'!$P:$P,'Unit-Level Data'!$M:$M,TRUE,
          'Unit-Level Data'!$D:$D, INDIRECT("C"&amp;ROW()),
          'Unit-Level Data'!$B:$B, INDIRECT("B"&amp;ROW()))),"")</f>
      </c>
      <c r="O280" s="760" t="str" cm="1">
        <f t="array" aca="true" ref="O280" ca="true">IFERROR(IF($O$3="Chunk Rent",
AVERAGEIFS('Unit-Level Data'!$Q:$Q,'Unit-Level Data'!$M:$M,TRUE,
          'Unit-Level Data'!$D:$D, INDIRECT("C"&amp;ROW()),
          'Unit-Level Data'!$B:$B, INDIRECT("B"&amp;ROW())),
AVERAGEIFS('Unit-Level Data'!$R:$R,'Unit-Level Data'!$M:$M,TRUE,
          'Unit-Level Data'!$D:$D, INDIRECT("C"&amp;ROW()),
          'Unit-Level Data'!$B:$B, INDIRECT("B"&amp;ROW()))),"")</f>
      </c>
      <c r="P280" s="733" cm="1">
        <f t="array" aca="true" ref="P280" ca="true">COUNTIFS('Unit-Level Data'!$M:$M,TRUE,
          'Unit-Level Data'!$D:$D, INDIRECT("C"&amp;ROW()),
          'Unit-Level Data'!$B:$B, INDIRECT("B"&amp;ROW()))</f>
        <v>0</v>
      </c>
      <c r="Q280" s="738" t="str" cm="1">
        <f t="array" aca="true" ref="Q2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0" s="760" t="str" cm="1">
        <f t="array" aca="true" ref="R2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0" s="733" cm="1">
        <f t="array" aca="true" ref="S280" ca="true">COUNTIFS('Unit-Level Data'!$L:$L, "&gt;=" &amp; ($X$2 - Q$5),
          'Unit-Level Data'!$L:$L, "&lt;" &amp; $X$2,
          'Unit-Level Data'!$D:$D, INDIRECT("C"&amp;ROW()),
          'Unit-Level Data'!$B:$B, INDIRECT("B"&amp;ROW()))</f>
        <v>0</v>
      </c>
      <c r="T280" s="738" t="str" cm="1">
        <f t="array" aca="true" ref="T2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0" s="760" t="str" cm="1">
        <f t="array" aca="true" ref="U2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0" s="733" cm="1">
        <f t="array" aca="true" ref="V280" ca="true">COUNTIFS('Unit-Level Data'!$L:$L, "&gt;=" &amp; ($X$2 - T$5),
          'Unit-Level Data'!$L:$L, "&lt;" &amp; $X$2,
          'Unit-Level Data'!$D:$D, INDIRECT("C"&amp;ROW()),
          'Unit-Level Data'!$B:$B, INDIRECT("B"&amp;ROW()))</f>
        <v>0</v>
      </c>
      <c r="W280" s="738" t="str" cm="1">
        <f t="array" aca="true" ref="W2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0" s="760" t="str" cm="1">
        <f t="array" aca="true" ref="X2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0" s="733" cm="1">
        <f t="array" aca="true" ref="Y280" ca="true">COUNTIFS('Unit-Level Data'!$L:$L, "&gt;=" &amp; ($X$2 - W$5),
          'Unit-Level Data'!$L:$L, "&lt;" &amp; $X$2,
          'Unit-Level Data'!$D:$D, INDIRECT("C"&amp;ROW()),
          'Unit-Level Data'!$B:$B, INDIRECT("B"&amp;ROW()))</f>
        <v>0</v>
      </c>
      <c r="Z280" s="761"/>
      <c r="AA280" s="735" cm="1">
        <f t="array" aca="true" ref="AA280" ca="true">IFERROR(AVERAGEIFS(
  unit_details[Sqft],
  unit_details[Property Name], INDIRECT("B"&amp;ROW()),
  unit_details[Floorplan Name], INDIRECT("C"&amp;ROW()),
  unit_details[Beds], INDIRECT("D"&amp;ROW()),
  unit_details[Detected Unit Amenities], "*"&amp;$AB$3&amp;"*",
  unit_details[Leased Date], "&gt;=" &amp; ($X$2 - $AD$3)
),0)</f>
        <v>0</v>
      </c>
      <c r="AB280" s="734" cm="1">
        <f t="array" aca="true" ref="AB2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0" s="733" cm="1">
        <f t="array" aca="true" ref="AC280" ca="true">IFERROR(COUNTIFS(
  unit_details[Property Name], INDIRECT("B"&amp;ROW()),
  unit_details[Floorplan Name], INDIRECT("C"&amp;ROW()),
  unit_details[Beds], INDIRECT("D"&amp;ROW()),
  unit_details[Detected Unit Amenities], "*"&amp;$AB$3&amp;"*",
  unit_details[Leased Date], "&gt;=" &amp; ($X$2 - $AD$3)
),0)</f>
        <v>0</v>
      </c>
      <c r="AD280" s="735" cm="1">
        <f t="array" aca="true" ref="AD280" ca="true">IFERROR(AVERAGEIFS(
  unit_details[Sqft],
  unit_details[Property Name], INDIRECT("B"&amp;ROW()),
  unit_details[Floorplan Name], INDIRECT("C"&amp;ROW()),
  unit_details[Beds], INDIRECT("D"&amp;ROW()),
  unit_details[Detected Unit Amenities], "&lt;&gt;*"&amp;$AB$3&amp;"*",
  unit_details[Leased Date], "&gt;=" &amp; ($X$2 - $AD$3)
),0)</f>
        <v>0</v>
      </c>
      <c r="AE280" s="734" cm="1">
        <f t="array" aca="true" ref="AE2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0" s="733" cm="1">
        <f t="array" aca="true" ref="AF280" ca="true">IFERROR(COUNTIFS(
  unit_details[Property Name], INDIRECT("B"&amp;ROW()),
  unit_details[Floorplan Name], INDIRECT("C"&amp;ROW()),
  unit_details[Beds], INDIRECT("D"&amp;ROW()),
  unit_details[Detected Unit Amenities], "&lt;&gt;*"&amp;$AB$3&amp;"*",
  unit_details[Leased Date], "&gt;=" &amp; ($X$2 - $AD$3)
),0)</f>
        <v>0</v>
      </c>
      <c r="AG280" s="735"/>
      <c r="AH280" s="738">
        <f t="shared" ca="true" si="10"/>
        <v>0</v>
      </c>
      <c r="AI280" s="739">
        <f t="shared" ca="true" si="11"/>
        <v>0</v>
      </c>
    </row>
    <row r="281" spans="2:35">
      <c r="B281" s="1"/>
      <c r="C281" s="80"/>
      <c r="E281" s="303"/>
      <c r="F281" s="303"/>
      <c r="J281" s="345"/>
      <c r="K281" s="6"/>
      <c r="M281" s="745"/>
      <c r="N281" s="738" t="str" cm="1">
        <f t="array" aca="true" ref="N281" ca="true">IFERROR(IF($O$3="Chunk Rent",
AVERAGEIFS('Unit-Level Data'!$O:$O,'Unit-Level Data'!$M:$M,TRUE,
          'Unit-Level Data'!$D:$D, INDIRECT("C"&amp;ROW()),
          'Unit-Level Data'!$B:$B, INDIRECT("B"&amp;ROW())),
AVERAGEIFS('Unit-Level Data'!$P:$P,'Unit-Level Data'!$M:$M,TRUE,
          'Unit-Level Data'!$D:$D, INDIRECT("C"&amp;ROW()),
          'Unit-Level Data'!$B:$B, INDIRECT("B"&amp;ROW()))),"")</f>
      </c>
      <c r="O281" s="760" t="str" cm="1">
        <f t="array" aca="true" ref="O281" ca="true">IFERROR(IF($O$3="Chunk Rent",
AVERAGEIFS('Unit-Level Data'!$Q:$Q,'Unit-Level Data'!$M:$M,TRUE,
          'Unit-Level Data'!$D:$D, INDIRECT("C"&amp;ROW()),
          'Unit-Level Data'!$B:$B, INDIRECT("B"&amp;ROW())),
AVERAGEIFS('Unit-Level Data'!$R:$R,'Unit-Level Data'!$M:$M,TRUE,
          'Unit-Level Data'!$D:$D, INDIRECT("C"&amp;ROW()),
          'Unit-Level Data'!$B:$B, INDIRECT("B"&amp;ROW()))),"")</f>
      </c>
      <c r="P281" s="733" cm="1">
        <f t="array" aca="true" ref="P281" ca="true">COUNTIFS('Unit-Level Data'!$M:$M,TRUE,
          'Unit-Level Data'!$D:$D, INDIRECT("C"&amp;ROW()),
          'Unit-Level Data'!$B:$B, INDIRECT("B"&amp;ROW()))</f>
        <v>0</v>
      </c>
      <c r="Q281" s="738" t="str" cm="1">
        <f t="array" aca="true" ref="Q2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1" s="760" t="str" cm="1">
        <f t="array" aca="true" ref="R2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1" s="733" cm="1">
        <f t="array" aca="true" ref="S281" ca="true">COUNTIFS('Unit-Level Data'!$L:$L, "&gt;=" &amp; ($X$2 - Q$5),
          'Unit-Level Data'!$L:$L, "&lt;" &amp; $X$2,
          'Unit-Level Data'!$D:$D, INDIRECT("C"&amp;ROW()),
          'Unit-Level Data'!$B:$B, INDIRECT("B"&amp;ROW()))</f>
        <v>0</v>
      </c>
      <c r="T281" s="738" t="str" cm="1">
        <f t="array" aca="true" ref="T2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1" s="760" t="str" cm="1">
        <f t="array" aca="true" ref="U2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1" s="733" cm="1">
        <f t="array" aca="true" ref="V281" ca="true">COUNTIFS('Unit-Level Data'!$L:$L, "&gt;=" &amp; ($X$2 - T$5),
          'Unit-Level Data'!$L:$L, "&lt;" &amp; $X$2,
          'Unit-Level Data'!$D:$D, INDIRECT("C"&amp;ROW()),
          'Unit-Level Data'!$B:$B, INDIRECT("B"&amp;ROW()))</f>
        <v>0</v>
      </c>
      <c r="W281" s="738" t="str" cm="1">
        <f t="array" aca="true" ref="W2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1" s="760" t="str" cm="1">
        <f t="array" aca="true" ref="X2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1" s="733" cm="1">
        <f t="array" aca="true" ref="Y281" ca="true">COUNTIFS('Unit-Level Data'!$L:$L, "&gt;=" &amp; ($X$2 - W$5),
          'Unit-Level Data'!$L:$L, "&lt;" &amp; $X$2,
          'Unit-Level Data'!$D:$D, INDIRECT("C"&amp;ROW()),
          'Unit-Level Data'!$B:$B, INDIRECT("B"&amp;ROW()))</f>
        <v>0</v>
      </c>
      <c r="Z281" s="761"/>
      <c r="AA281" s="735" cm="1">
        <f t="array" aca="true" ref="AA281" ca="true">IFERROR(AVERAGEIFS(
  unit_details[Sqft],
  unit_details[Property Name], INDIRECT("B"&amp;ROW()),
  unit_details[Floorplan Name], INDIRECT("C"&amp;ROW()),
  unit_details[Beds], INDIRECT("D"&amp;ROW()),
  unit_details[Detected Unit Amenities], "*"&amp;$AB$3&amp;"*",
  unit_details[Leased Date], "&gt;=" &amp; ($X$2 - $AD$3)
),0)</f>
        <v>0</v>
      </c>
      <c r="AB281" s="734" cm="1">
        <f t="array" aca="true" ref="AB2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1" s="733" cm="1">
        <f t="array" aca="true" ref="AC281" ca="true">IFERROR(COUNTIFS(
  unit_details[Property Name], INDIRECT("B"&amp;ROW()),
  unit_details[Floorplan Name], INDIRECT("C"&amp;ROW()),
  unit_details[Beds], INDIRECT("D"&amp;ROW()),
  unit_details[Detected Unit Amenities], "*"&amp;$AB$3&amp;"*",
  unit_details[Leased Date], "&gt;=" &amp; ($X$2 - $AD$3)
),0)</f>
        <v>0</v>
      </c>
      <c r="AD281" s="735" cm="1">
        <f t="array" aca="true" ref="AD281" ca="true">IFERROR(AVERAGEIFS(
  unit_details[Sqft],
  unit_details[Property Name], INDIRECT("B"&amp;ROW()),
  unit_details[Floorplan Name], INDIRECT("C"&amp;ROW()),
  unit_details[Beds], INDIRECT("D"&amp;ROW()),
  unit_details[Detected Unit Amenities], "&lt;&gt;*"&amp;$AB$3&amp;"*",
  unit_details[Leased Date], "&gt;=" &amp; ($X$2 - $AD$3)
),0)</f>
        <v>0</v>
      </c>
      <c r="AE281" s="734" cm="1">
        <f t="array" aca="true" ref="AE2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1" s="733" cm="1">
        <f t="array" aca="true" ref="AF281" ca="true">IFERROR(COUNTIFS(
  unit_details[Property Name], INDIRECT("B"&amp;ROW()),
  unit_details[Floorplan Name], INDIRECT("C"&amp;ROW()),
  unit_details[Beds], INDIRECT("D"&amp;ROW()),
  unit_details[Detected Unit Amenities], "&lt;&gt;*"&amp;$AB$3&amp;"*",
  unit_details[Leased Date], "&gt;=" &amp; ($X$2 - $AD$3)
),0)</f>
        <v>0</v>
      </c>
      <c r="AG281" s="735"/>
      <c r="AH281" s="738">
        <f t="shared" ca="true" si="10"/>
        <v>0</v>
      </c>
      <c r="AI281" s="739">
        <f t="shared" ca="true" si="11"/>
        <v>0</v>
      </c>
    </row>
    <row r="282" spans="2:35">
      <c r="B282" s="1"/>
      <c r="C282" s="80"/>
      <c r="E282" s="303"/>
      <c r="F282" s="303"/>
      <c r="J282" s="345"/>
      <c r="K282" s="6"/>
      <c r="M282" s="745"/>
      <c r="N282" s="738" t="str" cm="1">
        <f t="array" aca="true" ref="N282" ca="true">IFERROR(IF($O$3="Chunk Rent",
AVERAGEIFS('Unit-Level Data'!$O:$O,'Unit-Level Data'!$M:$M,TRUE,
          'Unit-Level Data'!$D:$D, INDIRECT("C"&amp;ROW()),
          'Unit-Level Data'!$B:$B, INDIRECT("B"&amp;ROW())),
AVERAGEIFS('Unit-Level Data'!$P:$P,'Unit-Level Data'!$M:$M,TRUE,
          'Unit-Level Data'!$D:$D, INDIRECT("C"&amp;ROW()),
          'Unit-Level Data'!$B:$B, INDIRECT("B"&amp;ROW()))),"")</f>
      </c>
      <c r="O282" s="760" t="str" cm="1">
        <f t="array" aca="true" ref="O282" ca="true">IFERROR(IF($O$3="Chunk Rent",
AVERAGEIFS('Unit-Level Data'!$Q:$Q,'Unit-Level Data'!$M:$M,TRUE,
          'Unit-Level Data'!$D:$D, INDIRECT("C"&amp;ROW()),
          'Unit-Level Data'!$B:$B, INDIRECT("B"&amp;ROW())),
AVERAGEIFS('Unit-Level Data'!$R:$R,'Unit-Level Data'!$M:$M,TRUE,
          'Unit-Level Data'!$D:$D, INDIRECT("C"&amp;ROW()),
          'Unit-Level Data'!$B:$B, INDIRECT("B"&amp;ROW()))),"")</f>
      </c>
      <c r="P282" s="733" cm="1">
        <f t="array" aca="true" ref="P282" ca="true">COUNTIFS('Unit-Level Data'!$M:$M,TRUE,
          'Unit-Level Data'!$D:$D, INDIRECT("C"&amp;ROW()),
          'Unit-Level Data'!$B:$B, INDIRECT("B"&amp;ROW()))</f>
        <v>0</v>
      </c>
      <c r="Q282" s="738" t="str" cm="1">
        <f t="array" aca="true" ref="Q2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2" s="760" t="str" cm="1">
        <f t="array" aca="true" ref="R2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2" s="733" cm="1">
        <f t="array" aca="true" ref="S282" ca="true">COUNTIFS('Unit-Level Data'!$L:$L, "&gt;=" &amp; ($X$2 - Q$5),
          'Unit-Level Data'!$L:$L, "&lt;" &amp; $X$2,
          'Unit-Level Data'!$D:$D, INDIRECT("C"&amp;ROW()),
          'Unit-Level Data'!$B:$B, INDIRECT("B"&amp;ROW()))</f>
        <v>0</v>
      </c>
      <c r="T282" s="738" t="str" cm="1">
        <f t="array" aca="true" ref="T2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2" s="760" t="str" cm="1">
        <f t="array" aca="true" ref="U2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2" s="733" cm="1">
        <f t="array" aca="true" ref="V282" ca="true">COUNTIFS('Unit-Level Data'!$L:$L, "&gt;=" &amp; ($X$2 - T$5),
          'Unit-Level Data'!$L:$L, "&lt;" &amp; $X$2,
          'Unit-Level Data'!$D:$D, INDIRECT("C"&amp;ROW()),
          'Unit-Level Data'!$B:$B, INDIRECT("B"&amp;ROW()))</f>
        <v>0</v>
      </c>
      <c r="W282" s="738" t="str" cm="1">
        <f t="array" aca="true" ref="W2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2" s="760" t="str" cm="1">
        <f t="array" aca="true" ref="X2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2" s="733" cm="1">
        <f t="array" aca="true" ref="Y282" ca="true">COUNTIFS('Unit-Level Data'!$L:$L, "&gt;=" &amp; ($X$2 - W$5),
          'Unit-Level Data'!$L:$L, "&lt;" &amp; $X$2,
          'Unit-Level Data'!$D:$D, INDIRECT("C"&amp;ROW()),
          'Unit-Level Data'!$B:$B, INDIRECT("B"&amp;ROW()))</f>
        <v>0</v>
      </c>
      <c r="Z282" s="761"/>
      <c r="AA282" s="735" cm="1">
        <f t="array" aca="true" ref="AA282" ca="true">IFERROR(AVERAGEIFS(
  unit_details[Sqft],
  unit_details[Property Name], INDIRECT("B"&amp;ROW()),
  unit_details[Floorplan Name], INDIRECT("C"&amp;ROW()),
  unit_details[Beds], INDIRECT("D"&amp;ROW()),
  unit_details[Detected Unit Amenities], "*"&amp;$AB$3&amp;"*",
  unit_details[Leased Date], "&gt;=" &amp; ($X$2 - $AD$3)
),0)</f>
        <v>0</v>
      </c>
      <c r="AB282" s="734" cm="1">
        <f t="array" aca="true" ref="AB2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2" s="733" cm="1">
        <f t="array" aca="true" ref="AC282" ca="true">IFERROR(COUNTIFS(
  unit_details[Property Name], INDIRECT("B"&amp;ROW()),
  unit_details[Floorplan Name], INDIRECT("C"&amp;ROW()),
  unit_details[Beds], INDIRECT("D"&amp;ROW()),
  unit_details[Detected Unit Amenities], "*"&amp;$AB$3&amp;"*",
  unit_details[Leased Date], "&gt;=" &amp; ($X$2 - $AD$3)
),0)</f>
        <v>0</v>
      </c>
      <c r="AD282" s="735" cm="1">
        <f t="array" aca="true" ref="AD282" ca="true">IFERROR(AVERAGEIFS(
  unit_details[Sqft],
  unit_details[Property Name], INDIRECT("B"&amp;ROW()),
  unit_details[Floorplan Name], INDIRECT("C"&amp;ROW()),
  unit_details[Beds], INDIRECT("D"&amp;ROW()),
  unit_details[Detected Unit Amenities], "&lt;&gt;*"&amp;$AB$3&amp;"*",
  unit_details[Leased Date], "&gt;=" &amp; ($X$2 - $AD$3)
),0)</f>
        <v>0</v>
      </c>
      <c r="AE282" s="734" cm="1">
        <f t="array" aca="true" ref="AE2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2" s="733" cm="1">
        <f t="array" aca="true" ref="AF282" ca="true">IFERROR(COUNTIFS(
  unit_details[Property Name], INDIRECT("B"&amp;ROW()),
  unit_details[Floorplan Name], INDIRECT("C"&amp;ROW()),
  unit_details[Beds], INDIRECT("D"&amp;ROW()),
  unit_details[Detected Unit Amenities], "&lt;&gt;*"&amp;$AB$3&amp;"*",
  unit_details[Leased Date], "&gt;=" &amp; ($X$2 - $AD$3)
),0)</f>
        <v>0</v>
      </c>
      <c r="AG282" s="735"/>
      <c r="AH282" s="738">
        <f t="shared" ca="true" si="10"/>
        <v>0</v>
      </c>
      <c r="AI282" s="739">
        <f t="shared" ca="true" si="11"/>
        <v>0</v>
      </c>
    </row>
    <row r="283" spans="2:35">
      <c r="B283" s="1"/>
      <c r="C283" s="80"/>
      <c r="E283" s="303"/>
      <c r="F283" s="303"/>
      <c r="J283" s="345"/>
      <c r="K283" s="6"/>
      <c r="M283" s="745"/>
      <c r="N283" s="738" t="str" cm="1">
        <f t="array" aca="true" ref="N283" ca="true">IFERROR(IF($O$3="Chunk Rent",
AVERAGEIFS('Unit-Level Data'!$O:$O,'Unit-Level Data'!$M:$M,TRUE,
          'Unit-Level Data'!$D:$D, INDIRECT("C"&amp;ROW()),
          'Unit-Level Data'!$B:$B, INDIRECT("B"&amp;ROW())),
AVERAGEIFS('Unit-Level Data'!$P:$P,'Unit-Level Data'!$M:$M,TRUE,
          'Unit-Level Data'!$D:$D, INDIRECT("C"&amp;ROW()),
          'Unit-Level Data'!$B:$B, INDIRECT("B"&amp;ROW()))),"")</f>
      </c>
      <c r="O283" s="760" t="str" cm="1">
        <f t="array" aca="true" ref="O283" ca="true">IFERROR(IF($O$3="Chunk Rent",
AVERAGEIFS('Unit-Level Data'!$Q:$Q,'Unit-Level Data'!$M:$M,TRUE,
          'Unit-Level Data'!$D:$D, INDIRECT("C"&amp;ROW()),
          'Unit-Level Data'!$B:$B, INDIRECT("B"&amp;ROW())),
AVERAGEIFS('Unit-Level Data'!$R:$R,'Unit-Level Data'!$M:$M,TRUE,
          'Unit-Level Data'!$D:$D, INDIRECT("C"&amp;ROW()),
          'Unit-Level Data'!$B:$B, INDIRECT("B"&amp;ROW()))),"")</f>
      </c>
      <c r="P283" s="733" cm="1">
        <f t="array" aca="true" ref="P283" ca="true">COUNTIFS('Unit-Level Data'!$M:$M,TRUE,
          'Unit-Level Data'!$D:$D, INDIRECT("C"&amp;ROW()),
          'Unit-Level Data'!$B:$B, INDIRECT("B"&amp;ROW()))</f>
        <v>0</v>
      </c>
      <c r="Q283" s="738" t="str" cm="1">
        <f t="array" aca="true" ref="Q2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3" s="760" t="str" cm="1">
        <f t="array" aca="true" ref="R2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3" s="733" cm="1">
        <f t="array" aca="true" ref="S283" ca="true">COUNTIFS('Unit-Level Data'!$L:$L, "&gt;=" &amp; ($X$2 - Q$5),
          'Unit-Level Data'!$L:$L, "&lt;" &amp; $X$2,
          'Unit-Level Data'!$D:$D, INDIRECT("C"&amp;ROW()),
          'Unit-Level Data'!$B:$B, INDIRECT("B"&amp;ROW()))</f>
        <v>0</v>
      </c>
      <c r="T283" s="738" t="str" cm="1">
        <f t="array" aca="true" ref="T2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3" s="760" t="str" cm="1">
        <f t="array" aca="true" ref="U2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3" s="733" cm="1">
        <f t="array" aca="true" ref="V283" ca="true">COUNTIFS('Unit-Level Data'!$L:$L, "&gt;=" &amp; ($X$2 - T$5),
          'Unit-Level Data'!$L:$L, "&lt;" &amp; $X$2,
          'Unit-Level Data'!$D:$D, INDIRECT("C"&amp;ROW()),
          'Unit-Level Data'!$B:$B, INDIRECT("B"&amp;ROW()))</f>
        <v>0</v>
      </c>
      <c r="W283" s="738" t="str" cm="1">
        <f t="array" aca="true" ref="W2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3" s="760" t="str" cm="1">
        <f t="array" aca="true" ref="X2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3" s="733" cm="1">
        <f t="array" aca="true" ref="Y283" ca="true">COUNTIFS('Unit-Level Data'!$L:$L, "&gt;=" &amp; ($X$2 - W$5),
          'Unit-Level Data'!$L:$L, "&lt;" &amp; $X$2,
          'Unit-Level Data'!$D:$D, INDIRECT("C"&amp;ROW()),
          'Unit-Level Data'!$B:$B, INDIRECT("B"&amp;ROW()))</f>
        <v>0</v>
      </c>
      <c r="Z283" s="761"/>
      <c r="AA283" s="735" cm="1">
        <f t="array" aca="true" ref="AA283" ca="true">IFERROR(AVERAGEIFS(
  unit_details[Sqft],
  unit_details[Property Name], INDIRECT("B"&amp;ROW()),
  unit_details[Floorplan Name], INDIRECT("C"&amp;ROW()),
  unit_details[Beds], INDIRECT("D"&amp;ROW()),
  unit_details[Detected Unit Amenities], "*"&amp;$AB$3&amp;"*",
  unit_details[Leased Date], "&gt;=" &amp; ($X$2 - $AD$3)
),0)</f>
        <v>0</v>
      </c>
      <c r="AB283" s="734" cm="1">
        <f t="array" aca="true" ref="AB2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3" s="733" cm="1">
        <f t="array" aca="true" ref="AC283" ca="true">IFERROR(COUNTIFS(
  unit_details[Property Name], INDIRECT("B"&amp;ROW()),
  unit_details[Floorplan Name], INDIRECT("C"&amp;ROW()),
  unit_details[Beds], INDIRECT("D"&amp;ROW()),
  unit_details[Detected Unit Amenities], "*"&amp;$AB$3&amp;"*",
  unit_details[Leased Date], "&gt;=" &amp; ($X$2 - $AD$3)
),0)</f>
        <v>0</v>
      </c>
      <c r="AD283" s="735" cm="1">
        <f t="array" aca="true" ref="AD283" ca="true">IFERROR(AVERAGEIFS(
  unit_details[Sqft],
  unit_details[Property Name], INDIRECT("B"&amp;ROW()),
  unit_details[Floorplan Name], INDIRECT("C"&amp;ROW()),
  unit_details[Beds], INDIRECT("D"&amp;ROW()),
  unit_details[Detected Unit Amenities], "&lt;&gt;*"&amp;$AB$3&amp;"*",
  unit_details[Leased Date], "&gt;=" &amp; ($X$2 - $AD$3)
),0)</f>
        <v>0</v>
      </c>
      <c r="AE283" s="734" cm="1">
        <f t="array" aca="true" ref="AE2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3" s="733" cm="1">
        <f t="array" aca="true" ref="AF283" ca="true">IFERROR(COUNTIFS(
  unit_details[Property Name], INDIRECT("B"&amp;ROW()),
  unit_details[Floorplan Name], INDIRECT("C"&amp;ROW()),
  unit_details[Beds], INDIRECT("D"&amp;ROW()),
  unit_details[Detected Unit Amenities], "&lt;&gt;*"&amp;$AB$3&amp;"*",
  unit_details[Leased Date], "&gt;=" &amp; ($X$2 - $AD$3)
),0)</f>
        <v>0</v>
      </c>
      <c r="AG283" s="735"/>
      <c r="AH283" s="738">
        <f t="shared" ca="true" si="10"/>
        <v>0</v>
      </c>
      <c r="AI283" s="739">
        <f t="shared" ca="true" si="11"/>
        <v>0</v>
      </c>
    </row>
    <row r="284" spans="2:35">
      <c r="B284" s="1"/>
      <c r="C284" s="80"/>
      <c r="E284" s="303"/>
      <c r="F284" s="303"/>
      <c r="J284" s="345"/>
      <c r="K284" s="6"/>
      <c r="M284" s="745"/>
      <c r="N284" s="738" t="str" cm="1">
        <f t="array" aca="true" ref="N284" ca="true">IFERROR(IF($O$3="Chunk Rent",
AVERAGEIFS('Unit-Level Data'!$O:$O,'Unit-Level Data'!$M:$M,TRUE,
          'Unit-Level Data'!$D:$D, INDIRECT("C"&amp;ROW()),
          'Unit-Level Data'!$B:$B, INDIRECT("B"&amp;ROW())),
AVERAGEIFS('Unit-Level Data'!$P:$P,'Unit-Level Data'!$M:$M,TRUE,
          'Unit-Level Data'!$D:$D, INDIRECT("C"&amp;ROW()),
          'Unit-Level Data'!$B:$B, INDIRECT("B"&amp;ROW()))),"")</f>
      </c>
      <c r="O284" s="760" t="str" cm="1">
        <f t="array" aca="true" ref="O284" ca="true">IFERROR(IF($O$3="Chunk Rent",
AVERAGEIFS('Unit-Level Data'!$Q:$Q,'Unit-Level Data'!$M:$M,TRUE,
          'Unit-Level Data'!$D:$D, INDIRECT("C"&amp;ROW()),
          'Unit-Level Data'!$B:$B, INDIRECT("B"&amp;ROW())),
AVERAGEIFS('Unit-Level Data'!$R:$R,'Unit-Level Data'!$M:$M,TRUE,
          'Unit-Level Data'!$D:$D, INDIRECT("C"&amp;ROW()),
          'Unit-Level Data'!$B:$B, INDIRECT("B"&amp;ROW()))),"")</f>
      </c>
      <c r="P284" s="733" cm="1">
        <f t="array" aca="true" ref="P284" ca="true">COUNTIFS('Unit-Level Data'!$M:$M,TRUE,
          'Unit-Level Data'!$D:$D, INDIRECT("C"&amp;ROW()),
          'Unit-Level Data'!$B:$B, INDIRECT("B"&amp;ROW()))</f>
        <v>0</v>
      </c>
      <c r="Q284" s="738" t="str" cm="1">
        <f t="array" aca="true" ref="Q2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4" s="760" t="str" cm="1">
        <f t="array" aca="true" ref="R2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4" s="733" cm="1">
        <f t="array" aca="true" ref="S284" ca="true">COUNTIFS('Unit-Level Data'!$L:$L, "&gt;=" &amp; ($X$2 - Q$5),
          'Unit-Level Data'!$L:$L, "&lt;" &amp; $X$2,
          'Unit-Level Data'!$D:$D, INDIRECT("C"&amp;ROW()),
          'Unit-Level Data'!$B:$B, INDIRECT("B"&amp;ROW()))</f>
        <v>0</v>
      </c>
      <c r="T284" s="738" t="str" cm="1">
        <f t="array" aca="true" ref="T2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4" s="760" t="str" cm="1">
        <f t="array" aca="true" ref="U2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4" s="733" cm="1">
        <f t="array" aca="true" ref="V284" ca="true">COUNTIFS('Unit-Level Data'!$L:$L, "&gt;=" &amp; ($X$2 - T$5),
          'Unit-Level Data'!$L:$L, "&lt;" &amp; $X$2,
          'Unit-Level Data'!$D:$D, INDIRECT("C"&amp;ROW()),
          'Unit-Level Data'!$B:$B, INDIRECT("B"&amp;ROW()))</f>
        <v>0</v>
      </c>
      <c r="W284" s="738" t="str" cm="1">
        <f t="array" aca="true" ref="W2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4" s="760" t="str" cm="1">
        <f t="array" aca="true" ref="X2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4" s="733" cm="1">
        <f t="array" aca="true" ref="Y284" ca="true">COUNTIFS('Unit-Level Data'!$L:$L, "&gt;=" &amp; ($X$2 - W$5),
          'Unit-Level Data'!$L:$L, "&lt;" &amp; $X$2,
          'Unit-Level Data'!$D:$D, INDIRECT("C"&amp;ROW()),
          'Unit-Level Data'!$B:$B, INDIRECT("B"&amp;ROW()))</f>
        <v>0</v>
      </c>
      <c r="Z284" s="761"/>
      <c r="AA284" s="735" cm="1">
        <f t="array" aca="true" ref="AA284" ca="true">IFERROR(AVERAGEIFS(
  unit_details[Sqft],
  unit_details[Property Name], INDIRECT("B"&amp;ROW()),
  unit_details[Floorplan Name], INDIRECT("C"&amp;ROW()),
  unit_details[Beds], INDIRECT("D"&amp;ROW()),
  unit_details[Detected Unit Amenities], "*"&amp;$AB$3&amp;"*",
  unit_details[Leased Date], "&gt;=" &amp; ($X$2 - $AD$3)
),0)</f>
        <v>0</v>
      </c>
      <c r="AB284" s="734" cm="1">
        <f t="array" aca="true" ref="AB2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4" s="733" cm="1">
        <f t="array" aca="true" ref="AC284" ca="true">IFERROR(COUNTIFS(
  unit_details[Property Name], INDIRECT("B"&amp;ROW()),
  unit_details[Floorplan Name], INDIRECT("C"&amp;ROW()),
  unit_details[Beds], INDIRECT("D"&amp;ROW()),
  unit_details[Detected Unit Amenities], "*"&amp;$AB$3&amp;"*",
  unit_details[Leased Date], "&gt;=" &amp; ($X$2 - $AD$3)
),0)</f>
        <v>0</v>
      </c>
      <c r="AD284" s="735" cm="1">
        <f t="array" aca="true" ref="AD284" ca="true">IFERROR(AVERAGEIFS(
  unit_details[Sqft],
  unit_details[Property Name], INDIRECT("B"&amp;ROW()),
  unit_details[Floorplan Name], INDIRECT("C"&amp;ROW()),
  unit_details[Beds], INDIRECT("D"&amp;ROW()),
  unit_details[Detected Unit Amenities], "&lt;&gt;*"&amp;$AB$3&amp;"*",
  unit_details[Leased Date], "&gt;=" &amp; ($X$2 - $AD$3)
),0)</f>
        <v>0</v>
      </c>
      <c r="AE284" s="734" cm="1">
        <f t="array" aca="true" ref="AE2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4" s="733" cm="1">
        <f t="array" aca="true" ref="AF284" ca="true">IFERROR(COUNTIFS(
  unit_details[Property Name], INDIRECT("B"&amp;ROW()),
  unit_details[Floorplan Name], INDIRECT("C"&amp;ROW()),
  unit_details[Beds], INDIRECT("D"&amp;ROW()),
  unit_details[Detected Unit Amenities], "&lt;&gt;*"&amp;$AB$3&amp;"*",
  unit_details[Leased Date], "&gt;=" &amp; ($X$2 - $AD$3)
),0)</f>
        <v>0</v>
      </c>
      <c r="AG284" s="735"/>
      <c r="AH284" s="738">
        <f t="shared" ca="true" si="10"/>
        <v>0</v>
      </c>
      <c r="AI284" s="739">
        <f t="shared" ca="true" si="11"/>
        <v>0</v>
      </c>
    </row>
    <row r="285" spans="2:35">
      <c r="B285" s="1"/>
      <c r="C285" s="80"/>
      <c r="E285" s="303"/>
      <c r="F285" s="303"/>
      <c r="J285" s="345"/>
      <c r="K285" s="6"/>
      <c r="M285" s="745"/>
      <c r="N285" s="738" t="str" cm="1">
        <f t="array" aca="true" ref="N285" ca="true">IFERROR(IF($O$3="Chunk Rent",
AVERAGEIFS('Unit-Level Data'!$O:$O,'Unit-Level Data'!$M:$M,TRUE,
          'Unit-Level Data'!$D:$D, INDIRECT("C"&amp;ROW()),
          'Unit-Level Data'!$B:$B, INDIRECT("B"&amp;ROW())),
AVERAGEIFS('Unit-Level Data'!$P:$P,'Unit-Level Data'!$M:$M,TRUE,
          'Unit-Level Data'!$D:$D, INDIRECT("C"&amp;ROW()),
          'Unit-Level Data'!$B:$B, INDIRECT("B"&amp;ROW()))),"")</f>
      </c>
      <c r="O285" s="760" t="str" cm="1">
        <f t="array" aca="true" ref="O285" ca="true">IFERROR(IF($O$3="Chunk Rent",
AVERAGEIFS('Unit-Level Data'!$Q:$Q,'Unit-Level Data'!$M:$M,TRUE,
          'Unit-Level Data'!$D:$D, INDIRECT("C"&amp;ROW()),
          'Unit-Level Data'!$B:$B, INDIRECT("B"&amp;ROW())),
AVERAGEIFS('Unit-Level Data'!$R:$R,'Unit-Level Data'!$M:$M,TRUE,
          'Unit-Level Data'!$D:$D, INDIRECT("C"&amp;ROW()),
          'Unit-Level Data'!$B:$B, INDIRECT("B"&amp;ROW()))),"")</f>
      </c>
      <c r="P285" s="733" cm="1">
        <f t="array" aca="true" ref="P285" ca="true">COUNTIFS('Unit-Level Data'!$M:$M,TRUE,
          'Unit-Level Data'!$D:$D, INDIRECT("C"&amp;ROW()),
          'Unit-Level Data'!$B:$B, INDIRECT("B"&amp;ROW()))</f>
        <v>0</v>
      </c>
      <c r="Q285" s="738" t="str" cm="1">
        <f t="array" aca="true" ref="Q2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5" s="760" t="str" cm="1">
        <f t="array" aca="true" ref="R2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5" s="733" cm="1">
        <f t="array" aca="true" ref="S285" ca="true">COUNTIFS('Unit-Level Data'!$L:$L, "&gt;=" &amp; ($X$2 - Q$5),
          'Unit-Level Data'!$L:$L, "&lt;" &amp; $X$2,
          'Unit-Level Data'!$D:$D, INDIRECT("C"&amp;ROW()),
          'Unit-Level Data'!$B:$B, INDIRECT("B"&amp;ROW()))</f>
        <v>0</v>
      </c>
      <c r="T285" s="738" t="str" cm="1">
        <f t="array" aca="true" ref="T2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5" s="760" t="str" cm="1">
        <f t="array" aca="true" ref="U2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5" s="733" cm="1">
        <f t="array" aca="true" ref="V285" ca="true">COUNTIFS('Unit-Level Data'!$L:$L, "&gt;=" &amp; ($X$2 - T$5),
          'Unit-Level Data'!$L:$L, "&lt;" &amp; $X$2,
          'Unit-Level Data'!$D:$D, INDIRECT("C"&amp;ROW()),
          'Unit-Level Data'!$B:$B, INDIRECT("B"&amp;ROW()))</f>
        <v>0</v>
      </c>
      <c r="W285" s="738" t="str" cm="1">
        <f t="array" aca="true" ref="W2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5" s="760" t="str" cm="1">
        <f t="array" aca="true" ref="X2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5" s="733" cm="1">
        <f t="array" aca="true" ref="Y285" ca="true">COUNTIFS('Unit-Level Data'!$L:$L, "&gt;=" &amp; ($X$2 - W$5),
          'Unit-Level Data'!$L:$L, "&lt;" &amp; $X$2,
          'Unit-Level Data'!$D:$D, INDIRECT("C"&amp;ROW()),
          'Unit-Level Data'!$B:$B, INDIRECT("B"&amp;ROW()))</f>
        <v>0</v>
      </c>
      <c r="Z285" s="761"/>
      <c r="AA285" s="735" cm="1">
        <f t="array" aca="true" ref="AA285" ca="true">IFERROR(AVERAGEIFS(
  unit_details[Sqft],
  unit_details[Property Name], INDIRECT("B"&amp;ROW()),
  unit_details[Floorplan Name], INDIRECT("C"&amp;ROW()),
  unit_details[Beds], INDIRECT("D"&amp;ROW()),
  unit_details[Detected Unit Amenities], "*"&amp;$AB$3&amp;"*",
  unit_details[Leased Date], "&gt;=" &amp; ($X$2 - $AD$3)
),0)</f>
        <v>0</v>
      </c>
      <c r="AB285" s="734" cm="1">
        <f t="array" aca="true" ref="AB2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5" s="733" cm="1">
        <f t="array" aca="true" ref="AC285" ca="true">IFERROR(COUNTIFS(
  unit_details[Property Name], INDIRECT("B"&amp;ROW()),
  unit_details[Floorplan Name], INDIRECT("C"&amp;ROW()),
  unit_details[Beds], INDIRECT("D"&amp;ROW()),
  unit_details[Detected Unit Amenities], "*"&amp;$AB$3&amp;"*",
  unit_details[Leased Date], "&gt;=" &amp; ($X$2 - $AD$3)
),0)</f>
        <v>0</v>
      </c>
      <c r="AD285" s="735" cm="1">
        <f t="array" aca="true" ref="AD285" ca="true">IFERROR(AVERAGEIFS(
  unit_details[Sqft],
  unit_details[Property Name], INDIRECT("B"&amp;ROW()),
  unit_details[Floorplan Name], INDIRECT("C"&amp;ROW()),
  unit_details[Beds], INDIRECT("D"&amp;ROW()),
  unit_details[Detected Unit Amenities], "&lt;&gt;*"&amp;$AB$3&amp;"*",
  unit_details[Leased Date], "&gt;=" &amp; ($X$2 - $AD$3)
),0)</f>
        <v>0</v>
      </c>
      <c r="AE285" s="734" cm="1">
        <f t="array" aca="true" ref="AE2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5" s="733" cm="1">
        <f t="array" aca="true" ref="AF285" ca="true">IFERROR(COUNTIFS(
  unit_details[Property Name], INDIRECT("B"&amp;ROW()),
  unit_details[Floorplan Name], INDIRECT("C"&amp;ROW()),
  unit_details[Beds], INDIRECT("D"&amp;ROW()),
  unit_details[Detected Unit Amenities], "&lt;&gt;*"&amp;$AB$3&amp;"*",
  unit_details[Leased Date], "&gt;=" &amp; ($X$2 - $AD$3)
),0)</f>
        <v>0</v>
      </c>
      <c r="AG285" s="735"/>
      <c r="AH285" s="738">
        <f t="shared" ca="true" si="10"/>
        <v>0</v>
      </c>
      <c r="AI285" s="739">
        <f t="shared" ca="true" si="11"/>
        <v>0</v>
      </c>
    </row>
    <row r="286" spans="2:35">
      <c r="B286" s="1"/>
      <c r="C286" s="80"/>
      <c r="E286" s="303"/>
      <c r="F286" s="303"/>
      <c r="J286" s="345"/>
      <c r="K286" s="6"/>
      <c r="M286" s="745"/>
      <c r="N286" s="738" t="str" cm="1">
        <f t="array" aca="true" ref="N286" ca="true">IFERROR(IF($O$3="Chunk Rent",
AVERAGEIFS('Unit-Level Data'!$O:$O,'Unit-Level Data'!$M:$M,TRUE,
          'Unit-Level Data'!$D:$D, INDIRECT("C"&amp;ROW()),
          'Unit-Level Data'!$B:$B, INDIRECT("B"&amp;ROW())),
AVERAGEIFS('Unit-Level Data'!$P:$P,'Unit-Level Data'!$M:$M,TRUE,
          'Unit-Level Data'!$D:$D, INDIRECT("C"&amp;ROW()),
          'Unit-Level Data'!$B:$B, INDIRECT("B"&amp;ROW()))),"")</f>
      </c>
      <c r="O286" s="760" t="str" cm="1">
        <f t="array" aca="true" ref="O286" ca="true">IFERROR(IF($O$3="Chunk Rent",
AVERAGEIFS('Unit-Level Data'!$Q:$Q,'Unit-Level Data'!$M:$M,TRUE,
          'Unit-Level Data'!$D:$D, INDIRECT("C"&amp;ROW()),
          'Unit-Level Data'!$B:$B, INDIRECT("B"&amp;ROW())),
AVERAGEIFS('Unit-Level Data'!$R:$R,'Unit-Level Data'!$M:$M,TRUE,
          'Unit-Level Data'!$D:$D, INDIRECT("C"&amp;ROW()),
          'Unit-Level Data'!$B:$B, INDIRECT("B"&amp;ROW()))),"")</f>
      </c>
      <c r="P286" s="733" cm="1">
        <f t="array" aca="true" ref="P286" ca="true">COUNTIFS('Unit-Level Data'!$M:$M,TRUE,
          'Unit-Level Data'!$D:$D, INDIRECT("C"&amp;ROW()),
          'Unit-Level Data'!$B:$B, INDIRECT("B"&amp;ROW()))</f>
        <v>0</v>
      </c>
      <c r="Q286" s="738" t="str" cm="1">
        <f t="array" aca="true" ref="Q2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6" s="760" t="str" cm="1">
        <f t="array" aca="true" ref="R2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6" s="733" cm="1">
        <f t="array" aca="true" ref="S286" ca="true">COUNTIFS('Unit-Level Data'!$L:$L, "&gt;=" &amp; ($X$2 - Q$5),
          'Unit-Level Data'!$L:$L, "&lt;" &amp; $X$2,
          'Unit-Level Data'!$D:$D, INDIRECT("C"&amp;ROW()),
          'Unit-Level Data'!$B:$B, INDIRECT("B"&amp;ROW()))</f>
        <v>0</v>
      </c>
      <c r="T286" s="738" t="str" cm="1">
        <f t="array" aca="true" ref="T2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6" s="760" t="str" cm="1">
        <f t="array" aca="true" ref="U2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6" s="733" cm="1">
        <f t="array" aca="true" ref="V286" ca="true">COUNTIFS('Unit-Level Data'!$L:$L, "&gt;=" &amp; ($X$2 - T$5),
          'Unit-Level Data'!$L:$L, "&lt;" &amp; $X$2,
          'Unit-Level Data'!$D:$D, INDIRECT("C"&amp;ROW()),
          'Unit-Level Data'!$B:$B, INDIRECT("B"&amp;ROW()))</f>
        <v>0</v>
      </c>
      <c r="W286" s="738" t="str" cm="1">
        <f t="array" aca="true" ref="W2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6" s="760" t="str" cm="1">
        <f t="array" aca="true" ref="X2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6" s="733" cm="1">
        <f t="array" aca="true" ref="Y286" ca="true">COUNTIFS('Unit-Level Data'!$L:$L, "&gt;=" &amp; ($X$2 - W$5),
          'Unit-Level Data'!$L:$L, "&lt;" &amp; $X$2,
          'Unit-Level Data'!$D:$D, INDIRECT("C"&amp;ROW()),
          'Unit-Level Data'!$B:$B, INDIRECT("B"&amp;ROW()))</f>
        <v>0</v>
      </c>
      <c r="Z286" s="761"/>
      <c r="AA286" s="735" cm="1">
        <f t="array" aca="true" ref="AA286" ca="true">IFERROR(AVERAGEIFS(
  unit_details[Sqft],
  unit_details[Property Name], INDIRECT("B"&amp;ROW()),
  unit_details[Floorplan Name], INDIRECT("C"&amp;ROW()),
  unit_details[Beds], INDIRECT("D"&amp;ROW()),
  unit_details[Detected Unit Amenities], "*"&amp;$AB$3&amp;"*",
  unit_details[Leased Date], "&gt;=" &amp; ($X$2 - $AD$3)
),0)</f>
        <v>0</v>
      </c>
      <c r="AB286" s="734" cm="1">
        <f t="array" aca="true" ref="AB2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6" s="733" cm="1">
        <f t="array" aca="true" ref="AC286" ca="true">IFERROR(COUNTIFS(
  unit_details[Property Name], INDIRECT("B"&amp;ROW()),
  unit_details[Floorplan Name], INDIRECT("C"&amp;ROW()),
  unit_details[Beds], INDIRECT("D"&amp;ROW()),
  unit_details[Detected Unit Amenities], "*"&amp;$AB$3&amp;"*",
  unit_details[Leased Date], "&gt;=" &amp; ($X$2 - $AD$3)
),0)</f>
        <v>0</v>
      </c>
      <c r="AD286" s="735" cm="1">
        <f t="array" aca="true" ref="AD286" ca="true">IFERROR(AVERAGEIFS(
  unit_details[Sqft],
  unit_details[Property Name], INDIRECT("B"&amp;ROW()),
  unit_details[Floorplan Name], INDIRECT("C"&amp;ROW()),
  unit_details[Beds], INDIRECT("D"&amp;ROW()),
  unit_details[Detected Unit Amenities], "&lt;&gt;*"&amp;$AB$3&amp;"*",
  unit_details[Leased Date], "&gt;=" &amp; ($X$2 - $AD$3)
),0)</f>
        <v>0</v>
      </c>
      <c r="AE286" s="734" cm="1">
        <f t="array" aca="true" ref="AE2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6" s="733" cm="1">
        <f t="array" aca="true" ref="AF286" ca="true">IFERROR(COUNTIFS(
  unit_details[Property Name], INDIRECT("B"&amp;ROW()),
  unit_details[Floorplan Name], INDIRECT("C"&amp;ROW()),
  unit_details[Beds], INDIRECT("D"&amp;ROW()),
  unit_details[Detected Unit Amenities], "&lt;&gt;*"&amp;$AB$3&amp;"*",
  unit_details[Leased Date], "&gt;=" &amp; ($X$2 - $AD$3)
),0)</f>
        <v>0</v>
      </c>
      <c r="AG286" s="735"/>
      <c r="AH286" s="738">
        <f t="shared" ca="true" si="10"/>
        <v>0</v>
      </c>
      <c r="AI286" s="739">
        <f t="shared" ca="true" si="11"/>
        <v>0</v>
      </c>
    </row>
    <row r="287" spans="2:35">
      <c r="B287" s="1"/>
      <c r="C287" s="80"/>
      <c r="E287" s="303"/>
      <c r="F287" s="303"/>
      <c r="J287" s="345"/>
      <c r="K287" s="6"/>
      <c r="M287" s="745"/>
      <c r="N287" s="738" t="str" cm="1">
        <f t="array" aca="true" ref="N287" ca="true">IFERROR(IF($O$3="Chunk Rent",
AVERAGEIFS('Unit-Level Data'!$O:$O,'Unit-Level Data'!$M:$M,TRUE,
          'Unit-Level Data'!$D:$D, INDIRECT("C"&amp;ROW()),
          'Unit-Level Data'!$B:$B, INDIRECT("B"&amp;ROW())),
AVERAGEIFS('Unit-Level Data'!$P:$P,'Unit-Level Data'!$M:$M,TRUE,
          'Unit-Level Data'!$D:$D, INDIRECT("C"&amp;ROW()),
          'Unit-Level Data'!$B:$B, INDIRECT("B"&amp;ROW()))),"")</f>
      </c>
      <c r="O287" s="760" t="str" cm="1">
        <f t="array" aca="true" ref="O287" ca="true">IFERROR(IF($O$3="Chunk Rent",
AVERAGEIFS('Unit-Level Data'!$Q:$Q,'Unit-Level Data'!$M:$M,TRUE,
          'Unit-Level Data'!$D:$D, INDIRECT("C"&amp;ROW()),
          'Unit-Level Data'!$B:$B, INDIRECT("B"&amp;ROW())),
AVERAGEIFS('Unit-Level Data'!$R:$R,'Unit-Level Data'!$M:$M,TRUE,
          'Unit-Level Data'!$D:$D, INDIRECT("C"&amp;ROW()),
          'Unit-Level Data'!$B:$B, INDIRECT("B"&amp;ROW()))),"")</f>
      </c>
      <c r="P287" s="733" cm="1">
        <f t="array" aca="true" ref="P287" ca="true">COUNTIFS('Unit-Level Data'!$M:$M,TRUE,
          'Unit-Level Data'!$D:$D, INDIRECT("C"&amp;ROW()),
          'Unit-Level Data'!$B:$B, INDIRECT("B"&amp;ROW()))</f>
        <v>0</v>
      </c>
      <c r="Q287" s="738" t="str" cm="1">
        <f t="array" aca="true" ref="Q2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7" s="760" t="str" cm="1">
        <f t="array" aca="true" ref="R2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7" s="733" cm="1">
        <f t="array" aca="true" ref="S287" ca="true">COUNTIFS('Unit-Level Data'!$L:$L, "&gt;=" &amp; ($X$2 - Q$5),
          'Unit-Level Data'!$L:$L, "&lt;" &amp; $X$2,
          'Unit-Level Data'!$D:$D, INDIRECT("C"&amp;ROW()),
          'Unit-Level Data'!$B:$B, INDIRECT("B"&amp;ROW()))</f>
        <v>0</v>
      </c>
      <c r="T287" s="738" t="str" cm="1">
        <f t="array" aca="true" ref="T2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7" s="760" t="str" cm="1">
        <f t="array" aca="true" ref="U2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7" s="733" cm="1">
        <f t="array" aca="true" ref="V287" ca="true">COUNTIFS('Unit-Level Data'!$L:$L, "&gt;=" &amp; ($X$2 - T$5),
          'Unit-Level Data'!$L:$L, "&lt;" &amp; $X$2,
          'Unit-Level Data'!$D:$D, INDIRECT("C"&amp;ROW()),
          'Unit-Level Data'!$B:$B, INDIRECT("B"&amp;ROW()))</f>
        <v>0</v>
      </c>
      <c r="W287" s="738" t="str" cm="1">
        <f t="array" aca="true" ref="W2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7" s="760" t="str" cm="1">
        <f t="array" aca="true" ref="X2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7" s="733" cm="1">
        <f t="array" aca="true" ref="Y287" ca="true">COUNTIFS('Unit-Level Data'!$L:$L, "&gt;=" &amp; ($X$2 - W$5),
          'Unit-Level Data'!$L:$L, "&lt;" &amp; $X$2,
          'Unit-Level Data'!$D:$D, INDIRECT("C"&amp;ROW()),
          'Unit-Level Data'!$B:$B, INDIRECT("B"&amp;ROW()))</f>
        <v>0</v>
      </c>
      <c r="Z287" s="761"/>
      <c r="AA287" s="735" cm="1">
        <f t="array" aca="true" ref="AA287" ca="true">IFERROR(AVERAGEIFS(
  unit_details[Sqft],
  unit_details[Property Name], INDIRECT("B"&amp;ROW()),
  unit_details[Floorplan Name], INDIRECT("C"&amp;ROW()),
  unit_details[Beds], INDIRECT("D"&amp;ROW()),
  unit_details[Detected Unit Amenities], "*"&amp;$AB$3&amp;"*",
  unit_details[Leased Date], "&gt;=" &amp; ($X$2 - $AD$3)
),0)</f>
        <v>0</v>
      </c>
      <c r="AB287" s="734" cm="1">
        <f t="array" aca="true" ref="AB2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7" s="733" cm="1">
        <f t="array" aca="true" ref="AC287" ca="true">IFERROR(COUNTIFS(
  unit_details[Property Name], INDIRECT("B"&amp;ROW()),
  unit_details[Floorplan Name], INDIRECT("C"&amp;ROW()),
  unit_details[Beds], INDIRECT("D"&amp;ROW()),
  unit_details[Detected Unit Amenities], "*"&amp;$AB$3&amp;"*",
  unit_details[Leased Date], "&gt;=" &amp; ($X$2 - $AD$3)
),0)</f>
        <v>0</v>
      </c>
      <c r="AD287" s="735" cm="1">
        <f t="array" aca="true" ref="AD287" ca="true">IFERROR(AVERAGEIFS(
  unit_details[Sqft],
  unit_details[Property Name], INDIRECT("B"&amp;ROW()),
  unit_details[Floorplan Name], INDIRECT("C"&amp;ROW()),
  unit_details[Beds], INDIRECT("D"&amp;ROW()),
  unit_details[Detected Unit Amenities], "&lt;&gt;*"&amp;$AB$3&amp;"*",
  unit_details[Leased Date], "&gt;=" &amp; ($X$2 - $AD$3)
),0)</f>
        <v>0</v>
      </c>
      <c r="AE287" s="734" cm="1">
        <f t="array" aca="true" ref="AE2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7" s="733" cm="1">
        <f t="array" aca="true" ref="AF287" ca="true">IFERROR(COUNTIFS(
  unit_details[Property Name], INDIRECT("B"&amp;ROW()),
  unit_details[Floorplan Name], INDIRECT("C"&amp;ROW()),
  unit_details[Beds], INDIRECT("D"&amp;ROW()),
  unit_details[Detected Unit Amenities], "&lt;&gt;*"&amp;$AB$3&amp;"*",
  unit_details[Leased Date], "&gt;=" &amp; ($X$2 - $AD$3)
),0)</f>
        <v>0</v>
      </c>
      <c r="AG287" s="735"/>
      <c r="AH287" s="738">
        <f t="shared" ca="true" si="10"/>
        <v>0</v>
      </c>
      <c r="AI287" s="739">
        <f t="shared" ca="true" si="11"/>
        <v>0</v>
      </c>
    </row>
    <row r="288" spans="2:35">
      <c r="B288" s="1"/>
      <c r="C288" s="80"/>
      <c r="E288" s="303"/>
      <c r="F288" s="303"/>
      <c r="J288" s="345"/>
      <c r="K288" s="6"/>
      <c r="M288" s="745"/>
      <c r="N288" s="738" t="str" cm="1">
        <f t="array" aca="true" ref="N288" ca="true">IFERROR(IF($O$3="Chunk Rent",
AVERAGEIFS('Unit-Level Data'!$O:$O,'Unit-Level Data'!$M:$M,TRUE,
          'Unit-Level Data'!$D:$D, INDIRECT("C"&amp;ROW()),
          'Unit-Level Data'!$B:$B, INDIRECT("B"&amp;ROW())),
AVERAGEIFS('Unit-Level Data'!$P:$P,'Unit-Level Data'!$M:$M,TRUE,
          'Unit-Level Data'!$D:$D, INDIRECT("C"&amp;ROW()),
          'Unit-Level Data'!$B:$B, INDIRECT("B"&amp;ROW()))),"")</f>
      </c>
      <c r="O288" s="760" t="str" cm="1">
        <f t="array" aca="true" ref="O288" ca="true">IFERROR(IF($O$3="Chunk Rent",
AVERAGEIFS('Unit-Level Data'!$Q:$Q,'Unit-Level Data'!$M:$M,TRUE,
          'Unit-Level Data'!$D:$D, INDIRECT("C"&amp;ROW()),
          'Unit-Level Data'!$B:$B, INDIRECT("B"&amp;ROW())),
AVERAGEIFS('Unit-Level Data'!$R:$R,'Unit-Level Data'!$M:$M,TRUE,
          'Unit-Level Data'!$D:$D, INDIRECT("C"&amp;ROW()),
          'Unit-Level Data'!$B:$B, INDIRECT("B"&amp;ROW()))),"")</f>
      </c>
      <c r="P288" s="733" cm="1">
        <f t="array" aca="true" ref="P288" ca="true">COUNTIFS('Unit-Level Data'!$M:$M,TRUE,
          'Unit-Level Data'!$D:$D, INDIRECT("C"&amp;ROW()),
          'Unit-Level Data'!$B:$B, INDIRECT("B"&amp;ROW()))</f>
        <v>0</v>
      </c>
      <c r="Q288" s="738" t="str" cm="1">
        <f t="array" aca="true" ref="Q2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8" s="760" t="str" cm="1">
        <f t="array" aca="true" ref="R2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8" s="733" cm="1">
        <f t="array" aca="true" ref="S288" ca="true">COUNTIFS('Unit-Level Data'!$L:$L, "&gt;=" &amp; ($X$2 - Q$5),
          'Unit-Level Data'!$L:$L, "&lt;" &amp; $X$2,
          'Unit-Level Data'!$D:$D, INDIRECT("C"&amp;ROW()),
          'Unit-Level Data'!$B:$B, INDIRECT("B"&amp;ROW()))</f>
        <v>0</v>
      </c>
      <c r="T288" s="738" t="str" cm="1">
        <f t="array" aca="true" ref="T2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8" s="760" t="str" cm="1">
        <f t="array" aca="true" ref="U2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8" s="733" cm="1">
        <f t="array" aca="true" ref="V288" ca="true">COUNTIFS('Unit-Level Data'!$L:$L, "&gt;=" &amp; ($X$2 - T$5),
          'Unit-Level Data'!$L:$L, "&lt;" &amp; $X$2,
          'Unit-Level Data'!$D:$D, INDIRECT("C"&amp;ROW()),
          'Unit-Level Data'!$B:$B, INDIRECT("B"&amp;ROW()))</f>
        <v>0</v>
      </c>
      <c r="W288" s="738" t="str" cm="1">
        <f t="array" aca="true" ref="W2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8" s="760" t="str" cm="1">
        <f t="array" aca="true" ref="X2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8" s="733" cm="1">
        <f t="array" aca="true" ref="Y288" ca="true">COUNTIFS('Unit-Level Data'!$L:$L, "&gt;=" &amp; ($X$2 - W$5),
          'Unit-Level Data'!$L:$L, "&lt;" &amp; $X$2,
          'Unit-Level Data'!$D:$D, INDIRECT("C"&amp;ROW()),
          'Unit-Level Data'!$B:$B, INDIRECT("B"&amp;ROW()))</f>
        <v>0</v>
      </c>
      <c r="Z288" s="761"/>
      <c r="AA288" s="735" cm="1">
        <f t="array" aca="true" ref="AA288" ca="true">IFERROR(AVERAGEIFS(
  unit_details[Sqft],
  unit_details[Property Name], INDIRECT("B"&amp;ROW()),
  unit_details[Floorplan Name], INDIRECT("C"&amp;ROW()),
  unit_details[Beds], INDIRECT("D"&amp;ROW()),
  unit_details[Detected Unit Amenities], "*"&amp;$AB$3&amp;"*",
  unit_details[Leased Date], "&gt;=" &amp; ($X$2 - $AD$3)
),0)</f>
        <v>0</v>
      </c>
      <c r="AB288" s="734" cm="1">
        <f t="array" aca="true" ref="AB2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8" s="733" cm="1">
        <f t="array" aca="true" ref="AC288" ca="true">IFERROR(COUNTIFS(
  unit_details[Property Name], INDIRECT("B"&amp;ROW()),
  unit_details[Floorplan Name], INDIRECT("C"&amp;ROW()),
  unit_details[Beds], INDIRECT("D"&amp;ROW()),
  unit_details[Detected Unit Amenities], "*"&amp;$AB$3&amp;"*",
  unit_details[Leased Date], "&gt;=" &amp; ($X$2 - $AD$3)
),0)</f>
        <v>0</v>
      </c>
      <c r="AD288" s="735" cm="1">
        <f t="array" aca="true" ref="AD288" ca="true">IFERROR(AVERAGEIFS(
  unit_details[Sqft],
  unit_details[Property Name], INDIRECT("B"&amp;ROW()),
  unit_details[Floorplan Name], INDIRECT("C"&amp;ROW()),
  unit_details[Beds], INDIRECT("D"&amp;ROW()),
  unit_details[Detected Unit Amenities], "&lt;&gt;*"&amp;$AB$3&amp;"*",
  unit_details[Leased Date], "&gt;=" &amp; ($X$2 - $AD$3)
),0)</f>
        <v>0</v>
      </c>
      <c r="AE288" s="734" cm="1">
        <f t="array" aca="true" ref="AE2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8" s="733" cm="1">
        <f t="array" aca="true" ref="AF288" ca="true">IFERROR(COUNTIFS(
  unit_details[Property Name], INDIRECT("B"&amp;ROW()),
  unit_details[Floorplan Name], INDIRECT("C"&amp;ROW()),
  unit_details[Beds], INDIRECT("D"&amp;ROW()),
  unit_details[Detected Unit Amenities], "&lt;&gt;*"&amp;$AB$3&amp;"*",
  unit_details[Leased Date], "&gt;=" &amp; ($X$2 - $AD$3)
),0)</f>
        <v>0</v>
      </c>
      <c r="AG288" s="735"/>
      <c r="AH288" s="738">
        <f t="shared" ca="true" si="10"/>
        <v>0</v>
      </c>
      <c r="AI288" s="739">
        <f t="shared" ca="true" si="11"/>
        <v>0</v>
      </c>
    </row>
    <row r="289" spans="2:35">
      <c r="B289" s="1"/>
      <c r="C289" s="80"/>
      <c r="E289" s="303"/>
      <c r="F289" s="303"/>
      <c r="J289" s="345"/>
      <c r="K289" s="6"/>
      <c r="M289" s="745"/>
      <c r="N289" s="738" t="str" cm="1">
        <f t="array" aca="true" ref="N289" ca="true">IFERROR(IF($O$3="Chunk Rent",
AVERAGEIFS('Unit-Level Data'!$O:$O,'Unit-Level Data'!$M:$M,TRUE,
          'Unit-Level Data'!$D:$D, INDIRECT("C"&amp;ROW()),
          'Unit-Level Data'!$B:$B, INDIRECT("B"&amp;ROW())),
AVERAGEIFS('Unit-Level Data'!$P:$P,'Unit-Level Data'!$M:$M,TRUE,
          'Unit-Level Data'!$D:$D, INDIRECT("C"&amp;ROW()),
          'Unit-Level Data'!$B:$B, INDIRECT("B"&amp;ROW()))),"")</f>
      </c>
      <c r="O289" s="760" t="str" cm="1">
        <f t="array" aca="true" ref="O289" ca="true">IFERROR(IF($O$3="Chunk Rent",
AVERAGEIFS('Unit-Level Data'!$Q:$Q,'Unit-Level Data'!$M:$M,TRUE,
          'Unit-Level Data'!$D:$D, INDIRECT("C"&amp;ROW()),
          'Unit-Level Data'!$B:$B, INDIRECT("B"&amp;ROW())),
AVERAGEIFS('Unit-Level Data'!$R:$R,'Unit-Level Data'!$M:$M,TRUE,
          'Unit-Level Data'!$D:$D, INDIRECT("C"&amp;ROW()),
          'Unit-Level Data'!$B:$B, INDIRECT("B"&amp;ROW()))),"")</f>
      </c>
      <c r="P289" s="733" cm="1">
        <f t="array" aca="true" ref="P289" ca="true">COUNTIFS('Unit-Level Data'!$M:$M,TRUE,
          'Unit-Level Data'!$D:$D, INDIRECT("C"&amp;ROW()),
          'Unit-Level Data'!$B:$B, INDIRECT("B"&amp;ROW()))</f>
        <v>0</v>
      </c>
      <c r="Q289" s="738" t="str" cm="1">
        <f t="array" aca="true" ref="Q2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9" s="760" t="str" cm="1">
        <f t="array" aca="true" ref="R2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9" s="733" cm="1">
        <f t="array" aca="true" ref="S289" ca="true">COUNTIFS('Unit-Level Data'!$L:$L, "&gt;=" &amp; ($X$2 - Q$5),
          'Unit-Level Data'!$L:$L, "&lt;" &amp; $X$2,
          'Unit-Level Data'!$D:$D, INDIRECT("C"&amp;ROW()),
          'Unit-Level Data'!$B:$B, INDIRECT("B"&amp;ROW()))</f>
        <v>0</v>
      </c>
      <c r="T289" s="738" t="str" cm="1">
        <f t="array" aca="true" ref="T2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9" s="760" t="str" cm="1">
        <f t="array" aca="true" ref="U2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9" s="733" cm="1">
        <f t="array" aca="true" ref="V289" ca="true">COUNTIFS('Unit-Level Data'!$L:$L, "&gt;=" &amp; ($X$2 - T$5),
          'Unit-Level Data'!$L:$L, "&lt;" &amp; $X$2,
          'Unit-Level Data'!$D:$D, INDIRECT("C"&amp;ROW()),
          'Unit-Level Data'!$B:$B, INDIRECT("B"&amp;ROW()))</f>
        <v>0</v>
      </c>
      <c r="W289" s="738" t="str" cm="1">
        <f t="array" aca="true" ref="W2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9" s="760" t="str" cm="1">
        <f t="array" aca="true" ref="X2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9" s="733" cm="1">
        <f t="array" aca="true" ref="Y289" ca="true">COUNTIFS('Unit-Level Data'!$L:$L, "&gt;=" &amp; ($X$2 - W$5),
          'Unit-Level Data'!$L:$L, "&lt;" &amp; $X$2,
          'Unit-Level Data'!$D:$D, INDIRECT("C"&amp;ROW()),
          'Unit-Level Data'!$B:$B, INDIRECT("B"&amp;ROW()))</f>
        <v>0</v>
      </c>
      <c r="Z289" s="761"/>
      <c r="AA289" s="735" cm="1">
        <f t="array" aca="true" ref="AA289" ca="true">IFERROR(AVERAGEIFS(
  unit_details[Sqft],
  unit_details[Property Name], INDIRECT("B"&amp;ROW()),
  unit_details[Floorplan Name], INDIRECT("C"&amp;ROW()),
  unit_details[Beds], INDIRECT("D"&amp;ROW()),
  unit_details[Detected Unit Amenities], "*"&amp;$AB$3&amp;"*",
  unit_details[Leased Date], "&gt;=" &amp; ($X$2 - $AD$3)
),0)</f>
        <v>0</v>
      </c>
      <c r="AB289" s="734" cm="1">
        <f t="array" aca="true" ref="AB2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9" s="733" cm="1">
        <f t="array" aca="true" ref="AC289" ca="true">IFERROR(COUNTIFS(
  unit_details[Property Name], INDIRECT("B"&amp;ROW()),
  unit_details[Floorplan Name], INDIRECT("C"&amp;ROW()),
  unit_details[Beds], INDIRECT("D"&amp;ROW()),
  unit_details[Detected Unit Amenities], "*"&amp;$AB$3&amp;"*",
  unit_details[Leased Date], "&gt;=" &amp; ($X$2 - $AD$3)
),0)</f>
        <v>0</v>
      </c>
      <c r="AD289" s="735" cm="1">
        <f t="array" aca="true" ref="AD289" ca="true">IFERROR(AVERAGEIFS(
  unit_details[Sqft],
  unit_details[Property Name], INDIRECT("B"&amp;ROW()),
  unit_details[Floorplan Name], INDIRECT("C"&amp;ROW()),
  unit_details[Beds], INDIRECT("D"&amp;ROW()),
  unit_details[Detected Unit Amenities], "&lt;&gt;*"&amp;$AB$3&amp;"*",
  unit_details[Leased Date], "&gt;=" &amp; ($X$2 - $AD$3)
),0)</f>
        <v>0</v>
      </c>
      <c r="AE289" s="734" cm="1">
        <f t="array" aca="true" ref="AE2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9" s="733" cm="1">
        <f t="array" aca="true" ref="AF289" ca="true">IFERROR(COUNTIFS(
  unit_details[Property Name], INDIRECT("B"&amp;ROW()),
  unit_details[Floorplan Name], INDIRECT("C"&amp;ROW()),
  unit_details[Beds], INDIRECT("D"&amp;ROW()),
  unit_details[Detected Unit Amenities], "&lt;&gt;*"&amp;$AB$3&amp;"*",
  unit_details[Leased Date], "&gt;=" &amp; ($X$2 - $AD$3)
),0)</f>
        <v>0</v>
      </c>
      <c r="AG289" s="735"/>
      <c r="AH289" s="738">
        <f t="shared" ca="true" si="10"/>
        <v>0</v>
      </c>
      <c r="AI289" s="739">
        <f t="shared" ca="true" si="11"/>
        <v>0</v>
      </c>
    </row>
    <row r="290" spans="2:35">
      <c r="B290" s="1"/>
      <c r="C290" s="80"/>
      <c r="E290" s="303"/>
      <c r="F290" s="303"/>
      <c r="J290" s="345"/>
      <c r="K290" s="6"/>
      <c r="M290" s="745"/>
      <c r="N290" s="738" t="str" cm="1">
        <f t="array" aca="true" ref="N290" ca="true">IFERROR(IF($O$3="Chunk Rent",
AVERAGEIFS('Unit-Level Data'!$O:$O,'Unit-Level Data'!$M:$M,TRUE,
          'Unit-Level Data'!$D:$D, INDIRECT("C"&amp;ROW()),
          'Unit-Level Data'!$B:$B, INDIRECT("B"&amp;ROW())),
AVERAGEIFS('Unit-Level Data'!$P:$P,'Unit-Level Data'!$M:$M,TRUE,
          'Unit-Level Data'!$D:$D, INDIRECT("C"&amp;ROW()),
          'Unit-Level Data'!$B:$B, INDIRECT("B"&amp;ROW()))),"")</f>
      </c>
      <c r="O290" s="760" t="str" cm="1">
        <f t="array" aca="true" ref="O290" ca="true">IFERROR(IF($O$3="Chunk Rent",
AVERAGEIFS('Unit-Level Data'!$Q:$Q,'Unit-Level Data'!$M:$M,TRUE,
          'Unit-Level Data'!$D:$D, INDIRECT("C"&amp;ROW()),
          'Unit-Level Data'!$B:$B, INDIRECT("B"&amp;ROW())),
AVERAGEIFS('Unit-Level Data'!$R:$R,'Unit-Level Data'!$M:$M,TRUE,
          'Unit-Level Data'!$D:$D, INDIRECT("C"&amp;ROW()),
          'Unit-Level Data'!$B:$B, INDIRECT("B"&amp;ROW()))),"")</f>
      </c>
      <c r="P290" s="733" cm="1">
        <f t="array" aca="true" ref="P290" ca="true">COUNTIFS('Unit-Level Data'!$M:$M,TRUE,
          'Unit-Level Data'!$D:$D, INDIRECT("C"&amp;ROW()),
          'Unit-Level Data'!$B:$B, INDIRECT("B"&amp;ROW()))</f>
        <v>0</v>
      </c>
      <c r="Q290" s="738" t="str" cm="1">
        <f t="array" aca="true" ref="Q2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0" s="760" t="str" cm="1">
        <f t="array" aca="true" ref="R2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0" s="733" cm="1">
        <f t="array" aca="true" ref="S290" ca="true">COUNTIFS('Unit-Level Data'!$L:$L, "&gt;=" &amp; ($X$2 - Q$5),
          'Unit-Level Data'!$L:$L, "&lt;" &amp; $X$2,
          'Unit-Level Data'!$D:$D, INDIRECT("C"&amp;ROW()),
          'Unit-Level Data'!$B:$B, INDIRECT("B"&amp;ROW()))</f>
        <v>0</v>
      </c>
      <c r="T290" s="738" t="str" cm="1">
        <f t="array" aca="true" ref="T2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0" s="760" t="str" cm="1">
        <f t="array" aca="true" ref="U2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0" s="733" cm="1">
        <f t="array" aca="true" ref="V290" ca="true">COUNTIFS('Unit-Level Data'!$L:$L, "&gt;=" &amp; ($X$2 - T$5),
          'Unit-Level Data'!$L:$L, "&lt;" &amp; $X$2,
          'Unit-Level Data'!$D:$D, INDIRECT("C"&amp;ROW()),
          'Unit-Level Data'!$B:$B, INDIRECT("B"&amp;ROW()))</f>
        <v>0</v>
      </c>
      <c r="W290" s="738" t="str" cm="1">
        <f t="array" aca="true" ref="W2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0" s="760" t="str" cm="1">
        <f t="array" aca="true" ref="X2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0" s="733" cm="1">
        <f t="array" aca="true" ref="Y290" ca="true">COUNTIFS('Unit-Level Data'!$L:$L, "&gt;=" &amp; ($X$2 - W$5),
          'Unit-Level Data'!$L:$L, "&lt;" &amp; $X$2,
          'Unit-Level Data'!$D:$D, INDIRECT("C"&amp;ROW()),
          'Unit-Level Data'!$B:$B, INDIRECT("B"&amp;ROW()))</f>
        <v>0</v>
      </c>
      <c r="Z290" s="761"/>
      <c r="AA290" s="735" cm="1">
        <f t="array" aca="true" ref="AA290" ca="true">IFERROR(AVERAGEIFS(
  unit_details[Sqft],
  unit_details[Property Name], INDIRECT("B"&amp;ROW()),
  unit_details[Floorplan Name], INDIRECT("C"&amp;ROW()),
  unit_details[Beds], INDIRECT("D"&amp;ROW()),
  unit_details[Detected Unit Amenities], "*"&amp;$AB$3&amp;"*",
  unit_details[Leased Date], "&gt;=" &amp; ($X$2 - $AD$3)
),0)</f>
        <v>0</v>
      </c>
      <c r="AB290" s="734" cm="1">
        <f t="array" aca="true" ref="AB2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0" s="733" cm="1">
        <f t="array" aca="true" ref="AC290" ca="true">IFERROR(COUNTIFS(
  unit_details[Property Name], INDIRECT("B"&amp;ROW()),
  unit_details[Floorplan Name], INDIRECT("C"&amp;ROW()),
  unit_details[Beds], INDIRECT("D"&amp;ROW()),
  unit_details[Detected Unit Amenities], "*"&amp;$AB$3&amp;"*",
  unit_details[Leased Date], "&gt;=" &amp; ($X$2 - $AD$3)
),0)</f>
        <v>0</v>
      </c>
      <c r="AD290" s="735" cm="1">
        <f t="array" aca="true" ref="AD290" ca="true">IFERROR(AVERAGEIFS(
  unit_details[Sqft],
  unit_details[Property Name], INDIRECT("B"&amp;ROW()),
  unit_details[Floorplan Name], INDIRECT("C"&amp;ROW()),
  unit_details[Beds], INDIRECT("D"&amp;ROW()),
  unit_details[Detected Unit Amenities], "&lt;&gt;*"&amp;$AB$3&amp;"*",
  unit_details[Leased Date], "&gt;=" &amp; ($X$2 - $AD$3)
),0)</f>
        <v>0</v>
      </c>
      <c r="AE290" s="734" cm="1">
        <f t="array" aca="true" ref="AE2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0" s="733" cm="1">
        <f t="array" aca="true" ref="AF290" ca="true">IFERROR(COUNTIFS(
  unit_details[Property Name], INDIRECT("B"&amp;ROW()),
  unit_details[Floorplan Name], INDIRECT("C"&amp;ROW()),
  unit_details[Beds], INDIRECT("D"&amp;ROW()),
  unit_details[Detected Unit Amenities], "&lt;&gt;*"&amp;$AB$3&amp;"*",
  unit_details[Leased Date], "&gt;=" &amp; ($X$2 - $AD$3)
),0)</f>
        <v>0</v>
      </c>
      <c r="AG290" s="735"/>
      <c r="AH290" s="738">
        <f t="shared" ca="true" si="10"/>
        <v>0</v>
      </c>
      <c r="AI290" s="739">
        <f t="shared" ca="true" si="11"/>
        <v>0</v>
      </c>
    </row>
    <row r="291" spans="2:35">
      <c r="B291" s="1"/>
      <c r="C291" s="80"/>
      <c r="E291" s="303"/>
      <c r="F291" s="303"/>
      <c r="J291" s="345"/>
      <c r="K291" s="6"/>
      <c r="M291" s="745"/>
      <c r="N291" s="738" t="str" cm="1">
        <f t="array" aca="true" ref="N291" ca="true">IFERROR(IF($O$3="Chunk Rent",
AVERAGEIFS('Unit-Level Data'!$O:$O,'Unit-Level Data'!$M:$M,TRUE,
          'Unit-Level Data'!$D:$D, INDIRECT("C"&amp;ROW()),
          'Unit-Level Data'!$B:$B, INDIRECT("B"&amp;ROW())),
AVERAGEIFS('Unit-Level Data'!$P:$P,'Unit-Level Data'!$M:$M,TRUE,
          'Unit-Level Data'!$D:$D, INDIRECT("C"&amp;ROW()),
          'Unit-Level Data'!$B:$B, INDIRECT("B"&amp;ROW()))),"")</f>
      </c>
      <c r="O291" s="760" t="str" cm="1">
        <f t="array" aca="true" ref="O291" ca="true">IFERROR(IF($O$3="Chunk Rent",
AVERAGEIFS('Unit-Level Data'!$Q:$Q,'Unit-Level Data'!$M:$M,TRUE,
          'Unit-Level Data'!$D:$D, INDIRECT("C"&amp;ROW()),
          'Unit-Level Data'!$B:$B, INDIRECT("B"&amp;ROW())),
AVERAGEIFS('Unit-Level Data'!$R:$R,'Unit-Level Data'!$M:$M,TRUE,
          'Unit-Level Data'!$D:$D, INDIRECT("C"&amp;ROW()),
          'Unit-Level Data'!$B:$B, INDIRECT("B"&amp;ROW()))),"")</f>
      </c>
      <c r="P291" s="733" cm="1">
        <f t="array" aca="true" ref="P291" ca="true">COUNTIFS('Unit-Level Data'!$M:$M,TRUE,
          'Unit-Level Data'!$D:$D, INDIRECT("C"&amp;ROW()),
          'Unit-Level Data'!$B:$B, INDIRECT("B"&amp;ROW()))</f>
        <v>0</v>
      </c>
      <c r="Q291" s="738" t="str" cm="1">
        <f t="array" aca="true" ref="Q2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1" s="760" t="str" cm="1">
        <f t="array" aca="true" ref="R2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1" s="733" cm="1">
        <f t="array" aca="true" ref="S291" ca="true">COUNTIFS('Unit-Level Data'!$L:$L, "&gt;=" &amp; ($X$2 - Q$5),
          'Unit-Level Data'!$L:$L, "&lt;" &amp; $X$2,
          'Unit-Level Data'!$D:$D, INDIRECT("C"&amp;ROW()),
          'Unit-Level Data'!$B:$B, INDIRECT("B"&amp;ROW()))</f>
        <v>0</v>
      </c>
      <c r="T291" s="738" t="str" cm="1">
        <f t="array" aca="true" ref="T2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1" s="760" t="str" cm="1">
        <f t="array" aca="true" ref="U2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1" s="733" cm="1">
        <f t="array" aca="true" ref="V291" ca="true">COUNTIFS('Unit-Level Data'!$L:$L, "&gt;=" &amp; ($X$2 - T$5),
          'Unit-Level Data'!$L:$L, "&lt;" &amp; $X$2,
          'Unit-Level Data'!$D:$D, INDIRECT("C"&amp;ROW()),
          'Unit-Level Data'!$B:$B, INDIRECT("B"&amp;ROW()))</f>
        <v>0</v>
      </c>
      <c r="W291" s="738" t="str" cm="1">
        <f t="array" aca="true" ref="W2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1" s="760" t="str" cm="1">
        <f t="array" aca="true" ref="X2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1" s="733" cm="1">
        <f t="array" aca="true" ref="Y291" ca="true">COUNTIFS('Unit-Level Data'!$L:$L, "&gt;=" &amp; ($X$2 - W$5),
          'Unit-Level Data'!$L:$L, "&lt;" &amp; $X$2,
          'Unit-Level Data'!$D:$D, INDIRECT("C"&amp;ROW()),
          'Unit-Level Data'!$B:$B, INDIRECT("B"&amp;ROW()))</f>
        <v>0</v>
      </c>
      <c r="Z291" s="761"/>
      <c r="AA291" s="735" cm="1">
        <f t="array" aca="true" ref="AA291" ca="true">IFERROR(AVERAGEIFS(
  unit_details[Sqft],
  unit_details[Property Name], INDIRECT("B"&amp;ROW()),
  unit_details[Floorplan Name], INDIRECT("C"&amp;ROW()),
  unit_details[Beds], INDIRECT("D"&amp;ROW()),
  unit_details[Detected Unit Amenities], "*"&amp;$AB$3&amp;"*",
  unit_details[Leased Date], "&gt;=" &amp; ($X$2 - $AD$3)
),0)</f>
        <v>0</v>
      </c>
      <c r="AB291" s="734" cm="1">
        <f t="array" aca="true" ref="AB2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1" s="733" cm="1">
        <f t="array" aca="true" ref="AC291" ca="true">IFERROR(COUNTIFS(
  unit_details[Property Name], INDIRECT("B"&amp;ROW()),
  unit_details[Floorplan Name], INDIRECT("C"&amp;ROW()),
  unit_details[Beds], INDIRECT("D"&amp;ROW()),
  unit_details[Detected Unit Amenities], "*"&amp;$AB$3&amp;"*",
  unit_details[Leased Date], "&gt;=" &amp; ($X$2 - $AD$3)
),0)</f>
        <v>0</v>
      </c>
      <c r="AD291" s="735" cm="1">
        <f t="array" aca="true" ref="AD291" ca="true">IFERROR(AVERAGEIFS(
  unit_details[Sqft],
  unit_details[Property Name], INDIRECT("B"&amp;ROW()),
  unit_details[Floorplan Name], INDIRECT("C"&amp;ROW()),
  unit_details[Beds], INDIRECT("D"&amp;ROW()),
  unit_details[Detected Unit Amenities], "&lt;&gt;*"&amp;$AB$3&amp;"*",
  unit_details[Leased Date], "&gt;=" &amp; ($X$2 - $AD$3)
),0)</f>
        <v>0</v>
      </c>
      <c r="AE291" s="734" cm="1">
        <f t="array" aca="true" ref="AE2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1" s="733" cm="1">
        <f t="array" aca="true" ref="AF291" ca="true">IFERROR(COUNTIFS(
  unit_details[Property Name], INDIRECT("B"&amp;ROW()),
  unit_details[Floorplan Name], INDIRECT("C"&amp;ROW()),
  unit_details[Beds], INDIRECT("D"&amp;ROW()),
  unit_details[Detected Unit Amenities], "&lt;&gt;*"&amp;$AB$3&amp;"*",
  unit_details[Leased Date], "&gt;=" &amp; ($X$2 - $AD$3)
),0)</f>
        <v>0</v>
      </c>
      <c r="AG291" s="735"/>
      <c r="AH291" s="738">
        <f t="shared" ca="true" si="10"/>
        <v>0</v>
      </c>
      <c r="AI291" s="739">
        <f t="shared" ca="true" si="11"/>
        <v>0</v>
      </c>
    </row>
    <row r="292" spans="2:35">
      <c r="B292" s="1"/>
      <c r="C292" s="80"/>
      <c r="E292" s="303"/>
      <c r="F292" s="303"/>
      <c r="J292" s="345"/>
      <c r="K292" s="6"/>
      <c r="M292" s="745"/>
      <c r="N292" s="738" t="str" cm="1">
        <f t="array" aca="true" ref="N292" ca="true">IFERROR(IF($O$3="Chunk Rent",
AVERAGEIFS('Unit-Level Data'!$O:$O,'Unit-Level Data'!$M:$M,TRUE,
          'Unit-Level Data'!$D:$D, INDIRECT("C"&amp;ROW()),
          'Unit-Level Data'!$B:$B, INDIRECT("B"&amp;ROW())),
AVERAGEIFS('Unit-Level Data'!$P:$P,'Unit-Level Data'!$M:$M,TRUE,
          'Unit-Level Data'!$D:$D, INDIRECT("C"&amp;ROW()),
          'Unit-Level Data'!$B:$B, INDIRECT("B"&amp;ROW()))),"")</f>
      </c>
      <c r="O292" s="760" t="str" cm="1">
        <f t="array" aca="true" ref="O292" ca="true">IFERROR(IF($O$3="Chunk Rent",
AVERAGEIFS('Unit-Level Data'!$Q:$Q,'Unit-Level Data'!$M:$M,TRUE,
          'Unit-Level Data'!$D:$D, INDIRECT("C"&amp;ROW()),
          'Unit-Level Data'!$B:$B, INDIRECT("B"&amp;ROW())),
AVERAGEIFS('Unit-Level Data'!$R:$R,'Unit-Level Data'!$M:$M,TRUE,
          'Unit-Level Data'!$D:$D, INDIRECT("C"&amp;ROW()),
          'Unit-Level Data'!$B:$B, INDIRECT("B"&amp;ROW()))),"")</f>
      </c>
      <c r="P292" s="733" cm="1">
        <f t="array" aca="true" ref="P292" ca="true">COUNTIFS('Unit-Level Data'!$M:$M,TRUE,
          'Unit-Level Data'!$D:$D, INDIRECT("C"&amp;ROW()),
          'Unit-Level Data'!$B:$B, INDIRECT("B"&amp;ROW()))</f>
        <v>0</v>
      </c>
      <c r="Q292" s="738" t="str" cm="1">
        <f t="array" aca="true" ref="Q2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2" s="760" t="str" cm="1">
        <f t="array" aca="true" ref="R2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2" s="733" cm="1">
        <f t="array" aca="true" ref="S292" ca="true">COUNTIFS('Unit-Level Data'!$L:$L, "&gt;=" &amp; ($X$2 - Q$5),
          'Unit-Level Data'!$L:$L, "&lt;" &amp; $X$2,
          'Unit-Level Data'!$D:$D, INDIRECT("C"&amp;ROW()),
          'Unit-Level Data'!$B:$B, INDIRECT("B"&amp;ROW()))</f>
        <v>0</v>
      </c>
      <c r="T292" s="738" t="str" cm="1">
        <f t="array" aca="true" ref="T2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2" s="760" t="str" cm="1">
        <f t="array" aca="true" ref="U2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2" s="733" cm="1">
        <f t="array" aca="true" ref="V292" ca="true">COUNTIFS('Unit-Level Data'!$L:$L, "&gt;=" &amp; ($X$2 - T$5),
          'Unit-Level Data'!$L:$L, "&lt;" &amp; $X$2,
          'Unit-Level Data'!$D:$D, INDIRECT("C"&amp;ROW()),
          'Unit-Level Data'!$B:$B, INDIRECT("B"&amp;ROW()))</f>
        <v>0</v>
      </c>
      <c r="W292" s="738" t="str" cm="1">
        <f t="array" aca="true" ref="W2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2" s="760" t="str" cm="1">
        <f t="array" aca="true" ref="X2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2" s="733" cm="1">
        <f t="array" aca="true" ref="Y292" ca="true">COUNTIFS('Unit-Level Data'!$L:$L, "&gt;=" &amp; ($X$2 - W$5),
          'Unit-Level Data'!$L:$L, "&lt;" &amp; $X$2,
          'Unit-Level Data'!$D:$D, INDIRECT("C"&amp;ROW()),
          'Unit-Level Data'!$B:$B, INDIRECT("B"&amp;ROW()))</f>
        <v>0</v>
      </c>
      <c r="Z292" s="761"/>
      <c r="AA292" s="735" cm="1">
        <f t="array" aca="true" ref="AA292" ca="true">IFERROR(AVERAGEIFS(
  unit_details[Sqft],
  unit_details[Property Name], INDIRECT("B"&amp;ROW()),
  unit_details[Floorplan Name], INDIRECT("C"&amp;ROW()),
  unit_details[Beds], INDIRECT("D"&amp;ROW()),
  unit_details[Detected Unit Amenities], "*"&amp;$AB$3&amp;"*",
  unit_details[Leased Date], "&gt;=" &amp; ($X$2 - $AD$3)
),0)</f>
        <v>0</v>
      </c>
      <c r="AB292" s="734" cm="1">
        <f t="array" aca="true" ref="AB2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2" s="733" cm="1">
        <f t="array" aca="true" ref="AC292" ca="true">IFERROR(COUNTIFS(
  unit_details[Property Name], INDIRECT("B"&amp;ROW()),
  unit_details[Floorplan Name], INDIRECT("C"&amp;ROW()),
  unit_details[Beds], INDIRECT("D"&amp;ROW()),
  unit_details[Detected Unit Amenities], "*"&amp;$AB$3&amp;"*",
  unit_details[Leased Date], "&gt;=" &amp; ($X$2 - $AD$3)
),0)</f>
        <v>0</v>
      </c>
      <c r="AD292" s="735" cm="1">
        <f t="array" aca="true" ref="AD292" ca="true">IFERROR(AVERAGEIFS(
  unit_details[Sqft],
  unit_details[Property Name], INDIRECT("B"&amp;ROW()),
  unit_details[Floorplan Name], INDIRECT("C"&amp;ROW()),
  unit_details[Beds], INDIRECT("D"&amp;ROW()),
  unit_details[Detected Unit Amenities], "&lt;&gt;*"&amp;$AB$3&amp;"*",
  unit_details[Leased Date], "&gt;=" &amp; ($X$2 - $AD$3)
),0)</f>
        <v>0</v>
      </c>
      <c r="AE292" s="734" cm="1">
        <f t="array" aca="true" ref="AE2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2" s="733" cm="1">
        <f t="array" aca="true" ref="AF292" ca="true">IFERROR(COUNTIFS(
  unit_details[Property Name], INDIRECT("B"&amp;ROW()),
  unit_details[Floorplan Name], INDIRECT("C"&amp;ROW()),
  unit_details[Beds], INDIRECT("D"&amp;ROW()),
  unit_details[Detected Unit Amenities], "&lt;&gt;*"&amp;$AB$3&amp;"*",
  unit_details[Leased Date], "&gt;=" &amp; ($X$2 - $AD$3)
),0)</f>
        <v>0</v>
      </c>
      <c r="AG292" s="735"/>
      <c r="AH292" s="738">
        <f t="shared" ca="true" si="10"/>
        <v>0</v>
      </c>
      <c r="AI292" s="739">
        <f t="shared" ca="true" si="11"/>
        <v>0</v>
      </c>
    </row>
    <row r="293" spans="2:35">
      <c r="B293" s="1"/>
      <c r="C293" s="80"/>
      <c r="E293" s="303"/>
      <c r="F293" s="303"/>
      <c r="J293" s="345"/>
      <c r="K293" s="6"/>
      <c r="M293" s="745"/>
      <c r="N293" s="738" t="str" cm="1">
        <f t="array" aca="true" ref="N293" ca="true">IFERROR(IF($O$3="Chunk Rent",
AVERAGEIFS('Unit-Level Data'!$O:$O,'Unit-Level Data'!$M:$M,TRUE,
          'Unit-Level Data'!$D:$D, INDIRECT("C"&amp;ROW()),
          'Unit-Level Data'!$B:$B, INDIRECT("B"&amp;ROW())),
AVERAGEIFS('Unit-Level Data'!$P:$P,'Unit-Level Data'!$M:$M,TRUE,
          'Unit-Level Data'!$D:$D, INDIRECT("C"&amp;ROW()),
          'Unit-Level Data'!$B:$B, INDIRECT("B"&amp;ROW()))),"")</f>
      </c>
      <c r="O293" s="760" t="str" cm="1">
        <f t="array" aca="true" ref="O293" ca="true">IFERROR(IF($O$3="Chunk Rent",
AVERAGEIFS('Unit-Level Data'!$Q:$Q,'Unit-Level Data'!$M:$M,TRUE,
          'Unit-Level Data'!$D:$D, INDIRECT("C"&amp;ROW()),
          'Unit-Level Data'!$B:$B, INDIRECT("B"&amp;ROW())),
AVERAGEIFS('Unit-Level Data'!$R:$R,'Unit-Level Data'!$M:$M,TRUE,
          'Unit-Level Data'!$D:$D, INDIRECT("C"&amp;ROW()),
          'Unit-Level Data'!$B:$B, INDIRECT("B"&amp;ROW()))),"")</f>
      </c>
      <c r="P293" s="733" cm="1">
        <f t="array" aca="true" ref="P293" ca="true">COUNTIFS('Unit-Level Data'!$M:$M,TRUE,
          'Unit-Level Data'!$D:$D, INDIRECT("C"&amp;ROW()),
          'Unit-Level Data'!$B:$B, INDIRECT("B"&amp;ROW()))</f>
        <v>0</v>
      </c>
      <c r="Q293" s="738" t="str" cm="1">
        <f t="array" aca="true" ref="Q2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3" s="760" t="str" cm="1">
        <f t="array" aca="true" ref="R2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3" s="733" cm="1">
        <f t="array" aca="true" ref="S293" ca="true">COUNTIFS('Unit-Level Data'!$L:$L, "&gt;=" &amp; ($X$2 - Q$5),
          'Unit-Level Data'!$L:$L, "&lt;" &amp; $X$2,
          'Unit-Level Data'!$D:$D, INDIRECT("C"&amp;ROW()),
          'Unit-Level Data'!$B:$B, INDIRECT("B"&amp;ROW()))</f>
        <v>0</v>
      </c>
      <c r="T293" s="738" t="str" cm="1">
        <f t="array" aca="true" ref="T2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3" s="760" t="str" cm="1">
        <f t="array" aca="true" ref="U2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3" s="733" cm="1">
        <f t="array" aca="true" ref="V293" ca="true">COUNTIFS('Unit-Level Data'!$L:$L, "&gt;=" &amp; ($X$2 - T$5),
          'Unit-Level Data'!$L:$L, "&lt;" &amp; $X$2,
          'Unit-Level Data'!$D:$D, INDIRECT("C"&amp;ROW()),
          'Unit-Level Data'!$B:$B, INDIRECT("B"&amp;ROW()))</f>
        <v>0</v>
      </c>
      <c r="W293" s="738" t="str" cm="1">
        <f t="array" aca="true" ref="W2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3" s="760" t="str" cm="1">
        <f t="array" aca="true" ref="X2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3" s="733" cm="1">
        <f t="array" aca="true" ref="Y293" ca="true">COUNTIFS('Unit-Level Data'!$L:$L, "&gt;=" &amp; ($X$2 - W$5),
          'Unit-Level Data'!$L:$L, "&lt;" &amp; $X$2,
          'Unit-Level Data'!$D:$D, INDIRECT("C"&amp;ROW()),
          'Unit-Level Data'!$B:$B, INDIRECT("B"&amp;ROW()))</f>
        <v>0</v>
      </c>
      <c r="Z293" s="761"/>
      <c r="AA293" s="735" cm="1">
        <f t="array" aca="true" ref="AA293" ca="true">IFERROR(AVERAGEIFS(
  unit_details[Sqft],
  unit_details[Property Name], INDIRECT("B"&amp;ROW()),
  unit_details[Floorplan Name], INDIRECT("C"&amp;ROW()),
  unit_details[Beds], INDIRECT("D"&amp;ROW()),
  unit_details[Detected Unit Amenities], "*"&amp;$AB$3&amp;"*",
  unit_details[Leased Date], "&gt;=" &amp; ($X$2 - $AD$3)
),0)</f>
        <v>0</v>
      </c>
      <c r="AB293" s="734" cm="1">
        <f t="array" aca="true" ref="AB2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3" s="733" cm="1">
        <f t="array" aca="true" ref="AC293" ca="true">IFERROR(COUNTIFS(
  unit_details[Property Name], INDIRECT("B"&amp;ROW()),
  unit_details[Floorplan Name], INDIRECT("C"&amp;ROW()),
  unit_details[Beds], INDIRECT("D"&amp;ROW()),
  unit_details[Detected Unit Amenities], "*"&amp;$AB$3&amp;"*",
  unit_details[Leased Date], "&gt;=" &amp; ($X$2 - $AD$3)
),0)</f>
        <v>0</v>
      </c>
      <c r="AD293" s="735" cm="1">
        <f t="array" aca="true" ref="AD293" ca="true">IFERROR(AVERAGEIFS(
  unit_details[Sqft],
  unit_details[Property Name], INDIRECT("B"&amp;ROW()),
  unit_details[Floorplan Name], INDIRECT("C"&amp;ROW()),
  unit_details[Beds], INDIRECT("D"&amp;ROW()),
  unit_details[Detected Unit Amenities], "&lt;&gt;*"&amp;$AB$3&amp;"*",
  unit_details[Leased Date], "&gt;=" &amp; ($X$2 - $AD$3)
),0)</f>
        <v>0</v>
      </c>
      <c r="AE293" s="734" cm="1">
        <f t="array" aca="true" ref="AE2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3" s="733" cm="1">
        <f t="array" aca="true" ref="AF293" ca="true">IFERROR(COUNTIFS(
  unit_details[Property Name], INDIRECT("B"&amp;ROW()),
  unit_details[Floorplan Name], INDIRECT("C"&amp;ROW()),
  unit_details[Beds], INDIRECT("D"&amp;ROW()),
  unit_details[Detected Unit Amenities], "&lt;&gt;*"&amp;$AB$3&amp;"*",
  unit_details[Leased Date], "&gt;=" &amp; ($X$2 - $AD$3)
),0)</f>
        <v>0</v>
      </c>
      <c r="AG293" s="735"/>
      <c r="AH293" s="738">
        <f t="shared" ca="true" si="10"/>
        <v>0</v>
      </c>
      <c r="AI293" s="739">
        <f t="shared" ca="true" si="11"/>
        <v>0</v>
      </c>
    </row>
    <row r="294" spans="2:35">
      <c r="B294" s="1"/>
      <c r="C294" s="80"/>
      <c r="E294" s="303"/>
      <c r="F294" s="303"/>
      <c r="J294" s="345"/>
      <c r="K294" s="6"/>
      <c r="M294" s="745"/>
      <c r="N294" s="738" t="str" cm="1">
        <f t="array" aca="true" ref="N294" ca="true">IFERROR(IF($O$3="Chunk Rent",
AVERAGEIFS('Unit-Level Data'!$O:$O,'Unit-Level Data'!$M:$M,TRUE,
          'Unit-Level Data'!$D:$D, INDIRECT("C"&amp;ROW()),
          'Unit-Level Data'!$B:$B, INDIRECT("B"&amp;ROW())),
AVERAGEIFS('Unit-Level Data'!$P:$P,'Unit-Level Data'!$M:$M,TRUE,
          'Unit-Level Data'!$D:$D, INDIRECT("C"&amp;ROW()),
          'Unit-Level Data'!$B:$B, INDIRECT("B"&amp;ROW()))),"")</f>
      </c>
      <c r="O294" s="760" t="str" cm="1">
        <f t="array" aca="true" ref="O294" ca="true">IFERROR(IF($O$3="Chunk Rent",
AVERAGEIFS('Unit-Level Data'!$Q:$Q,'Unit-Level Data'!$M:$M,TRUE,
          'Unit-Level Data'!$D:$D, INDIRECT("C"&amp;ROW()),
          'Unit-Level Data'!$B:$B, INDIRECT("B"&amp;ROW())),
AVERAGEIFS('Unit-Level Data'!$R:$R,'Unit-Level Data'!$M:$M,TRUE,
          'Unit-Level Data'!$D:$D, INDIRECT("C"&amp;ROW()),
          'Unit-Level Data'!$B:$B, INDIRECT("B"&amp;ROW()))),"")</f>
      </c>
      <c r="P294" s="733" cm="1">
        <f t="array" aca="true" ref="P294" ca="true">COUNTIFS('Unit-Level Data'!$M:$M,TRUE,
          'Unit-Level Data'!$D:$D, INDIRECT("C"&amp;ROW()),
          'Unit-Level Data'!$B:$B, INDIRECT("B"&amp;ROW()))</f>
        <v>0</v>
      </c>
      <c r="Q294" s="738" t="str" cm="1">
        <f t="array" aca="true" ref="Q2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4" s="760" t="str" cm="1">
        <f t="array" aca="true" ref="R2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4" s="733" cm="1">
        <f t="array" aca="true" ref="S294" ca="true">COUNTIFS('Unit-Level Data'!$L:$L, "&gt;=" &amp; ($X$2 - Q$5),
          'Unit-Level Data'!$L:$L, "&lt;" &amp; $X$2,
          'Unit-Level Data'!$D:$D, INDIRECT("C"&amp;ROW()),
          'Unit-Level Data'!$B:$B, INDIRECT("B"&amp;ROW()))</f>
        <v>0</v>
      </c>
      <c r="T294" s="738" t="str" cm="1">
        <f t="array" aca="true" ref="T2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4" s="760" t="str" cm="1">
        <f t="array" aca="true" ref="U2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4" s="733" cm="1">
        <f t="array" aca="true" ref="V294" ca="true">COUNTIFS('Unit-Level Data'!$L:$L, "&gt;=" &amp; ($X$2 - T$5),
          'Unit-Level Data'!$L:$L, "&lt;" &amp; $X$2,
          'Unit-Level Data'!$D:$D, INDIRECT("C"&amp;ROW()),
          'Unit-Level Data'!$B:$B, INDIRECT("B"&amp;ROW()))</f>
        <v>0</v>
      </c>
      <c r="W294" s="738" t="str" cm="1">
        <f t="array" aca="true" ref="W2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4" s="760" t="str" cm="1">
        <f t="array" aca="true" ref="X2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4" s="733" cm="1">
        <f t="array" aca="true" ref="Y294" ca="true">COUNTIFS('Unit-Level Data'!$L:$L, "&gt;=" &amp; ($X$2 - W$5),
          'Unit-Level Data'!$L:$L, "&lt;" &amp; $X$2,
          'Unit-Level Data'!$D:$D, INDIRECT("C"&amp;ROW()),
          'Unit-Level Data'!$B:$B, INDIRECT("B"&amp;ROW()))</f>
        <v>0</v>
      </c>
      <c r="Z294" s="761"/>
      <c r="AA294" s="735" cm="1">
        <f t="array" aca="true" ref="AA294" ca="true">IFERROR(AVERAGEIFS(
  unit_details[Sqft],
  unit_details[Property Name], INDIRECT("B"&amp;ROW()),
  unit_details[Floorplan Name], INDIRECT("C"&amp;ROW()),
  unit_details[Beds], INDIRECT("D"&amp;ROW()),
  unit_details[Detected Unit Amenities], "*"&amp;$AB$3&amp;"*",
  unit_details[Leased Date], "&gt;=" &amp; ($X$2 - $AD$3)
),0)</f>
        <v>0</v>
      </c>
      <c r="AB294" s="734" cm="1">
        <f t="array" aca="true" ref="AB2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4" s="733" cm="1">
        <f t="array" aca="true" ref="AC294" ca="true">IFERROR(COUNTIFS(
  unit_details[Property Name], INDIRECT("B"&amp;ROW()),
  unit_details[Floorplan Name], INDIRECT("C"&amp;ROW()),
  unit_details[Beds], INDIRECT("D"&amp;ROW()),
  unit_details[Detected Unit Amenities], "*"&amp;$AB$3&amp;"*",
  unit_details[Leased Date], "&gt;=" &amp; ($X$2 - $AD$3)
),0)</f>
        <v>0</v>
      </c>
      <c r="AD294" s="735" cm="1">
        <f t="array" aca="true" ref="AD294" ca="true">IFERROR(AVERAGEIFS(
  unit_details[Sqft],
  unit_details[Property Name], INDIRECT("B"&amp;ROW()),
  unit_details[Floorplan Name], INDIRECT("C"&amp;ROW()),
  unit_details[Beds], INDIRECT("D"&amp;ROW()),
  unit_details[Detected Unit Amenities], "&lt;&gt;*"&amp;$AB$3&amp;"*",
  unit_details[Leased Date], "&gt;=" &amp; ($X$2 - $AD$3)
),0)</f>
        <v>0</v>
      </c>
      <c r="AE294" s="734" cm="1">
        <f t="array" aca="true" ref="AE2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4" s="733" cm="1">
        <f t="array" aca="true" ref="AF294" ca="true">IFERROR(COUNTIFS(
  unit_details[Property Name], INDIRECT("B"&amp;ROW()),
  unit_details[Floorplan Name], INDIRECT("C"&amp;ROW()),
  unit_details[Beds], INDIRECT("D"&amp;ROW()),
  unit_details[Detected Unit Amenities], "&lt;&gt;*"&amp;$AB$3&amp;"*",
  unit_details[Leased Date], "&gt;=" &amp; ($X$2 - $AD$3)
),0)</f>
        <v>0</v>
      </c>
      <c r="AG294" s="735"/>
      <c r="AH294" s="738">
        <f t="shared" ca="true" si="10"/>
        <v>0</v>
      </c>
      <c r="AI294" s="739">
        <f t="shared" ca="true" si="11"/>
        <v>0</v>
      </c>
    </row>
    <row r="295" spans="2:35">
      <c r="B295" s="1"/>
      <c r="C295" s="80"/>
      <c r="E295" s="303"/>
      <c r="F295" s="303"/>
      <c r="J295" s="345"/>
      <c r="K295" s="6"/>
      <c r="M295" s="745"/>
      <c r="N295" s="738" t="str" cm="1">
        <f t="array" aca="true" ref="N295" ca="true">IFERROR(IF($O$3="Chunk Rent",
AVERAGEIFS('Unit-Level Data'!$O:$O,'Unit-Level Data'!$M:$M,TRUE,
          'Unit-Level Data'!$D:$D, INDIRECT("C"&amp;ROW()),
          'Unit-Level Data'!$B:$B, INDIRECT("B"&amp;ROW())),
AVERAGEIFS('Unit-Level Data'!$P:$P,'Unit-Level Data'!$M:$M,TRUE,
          'Unit-Level Data'!$D:$D, INDIRECT("C"&amp;ROW()),
          'Unit-Level Data'!$B:$B, INDIRECT("B"&amp;ROW()))),"")</f>
      </c>
      <c r="O295" s="760" t="str" cm="1">
        <f t="array" aca="true" ref="O295" ca="true">IFERROR(IF($O$3="Chunk Rent",
AVERAGEIFS('Unit-Level Data'!$Q:$Q,'Unit-Level Data'!$M:$M,TRUE,
          'Unit-Level Data'!$D:$D, INDIRECT("C"&amp;ROW()),
          'Unit-Level Data'!$B:$B, INDIRECT("B"&amp;ROW())),
AVERAGEIFS('Unit-Level Data'!$R:$R,'Unit-Level Data'!$M:$M,TRUE,
          'Unit-Level Data'!$D:$D, INDIRECT("C"&amp;ROW()),
          'Unit-Level Data'!$B:$B, INDIRECT("B"&amp;ROW()))),"")</f>
      </c>
      <c r="P295" s="733" cm="1">
        <f t="array" aca="true" ref="P295" ca="true">COUNTIFS('Unit-Level Data'!$M:$M,TRUE,
          'Unit-Level Data'!$D:$D, INDIRECT("C"&amp;ROW()),
          'Unit-Level Data'!$B:$B, INDIRECT("B"&amp;ROW()))</f>
        <v>0</v>
      </c>
      <c r="Q295" s="738" t="str" cm="1">
        <f t="array" aca="true" ref="Q2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5" s="760" t="str" cm="1">
        <f t="array" aca="true" ref="R2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5" s="733" cm="1">
        <f t="array" aca="true" ref="S295" ca="true">COUNTIFS('Unit-Level Data'!$L:$L, "&gt;=" &amp; ($X$2 - Q$5),
          'Unit-Level Data'!$L:$L, "&lt;" &amp; $X$2,
          'Unit-Level Data'!$D:$D, INDIRECT("C"&amp;ROW()),
          'Unit-Level Data'!$B:$B, INDIRECT("B"&amp;ROW()))</f>
        <v>0</v>
      </c>
      <c r="T295" s="738" t="str" cm="1">
        <f t="array" aca="true" ref="T2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5" s="760" t="str" cm="1">
        <f t="array" aca="true" ref="U2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5" s="733" cm="1">
        <f t="array" aca="true" ref="V295" ca="true">COUNTIFS('Unit-Level Data'!$L:$L, "&gt;=" &amp; ($X$2 - T$5),
          'Unit-Level Data'!$L:$L, "&lt;" &amp; $X$2,
          'Unit-Level Data'!$D:$D, INDIRECT("C"&amp;ROW()),
          'Unit-Level Data'!$B:$B, INDIRECT("B"&amp;ROW()))</f>
        <v>0</v>
      </c>
      <c r="W295" s="738" t="str" cm="1">
        <f t="array" aca="true" ref="W2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5" s="760" t="str" cm="1">
        <f t="array" aca="true" ref="X2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5" s="733" cm="1">
        <f t="array" aca="true" ref="Y295" ca="true">COUNTIFS('Unit-Level Data'!$L:$L, "&gt;=" &amp; ($X$2 - W$5),
          'Unit-Level Data'!$L:$L, "&lt;" &amp; $X$2,
          'Unit-Level Data'!$D:$D, INDIRECT("C"&amp;ROW()),
          'Unit-Level Data'!$B:$B, INDIRECT("B"&amp;ROW()))</f>
        <v>0</v>
      </c>
      <c r="Z295" s="761"/>
      <c r="AA295" s="735" cm="1">
        <f t="array" aca="true" ref="AA295" ca="true">IFERROR(AVERAGEIFS(
  unit_details[Sqft],
  unit_details[Property Name], INDIRECT("B"&amp;ROW()),
  unit_details[Floorplan Name], INDIRECT("C"&amp;ROW()),
  unit_details[Beds], INDIRECT("D"&amp;ROW()),
  unit_details[Detected Unit Amenities], "*"&amp;$AB$3&amp;"*",
  unit_details[Leased Date], "&gt;=" &amp; ($X$2 - $AD$3)
),0)</f>
        <v>0</v>
      </c>
      <c r="AB295" s="734" cm="1">
        <f t="array" aca="true" ref="AB2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5" s="733" cm="1">
        <f t="array" aca="true" ref="AC295" ca="true">IFERROR(COUNTIFS(
  unit_details[Property Name], INDIRECT("B"&amp;ROW()),
  unit_details[Floorplan Name], INDIRECT("C"&amp;ROW()),
  unit_details[Beds], INDIRECT("D"&amp;ROW()),
  unit_details[Detected Unit Amenities], "*"&amp;$AB$3&amp;"*",
  unit_details[Leased Date], "&gt;=" &amp; ($X$2 - $AD$3)
),0)</f>
        <v>0</v>
      </c>
      <c r="AD295" s="735" cm="1">
        <f t="array" aca="true" ref="AD295" ca="true">IFERROR(AVERAGEIFS(
  unit_details[Sqft],
  unit_details[Property Name], INDIRECT("B"&amp;ROW()),
  unit_details[Floorplan Name], INDIRECT("C"&amp;ROW()),
  unit_details[Beds], INDIRECT("D"&amp;ROW()),
  unit_details[Detected Unit Amenities], "&lt;&gt;*"&amp;$AB$3&amp;"*",
  unit_details[Leased Date], "&gt;=" &amp; ($X$2 - $AD$3)
),0)</f>
        <v>0</v>
      </c>
      <c r="AE295" s="734" cm="1">
        <f t="array" aca="true" ref="AE2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5" s="733" cm="1">
        <f t="array" aca="true" ref="AF295" ca="true">IFERROR(COUNTIFS(
  unit_details[Property Name], INDIRECT("B"&amp;ROW()),
  unit_details[Floorplan Name], INDIRECT("C"&amp;ROW()),
  unit_details[Beds], INDIRECT("D"&amp;ROW()),
  unit_details[Detected Unit Amenities], "&lt;&gt;*"&amp;$AB$3&amp;"*",
  unit_details[Leased Date], "&gt;=" &amp; ($X$2 - $AD$3)
),0)</f>
        <v>0</v>
      </c>
      <c r="AG295" s="735"/>
      <c r="AH295" s="738">
        <f t="shared" ca="true" si="10"/>
        <v>0</v>
      </c>
      <c r="AI295" s="739">
        <f t="shared" ca="true" si="11"/>
        <v>0</v>
      </c>
    </row>
    <row r="296" spans="2:35">
      <c r="B296" s="1"/>
      <c r="C296" s="80"/>
      <c r="E296" s="303"/>
      <c r="F296" s="303"/>
      <c r="J296" s="345"/>
      <c r="K296" s="6"/>
      <c r="M296" s="745"/>
      <c r="N296" s="738" t="str" cm="1">
        <f t="array" aca="true" ref="N296" ca="true">IFERROR(IF($O$3="Chunk Rent",
AVERAGEIFS('Unit-Level Data'!$O:$O,'Unit-Level Data'!$M:$M,TRUE,
          'Unit-Level Data'!$D:$D, INDIRECT("C"&amp;ROW()),
          'Unit-Level Data'!$B:$B, INDIRECT("B"&amp;ROW())),
AVERAGEIFS('Unit-Level Data'!$P:$P,'Unit-Level Data'!$M:$M,TRUE,
          'Unit-Level Data'!$D:$D, INDIRECT("C"&amp;ROW()),
          'Unit-Level Data'!$B:$B, INDIRECT("B"&amp;ROW()))),"")</f>
      </c>
      <c r="O296" s="760" t="str" cm="1">
        <f t="array" aca="true" ref="O296" ca="true">IFERROR(IF($O$3="Chunk Rent",
AVERAGEIFS('Unit-Level Data'!$Q:$Q,'Unit-Level Data'!$M:$M,TRUE,
          'Unit-Level Data'!$D:$D, INDIRECT("C"&amp;ROW()),
          'Unit-Level Data'!$B:$B, INDIRECT("B"&amp;ROW())),
AVERAGEIFS('Unit-Level Data'!$R:$R,'Unit-Level Data'!$M:$M,TRUE,
          'Unit-Level Data'!$D:$D, INDIRECT("C"&amp;ROW()),
          'Unit-Level Data'!$B:$B, INDIRECT("B"&amp;ROW()))),"")</f>
      </c>
      <c r="P296" s="733" cm="1">
        <f t="array" aca="true" ref="P296" ca="true">COUNTIFS('Unit-Level Data'!$M:$M,TRUE,
          'Unit-Level Data'!$D:$D, INDIRECT("C"&amp;ROW()),
          'Unit-Level Data'!$B:$B, INDIRECT("B"&amp;ROW()))</f>
        <v>0</v>
      </c>
      <c r="Q296" s="738" t="str" cm="1">
        <f t="array" aca="true" ref="Q2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6" s="760" t="str" cm="1">
        <f t="array" aca="true" ref="R2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6" s="733" cm="1">
        <f t="array" aca="true" ref="S296" ca="true">COUNTIFS('Unit-Level Data'!$L:$L, "&gt;=" &amp; ($X$2 - Q$5),
          'Unit-Level Data'!$L:$L, "&lt;" &amp; $X$2,
          'Unit-Level Data'!$D:$D, INDIRECT("C"&amp;ROW()),
          'Unit-Level Data'!$B:$B, INDIRECT("B"&amp;ROW()))</f>
        <v>0</v>
      </c>
      <c r="T296" s="738" t="str" cm="1">
        <f t="array" aca="true" ref="T2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6" s="760" t="str" cm="1">
        <f t="array" aca="true" ref="U2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6" s="733" cm="1">
        <f t="array" aca="true" ref="V296" ca="true">COUNTIFS('Unit-Level Data'!$L:$L, "&gt;=" &amp; ($X$2 - T$5),
          'Unit-Level Data'!$L:$L, "&lt;" &amp; $X$2,
          'Unit-Level Data'!$D:$D, INDIRECT("C"&amp;ROW()),
          'Unit-Level Data'!$B:$B, INDIRECT("B"&amp;ROW()))</f>
        <v>0</v>
      </c>
      <c r="W296" s="738" t="str" cm="1">
        <f t="array" aca="true" ref="W2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6" s="760" t="str" cm="1">
        <f t="array" aca="true" ref="X2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6" s="733" cm="1">
        <f t="array" aca="true" ref="Y296" ca="true">COUNTIFS('Unit-Level Data'!$L:$L, "&gt;=" &amp; ($X$2 - W$5),
          'Unit-Level Data'!$L:$L, "&lt;" &amp; $X$2,
          'Unit-Level Data'!$D:$D, INDIRECT("C"&amp;ROW()),
          'Unit-Level Data'!$B:$B, INDIRECT("B"&amp;ROW()))</f>
        <v>0</v>
      </c>
      <c r="Z296" s="761"/>
      <c r="AA296" s="735" cm="1">
        <f t="array" aca="true" ref="AA296" ca="true">IFERROR(AVERAGEIFS(
  unit_details[Sqft],
  unit_details[Property Name], INDIRECT("B"&amp;ROW()),
  unit_details[Floorplan Name], INDIRECT("C"&amp;ROW()),
  unit_details[Beds], INDIRECT("D"&amp;ROW()),
  unit_details[Detected Unit Amenities], "*"&amp;$AB$3&amp;"*",
  unit_details[Leased Date], "&gt;=" &amp; ($X$2 - $AD$3)
),0)</f>
        <v>0</v>
      </c>
      <c r="AB296" s="734" cm="1">
        <f t="array" aca="true" ref="AB2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6" s="733" cm="1">
        <f t="array" aca="true" ref="AC296" ca="true">IFERROR(COUNTIFS(
  unit_details[Property Name], INDIRECT("B"&amp;ROW()),
  unit_details[Floorplan Name], INDIRECT("C"&amp;ROW()),
  unit_details[Beds], INDIRECT("D"&amp;ROW()),
  unit_details[Detected Unit Amenities], "*"&amp;$AB$3&amp;"*",
  unit_details[Leased Date], "&gt;=" &amp; ($X$2 - $AD$3)
),0)</f>
        <v>0</v>
      </c>
      <c r="AD296" s="735" cm="1">
        <f t="array" aca="true" ref="AD296" ca="true">IFERROR(AVERAGEIFS(
  unit_details[Sqft],
  unit_details[Property Name], INDIRECT("B"&amp;ROW()),
  unit_details[Floorplan Name], INDIRECT("C"&amp;ROW()),
  unit_details[Beds], INDIRECT("D"&amp;ROW()),
  unit_details[Detected Unit Amenities], "&lt;&gt;*"&amp;$AB$3&amp;"*",
  unit_details[Leased Date], "&gt;=" &amp; ($X$2 - $AD$3)
),0)</f>
        <v>0</v>
      </c>
      <c r="AE296" s="734" cm="1">
        <f t="array" aca="true" ref="AE2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6" s="733" cm="1">
        <f t="array" aca="true" ref="AF296" ca="true">IFERROR(COUNTIFS(
  unit_details[Property Name], INDIRECT("B"&amp;ROW()),
  unit_details[Floorplan Name], INDIRECT("C"&amp;ROW()),
  unit_details[Beds], INDIRECT("D"&amp;ROW()),
  unit_details[Detected Unit Amenities], "&lt;&gt;*"&amp;$AB$3&amp;"*",
  unit_details[Leased Date], "&gt;=" &amp; ($X$2 - $AD$3)
),0)</f>
        <v>0</v>
      </c>
      <c r="AG296" s="735"/>
      <c r="AH296" s="738">
        <f t="shared" ca="true" si="10"/>
        <v>0</v>
      </c>
      <c r="AI296" s="739">
        <f t="shared" ca="true" si="11"/>
        <v>0</v>
      </c>
    </row>
    <row r="297" spans="2:35">
      <c r="B297" s="1"/>
      <c r="C297" s="80"/>
      <c r="E297" s="303"/>
      <c r="F297" s="303"/>
      <c r="J297" s="345"/>
      <c r="K297" s="6"/>
      <c r="M297" s="745"/>
      <c r="N297" s="738" t="str" cm="1">
        <f t="array" aca="true" ref="N297" ca="true">IFERROR(IF($O$3="Chunk Rent",
AVERAGEIFS('Unit-Level Data'!$O:$O,'Unit-Level Data'!$M:$M,TRUE,
          'Unit-Level Data'!$D:$D, INDIRECT("C"&amp;ROW()),
          'Unit-Level Data'!$B:$B, INDIRECT("B"&amp;ROW())),
AVERAGEIFS('Unit-Level Data'!$P:$P,'Unit-Level Data'!$M:$M,TRUE,
          'Unit-Level Data'!$D:$D, INDIRECT("C"&amp;ROW()),
          'Unit-Level Data'!$B:$B, INDIRECT("B"&amp;ROW()))),"")</f>
      </c>
      <c r="O297" s="760" t="str" cm="1">
        <f t="array" aca="true" ref="O297" ca="true">IFERROR(IF($O$3="Chunk Rent",
AVERAGEIFS('Unit-Level Data'!$Q:$Q,'Unit-Level Data'!$M:$M,TRUE,
          'Unit-Level Data'!$D:$D, INDIRECT("C"&amp;ROW()),
          'Unit-Level Data'!$B:$B, INDIRECT("B"&amp;ROW())),
AVERAGEIFS('Unit-Level Data'!$R:$R,'Unit-Level Data'!$M:$M,TRUE,
          'Unit-Level Data'!$D:$D, INDIRECT("C"&amp;ROW()),
          'Unit-Level Data'!$B:$B, INDIRECT("B"&amp;ROW()))),"")</f>
      </c>
      <c r="P297" s="733" cm="1">
        <f t="array" aca="true" ref="P297" ca="true">COUNTIFS('Unit-Level Data'!$M:$M,TRUE,
          'Unit-Level Data'!$D:$D, INDIRECT("C"&amp;ROW()),
          'Unit-Level Data'!$B:$B, INDIRECT("B"&amp;ROW()))</f>
        <v>0</v>
      </c>
      <c r="Q297" s="738" t="str" cm="1">
        <f t="array" aca="true" ref="Q2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7" s="760" t="str" cm="1">
        <f t="array" aca="true" ref="R2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7" s="733" cm="1">
        <f t="array" aca="true" ref="S297" ca="true">COUNTIFS('Unit-Level Data'!$L:$L, "&gt;=" &amp; ($X$2 - Q$5),
          'Unit-Level Data'!$L:$L, "&lt;" &amp; $X$2,
          'Unit-Level Data'!$D:$D, INDIRECT("C"&amp;ROW()),
          'Unit-Level Data'!$B:$B, INDIRECT("B"&amp;ROW()))</f>
        <v>0</v>
      </c>
      <c r="T297" s="738" t="str" cm="1">
        <f t="array" aca="true" ref="T2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7" s="760" t="str" cm="1">
        <f t="array" aca="true" ref="U2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7" s="733" cm="1">
        <f t="array" aca="true" ref="V297" ca="true">COUNTIFS('Unit-Level Data'!$L:$L, "&gt;=" &amp; ($X$2 - T$5),
          'Unit-Level Data'!$L:$L, "&lt;" &amp; $X$2,
          'Unit-Level Data'!$D:$D, INDIRECT("C"&amp;ROW()),
          'Unit-Level Data'!$B:$B, INDIRECT("B"&amp;ROW()))</f>
        <v>0</v>
      </c>
      <c r="W297" s="738" t="str" cm="1">
        <f t="array" aca="true" ref="W2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7" s="760" t="str" cm="1">
        <f t="array" aca="true" ref="X2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7" s="733" cm="1">
        <f t="array" aca="true" ref="Y297" ca="true">COUNTIFS('Unit-Level Data'!$L:$L, "&gt;=" &amp; ($X$2 - W$5),
          'Unit-Level Data'!$L:$L, "&lt;" &amp; $X$2,
          'Unit-Level Data'!$D:$D, INDIRECT("C"&amp;ROW()),
          'Unit-Level Data'!$B:$B, INDIRECT("B"&amp;ROW()))</f>
        <v>0</v>
      </c>
      <c r="Z297" s="761"/>
      <c r="AA297" s="735" cm="1">
        <f t="array" aca="true" ref="AA297" ca="true">IFERROR(AVERAGEIFS(
  unit_details[Sqft],
  unit_details[Property Name], INDIRECT("B"&amp;ROW()),
  unit_details[Floorplan Name], INDIRECT("C"&amp;ROW()),
  unit_details[Beds], INDIRECT("D"&amp;ROW()),
  unit_details[Detected Unit Amenities], "*"&amp;$AB$3&amp;"*",
  unit_details[Leased Date], "&gt;=" &amp; ($X$2 - $AD$3)
),0)</f>
        <v>0</v>
      </c>
      <c r="AB297" s="734" cm="1">
        <f t="array" aca="true" ref="AB2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7" s="733" cm="1">
        <f t="array" aca="true" ref="AC297" ca="true">IFERROR(COUNTIFS(
  unit_details[Property Name], INDIRECT("B"&amp;ROW()),
  unit_details[Floorplan Name], INDIRECT("C"&amp;ROW()),
  unit_details[Beds], INDIRECT("D"&amp;ROW()),
  unit_details[Detected Unit Amenities], "*"&amp;$AB$3&amp;"*",
  unit_details[Leased Date], "&gt;=" &amp; ($X$2 - $AD$3)
),0)</f>
        <v>0</v>
      </c>
      <c r="AD297" s="735" cm="1">
        <f t="array" aca="true" ref="AD297" ca="true">IFERROR(AVERAGEIFS(
  unit_details[Sqft],
  unit_details[Property Name], INDIRECT("B"&amp;ROW()),
  unit_details[Floorplan Name], INDIRECT("C"&amp;ROW()),
  unit_details[Beds], INDIRECT("D"&amp;ROW()),
  unit_details[Detected Unit Amenities], "&lt;&gt;*"&amp;$AB$3&amp;"*",
  unit_details[Leased Date], "&gt;=" &amp; ($X$2 - $AD$3)
),0)</f>
        <v>0</v>
      </c>
      <c r="AE297" s="734" cm="1">
        <f t="array" aca="true" ref="AE2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7" s="733" cm="1">
        <f t="array" aca="true" ref="AF297" ca="true">IFERROR(COUNTIFS(
  unit_details[Property Name], INDIRECT("B"&amp;ROW()),
  unit_details[Floorplan Name], INDIRECT("C"&amp;ROW()),
  unit_details[Beds], INDIRECT("D"&amp;ROW()),
  unit_details[Detected Unit Amenities], "&lt;&gt;*"&amp;$AB$3&amp;"*",
  unit_details[Leased Date], "&gt;=" &amp; ($X$2 - $AD$3)
),0)</f>
        <v>0</v>
      </c>
      <c r="AG297" s="735"/>
      <c r="AH297" s="738">
        <f t="shared" ca="true" si="10"/>
        <v>0</v>
      </c>
      <c r="AI297" s="739">
        <f t="shared" ca="true" si="11"/>
        <v>0</v>
      </c>
    </row>
    <row r="298" spans="2:35">
      <c r="B298" s="1"/>
      <c r="C298" s="80"/>
      <c r="E298" s="303"/>
      <c r="F298" s="303"/>
      <c r="J298" s="345"/>
      <c r="K298" s="6"/>
      <c r="M298" s="745"/>
      <c r="N298" s="738" t="str" cm="1">
        <f t="array" aca="true" ref="N298" ca="true">IFERROR(IF($O$3="Chunk Rent",
AVERAGEIFS('Unit-Level Data'!$O:$O,'Unit-Level Data'!$M:$M,TRUE,
          'Unit-Level Data'!$D:$D, INDIRECT("C"&amp;ROW()),
          'Unit-Level Data'!$B:$B, INDIRECT("B"&amp;ROW())),
AVERAGEIFS('Unit-Level Data'!$P:$P,'Unit-Level Data'!$M:$M,TRUE,
          'Unit-Level Data'!$D:$D, INDIRECT("C"&amp;ROW()),
          'Unit-Level Data'!$B:$B, INDIRECT("B"&amp;ROW()))),"")</f>
      </c>
      <c r="O298" s="760" t="str" cm="1">
        <f t="array" aca="true" ref="O298" ca="true">IFERROR(IF($O$3="Chunk Rent",
AVERAGEIFS('Unit-Level Data'!$Q:$Q,'Unit-Level Data'!$M:$M,TRUE,
          'Unit-Level Data'!$D:$D, INDIRECT("C"&amp;ROW()),
          'Unit-Level Data'!$B:$B, INDIRECT("B"&amp;ROW())),
AVERAGEIFS('Unit-Level Data'!$R:$R,'Unit-Level Data'!$M:$M,TRUE,
          'Unit-Level Data'!$D:$D, INDIRECT("C"&amp;ROW()),
          'Unit-Level Data'!$B:$B, INDIRECT("B"&amp;ROW()))),"")</f>
      </c>
      <c r="P298" s="733" cm="1">
        <f t="array" aca="true" ref="P298" ca="true">COUNTIFS('Unit-Level Data'!$M:$M,TRUE,
          'Unit-Level Data'!$D:$D, INDIRECT("C"&amp;ROW()),
          'Unit-Level Data'!$B:$B, INDIRECT("B"&amp;ROW()))</f>
        <v>0</v>
      </c>
      <c r="Q298" s="738" t="str" cm="1">
        <f t="array" aca="true" ref="Q2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8" s="760" t="str" cm="1">
        <f t="array" aca="true" ref="R2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8" s="733" cm="1">
        <f t="array" aca="true" ref="S298" ca="true">COUNTIFS('Unit-Level Data'!$L:$L, "&gt;=" &amp; ($X$2 - Q$5),
          'Unit-Level Data'!$L:$L, "&lt;" &amp; $X$2,
          'Unit-Level Data'!$D:$D, INDIRECT("C"&amp;ROW()),
          'Unit-Level Data'!$B:$B, INDIRECT("B"&amp;ROW()))</f>
        <v>0</v>
      </c>
      <c r="T298" s="738" t="str" cm="1">
        <f t="array" aca="true" ref="T2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8" s="760" t="str" cm="1">
        <f t="array" aca="true" ref="U2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8" s="733" cm="1">
        <f t="array" aca="true" ref="V298" ca="true">COUNTIFS('Unit-Level Data'!$L:$L, "&gt;=" &amp; ($X$2 - T$5),
          'Unit-Level Data'!$L:$L, "&lt;" &amp; $X$2,
          'Unit-Level Data'!$D:$D, INDIRECT("C"&amp;ROW()),
          'Unit-Level Data'!$B:$B, INDIRECT("B"&amp;ROW()))</f>
        <v>0</v>
      </c>
      <c r="W298" s="738" t="str" cm="1">
        <f t="array" aca="true" ref="W2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8" s="760" t="str" cm="1">
        <f t="array" aca="true" ref="X2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8" s="733" cm="1">
        <f t="array" aca="true" ref="Y298" ca="true">COUNTIFS('Unit-Level Data'!$L:$L, "&gt;=" &amp; ($X$2 - W$5),
          'Unit-Level Data'!$L:$L, "&lt;" &amp; $X$2,
          'Unit-Level Data'!$D:$D, INDIRECT("C"&amp;ROW()),
          'Unit-Level Data'!$B:$B, INDIRECT("B"&amp;ROW()))</f>
        <v>0</v>
      </c>
      <c r="Z298" s="761"/>
      <c r="AA298" s="735" cm="1">
        <f t="array" aca="true" ref="AA298" ca="true">IFERROR(AVERAGEIFS(
  unit_details[Sqft],
  unit_details[Property Name], INDIRECT("B"&amp;ROW()),
  unit_details[Floorplan Name], INDIRECT("C"&amp;ROW()),
  unit_details[Beds], INDIRECT("D"&amp;ROW()),
  unit_details[Detected Unit Amenities], "*"&amp;$AB$3&amp;"*",
  unit_details[Leased Date], "&gt;=" &amp; ($X$2 - $AD$3)
),0)</f>
        <v>0</v>
      </c>
      <c r="AB298" s="734" cm="1">
        <f t="array" aca="true" ref="AB2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8" s="733" cm="1">
        <f t="array" aca="true" ref="AC298" ca="true">IFERROR(COUNTIFS(
  unit_details[Property Name], INDIRECT("B"&amp;ROW()),
  unit_details[Floorplan Name], INDIRECT("C"&amp;ROW()),
  unit_details[Beds], INDIRECT("D"&amp;ROW()),
  unit_details[Detected Unit Amenities], "*"&amp;$AB$3&amp;"*",
  unit_details[Leased Date], "&gt;=" &amp; ($X$2 - $AD$3)
),0)</f>
        <v>0</v>
      </c>
      <c r="AD298" s="735" cm="1">
        <f t="array" aca="true" ref="AD298" ca="true">IFERROR(AVERAGEIFS(
  unit_details[Sqft],
  unit_details[Property Name], INDIRECT("B"&amp;ROW()),
  unit_details[Floorplan Name], INDIRECT("C"&amp;ROW()),
  unit_details[Beds], INDIRECT("D"&amp;ROW()),
  unit_details[Detected Unit Amenities], "&lt;&gt;*"&amp;$AB$3&amp;"*",
  unit_details[Leased Date], "&gt;=" &amp; ($X$2 - $AD$3)
),0)</f>
        <v>0</v>
      </c>
      <c r="AE298" s="734" cm="1">
        <f t="array" aca="true" ref="AE2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8" s="733" cm="1">
        <f t="array" aca="true" ref="AF298" ca="true">IFERROR(COUNTIFS(
  unit_details[Property Name], INDIRECT("B"&amp;ROW()),
  unit_details[Floorplan Name], INDIRECT("C"&amp;ROW()),
  unit_details[Beds], INDIRECT("D"&amp;ROW()),
  unit_details[Detected Unit Amenities], "&lt;&gt;*"&amp;$AB$3&amp;"*",
  unit_details[Leased Date], "&gt;=" &amp; ($X$2 - $AD$3)
),0)</f>
        <v>0</v>
      </c>
      <c r="AG298" s="735"/>
      <c r="AH298" s="738">
        <f t="shared" ca="true" si="10"/>
        <v>0</v>
      </c>
      <c r="AI298" s="739">
        <f t="shared" ca="true" si="11"/>
        <v>0</v>
      </c>
    </row>
    <row r="299" spans="2:35">
      <c r="B299" s="1"/>
      <c r="C299" s="80"/>
      <c r="E299" s="303"/>
      <c r="F299" s="303"/>
      <c r="J299" s="345"/>
      <c r="K299" s="6"/>
      <c r="M299" s="745"/>
      <c r="N299" s="738" t="str" cm="1">
        <f t="array" aca="true" ref="N299" ca="true">IFERROR(IF($O$3="Chunk Rent",
AVERAGEIFS('Unit-Level Data'!$O:$O,'Unit-Level Data'!$M:$M,TRUE,
          'Unit-Level Data'!$D:$D, INDIRECT("C"&amp;ROW()),
          'Unit-Level Data'!$B:$B, INDIRECT("B"&amp;ROW())),
AVERAGEIFS('Unit-Level Data'!$P:$P,'Unit-Level Data'!$M:$M,TRUE,
          'Unit-Level Data'!$D:$D, INDIRECT("C"&amp;ROW()),
          'Unit-Level Data'!$B:$B, INDIRECT("B"&amp;ROW()))),"")</f>
      </c>
      <c r="O299" s="760" t="str" cm="1">
        <f t="array" aca="true" ref="O299" ca="true">IFERROR(IF($O$3="Chunk Rent",
AVERAGEIFS('Unit-Level Data'!$Q:$Q,'Unit-Level Data'!$M:$M,TRUE,
          'Unit-Level Data'!$D:$D, INDIRECT("C"&amp;ROW()),
          'Unit-Level Data'!$B:$B, INDIRECT("B"&amp;ROW())),
AVERAGEIFS('Unit-Level Data'!$R:$R,'Unit-Level Data'!$M:$M,TRUE,
          'Unit-Level Data'!$D:$D, INDIRECT("C"&amp;ROW()),
          'Unit-Level Data'!$B:$B, INDIRECT("B"&amp;ROW()))),"")</f>
      </c>
      <c r="P299" s="733" cm="1">
        <f t="array" aca="true" ref="P299" ca="true">COUNTIFS('Unit-Level Data'!$M:$M,TRUE,
          'Unit-Level Data'!$D:$D, INDIRECT("C"&amp;ROW()),
          'Unit-Level Data'!$B:$B, INDIRECT("B"&amp;ROW()))</f>
        <v>0</v>
      </c>
      <c r="Q299" s="738" t="str" cm="1">
        <f t="array" aca="true" ref="Q2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9" s="760" t="str" cm="1">
        <f t="array" aca="true" ref="R2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9" s="733" cm="1">
        <f t="array" aca="true" ref="S299" ca="true">COUNTIFS('Unit-Level Data'!$L:$L, "&gt;=" &amp; ($X$2 - Q$5),
          'Unit-Level Data'!$L:$L, "&lt;" &amp; $X$2,
          'Unit-Level Data'!$D:$D, INDIRECT("C"&amp;ROW()),
          'Unit-Level Data'!$B:$B, INDIRECT("B"&amp;ROW()))</f>
        <v>0</v>
      </c>
      <c r="T299" s="738" t="str" cm="1">
        <f t="array" aca="true" ref="T2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9" s="760" t="str" cm="1">
        <f t="array" aca="true" ref="U2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9" s="733" cm="1">
        <f t="array" aca="true" ref="V299" ca="true">COUNTIFS('Unit-Level Data'!$L:$L, "&gt;=" &amp; ($X$2 - T$5),
          'Unit-Level Data'!$L:$L, "&lt;" &amp; $X$2,
          'Unit-Level Data'!$D:$D, INDIRECT("C"&amp;ROW()),
          'Unit-Level Data'!$B:$B, INDIRECT("B"&amp;ROW()))</f>
        <v>0</v>
      </c>
      <c r="W299" s="738" t="str" cm="1">
        <f t="array" aca="true" ref="W2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9" s="760" t="str" cm="1">
        <f t="array" aca="true" ref="X2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9" s="733" cm="1">
        <f t="array" aca="true" ref="Y299" ca="true">COUNTIFS('Unit-Level Data'!$L:$L, "&gt;=" &amp; ($X$2 - W$5),
          'Unit-Level Data'!$L:$L, "&lt;" &amp; $X$2,
          'Unit-Level Data'!$D:$D, INDIRECT("C"&amp;ROW()),
          'Unit-Level Data'!$B:$B, INDIRECT("B"&amp;ROW()))</f>
        <v>0</v>
      </c>
      <c r="Z299" s="761"/>
      <c r="AA299" s="735" cm="1">
        <f t="array" aca="true" ref="AA299" ca="true">IFERROR(AVERAGEIFS(
  unit_details[Sqft],
  unit_details[Property Name], INDIRECT("B"&amp;ROW()),
  unit_details[Floorplan Name], INDIRECT("C"&amp;ROW()),
  unit_details[Beds], INDIRECT("D"&amp;ROW()),
  unit_details[Detected Unit Amenities], "*"&amp;$AB$3&amp;"*",
  unit_details[Leased Date], "&gt;=" &amp; ($X$2 - $AD$3)
),0)</f>
        <v>0</v>
      </c>
      <c r="AB299" s="734" cm="1">
        <f t="array" aca="true" ref="AB2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9" s="733" cm="1">
        <f t="array" aca="true" ref="AC299" ca="true">IFERROR(COUNTIFS(
  unit_details[Property Name], INDIRECT("B"&amp;ROW()),
  unit_details[Floorplan Name], INDIRECT("C"&amp;ROW()),
  unit_details[Beds], INDIRECT("D"&amp;ROW()),
  unit_details[Detected Unit Amenities], "*"&amp;$AB$3&amp;"*",
  unit_details[Leased Date], "&gt;=" &amp; ($X$2 - $AD$3)
),0)</f>
        <v>0</v>
      </c>
      <c r="AD299" s="735" cm="1">
        <f t="array" aca="true" ref="AD299" ca="true">IFERROR(AVERAGEIFS(
  unit_details[Sqft],
  unit_details[Property Name], INDIRECT("B"&amp;ROW()),
  unit_details[Floorplan Name], INDIRECT("C"&amp;ROW()),
  unit_details[Beds], INDIRECT("D"&amp;ROW()),
  unit_details[Detected Unit Amenities], "&lt;&gt;*"&amp;$AB$3&amp;"*",
  unit_details[Leased Date], "&gt;=" &amp; ($X$2 - $AD$3)
),0)</f>
        <v>0</v>
      </c>
      <c r="AE299" s="734" cm="1">
        <f t="array" aca="true" ref="AE2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9" s="733" cm="1">
        <f t="array" aca="true" ref="AF299" ca="true">IFERROR(COUNTIFS(
  unit_details[Property Name], INDIRECT("B"&amp;ROW()),
  unit_details[Floorplan Name], INDIRECT("C"&amp;ROW()),
  unit_details[Beds], INDIRECT("D"&amp;ROW()),
  unit_details[Detected Unit Amenities], "&lt;&gt;*"&amp;$AB$3&amp;"*",
  unit_details[Leased Date], "&gt;=" &amp; ($X$2 - $AD$3)
),0)</f>
        <v>0</v>
      </c>
      <c r="AG299" s="735"/>
      <c r="AH299" s="738">
        <f t="shared" ca="true" si="10"/>
        <v>0</v>
      </c>
      <c r="AI299" s="739">
        <f t="shared" ca="true" si="11"/>
        <v>0</v>
      </c>
    </row>
    <row r="300" spans="2:35">
      <c r="B300" s="1"/>
      <c r="C300" s="80"/>
      <c r="E300" s="303"/>
      <c r="F300" s="303"/>
      <c r="J300" s="345"/>
      <c r="K300" s="6"/>
      <c r="M300" s="745"/>
      <c r="N300" s="738" t="str" cm="1">
        <f t="array" aca="true" ref="N300" ca="true">IFERROR(IF($O$3="Chunk Rent",
AVERAGEIFS('Unit-Level Data'!$O:$O,'Unit-Level Data'!$M:$M,TRUE,
          'Unit-Level Data'!$D:$D, INDIRECT("C"&amp;ROW()),
          'Unit-Level Data'!$B:$B, INDIRECT("B"&amp;ROW())),
AVERAGEIFS('Unit-Level Data'!$P:$P,'Unit-Level Data'!$M:$M,TRUE,
          'Unit-Level Data'!$D:$D, INDIRECT("C"&amp;ROW()),
          'Unit-Level Data'!$B:$B, INDIRECT("B"&amp;ROW()))),"")</f>
      </c>
      <c r="O300" s="760" t="str" cm="1">
        <f t="array" aca="true" ref="O300" ca="true">IFERROR(IF($O$3="Chunk Rent",
AVERAGEIFS('Unit-Level Data'!$Q:$Q,'Unit-Level Data'!$M:$M,TRUE,
          'Unit-Level Data'!$D:$D, INDIRECT("C"&amp;ROW()),
          'Unit-Level Data'!$B:$B, INDIRECT("B"&amp;ROW())),
AVERAGEIFS('Unit-Level Data'!$R:$R,'Unit-Level Data'!$M:$M,TRUE,
          'Unit-Level Data'!$D:$D, INDIRECT("C"&amp;ROW()),
          'Unit-Level Data'!$B:$B, INDIRECT("B"&amp;ROW()))),"")</f>
      </c>
      <c r="P300" s="733" cm="1">
        <f t="array" aca="true" ref="P300" ca="true">COUNTIFS('Unit-Level Data'!$M:$M,TRUE,
          'Unit-Level Data'!$D:$D, INDIRECT("C"&amp;ROW()),
          'Unit-Level Data'!$B:$B, INDIRECT("B"&amp;ROW()))</f>
        <v>0</v>
      </c>
      <c r="Q300" s="738" t="str" cm="1">
        <f t="array" aca="true" ref="Q3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0" s="760" t="str" cm="1">
        <f t="array" aca="true" ref="R3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0" s="733" cm="1">
        <f t="array" aca="true" ref="S300" ca="true">COUNTIFS('Unit-Level Data'!$L:$L, "&gt;=" &amp; ($X$2 - Q$5),
          'Unit-Level Data'!$L:$L, "&lt;" &amp; $X$2,
          'Unit-Level Data'!$D:$D, INDIRECT("C"&amp;ROW()),
          'Unit-Level Data'!$B:$B, INDIRECT("B"&amp;ROW()))</f>
        <v>0</v>
      </c>
      <c r="T300" s="738" t="str" cm="1">
        <f t="array" aca="true" ref="T3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0" s="760" t="str" cm="1">
        <f t="array" aca="true" ref="U3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0" s="733" cm="1">
        <f t="array" aca="true" ref="V300" ca="true">COUNTIFS('Unit-Level Data'!$L:$L, "&gt;=" &amp; ($X$2 - T$5),
          'Unit-Level Data'!$L:$L, "&lt;" &amp; $X$2,
          'Unit-Level Data'!$D:$D, INDIRECT("C"&amp;ROW()),
          'Unit-Level Data'!$B:$B, INDIRECT("B"&amp;ROW()))</f>
        <v>0</v>
      </c>
      <c r="W300" s="738" t="str" cm="1">
        <f t="array" aca="true" ref="W3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0" s="760" t="str" cm="1">
        <f t="array" aca="true" ref="X3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0" s="733" cm="1">
        <f t="array" aca="true" ref="Y300" ca="true">COUNTIFS('Unit-Level Data'!$L:$L, "&gt;=" &amp; ($X$2 - W$5),
          'Unit-Level Data'!$L:$L, "&lt;" &amp; $X$2,
          'Unit-Level Data'!$D:$D, INDIRECT("C"&amp;ROW()),
          'Unit-Level Data'!$B:$B, INDIRECT("B"&amp;ROW()))</f>
        <v>0</v>
      </c>
      <c r="Z300" s="761"/>
      <c r="AA300" s="735" cm="1">
        <f t="array" aca="true" ref="AA300" ca="true">IFERROR(AVERAGEIFS(
  unit_details[Sqft],
  unit_details[Property Name], INDIRECT("B"&amp;ROW()),
  unit_details[Floorplan Name], INDIRECT("C"&amp;ROW()),
  unit_details[Beds], INDIRECT("D"&amp;ROW()),
  unit_details[Detected Unit Amenities], "*"&amp;$AB$3&amp;"*",
  unit_details[Leased Date], "&gt;=" &amp; ($X$2 - $AD$3)
),0)</f>
        <v>0</v>
      </c>
      <c r="AB300" s="734" cm="1">
        <f t="array" aca="true" ref="AB3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0" s="733" cm="1">
        <f t="array" aca="true" ref="AC300" ca="true">IFERROR(COUNTIFS(
  unit_details[Property Name], INDIRECT("B"&amp;ROW()),
  unit_details[Floorplan Name], INDIRECT("C"&amp;ROW()),
  unit_details[Beds], INDIRECT("D"&amp;ROW()),
  unit_details[Detected Unit Amenities], "*"&amp;$AB$3&amp;"*",
  unit_details[Leased Date], "&gt;=" &amp; ($X$2 - $AD$3)
),0)</f>
        <v>0</v>
      </c>
      <c r="AD300" s="735" cm="1">
        <f t="array" aca="true" ref="AD300" ca="true">IFERROR(AVERAGEIFS(
  unit_details[Sqft],
  unit_details[Property Name], INDIRECT("B"&amp;ROW()),
  unit_details[Floorplan Name], INDIRECT("C"&amp;ROW()),
  unit_details[Beds], INDIRECT("D"&amp;ROW()),
  unit_details[Detected Unit Amenities], "&lt;&gt;*"&amp;$AB$3&amp;"*",
  unit_details[Leased Date], "&gt;=" &amp; ($X$2 - $AD$3)
),0)</f>
        <v>0</v>
      </c>
      <c r="AE300" s="734" cm="1">
        <f t="array" aca="true" ref="AE3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0" s="733" cm="1">
        <f t="array" aca="true" ref="AF300" ca="true">IFERROR(COUNTIFS(
  unit_details[Property Name], INDIRECT("B"&amp;ROW()),
  unit_details[Floorplan Name], INDIRECT("C"&amp;ROW()),
  unit_details[Beds], INDIRECT("D"&amp;ROW()),
  unit_details[Detected Unit Amenities], "&lt;&gt;*"&amp;$AB$3&amp;"*",
  unit_details[Leased Date], "&gt;=" &amp; ($X$2 - $AD$3)
),0)</f>
        <v>0</v>
      </c>
      <c r="AG300" s="735"/>
      <c r="AH300" s="738">
        <f t="shared" ca="true" si="10"/>
        <v>0</v>
      </c>
      <c r="AI300" s="739">
        <f t="shared" ca="true" si="11"/>
        <v>0</v>
      </c>
    </row>
    <row r="301" spans="2:35">
      <c r="B301" s="1"/>
      <c r="C301" s="80"/>
      <c r="E301" s="303"/>
      <c r="F301" s="303"/>
      <c r="J301" s="345"/>
      <c r="K301" s="6"/>
      <c r="M301" s="745"/>
      <c r="N301" s="738" t="str" cm="1">
        <f t="array" aca="true" ref="N301" ca="true">IFERROR(IF($O$3="Chunk Rent",
AVERAGEIFS('Unit-Level Data'!$O:$O,'Unit-Level Data'!$M:$M,TRUE,
          'Unit-Level Data'!$D:$D, INDIRECT("C"&amp;ROW()),
          'Unit-Level Data'!$B:$B, INDIRECT("B"&amp;ROW())),
AVERAGEIFS('Unit-Level Data'!$P:$P,'Unit-Level Data'!$M:$M,TRUE,
          'Unit-Level Data'!$D:$D, INDIRECT("C"&amp;ROW()),
          'Unit-Level Data'!$B:$B, INDIRECT("B"&amp;ROW()))),"")</f>
      </c>
      <c r="O301" s="760" t="str" cm="1">
        <f t="array" aca="true" ref="O301" ca="true">IFERROR(IF($O$3="Chunk Rent",
AVERAGEIFS('Unit-Level Data'!$Q:$Q,'Unit-Level Data'!$M:$M,TRUE,
          'Unit-Level Data'!$D:$D, INDIRECT("C"&amp;ROW()),
          'Unit-Level Data'!$B:$B, INDIRECT("B"&amp;ROW())),
AVERAGEIFS('Unit-Level Data'!$R:$R,'Unit-Level Data'!$M:$M,TRUE,
          'Unit-Level Data'!$D:$D, INDIRECT("C"&amp;ROW()),
          'Unit-Level Data'!$B:$B, INDIRECT("B"&amp;ROW()))),"")</f>
      </c>
      <c r="P301" s="733" cm="1">
        <f t="array" aca="true" ref="P301" ca="true">COUNTIFS('Unit-Level Data'!$M:$M,TRUE,
          'Unit-Level Data'!$D:$D, INDIRECT("C"&amp;ROW()),
          'Unit-Level Data'!$B:$B, INDIRECT("B"&amp;ROW()))</f>
        <v>0</v>
      </c>
      <c r="Q301" s="738" t="str" cm="1">
        <f t="array" aca="true" ref="Q3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1" s="760" t="str" cm="1">
        <f t="array" aca="true" ref="R3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1" s="733" cm="1">
        <f t="array" aca="true" ref="S301" ca="true">COUNTIFS('Unit-Level Data'!$L:$L, "&gt;=" &amp; ($X$2 - Q$5),
          'Unit-Level Data'!$L:$L, "&lt;" &amp; $X$2,
          'Unit-Level Data'!$D:$D, INDIRECT("C"&amp;ROW()),
          'Unit-Level Data'!$B:$B, INDIRECT("B"&amp;ROW()))</f>
        <v>0</v>
      </c>
      <c r="T301" s="738" t="str" cm="1">
        <f t="array" aca="true" ref="T3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1" s="760" t="str" cm="1">
        <f t="array" aca="true" ref="U3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1" s="733" cm="1">
        <f t="array" aca="true" ref="V301" ca="true">COUNTIFS('Unit-Level Data'!$L:$L, "&gt;=" &amp; ($X$2 - T$5),
          'Unit-Level Data'!$L:$L, "&lt;" &amp; $X$2,
          'Unit-Level Data'!$D:$D, INDIRECT("C"&amp;ROW()),
          'Unit-Level Data'!$B:$B, INDIRECT("B"&amp;ROW()))</f>
        <v>0</v>
      </c>
      <c r="W301" s="738" t="str" cm="1">
        <f t="array" aca="true" ref="W3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1" s="760" t="str" cm="1">
        <f t="array" aca="true" ref="X3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1" s="733" cm="1">
        <f t="array" aca="true" ref="Y301" ca="true">COUNTIFS('Unit-Level Data'!$L:$L, "&gt;=" &amp; ($X$2 - W$5),
          'Unit-Level Data'!$L:$L, "&lt;" &amp; $X$2,
          'Unit-Level Data'!$D:$D, INDIRECT("C"&amp;ROW()),
          'Unit-Level Data'!$B:$B, INDIRECT("B"&amp;ROW()))</f>
        <v>0</v>
      </c>
      <c r="Z301" s="761"/>
      <c r="AA301" s="735" cm="1">
        <f t="array" aca="true" ref="AA301" ca="true">IFERROR(AVERAGEIFS(
  unit_details[Sqft],
  unit_details[Property Name], INDIRECT("B"&amp;ROW()),
  unit_details[Floorplan Name], INDIRECT("C"&amp;ROW()),
  unit_details[Beds], INDIRECT("D"&amp;ROW()),
  unit_details[Detected Unit Amenities], "*"&amp;$AB$3&amp;"*",
  unit_details[Leased Date], "&gt;=" &amp; ($X$2 - $AD$3)
),0)</f>
        <v>0</v>
      </c>
      <c r="AB301" s="734" cm="1">
        <f t="array" aca="true" ref="AB3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1" s="733" cm="1">
        <f t="array" aca="true" ref="AC301" ca="true">IFERROR(COUNTIFS(
  unit_details[Property Name], INDIRECT("B"&amp;ROW()),
  unit_details[Floorplan Name], INDIRECT("C"&amp;ROW()),
  unit_details[Beds], INDIRECT("D"&amp;ROW()),
  unit_details[Detected Unit Amenities], "*"&amp;$AB$3&amp;"*",
  unit_details[Leased Date], "&gt;=" &amp; ($X$2 - $AD$3)
),0)</f>
        <v>0</v>
      </c>
      <c r="AD301" s="735" cm="1">
        <f t="array" aca="true" ref="AD301" ca="true">IFERROR(AVERAGEIFS(
  unit_details[Sqft],
  unit_details[Property Name], INDIRECT("B"&amp;ROW()),
  unit_details[Floorplan Name], INDIRECT("C"&amp;ROW()),
  unit_details[Beds], INDIRECT("D"&amp;ROW()),
  unit_details[Detected Unit Amenities], "&lt;&gt;*"&amp;$AB$3&amp;"*",
  unit_details[Leased Date], "&gt;=" &amp; ($X$2 - $AD$3)
),0)</f>
        <v>0</v>
      </c>
      <c r="AE301" s="734" cm="1">
        <f t="array" aca="true" ref="AE3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1" s="733" cm="1">
        <f t="array" aca="true" ref="AF301" ca="true">IFERROR(COUNTIFS(
  unit_details[Property Name], INDIRECT("B"&amp;ROW()),
  unit_details[Floorplan Name], INDIRECT("C"&amp;ROW()),
  unit_details[Beds], INDIRECT("D"&amp;ROW()),
  unit_details[Detected Unit Amenities], "&lt;&gt;*"&amp;$AB$3&amp;"*",
  unit_details[Leased Date], "&gt;=" &amp; ($X$2 - $AD$3)
),0)</f>
        <v>0</v>
      </c>
      <c r="AG301" s="735"/>
      <c r="AH301" s="738">
        <f t="shared" ca="true" si="10"/>
        <v>0</v>
      </c>
      <c r="AI301" s="739">
        <f t="shared" ca="true" si="11"/>
        <v>0</v>
      </c>
    </row>
    <row r="302" spans="2:35">
      <c r="B302" s="1"/>
      <c r="C302" s="80"/>
      <c r="E302" s="303"/>
      <c r="F302" s="303"/>
      <c r="J302" s="345"/>
      <c r="K302" s="6"/>
      <c r="M302" s="745"/>
      <c r="N302" s="738" t="str" cm="1">
        <f t="array" aca="true" ref="N302" ca="true">IFERROR(IF($O$3="Chunk Rent",
AVERAGEIFS('Unit-Level Data'!$O:$O,'Unit-Level Data'!$M:$M,TRUE,
          'Unit-Level Data'!$D:$D, INDIRECT("C"&amp;ROW()),
          'Unit-Level Data'!$B:$B, INDIRECT("B"&amp;ROW())),
AVERAGEIFS('Unit-Level Data'!$P:$P,'Unit-Level Data'!$M:$M,TRUE,
          'Unit-Level Data'!$D:$D, INDIRECT("C"&amp;ROW()),
          'Unit-Level Data'!$B:$B, INDIRECT("B"&amp;ROW()))),"")</f>
      </c>
      <c r="O302" s="760" t="str" cm="1">
        <f t="array" aca="true" ref="O302" ca="true">IFERROR(IF($O$3="Chunk Rent",
AVERAGEIFS('Unit-Level Data'!$Q:$Q,'Unit-Level Data'!$M:$M,TRUE,
          'Unit-Level Data'!$D:$D, INDIRECT("C"&amp;ROW()),
          'Unit-Level Data'!$B:$B, INDIRECT("B"&amp;ROW())),
AVERAGEIFS('Unit-Level Data'!$R:$R,'Unit-Level Data'!$M:$M,TRUE,
          'Unit-Level Data'!$D:$D, INDIRECT("C"&amp;ROW()),
          'Unit-Level Data'!$B:$B, INDIRECT("B"&amp;ROW()))),"")</f>
      </c>
      <c r="P302" s="733" cm="1">
        <f t="array" aca="true" ref="P302" ca="true">COUNTIFS('Unit-Level Data'!$M:$M,TRUE,
          'Unit-Level Data'!$D:$D, INDIRECT("C"&amp;ROW()),
          'Unit-Level Data'!$B:$B, INDIRECT("B"&amp;ROW()))</f>
        <v>0</v>
      </c>
      <c r="Q302" s="738" t="str" cm="1">
        <f t="array" aca="true" ref="Q3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2" s="760" t="str" cm="1">
        <f t="array" aca="true" ref="R3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2" s="733" cm="1">
        <f t="array" aca="true" ref="S302" ca="true">COUNTIFS('Unit-Level Data'!$L:$L, "&gt;=" &amp; ($X$2 - Q$5),
          'Unit-Level Data'!$L:$L, "&lt;" &amp; $X$2,
          'Unit-Level Data'!$D:$D, INDIRECT("C"&amp;ROW()),
          'Unit-Level Data'!$B:$B, INDIRECT("B"&amp;ROW()))</f>
        <v>0</v>
      </c>
      <c r="T302" s="738" t="str" cm="1">
        <f t="array" aca="true" ref="T3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2" s="760" t="str" cm="1">
        <f t="array" aca="true" ref="U3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2" s="733" cm="1">
        <f t="array" aca="true" ref="V302" ca="true">COUNTIFS('Unit-Level Data'!$L:$L, "&gt;=" &amp; ($X$2 - T$5),
          'Unit-Level Data'!$L:$L, "&lt;" &amp; $X$2,
          'Unit-Level Data'!$D:$D, INDIRECT("C"&amp;ROW()),
          'Unit-Level Data'!$B:$B, INDIRECT("B"&amp;ROW()))</f>
        <v>0</v>
      </c>
      <c r="W302" s="738" t="str" cm="1">
        <f t="array" aca="true" ref="W3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2" s="760" t="str" cm="1">
        <f t="array" aca="true" ref="X3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2" s="733" cm="1">
        <f t="array" aca="true" ref="Y302" ca="true">COUNTIFS('Unit-Level Data'!$L:$L, "&gt;=" &amp; ($X$2 - W$5),
          'Unit-Level Data'!$L:$L, "&lt;" &amp; $X$2,
          'Unit-Level Data'!$D:$D, INDIRECT("C"&amp;ROW()),
          'Unit-Level Data'!$B:$B, INDIRECT("B"&amp;ROW()))</f>
        <v>0</v>
      </c>
      <c r="Z302" s="761"/>
      <c r="AA302" s="735" cm="1">
        <f t="array" aca="true" ref="AA302" ca="true">IFERROR(AVERAGEIFS(
  unit_details[Sqft],
  unit_details[Property Name], INDIRECT("B"&amp;ROW()),
  unit_details[Floorplan Name], INDIRECT("C"&amp;ROW()),
  unit_details[Beds], INDIRECT("D"&amp;ROW()),
  unit_details[Detected Unit Amenities], "*"&amp;$AB$3&amp;"*",
  unit_details[Leased Date], "&gt;=" &amp; ($X$2 - $AD$3)
),0)</f>
        <v>0</v>
      </c>
      <c r="AB302" s="734" cm="1">
        <f t="array" aca="true" ref="AB3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2" s="733" cm="1">
        <f t="array" aca="true" ref="AC302" ca="true">IFERROR(COUNTIFS(
  unit_details[Property Name], INDIRECT("B"&amp;ROW()),
  unit_details[Floorplan Name], INDIRECT("C"&amp;ROW()),
  unit_details[Beds], INDIRECT("D"&amp;ROW()),
  unit_details[Detected Unit Amenities], "*"&amp;$AB$3&amp;"*",
  unit_details[Leased Date], "&gt;=" &amp; ($X$2 - $AD$3)
),0)</f>
        <v>0</v>
      </c>
      <c r="AD302" s="735" cm="1">
        <f t="array" aca="true" ref="AD302" ca="true">IFERROR(AVERAGEIFS(
  unit_details[Sqft],
  unit_details[Property Name], INDIRECT("B"&amp;ROW()),
  unit_details[Floorplan Name], INDIRECT("C"&amp;ROW()),
  unit_details[Beds], INDIRECT("D"&amp;ROW()),
  unit_details[Detected Unit Amenities], "&lt;&gt;*"&amp;$AB$3&amp;"*",
  unit_details[Leased Date], "&gt;=" &amp; ($X$2 - $AD$3)
),0)</f>
        <v>0</v>
      </c>
      <c r="AE302" s="734" cm="1">
        <f t="array" aca="true" ref="AE3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2" s="733" cm="1">
        <f t="array" aca="true" ref="AF302" ca="true">IFERROR(COUNTIFS(
  unit_details[Property Name], INDIRECT("B"&amp;ROW()),
  unit_details[Floorplan Name], INDIRECT("C"&amp;ROW()),
  unit_details[Beds], INDIRECT("D"&amp;ROW()),
  unit_details[Detected Unit Amenities], "&lt;&gt;*"&amp;$AB$3&amp;"*",
  unit_details[Leased Date], "&gt;=" &amp; ($X$2 - $AD$3)
),0)</f>
        <v>0</v>
      </c>
      <c r="AG302" s="735"/>
      <c r="AH302" s="738">
        <f t="shared" ca="true" si="10"/>
        <v>0</v>
      </c>
      <c r="AI302" s="739">
        <f t="shared" ca="true" si="11"/>
        <v>0</v>
      </c>
    </row>
    <row r="303" spans="2:35">
      <c r="B303" s="1"/>
      <c r="C303" s="80"/>
      <c r="E303" s="303"/>
      <c r="F303" s="303"/>
      <c r="J303" s="345"/>
      <c r="K303" s="6"/>
      <c r="M303" s="745"/>
      <c r="N303" s="738" t="str" cm="1">
        <f t="array" aca="true" ref="N303" ca="true">IFERROR(IF($O$3="Chunk Rent",
AVERAGEIFS('Unit-Level Data'!$O:$O,'Unit-Level Data'!$M:$M,TRUE,
          'Unit-Level Data'!$D:$D, INDIRECT("C"&amp;ROW()),
          'Unit-Level Data'!$B:$B, INDIRECT("B"&amp;ROW())),
AVERAGEIFS('Unit-Level Data'!$P:$P,'Unit-Level Data'!$M:$M,TRUE,
          'Unit-Level Data'!$D:$D, INDIRECT("C"&amp;ROW()),
          'Unit-Level Data'!$B:$B, INDIRECT("B"&amp;ROW()))),"")</f>
      </c>
      <c r="O303" s="760" t="str" cm="1">
        <f t="array" aca="true" ref="O303" ca="true">IFERROR(IF($O$3="Chunk Rent",
AVERAGEIFS('Unit-Level Data'!$Q:$Q,'Unit-Level Data'!$M:$M,TRUE,
          'Unit-Level Data'!$D:$D, INDIRECT("C"&amp;ROW()),
          'Unit-Level Data'!$B:$B, INDIRECT("B"&amp;ROW())),
AVERAGEIFS('Unit-Level Data'!$R:$R,'Unit-Level Data'!$M:$M,TRUE,
          'Unit-Level Data'!$D:$D, INDIRECT("C"&amp;ROW()),
          'Unit-Level Data'!$B:$B, INDIRECT("B"&amp;ROW()))),"")</f>
      </c>
      <c r="P303" s="733" cm="1">
        <f t="array" aca="true" ref="P303" ca="true">COUNTIFS('Unit-Level Data'!$M:$M,TRUE,
          'Unit-Level Data'!$D:$D, INDIRECT("C"&amp;ROW()),
          'Unit-Level Data'!$B:$B, INDIRECT("B"&amp;ROW()))</f>
        <v>0</v>
      </c>
      <c r="Q303" s="738" t="str" cm="1">
        <f t="array" aca="true" ref="Q3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3" s="760" t="str" cm="1">
        <f t="array" aca="true" ref="R3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3" s="733" cm="1">
        <f t="array" aca="true" ref="S303" ca="true">COUNTIFS('Unit-Level Data'!$L:$L, "&gt;=" &amp; ($X$2 - Q$5),
          'Unit-Level Data'!$L:$L, "&lt;" &amp; $X$2,
          'Unit-Level Data'!$D:$D, INDIRECT("C"&amp;ROW()),
          'Unit-Level Data'!$B:$B, INDIRECT("B"&amp;ROW()))</f>
        <v>0</v>
      </c>
      <c r="T303" s="738" t="str" cm="1">
        <f t="array" aca="true" ref="T3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3" s="760" t="str" cm="1">
        <f t="array" aca="true" ref="U3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3" s="733" cm="1">
        <f t="array" aca="true" ref="V303" ca="true">COUNTIFS('Unit-Level Data'!$L:$L, "&gt;=" &amp; ($X$2 - T$5),
          'Unit-Level Data'!$L:$L, "&lt;" &amp; $X$2,
          'Unit-Level Data'!$D:$D, INDIRECT("C"&amp;ROW()),
          'Unit-Level Data'!$B:$B, INDIRECT("B"&amp;ROW()))</f>
        <v>0</v>
      </c>
      <c r="W303" s="738" t="str" cm="1">
        <f t="array" aca="true" ref="W3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3" s="760" t="str" cm="1">
        <f t="array" aca="true" ref="X3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3" s="733" cm="1">
        <f t="array" aca="true" ref="Y303" ca="true">COUNTIFS('Unit-Level Data'!$L:$L, "&gt;=" &amp; ($X$2 - W$5),
          'Unit-Level Data'!$L:$L, "&lt;" &amp; $X$2,
          'Unit-Level Data'!$D:$D, INDIRECT("C"&amp;ROW()),
          'Unit-Level Data'!$B:$B, INDIRECT("B"&amp;ROW()))</f>
        <v>0</v>
      </c>
      <c r="Z303" s="761"/>
      <c r="AA303" s="735" cm="1">
        <f t="array" aca="true" ref="AA303" ca="true">IFERROR(AVERAGEIFS(
  unit_details[Sqft],
  unit_details[Property Name], INDIRECT("B"&amp;ROW()),
  unit_details[Floorplan Name], INDIRECT("C"&amp;ROW()),
  unit_details[Beds], INDIRECT("D"&amp;ROW()),
  unit_details[Detected Unit Amenities], "*"&amp;$AB$3&amp;"*",
  unit_details[Leased Date], "&gt;=" &amp; ($X$2 - $AD$3)
),0)</f>
        <v>0</v>
      </c>
      <c r="AB303" s="734" cm="1">
        <f t="array" aca="true" ref="AB3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3" s="733" cm="1">
        <f t="array" aca="true" ref="AC303" ca="true">IFERROR(COUNTIFS(
  unit_details[Property Name], INDIRECT("B"&amp;ROW()),
  unit_details[Floorplan Name], INDIRECT("C"&amp;ROW()),
  unit_details[Beds], INDIRECT("D"&amp;ROW()),
  unit_details[Detected Unit Amenities], "*"&amp;$AB$3&amp;"*",
  unit_details[Leased Date], "&gt;=" &amp; ($X$2 - $AD$3)
),0)</f>
        <v>0</v>
      </c>
      <c r="AD303" s="735" cm="1">
        <f t="array" aca="true" ref="AD303" ca="true">IFERROR(AVERAGEIFS(
  unit_details[Sqft],
  unit_details[Property Name], INDIRECT("B"&amp;ROW()),
  unit_details[Floorplan Name], INDIRECT("C"&amp;ROW()),
  unit_details[Beds], INDIRECT("D"&amp;ROW()),
  unit_details[Detected Unit Amenities], "&lt;&gt;*"&amp;$AB$3&amp;"*",
  unit_details[Leased Date], "&gt;=" &amp; ($X$2 - $AD$3)
),0)</f>
        <v>0</v>
      </c>
      <c r="AE303" s="734" cm="1">
        <f t="array" aca="true" ref="AE3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3" s="733" cm="1">
        <f t="array" aca="true" ref="AF303" ca="true">IFERROR(COUNTIFS(
  unit_details[Property Name], INDIRECT("B"&amp;ROW()),
  unit_details[Floorplan Name], INDIRECT("C"&amp;ROW()),
  unit_details[Beds], INDIRECT("D"&amp;ROW()),
  unit_details[Detected Unit Amenities], "&lt;&gt;*"&amp;$AB$3&amp;"*",
  unit_details[Leased Date], "&gt;=" &amp; ($X$2 - $AD$3)
),0)</f>
        <v>0</v>
      </c>
      <c r="AG303" s="735"/>
      <c r="AH303" s="738">
        <f t="shared" ca="true" si="10"/>
        <v>0</v>
      </c>
      <c r="AI303" s="739">
        <f t="shared" ca="true" si="11"/>
        <v>0</v>
      </c>
    </row>
    <row r="304" spans="2:35">
      <c r="B304" s="1"/>
      <c r="C304" s="80"/>
      <c r="E304" s="303"/>
      <c r="F304" s="303"/>
      <c r="J304" s="345"/>
      <c r="K304" s="6"/>
      <c r="M304" s="745"/>
      <c r="N304" s="738" t="str" cm="1">
        <f t="array" aca="true" ref="N304" ca="true">IFERROR(IF($O$3="Chunk Rent",
AVERAGEIFS('Unit-Level Data'!$O:$O,'Unit-Level Data'!$M:$M,TRUE,
          'Unit-Level Data'!$D:$D, INDIRECT("C"&amp;ROW()),
          'Unit-Level Data'!$B:$B, INDIRECT("B"&amp;ROW())),
AVERAGEIFS('Unit-Level Data'!$P:$P,'Unit-Level Data'!$M:$M,TRUE,
          'Unit-Level Data'!$D:$D, INDIRECT("C"&amp;ROW()),
          'Unit-Level Data'!$B:$B, INDIRECT("B"&amp;ROW()))),"")</f>
      </c>
      <c r="O304" s="760" t="str" cm="1">
        <f t="array" aca="true" ref="O304" ca="true">IFERROR(IF($O$3="Chunk Rent",
AVERAGEIFS('Unit-Level Data'!$Q:$Q,'Unit-Level Data'!$M:$M,TRUE,
          'Unit-Level Data'!$D:$D, INDIRECT("C"&amp;ROW()),
          'Unit-Level Data'!$B:$B, INDIRECT("B"&amp;ROW())),
AVERAGEIFS('Unit-Level Data'!$R:$R,'Unit-Level Data'!$M:$M,TRUE,
          'Unit-Level Data'!$D:$D, INDIRECT("C"&amp;ROW()),
          'Unit-Level Data'!$B:$B, INDIRECT("B"&amp;ROW()))),"")</f>
      </c>
      <c r="P304" s="733" cm="1">
        <f t="array" aca="true" ref="P304" ca="true">COUNTIFS('Unit-Level Data'!$M:$M,TRUE,
          'Unit-Level Data'!$D:$D, INDIRECT("C"&amp;ROW()),
          'Unit-Level Data'!$B:$B, INDIRECT("B"&amp;ROW()))</f>
        <v>0</v>
      </c>
      <c r="Q304" s="738" t="str" cm="1">
        <f t="array" aca="true" ref="Q3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4" s="760" t="str" cm="1">
        <f t="array" aca="true" ref="R3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4" s="733" cm="1">
        <f t="array" aca="true" ref="S304" ca="true">COUNTIFS('Unit-Level Data'!$L:$L, "&gt;=" &amp; ($X$2 - Q$5),
          'Unit-Level Data'!$L:$L, "&lt;" &amp; $X$2,
          'Unit-Level Data'!$D:$D, INDIRECT("C"&amp;ROW()),
          'Unit-Level Data'!$B:$B, INDIRECT("B"&amp;ROW()))</f>
        <v>0</v>
      </c>
      <c r="T304" s="738" t="str" cm="1">
        <f t="array" aca="true" ref="T3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4" s="760" t="str" cm="1">
        <f t="array" aca="true" ref="U3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4" s="733" cm="1">
        <f t="array" aca="true" ref="V304" ca="true">COUNTIFS('Unit-Level Data'!$L:$L, "&gt;=" &amp; ($X$2 - T$5),
          'Unit-Level Data'!$L:$L, "&lt;" &amp; $X$2,
          'Unit-Level Data'!$D:$D, INDIRECT("C"&amp;ROW()),
          'Unit-Level Data'!$B:$B, INDIRECT("B"&amp;ROW()))</f>
        <v>0</v>
      </c>
      <c r="W304" s="738" t="str" cm="1">
        <f t="array" aca="true" ref="W3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4" s="760" t="str" cm="1">
        <f t="array" aca="true" ref="X3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4" s="733" cm="1">
        <f t="array" aca="true" ref="Y304" ca="true">COUNTIFS('Unit-Level Data'!$L:$L, "&gt;=" &amp; ($X$2 - W$5),
          'Unit-Level Data'!$L:$L, "&lt;" &amp; $X$2,
          'Unit-Level Data'!$D:$D, INDIRECT("C"&amp;ROW()),
          'Unit-Level Data'!$B:$B, INDIRECT("B"&amp;ROW()))</f>
        <v>0</v>
      </c>
      <c r="Z304" s="761"/>
      <c r="AA304" s="735" cm="1">
        <f t="array" aca="true" ref="AA304" ca="true">IFERROR(AVERAGEIFS(
  unit_details[Sqft],
  unit_details[Property Name], INDIRECT("B"&amp;ROW()),
  unit_details[Floorplan Name], INDIRECT("C"&amp;ROW()),
  unit_details[Beds], INDIRECT("D"&amp;ROW()),
  unit_details[Detected Unit Amenities], "*"&amp;$AB$3&amp;"*",
  unit_details[Leased Date], "&gt;=" &amp; ($X$2 - $AD$3)
),0)</f>
        <v>0</v>
      </c>
      <c r="AB304" s="734" cm="1">
        <f t="array" aca="true" ref="AB3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4" s="733" cm="1">
        <f t="array" aca="true" ref="AC304" ca="true">IFERROR(COUNTIFS(
  unit_details[Property Name], INDIRECT("B"&amp;ROW()),
  unit_details[Floorplan Name], INDIRECT("C"&amp;ROW()),
  unit_details[Beds], INDIRECT("D"&amp;ROW()),
  unit_details[Detected Unit Amenities], "*"&amp;$AB$3&amp;"*",
  unit_details[Leased Date], "&gt;=" &amp; ($X$2 - $AD$3)
),0)</f>
        <v>0</v>
      </c>
      <c r="AD304" s="735" cm="1">
        <f t="array" aca="true" ref="AD304" ca="true">IFERROR(AVERAGEIFS(
  unit_details[Sqft],
  unit_details[Property Name], INDIRECT("B"&amp;ROW()),
  unit_details[Floorplan Name], INDIRECT("C"&amp;ROW()),
  unit_details[Beds], INDIRECT("D"&amp;ROW()),
  unit_details[Detected Unit Amenities], "&lt;&gt;*"&amp;$AB$3&amp;"*",
  unit_details[Leased Date], "&gt;=" &amp; ($X$2 - $AD$3)
),0)</f>
        <v>0</v>
      </c>
      <c r="AE304" s="734" cm="1">
        <f t="array" aca="true" ref="AE3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4" s="733" cm="1">
        <f t="array" aca="true" ref="AF304" ca="true">IFERROR(COUNTIFS(
  unit_details[Property Name], INDIRECT("B"&amp;ROW()),
  unit_details[Floorplan Name], INDIRECT("C"&amp;ROW()),
  unit_details[Beds], INDIRECT("D"&amp;ROW()),
  unit_details[Detected Unit Amenities], "&lt;&gt;*"&amp;$AB$3&amp;"*",
  unit_details[Leased Date], "&gt;=" &amp; ($X$2 - $AD$3)
),0)</f>
        <v>0</v>
      </c>
      <c r="AG304" s="735"/>
      <c r="AH304" s="738">
        <f t="shared" ca="true" si="10"/>
        <v>0</v>
      </c>
      <c r="AI304" s="739">
        <f t="shared" ca="true" si="11"/>
        <v>0</v>
      </c>
    </row>
    <row r="305" spans="2:35">
      <c r="B305" s="1"/>
      <c r="C305" s="80"/>
      <c r="E305" s="303"/>
      <c r="F305" s="303"/>
      <c r="J305" s="345"/>
      <c r="K305" s="6"/>
      <c r="M305" s="745"/>
      <c r="N305" s="738" t="str" cm="1">
        <f t="array" aca="true" ref="N305" ca="true">IFERROR(IF($O$3="Chunk Rent",
AVERAGEIFS('Unit-Level Data'!$O:$O,'Unit-Level Data'!$M:$M,TRUE,
          'Unit-Level Data'!$D:$D, INDIRECT("C"&amp;ROW()),
          'Unit-Level Data'!$B:$B, INDIRECT("B"&amp;ROW())),
AVERAGEIFS('Unit-Level Data'!$P:$P,'Unit-Level Data'!$M:$M,TRUE,
          'Unit-Level Data'!$D:$D, INDIRECT("C"&amp;ROW()),
          'Unit-Level Data'!$B:$B, INDIRECT("B"&amp;ROW()))),"")</f>
      </c>
      <c r="O305" s="760" t="str" cm="1">
        <f t="array" aca="true" ref="O305" ca="true">IFERROR(IF($O$3="Chunk Rent",
AVERAGEIFS('Unit-Level Data'!$Q:$Q,'Unit-Level Data'!$M:$M,TRUE,
          'Unit-Level Data'!$D:$D, INDIRECT("C"&amp;ROW()),
          'Unit-Level Data'!$B:$B, INDIRECT("B"&amp;ROW())),
AVERAGEIFS('Unit-Level Data'!$R:$R,'Unit-Level Data'!$M:$M,TRUE,
          'Unit-Level Data'!$D:$D, INDIRECT("C"&amp;ROW()),
          'Unit-Level Data'!$B:$B, INDIRECT("B"&amp;ROW()))),"")</f>
      </c>
      <c r="P305" s="733" cm="1">
        <f t="array" aca="true" ref="P305" ca="true">COUNTIFS('Unit-Level Data'!$M:$M,TRUE,
          'Unit-Level Data'!$D:$D, INDIRECT("C"&amp;ROW()),
          'Unit-Level Data'!$B:$B, INDIRECT("B"&amp;ROW()))</f>
        <v>0</v>
      </c>
      <c r="Q305" s="738" t="str" cm="1">
        <f t="array" aca="true" ref="Q3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5" s="760" t="str" cm="1">
        <f t="array" aca="true" ref="R3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5" s="733" cm="1">
        <f t="array" aca="true" ref="S305" ca="true">COUNTIFS('Unit-Level Data'!$L:$L, "&gt;=" &amp; ($X$2 - Q$5),
          'Unit-Level Data'!$L:$L, "&lt;" &amp; $X$2,
          'Unit-Level Data'!$D:$D, INDIRECT("C"&amp;ROW()),
          'Unit-Level Data'!$B:$B, INDIRECT("B"&amp;ROW()))</f>
        <v>0</v>
      </c>
      <c r="T305" s="738" t="str" cm="1">
        <f t="array" aca="true" ref="T3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5" s="760" t="str" cm="1">
        <f t="array" aca="true" ref="U3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5" s="733" cm="1">
        <f t="array" aca="true" ref="V305" ca="true">COUNTIFS('Unit-Level Data'!$L:$L, "&gt;=" &amp; ($X$2 - T$5),
          'Unit-Level Data'!$L:$L, "&lt;" &amp; $X$2,
          'Unit-Level Data'!$D:$D, INDIRECT("C"&amp;ROW()),
          'Unit-Level Data'!$B:$B, INDIRECT("B"&amp;ROW()))</f>
        <v>0</v>
      </c>
      <c r="W305" s="738" t="str" cm="1">
        <f t="array" aca="true" ref="W3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5" s="760" t="str" cm="1">
        <f t="array" aca="true" ref="X3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5" s="733" cm="1">
        <f t="array" aca="true" ref="Y305" ca="true">COUNTIFS('Unit-Level Data'!$L:$L, "&gt;=" &amp; ($X$2 - W$5),
          'Unit-Level Data'!$L:$L, "&lt;" &amp; $X$2,
          'Unit-Level Data'!$D:$D, INDIRECT("C"&amp;ROW()),
          'Unit-Level Data'!$B:$B, INDIRECT("B"&amp;ROW()))</f>
        <v>0</v>
      </c>
      <c r="Z305" s="761"/>
      <c r="AA305" s="735" cm="1">
        <f t="array" aca="true" ref="AA305" ca="true">IFERROR(AVERAGEIFS(
  unit_details[Sqft],
  unit_details[Property Name], INDIRECT("B"&amp;ROW()),
  unit_details[Floorplan Name], INDIRECT("C"&amp;ROW()),
  unit_details[Beds], INDIRECT("D"&amp;ROW()),
  unit_details[Detected Unit Amenities], "*"&amp;$AB$3&amp;"*",
  unit_details[Leased Date], "&gt;=" &amp; ($X$2 - $AD$3)
),0)</f>
        <v>0</v>
      </c>
      <c r="AB305" s="734" cm="1">
        <f t="array" aca="true" ref="AB3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5" s="733" cm="1">
        <f t="array" aca="true" ref="AC305" ca="true">IFERROR(COUNTIFS(
  unit_details[Property Name], INDIRECT("B"&amp;ROW()),
  unit_details[Floorplan Name], INDIRECT("C"&amp;ROW()),
  unit_details[Beds], INDIRECT("D"&amp;ROW()),
  unit_details[Detected Unit Amenities], "*"&amp;$AB$3&amp;"*",
  unit_details[Leased Date], "&gt;=" &amp; ($X$2 - $AD$3)
),0)</f>
        <v>0</v>
      </c>
      <c r="AD305" s="735" cm="1">
        <f t="array" aca="true" ref="AD305" ca="true">IFERROR(AVERAGEIFS(
  unit_details[Sqft],
  unit_details[Property Name], INDIRECT("B"&amp;ROW()),
  unit_details[Floorplan Name], INDIRECT("C"&amp;ROW()),
  unit_details[Beds], INDIRECT("D"&amp;ROW()),
  unit_details[Detected Unit Amenities], "&lt;&gt;*"&amp;$AB$3&amp;"*",
  unit_details[Leased Date], "&gt;=" &amp; ($X$2 - $AD$3)
),0)</f>
        <v>0</v>
      </c>
      <c r="AE305" s="734" cm="1">
        <f t="array" aca="true" ref="AE3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5" s="733" cm="1">
        <f t="array" aca="true" ref="AF305" ca="true">IFERROR(COUNTIFS(
  unit_details[Property Name], INDIRECT("B"&amp;ROW()),
  unit_details[Floorplan Name], INDIRECT("C"&amp;ROW()),
  unit_details[Beds], INDIRECT("D"&amp;ROW()),
  unit_details[Detected Unit Amenities], "&lt;&gt;*"&amp;$AB$3&amp;"*",
  unit_details[Leased Date], "&gt;=" &amp; ($X$2 - $AD$3)
),0)</f>
        <v>0</v>
      </c>
      <c r="AG305" s="735"/>
      <c r="AH305" s="738">
        <f t="shared" ca="true" si="10"/>
        <v>0</v>
      </c>
      <c r="AI305" s="739">
        <f t="shared" ca="true" si="11"/>
        <v>0</v>
      </c>
    </row>
    <row r="306" spans="2:35">
      <c r="B306" s="1"/>
      <c r="C306" s="80"/>
      <c r="E306" s="303"/>
      <c r="F306" s="303"/>
      <c r="J306" s="345"/>
      <c r="K306" s="6"/>
      <c r="M306" s="745"/>
      <c r="N306" s="738" t="str" cm="1">
        <f t="array" aca="true" ref="N306" ca="true">IFERROR(IF($O$3="Chunk Rent",
AVERAGEIFS('Unit-Level Data'!$O:$O,'Unit-Level Data'!$M:$M,TRUE,
          'Unit-Level Data'!$D:$D, INDIRECT("C"&amp;ROW()),
          'Unit-Level Data'!$B:$B, INDIRECT("B"&amp;ROW())),
AVERAGEIFS('Unit-Level Data'!$P:$P,'Unit-Level Data'!$M:$M,TRUE,
          'Unit-Level Data'!$D:$D, INDIRECT("C"&amp;ROW()),
          'Unit-Level Data'!$B:$B, INDIRECT("B"&amp;ROW()))),"")</f>
      </c>
      <c r="O306" s="760" t="str" cm="1">
        <f t="array" aca="true" ref="O306" ca="true">IFERROR(IF($O$3="Chunk Rent",
AVERAGEIFS('Unit-Level Data'!$Q:$Q,'Unit-Level Data'!$M:$M,TRUE,
          'Unit-Level Data'!$D:$D, INDIRECT("C"&amp;ROW()),
          'Unit-Level Data'!$B:$B, INDIRECT("B"&amp;ROW())),
AVERAGEIFS('Unit-Level Data'!$R:$R,'Unit-Level Data'!$M:$M,TRUE,
          'Unit-Level Data'!$D:$D, INDIRECT("C"&amp;ROW()),
          'Unit-Level Data'!$B:$B, INDIRECT("B"&amp;ROW()))),"")</f>
      </c>
      <c r="P306" s="733" cm="1">
        <f t="array" aca="true" ref="P306" ca="true">COUNTIFS('Unit-Level Data'!$M:$M,TRUE,
          'Unit-Level Data'!$D:$D, INDIRECT("C"&amp;ROW()),
          'Unit-Level Data'!$B:$B, INDIRECT("B"&amp;ROW()))</f>
        <v>0</v>
      </c>
      <c r="Q306" s="738" t="str" cm="1">
        <f t="array" aca="true" ref="Q3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6" s="760" t="str" cm="1">
        <f t="array" aca="true" ref="R3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6" s="733" cm="1">
        <f t="array" aca="true" ref="S306" ca="true">COUNTIFS('Unit-Level Data'!$L:$L, "&gt;=" &amp; ($X$2 - Q$5),
          'Unit-Level Data'!$L:$L, "&lt;" &amp; $X$2,
          'Unit-Level Data'!$D:$D, INDIRECT("C"&amp;ROW()),
          'Unit-Level Data'!$B:$B, INDIRECT("B"&amp;ROW()))</f>
        <v>0</v>
      </c>
      <c r="T306" s="738" t="str" cm="1">
        <f t="array" aca="true" ref="T3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6" s="760" t="str" cm="1">
        <f t="array" aca="true" ref="U3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6" s="733" cm="1">
        <f t="array" aca="true" ref="V306" ca="true">COUNTIFS('Unit-Level Data'!$L:$L, "&gt;=" &amp; ($X$2 - T$5),
          'Unit-Level Data'!$L:$L, "&lt;" &amp; $X$2,
          'Unit-Level Data'!$D:$D, INDIRECT("C"&amp;ROW()),
          'Unit-Level Data'!$B:$B, INDIRECT("B"&amp;ROW()))</f>
        <v>0</v>
      </c>
      <c r="W306" s="738" t="str" cm="1">
        <f t="array" aca="true" ref="W3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6" s="760" t="str" cm="1">
        <f t="array" aca="true" ref="X3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6" s="733" cm="1">
        <f t="array" aca="true" ref="Y306" ca="true">COUNTIFS('Unit-Level Data'!$L:$L, "&gt;=" &amp; ($X$2 - W$5),
          'Unit-Level Data'!$L:$L, "&lt;" &amp; $X$2,
          'Unit-Level Data'!$D:$D, INDIRECT("C"&amp;ROW()),
          'Unit-Level Data'!$B:$B, INDIRECT("B"&amp;ROW()))</f>
        <v>0</v>
      </c>
      <c r="Z306" s="761"/>
      <c r="AA306" s="735" cm="1">
        <f t="array" aca="true" ref="AA306" ca="true">IFERROR(AVERAGEIFS(
  unit_details[Sqft],
  unit_details[Property Name], INDIRECT("B"&amp;ROW()),
  unit_details[Floorplan Name], INDIRECT("C"&amp;ROW()),
  unit_details[Beds], INDIRECT("D"&amp;ROW()),
  unit_details[Detected Unit Amenities], "*"&amp;$AB$3&amp;"*",
  unit_details[Leased Date], "&gt;=" &amp; ($X$2 - $AD$3)
),0)</f>
        <v>0</v>
      </c>
      <c r="AB306" s="734" cm="1">
        <f t="array" aca="true" ref="AB3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6" s="733" cm="1">
        <f t="array" aca="true" ref="AC306" ca="true">IFERROR(COUNTIFS(
  unit_details[Property Name], INDIRECT("B"&amp;ROW()),
  unit_details[Floorplan Name], INDIRECT("C"&amp;ROW()),
  unit_details[Beds], INDIRECT("D"&amp;ROW()),
  unit_details[Detected Unit Amenities], "*"&amp;$AB$3&amp;"*",
  unit_details[Leased Date], "&gt;=" &amp; ($X$2 - $AD$3)
),0)</f>
        <v>0</v>
      </c>
      <c r="AD306" s="735" cm="1">
        <f t="array" aca="true" ref="AD306" ca="true">IFERROR(AVERAGEIFS(
  unit_details[Sqft],
  unit_details[Property Name], INDIRECT("B"&amp;ROW()),
  unit_details[Floorplan Name], INDIRECT("C"&amp;ROW()),
  unit_details[Beds], INDIRECT("D"&amp;ROW()),
  unit_details[Detected Unit Amenities], "&lt;&gt;*"&amp;$AB$3&amp;"*",
  unit_details[Leased Date], "&gt;=" &amp; ($X$2 - $AD$3)
),0)</f>
        <v>0</v>
      </c>
      <c r="AE306" s="734" cm="1">
        <f t="array" aca="true" ref="AE3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6" s="733" cm="1">
        <f t="array" aca="true" ref="AF306" ca="true">IFERROR(COUNTIFS(
  unit_details[Property Name], INDIRECT("B"&amp;ROW()),
  unit_details[Floorplan Name], INDIRECT("C"&amp;ROW()),
  unit_details[Beds], INDIRECT("D"&amp;ROW()),
  unit_details[Detected Unit Amenities], "&lt;&gt;*"&amp;$AB$3&amp;"*",
  unit_details[Leased Date], "&gt;=" &amp; ($X$2 - $AD$3)
),0)</f>
        <v>0</v>
      </c>
      <c r="AG306" s="735"/>
      <c r="AH306" s="738">
        <f t="shared" ca="true" si="10"/>
        <v>0</v>
      </c>
      <c r="AI306" s="739">
        <f t="shared" ca="true" si="11"/>
        <v>0</v>
      </c>
    </row>
    <row r="307" spans="2:35">
      <c r="B307" s="1"/>
      <c r="C307" s="80"/>
      <c r="E307" s="303"/>
      <c r="F307" s="303"/>
      <c r="J307" s="345"/>
      <c r="K307" s="6"/>
      <c r="M307" s="745"/>
      <c r="N307" s="738" t="str" cm="1">
        <f t="array" aca="true" ref="N307" ca="true">IFERROR(IF($O$3="Chunk Rent",
AVERAGEIFS('Unit-Level Data'!$O:$O,'Unit-Level Data'!$M:$M,TRUE,
          'Unit-Level Data'!$D:$D, INDIRECT("C"&amp;ROW()),
          'Unit-Level Data'!$B:$B, INDIRECT("B"&amp;ROW())),
AVERAGEIFS('Unit-Level Data'!$P:$P,'Unit-Level Data'!$M:$M,TRUE,
          'Unit-Level Data'!$D:$D, INDIRECT("C"&amp;ROW()),
          'Unit-Level Data'!$B:$B, INDIRECT("B"&amp;ROW()))),"")</f>
      </c>
      <c r="O307" s="760" t="str" cm="1">
        <f t="array" aca="true" ref="O307" ca="true">IFERROR(IF($O$3="Chunk Rent",
AVERAGEIFS('Unit-Level Data'!$Q:$Q,'Unit-Level Data'!$M:$M,TRUE,
          'Unit-Level Data'!$D:$D, INDIRECT("C"&amp;ROW()),
          'Unit-Level Data'!$B:$B, INDIRECT("B"&amp;ROW())),
AVERAGEIFS('Unit-Level Data'!$R:$R,'Unit-Level Data'!$M:$M,TRUE,
          'Unit-Level Data'!$D:$D, INDIRECT("C"&amp;ROW()),
          'Unit-Level Data'!$B:$B, INDIRECT("B"&amp;ROW()))),"")</f>
      </c>
      <c r="P307" s="733" cm="1">
        <f t="array" aca="true" ref="P307" ca="true">COUNTIFS('Unit-Level Data'!$M:$M,TRUE,
          'Unit-Level Data'!$D:$D, INDIRECT("C"&amp;ROW()),
          'Unit-Level Data'!$B:$B, INDIRECT("B"&amp;ROW()))</f>
        <v>0</v>
      </c>
      <c r="Q307" s="738" t="str" cm="1">
        <f t="array" aca="true" ref="Q3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7" s="760" t="str" cm="1">
        <f t="array" aca="true" ref="R3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7" s="733" cm="1">
        <f t="array" aca="true" ref="S307" ca="true">COUNTIFS('Unit-Level Data'!$L:$L, "&gt;=" &amp; ($X$2 - Q$5),
          'Unit-Level Data'!$L:$L, "&lt;" &amp; $X$2,
          'Unit-Level Data'!$D:$D, INDIRECT("C"&amp;ROW()),
          'Unit-Level Data'!$B:$B, INDIRECT("B"&amp;ROW()))</f>
        <v>0</v>
      </c>
      <c r="T307" s="738" t="str" cm="1">
        <f t="array" aca="true" ref="T3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7" s="760" t="str" cm="1">
        <f t="array" aca="true" ref="U3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7" s="733" cm="1">
        <f t="array" aca="true" ref="V307" ca="true">COUNTIFS('Unit-Level Data'!$L:$L, "&gt;=" &amp; ($X$2 - T$5),
          'Unit-Level Data'!$L:$L, "&lt;" &amp; $X$2,
          'Unit-Level Data'!$D:$D, INDIRECT("C"&amp;ROW()),
          'Unit-Level Data'!$B:$B, INDIRECT("B"&amp;ROW()))</f>
        <v>0</v>
      </c>
      <c r="W307" s="738" t="str" cm="1">
        <f t="array" aca="true" ref="W3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7" s="760" t="str" cm="1">
        <f t="array" aca="true" ref="X3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7" s="733" cm="1">
        <f t="array" aca="true" ref="Y307" ca="true">COUNTIFS('Unit-Level Data'!$L:$L, "&gt;=" &amp; ($X$2 - W$5),
          'Unit-Level Data'!$L:$L, "&lt;" &amp; $X$2,
          'Unit-Level Data'!$D:$D, INDIRECT("C"&amp;ROW()),
          'Unit-Level Data'!$B:$B, INDIRECT("B"&amp;ROW()))</f>
        <v>0</v>
      </c>
      <c r="Z307" s="761"/>
      <c r="AA307" s="735" cm="1">
        <f t="array" aca="true" ref="AA307" ca="true">IFERROR(AVERAGEIFS(
  unit_details[Sqft],
  unit_details[Property Name], INDIRECT("B"&amp;ROW()),
  unit_details[Floorplan Name], INDIRECT("C"&amp;ROW()),
  unit_details[Beds], INDIRECT("D"&amp;ROW()),
  unit_details[Detected Unit Amenities], "*"&amp;$AB$3&amp;"*",
  unit_details[Leased Date], "&gt;=" &amp; ($X$2 - $AD$3)
),0)</f>
        <v>0</v>
      </c>
      <c r="AB307" s="734" cm="1">
        <f t="array" aca="true" ref="AB3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7" s="733" cm="1">
        <f t="array" aca="true" ref="AC307" ca="true">IFERROR(COUNTIFS(
  unit_details[Property Name], INDIRECT("B"&amp;ROW()),
  unit_details[Floorplan Name], INDIRECT("C"&amp;ROW()),
  unit_details[Beds], INDIRECT("D"&amp;ROW()),
  unit_details[Detected Unit Amenities], "*"&amp;$AB$3&amp;"*",
  unit_details[Leased Date], "&gt;=" &amp; ($X$2 - $AD$3)
),0)</f>
        <v>0</v>
      </c>
      <c r="AD307" s="735" cm="1">
        <f t="array" aca="true" ref="AD307" ca="true">IFERROR(AVERAGEIFS(
  unit_details[Sqft],
  unit_details[Property Name], INDIRECT("B"&amp;ROW()),
  unit_details[Floorplan Name], INDIRECT("C"&amp;ROW()),
  unit_details[Beds], INDIRECT("D"&amp;ROW()),
  unit_details[Detected Unit Amenities], "&lt;&gt;*"&amp;$AB$3&amp;"*",
  unit_details[Leased Date], "&gt;=" &amp; ($X$2 - $AD$3)
),0)</f>
        <v>0</v>
      </c>
      <c r="AE307" s="734" cm="1">
        <f t="array" aca="true" ref="AE3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7" s="733" cm="1">
        <f t="array" aca="true" ref="AF307" ca="true">IFERROR(COUNTIFS(
  unit_details[Property Name], INDIRECT("B"&amp;ROW()),
  unit_details[Floorplan Name], INDIRECT("C"&amp;ROW()),
  unit_details[Beds], INDIRECT("D"&amp;ROW()),
  unit_details[Detected Unit Amenities], "&lt;&gt;*"&amp;$AB$3&amp;"*",
  unit_details[Leased Date], "&gt;=" &amp; ($X$2 - $AD$3)
),0)</f>
        <v>0</v>
      </c>
      <c r="AG307" s="735"/>
      <c r="AH307" s="738">
        <f t="shared" ca="true" si="10"/>
        <v>0</v>
      </c>
      <c r="AI307" s="739">
        <f t="shared" ca="true" si="11"/>
        <v>0</v>
      </c>
    </row>
    <row r="308" spans="2:35">
      <c r="B308" s="1"/>
      <c r="C308" s="80"/>
      <c r="E308" s="303"/>
      <c r="F308" s="303"/>
      <c r="J308" s="345"/>
      <c r="K308" s="6"/>
      <c r="M308" s="745"/>
      <c r="N308" s="738" t="str" cm="1">
        <f t="array" aca="true" ref="N308" ca="true">IFERROR(IF($O$3="Chunk Rent",
AVERAGEIFS('Unit-Level Data'!$O:$O,'Unit-Level Data'!$M:$M,TRUE,
          'Unit-Level Data'!$D:$D, INDIRECT("C"&amp;ROW()),
          'Unit-Level Data'!$B:$B, INDIRECT("B"&amp;ROW())),
AVERAGEIFS('Unit-Level Data'!$P:$P,'Unit-Level Data'!$M:$M,TRUE,
          'Unit-Level Data'!$D:$D, INDIRECT("C"&amp;ROW()),
          'Unit-Level Data'!$B:$B, INDIRECT("B"&amp;ROW()))),"")</f>
      </c>
      <c r="O308" s="760" t="str" cm="1">
        <f t="array" aca="true" ref="O308" ca="true">IFERROR(IF($O$3="Chunk Rent",
AVERAGEIFS('Unit-Level Data'!$Q:$Q,'Unit-Level Data'!$M:$M,TRUE,
          'Unit-Level Data'!$D:$D, INDIRECT("C"&amp;ROW()),
          'Unit-Level Data'!$B:$B, INDIRECT("B"&amp;ROW())),
AVERAGEIFS('Unit-Level Data'!$R:$R,'Unit-Level Data'!$M:$M,TRUE,
          'Unit-Level Data'!$D:$D, INDIRECT("C"&amp;ROW()),
          'Unit-Level Data'!$B:$B, INDIRECT("B"&amp;ROW()))),"")</f>
      </c>
      <c r="P308" s="733" cm="1">
        <f t="array" aca="true" ref="P308" ca="true">COUNTIFS('Unit-Level Data'!$M:$M,TRUE,
          'Unit-Level Data'!$D:$D, INDIRECT("C"&amp;ROW()),
          'Unit-Level Data'!$B:$B, INDIRECT("B"&amp;ROW()))</f>
        <v>0</v>
      </c>
      <c r="Q308" s="738" t="str" cm="1">
        <f t="array" aca="true" ref="Q3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8" s="760" t="str" cm="1">
        <f t="array" aca="true" ref="R3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8" s="733" cm="1">
        <f t="array" aca="true" ref="S308" ca="true">COUNTIFS('Unit-Level Data'!$L:$L, "&gt;=" &amp; ($X$2 - Q$5),
          'Unit-Level Data'!$L:$L, "&lt;" &amp; $X$2,
          'Unit-Level Data'!$D:$D, INDIRECT("C"&amp;ROW()),
          'Unit-Level Data'!$B:$B, INDIRECT("B"&amp;ROW()))</f>
        <v>0</v>
      </c>
      <c r="T308" s="738" t="str" cm="1">
        <f t="array" aca="true" ref="T3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8" s="760" t="str" cm="1">
        <f t="array" aca="true" ref="U3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8" s="733" cm="1">
        <f t="array" aca="true" ref="V308" ca="true">COUNTIFS('Unit-Level Data'!$L:$L, "&gt;=" &amp; ($X$2 - T$5),
          'Unit-Level Data'!$L:$L, "&lt;" &amp; $X$2,
          'Unit-Level Data'!$D:$D, INDIRECT("C"&amp;ROW()),
          'Unit-Level Data'!$B:$B, INDIRECT("B"&amp;ROW()))</f>
        <v>0</v>
      </c>
      <c r="W308" s="738" t="str" cm="1">
        <f t="array" aca="true" ref="W3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8" s="760" t="str" cm="1">
        <f t="array" aca="true" ref="X3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8" s="733" cm="1">
        <f t="array" aca="true" ref="Y308" ca="true">COUNTIFS('Unit-Level Data'!$L:$L, "&gt;=" &amp; ($X$2 - W$5),
          'Unit-Level Data'!$L:$L, "&lt;" &amp; $X$2,
          'Unit-Level Data'!$D:$D, INDIRECT("C"&amp;ROW()),
          'Unit-Level Data'!$B:$B, INDIRECT("B"&amp;ROW()))</f>
        <v>0</v>
      </c>
      <c r="Z308" s="761"/>
      <c r="AA308" s="735" cm="1">
        <f t="array" aca="true" ref="AA308" ca="true">IFERROR(AVERAGEIFS(
  unit_details[Sqft],
  unit_details[Property Name], INDIRECT("B"&amp;ROW()),
  unit_details[Floorplan Name], INDIRECT("C"&amp;ROW()),
  unit_details[Beds], INDIRECT("D"&amp;ROW()),
  unit_details[Detected Unit Amenities], "*"&amp;$AB$3&amp;"*",
  unit_details[Leased Date], "&gt;=" &amp; ($X$2 - $AD$3)
),0)</f>
        <v>0</v>
      </c>
      <c r="AB308" s="734" cm="1">
        <f t="array" aca="true" ref="AB3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8" s="733" cm="1">
        <f t="array" aca="true" ref="AC308" ca="true">IFERROR(COUNTIFS(
  unit_details[Property Name], INDIRECT("B"&amp;ROW()),
  unit_details[Floorplan Name], INDIRECT("C"&amp;ROW()),
  unit_details[Beds], INDIRECT("D"&amp;ROW()),
  unit_details[Detected Unit Amenities], "*"&amp;$AB$3&amp;"*",
  unit_details[Leased Date], "&gt;=" &amp; ($X$2 - $AD$3)
),0)</f>
        <v>0</v>
      </c>
      <c r="AD308" s="735" cm="1">
        <f t="array" aca="true" ref="AD308" ca="true">IFERROR(AVERAGEIFS(
  unit_details[Sqft],
  unit_details[Property Name], INDIRECT("B"&amp;ROW()),
  unit_details[Floorplan Name], INDIRECT("C"&amp;ROW()),
  unit_details[Beds], INDIRECT("D"&amp;ROW()),
  unit_details[Detected Unit Amenities], "&lt;&gt;*"&amp;$AB$3&amp;"*",
  unit_details[Leased Date], "&gt;=" &amp; ($X$2 - $AD$3)
),0)</f>
        <v>0</v>
      </c>
      <c r="AE308" s="734" cm="1">
        <f t="array" aca="true" ref="AE3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8" s="733" cm="1">
        <f t="array" aca="true" ref="AF308" ca="true">IFERROR(COUNTIFS(
  unit_details[Property Name], INDIRECT("B"&amp;ROW()),
  unit_details[Floorplan Name], INDIRECT("C"&amp;ROW()),
  unit_details[Beds], INDIRECT("D"&amp;ROW()),
  unit_details[Detected Unit Amenities], "&lt;&gt;*"&amp;$AB$3&amp;"*",
  unit_details[Leased Date], "&gt;=" &amp; ($X$2 - $AD$3)
),0)</f>
        <v>0</v>
      </c>
      <c r="AG308" s="735"/>
      <c r="AH308" s="738">
        <f t="shared" ca="true" si="10"/>
        <v>0</v>
      </c>
      <c r="AI308" s="739">
        <f t="shared" ca="true" si="11"/>
        <v>0</v>
      </c>
    </row>
    <row r="309" spans="2:35">
      <c r="B309" s="1"/>
      <c r="C309" s="80"/>
      <c r="E309" s="303"/>
      <c r="F309" s="303"/>
      <c r="J309" s="345"/>
      <c r="K309" s="6"/>
      <c r="M309" s="745"/>
      <c r="N309" s="738" t="str" cm="1">
        <f t="array" aca="true" ref="N309" ca="true">IFERROR(IF($O$3="Chunk Rent",
AVERAGEIFS('Unit-Level Data'!$O:$O,'Unit-Level Data'!$M:$M,TRUE,
          'Unit-Level Data'!$D:$D, INDIRECT("C"&amp;ROW()),
          'Unit-Level Data'!$B:$B, INDIRECT("B"&amp;ROW())),
AVERAGEIFS('Unit-Level Data'!$P:$P,'Unit-Level Data'!$M:$M,TRUE,
          'Unit-Level Data'!$D:$D, INDIRECT("C"&amp;ROW()),
          'Unit-Level Data'!$B:$B, INDIRECT("B"&amp;ROW()))),"")</f>
      </c>
      <c r="O309" s="760" t="str" cm="1">
        <f t="array" aca="true" ref="O309" ca="true">IFERROR(IF($O$3="Chunk Rent",
AVERAGEIFS('Unit-Level Data'!$Q:$Q,'Unit-Level Data'!$M:$M,TRUE,
          'Unit-Level Data'!$D:$D, INDIRECT("C"&amp;ROW()),
          'Unit-Level Data'!$B:$B, INDIRECT("B"&amp;ROW())),
AVERAGEIFS('Unit-Level Data'!$R:$R,'Unit-Level Data'!$M:$M,TRUE,
          'Unit-Level Data'!$D:$D, INDIRECT("C"&amp;ROW()),
          'Unit-Level Data'!$B:$B, INDIRECT("B"&amp;ROW()))),"")</f>
      </c>
      <c r="P309" s="733" cm="1">
        <f t="array" aca="true" ref="P309" ca="true">COUNTIFS('Unit-Level Data'!$M:$M,TRUE,
          'Unit-Level Data'!$D:$D, INDIRECT("C"&amp;ROW()),
          'Unit-Level Data'!$B:$B, INDIRECT("B"&amp;ROW()))</f>
        <v>0</v>
      </c>
      <c r="Q309" s="738" t="str" cm="1">
        <f t="array" aca="true" ref="Q3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9" s="760" t="str" cm="1">
        <f t="array" aca="true" ref="R3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9" s="733" cm="1">
        <f t="array" aca="true" ref="S309" ca="true">COUNTIFS('Unit-Level Data'!$L:$L, "&gt;=" &amp; ($X$2 - Q$5),
          'Unit-Level Data'!$L:$L, "&lt;" &amp; $X$2,
          'Unit-Level Data'!$D:$D, INDIRECT("C"&amp;ROW()),
          'Unit-Level Data'!$B:$B, INDIRECT("B"&amp;ROW()))</f>
        <v>0</v>
      </c>
      <c r="T309" s="738" t="str" cm="1">
        <f t="array" aca="true" ref="T3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9" s="760" t="str" cm="1">
        <f t="array" aca="true" ref="U3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9" s="733" cm="1">
        <f t="array" aca="true" ref="V309" ca="true">COUNTIFS('Unit-Level Data'!$L:$L, "&gt;=" &amp; ($X$2 - T$5),
          'Unit-Level Data'!$L:$L, "&lt;" &amp; $X$2,
          'Unit-Level Data'!$D:$D, INDIRECT("C"&amp;ROW()),
          'Unit-Level Data'!$B:$B, INDIRECT("B"&amp;ROW()))</f>
        <v>0</v>
      </c>
      <c r="W309" s="738" t="str" cm="1">
        <f t="array" aca="true" ref="W3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9" s="760" t="str" cm="1">
        <f t="array" aca="true" ref="X3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9" s="733" cm="1">
        <f t="array" aca="true" ref="Y309" ca="true">COUNTIFS('Unit-Level Data'!$L:$L, "&gt;=" &amp; ($X$2 - W$5),
          'Unit-Level Data'!$L:$L, "&lt;" &amp; $X$2,
          'Unit-Level Data'!$D:$D, INDIRECT("C"&amp;ROW()),
          'Unit-Level Data'!$B:$B, INDIRECT("B"&amp;ROW()))</f>
        <v>0</v>
      </c>
      <c r="Z309" s="761"/>
      <c r="AA309" s="735" cm="1">
        <f t="array" aca="true" ref="AA309" ca="true">IFERROR(AVERAGEIFS(
  unit_details[Sqft],
  unit_details[Property Name], INDIRECT("B"&amp;ROW()),
  unit_details[Floorplan Name], INDIRECT("C"&amp;ROW()),
  unit_details[Beds], INDIRECT("D"&amp;ROW()),
  unit_details[Detected Unit Amenities], "*"&amp;$AB$3&amp;"*",
  unit_details[Leased Date], "&gt;=" &amp; ($X$2 - $AD$3)
),0)</f>
        <v>0</v>
      </c>
      <c r="AB309" s="734" cm="1">
        <f t="array" aca="true" ref="AB3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9" s="733" cm="1">
        <f t="array" aca="true" ref="AC309" ca="true">IFERROR(COUNTIFS(
  unit_details[Property Name], INDIRECT("B"&amp;ROW()),
  unit_details[Floorplan Name], INDIRECT("C"&amp;ROW()),
  unit_details[Beds], INDIRECT("D"&amp;ROW()),
  unit_details[Detected Unit Amenities], "*"&amp;$AB$3&amp;"*",
  unit_details[Leased Date], "&gt;=" &amp; ($X$2 - $AD$3)
),0)</f>
        <v>0</v>
      </c>
      <c r="AD309" s="735" cm="1">
        <f t="array" aca="true" ref="AD309" ca="true">IFERROR(AVERAGEIFS(
  unit_details[Sqft],
  unit_details[Property Name], INDIRECT("B"&amp;ROW()),
  unit_details[Floorplan Name], INDIRECT("C"&amp;ROW()),
  unit_details[Beds], INDIRECT("D"&amp;ROW()),
  unit_details[Detected Unit Amenities], "&lt;&gt;*"&amp;$AB$3&amp;"*",
  unit_details[Leased Date], "&gt;=" &amp; ($X$2 - $AD$3)
),0)</f>
        <v>0</v>
      </c>
      <c r="AE309" s="734" cm="1">
        <f t="array" aca="true" ref="AE3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9" s="733" cm="1">
        <f t="array" aca="true" ref="AF309" ca="true">IFERROR(COUNTIFS(
  unit_details[Property Name], INDIRECT("B"&amp;ROW()),
  unit_details[Floorplan Name], INDIRECT("C"&amp;ROW()),
  unit_details[Beds], INDIRECT("D"&amp;ROW()),
  unit_details[Detected Unit Amenities], "&lt;&gt;*"&amp;$AB$3&amp;"*",
  unit_details[Leased Date], "&gt;=" &amp; ($X$2 - $AD$3)
),0)</f>
        <v>0</v>
      </c>
      <c r="AG309" s="735"/>
      <c r="AH309" s="738">
        <f t="shared" ca="true" si="10"/>
        <v>0</v>
      </c>
      <c r="AI309" s="739">
        <f t="shared" ca="true" si="11"/>
        <v>0</v>
      </c>
    </row>
    <row r="310" spans="2:35">
      <c r="B310" s="1"/>
      <c r="C310" s="80"/>
      <c r="E310" s="303"/>
      <c r="F310" s="303"/>
      <c r="J310" s="345"/>
      <c r="K310" s="6"/>
      <c r="M310" s="745"/>
      <c r="N310" s="738" t="str" cm="1">
        <f t="array" aca="true" ref="N310" ca="true">IFERROR(IF($O$3="Chunk Rent",
AVERAGEIFS('Unit-Level Data'!$O:$O,'Unit-Level Data'!$M:$M,TRUE,
          'Unit-Level Data'!$D:$D, INDIRECT("C"&amp;ROW()),
          'Unit-Level Data'!$B:$B, INDIRECT("B"&amp;ROW())),
AVERAGEIFS('Unit-Level Data'!$P:$P,'Unit-Level Data'!$M:$M,TRUE,
          'Unit-Level Data'!$D:$D, INDIRECT("C"&amp;ROW()),
          'Unit-Level Data'!$B:$B, INDIRECT("B"&amp;ROW()))),"")</f>
      </c>
      <c r="O310" s="760" t="str" cm="1">
        <f t="array" aca="true" ref="O310" ca="true">IFERROR(IF($O$3="Chunk Rent",
AVERAGEIFS('Unit-Level Data'!$Q:$Q,'Unit-Level Data'!$M:$M,TRUE,
          'Unit-Level Data'!$D:$D, INDIRECT("C"&amp;ROW()),
          'Unit-Level Data'!$B:$B, INDIRECT("B"&amp;ROW())),
AVERAGEIFS('Unit-Level Data'!$R:$R,'Unit-Level Data'!$M:$M,TRUE,
          'Unit-Level Data'!$D:$D, INDIRECT("C"&amp;ROW()),
          'Unit-Level Data'!$B:$B, INDIRECT("B"&amp;ROW()))),"")</f>
      </c>
      <c r="P310" s="733" cm="1">
        <f t="array" aca="true" ref="P310" ca="true">COUNTIFS('Unit-Level Data'!$M:$M,TRUE,
          'Unit-Level Data'!$D:$D, INDIRECT("C"&amp;ROW()),
          'Unit-Level Data'!$B:$B, INDIRECT("B"&amp;ROW()))</f>
        <v>0</v>
      </c>
      <c r="Q310" s="738" t="str" cm="1">
        <f t="array" aca="true" ref="Q3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0" s="760" t="str" cm="1">
        <f t="array" aca="true" ref="R3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0" s="733" cm="1">
        <f t="array" aca="true" ref="S310" ca="true">COUNTIFS('Unit-Level Data'!$L:$L, "&gt;=" &amp; ($X$2 - Q$5),
          'Unit-Level Data'!$L:$L, "&lt;" &amp; $X$2,
          'Unit-Level Data'!$D:$D, INDIRECT("C"&amp;ROW()),
          'Unit-Level Data'!$B:$B, INDIRECT("B"&amp;ROW()))</f>
        <v>0</v>
      </c>
      <c r="T310" s="738" t="str" cm="1">
        <f t="array" aca="true" ref="T3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0" s="760" t="str" cm="1">
        <f t="array" aca="true" ref="U3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0" s="733" cm="1">
        <f t="array" aca="true" ref="V310" ca="true">COUNTIFS('Unit-Level Data'!$L:$L, "&gt;=" &amp; ($X$2 - T$5),
          'Unit-Level Data'!$L:$L, "&lt;" &amp; $X$2,
          'Unit-Level Data'!$D:$D, INDIRECT("C"&amp;ROW()),
          'Unit-Level Data'!$B:$B, INDIRECT("B"&amp;ROW()))</f>
        <v>0</v>
      </c>
      <c r="W310" s="738" t="str" cm="1">
        <f t="array" aca="true" ref="W3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0" s="760" t="str" cm="1">
        <f t="array" aca="true" ref="X3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0" s="733" cm="1">
        <f t="array" aca="true" ref="Y310" ca="true">COUNTIFS('Unit-Level Data'!$L:$L, "&gt;=" &amp; ($X$2 - W$5),
          'Unit-Level Data'!$L:$L, "&lt;" &amp; $X$2,
          'Unit-Level Data'!$D:$D, INDIRECT("C"&amp;ROW()),
          'Unit-Level Data'!$B:$B, INDIRECT("B"&amp;ROW()))</f>
        <v>0</v>
      </c>
      <c r="Z310" s="761"/>
      <c r="AA310" s="735" cm="1">
        <f t="array" aca="true" ref="AA310" ca="true">IFERROR(AVERAGEIFS(
  unit_details[Sqft],
  unit_details[Property Name], INDIRECT("B"&amp;ROW()),
  unit_details[Floorplan Name], INDIRECT("C"&amp;ROW()),
  unit_details[Beds], INDIRECT("D"&amp;ROW()),
  unit_details[Detected Unit Amenities], "*"&amp;$AB$3&amp;"*",
  unit_details[Leased Date], "&gt;=" &amp; ($X$2 - $AD$3)
),0)</f>
        <v>0</v>
      </c>
      <c r="AB310" s="734" cm="1">
        <f t="array" aca="true" ref="AB3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0" s="733" cm="1">
        <f t="array" aca="true" ref="AC310" ca="true">IFERROR(COUNTIFS(
  unit_details[Property Name], INDIRECT("B"&amp;ROW()),
  unit_details[Floorplan Name], INDIRECT("C"&amp;ROW()),
  unit_details[Beds], INDIRECT("D"&amp;ROW()),
  unit_details[Detected Unit Amenities], "*"&amp;$AB$3&amp;"*",
  unit_details[Leased Date], "&gt;=" &amp; ($X$2 - $AD$3)
),0)</f>
        <v>0</v>
      </c>
      <c r="AD310" s="735" cm="1">
        <f t="array" aca="true" ref="AD310" ca="true">IFERROR(AVERAGEIFS(
  unit_details[Sqft],
  unit_details[Property Name], INDIRECT("B"&amp;ROW()),
  unit_details[Floorplan Name], INDIRECT("C"&amp;ROW()),
  unit_details[Beds], INDIRECT("D"&amp;ROW()),
  unit_details[Detected Unit Amenities], "&lt;&gt;*"&amp;$AB$3&amp;"*",
  unit_details[Leased Date], "&gt;=" &amp; ($X$2 - $AD$3)
),0)</f>
        <v>0</v>
      </c>
      <c r="AE310" s="734" cm="1">
        <f t="array" aca="true" ref="AE3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0" s="733" cm="1">
        <f t="array" aca="true" ref="AF310" ca="true">IFERROR(COUNTIFS(
  unit_details[Property Name], INDIRECT("B"&amp;ROW()),
  unit_details[Floorplan Name], INDIRECT("C"&amp;ROW()),
  unit_details[Beds], INDIRECT("D"&amp;ROW()),
  unit_details[Detected Unit Amenities], "&lt;&gt;*"&amp;$AB$3&amp;"*",
  unit_details[Leased Date], "&gt;=" &amp; ($X$2 - $AD$3)
),0)</f>
        <v>0</v>
      </c>
      <c r="AG310" s="735"/>
      <c r="AH310" s="738">
        <f t="shared" ca="true" si="10"/>
        <v>0</v>
      </c>
      <c r="AI310" s="739">
        <f t="shared" ca="true" si="11"/>
        <v>0</v>
      </c>
    </row>
    <row r="311" spans="2:35">
      <c r="B311" s="1"/>
      <c r="C311" s="80"/>
      <c r="E311" s="303"/>
      <c r="F311" s="303"/>
      <c r="J311" s="345"/>
      <c r="K311" s="6"/>
      <c r="M311" s="745"/>
      <c r="N311" s="738" t="str" cm="1">
        <f t="array" aca="true" ref="N311" ca="true">IFERROR(IF($O$3="Chunk Rent",
AVERAGEIFS('Unit-Level Data'!$O:$O,'Unit-Level Data'!$M:$M,TRUE,
          'Unit-Level Data'!$D:$D, INDIRECT("C"&amp;ROW()),
          'Unit-Level Data'!$B:$B, INDIRECT("B"&amp;ROW())),
AVERAGEIFS('Unit-Level Data'!$P:$P,'Unit-Level Data'!$M:$M,TRUE,
          'Unit-Level Data'!$D:$D, INDIRECT("C"&amp;ROW()),
          'Unit-Level Data'!$B:$B, INDIRECT("B"&amp;ROW()))),"")</f>
      </c>
      <c r="O311" s="760" t="str" cm="1">
        <f t="array" aca="true" ref="O311" ca="true">IFERROR(IF($O$3="Chunk Rent",
AVERAGEIFS('Unit-Level Data'!$Q:$Q,'Unit-Level Data'!$M:$M,TRUE,
          'Unit-Level Data'!$D:$D, INDIRECT("C"&amp;ROW()),
          'Unit-Level Data'!$B:$B, INDIRECT("B"&amp;ROW())),
AVERAGEIFS('Unit-Level Data'!$R:$R,'Unit-Level Data'!$M:$M,TRUE,
          'Unit-Level Data'!$D:$D, INDIRECT("C"&amp;ROW()),
          'Unit-Level Data'!$B:$B, INDIRECT("B"&amp;ROW()))),"")</f>
      </c>
      <c r="P311" s="733" cm="1">
        <f t="array" aca="true" ref="P311" ca="true">COUNTIFS('Unit-Level Data'!$M:$M,TRUE,
          'Unit-Level Data'!$D:$D, INDIRECT("C"&amp;ROW()),
          'Unit-Level Data'!$B:$B, INDIRECT("B"&amp;ROW()))</f>
        <v>0</v>
      </c>
      <c r="Q311" s="738" t="str" cm="1">
        <f t="array" aca="true" ref="Q3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1" s="760" t="str" cm="1">
        <f t="array" aca="true" ref="R3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1" s="733" cm="1">
        <f t="array" aca="true" ref="S311" ca="true">COUNTIFS('Unit-Level Data'!$L:$L, "&gt;=" &amp; ($X$2 - Q$5),
          'Unit-Level Data'!$L:$L, "&lt;" &amp; $X$2,
          'Unit-Level Data'!$D:$D, INDIRECT("C"&amp;ROW()),
          'Unit-Level Data'!$B:$B, INDIRECT("B"&amp;ROW()))</f>
        <v>0</v>
      </c>
      <c r="T311" s="738" t="str" cm="1">
        <f t="array" aca="true" ref="T3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1" s="760" t="str" cm="1">
        <f t="array" aca="true" ref="U3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1" s="733" cm="1">
        <f t="array" aca="true" ref="V311" ca="true">COUNTIFS('Unit-Level Data'!$L:$L, "&gt;=" &amp; ($X$2 - T$5),
          'Unit-Level Data'!$L:$L, "&lt;" &amp; $X$2,
          'Unit-Level Data'!$D:$D, INDIRECT("C"&amp;ROW()),
          'Unit-Level Data'!$B:$B, INDIRECT("B"&amp;ROW()))</f>
        <v>0</v>
      </c>
      <c r="W311" s="738" t="str" cm="1">
        <f t="array" aca="true" ref="W3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1" s="760" t="str" cm="1">
        <f t="array" aca="true" ref="X3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1" s="733" cm="1">
        <f t="array" aca="true" ref="Y311" ca="true">COUNTIFS('Unit-Level Data'!$L:$L, "&gt;=" &amp; ($X$2 - W$5),
          'Unit-Level Data'!$L:$L, "&lt;" &amp; $X$2,
          'Unit-Level Data'!$D:$D, INDIRECT("C"&amp;ROW()),
          'Unit-Level Data'!$B:$B, INDIRECT("B"&amp;ROW()))</f>
        <v>0</v>
      </c>
      <c r="Z311" s="761"/>
      <c r="AA311" s="735" cm="1">
        <f t="array" aca="true" ref="AA311" ca="true">IFERROR(AVERAGEIFS(
  unit_details[Sqft],
  unit_details[Property Name], INDIRECT("B"&amp;ROW()),
  unit_details[Floorplan Name], INDIRECT("C"&amp;ROW()),
  unit_details[Beds], INDIRECT("D"&amp;ROW()),
  unit_details[Detected Unit Amenities], "*"&amp;$AB$3&amp;"*",
  unit_details[Leased Date], "&gt;=" &amp; ($X$2 - $AD$3)
),0)</f>
        <v>0</v>
      </c>
      <c r="AB311" s="734" cm="1">
        <f t="array" aca="true" ref="AB3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1" s="733" cm="1">
        <f t="array" aca="true" ref="AC311" ca="true">IFERROR(COUNTIFS(
  unit_details[Property Name], INDIRECT("B"&amp;ROW()),
  unit_details[Floorplan Name], INDIRECT("C"&amp;ROW()),
  unit_details[Beds], INDIRECT("D"&amp;ROW()),
  unit_details[Detected Unit Amenities], "*"&amp;$AB$3&amp;"*",
  unit_details[Leased Date], "&gt;=" &amp; ($X$2 - $AD$3)
),0)</f>
        <v>0</v>
      </c>
      <c r="AD311" s="735" cm="1">
        <f t="array" aca="true" ref="AD311" ca="true">IFERROR(AVERAGEIFS(
  unit_details[Sqft],
  unit_details[Property Name], INDIRECT("B"&amp;ROW()),
  unit_details[Floorplan Name], INDIRECT("C"&amp;ROW()),
  unit_details[Beds], INDIRECT("D"&amp;ROW()),
  unit_details[Detected Unit Amenities], "&lt;&gt;*"&amp;$AB$3&amp;"*",
  unit_details[Leased Date], "&gt;=" &amp; ($X$2 - $AD$3)
),0)</f>
        <v>0</v>
      </c>
      <c r="AE311" s="734" cm="1">
        <f t="array" aca="true" ref="AE3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1" s="733" cm="1">
        <f t="array" aca="true" ref="AF311" ca="true">IFERROR(COUNTIFS(
  unit_details[Property Name], INDIRECT("B"&amp;ROW()),
  unit_details[Floorplan Name], INDIRECT("C"&amp;ROW()),
  unit_details[Beds], INDIRECT("D"&amp;ROW()),
  unit_details[Detected Unit Amenities], "&lt;&gt;*"&amp;$AB$3&amp;"*",
  unit_details[Leased Date], "&gt;=" &amp; ($X$2 - $AD$3)
),0)</f>
        <v>0</v>
      </c>
      <c r="AG311" s="735"/>
      <c r="AH311" s="738">
        <f t="shared" ca="true" si="10"/>
        <v>0</v>
      </c>
      <c r="AI311" s="739">
        <f t="shared" ca="true" si="11"/>
        <v>0</v>
      </c>
    </row>
    <row r="312" spans="2:35">
      <c r="B312" s="1"/>
      <c r="C312" s="80"/>
      <c r="E312" s="303"/>
      <c r="F312" s="303"/>
      <c r="J312" s="345"/>
      <c r="K312" s="6"/>
      <c r="M312" s="745"/>
      <c r="N312" s="738" t="str" cm="1">
        <f t="array" aca="true" ref="N312" ca="true">IFERROR(IF($O$3="Chunk Rent",
AVERAGEIFS('Unit-Level Data'!$O:$O,'Unit-Level Data'!$M:$M,TRUE,
          'Unit-Level Data'!$D:$D, INDIRECT("C"&amp;ROW()),
          'Unit-Level Data'!$B:$B, INDIRECT("B"&amp;ROW())),
AVERAGEIFS('Unit-Level Data'!$P:$P,'Unit-Level Data'!$M:$M,TRUE,
          'Unit-Level Data'!$D:$D, INDIRECT("C"&amp;ROW()),
          'Unit-Level Data'!$B:$B, INDIRECT("B"&amp;ROW()))),"")</f>
      </c>
      <c r="O312" s="760" t="str" cm="1">
        <f t="array" aca="true" ref="O312" ca="true">IFERROR(IF($O$3="Chunk Rent",
AVERAGEIFS('Unit-Level Data'!$Q:$Q,'Unit-Level Data'!$M:$M,TRUE,
          'Unit-Level Data'!$D:$D, INDIRECT("C"&amp;ROW()),
          'Unit-Level Data'!$B:$B, INDIRECT("B"&amp;ROW())),
AVERAGEIFS('Unit-Level Data'!$R:$R,'Unit-Level Data'!$M:$M,TRUE,
          'Unit-Level Data'!$D:$D, INDIRECT("C"&amp;ROW()),
          'Unit-Level Data'!$B:$B, INDIRECT("B"&amp;ROW()))),"")</f>
      </c>
      <c r="P312" s="733" cm="1">
        <f t="array" aca="true" ref="P312" ca="true">COUNTIFS('Unit-Level Data'!$M:$M,TRUE,
          'Unit-Level Data'!$D:$D, INDIRECT("C"&amp;ROW()),
          'Unit-Level Data'!$B:$B, INDIRECT("B"&amp;ROW()))</f>
        <v>0</v>
      </c>
      <c r="Q312" s="738" t="str" cm="1">
        <f t="array" aca="true" ref="Q3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2" s="760" t="str" cm="1">
        <f t="array" aca="true" ref="R3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2" s="733" cm="1">
        <f t="array" aca="true" ref="S312" ca="true">COUNTIFS('Unit-Level Data'!$L:$L, "&gt;=" &amp; ($X$2 - Q$5),
          'Unit-Level Data'!$L:$L, "&lt;" &amp; $X$2,
          'Unit-Level Data'!$D:$D, INDIRECT("C"&amp;ROW()),
          'Unit-Level Data'!$B:$B, INDIRECT("B"&amp;ROW()))</f>
        <v>0</v>
      </c>
      <c r="T312" s="738" t="str" cm="1">
        <f t="array" aca="true" ref="T3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2" s="760" t="str" cm="1">
        <f t="array" aca="true" ref="U3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2" s="733" cm="1">
        <f t="array" aca="true" ref="V312" ca="true">COUNTIFS('Unit-Level Data'!$L:$L, "&gt;=" &amp; ($X$2 - T$5),
          'Unit-Level Data'!$L:$L, "&lt;" &amp; $X$2,
          'Unit-Level Data'!$D:$D, INDIRECT("C"&amp;ROW()),
          'Unit-Level Data'!$B:$B, INDIRECT("B"&amp;ROW()))</f>
        <v>0</v>
      </c>
      <c r="W312" s="738" t="str" cm="1">
        <f t="array" aca="true" ref="W3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2" s="760" t="str" cm="1">
        <f t="array" aca="true" ref="X3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2" s="733" cm="1">
        <f t="array" aca="true" ref="Y312" ca="true">COUNTIFS('Unit-Level Data'!$L:$L, "&gt;=" &amp; ($X$2 - W$5),
          'Unit-Level Data'!$L:$L, "&lt;" &amp; $X$2,
          'Unit-Level Data'!$D:$D, INDIRECT("C"&amp;ROW()),
          'Unit-Level Data'!$B:$B, INDIRECT("B"&amp;ROW()))</f>
        <v>0</v>
      </c>
      <c r="Z312" s="761"/>
      <c r="AA312" s="735" cm="1">
        <f t="array" aca="true" ref="AA312" ca="true">IFERROR(AVERAGEIFS(
  unit_details[Sqft],
  unit_details[Property Name], INDIRECT("B"&amp;ROW()),
  unit_details[Floorplan Name], INDIRECT("C"&amp;ROW()),
  unit_details[Beds], INDIRECT("D"&amp;ROW()),
  unit_details[Detected Unit Amenities], "*"&amp;$AB$3&amp;"*",
  unit_details[Leased Date], "&gt;=" &amp; ($X$2 - $AD$3)
),0)</f>
        <v>0</v>
      </c>
      <c r="AB312" s="734" cm="1">
        <f t="array" aca="true" ref="AB3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2" s="733" cm="1">
        <f t="array" aca="true" ref="AC312" ca="true">IFERROR(COUNTIFS(
  unit_details[Property Name], INDIRECT("B"&amp;ROW()),
  unit_details[Floorplan Name], INDIRECT("C"&amp;ROW()),
  unit_details[Beds], INDIRECT("D"&amp;ROW()),
  unit_details[Detected Unit Amenities], "*"&amp;$AB$3&amp;"*",
  unit_details[Leased Date], "&gt;=" &amp; ($X$2 - $AD$3)
),0)</f>
        <v>0</v>
      </c>
      <c r="AD312" s="735" cm="1">
        <f t="array" aca="true" ref="AD312" ca="true">IFERROR(AVERAGEIFS(
  unit_details[Sqft],
  unit_details[Property Name], INDIRECT("B"&amp;ROW()),
  unit_details[Floorplan Name], INDIRECT("C"&amp;ROW()),
  unit_details[Beds], INDIRECT("D"&amp;ROW()),
  unit_details[Detected Unit Amenities], "&lt;&gt;*"&amp;$AB$3&amp;"*",
  unit_details[Leased Date], "&gt;=" &amp; ($X$2 - $AD$3)
),0)</f>
        <v>0</v>
      </c>
      <c r="AE312" s="734" cm="1">
        <f t="array" aca="true" ref="AE3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2" s="733" cm="1">
        <f t="array" aca="true" ref="AF312" ca="true">IFERROR(COUNTIFS(
  unit_details[Property Name], INDIRECT("B"&amp;ROW()),
  unit_details[Floorplan Name], INDIRECT("C"&amp;ROW()),
  unit_details[Beds], INDIRECT("D"&amp;ROW()),
  unit_details[Detected Unit Amenities], "&lt;&gt;*"&amp;$AB$3&amp;"*",
  unit_details[Leased Date], "&gt;=" &amp; ($X$2 - $AD$3)
),0)</f>
        <v>0</v>
      </c>
      <c r="AG312" s="735"/>
      <c r="AH312" s="738">
        <f t="shared" ca="true" si="10"/>
        <v>0</v>
      </c>
      <c r="AI312" s="739">
        <f t="shared" ca="true" si="11"/>
        <v>0</v>
      </c>
    </row>
    <row r="313" spans="2:35">
      <c r="B313" s="1"/>
      <c r="C313" s="80"/>
      <c r="E313" s="303"/>
      <c r="F313" s="303"/>
      <c r="J313" s="345"/>
      <c r="K313" s="6"/>
      <c r="M313" s="745"/>
      <c r="N313" s="738" t="str" cm="1">
        <f t="array" aca="true" ref="N313" ca="true">IFERROR(IF($O$3="Chunk Rent",
AVERAGEIFS('Unit-Level Data'!$O:$O,'Unit-Level Data'!$M:$M,TRUE,
          'Unit-Level Data'!$D:$D, INDIRECT("C"&amp;ROW()),
          'Unit-Level Data'!$B:$B, INDIRECT("B"&amp;ROW())),
AVERAGEIFS('Unit-Level Data'!$P:$P,'Unit-Level Data'!$M:$M,TRUE,
          'Unit-Level Data'!$D:$D, INDIRECT("C"&amp;ROW()),
          'Unit-Level Data'!$B:$B, INDIRECT("B"&amp;ROW()))),"")</f>
      </c>
      <c r="O313" s="760" t="str" cm="1">
        <f t="array" aca="true" ref="O313" ca="true">IFERROR(IF($O$3="Chunk Rent",
AVERAGEIFS('Unit-Level Data'!$Q:$Q,'Unit-Level Data'!$M:$M,TRUE,
          'Unit-Level Data'!$D:$D, INDIRECT("C"&amp;ROW()),
          'Unit-Level Data'!$B:$B, INDIRECT("B"&amp;ROW())),
AVERAGEIFS('Unit-Level Data'!$R:$R,'Unit-Level Data'!$M:$M,TRUE,
          'Unit-Level Data'!$D:$D, INDIRECT("C"&amp;ROW()),
          'Unit-Level Data'!$B:$B, INDIRECT("B"&amp;ROW()))),"")</f>
      </c>
      <c r="P313" s="733" cm="1">
        <f t="array" aca="true" ref="P313" ca="true">COUNTIFS('Unit-Level Data'!$M:$M,TRUE,
          'Unit-Level Data'!$D:$D, INDIRECT("C"&amp;ROW()),
          'Unit-Level Data'!$B:$B, INDIRECT("B"&amp;ROW()))</f>
        <v>0</v>
      </c>
      <c r="Q313" s="738" t="str" cm="1">
        <f t="array" aca="true" ref="Q3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3" s="760" t="str" cm="1">
        <f t="array" aca="true" ref="R3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3" s="733" cm="1">
        <f t="array" aca="true" ref="S313" ca="true">COUNTIFS('Unit-Level Data'!$L:$L, "&gt;=" &amp; ($X$2 - Q$5),
          'Unit-Level Data'!$L:$L, "&lt;" &amp; $X$2,
          'Unit-Level Data'!$D:$D, INDIRECT("C"&amp;ROW()),
          'Unit-Level Data'!$B:$B, INDIRECT("B"&amp;ROW()))</f>
        <v>0</v>
      </c>
      <c r="T313" s="738" t="str" cm="1">
        <f t="array" aca="true" ref="T3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3" s="760" t="str" cm="1">
        <f t="array" aca="true" ref="U3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3" s="733" cm="1">
        <f t="array" aca="true" ref="V313" ca="true">COUNTIFS('Unit-Level Data'!$L:$L, "&gt;=" &amp; ($X$2 - T$5),
          'Unit-Level Data'!$L:$L, "&lt;" &amp; $X$2,
          'Unit-Level Data'!$D:$D, INDIRECT("C"&amp;ROW()),
          'Unit-Level Data'!$B:$B, INDIRECT("B"&amp;ROW()))</f>
        <v>0</v>
      </c>
      <c r="W313" s="738" t="str" cm="1">
        <f t="array" aca="true" ref="W3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3" s="760" t="str" cm="1">
        <f t="array" aca="true" ref="X3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3" s="733" cm="1">
        <f t="array" aca="true" ref="Y313" ca="true">COUNTIFS('Unit-Level Data'!$L:$L, "&gt;=" &amp; ($X$2 - W$5),
          'Unit-Level Data'!$L:$L, "&lt;" &amp; $X$2,
          'Unit-Level Data'!$D:$D, INDIRECT("C"&amp;ROW()),
          'Unit-Level Data'!$B:$B, INDIRECT("B"&amp;ROW()))</f>
        <v>0</v>
      </c>
      <c r="Z313" s="761"/>
      <c r="AA313" s="735" cm="1">
        <f t="array" aca="true" ref="AA313" ca="true">IFERROR(AVERAGEIFS(
  unit_details[Sqft],
  unit_details[Property Name], INDIRECT("B"&amp;ROW()),
  unit_details[Floorplan Name], INDIRECT("C"&amp;ROW()),
  unit_details[Beds], INDIRECT("D"&amp;ROW()),
  unit_details[Detected Unit Amenities], "*"&amp;$AB$3&amp;"*",
  unit_details[Leased Date], "&gt;=" &amp; ($X$2 - $AD$3)
),0)</f>
        <v>0</v>
      </c>
      <c r="AB313" s="734" cm="1">
        <f t="array" aca="true" ref="AB3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3" s="733" cm="1">
        <f t="array" aca="true" ref="AC313" ca="true">IFERROR(COUNTIFS(
  unit_details[Property Name], INDIRECT("B"&amp;ROW()),
  unit_details[Floorplan Name], INDIRECT("C"&amp;ROW()),
  unit_details[Beds], INDIRECT("D"&amp;ROW()),
  unit_details[Detected Unit Amenities], "*"&amp;$AB$3&amp;"*",
  unit_details[Leased Date], "&gt;=" &amp; ($X$2 - $AD$3)
),0)</f>
        <v>0</v>
      </c>
      <c r="AD313" s="735" cm="1">
        <f t="array" aca="true" ref="AD313" ca="true">IFERROR(AVERAGEIFS(
  unit_details[Sqft],
  unit_details[Property Name], INDIRECT("B"&amp;ROW()),
  unit_details[Floorplan Name], INDIRECT("C"&amp;ROW()),
  unit_details[Beds], INDIRECT("D"&amp;ROW()),
  unit_details[Detected Unit Amenities], "&lt;&gt;*"&amp;$AB$3&amp;"*",
  unit_details[Leased Date], "&gt;=" &amp; ($X$2 - $AD$3)
),0)</f>
        <v>0</v>
      </c>
      <c r="AE313" s="734" cm="1">
        <f t="array" aca="true" ref="AE3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3" s="733" cm="1">
        <f t="array" aca="true" ref="AF313" ca="true">IFERROR(COUNTIFS(
  unit_details[Property Name], INDIRECT("B"&amp;ROW()),
  unit_details[Floorplan Name], INDIRECT("C"&amp;ROW()),
  unit_details[Beds], INDIRECT("D"&amp;ROW()),
  unit_details[Detected Unit Amenities], "&lt;&gt;*"&amp;$AB$3&amp;"*",
  unit_details[Leased Date], "&gt;=" &amp; ($X$2 - $AD$3)
),0)</f>
        <v>0</v>
      </c>
      <c r="AG313" s="735"/>
      <c r="AH313" s="738">
        <f t="shared" ca="true" si="10"/>
        <v>0</v>
      </c>
      <c r="AI313" s="739">
        <f t="shared" ca="true" si="11"/>
        <v>0</v>
      </c>
    </row>
    <row r="314" spans="2:35">
      <c r="B314" s="1"/>
      <c r="C314" s="80"/>
      <c r="E314" s="303"/>
      <c r="F314" s="303"/>
      <c r="J314" s="345"/>
      <c r="K314" s="6"/>
      <c r="M314" s="745"/>
      <c r="N314" s="738" t="str" cm="1">
        <f t="array" aca="true" ref="N314" ca="true">IFERROR(IF($O$3="Chunk Rent",
AVERAGEIFS('Unit-Level Data'!$O:$O,'Unit-Level Data'!$M:$M,TRUE,
          'Unit-Level Data'!$D:$D, INDIRECT("C"&amp;ROW()),
          'Unit-Level Data'!$B:$B, INDIRECT("B"&amp;ROW())),
AVERAGEIFS('Unit-Level Data'!$P:$P,'Unit-Level Data'!$M:$M,TRUE,
          'Unit-Level Data'!$D:$D, INDIRECT("C"&amp;ROW()),
          'Unit-Level Data'!$B:$B, INDIRECT("B"&amp;ROW()))),"")</f>
      </c>
      <c r="O314" s="760" t="str" cm="1">
        <f t="array" aca="true" ref="O314" ca="true">IFERROR(IF($O$3="Chunk Rent",
AVERAGEIFS('Unit-Level Data'!$Q:$Q,'Unit-Level Data'!$M:$M,TRUE,
          'Unit-Level Data'!$D:$D, INDIRECT("C"&amp;ROW()),
          'Unit-Level Data'!$B:$B, INDIRECT("B"&amp;ROW())),
AVERAGEIFS('Unit-Level Data'!$R:$R,'Unit-Level Data'!$M:$M,TRUE,
          'Unit-Level Data'!$D:$D, INDIRECT("C"&amp;ROW()),
          'Unit-Level Data'!$B:$B, INDIRECT("B"&amp;ROW()))),"")</f>
      </c>
      <c r="P314" s="733" cm="1">
        <f t="array" aca="true" ref="P314" ca="true">COUNTIFS('Unit-Level Data'!$M:$M,TRUE,
          'Unit-Level Data'!$D:$D, INDIRECT("C"&amp;ROW()),
          'Unit-Level Data'!$B:$B, INDIRECT("B"&amp;ROW()))</f>
        <v>0</v>
      </c>
      <c r="Q314" s="738" t="str" cm="1">
        <f t="array" aca="true" ref="Q3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4" s="760" t="str" cm="1">
        <f t="array" aca="true" ref="R3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4" s="733" cm="1">
        <f t="array" aca="true" ref="S314" ca="true">COUNTIFS('Unit-Level Data'!$L:$L, "&gt;=" &amp; ($X$2 - Q$5),
          'Unit-Level Data'!$L:$L, "&lt;" &amp; $X$2,
          'Unit-Level Data'!$D:$D, INDIRECT("C"&amp;ROW()),
          'Unit-Level Data'!$B:$B, INDIRECT("B"&amp;ROW()))</f>
        <v>0</v>
      </c>
      <c r="T314" s="738" t="str" cm="1">
        <f t="array" aca="true" ref="T3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4" s="760" t="str" cm="1">
        <f t="array" aca="true" ref="U3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4" s="733" cm="1">
        <f t="array" aca="true" ref="V314" ca="true">COUNTIFS('Unit-Level Data'!$L:$L, "&gt;=" &amp; ($X$2 - T$5),
          'Unit-Level Data'!$L:$L, "&lt;" &amp; $X$2,
          'Unit-Level Data'!$D:$D, INDIRECT("C"&amp;ROW()),
          'Unit-Level Data'!$B:$B, INDIRECT("B"&amp;ROW()))</f>
        <v>0</v>
      </c>
      <c r="W314" s="738" t="str" cm="1">
        <f t="array" aca="true" ref="W3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4" s="760" t="str" cm="1">
        <f t="array" aca="true" ref="X3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4" s="733" cm="1">
        <f t="array" aca="true" ref="Y314" ca="true">COUNTIFS('Unit-Level Data'!$L:$L, "&gt;=" &amp; ($X$2 - W$5),
          'Unit-Level Data'!$L:$L, "&lt;" &amp; $X$2,
          'Unit-Level Data'!$D:$D, INDIRECT("C"&amp;ROW()),
          'Unit-Level Data'!$B:$B, INDIRECT("B"&amp;ROW()))</f>
        <v>0</v>
      </c>
      <c r="Z314" s="761"/>
      <c r="AA314" s="735" cm="1">
        <f t="array" aca="true" ref="AA314" ca="true">IFERROR(AVERAGEIFS(
  unit_details[Sqft],
  unit_details[Property Name], INDIRECT("B"&amp;ROW()),
  unit_details[Floorplan Name], INDIRECT("C"&amp;ROW()),
  unit_details[Beds], INDIRECT("D"&amp;ROW()),
  unit_details[Detected Unit Amenities], "*"&amp;$AB$3&amp;"*",
  unit_details[Leased Date], "&gt;=" &amp; ($X$2 - $AD$3)
),0)</f>
        <v>0</v>
      </c>
      <c r="AB314" s="734" cm="1">
        <f t="array" aca="true" ref="AB3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4" s="733" cm="1">
        <f t="array" aca="true" ref="AC314" ca="true">IFERROR(COUNTIFS(
  unit_details[Property Name], INDIRECT("B"&amp;ROW()),
  unit_details[Floorplan Name], INDIRECT("C"&amp;ROW()),
  unit_details[Beds], INDIRECT("D"&amp;ROW()),
  unit_details[Detected Unit Amenities], "*"&amp;$AB$3&amp;"*",
  unit_details[Leased Date], "&gt;=" &amp; ($X$2 - $AD$3)
),0)</f>
        <v>0</v>
      </c>
      <c r="AD314" s="735" cm="1">
        <f t="array" aca="true" ref="AD314" ca="true">IFERROR(AVERAGEIFS(
  unit_details[Sqft],
  unit_details[Property Name], INDIRECT("B"&amp;ROW()),
  unit_details[Floorplan Name], INDIRECT("C"&amp;ROW()),
  unit_details[Beds], INDIRECT("D"&amp;ROW()),
  unit_details[Detected Unit Amenities], "&lt;&gt;*"&amp;$AB$3&amp;"*",
  unit_details[Leased Date], "&gt;=" &amp; ($X$2 - $AD$3)
),0)</f>
        <v>0</v>
      </c>
      <c r="AE314" s="734" cm="1">
        <f t="array" aca="true" ref="AE3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4" s="733" cm="1">
        <f t="array" aca="true" ref="AF314" ca="true">IFERROR(COUNTIFS(
  unit_details[Property Name], INDIRECT("B"&amp;ROW()),
  unit_details[Floorplan Name], INDIRECT("C"&amp;ROW()),
  unit_details[Beds], INDIRECT("D"&amp;ROW()),
  unit_details[Detected Unit Amenities], "&lt;&gt;*"&amp;$AB$3&amp;"*",
  unit_details[Leased Date], "&gt;=" &amp; ($X$2 - $AD$3)
),0)</f>
        <v>0</v>
      </c>
      <c r="AG314" s="735"/>
      <c r="AH314" s="738">
        <f t="shared" ca="true" si="10"/>
        <v>0</v>
      </c>
      <c r="AI314" s="739">
        <f t="shared" ca="true" si="11"/>
        <v>0</v>
      </c>
    </row>
    <row r="315" spans="2:35">
      <c r="B315" s="1"/>
      <c r="C315" s="80"/>
      <c r="E315" s="303"/>
      <c r="F315" s="303"/>
      <c r="J315" s="345"/>
      <c r="K315" s="6"/>
      <c r="M315" s="745"/>
      <c r="N315" s="738" t="str" cm="1">
        <f t="array" aca="true" ref="N315" ca="true">IFERROR(IF($O$3="Chunk Rent",
AVERAGEIFS('Unit-Level Data'!$O:$O,'Unit-Level Data'!$M:$M,TRUE,
          'Unit-Level Data'!$D:$D, INDIRECT("C"&amp;ROW()),
          'Unit-Level Data'!$B:$B, INDIRECT("B"&amp;ROW())),
AVERAGEIFS('Unit-Level Data'!$P:$P,'Unit-Level Data'!$M:$M,TRUE,
          'Unit-Level Data'!$D:$D, INDIRECT("C"&amp;ROW()),
          'Unit-Level Data'!$B:$B, INDIRECT("B"&amp;ROW()))),"")</f>
      </c>
      <c r="O315" s="760" t="str" cm="1">
        <f t="array" aca="true" ref="O315" ca="true">IFERROR(IF($O$3="Chunk Rent",
AVERAGEIFS('Unit-Level Data'!$Q:$Q,'Unit-Level Data'!$M:$M,TRUE,
          'Unit-Level Data'!$D:$D, INDIRECT("C"&amp;ROW()),
          'Unit-Level Data'!$B:$B, INDIRECT("B"&amp;ROW())),
AVERAGEIFS('Unit-Level Data'!$R:$R,'Unit-Level Data'!$M:$M,TRUE,
          'Unit-Level Data'!$D:$D, INDIRECT("C"&amp;ROW()),
          'Unit-Level Data'!$B:$B, INDIRECT("B"&amp;ROW()))),"")</f>
      </c>
      <c r="P315" s="733" cm="1">
        <f t="array" aca="true" ref="P315" ca="true">COUNTIFS('Unit-Level Data'!$M:$M,TRUE,
          'Unit-Level Data'!$D:$D, INDIRECT("C"&amp;ROW()),
          'Unit-Level Data'!$B:$B, INDIRECT("B"&amp;ROW()))</f>
        <v>0</v>
      </c>
      <c r="Q315" s="738" t="str" cm="1">
        <f t="array" aca="true" ref="Q3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5" s="760" t="str" cm="1">
        <f t="array" aca="true" ref="R3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5" s="733" cm="1">
        <f t="array" aca="true" ref="S315" ca="true">COUNTIFS('Unit-Level Data'!$L:$L, "&gt;=" &amp; ($X$2 - Q$5),
          'Unit-Level Data'!$L:$L, "&lt;" &amp; $X$2,
          'Unit-Level Data'!$D:$D, INDIRECT("C"&amp;ROW()),
          'Unit-Level Data'!$B:$B, INDIRECT("B"&amp;ROW()))</f>
        <v>0</v>
      </c>
      <c r="T315" s="738" t="str" cm="1">
        <f t="array" aca="true" ref="T3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5" s="760" t="str" cm="1">
        <f t="array" aca="true" ref="U3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5" s="733" cm="1">
        <f t="array" aca="true" ref="V315" ca="true">COUNTIFS('Unit-Level Data'!$L:$L, "&gt;=" &amp; ($X$2 - T$5),
          'Unit-Level Data'!$L:$L, "&lt;" &amp; $X$2,
          'Unit-Level Data'!$D:$D, INDIRECT("C"&amp;ROW()),
          'Unit-Level Data'!$B:$B, INDIRECT("B"&amp;ROW()))</f>
        <v>0</v>
      </c>
      <c r="W315" s="738" t="str" cm="1">
        <f t="array" aca="true" ref="W3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5" s="760" t="str" cm="1">
        <f t="array" aca="true" ref="X3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5" s="733" cm="1">
        <f t="array" aca="true" ref="Y315" ca="true">COUNTIFS('Unit-Level Data'!$L:$L, "&gt;=" &amp; ($X$2 - W$5),
          'Unit-Level Data'!$L:$L, "&lt;" &amp; $X$2,
          'Unit-Level Data'!$D:$D, INDIRECT("C"&amp;ROW()),
          'Unit-Level Data'!$B:$B, INDIRECT("B"&amp;ROW()))</f>
        <v>0</v>
      </c>
      <c r="Z315" s="761"/>
      <c r="AA315" s="735" cm="1">
        <f t="array" aca="true" ref="AA315" ca="true">IFERROR(AVERAGEIFS(
  unit_details[Sqft],
  unit_details[Property Name], INDIRECT("B"&amp;ROW()),
  unit_details[Floorplan Name], INDIRECT("C"&amp;ROW()),
  unit_details[Beds], INDIRECT("D"&amp;ROW()),
  unit_details[Detected Unit Amenities], "*"&amp;$AB$3&amp;"*",
  unit_details[Leased Date], "&gt;=" &amp; ($X$2 - $AD$3)
),0)</f>
        <v>0</v>
      </c>
      <c r="AB315" s="734" cm="1">
        <f t="array" aca="true" ref="AB3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5" s="733" cm="1">
        <f t="array" aca="true" ref="AC315" ca="true">IFERROR(COUNTIFS(
  unit_details[Property Name], INDIRECT("B"&amp;ROW()),
  unit_details[Floorplan Name], INDIRECT("C"&amp;ROW()),
  unit_details[Beds], INDIRECT("D"&amp;ROW()),
  unit_details[Detected Unit Amenities], "*"&amp;$AB$3&amp;"*",
  unit_details[Leased Date], "&gt;=" &amp; ($X$2 - $AD$3)
),0)</f>
        <v>0</v>
      </c>
      <c r="AD315" s="735" cm="1">
        <f t="array" aca="true" ref="AD315" ca="true">IFERROR(AVERAGEIFS(
  unit_details[Sqft],
  unit_details[Property Name], INDIRECT("B"&amp;ROW()),
  unit_details[Floorplan Name], INDIRECT("C"&amp;ROW()),
  unit_details[Beds], INDIRECT("D"&amp;ROW()),
  unit_details[Detected Unit Amenities], "&lt;&gt;*"&amp;$AB$3&amp;"*",
  unit_details[Leased Date], "&gt;=" &amp; ($X$2 - $AD$3)
),0)</f>
        <v>0</v>
      </c>
      <c r="AE315" s="734" cm="1">
        <f t="array" aca="true" ref="AE3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5" s="733" cm="1">
        <f t="array" aca="true" ref="AF315" ca="true">IFERROR(COUNTIFS(
  unit_details[Property Name], INDIRECT("B"&amp;ROW()),
  unit_details[Floorplan Name], INDIRECT("C"&amp;ROW()),
  unit_details[Beds], INDIRECT("D"&amp;ROW()),
  unit_details[Detected Unit Amenities], "&lt;&gt;*"&amp;$AB$3&amp;"*",
  unit_details[Leased Date], "&gt;=" &amp; ($X$2 - $AD$3)
),0)</f>
        <v>0</v>
      </c>
      <c r="AG315" s="735"/>
      <c r="AH315" s="738">
        <f t="shared" ca="true" si="10"/>
        <v>0</v>
      </c>
      <c r="AI315" s="739">
        <f t="shared" ca="true" si="11"/>
        <v>0</v>
      </c>
    </row>
    <row r="316" spans="2:35">
      <c r="B316" s="1"/>
      <c r="C316" s="80"/>
      <c r="E316" s="303"/>
      <c r="F316" s="303"/>
      <c r="J316" s="345"/>
      <c r="K316" s="6"/>
      <c r="M316" s="745"/>
      <c r="N316" s="738" t="str" cm="1">
        <f t="array" aca="true" ref="N316" ca="true">IFERROR(IF($O$3="Chunk Rent",
AVERAGEIFS('Unit-Level Data'!$O:$O,'Unit-Level Data'!$M:$M,TRUE,
          'Unit-Level Data'!$D:$D, INDIRECT("C"&amp;ROW()),
          'Unit-Level Data'!$B:$B, INDIRECT("B"&amp;ROW())),
AVERAGEIFS('Unit-Level Data'!$P:$P,'Unit-Level Data'!$M:$M,TRUE,
          'Unit-Level Data'!$D:$D, INDIRECT("C"&amp;ROW()),
          'Unit-Level Data'!$B:$B, INDIRECT("B"&amp;ROW()))),"")</f>
      </c>
      <c r="O316" s="760" t="str" cm="1">
        <f t="array" aca="true" ref="O316" ca="true">IFERROR(IF($O$3="Chunk Rent",
AVERAGEIFS('Unit-Level Data'!$Q:$Q,'Unit-Level Data'!$M:$M,TRUE,
          'Unit-Level Data'!$D:$D, INDIRECT("C"&amp;ROW()),
          'Unit-Level Data'!$B:$B, INDIRECT("B"&amp;ROW())),
AVERAGEIFS('Unit-Level Data'!$R:$R,'Unit-Level Data'!$M:$M,TRUE,
          'Unit-Level Data'!$D:$D, INDIRECT("C"&amp;ROW()),
          'Unit-Level Data'!$B:$B, INDIRECT("B"&amp;ROW()))),"")</f>
      </c>
      <c r="P316" s="733" cm="1">
        <f t="array" aca="true" ref="P316" ca="true">COUNTIFS('Unit-Level Data'!$M:$M,TRUE,
          'Unit-Level Data'!$D:$D, INDIRECT("C"&amp;ROW()),
          'Unit-Level Data'!$B:$B, INDIRECT("B"&amp;ROW()))</f>
        <v>0</v>
      </c>
      <c r="Q316" s="738" t="str" cm="1">
        <f t="array" aca="true" ref="Q3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6" s="760" t="str" cm="1">
        <f t="array" aca="true" ref="R3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6" s="733" cm="1">
        <f t="array" aca="true" ref="S316" ca="true">COUNTIFS('Unit-Level Data'!$L:$L, "&gt;=" &amp; ($X$2 - Q$5),
          'Unit-Level Data'!$L:$L, "&lt;" &amp; $X$2,
          'Unit-Level Data'!$D:$D, INDIRECT("C"&amp;ROW()),
          'Unit-Level Data'!$B:$B, INDIRECT("B"&amp;ROW()))</f>
        <v>0</v>
      </c>
      <c r="T316" s="738" t="str" cm="1">
        <f t="array" aca="true" ref="T3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6" s="760" t="str" cm="1">
        <f t="array" aca="true" ref="U3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6" s="733" cm="1">
        <f t="array" aca="true" ref="V316" ca="true">COUNTIFS('Unit-Level Data'!$L:$L, "&gt;=" &amp; ($X$2 - T$5),
          'Unit-Level Data'!$L:$L, "&lt;" &amp; $X$2,
          'Unit-Level Data'!$D:$D, INDIRECT("C"&amp;ROW()),
          'Unit-Level Data'!$B:$B, INDIRECT("B"&amp;ROW()))</f>
        <v>0</v>
      </c>
      <c r="W316" s="738" t="str" cm="1">
        <f t="array" aca="true" ref="W3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6" s="760" t="str" cm="1">
        <f t="array" aca="true" ref="X3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6" s="733" cm="1">
        <f t="array" aca="true" ref="Y316" ca="true">COUNTIFS('Unit-Level Data'!$L:$L, "&gt;=" &amp; ($X$2 - W$5),
          'Unit-Level Data'!$L:$L, "&lt;" &amp; $X$2,
          'Unit-Level Data'!$D:$D, INDIRECT("C"&amp;ROW()),
          'Unit-Level Data'!$B:$B, INDIRECT("B"&amp;ROW()))</f>
        <v>0</v>
      </c>
      <c r="Z316" s="761"/>
      <c r="AA316" s="735" cm="1">
        <f t="array" aca="true" ref="AA316" ca="true">IFERROR(AVERAGEIFS(
  unit_details[Sqft],
  unit_details[Property Name], INDIRECT("B"&amp;ROW()),
  unit_details[Floorplan Name], INDIRECT("C"&amp;ROW()),
  unit_details[Beds], INDIRECT("D"&amp;ROW()),
  unit_details[Detected Unit Amenities], "*"&amp;$AB$3&amp;"*",
  unit_details[Leased Date], "&gt;=" &amp; ($X$2 - $AD$3)
),0)</f>
        <v>0</v>
      </c>
      <c r="AB316" s="734" cm="1">
        <f t="array" aca="true" ref="AB3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6" s="733" cm="1">
        <f t="array" aca="true" ref="AC316" ca="true">IFERROR(COUNTIFS(
  unit_details[Property Name], INDIRECT("B"&amp;ROW()),
  unit_details[Floorplan Name], INDIRECT("C"&amp;ROW()),
  unit_details[Beds], INDIRECT("D"&amp;ROW()),
  unit_details[Detected Unit Amenities], "*"&amp;$AB$3&amp;"*",
  unit_details[Leased Date], "&gt;=" &amp; ($X$2 - $AD$3)
),0)</f>
        <v>0</v>
      </c>
      <c r="AD316" s="735" cm="1">
        <f t="array" aca="true" ref="AD316" ca="true">IFERROR(AVERAGEIFS(
  unit_details[Sqft],
  unit_details[Property Name], INDIRECT("B"&amp;ROW()),
  unit_details[Floorplan Name], INDIRECT("C"&amp;ROW()),
  unit_details[Beds], INDIRECT("D"&amp;ROW()),
  unit_details[Detected Unit Amenities], "&lt;&gt;*"&amp;$AB$3&amp;"*",
  unit_details[Leased Date], "&gt;=" &amp; ($X$2 - $AD$3)
),0)</f>
        <v>0</v>
      </c>
      <c r="AE316" s="734" cm="1">
        <f t="array" aca="true" ref="AE3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6" s="733" cm="1">
        <f t="array" aca="true" ref="AF316" ca="true">IFERROR(COUNTIFS(
  unit_details[Property Name], INDIRECT("B"&amp;ROW()),
  unit_details[Floorplan Name], INDIRECT("C"&amp;ROW()),
  unit_details[Beds], INDIRECT("D"&amp;ROW()),
  unit_details[Detected Unit Amenities], "&lt;&gt;*"&amp;$AB$3&amp;"*",
  unit_details[Leased Date], "&gt;=" &amp; ($X$2 - $AD$3)
),0)</f>
        <v>0</v>
      </c>
      <c r="AG316" s="735"/>
      <c r="AH316" s="738">
        <f t="shared" ca="true" si="10"/>
        <v>0</v>
      </c>
      <c r="AI316" s="739">
        <f t="shared" ca="true" si="11"/>
        <v>0</v>
      </c>
    </row>
    <row r="317" spans="2:35">
      <c r="B317" s="1"/>
      <c r="C317" s="80"/>
      <c r="E317" s="303"/>
      <c r="F317" s="303"/>
      <c r="J317" s="345"/>
      <c r="K317" s="6"/>
      <c r="M317" s="745"/>
      <c r="N317" s="738" t="str" cm="1">
        <f t="array" aca="true" ref="N317" ca="true">IFERROR(IF($O$3="Chunk Rent",
AVERAGEIFS('Unit-Level Data'!$O:$O,'Unit-Level Data'!$M:$M,TRUE,
          'Unit-Level Data'!$D:$D, INDIRECT("C"&amp;ROW()),
          'Unit-Level Data'!$B:$B, INDIRECT("B"&amp;ROW())),
AVERAGEIFS('Unit-Level Data'!$P:$P,'Unit-Level Data'!$M:$M,TRUE,
          'Unit-Level Data'!$D:$D, INDIRECT("C"&amp;ROW()),
          'Unit-Level Data'!$B:$B, INDIRECT("B"&amp;ROW()))),"")</f>
      </c>
      <c r="O317" s="760" t="str" cm="1">
        <f t="array" aca="true" ref="O317" ca="true">IFERROR(IF($O$3="Chunk Rent",
AVERAGEIFS('Unit-Level Data'!$Q:$Q,'Unit-Level Data'!$M:$M,TRUE,
          'Unit-Level Data'!$D:$D, INDIRECT("C"&amp;ROW()),
          'Unit-Level Data'!$B:$B, INDIRECT("B"&amp;ROW())),
AVERAGEIFS('Unit-Level Data'!$R:$R,'Unit-Level Data'!$M:$M,TRUE,
          'Unit-Level Data'!$D:$D, INDIRECT("C"&amp;ROW()),
          'Unit-Level Data'!$B:$B, INDIRECT("B"&amp;ROW()))),"")</f>
      </c>
      <c r="P317" s="733" cm="1">
        <f t="array" aca="true" ref="P317" ca="true">COUNTIFS('Unit-Level Data'!$M:$M,TRUE,
          'Unit-Level Data'!$D:$D, INDIRECT("C"&amp;ROW()),
          'Unit-Level Data'!$B:$B, INDIRECT("B"&amp;ROW()))</f>
        <v>0</v>
      </c>
      <c r="Q317" s="738" t="str" cm="1">
        <f t="array" aca="true" ref="Q3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7" s="760" t="str" cm="1">
        <f t="array" aca="true" ref="R3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7" s="733" cm="1">
        <f t="array" aca="true" ref="S317" ca="true">COUNTIFS('Unit-Level Data'!$L:$L, "&gt;=" &amp; ($X$2 - Q$5),
          'Unit-Level Data'!$L:$L, "&lt;" &amp; $X$2,
          'Unit-Level Data'!$D:$D, INDIRECT("C"&amp;ROW()),
          'Unit-Level Data'!$B:$B, INDIRECT("B"&amp;ROW()))</f>
        <v>0</v>
      </c>
      <c r="T317" s="738" t="str" cm="1">
        <f t="array" aca="true" ref="T3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7" s="760" t="str" cm="1">
        <f t="array" aca="true" ref="U3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7" s="733" cm="1">
        <f t="array" aca="true" ref="V317" ca="true">COUNTIFS('Unit-Level Data'!$L:$L, "&gt;=" &amp; ($X$2 - T$5),
          'Unit-Level Data'!$L:$L, "&lt;" &amp; $X$2,
          'Unit-Level Data'!$D:$D, INDIRECT("C"&amp;ROW()),
          'Unit-Level Data'!$B:$B, INDIRECT("B"&amp;ROW()))</f>
        <v>0</v>
      </c>
      <c r="W317" s="738" t="str" cm="1">
        <f t="array" aca="true" ref="W3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7" s="760" t="str" cm="1">
        <f t="array" aca="true" ref="X3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7" s="733" cm="1">
        <f t="array" aca="true" ref="Y317" ca="true">COUNTIFS('Unit-Level Data'!$L:$L, "&gt;=" &amp; ($X$2 - W$5),
          'Unit-Level Data'!$L:$L, "&lt;" &amp; $X$2,
          'Unit-Level Data'!$D:$D, INDIRECT("C"&amp;ROW()),
          'Unit-Level Data'!$B:$B, INDIRECT("B"&amp;ROW()))</f>
        <v>0</v>
      </c>
      <c r="Z317" s="761"/>
      <c r="AA317" s="735" cm="1">
        <f t="array" aca="true" ref="AA317" ca="true">IFERROR(AVERAGEIFS(
  unit_details[Sqft],
  unit_details[Property Name], INDIRECT("B"&amp;ROW()),
  unit_details[Floorplan Name], INDIRECT("C"&amp;ROW()),
  unit_details[Beds], INDIRECT("D"&amp;ROW()),
  unit_details[Detected Unit Amenities], "*"&amp;$AB$3&amp;"*",
  unit_details[Leased Date], "&gt;=" &amp; ($X$2 - $AD$3)
),0)</f>
        <v>0</v>
      </c>
      <c r="AB317" s="734" cm="1">
        <f t="array" aca="true" ref="AB3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7" s="733" cm="1">
        <f t="array" aca="true" ref="AC317" ca="true">IFERROR(COUNTIFS(
  unit_details[Property Name], INDIRECT("B"&amp;ROW()),
  unit_details[Floorplan Name], INDIRECT("C"&amp;ROW()),
  unit_details[Beds], INDIRECT("D"&amp;ROW()),
  unit_details[Detected Unit Amenities], "*"&amp;$AB$3&amp;"*",
  unit_details[Leased Date], "&gt;=" &amp; ($X$2 - $AD$3)
),0)</f>
        <v>0</v>
      </c>
      <c r="AD317" s="735" cm="1">
        <f t="array" aca="true" ref="AD317" ca="true">IFERROR(AVERAGEIFS(
  unit_details[Sqft],
  unit_details[Property Name], INDIRECT("B"&amp;ROW()),
  unit_details[Floorplan Name], INDIRECT("C"&amp;ROW()),
  unit_details[Beds], INDIRECT("D"&amp;ROW()),
  unit_details[Detected Unit Amenities], "&lt;&gt;*"&amp;$AB$3&amp;"*",
  unit_details[Leased Date], "&gt;=" &amp; ($X$2 - $AD$3)
),0)</f>
        <v>0</v>
      </c>
      <c r="AE317" s="734" cm="1">
        <f t="array" aca="true" ref="AE3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7" s="733" cm="1">
        <f t="array" aca="true" ref="AF317" ca="true">IFERROR(COUNTIFS(
  unit_details[Property Name], INDIRECT("B"&amp;ROW()),
  unit_details[Floorplan Name], INDIRECT("C"&amp;ROW()),
  unit_details[Beds], INDIRECT("D"&amp;ROW()),
  unit_details[Detected Unit Amenities], "&lt;&gt;*"&amp;$AB$3&amp;"*",
  unit_details[Leased Date], "&gt;=" &amp; ($X$2 - $AD$3)
),0)</f>
        <v>0</v>
      </c>
      <c r="AG317" s="735"/>
      <c r="AH317" s="738">
        <f t="shared" ca="true" si="10"/>
        <v>0</v>
      </c>
      <c r="AI317" s="739">
        <f t="shared" ca="true" si="11"/>
        <v>0</v>
      </c>
    </row>
    <row r="318" spans="2:35">
      <c r="B318" s="1"/>
      <c r="C318" s="80"/>
      <c r="E318" s="303"/>
      <c r="F318" s="303"/>
      <c r="J318" s="345"/>
      <c r="K318" s="6"/>
      <c r="M318" s="745"/>
      <c r="N318" s="738" t="str" cm="1">
        <f t="array" aca="true" ref="N318" ca="true">IFERROR(IF($O$3="Chunk Rent",
AVERAGEIFS('Unit-Level Data'!$O:$O,'Unit-Level Data'!$M:$M,TRUE,
          'Unit-Level Data'!$D:$D, INDIRECT("C"&amp;ROW()),
          'Unit-Level Data'!$B:$B, INDIRECT("B"&amp;ROW())),
AVERAGEIFS('Unit-Level Data'!$P:$P,'Unit-Level Data'!$M:$M,TRUE,
          'Unit-Level Data'!$D:$D, INDIRECT("C"&amp;ROW()),
          'Unit-Level Data'!$B:$B, INDIRECT("B"&amp;ROW()))),"")</f>
      </c>
      <c r="O318" s="760" t="str" cm="1">
        <f t="array" aca="true" ref="O318" ca="true">IFERROR(IF($O$3="Chunk Rent",
AVERAGEIFS('Unit-Level Data'!$Q:$Q,'Unit-Level Data'!$M:$M,TRUE,
          'Unit-Level Data'!$D:$D, INDIRECT("C"&amp;ROW()),
          'Unit-Level Data'!$B:$B, INDIRECT("B"&amp;ROW())),
AVERAGEIFS('Unit-Level Data'!$R:$R,'Unit-Level Data'!$M:$M,TRUE,
          'Unit-Level Data'!$D:$D, INDIRECT("C"&amp;ROW()),
          'Unit-Level Data'!$B:$B, INDIRECT("B"&amp;ROW()))),"")</f>
      </c>
      <c r="P318" s="733" cm="1">
        <f t="array" aca="true" ref="P318" ca="true">COUNTIFS('Unit-Level Data'!$M:$M,TRUE,
          'Unit-Level Data'!$D:$D, INDIRECT("C"&amp;ROW()),
          'Unit-Level Data'!$B:$B, INDIRECT("B"&amp;ROW()))</f>
        <v>0</v>
      </c>
      <c r="Q318" s="738" t="str" cm="1">
        <f t="array" aca="true" ref="Q3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8" s="760" t="str" cm="1">
        <f t="array" aca="true" ref="R3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8" s="733" cm="1">
        <f t="array" aca="true" ref="S318" ca="true">COUNTIFS('Unit-Level Data'!$L:$L, "&gt;=" &amp; ($X$2 - Q$5),
          'Unit-Level Data'!$L:$L, "&lt;" &amp; $X$2,
          'Unit-Level Data'!$D:$D, INDIRECT("C"&amp;ROW()),
          'Unit-Level Data'!$B:$B, INDIRECT("B"&amp;ROW()))</f>
        <v>0</v>
      </c>
      <c r="T318" s="738" t="str" cm="1">
        <f t="array" aca="true" ref="T3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8" s="760" t="str" cm="1">
        <f t="array" aca="true" ref="U3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8" s="733" cm="1">
        <f t="array" aca="true" ref="V318" ca="true">COUNTIFS('Unit-Level Data'!$L:$L, "&gt;=" &amp; ($X$2 - T$5),
          'Unit-Level Data'!$L:$L, "&lt;" &amp; $X$2,
          'Unit-Level Data'!$D:$D, INDIRECT("C"&amp;ROW()),
          'Unit-Level Data'!$B:$B, INDIRECT("B"&amp;ROW()))</f>
        <v>0</v>
      </c>
      <c r="W318" s="738" t="str" cm="1">
        <f t="array" aca="true" ref="W3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8" s="760" t="str" cm="1">
        <f t="array" aca="true" ref="X3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8" s="733" cm="1">
        <f t="array" aca="true" ref="Y318" ca="true">COUNTIFS('Unit-Level Data'!$L:$L, "&gt;=" &amp; ($X$2 - W$5),
          'Unit-Level Data'!$L:$L, "&lt;" &amp; $X$2,
          'Unit-Level Data'!$D:$D, INDIRECT("C"&amp;ROW()),
          'Unit-Level Data'!$B:$B, INDIRECT("B"&amp;ROW()))</f>
        <v>0</v>
      </c>
      <c r="Z318" s="761"/>
      <c r="AA318" s="735" cm="1">
        <f t="array" aca="true" ref="AA318" ca="true">IFERROR(AVERAGEIFS(
  unit_details[Sqft],
  unit_details[Property Name], INDIRECT("B"&amp;ROW()),
  unit_details[Floorplan Name], INDIRECT("C"&amp;ROW()),
  unit_details[Beds], INDIRECT("D"&amp;ROW()),
  unit_details[Detected Unit Amenities], "*"&amp;$AB$3&amp;"*",
  unit_details[Leased Date], "&gt;=" &amp; ($X$2 - $AD$3)
),0)</f>
        <v>0</v>
      </c>
      <c r="AB318" s="734" cm="1">
        <f t="array" aca="true" ref="AB3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8" s="733" cm="1">
        <f t="array" aca="true" ref="AC318" ca="true">IFERROR(COUNTIFS(
  unit_details[Property Name], INDIRECT("B"&amp;ROW()),
  unit_details[Floorplan Name], INDIRECT("C"&amp;ROW()),
  unit_details[Beds], INDIRECT("D"&amp;ROW()),
  unit_details[Detected Unit Amenities], "*"&amp;$AB$3&amp;"*",
  unit_details[Leased Date], "&gt;=" &amp; ($X$2 - $AD$3)
),0)</f>
        <v>0</v>
      </c>
      <c r="AD318" s="735" cm="1">
        <f t="array" aca="true" ref="AD318" ca="true">IFERROR(AVERAGEIFS(
  unit_details[Sqft],
  unit_details[Property Name], INDIRECT("B"&amp;ROW()),
  unit_details[Floorplan Name], INDIRECT("C"&amp;ROW()),
  unit_details[Beds], INDIRECT("D"&amp;ROW()),
  unit_details[Detected Unit Amenities], "&lt;&gt;*"&amp;$AB$3&amp;"*",
  unit_details[Leased Date], "&gt;=" &amp; ($X$2 - $AD$3)
),0)</f>
        <v>0</v>
      </c>
      <c r="AE318" s="734" cm="1">
        <f t="array" aca="true" ref="AE3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8" s="733" cm="1">
        <f t="array" aca="true" ref="AF318" ca="true">IFERROR(COUNTIFS(
  unit_details[Property Name], INDIRECT("B"&amp;ROW()),
  unit_details[Floorplan Name], INDIRECT("C"&amp;ROW()),
  unit_details[Beds], INDIRECT("D"&amp;ROW()),
  unit_details[Detected Unit Amenities], "&lt;&gt;*"&amp;$AB$3&amp;"*",
  unit_details[Leased Date], "&gt;=" &amp; ($X$2 - $AD$3)
),0)</f>
        <v>0</v>
      </c>
      <c r="AG318" s="735"/>
      <c r="AH318" s="738">
        <f t="shared" ca="true" si="10"/>
        <v>0</v>
      </c>
      <c r="AI318" s="739">
        <f t="shared" ca="true" si="11"/>
        <v>0</v>
      </c>
    </row>
    <row r="319" spans="2:35">
      <c r="B319" s="1"/>
      <c r="C319" s="80"/>
      <c r="E319" s="303"/>
      <c r="F319" s="303"/>
      <c r="J319" s="345"/>
      <c r="K319" s="6"/>
      <c r="M319" s="745"/>
      <c r="N319" s="738" t="str" cm="1">
        <f t="array" aca="true" ref="N319" ca="true">IFERROR(IF($O$3="Chunk Rent",
AVERAGEIFS('Unit-Level Data'!$O:$O,'Unit-Level Data'!$M:$M,TRUE,
          'Unit-Level Data'!$D:$D, INDIRECT("C"&amp;ROW()),
          'Unit-Level Data'!$B:$B, INDIRECT("B"&amp;ROW())),
AVERAGEIFS('Unit-Level Data'!$P:$P,'Unit-Level Data'!$M:$M,TRUE,
          'Unit-Level Data'!$D:$D, INDIRECT("C"&amp;ROW()),
          'Unit-Level Data'!$B:$B, INDIRECT("B"&amp;ROW()))),"")</f>
      </c>
      <c r="O319" s="760" t="str" cm="1">
        <f t="array" aca="true" ref="O319" ca="true">IFERROR(IF($O$3="Chunk Rent",
AVERAGEIFS('Unit-Level Data'!$Q:$Q,'Unit-Level Data'!$M:$M,TRUE,
          'Unit-Level Data'!$D:$D, INDIRECT("C"&amp;ROW()),
          'Unit-Level Data'!$B:$B, INDIRECT("B"&amp;ROW())),
AVERAGEIFS('Unit-Level Data'!$R:$R,'Unit-Level Data'!$M:$M,TRUE,
          'Unit-Level Data'!$D:$D, INDIRECT("C"&amp;ROW()),
          'Unit-Level Data'!$B:$B, INDIRECT("B"&amp;ROW()))),"")</f>
      </c>
      <c r="P319" s="733" cm="1">
        <f t="array" aca="true" ref="P319" ca="true">COUNTIFS('Unit-Level Data'!$M:$M,TRUE,
          'Unit-Level Data'!$D:$D, INDIRECT("C"&amp;ROW()),
          'Unit-Level Data'!$B:$B, INDIRECT("B"&amp;ROW()))</f>
        <v>0</v>
      </c>
      <c r="Q319" s="738" t="str" cm="1">
        <f t="array" aca="true" ref="Q3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9" s="760" t="str" cm="1">
        <f t="array" aca="true" ref="R3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9" s="733" cm="1">
        <f t="array" aca="true" ref="S319" ca="true">COUNTIFS('Unit-Level Data'!$L:$L, "&gt;=" &amp; ($X$2 - Q$5),
          'Unit-Level Data'!$L:$L, "&lt;" &amp; $X$2,
          'Unit-Level Data'!$D:$D, INDIRECT("C"&amp;ROW()),
          'Unit-Level Data'!$B:$B, INDIRECT("B"&amp;ROW()))</f>
        <v>0</v>
      </c>
      <c r="T319" s="738" t="str" cm="1">
        <f t="array" aca="true" ref="T3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9" s="760" t="str" cm="1">
        <f t="array" aca="true" ref="U3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9" s="733" cm="1">
        <f t="array" aca="true" ref="V319" ca="true">COUNTIFS('Unit-Level Data'!$L:$L, "&gt;=" &amp; ($X$2 - T$5),
          'Unit-Level Data'!$L:$L, "&lt;" &amp; $X$2,
          'Unit-Level Data'!$D:$D, INDIRECT("C"&amp;ROW()),
          'Unit-Level Data'!$B:$B, INDIRECT("B"&amp;ROW()))</f>
        <v>0</v>
      </c>
      <c r="W319" s="738" t="str" cm="1">
        <f t="array" aca="true" ref="W3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9" s="760" t="str" cm="1">
        <f t="array" aca="true" ref="X3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9" s="733" cm="1">
        <f t="array" aca="true" ref="Y319" ca="true">COUNTIFS('Unit-Level Data'!$L:$L, "&gt;=" &amp; ($X$2 - W$5),
          'Unit-Level Data'!$L:$L, "&lt;" &amp; $X$2,
          'Unit-Level Data'!$D:$D, INDIRECT("C"&amp;ROW()),
          'Unit-Level Data'!$B:$B, INDIRECT("B"&amp;ROW()))</f>
        <v>0</v>
      </c>
      <c r="Z319" s="761"/>
      <c r="AA319" s="735" cm="1">
        <f t="array" aca="true" ref="AA319" ca="true">IFERROR(AVERAGEIFS(
  unit_details[Sqft],
  unit_details[Property Name], INDIRECT("B"&amp;ROW()),
  unit_details[Floorplan Name], INDIRECT("C"&amp;ROW()),
  unit_details[Beds], INDIRECT("D"&amp;ROW()),
  unit_details[Detected Unit Amenities], "*"&amp;$AB$3&amp;"*",
  unit_details[Leased Date], "&gt;=" &amp; ($X$2 - $AD$3)
),0)</f>
        <v>0</v>
      </c>
      <c r="AB319" s="734" cm="1">
        <f t="array" aca="true" ref="AB3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9" s="733" cm="1">
        <f t="array" aca="true" ref="AC319" ca="true">IFERROR(COUNTIFS(
  unit_details[Property Name], INDIRECT("B"&amp;ROW()),
  unit_details[Floorplan Name], INDIRECT("C"&amp;ROW()),
  unit_details[Beds], INDIRECT("D"&amp;ROW()),
  unit_details[Detected Unit Amenities], "*"&amp;$AB$3&amp;"*",
  unit_details[Leased Date], "&gt;=" &amp; ($X$2 - $AD$3)
),0)</f>
        <v>0</v>
      </c>
      <c r="AD319" s="735" cm="1">
        <f t="array" aca="true" ref="AD319" ca="true">IFERROR(AVERAGEIFS(
  unit_details[Sqft],
  unit_details[Property Name], INDIRECT("B"&amp;ROW()),
  unit_details[Floorplan Name], INDIRECT("C"&amp;ROW()),
  unit_details[Beds], INDIRECT("D"&amp;ROW()),
  unit_details[Detected Unit Amenities], "&lt;&gt;*"&amp;$AB$3&amp;"*",
  unit_details[Leased Date], "&gt;=" &amp; ($X$2 - $AD$3)
),0)</f>
        <v>0</v>
      </c>
      <c r="AE319" s="734" cm="1">
        <f t="array" aca="true" ref="AE3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9" s="733" cm="1">
        <f t="array" aca="true" ref="AF319" ca="true">IFERROR(COUNTIFS(
  unit_details[Property Name], INDIRECT("B"&amp;ROW()),
  unit_details[Floorplan Name], INDIRECT("C"&amp;ROW()),
  unit_details[Beds], INDIRECT("D"&amp;ROW()),
  unit_details[Detected Unit Amenities], "&lt;&gt;*"&amp;$AB$3&amp;"*",
  unit_details[Leased Date], "&gt;=" &amp; ($X$2 - $AD$3)
),0)</f>
        <v>0</v>
      </c>
      <c r="AG319" s="735"/>
      <c r="AH319" s="738">
        <f t="shared" ca="true" si="10"/>
        <v>0</v>
      </c>
      <c r="AI319" s="739">
        <f t="shared" ca="true" si="11"/>
        <v>0</v>
      </c>
    </row>
    <row r="320" spans="2:35">
      <c r="B320" s="1"/>
      <c r="C320" s="80"/>
      <c r="E320" s="303"/>
      <c r="F320" s="303"/>
      <c r="J320" s="345"/>
      <c r="K320" s="6"/>
      <c r="M320" s="745"/>
      <c r="N320" s="738" t="str" cm="1">
        <f t="array" aca="true" ref="N320" ca="true">IFERROR(IF($O$3="Chunk Rent",
AVERAGEIFS('Unit-Level Data'!$O:$O,'Unit-Level Data'!$M:$M,TRUE,
          'Unit-Level Data'!$D:$D, INDIRECT("C"&amp;ROW()),
          'Unit-Level Data'!$B:$B, INDIRECT("B"&amp;ROW())),
AVERAGEIFS('Unit-Level Data'!$P:$P,'Unit-Level Data'!$M:$M,TRUE,
          'Unit-Level Data'!$D:$D, INDIRECT("C"&amp;ROW()),
          'Unit-Level Data'!$B:$B, INDIRECT("B"&amp;ROW()))),"")</f>
      </c>
      <c r="O320" s="760" t="str" cm="1">
        <f t="array" aca="true" ref="O320" ca="true">IFERROR(IF($O$3="Chunk Rent",
AVERAGEIFS('Unit-Level Data'!$Q:$Q,'Unit-Level Data'!$M:$M,TRUE,
          'Unit-Level Data'!$D:$D, INDIRECT("C"&amp;ROW()),
          'Unit-Level Data'!$B:$B, INDIRECT("B"&amp;ROW())),
AVERAGEIFS('Unit-Level Data'!$R:$R,'Unit-Level Data'!$M:$M,TRUE,
          'Unit-Level Data'!$D:$D, INDIRECT("C"&amp;ROW()),
          'Unit-Level Data'!$B:$B, INDIRECT("B"&amp;ROW()))),"")</f>
      </c>
      <c r="P320" s="733" cm="1">
        <f t="array" aca="true" ref="P320" ca="true">COUNTIFS('Unit-Level Data'!$M:$M,TRUE,
          'Unit-Level Data'!$D:$D, INDIRECT("C"&amp;ROW()),
          'Unit-Level Data'!$B:$B, INDIRECT("B"&amp;ROW()))</f>
        <v>0</v>
      </c>
      <c r="Q320" s="738" t="str" cm="1">
        <f t="array" aca="true" ref="Q3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0" s="760" t="str" cm="1">
        <f t="array" aca="true" ref="R3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0" s="733" cm="1">
        <f t="array" aca="true" ref="S320" ca="true">COUNTIFS('Unit-Level Data'!$L:$L, "&gt;=" &amp; ($X$2 - Q$5),
          'Unit-Level Data'!$L:$L, "&lt;" &amp; $X$2,
          'Unit-Level Data'!$D:$D, INDIRECT("C"&amp;ROW()),
          'Unit-Level Data'!$B:$B, INDIRECT("B"&amp;ROW()))</f>
        <v>0</v>
      </c>
      <c r="T320" s="738" t="str" cm="1">
        <f t="array" aca="true" ref="T3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0" s="760" t="str" cm="1">
        <f t="array" aca="true" ref="U3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0" s="733" cm="1">
        <f t="array" aca="true" ref="V320" ca="true">COUNTIFS('Unit-Level Data'!$L:$L, "&gt;=" &amp; ($X$2 - T$5),
          'Unit-Level Data'!$L:$L, "&lt;" &amp; $X$2,
          'Unit-Level Data'!$D:$D, INDIRECT("C"&amp;ROW()),
          'Unit-Level Data'!$B:$B, INDIRECT("B"&amp;ROW()))</f>
        <v>0</v>
      </c>
      <c r="W320" s="738" t="str" cm="1">
        <f t="array" aca="true" ref="W3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0" s="760" t="str" cm="1">
        <f t="array" aca="true" ref="X3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0" s="733" cm="1">
        <f t="array" aca="true" ref="Y320" ca="true">COUNTIFS('Unit-Level Data'!$L:$L, "&gt;=" &amp; ($X$2 - W$5),
          'Unit-Level Data'!$L:$L, "&lt;" &amp; $X$2,
          'Unit-Level Data'!$D:$D, INDIRECT("C"&amp;ROW()),
          'Unit-Level Data'!$B:$B, INDIRECT("B"&amp;ROW()))</f>
        <v>0</v>
      </c>
      <c r="Z320" s="761"/>
      <c r="AA320" s="735" cm="1">
        <f t="array" aca="true" ref="AA320" ca="true">IFERROR(AVERAGEIFS(
  unit_details[Sqft],
  unit_details[Property Name], INDIRECT("B"&amp;ROW()),
  unit_details[Floorplan Name], INDIRECT("C"&amp;ROW()),
  unit_details[Beds], INDIRECT("D"&amp;ROW()),
  unit_details[Detected Unit Amenities], "*"&amp;$AB$3&amp;"*",
  unit_details[Leased Date], "&gt;=" &amp; ($X$2 - $AD$3)
),0)</f>
        <v>0</v>
      </c>
      <c r="AB320" s="734" cm="1">
        <f t="array" aca="true" ref="AB3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0" s="733" cm="1">
        <f t="array" aca="true" ref="AC320" ca="true">IFERROR(COUNTIFS(
  unit_details[Property Name], INDIRECT("B"&amp;ROW()),
  unit_details[Floorplan Name], INDIRECT("C"&amp;ROW()),
  unit_details[Beds], INDIRECT("D"&amp;ROW()),
  unit_details[Detected Unit Amenities], "*"&amp;$AB$3&amp;"*",
  unit_details[Leased Date], "&gt;=" &amp; ($X$2 - $AD$3)
),0)</f>
        <v>0</v>
      </c>
      <c r="AD320" s="735" cm="1">
        <f t="array" aca="true" ref="AD320" ca="true">IFERROR(AVERAGEIFS(
  unit_details[Sqft],
  unit_details[Property Name], INDIRECT("B"&amp;ROW()),
  unit_details[Floorplan Name], INDIRECT("C"&amp;ROW()),
  unit_details[Beds], INDIRECT("D"&amp;ROW()),
  unit_details[Detected Unit Amenities], "&lt;&gt;*"&amp;$AB$3&amp;"*",
  unit_details[Leased Date], "&gt;=" &amp; ($X$2 - $AD$3)
),0)</f>
        <v>0</v>
      </c>
      <c r="AE320" s="734" cm="1">
        <f t="array" aca="true" ref="AE3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0" s="733" cm="1">
        <f t="array" aca="true" ref="AF320" ca="true">IFERROR(COUNTIFS(
  unit_details[Property Name], INDIRECT("B"&amp;ROW()),
  unit_details[Floorplan Name], INDIRECT("C"&amp;ROW()),
  unit_details[Beds], INDIRECT("D"&amp;ROW()),
  unit_details[Detected Unit Amenities], "&lt;&gt;*"&amp;$AB$3&amp;"*",
  unit_details[Leased Date], "&gt;=" &amp; ($X$2 - $AD$3)
),0)</f>
        <v>0</v>
      </c>
      <c r="AG320" s="735"/>
      <c r="AH320" s="738">
        <f t="shared" ca="true" si="10"/>
        <v>0</v>
      </c>
      <c r="AI320" s="739">
        <f t="shared" ca="true" si="11"/>
        <v>0</v>
      </c>
    </row>
    <row r="321" spans="2:35">
      <c r="B321" s="1"/>
      <c r="C321" s="80"/>
      <c r="E321" s="303"/>
      <c r="F321" s="303"/>
      <c r="J321" s="345"/>
      <c r="K321" s="6"/>
      <c r="M321" s="745"/>
      <c r="N321" s="738" t="str" cm="1">
        <f t="array" aca="true" ref="N321" ca="true">IFERROR(IF($O$3="Chunk Rent",
AVERAGEIFS('Unit-Level Data'!$O:$O,'Unit-Level Data'!$M:$M,TRUE,
          'Unit-Level Data'!$D:$D, INDIRECT("C"&amp;ROW()),
          'Unit-Level Data'!$B:$B, INDIRECT("B"&amp;ROW())),
AVERAGEIFS('Unit-Level Data'!$P:$P,'Unit-Level Data'!$M:$M,TRUE,
          'Unit-Level Data'!$D:$D, INDIRECT("C"&amp;ROW()),
          'Unit-Level Data'!$B:$B, INDIRECT("B"&amp;ROW()))),"")</f>
      </c>
      <c r="O321" s="760" t="str" cm="1">
        <f t="array" aca="true" ref="O321" ca="true">IFERROR(IF($O$3="Chunk Rent",
AVERAGEIFS('Unit-Level Data'!$Q:$Q,'Unit-Level Data'!$M:$M,TRUE,
          'Unit-Level Data'!$D:$D, INDIRECT("C"&amp;ROW()),
          'Unit-Level Data'!$B:$B, INDIRECT("B"&amp;ROW())),
AVERAGEIFS('Unit-Level Data'!$R:$R,'Unit-Level Data'!$M:$M,TRUE,
          'Unit-Level Data'!$D:$D, INDIRECT("C"&amp;ROW()),
          'Unit-Level Data'!$B:$B, INDIRECT("B"&amp;ROW()))),"")</f>
      </c>
      <c r="P321" s="733" cm="1">
        <f t="array" aca="true" ref="P321" ca="true">COUNTIFS('Unit-Level Data'!$M:$M,TRUE,
          'Unit-Level Data'!$D:$D, INDIRECT("C"&amp;ROW()),
          'Unit-Level Data'!$B:$B, INDIRECT("B"&amp;ROW()))</f>
        <v>0</v>
      </c>
      <c r="Q321" s="738" t="str" cm="1">
        <f t="array" aca="true" ref="Q3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1" s="760" t="str" cm="1">
        <f t="array" aca="true" ref="R3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1" s="733" cm="1">
        <f t="array" aca="true" ref="S321" ca="true">COUNTIFS('Unit-Level Data'!$L:$L, "&gt;=" &amp; ($X$2 - Q$5),
          'Unit-Level Data'!$L:$L, "&lt;" &amp; $X$2,
          'Unit-Level Data'!$D:$D, INDIRECT("C"&amp;ROW()),
          'Unit-Level Data'!$B:$B, INDIRECT("B"&amp;ROW()))</f>
        <v>0</v>
      </c>
      <c r="T321" s="738" t="str" cm="1">
        <f t="array" aca="true" ref="T3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1" s="760" t="str" cm="1">
        <f t="array" aca="true" ref="U3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1" s="733" cm="1">
        <f t="array" aca="true" ref="V321" ca="true">COUNTIFS('Unit-Level Data'!$L:$L, "&gt;=" &amp; ($X$2 - T$5),
          'Unit-Level Data'!$L:$L, "&lt;" &amp; $X$2,
          'Unit-Level Data'!$D:$D, INDIRECT("C"&amp;ROW()),
          'Unit-Level Data'!$B:$B, INDIRECT("B"&amp;ROW()))</f>
        <v>0</v>
      </c>
      <c r="W321" s="738" t="str" cm="1">
        <f t="array" aca="true" ref="W3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1" s="760" t="str" cm="1">
        <f t="array" aca="true" ref="X3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1" s="733" cm="1">
        <f t="array" aca="true" ref="Y321" ca="true">COUNTIFS('Unit-Level Data'!$L:$L, "&gt;=" &amp; ($X$2 - W$5),
          'Unit-Level Data'!$L:$L, "&lt;" &amp; $X$2,
          'Unit-Level Data'!$D:$D, INDIRECT("C"&amp;ROW()),
          'Unit-Level Data'!$B:$B, INDIRECT("B"&amp;ROW()))</f>
        <v>0</v>
      </c>
      <c r="Z321" s="761"/>
      <c r="AA321" s="735" cm="1">
        <f t="array" aca="true" ref="AA321" ca="true">IFERROR(AVERAGEIFS(
  unit_details[Sqft],
  unit_details[Property Name], INDIRECT("B"&amp;ROW()),
  unit_details[Floorplan Name], INDIRECT("C"&amp;ROW()),
  unit_details[Beds], INDIRECT("D"&amp;ROW()),
  unit_details[Detected Unit Amenities], "*"&amp;$AB$3&amp;"*",
  unit_details[Leased Date], "&gt;=" &amp; ($X$2 - $AD$3)
),0)</f>
        <v>0</v>
      </c>
      <c r="AB321" s="734" cm="1">
        <f t="array" aca="true" ref="AB3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1" s="733" cm="1">
        <f t="array" aca="true" ref="AC321" ca="true">IFERROR(COUNTIFS(
  unit_details[Property Name], INDIRECT("B"&amp;ROW()),
  unit_details[Floorplan Name], INDIRECT("C"&amp;ROW()),
  unit_details[Beds], INDIRECT("D"&amp;ROW()),
  unit_details[Detected Unit Amenities], "*"&amp;$AB$3&amp;"*",
  unit_details[Leased Date], "&gt;=" &amp; ($X$2 - $AD$3)
),0)</f>
        <v>0</v>
      </c>
      <c r="AD321" s="735" cm="1">
        <f t="array" aca="true" ref="AD321" ca="true">IFERROR(AVERAGEIFS(
  unit_details[Sqft],
  unit_details[Property Name], INDIRECT("B"&amp;ROW()),
  unit_details[Floorplan Name], INDIRECT("C"&amp;ROW()),
  unit_details[Beds], INDIRECT("D"&amp;ROW()),
  unit_details[Detected Unit Amenities], "&lt;&gt;*"&amp;$AB$3&amp;"*",
  unit_details[Leased Date], "&gt;=" &amp; ($X$2 - $AD$3)
),0)</f>
        <v>0</v>
      </c>
      <c r="AE321" s="734" cm="1">
        <f t="array" aca="true" ref="AE3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1" s="733" cm="1">
        <f t="array" aca="true" ref="AF321" ca="true">IFERROR(COUNTIFS(
  unit_details[Property Name], INDIRECT("B"&amp;ROW()),
  unit_details[Floorplan Name], INDIRECT("C"&amp;ROW()),
  unit_details[Beds], INDIRECT("D"&amp;ROW()),
  unit_details[Detected Unit Amenities], "&lt;&gt;*"&amp;$AB$3&amp;"*",
  unit_details[Leased Date], "&gt;=" &amp; ($X$2 - $AD$3)
),0)</f>
        <v>0</v>
      </c>
      <c r="AG321" s="735"/>
      <c r="AH321" s="738">
        <f t="shared" ca="true" si="10"/>
        <v>0</v>
      </c>
      <c r="AI321" s="739">
        <f t="shared" ca="true" si="11"/>
        <v>0</v>
      </c>
    </row>
    <row r="322" spans="2:35">
      <c r="B322" s="1"/>
      <c r="C322" s="80"/>
      <c r="E322" s="303"/>
      <c r="F322" s="303"/>
      <c r="J322" s="345"/>
      <c r="K322" s="6"/>
      <c r="M322" s="745"/>
      <c r="N322" s="738" t="str" cm="1">
        <f t="array" aca="true" ref="N322" ca="true">IFERROR(IF($O$3="Chunk Rent",
AVERAGEIFS('Unit-Level Data'!$O:$O,'Unit-Level Data'!$M:$M,TRUE,
          'Unit-Level Data'!$D:$D, INDIRECT("C"&amp;ROW()),
          'Unit-Level Data'!$B:$B, INDIRECT("B"&amp;ROW())),
AVERAGEIFS('Unit-Level Data'!$P:$P,'Unit-Level Data'!$M:$M,TRUE,
          'Unit-Level Data'!$D:$D, INDIRECT("C"&amp;ROW()),
          'Unit-Level Data'!$B:$B, INDIRECT("B"&amp;ROW()))),"")</f>
      </c>
      <c r="O322" s="760" t="str" cm="1">
        <f t="array" aca="true" ref="O322" ca="true">IFERROR(IF($O$3="Chunk Rent",
AVERAGEIFS('Unit-Level Data'!$Q:$Q,'Unit-Level Data'!$M:$M,TRUE,
          'Unit-Level Data'!$D:$D, INDIRECT("C"&amp;ROW()),
          'Unit-Level Data'!$B:$B, INDIRECT("B"&amp;ROW())),
AVERAGEIFS('Unit-Level Data'!$R:$R,'Unit-Level Data'!$M:$M,TRUE,
          'Unit-Level Data'!$D:$D, INDIRECT("C"&amp;ROW()),
          'Unit-Level Data'!$B:$B, INDIRECT("B"&amp;ROW()))),"")</f>
      </c>
      <c r="P322" s="733" cm="1">
        <f t="array" aca="true" ref="P322" ca="true">COUNTIFS('Unit-Level Data'!$M:$M,TRUE,
          'Unit-Level Data'!$D:$D, INDIRECT("C"&amp;ROW()),
          'Unit-Level Data'!$B:$B, INDIRECT("B"&amp;ROW()))</f>
        <v>0</v>
      </c>
      <c r="Q322" s="738" t="str" cm="1">
        <f t="array" aca="true" ref="Q3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2" s="760" t="str" cm="1">
        <f t="array" aca="true" ref="R3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2" s="733" cm="1">
        <f t="array" aca="true" ref="S322" ca="true">COUNTIFS('Unit-Level Data'!$L:$L, "&gt;=" &amp; ($X$2 - Q$5),
          'Unit-Level Data'!$L:$L, "&lt;" &amp; $X$2,
          'Unit-Level Data'!$D:$D, INDIRECT("C"&amp;ROW()),
          'Unit-Level Data'!$B:$B, INDIRECT("B"&amp;ROW()))</f>
        <v>0</v>
      </c>
      <c r="T322" s="738" t="str" cm="1">
        <f t="array" aca="true" ref="T3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2" s="760" t="str" cm="1">
        <f t="array" aca="true" ref="U3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2" s="733" cm="1">
        <f t="array" aca="true" ref="V322" ca="true">COUNTIFS('Unit-Level Data'!$L:$L, "&gt;=" &amp; ($X$2 - T$5),
          'Unit-Level Data'!$L:$L, "&lt;" &amp; $X$2,
          'Unit-Level Data'!$D:$D, INDIRECT("C"&amp;ROW()),
          'Unit-Level Data'!$B:$B, INDIRECT("B"&amp;ROW()))</f>
        <v>0</v>
      </c>
      <c r="W322" s="738" t="str" cm="1">
        <f t="array" aca="true" ref="W3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2" s="760" t="str" cm="1">
        <f t="array" aca="true" ref="X3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2" s="733" cm="1">
        <f t="array" aca="true" ref="Y322" ca="true">COUNTIFS('Unit-Level Data'!$L:$L, "&gt;=" &amp; ($X$2 - W$5),
          'Unit-Level Data'!$L:$L, "&lt;" &amp; $X$2,
          'Unit-Level Data'!$D:$D, INDIRECT("C"&amp;ROW()),
          'Unit-Level Data'!$B:$B, INDIRECT("B"&amp;ROW()))</f>
        <v>0</v>
      </c>
      <c r="Z322" s="761"/>
      <c r="AA322" s="735" cm="1">
        <f t="array" aca="true" ref="AA322" ca="true">IFERROR(AVERAGEIFS(
  unit_details[Sqft],
  unit_details[Property Name], INDIRECT("B"&amp;ROW()),
  unit_details[Floorplan Name], INDIRECT("C"&amp;ROW()),
  unit_details[Beds], INDIRECT("D"&amp;ROW()),
  unit_details[Detected Unit Amenities], "*"&amp;$AB$3&amp;"*",
  unit_details[Leased Date], "&gt;=" &amp; ($X$2 - $AD$3)
),0)</f>
        <v>0</v>
      </c>
      <c r="AB322" s="734" cm="1">
        <f t="array" aca="true" ref="AB3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2" s="733" cm="1">
        <f t="array" aca="true" ref="AC322" ca="true">IFERROR(COUNTIFS(
  unit_details[Property Name], INDIRECT("B"&amp;ROW()),
  unit_details[Floorplan Name], INDIRECT("C"&amp;ROW()),
  unit_details[Beds], INDIRECT("D"&amp;ROW()),
  unit_details[Detected Unit Amenities], "*"&amp;$AB$3&amp;"*",
  unit_details[Leased Date], "&gt;=" &amp; ($X$2 - $AD$3)
),0)</f>
        <v>0</v>
      </c>
      <c r="AD322" s="735" cm="1">
        <f t="array" aca="true" ref="AD322" ca="true">IFERROR(AVERAGEIFS(
  unit_details[Sqft],
  unit_details[Property Name], INDIRECT("B"&amp;ROW()),
  unit_details[Floorplan Name], INDIRECT("C"&amp;ROW()),
  unit_details[Beds], INDIRECT("D"&amp;ROW()),
  unit_details[Detected Unit Amenities], "&lt;&gt;*"&amp;$AB$3&amp;"*",
  unit_details[Leased Date], "&gt;=" &amp; ($X$2 - $AD$3)
),0)</f>
        <v>0</v>
      </c>
      <c r="AE322" s="734" cm="1">
        <f t="array" aca="true" ref="AE3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2" s="733" cm="1">
        <f t="array" aca="true" ref="AF322" ca="true">IFERROR(COUNTIFS(
  unit_details[Property Name], INDIRECT("B"&amp;ROW()),
  unit_details[Floorplan Name], INDIRECT("C"&amp;ROW()),
  unit_details[Beds], INDIRECT("D"&amp;ROW()),
  unit_details[Detected Unit Amenities], "&lt;&gt;*"&amp;$AB$3&amp;"*",
  unit_details[Leased Date], "&gt;=" &amp; ($X$2 - $AD$3)
),0)</f>
        <v>0</v>
      </c>
      <c r="AG322" s="735"/>
      <c r="AH322" s="738">
        <f t="shared" ca="true" si="10"/>
        <v>0</v>
      </c>
      <c r="AI322" s="739">
        <f t="shared" ca="true" si="11"/>
        <v>0</v>
      </c>
    </row>
    <row r="323" spans="2:35">
      <c r="B323" s="1"/>
      <c r="C323" s="80"/>
      <c r="E323" s="303"/>
      <c r="F323" s="303"/>
      <c r="J323" s="345"/>
      <c r="K323" s="6"/>
      <c r="M323" s="745"/>
      <c r="N323" s="738" t="str" cm="1">
        <f t="array" aca="true" ref="N323" ca="true">IFERROR(IF($O$3="Chunk Rent",
AVERAGEIFS('Unit-Level Data'!$O:$O,'Unit-Level Data'!$M:$M,TRUE,
          'Unit-Level Data'!$D:$D, INDIRECT("C"&amp;ROW()),
          'Unit-Level Data'!$B:$B, INDIRECT("B"&amp;ROW())),
AVERAGEIFS('Unit-Level Data'!$P:$P,'Unit-Level Data'!$M:$M,TRUE,
          'Unit-Level Data'!$D:$D, INDIRECT("C"&amp;ROW()),
          'Unit-Level Data'!$B:$B, INDIRECT("B"&amp;ROW()))),"")</f>
      </c>
      <c r="O323" s="760" t="str" cm="1">
        <f t="array" aca="true" ref="O323" ca="true">IFERROR(IF($O$3="Chunk Rent",
AVERAGEIFS('Unit-Level Data'!$Q:$Q,'Unit-Level Data'!$M:$M,TRUE,
          'Unit-Level Data'!$D:$D, INDIRECT("C"&amp;ROW()),
          'Unit-Level Data'!$B:$B, INDIRECT("B"&amp;ROW())),
AVERAGEIFS('Unit-Level Data'!$R:$R,'Unit-Level Data'!$M:$M,TRUE,
          'Unit-Level Data'!$D:$D, INDIRECT("C"&amp;ROW()),
          'Unit-Level Data'!$B:$B, INDIRECT("B"&amp;ROW()))),"")</f>
      </c>
      <c r="P323" s="733" cm="1">
        <f t="array" aca="true" ref="P323" ca="true">COUNTIFS('Unit-Level Data'!$M:$M,TRUE,
          'Unit-Level Data'!$D:$D, INDIRECT("C"&amp;ROW()),
          'Unit-Level Data'!$B:$B, INDIRECT("B"&amp;ROW()))</f>
        <v>0</v>
      </c>
      <c r="Q323" s="738" t="str" cm="1">
        <f t="array" aca="true" ref="Q3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3" s="760" t="str" cm="1">
        <f t="array" aca="true" ref="R3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3" s="733" cm="1">
        <f t="array" aca="true" ref="S323" ca="true">COUNTIFS('Unit-Level Data'!$L:$L, "&gt;=" &amp; ($X$2 - Q$5),
          'Unit-Level Data'!$L:$L, "&lt;" &amp; $X$2,
          'Unit-Level Data'!$D:$D, INDIRECT("C"&amp;ROW()),
          'Unit-Level Data'!$B:$B, INDIRECT("B"&amp;ROW()))</f>
        <v>0</v>
      </c>
      <c r="T323" s="738" t="str" cm="1">
        <f t="array" aca="true" ref="T3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3" s="760" t="str" cm="1">
        <f t="array" aca="true" ref="U3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3" s="733" cm="1">
        <f t="array" aca="true" ref="V323" ca="true">COUNTIFS('Unit-Level Data'!$L:$L, "&gt;=" &amp; ($X$2 - T$5),
          'Unit-Level Data'!$L:$L, "&lt;" &amp; $X$2,
          'Unit-Level Data'!$D:$D, INDIRECT("C"&amp;ROW()),
          'Unit-Level Data'!$B:$B, INDIRECT("B"&amp;ROW()))</f>
        <v>0</v>
      </c>
      <c r="W323" s="738" t="str" cm="1">
        <f t="array" aca="true" ref="W3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3" s="760" t="str" cm="1">
        <f t="array" aca="true" ref="X3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3" s="733" cm="1">
        <f t="array" aca="true" ref="Y323" ca="true">COUNTIFS('Unit-Level Data'!$L:$L, "&gt;=" &amp; ($X$2 - W$5),
          'Unit-Level Data'!$L:$L, "&lt;" &amp; $X$2,
          'Unit-Level Data'!$D:$D, INDIRECT("C"&amp;ROW()),
          'Unit-Level Data'!$B:$B, INDIRECT("B"&amp;ROW()))</f>
        <v>0</v>
      </c>
      <c r="Z323" s="761"/>
      <c r="AA323" s="735" cm="1">
        <f t="array" aca="true" ref="AA323" ca="true">IFERROR(AVERAGEIFS(
  unit_details[Sqft],
  unit_details[Property Name], INDIRECT("B"&amp;ROW()),
  unit_details[Floorplan Name], INDIRECT("C"&amp;ROW()),
  unit_details[Beds], INDIRECT("D"&amp;ROW()),
  unit_details[Detected Unit Amenities], "*"&amp;$AB$3&amp;"*",
  unit_details[Leased Date], "&gt;=" &amp; ($X$2 - $AD$3)
),0)</f>
        <v>0</v>
      </c>
      <c r="AB323" s="734" cm="1">
        <f t="array" aca="true" ref="AB3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3" s="733" cm="1">
        <f t="array" aca="true" ref="AC323" ca="true">IFERROR(COUNTIFS(
  unit_details[Property Name], INDIRECT("B"&amp;ROW()),
  unit_details[Floorplan Name], INDIRECT("C"&amp;ROW()),
  unit_details[Beds], INDIRECT("D"&amp;ROW()),
  unit_details[Detected Unit Amenities], "*"&amp;$AB$3&amp;"*",
  unit_details[Leased Date], "&gt;=" &amp; ($X$2 - $AD$3)
),0)</f>
        <v>0</v>
      </c>
      <c r="AD323" s="735" cm="1">
        <f t="array" aca="true" ref="AD323" ca="true">IFERROR(AVERAGEIFS(
  unit_details[Sqft],
  unit_details[Property Name], INDIRECT("B"&amp;ROW()),
  unit_details[Floorplan Name], INDIRECT("C"&amp;ROW()),
  unit_details[Beds], INDIRECT("D"&amp;ROW()),
  unit_details[Detected Unit Amenities], "&lt;&gt;*"&amp;$AB$3&amp;"*",
  unit_details[Leased Date], "&gt;=" &amp; ($X$2 - $AD$3)
),0)</f>
        <v>0</v>
      </c>
      <c r="AE323" s="734" cm="1">
        <f t="array" aca="true" ref="AE3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3" s="733" cm="1">
        <f t="array" aca="true" ref="AF323" ca="true">IFERROR(COUNTIFS(
  unit_details[Property Name], INDIRECT("B"&amp;ROW()),
  unit_details[Floorplan Name], INDIRECT("C"&amp;ROW()),
  unit_details[Beds], INDIRECT("D"&amp;ROW()),
  unit_details[Detected Unit Amenities], "&lt;&gt;*"&amp;$AB$3&amp;"*",
  unit_details[Leased Date], "&gt;=" &amp; ($X$2 - $AD$3)
),0)</f>
        <v>0</v>
      </c>
      <c r="AG323" s="735"/>
      <c r="AH323" s="738">
        <f t="shared" ca="true" si="10"/>
        <v>0</v>
      </c>
      <c r="AI323" s="739">
        <f t="shared" ca="true" si="11"/>
        <v>0</v>
      </c>
    </row>
    <row r="324" spans="2:35">
      <c r="B324" s="1"/>
      <c r="C324" s="80"/>
      <c r="E324" s="303"/>
      <c r="F324" s="303"/>
      <c r="J324" s="345"/>
      <c r="K324" s="6"/>
      <c r="M324" s="745"/>
      <c r="N324" s="738" t="str" cm="1">
        <f t="array" aca="true" ref="N324" ca="true">IFERROR(IF($O$3="Chunk Rent",
AVERAGEIFS('Unit-Level Data'!$O:$O,'Unit-Level Data'!$M:$M,TRUE,
          'Unit-Level Data'!$D:$D, INDIRECT("C"&amp;ROW()),
          'Unit-Level Data'!$B:$B, INDIRECT("B"&amp;ROW())),
AVERAGEIFS('Unit-Level Data'!$P:$P,'Unit-Level Data'!$M:$M,TRUE,
          'Unit-Level Data'!$D:$D, INDIRECT("C"&amp;ROW()),
          'Unit-Level Data'!$B:$B, INDIRECT("B"&amp;ROW()))),"")</f>
      </c>
      <c r="O324" s="760" t="str" cm="1">
        <f t="array" aca="true" ref="O324" ca="true">IFERROR(IF($O$3="Chunk Rent",
AVERAGEIFS('Unit-Level Data'!$Q:$Q,'Unit-Level Data'!$M:$M,TRUE,
          'Unit-Level Data'!$D:$D, INDIRECT("C"&amp;ROW()),
          'Unit-Level Data'!$B:$B, INDIRECT("B"&amp;ROW())),
AVERAGEIFS('Unit-Level Data'!$R:$R,'Unit-Level Data'!$M:$M,TRUE,
          'Unit-Level Data'!$D:$D, INDIRECT("C"&amp;ROW()),
          'Unit-Level Data'!$B:$B, INDIRECT("B"&amp;ROW()))),"")</f>
      </c>
      <c r="P324" s="733" cm="1">
        <f t="array" aca="true" ref="P324" ca="true">COUNTIFS('Unit-Level Data'!$M:$M,TRUE,
          'Unit-Level Data'!$D:$D, INDIRECT("C"&amp;ROW()),
          'Unit-Level Data'!$B:$B, INDIRECT("B"&amp;ROW()))</f>
        <v>0</v>
      </c>
      <c r="Q324" s="738" t="str" cm="1">
        <f t="array" aca="true" ref="Q3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4" s="760" t="str" cm="1">
        <f t="array" aca="true" ref="R3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4" s="733" cm="1">
        <f t="array" aca="true" ref="S324" ca="true">COUNTIFS('Unit-Level Data'!$L:$L, "&gt;=" &amp; ($X$2 - Q$5),
          'Unit-Level Data'!$L:$L, "&lt;" &amp; $X$2,
          'Unit-Level Data'!$D:$D, INDIRECT("C"&amp;ROW()),
          'Unit-Level Data'!$B:$B, INDIRECT("B"&amp;ROW()))</f>
        <v>0</v>
      </c>
      <c r="T324" s="738" t="str" cm="1">
        <f t="array" aca="true" ref="T3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4" s="760" t="str" cm="1">
        <f t="array" aca="true" ref="U3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4" s="733" cm="1">
        <f t="array" aca="true" ref="V324" ca="true">COUNTIFS('Unit-Level Data'!$L:$L, "&gt;=" &amp; ($X$2 - T$5),
          'Unit-Level Data'!$L:$L, "&lt;" &amp; $X$2,
          'Unit-Level Data'!$D:$D, INDIRECT("C"&amp;ROW()),
          'Unit-Level Data'!$B:$B, INDIRECT("B"&amp;ROW()))</f>
        <v>0</v>
      </c>
      <c r="W324" s="738" t="str" cm="1">
        <f t="array" aca="true" ref="W3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4" s="760" t="str" cm="1">
        <f t="array" aca="true" ref="X3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4" s="733" cm="1">
        <f t="array" aca="true" ref="Y324" ca="true">COUNTIFS('Unit-Level Data'!$L:$L, "&gt;=" &amp; ($X$2 - W$5),
          'Unit-Level Data'!$L:$L, "&lt;" &amp; $X$2,
          'Unit-Level Data'!$D:$D, INDIRECT("C"&amp;ROW()),
          'Unit-Level Data'!$B:$B, INDIRECT("B"&amp;ROW()))</f>
        <v>0</v>
      </c>
      <c r="Z324" s="761"/>
      <c r="AA324" s="735" cm="1">
        <f t="array" aca="true" ref="AA324" ca="true">IFERROR(AVERAGEIFS(
  unit_details[Sqft],
  unit_details[Property Name], INDIRECT("B"&amp;ROW()),
  unit_details[Floorplan Name], INDIRECT("C"&amp;ROW()),
  unit_details[Beds], INDIRECT("D"&amp;ROW()),
  unit_details[Detected Unit Amenities], "*"&amp;$AB$3&amp;"*",
  unit_details[Leased Date], "&gt;=" &amp; ($X$2 - $AD$3)
),0)</f>
        <v>0</v>
      </c>
      <c r="AB324" s="734" cm="1">
        <f t="array" aca="true" ref="AB3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4" s="733" cm="1">
        <f t="array" aca="true" ref="AC324" ca="true">IFERROR(COUNTIFS(
  unit_details[Property Name], INDIRECT("B"&amp;ROW()),
  unit_details[Floorplan Name], INDIRECT("C"&amp;ROW()),
  unit_details[Beds], INDIRECT("D"&amp;ROW()),
  unit_details[Detected Unit Amenities], "*"&amp;$AB$3&amp;"*",
  unit_details[Leased Date], "&gt;=" &amp; ($X$2 - $AD$3)
),0)</f>
        <v>0</v>
      </c>
      <c r="AD324" s="735" cm="1">
        <f t="array" aca="true" ref="AD324" ca="true">IFERROR(AVERAGEIFS(
  unit_details[Sqft],
  unit_details[Property Name], INDIRECT("B"&amp;ROW()),
  unit_details[Floorplan Name], INDIRECT("C"&amp;ROW()),
  unit_details[Beds], INDIRECT("D"&amp;ROW()),
  unit_details[Detected Unit Amenities], "&lt;&gt;*"&amp;$AB$3&amp;"*",
  unit_details[Leased Date], "&gt;=" &amp; ($X$2 - $AD$3)
),0)</f>
        <v>0</v>
      </c>
      <c r="AE324" s="734" cm="1">
        <f t="array" aca="true" ref="AE3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4" s="733" cm="1">
        <f t="array" aca="true" ref="AF324" ca="true">IFERROR(COUNTIFS(
  unit_details[Property Name], INDIRECT("B"&amp;ROW()),
  unit_details[Floorplan Name], INDIRECT("C"&amp;ROW()),
  unit_details[Beds], INDIRECT("D"&amp;ROW()),
  unit_details[Detected Unit Amenities], "&lt;&gt;*"&amp;$AB$3&amp;"*",
  unit_details[Leased Date], "&gt;=" &amp; ($X$2 - $AD$3)
),0)</f>
        <v>0</v>
      </c>
      <c r="AG324" s="735"/>
      <c r="AH324" s="738">
        <f t="shared" ca="true" si="10"/>
        <v>0</v>
      </c>
      <c r="AI324" s="739">
        <f t="shared" ca="true" si="11"/>
        <v>0</v>
      </c>
    </row>
    <row r="325" spans="2:35">
      <c r="B325" s="1"/>
      <c r="C325" s="80"/>
      <c r="E325" s="303"/>
      <c r="F325" s="303"/>
      <c r="J325" s="345"/>
      <c r="K325" s="6"/>
      <c r="M325" s="745"/>
      <c r="N325" s="738" t="str" cm="1">
        <f t="array" aca="true" ref="N325" ca="true">IFERROR(IF($O$3="Chunk Rent",
AVERAGEIFS('Unit-Level Data'!$O:$O,'Unit-Level Data'!$M:$M,TRUE,
          'Unit-Level Data'!$D:$D, INDIRECT("C"&amp;ROW()),
          'Unit-Level Data'!$B:$B, INDIRECT("B"&amp;ROW())),
AVERAGEIFS('Unit-Level Data'!$P:$P,'Unit-Level Data'!$M:$M,TRUE,
          'Unit-Level Data'!$D:$D, INDIRECT("C"&amp;ROW()),
          'Unit-Level Data'!$B:$B, INDIRECT("B"&amp;ROW()))),"")</f>
      </c>
      <c r="O325" s="760" t="str" cm="1">
        <f t="array" aca="true" ref="O325" ca="true">IFERROR(IF($O$3="Chunk Rent",
AVERAGEIFS('Unit-Level Data'!$Q:$Q,'Unit-Level Data'!$M:$M,TRUE,
          'Unit-Level Data'!$D:$D, INDIRECT("C"&amp;ROW()),
          'Unit-Level Data'!$B:$B, INDIRECT("B"&amp;ROW())),
AVERAGEIFS('Unit-Level Data'!$R:$R,'Unit-Level Data'!$M:$M,TRUE,
          'Unit-Level Data'!$D:$D, INDIRECT("C"&amp;ROW()),
          'Unit-Level Data'!$B:$B, INDIRECT("B"&amp;ROW()))),"")</f>
      </c>
      <c r="P325" s="733" cm="1">
        <f t="array" aca="true" ref="P325" ca="true">COUNTIFS('Unit-Level Data'!$M:$M,TRUE,
          'Unit-Level Data'!$D:$D, INDIRECT("C"&amp;ROW()),
          'Unit-Level Data'!$B:$B, INDIRECT("B"&amp;ROW()))</f>
        <v>0</v>
      </c>
      <c r="Q325" s="738" t="str" cm="1">
        <f t="array" aca="true" ref="Q3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5" s="760" t="str" cm="1">
        <f t="array" aca="true" ref="R3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5" s="733" cm="1">
        <f t="array" aca="true" ref="S325" ca="true">COUNTIFS('Unit-Level Data'!$L:$L, "&gt;=" &amp; ($X$2 - Q$5),
          'Unit-Level Data'!$L:$L, "&lt;" &amp; $X$2,
          'Unit-Level Data'!$D:$D, INDIRECT("C"&amp;ROW()),
          'Unit-Level Data'!$B:$B, INDIRECT("B"&amp;ROW()))</f>
        <v>0</v>
      </c>
      <c r="T325" s="738" t="str" cm="1">
        <f t="array" aca="true" ref="T3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5" s="760" t="str" cm="1">
        <f t="array" aca="true" ref="U3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5" s="733" cm="1">
        <f t="array" aca="true" ref="V325" ca="true">COUNTIFS('Unit-Level Data'!$L:$L, "&gt;=" &amp; ($X$2 - T$5),
          'Unit-Level Data'!$L:$L, "&lt;" &amp; $X$2,
          'Unit-Level Data'!$D:$D, INDIRECT("C"&amp;ROW()),
          'Unit-Level Data'!$B:$B, INDIRECT("B"&amp;ROW()))</f>
        <v>0</v>
      </c>
      <c r="W325" s="738" t="str" cm="1">
        <f t="array" aca="true" ref="W3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5" s="760" t="str" cm="1">
        <f t="array" aca="true" ref="X3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5" s="733" cm="1">
        <f t="array" aca="true" ref="Y325" ca="true">COUNTIFS('Unit-Level Data'!$L:$L, "&gt;=" &amp; ($X$2 - W$5),
          'Unit-Level Data'!$L:$L, "&lt;" &amp; $X$2,
          'Unit-Level Data'!$D:$D, INDIRECT("C"&amp;ROW()),
          'Unit-Level Data'!$B:$B, INDIRECT("B"&amp;ROW()))</f>
        <v>0</v>
      </c>
      <c r="Z325" s="761"/>
      <c r="AA325" s="735" cm="1">
        <f t="array" aca="true" ref="AA325" ca="true">IFERROR(AVERAGEIFS(
  unit_details[Sqft],
  unit_details[Property Name], INDIRECT("B"&amp;ROW()),
  unit_details[Floorplan Name], INDIRECT("C"&amp;ROW()),
  unit_details[Beds], INDIRECT("D"&amp;ROW()),
  unit_details[Detected Unit Amenities], "*"&amp;$AB$3&amp;"*",
  unit_details[Leased Date], "&gt;=" &amp; ($X$2 - $AD$3)
),0)</f>
        <v>0</v>
      </c>
      <c r="AB325" s="734" cm="1">
        <f t="array" aca="true" ref="AB3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5" s="733" cm="1">
        <f t="array" aca="true" ref="AC325" ca="true">IFERROR(COUNTIFS(
  unit_details[Property Name], INDIRECT("B"&amp;ROW()),
  unit_details[Floorplan Name], INDIRECT("C"&amp;ROW()),
  unit_details[Beds], INDIRECT("D"&amp;ROW()),
  unit_details[Detected Unit Amenities], "*"&amp;$AB$3&amp;"*",
  unit_details[Leased Date], "&gt;=" &amp; ($X$2 - $AD$3)
),0)</f>
        <v>0</v>
      </c>
      <c r="AD325" s="735" cm="1">
        <f t="array" aca="true" ref="AD325" ca="true">IFERROR(AVERAGEIFS(
  unit_details[Sqft],
  unit_details[Property Name], INDIRECT("B"&amp;ROW()),
  unit_details[Floorplan Name], INDIRECT("C"&amp;ROW()),
  unit_details[Beds], INDIRECT("D"&amp;ROW()),
  unit_details[Detected Unit Amenities], "&lt;&gt;*"&amp;$AB$3&amp;"*",
  unit_details[Leased Date], "&gt;=" &amp; ($X$2 - $AD$3)
),0)</f>
        <v>0</v>
      </c>
      <c r="AE325" s="734" cm="1">
        <f t="array" aca="true" ref="AE3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5" s="733" cm="1">
        <f t="array" aca="true" ref="AF325" ca="true">IFERROR(COUNTIFS(
  unit_details[Property Name], INDIRECT("B"&amp;ROW()),
  unit_details[Floorplan Name], INDIRECT("C"&amp;ROW()),
  unit_details[Beds], INDIRECT("D"&amp;ROW()),
  unit_details[Detected Unit Amenities], "&lt;&gt;*"&amp;$AB$3&amp;"*",
  unit_details[Leased Date], "&gt;=" &amp; ($X$2 - $AD$3)
),0)</f>
        <v>0</v>
      </c>
      <c r="AG325" s="735"/>
      <c r="AH325" s="738">
        <f t="shared" ca="true" si="10"/>
        <v>0</v>
      </c>
      <c r="AI325" s="739">
        <f t="shared" ca="true" si="11"/>
        <v>0</v>
      </c>
    </row>
    <row r="326" spans="2:35">
      <c r="B326" s="1"/>
      <c r="C326" s="80"/>
      <c r="E326" s="303"/>
      <c r="F326" s="303"/>
      <c r="J326" s="345"/>
      <c r="K326" s="6"/>
      <c r="M326" s="745"/>
      <c r="N326" s="738" t="str" cm="1">
        <f t="array" aca="true" ref="N326" ca="true">IFERROR(IF($O$3="Chunk Rent",
AVERAGEIFS('Unit-Level Data'!$O:$O,'Unit-Level Data'!$M:$M,TRUE,
          'Unit-Level Data'!$D:$D, INDIRECT("C"&amp;ROW()),
          'Unit-Level Data'!$B:$B, INDIRECT("B"&amp;ROW())),
AVERAGEIFS('Unit-Level Data'!$P:$P,'Unit-Level Data'!$M:$M,TRUE,
          'Unit-Level Data'!$D:$D, INDIRECT("C"&amp;ROW()),
          'Unit-Level Data'!$B:$B, INDIRECT("B"&amp;ROW()))),"")</f>
      </c>
      <c r="O326" s="760" t="str" cm="1">
        <f t="array" aca="true" ref="O326" ca="true">IFERROR(IF($O$3="Chunk Rent",
AVERAGEIFS('Unit-Level Data'!$Q:$Q,'Unit-Level Data'!$M:$M,TRUE,
          'Unit-Level Data'!$D:$D, INDIRECT("C"&amp;ROW()),
          'Unit-Level Data'!$B:$B, INDIRECT("B"&amp;ROW())),
AVERAGEIFS('Unit-Level Data'!$R:$R,'Unit-Level Data'!$M:$M,TRUE,
          'Unit-Level Data'!$D:$D, INDIRECT("C"&amp;ROW()),
          'Unit-Level Data'!$B:$B, INDIRECT("B"&amp;ROW()))),"")</f>
      </c>
      <c r="P326" s="733" cm="1">
        <f t="array" aca="true" ref="P326" ca="true">COUNTIFS('Unit-Level Data'!$M:$M,TRUE,
          'Unit-Level Data'!$D:$D, INDIRECT("C"&amp;ROW()),
          'Unit-Level Data'!$B:$B, INDIRECT("B"&amp;ROW()))</f>
        <v>0</v>
      </c>
      <c r="Q326" s="738" t="str" cm="1">
        <f t="array" aca="true" ref="Q3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6" s="760" t="str" cm="1">
        <f t="array" aca="true" ref="R3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6" s="733" cm="1">
        <f t="array" aca="true" ref="S326" ca="true">COUNTIFS('Unit-Level Data'!$L:$L, "&gt;=" &amp; ($X$2 - Q$5),
          'Unit-Level Data'!$L:$L, "&lt;" &amp; $X$2,
          'Unit-Level Data'!$D:$D, INDIRECT("C"&amp;ROW()),
          'Unit-Level Data'!$B:$B, INDIRECT("B"&amp;ROW()))</f>
        <v>0</v>
      </c>
      <c r="T326" s="738" t="str" cm="1">
        <f t="array" aca="true" ref="T3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6" s="760" t="str" cm="1">
        <f t="array" aca="true" ref="U3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6" s="733" cm="1">
        <f t="array" aca="true" ref="V326" ca="true">COUNTIFS('Unit-Level Data'!$L:$L, "&gt;=" &amp; ($X$2 - T$5),
          'Unit-Level Data'!$L:$L, "&lt;" &amp; $X$2,
          'Unit-Level Data'!$D:$D, INDIRECT("C"&amp;ROW()),
          'Unit-Level Data'!$B:$B, INDIRECT("B"&amp;ROW()))</f>
        <v>0</v>
      </c>
      <c r="W326" s="738" t="str" cm="1">
        <f t="array" aca="true" ref="W3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6" s="760" t="str" cm="1">
        <f t="array" aca="true" ref="X3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6" s="733" cm="1">
        <f t="array" aca="true" ref="Y326" ca="true">COUNTIFS('Unit-Level Data'!$L:$L, "&gt;=" &amp; ($X$2 - W$5),
          'Unit-Level Data'!$L:$L, "&lt;" &amp; $X$2,
          'Unit-Level Data'!$D:$D, INDIRECT("C"&amp;ROW()),
          'Unit-Level Data'!$B:$B, INDIRECT("B"&amp;ROW()))</f>
        <v>0</v>
      </c>
      <c r="Z326" s="761"/>
      <c r="AA326" s="735" cm="1">
        <f t="array" aca="true" ref="AA326" ca="true">IFERROR(AVERAGEIFS(
  unit_details[Sqft],
  unit_details[Property Name], INDIRECT("B"&amp;ROW()),
  unit_details[Floorplan Name], INDIRECT("C"&amp;ROW()),
  unit_details[Beds], INDIRECT("D"&amp;ROW()),
  unit_details[Detected Unit Amenities], "*"&amp;$AB$3&amp;"*",
  unit_details[Leased Date], "&gt;=" &amp; ($X$2 - $AD$3)
),0)</f>
        <v>0</v>
      </c>
      <c r="AB326" s="734" cm="1">
        <f t="array" aca="true" ref="AB3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6" s="733" cm="1">
        <f t="array" aca="true" ref="AC326" ca="true">IFERROR(COUNTIFS(
  unit_details[Property Name], INDIRECT("B"&amp;ROW()),
  unit_details[Floorplan Name], INDIRECT("C"&amp;ROW()),
  unit_details[Beds], INDIRECT("D"&amp;ROW()),
  unit_details[Detected Unit Amenities], "*"&amp;$AB$3&amp;"*",
  unit_details[Leased Date], "&gt;=" &amp; ($X$2 - $AD$3)
),0)</f>
        <v>0</v>
      </c>
      <c r="AD326" s="735" cm="1">
        <f t="array" aca="true" ref="AD326" ca="true">IFERROR(AVERAGEIFS(
  unit_details[Sqft],
  unit_details[Property Name], INDIRECT("B"&amp;ROW()),
  unit_details[Floorplan Name], INDIRECT("C"&amp;ROW()),
  unit_details[Beds], INDIRECT("D"&amp;ROW()),
  unit_details[Detected Unit Amenities], "&lt;&gt;*"&amp;$AB$3&amp;"*",
  unit_details[Leased Date], "&gt;=" &amp; ($X$2 - $AD$3)
),0)</f>
        <v>0</v>
      </c>
      <c r="AE326" s="734" cm="1">
        <f t="array" aca="true" ref="AE3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6" s="733" cm="1">
        <f t="array" aca="true" ref="AF326" ca="true">IFERROR(COUNTIFS(
  unit_details[Property Name], INDIRECT("B"&amp;ROW()),
  unit_details[Floorplan Name], INDIRECT("C"&amp;ROW()),
  unit_details[Beds], INDIRECT("D"&amp;ROW()),
  unit_details[Detected Unit Amenities], "&lt;&gt;*"&amp;$AB$3&amp;"*",
  unit_details[Leased Date], "&gt;=" &amp; ($X$2 - $AD$3)
),0)</f>
        <v>0</v>
      </c>
      <c r="AG326" s="735"/>
      <c r="AH326" s="738">
        <f t="shared" ca="true" si="10"/>
        <v>0</v>
      </c>
      <c r="AI326" s="739">
        <f t="shared" ca="true" si="11"/>
        <v>0</v>
      </c>
    </row>
    <row r="327" spans="2:35">
      <c r="B327" s="1"/>
      <c r="C327" s="80"/>
      <c r="E327" s="303"/>
      <c r="F327" s="303"/>
      <c r="J327" s="345"/>
      <c r="K327" s="6"/>
      <c r="M327" s="745"/>
      <c r="N327" s="738" t="str" cm="1">
        <f t="array" aca="true" ref="N327" ca="true">IFERROR(IF($O$3="Chunk Rent",
AVERAGEIFS('Unit-Level Data'!$O:$O,'Unit-Level Data'!$M:$M,TRUE,
          'Unit-Level Data'!$D:$D, INDIRECT("C"&amp;ROW()),
          'Unit-Level Data'!$B:$B, INDIRECT("B"&amp;ROW())),
AVERAGEIFS('Unit-Level Data'!$P:$P,'Unit-Level Data'!$M:$M,TRUE,
          'Unit-Level Data'!$D:$D, INDIRECT("C"&amp;ROW()),
          'Unit-Level Data'!$B:$B, INDIRECT("B"&amp;ROW()))),"")</f>
      </c>
      <c r="O327" s="760" t="str" cm="1">
        <f t="array" aca="true" ref="O327" ca="true">IFERROR(IF($O$3="Chunk Rent",
AVERAGEIFS('Unit-Level Data'!$Q:$Q,'Unit-Level Data'!$M:$M,TRUE,
          'Unit-Level Data'!$D:$D, INDIRECT("C"&amp;ROW()),
          'Unit-Level Data'!$B:$B, INDIRECT("B"&amp;ROW())),
AVERAGEIFS('Unit-Level Data'!$R:$R,'Unit-Level Data'!$M:$M,TRUE,
          'Unit-Level Data'!$D:$D, INDIRECT("C"&amp;ROW()),
          'Unit-Level Data'!$B:$B, INDIRECT("B"&amp;ROW()))),"")</f>
      </c>
      <c r="P327" s="733" cm="1">
        <f t="array" aca="true" ref="P327" ca="true">COUNTIFS('Unit-Level Data'!$M:$M,TRUE,
          'Unit-Level Data'!$D:$D, INDIRECT("C"&amp;ROW()),
          'Unit-Level Data'!$B:$B, INDIRECT("B"&amp;ROW()))</f>
        <v>0</v>
      </c>
      <c r="Q327" s="738" t="str" cm="1">
        <f t="array" aca="true" ref="Q3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7" s="760" t="str" cm="1">
        <f t="array" aca="true" ref="R3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7" s="733" cm="1">
        <f t="array" aca="true" ref="S327" ca="true">COUNTIFS('Unit-Level Data'!$L:$L, "&gt;=" &amp; ($X$2 - Q$5),
          'Unit-Level Data'!$L:$L, "&lt;" &amp; $X$2,
          'Unit-Level Data'!$D:$D, INDIRECT("C"&amp;ROW()),
          'Unit-Level Data'!$B:$B, INDIRECT("B"&amp;ROW()))</f>
        <v>0</v>
      </c>
      <c r="T327" s="738" t="str" cm="1">
        <f t="array" aca="true" ref="T3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7" s="760" t="str" cm="1">
        <f t="array" aca="true" ref="U3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7" s="733" cm="1">
        <f t="array" aca="true" ref="V327" ca="true">COUNTIFS('Unit-Level Data'!$L:$L, "&gt;=" &amp; ($X$2 - T$5),
          'Unit-Level Data'!$L:$L, "&lt;" &amp; $X$2,
          'Unit-Level Data'!$D:$D, INDIRECT("C"&amp;ROW()),
          'Unit-Level Data'!$B:$B, INDIRECT("B"&amp;ROW()))</f>
        <v>0</v>
      </c>
      <c r="W327" s="738" t="str" cm="1">
        <f t="array" aca="true" ref="W3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7" s="760" t="str" cm="1">
        <f t="array" aca="true" ref="X3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7" s="733" cm="1">
        <f t="array" aca="true" ref="Y327" ca="true">COUNTIFS('Unit-Level Data'!$L:$L, "&gt;=" &amp; ($X$2 - W$5),
          'Unit-Level Data'!$L:$L, "&lt;" &amp; $X$2,
          'Unit-Level Data'!$D:$D, INDIRECT("C"&amp;ROW()),
          'Unit-Level Data'!$B:$B, INDIRECT("B"&amp;ROW()))</f>
        <v>0</v>
      </c>
      <c r="Z327" s="761"/>
      <c r="AA327" s="735" cm="1">
        <f t="array" aca="true" ref="AA327" ca="true">IFERROR(AVERAGEIFS(
  unit_details[Sqft],
  unit_details[Property Name], INDIRECT("B"&amp;ROW()),
  unit_details[Floorplan Name], INDIRECT("C"&amp;ROW()),
  unit_details[Beds], INDIRECT("D"&amp;ROW()),
  unit_details[Detected Unit Amenities], "*"&amp;$AB$3&amp;"*",
  unit_details[Leased Date], "&gt;=" &amp; ($X$2 - $AD$3)
),0)</f>
        <v>0</v>
      </c>
      <c r="AB327" s="734" cm="1">
        <f t="array" aca="true" ref="AB3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7" s="733" cm="1">
        <f t="array" aca="true" ref="AC327" ca="true">IFERROR(COUNTIFS(
  unit_details[Property Name], INDIRECT("B"&amp;ROW()),
  unit_details[Floorplan Name], INDIRECT("C"&amp;ROW()),
  unit_details[Beds], INDIRECT("D"&amp;ROW()),
  unit_details[Detected Unit Amenities], "*"&amp;$AB$3&amp;"*",
  unit_details[Leased Date], "&gt;=" &amp; ($X$2 - $AD$3)
),0)</f>
        <v>0</v>
      </c>
      <c r="AD327" s="735" cm="1">
        <f t="array" aca="true" ref="AD327" ca="true">IFERROR(AVERAGEIFS(
  unit_details[Sqft],
  unit_details[Property Name], INDIRECT("B"&amp;ROW()),
  unit_details[Floorplan Name], INDIRECT("C"&amp;ROW()),
  unit_details[Beds], INDIRECT("D"&amp;ROW()),
  unit_details[Detected Unit Amenities], "&lt;&gt;*"&amp;$AB$3&amp;"*",
  unit_details[Leased Date], "&gt;=" &amp; ($X$2 - $AD$3)
),0)</f>
        <v>0</v>
      </c>
      <c r="AE327" s="734" cm="1">
        <f t="array" aca="true" ref="AE3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7" s="733" cm="1">
        <f t="array" aca="true" ref="AF327" ca="true">IFERROR(COUNTIFS(
  unit_details[Property Name], INDIRECT("B"&amp;ROW()),
  unit_details[Floorplan Name], INDIRECT("C"&amp;ROW()),
  unit_details[Beds], INDIRECT("D"&amp;ROW()),
  unit_details[Detected Unit Amenities], "&lt;&gt;*"&amp;$AB$3&amp;"*",
  unit_details[Leased Date], "&gt;=" &amp; ($X$2 - $AD$3)
),0)</f>
        <v>0</v>
      </c>
      <c r="AG327" s="735"/>
      <c r="AH327" s="738">
        <f t="shared" ca="true" si="10"/>
        <v>0</v>
      </c>
      <c r="AI327" s="739">
        <f t="shared" ca="true" si="11"/>
        <v>0</v>
      </c>
    </row>
    <row r="328" spans="2:35">
      <c r="B328" s="1"/>
      <c r="C328" s="80"/>
      <c r="E328" s="303"/>
      <c r="F328" s="303"/>
      <c r="J328" s="345"/>
      <c r="K328" s="6"/>
      <c r="M328" s="745"/>
      <c r="N328" s="738" t="str" cm="1">
        <f t="array" aca="true" ref="N328" ca="true">IFERROR(IF($O$3="Chunk Rent",
AVERAGEIFS('Unit-Level Data'!$O:$O,'Unit-Level Data'!$M:$M,TRUE,
          'Unit-Level Data'!$D:$D, INDIRECT("C"&amp;ROW()),
          'Unit-Level Data'!$B:$B, INDIRECT("B"&amp;ROW())),
AVERAGEIFS('Unit-Level Data'!$P:$P,'Unit-Level Data'!$M:$M,TRUE,
          'Unit-Level Data'!$D:$D, INDIRECT("C"&amp;ROW()),
          'Unit-Level Data'!$B:$B, INDIRECT("B"&amp;ROW()))),"")</f>
      </c>
      <c r="O328" s="760" t="str" cm="1">
        <f t="array" aca="true" ref="O328" ca="true">IFERROR(IF($O$3="Chunk Rent",
AVERAGEIFS('Unit-Level Data'!$Q:$Q,'Unit-Level Data'!$M:$M,TRUE,
          'Unit-Level Data'!$D:$D, INDIRECT("C"&amp;ROW()),
          'Unit-Level Data'!$B:$B, INDIRECT("B"&amp;ROW())),
AVERAGEIFS('Unit-Level Data'!$R:$R,'Unit-Level Data'!$M:$M,TRUE,
          'Unit-Level Data'!$D:$D, INDIRECT("C"&amp;ROW()),
          'Unit-Level Data'!$B:$B, INDIRECT("B"&amp;ROW()))),"")</f>
      </c>
      <c r="P328" s="733" cm="1">
        <f t="array" aca="true" ref="P328" ca="true">COUNTIFS('Unit-Level Data'!$M:$M,TRUE,
          'Unit-Level Data'!$D:$D, INDIRECT("C"&amp;ROW()),
          'Unit-Level Data'!$B:$B, INDIRECT("B"&amp;ROW()))</f>
        <v>0</v>
      </c>
      <c r="Q328" s="738" t="str" cm="1">
        <f t="array" aca="true" ref="Q3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8" s="760" t="str" cm="1">
        <f t="array" aca="true" ref="R3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8" s="733" cm="1">
        <f t="array" aca="true" ref="S328" ca="true">COUNTIFS('Unit-Level Data'!$L:$L, "&gt;=" &amp; ($X$2 - Q$5),
          'Unit-Level Data'!$L:$L, "&lt;" &amp; $X$2,
          'Unit-Level Data'!$D:$D, INDIRECT("C"&amp;ROW()),
          'Unit-Level Data'!$B:$B, INDIRECT("B"&amp;ROW()))</f>
        <v>0</v>
      </c>
      <c r="T328" s="738" t="str" cm="1">
        <f t="array" aca="true" ref="T3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8" s="760" t="str" cm="1">
        <f t="array" aca="true" ref="U3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8" s="733" cm="1">
        <f t="array" aca="true" ref="V328" ca="true">COUNTIFS('Unit-Level Data'!$L:$L, "&gt;=" &amp; ($X$2 - T$5),
          'Unit-Level Data'!$L:$L, "&lt;" &amp; $X$2,
          'Unit-Level Data'!$D:$D, INDIRECT("C"&amp;ROW()),
          'Unit-Level Data'!$B:$B, INDIRECT("B"&amp;ROW()))</f>
        <v>0</v>
      </c>
      <c r="W328" s="738" t="str" cm="1">
        <f t="array" aca="true" ref="W3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8" s="760" t="str" cm="1">
        <f t="array" aca="true" ref="X3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8" s="733" cm="1">
        <f t="array" aca="true" ref="Y328" ca="true">COUNTIFS('Unit-Level Data'!$L:$L, "&gt;=" &amp; ($X$2 - W$5),
          'Unit-Level Data'!$L:$L, "&lt;" &amp; $X$2,
          'Unit-Level Data'!$D:$D, INDIRECT("C"&amp;ROW()),
          'Unit-Level Data'!$B:$B, INDIRECT("B"&amp;ROW()))</f>
        <v>0</v>
      </c>
      <c r="Z328" s="761"/>
      <c r="AA328" s="735" cm="1">
        <f t="array" aca="true" ref="AA328" ca="true">IFERROR(AVERAGEIFS(
  unit_details[Sqft],
  unit_details[Property Name], INDIRECT("B"&amp;ROW()),
  unit_details[Floorplan Name], INDIRECT("C"&amp;ROW()),
  unit_details[Beds], INDIRECT("D"&amp;ROW()),
  unit_details[Detected Unit Amenities], "*"&amp;$AB$3&amp;"*",
  unit_details[Leased Date], "&gt;=" &amp; ($X$2 - $AD$3)
),0)</f>
        <v>0</v>
      </c>
      <c r="AB328" s="734" cm="1">
        <f t="array" aca="true" ref="AB3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8" s="733" cm="1">
        <f t="array" aca="true" ref="AC328" ca="true">IFERROR(COUNTIFS(
  unit_details[Property Name], INDIRECT("B"&amp;ROW()),
  unit_details[Floorplan Name], INDIRECT("C"&amp;ROW()),
  unit_details[Beds], INDIRECT("D"&amp;ROW()),
  unit_details[Detected Unit Amenities], "*"&amp;$AB$3&amp;"*",
  unit_details[Leased Date], "&gt;=" &amp; ($X$2 - $AD$3)
),0)</f>
        <v>0</v>
      </c>
      <c r="AD328" s="735" cm="1">
        <f t="array" aca="true" ref="AD328" ca="true">IFERROR(AVERAGEIFS(
  unit_details[Sqft],
  unit_details[Property Name], INDIRECT("B"&amp;ROW()),
  unit_details[Floorplan Name], INDIRECT("C"&amp;ROW()),
  unit_details[Beds], INDIRECT("D"&amp;ROW()),
  unit_details[Detected Unit Amenities], "&lt;&gt;*"&amp;$AB$3&amp;"*",
  unit_details[Leased Date], "&gt;=" &amp; ($X$2 - $AD$3)
),0)</f>
        <v>0</v>
      </c>
      <c r="AE328" s="734" cm="1">
        <f t="array" aca="true" ref="AE3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8" s="733" cm="1">
        <f t="array" aca="true" ref="AF328" ca="true">IFERROR(COUNTIFS(
  unit_details[Property Name], INDIRECT("B"&amp;ROW()),
  unit_details[Floorplan Name], INDIRECT("C"&amp;ROW()),
  unit_details[Beds], INDIRECT("D"&amp;ROW()),
  unit_details[Detected Unit Amenities], "&lt;&gt;*"&amp;$AB$3&amp;"*",
  unit_details[Leased Date], "&gt;=" &amp; ($X$2 - $AD$3)
),0)</f>
        <v>0</v>
      </c>
      <c r="AG328" s="735"/>
      <c r="AH328" s="738">
        <f t="shared" ca="true" si="10"/>
        <v>0</v>
      </c>
      <c r="AI328" s="739">
        <f t="shared" ca="true" si="11"/>
        <v>0</v>
      </c>
    </row>
    <row r="329" spans="2:35">
      <c r="B329" s="1"/>
      <c r="C329" s="80"/>
      <c r="E329" s="303"/>
      <c r="F329" s="303"/>
      <c r="J329" s="345"/>
      <c r="K329" s="6"/>
      <c r="M329" s="745"/>
      <c r="N329" s="738" t="str" cm="1">
        <f t="array" aca="true" ref="N329" ca="true">IFERROR(IF($O$3="Chunk Rent",
AVERAGEIFS('Unit-Level Data'!$O:$O,'Unit-Level Data'!$M:$M,TRUE,
          'Unit-Level Data'!$D:$D, INDIRECT("C"&amp;ROW()),
          'Unit-Level Data'!$B:$B, INDIRECT("B"&amp;ROW())),
AVERAGEIFS('Unit-Level Data'!$P:$P,'Unit-Level Data'!$M:$M,TRUE,
          'Unit-Level Data'!$D:$D, INDIRECT("C"&amp;ROW()),
          'Unit-Level Data'!$B:$B, INDIRECT("B"&amp;ROW()))),"")</f>
      </c>
      <c r="O329" s="760" t="str" cm="1">
        <f t="array" aca="true" ref="O329" ca="true">IFERROR(IF($O$3="Chunk Rent",
AVERAGEIFS('Unit-Level Data'!$Q:$Q,'Unit-Level Data'!$M:$M,TRUE,
          'Unit-Level Data'!$D:$D, INDIRECT("C"&amp;ROW()),
          'Unit-Level Data'!$B:$B, INDIRECT("B"&amp;ROW())),
AVERAGEIFS('Unit-Level Data'!$R:$R,'Unit-Level Data'!$M:$M,TRUE,
          'Unit-Level Data'!$D:$D, INDIRECT("C"&amp;ROW()),
          'Unit-Level Data'!$B:$B, INDIRECT("B"&amp;ROW()))),"")</f>
      </c>
      <c r="P329" s="733" cm="1">
        <f t="array" aca="true" ref="P329" ca="true">COUNTIFS('Unit-Level Data'!$M:$M,TRUE,
          'Unit-Level Data'!$D:$D, INDIRECT("C"&amp;ROW()),
          'Unit-Level Data'!$B:$B, INDIRECT("B"&amp;ROW()))</f>
        <v>0</v>
      </c>
      <c r="Q329" s="738" t="str" cm="1">
        <f t="array" aca="true" ref="Q3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9" s="760" t="str" cm="1">
        <f t="array" aca="true" ref="R3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9" s="733" cm="1">
        <f t="array" aca="true" ref="S329" ca="true">COUNTIFS('Unit-Level Data'!$L:$L, "&gt;=" &amp; ($X$2 - Q$5),
          'Unit-Level Data'!$L:$L, "&lt;" &amp; $X$2,
          'Unit-Level Data'!$D:$D, INDIRECT("C"&amp;ROW()),
          'Unit-Level Data'!$B:$B, INDIRECT("B"&amp;ROW()))</f>
        <v>0</v>
      </c>
      <c r="T329" s="738" t="str" cm="1">
        <f t="array" aca="true" ref="T3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9" s="760" t="str" cm="1">
        <f t="array" aca="true" ref="U3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9" s="733" cm="1">
        <f t="array" aca="true" ref="V329" ca="true">COUNTIFS('Unit-Level Data'!$L:$L, "&gt;=" &amp; ($X$2 - T$5),
          'Unit-Level Data'!$L:$L, "&lt;" &amp; $X$2,
          'Unit-Level Data'!$D:$D, INDIRECT("C"&amp;ROW()),
          'Unit-Level Data'!$B:$B, INDIRECT("B"&amp;ROW()))</f>
        <v>0</v>
      </c>
      <c r="W329" s="738" t="str" cm="1">
        <f t="array" aca="true" ref="W3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9" s="760" t="str" cm="1">
        <f t="array" aca="true" ref="X3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9" s="733" cm="1">
        <f t="array" aca="true" ref="Y329" ca="true">COUNTIFS('Unit-Level Data'!$L:$L, "&gt;=" &amp; ($X$2 - W$5),
          'Unit-Level Data'!$L:$L, "&lt;" &amp; $X$2,
          'Unit-Level Data'!$D:$D, INDIRECT("C"&amp;ROW()),
          'Unit-Level Data'!$B:$B, INDIRECT("B"&amp;ROW()))</f>
        <v>0</v>
      </c>
      <c r="Z329" s="761"/>
      <c r="AA329" s="735" cm="1">
        <f t="array" aca="true" ref="AA329" ca="true">IFERROR(AVERAGEIFS(
  unit_details[Sqft],
  unit_details[Property Name], INDIRECT("B"&amp;ROW()),
  unit_details[Floorplan Name], INDIRECT("C"&amp;ROW()),
  unit_details[Beds], INDIRECT("D"&amp;ROW()),
  unit_details[Detected Unit Amenities], "*"&amp;$AB$3&amp;"*",
  unit_details[Leased Date], "&gt;=" &amp; ($X$2 - $AD$3)
),0)</f>
        <v>0</v>
      </c>
      <c r="AB329" s="734" cm="1">
        <f t="array" aca="true" ref="AB3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9" s="733" cm="1">
        <f t="array" aca="true" ref="AC329" ca="true">IFERROR(COUNTIFS(
  unit_details[Property Name], INDIRECT("B"&amp;ROW()),
  unit_details[Floorplan Name], INDIRECT("C"&amp;ROW()),
  unit_details[Beds], INDIRECT("D"&amp;ROW()),
  unit_details[Detected Unit Amenities], "*"&amp;$AB$3&amp;"*",
  unit_details[Leased Date], "&gt;=" &amp; ($X$2 - $AD$3)
),0)</f>
        <v>0</v>
      </c>
      <c r="AD329" s="735" cm="1">
        <f t="array" aca="true" ref="AD329" ca="true">IFERROR(AVERAGEIFS(
  unit_details[Sqft],
  unit_details[Property Name], INDIRECT("B"&amp;ROW()),
  unit_details[Floorplan Name], INDIRECT("C"&amp;ROW()),
  unit_details[Beds], INDIRECT("D"&amp;ROW()),
  unit_details[Detected Unit Amenities], "&lt;&gt;*"&amp;$AB$3&amp;"*",
  unit_details[Leased Date], "&gt;=" &amp; ($X$2 - $AD$3)
),0)</f>
        <v>0</v>
      </c>
      <c r="AE329" s="734" cm="1">
        <f t="array" aca="true" ref="AE3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9" s="733" cm="1">
        <f t="array" aca="true" ref="AF329" ca="true">IFERROR(COUNTIFS(
  unit_details[Property Name], INDIRECT("B"&amp;ROW()),
  unit_details[Floorplan Name], INDIRECT("C"&amp;ROW()),
  unit_details[Beds], INDIRECT("D"&amp;ROW()),
  unit_details[Detected Unit Amenities], "&lt;&gt;*"&amp;$AB$3&amp;"*",
  unit_details[Leased Date], "&gt;=" &amp; ($X$2 - $AD$3)
),0)</f>
        <v>0</v>
      </c>
      <c r="AG329" s="735"/>
      <c r="AH329" s="738">
        <f t="shared" ref="AH329:AH392" ca="true" si="12">IF(OR(AB329=0,AE329=0),0,IFERROR(AB329-AE329,0))</f>
        <v>0</v>
      </c>
      <c r="AI329" s="739">
        <f t="shared" ref="AI329:AI392" ca="true" si="13">IFERROR(AH329/AE329,0)</f>
        <v>0</v>
      </c>
    </row>
    <row r="330" spans="2:35">
      <c r="B330" s="1"/>
      <c r="C330" s="80"/>
      <c r="E330" s="303"/>
      <c r="F330" s="303"/>
      <c r="J330" s="345"/>
      <c r="K330" s="6"/>
      <c r="M330" s="745"/>
      <c r="N330" s="738" t="str" cm="1">
        <f t="array" aca="true" ref="N330" ca="true">IFERROR(IF($O$3="Chunk Rent",
AVERAGEIFS('Unit-Level Data'!$O:$O,'Unit-Level Data'!$M:$M,TRUE,
          'Unit-Level Data'!$D:$D, INDIRECT("C"&amp;ROW()),
          'Unit-Level Data'!$B:$B, INDIRECT("B"&amp;ROW())),
AVERAGEIFS('Unit-Level Data'!$P:$P,'Unit-Level Data'!$M:$M,TRUE,
          'Unit-Level Data'!$D:$D, INDIRECT("C"&amp;ROW()),
          'Unit-Level Data'!$B:$B, INDIRECT("B"&amp;ROW()))),"")</f>
      </c>
      <c r="O330" s="760" t="str" cm="1">
        <f t="array" aca="true" ref="O330" ca="true">IFERROR(IF($O$3="Chunk Rent",
AVERAGEIFS('Unit-Level Data'!$Q:$Q,'Unit-Level Data'!$M:$M,TRUE,
          'Unit-Level Data'!$D:$D, INDIRECT("C"&amp;ROW()),
          'Unit-Level Data'!$B:$B, INDIRECT("B"&amp;ROW())),
AVERAGEIFS('Unit-Level Data'!$R:$R,'Unit-Level Data'!$M:$M,TRUE,
          'Unit-Level Data'!$D:$D, INDIRECT("C"&amp;ROW()),
          'Unit-Level Data'!$B:$B, INDIRECT("B"&amp;ROW()))),"")</f>
      </c>
      <c r="P330" s="733" cm="1">
        <f t="array" aca="true" ref="P330" ca="true">COUNTIFS('Unit-Level Data'!$M:$M,TRUE,
          'Unit-Level Data'!$D:$D, INDIRECT("C"&amp;ROW()),
          'Unit-Level Data'!$B:$B, INDIRECT("B"&amp;ROW()))</f>
        <v>0</v>
      </c>
      <c r="Q330" s="738" t="str" cm="1">
        <f t="array" aca="true" ref="Q3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0" s="760" t="str" cm="1">
        <f t="array" aca="true" ref="R3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0" s="733" cm="1">
        <f t="array" aca="true" ref="S330" ca="true">COUNTIFS('Unit-Level Data'!$L:$L, "&gt;=" &amp; ($X$2 - Q$5),
          'Unit-Level Data'!$L:$L, "&lt;" &amp; $X$2,
          'Unit-Level Data'!$D:$D, INDIRECT("C"&amp;ROW()),
          'Unit-Level Data'!$B:$B, INDIRECT("B"&amp;ROW()))</f>
        <v>0</v>
      </c>
      <c r="T330" s="738" t="str" cm="1">
        <f t="array" aca="true" ref="T3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0" s="760" t="str" cm="1">
        <f t="array" aca="true" ref="U3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0" s="733" cm="1">
        <f t="array" aca="true" ref="V330" ca="true">COUNTIFS('Unit-Level Data'!$L:$L, "&gt;=" &amp; ($X$2 - T$5),
          'Unit-Level Data'!$L:$L, "&lt;" &amp; $X$2,
          'Unit-Level Data'!$D:$D, INDIRECT("C"&amp;ROW()),
          'Unit-Level Data'!$B:$B, INDIRECT("B"&amp;ROW()))</f>
        <v>0</v>
      </c>
      <c r="W330" s="738" t="str" cm="1">
        <f t="array" aca="true" ref="W3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0" s="760" t="str" cm="1">
        <f t="array" aca="true" ref="X3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0" s="733" cm="1">
        <f t="array" aca="true" ref="Y330" ca="true">COUNTIFS('Unit-Level Data'!$L:$L, "&gt;=" &amp; ($X$2 - W$5),
          'Unit-Level Data'!$L:$L, "&lt;" &amp; $X$2,
          'Unit-Level Data'!$D:$D, INDIRECT("C"&amp;ROW()),
          'Unit-Level Data'!$B:$B, INDIRECT("B"&amp;ROW()))</f>
        <v>0</v>
      </c>
      <c r="Z330" s="761"/>
      <c r="AA330" s="735" cm="1">
        <f t="array" aca="true" ref="AA330" ca="true">IFERROR(AVERAGEIFS(
  unit_details[Sqft],
  unit_details[Property Name], INDIRECT("B"&amp;ROW()),
  unit_details[Floorplan Name], INDIRECT("C"&amp;ROW()),
  unit_details[Beds], INDIRECT("D"&amp;ROW()),
  unit_details[Detected Unit Amenities], "*"&amp;$AB$3&amp;"*",
  unit_details[Leased Date], "&gt;=" &amp; ($X$2 - $AD$3)
),0)</f>
        <v>0</v>
      </c>
      <c r="AB330" s="734" cm="1">
        <f t="array" aca="true" ref="AB3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0" s="733" cm="1">
        <f t="array" aca="true" ref="AC330" ca="true">IFERROR(COUNTIFS(
  unit_details[Property Name], INDIRECT("B"&amp;ROW()),
  unit_details[Floorplan Name], INDIRECT("C"&amp;ROW()),
  unit_details[Beds], INDIRECT("D"&amp;ROW()),
  unit_details[Detected Unit Amenities], "*"&amp;$AB$3&amp;"*",
  unit_details[Leased Date], "&gt;=" &amp; ($X$2 - $AD$3)
),0)</f>
        <v>0</v>
      </c>
      <c r="AD330" s="735" cm="1">
        <f t="array" aca="true" ref="AD330" ca="true">IFERROR(AVERAGEIFS(
  unit_details[Sqft],
  unit_details[Property Name], INDIRECT("B"&amp;ROW()),
  unit_details[Floorplan Name], INDIRECT("C"&amp;ROW()),
  unit_details[Beds], INDIRECT("D"&amp;ROW()),
  unit_details[Detected Unit Amenities], "&lt;&gt;*"&amp;$AB$3&amp;"*",
  unit_details[Leased Date], "&gt;=" &amp; ($X$2 - $AD$3)
),0)</f>
        <v>0</v>
      </c>
      <c r="AE330" s="734" cm="1">
        <f t="array" aca="true" ref="AE3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0" s="733" cm="1">
        <f t="array" aca="true" ref="AF330" ca="true">IFERROR(COUNTIFS(
  unit_details[Property Name], INDIRECT("B"&amp;ROW()),
  unit_details[Floorplan Name], INDIRECT("C"&amp;ROW()),
  unit_details[Beds], INDIRECT("D"&amp;ROW()),
  unit_details[Detected Unit Amenities], "&lt;&gt;*"&amp;$AB$3&amp;"*",
  unit_details[Leased Date], "&gt;=" &amp; ($X$2 - $AD$3)
),0)</f>
        <v>0</v>
      </c>
      <c r="AG330" s="735"/>
      <c r="AH330" s="738">
        <f t="shared" ca="true" si="12"/>
        <v>0</v>
      </c>
      <c r="AI330" s="739">
        <f t="shared" ca="true" si="13"/>
        <v>0</v>
      </c>
    </row>
    <row r="331" spans="2:35">
      <c r="B331" s="1"/>
      <c r="C331" s="80"/>
      <c r="E331" s="303"/>
      <c r="F331" s="303"/>
      <c r="J331" s="345"/>
      <c r="K331" s="6"/>
      <c r="M331" s="745"/>
      <c r="N331" s="738" t="str" cm="1">
        <f t="array" aca="true" ref="N331" ca="true">IFERROR(IF($O$3="Chunk Rent",
AVERAGEIFS('Unit-Level Data'!$O:$O,'Unit-Level Data'!$M:$M,TRUE,
          'Unit-Level Data'!$D:$D, INDIRECT("C"&amp;ROW()),
          'Unit-Level Data'!$B:$B, INDIRECT("B"&amp;ROW())),
AVERAGEIFS('Unit-Level Data'!$P:$P,'Unit-Level Data'!$M:$M,TRUE,
          'Unit-Level Data'!$D:$D, INDIRECT("C"&amp;ROW()),
          'Unit-Level Data'!$B:$B, INDIRECT("B"&amp;ROW()))),"")</f>
      </c>
      <c r="O331" s="760" t="str" cm="1">
        <f t="array" aca="true" ref="O331" ca="true">IFERROR(IF($O$3="Chunk Rent",
AVERAGEIFS('Unit-Level Data'!$Q:$Q,'Unit-Level Data'!$M:$M,TRUE,
          'Unit-Level Data'!$D:$D, INDIRECT("C"&amp;ROW()),
          'Unit-Level Data'!$B:$B, INDIRECT("B"&amp;ROW())),
AVERAGEIFS('Unit-Level Data'!$R:$R,'Unit-Level Data'!$M:$M,TRUE,
          'Unit-Level Data'!$D:$D, INDIRECT("C"&amp;ROW()),
          'Unit-Level Data'!$B:$B, INDIRECT("B"&amp;ROW()))),"")</f>
      </c>
      <c r="P331" s="733" cm="1">
        <f t="array" aca="true" ref="P331" ca="true">COUNTIFS('Unit-Level Data'!$M:$M,TRUE,
          'Unit-Level Data'!$D:$D, INDIRECT("C"&amp;ROW()),
          'Unit-Level Data'!$B:$B, INDIRECT("B"&amp;ROW()))</f>
        <v>0</v>
      </c>
      <c r="Q331" s="738" t="str" cm="1">
        <f t="array" aca="true" ref="Q3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1" s="760" t="str" cm="1">
        <f t="array" aca="true" ref="R3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1" s="733" cm="1">
        <f t="array" aca="true" ref="S331" ca="true">COUNTIFS('Unit-Level Data'!$L:$L, "&gt;=" &amp; ($X$2 - Q$5),
          'Unit-Level Data'!$L:$L, "&lt;" &amp; $X$2,
          'Unit-Level Data'!$D:$D, INDIRECT("C"&amp;ROW()),
          'Unit-Level Data'!$B:$B, INDIRECT("B"&amp;ROW()))</f>
        <v>0</v>
      </c>
      <c r="T331" s="738" t="str" cm="1">
        <f t="array" aca="true" ref="T3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1" s="760" t="str" cm="1">
        <f t="array" aca="true" ref="U3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1" s="733" cm="1">
        <f t="array" aca="true" ref="V331" ca="true">COUNTIFS('Unit-Level Data'!$L:$L, "&gt;=" &amp; ($X$2 - T$5),
          'Unit-Level Data'!$L:$L, "&lt;" &amp; $X$2,
          'Unit-Level Data'!$D:$D, INDIRECT("C"&amp;ROW()),
          'Unit-Level Data'!$B:$B, INDIRECT("B"&amp;ROW()))</f>
        <v>0</v>
      </c>
      <c r="W331" s="738" t="str" cm="1">
        <f t="array" aca="true" ref="W3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1" s="760" t="str" cm="1">
        <f t="array" aca="true" ref="X3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1" s="733" cm="1">
        <f t="array" aca="true" ref="Y331" ca="true">COUNTIFS('Unit-Level Data'!$L:$L, "&gt;=" &amp; ($X$2 - W$5),
          'Unit-Level Data'!$L:$L, "&lt;" &amp; $X$2,
          'Unit-Level Data'!$D:$D, INDIRECT("C"&amp;ROW()),
          'Unit-Level Data'!$B:$B, INDIRECT("B"&amp;ROW()))</f>
        <v>0</v>
      </c>
      <c r="Z331" s="761"/>
      <c r="AA331" s="735" cm="1">
        <f t="array" aca="true" ref="AA331" ca="true">IFERROR(AVERAGEIFS(
  unit_details[Sqft],
  unit_details[Property Name], INDIRECT("B"&amp;ROW()),
  unit_details[Floorplan Name], INDIRECT("C"&amp;ROW()),
  unit_details[Beds], INDIRECT("D"&amp;ROW()),
  unit_details[Detected Unit Amenities], "*"&amp;$AB$3&amp;"*",
  unit_details[Leased Date], "&gt;=" &amp; ($X$2 - $AD$3)
),0)</f>
        <v>0</v>
      </c>
      <c r="AB331" s="734" cm="1">
        <f t="array" aca="true" ref="AB3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1" s="733" cm="1">
        <f t="array" aca="true" ref="AC331" ca="true">IFERROR(COUNTIFS(
  unit_details[Property Name], INDIRECT("B"&amp;ROW()),
  unit_details[Floorplan Name], INDIRECT("C"&amp;ROW()),
  unit_details[Beds], INDIRECT("D"&amp;ROW()),
  unit_details[Detected Unit Amenities], "*"&amp;$AB$3&amp;"*",
  unit_details[Leased Date], "&gt;=" &amp; ($X$2 - $AD$3)
),0)</f>
        <v>0</v>
      </c>
      <c r="AD331" s="735" cm="1">
        <f t="array" aca="true" ref="AD331" ca="true">IFERROR(AVERAGEIFS(
  unit_details[Sqft],
  unit_details[Property Name], INDIRECT("B"&amp;ROW()),
  unit_details[Floorplan Name], INDIRECT("C"&amp;ROW()),
  unit_details[Beds], INDIRECT("D"&amp;ROW()),
  unit_details[Detected Unit Amenities], "&lt;&gt;*"&amp;$AB$3&amp;"*",
  unit_details[Leased Date], "&gt;=" &amp; ($X$2 - $AD$3)
),0)</f>
        <v>0</v>
      </c>
      <c r="AE331" s="734" cm="1">
        <f t="array" aca="true" ref="AE3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1" s="733" cm="1">
        <f t="array" aca="true" ref="AF331" ca="true">IFERROR(COUNTIFS(
  unit_details[Property Name], INDIRECT("B"&amp;ROW()),
  unit_details[Floorplan Name], INDIRECT("C"&amp;ROW()),
  unit_details[Beds], INDIRECT("D"&amp;ROW()),
  unit_details[Detected Unit Amenities], "&lt;&gt;*"&amp;$AB$3&amp;"*",
  unit_details[Leased Date], "&gt;=" &amp; ($X$2 - $AD$3)
),0)</f>
        <v>0</v>
      </c>
      <c r="AG331" s="735"/>
      <c r="AH331" s="738">
        <f t="shared" ca="true" si="12"/>
        <v>0</v>
      </c>
      <c r="AI331" s="739">
        <f t="shared" ca="true" si="13"/>
        <v>0</v>
      </c>
    </row>
    <row r="332" spans="2:35">
      <c r="J332" s="345"/>
      <c r="N332" s="738" t="str" cm="1">
        <f t="array" aca="true" ref="N332" ca="true">IFERROR(IF($O$3="Chunk Rent",
AVERAGEIFS('Unit-Level Data'!$O:$O,'Unit-Level Data'!$M:$M,TRUE,
          'Unit-Level Data'!$D:$D, INDIRECT("C"&amp;ROW()),
          'Unit-Level Data'!$B:$B, INDIRECT("B"&amp;ROW())),
AVERAGEIFS('Unit-Level Data'!$P:$P,'Unit-Level Data'!$M:$M,TRUE,
          'Unit-Level Data'!$D:$D, INDIRECT("C"&amp;ROW()),
          'Unit-Level Data'!$B:$B, INDIRECT("B"&amp;ROW()))),"")</f>
      </c>
      <c r="O332" s="760" t="str" cm="1">
        <f t="array" aca="true" ref="O332" ca="true">IFERROR(IF($O$3="Chunk Rent",
AVERAGEIFS('Unit-Level Data'!$Q:$Q,'Unit-Level Data'!$M:$M,TRUE,
          'Unit-Level Data'!$D:$D, INDIRECT("C"&amp;ROW()),
          'Unit-Level Data'!$B:$B, INDIRECT("B"&amp;ROW())),
AVERAGEIFS('Unit-Level Data'!$R:$R,'Unit-Level Data'!$M:$M,TRUE,
          'Unit-Level Data'!$D:$D, INDIRECT("C"&amp;ROW()),
          'Unit-Level Data'!$B:$B, INDIRECT("B"&amp;ROW()))),"")</f>
      </c>
      <c r="P332" s="733" cm="1">
        <f t="array" aca="true" ref="P332" ca="true">COUNTIFS('Unit-Level Data'!$M:$M,TRUE,
          'Unit-Level Data'!$D:$D, INDIRECT("C"&amp;ROW()),
          'Unit-Level Data'!$B:$B, INDIRECT("B"&amp;ROW()))</f>
        <v>0</v>
      </c>
      <c r="Q332" s="738" t="str" cm="1">
        <f t="array" aca="true" ref="Q3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2" s="760" t="str" cm="1">
        <f t="array" aca="true" ref="R3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2" s="733" cm="1">
        <f t="array" aca="true" ref="S332" ca="true">COUNTIFS('Unit-Level Data'!$L:$L, "&gt;=" &amp; ($X$2 - Q$5),
          'Unit-Level Data'!$L:$L, "&lt;" &amp; $X$2,
          'Unit-Level Data'!$D:$D, INDIRECT("C"&amp;ROW()),
          'Unit-Level Data'!$B:$B, INDIRECT("B"&amp;ROW()))</f>
        <v>0</v>
      </c>
      <c r="T332" s="738" t="str" cm="1">
        <f t="array" aca="true" ref="T3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2" s="760" t="str" cm="1">
        <f t="array" aca="true" ref="U3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2" s="733" cm="1">
        <f t="array" aca="true" ref="V332" ca="true">COUNTIFS('Unit-Level Data'!$L:$L, "&gt;=" &amp; ($X$2 - T$5),
          'Unit-Level Data'!$L:$L, "&lt;" &amp; $X$2,
          'Unit-Level Data'!$D:$D, INDIRECT("C"&amp;ROW()),
          'Unit-Level Data'!$B:$B, INDIRECT("B"&amp;ROW()))</f>
        <v>0</v>
      </c>
      <c r="W332" s="738" t="str" cm="1">
        <f t="array" aca="true" ref="W3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2" s="760" t="str" cm="1">
        <f t="array" aca="true" ref="X3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2" s="733" cm="1">
        <f t="array" aca="true" ref="Y332" ca="true">COUNTIFS('Unit-Level Data'!$L:$L, "&gt;=" &amp; ($X$2 - W$5),
          'Unit-Level Data'!$L:$L, "&lt;" &amp; $X$2,
          'Unit-Level Data'!$D:$D, INDIRECT("C"&amp;ROW()),
          'Unit-Level Data'!$B:$B, INDIRECT("B"&amp;ROW()))</f>
        <v>0</v>
      </c>
      <c r="Z332" s="761"/>
      <c r="AA332" s="735" cm="1">
        <f t="array" aca="true" ref="AA332" ca="true">IFERROR(AVERAGEIFS(
  unit_details[Sqft],
  unit_details[Property Name], INDIRECT("B"&amp;ROW()),
  unit_details[Floorplan Name], INDIRECT("C"&amp;ROW()),
  unit_details[Beds], INDIRECT("D"&amp;ROW()),
  unit_details[Detected Unit Amenities], "*"&amp;$AB$3&amp;"*",
  unit_details[Leased Date], "&gt;=" &amp; ($X$2 - $AD$3)
),0)</f>
        <v>0</v>
      </c>
      <c r="AB332" s="734" cm="1">
        <f t="array" aca="true" ref="AB3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2" s="733" cm="1">
        <f t="array" aca="true" ref="AC332" ca="true">IFERROR(COUNTIFS(
  unit_details[Property Name], INDIRECT("B"&amp;ROW()),
  unit_details[Floorplan Name], INDIRECT("C"&amp;ROW()),
  unit_details[Beds], INDIRECT("D"&amp;ROW()),
  unit_details[Detected Unit Amenities], "*"&amp;$AB$3&amp;"*",
  unit_details[Leased Date], "&gt;=" &amp; ($X$2 - $AD$3)
),0)</f>
        <v>0</v>
      </c>
      <c r="AD332" s="735" cm="1">
        <f t="array" aca="true" ref="AD332" ca="true">IFERROR(AVERAGEIFS(
  unit_details[Sqft],
  unit_details[Property Name], INDIRECT("B"&amp;ROW()),
  unit_details[Floorplan Name], INDIRECT("C"&amp;ROW()),
  unit_details[Beds], INDIRECT("D"&amp;ROW()),
  unit_details[Detected Unit Amenities], "&lt;&gt;*"&amp;$AB$3&amp;"*",
  unit_details[Leased Date], "&gt;=" &amp; ($X$2 - $AD$3)
),0)</f>
        <v>0</v>
      </c>
      <c r="AE332" s="734" cm="1">
        <f t="array" aca="true" ref="AE3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2" s="733" cm="1">
        <f t="array" aca="true" ref="AF332" ca="true">IFERROR(COUNTIFS(
  unit_details[Property Name], INDIRECT("B"&amp;ROW()),
  unit_details[Floorplan Name], INDIRECT("C"&amp;ROW()),
  unit_details[Beds], INDIRECT("D"&amp;ROW()),
  unit_details[Detected Unit Amenities], "&lt;&gt;*"&amp;$AB$3&amp;"*",
  unit_details[Leased Date], "&gt;=" &amp; ($X$2 - $AD$3)
),0)</f>
        <v>0</v>
      </c>
      <c r="AG332" s="735"/>
      <c r="AH332" s="738">
        <f t="shared" ca="true" si="12"/>
        <v>0</v>
      </c>
      <c r="AI332" s="739">
        <f t="shared" ca="true" si="13"/>
        <v>0</v>
      </c>
    </row>
    <row r="333" spans="2:35">
      <c r="B333" s="1"/>
      <c r="C333" s="80"/>
      <c r="E333" s="303"/>
      <c r="F333" s="303"/>
      <c r="J333" s="345"/>
      <c r="K333" s="6"/>
      <c r="M333" s="6"/>
      <c r="N333" s="738" t="str" cm="1">
        <f t="array" aca="true" ref="N333" ca="true">IFERROR(IF($O$3="Chunk Rent",
AVERAGEIFS('Unit-Level Data'!$O:$O,'Unit-Level Data'!$M:$M,TRUE,
          'Unit-Level Data'!$D:$D, INDIRECT("C"&amp;ROW()),
          'Unit-Level Data'!$B:$B, INDIRECT("B"&amp;ROW())),
AVERAGEIFS('Unit-Level Data'!$P:$P,'Unit-Level Data'!$M:$M,TRUE,
          'Unit-Level Data'!$D:$D, INDIRECT("C"&amp;ROW()),
          'Unit-Level Data'!$B:$B, INDIRECT("B"&amp;ROW()))),"")</f>
      </c>
      <c r="O333" s="760" t="str" cm="1">
        <f t="array" aca="true" ref="O333" ca="true">IFERROR(IF($O$3="Chunk Rent",
AVERAGEIFS('Unit-Level Data'!$Q:$Q,'Unit-Level Data'!$M:$M,TRUE,
          'Unit-Level Data'!$D:$D, INDIRECT("C"&amp;ROW()),
          'Unit-Level Data'!$B:$B, INDIRECT("B"&amp;ROW())),
AVERAGEIFS('Unit-Level Data'!$R:$R,'Unit-Level Data'!$M:$M,TRUE,
          'Unit-Level Data'!$D:$D, INDIRECT("C"&amp;ROW()),
          'Unit-Level Data'!$B:$B, INDIRECT("B"&amp;ROW()))),"")</f>
      </c>
      <c r="P333" s="733" cm="1">
        <f t="array" aca="true" ref="P333" ca="true">COUNTIFS('Unit-Level Data'!$M:$M,TRUE,
          'Unit-Level Data'!$D:$D, INDIRECT("C"&amp;ROW()),
          'Unit-Level Data'!$B:$B, INDIRECT("B"&amp;ROW()))</f>
        <v>0</v>
      </c>
      <c r="Q333" s="738" t="str" cm="1">
        <f t="array" aca="true" ref="Q3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3" s="760" t="str" cm="1">
        <f t="array" aca="true" ref="R3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3" s="733" cm="1">
        <f t="array" aca="true" ref="S333" ca="true">COUNTIFS('Unit-Level Data'!$L:$L, "&gt;=" &amp; ($X$2 - Q$5),
          'Unit-Level Data'!$L:$L, "&lt;" &amp; $X$2,
          'Unit-Level Data'!$D:$D, INDIRECT("C"&amp;ROW()),
          'Unit-Level Data'!$B:$B, INDIRECT("B"&amp;ROW()))</f>
        <v>0</v>
      </c>
      <c r="T333" s="738" t="str" cm="1">
        <f t="array" aca="true" ref="T3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3" s="760" t="str" cm="1">
        <f t="array" aca="true" ref="U3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3" s="733" cm="1">
        <f t="array" aca="true" ref="V333" ca="true">COUNTIFS('Unit-Level Data'!$L:$L, "&gt;=" &amp; ($X$2 - T$5),
          'Unit-Level Data'!$L:$L, "&lt;" &amp; $X$2,
          'Unit-Level Data'!$D:$D, INDIRECT("C"&amp;ROW()),
          'Unit-Level Data'!$B:$B, INDIRECT("B"&amp;ROW()))</f>
        <v>0</v>
      </c>
      <c r="W333" s="738" t="str" cm="1">
        <f t="array" aca="true" ref="W3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3" s="760" t="str" cm="1">
        <f t="array" aca="true" ref="X3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3" s="733" cm="1">
        <f t="array" aca="true" ref="Y333" ca="true">COUNTIFS('Unit-Level Data'!$L:$L, "&gt;=" &amp; ($X$2 - W$5),
          'Unit-Level Data'!$L:$L, "&lt;" &amp; $X$2,
          'Unit-Level Data'!$D:$D, INDIRECT("C"&amp;ROW()),
          'Unit-Level Data'!$B:$B, INDIRECT("B"&amp;ROW()))</f>
        <v>0</v>
      </c>
      <c r="Z333" s="761"/>
      <c r="AA333" s="735" cm="1">
        <f t="array" aca="true" ref="AA333" ca="true">IFERROR(AVERAGEIFS(
  unit_details[Sqft],
  unit_details[Property Name], INDIRECT("B"&amp;ROW()),
  unit_details[Floorplan Name], INDIRECT("C"&amp;ROW()),
  unit_details[Beds], INDIRECT("D"&amp;ROW()),
  unit_details[Detected Unit Amenities], "*"&amp;$AB$3&amp;"*",
  unit_details[Leased Date], "&gt;=" &amp; ($X$2 - $AD$3)
),0)</f>
        <v>0</v>
      </c>
      <c r="AB333" s="734" cm="1">
        <f t="array" aca="true" ref="AB3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3" s="733" cm="1">
        <f t="array" aca="true" ref="AC333" ca="true">IFERROR(COUNTIFS(
  unit_details[Property Name], INDIRECT("B"&amp;ROW()),
  unit_details[Floorplan Name], INDIRECT("C"&amp;ROW()),
  unit_details[Beds], INDIRECT("D"&amp;ROW()),
  unit_details[Detected Unit Amenities], "*"&amp;$AB$3&amp;"*",
  unit_details[Leased Date], "&gt;=" &amp; ($X$2 - $AD$3)
),0)</f>
        <v>0</v>
      </c>
      <c r="AD333" s="735" cm="1">
        <f t="array" aca="true" ref="AD333" ca="true">IFERROR(AVERAGEIFS(
  unit_details[Sqft],
  unit_details[Property Name], INDIRECT("B"&amp;ROW()),
  unit_details[Floorplan Name], INDIRECT("C"&amp;ROW()),
  unit_details[Beds], INDIRECT("D"&amp;ROW()),
  unit_details[Detected Unit Amenities], "&lt;&gt;*"&amp;$AB$3&amp;"*",
  unit_details[Leased Date], "&gt;=" &amp; ($X$2 - $AD$3)
),0)</f>
        <v>0</v>
      </c>
      <c r="AE333" s="734" cm="1">
        <f t="array" aca="true" ref="AE3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3" s="733" cm="1">
        <f t="array" aca="true" ref="AF333" ca="true">IFERROR(COUNTIFS(
  unit_details[Property Name], INDIRECT("B"&amp;ROW()),
  unit_details[Floorplan Name], INDIRECT("C"&amp;ROW()),
  unit_details[Beds], INDIRECT("D"&amp;ROW()),
  unit_details[Detected Unit Amenities], "&lt;&gt;*"&amp;$AB$3&amp;"*",
  unit_details[Leased Date], "&gt;=" &amp; ($X$2 - $AD$3)
),0)</f>
        <v>0</v>
      </c>
      <c r="AG333" s="735"/>
      <c r="AH333" s="738">
        <f t="shared" ca="true" si="12"/>
        <v>0</v>
      </c>
      <c r="AI333" s="739">
        <f t="shared" ca="true" si="13"/>
        <v>0</v>
      </c>
    </row>
    <row r="334" spans="2:35">
      <c r="J334" s="345"/>
      <c r="N334" s="738" t="str" cm="1">
        <f t="array" aca="true" ref="N334" ca="true">IFERROR(IF($O$3="Chunk Rent",
AVERAGEIFS('Unit-Level Data'!$O:$O,'Unit-Level Data'!$M:$M,TRUE,
          'Unit-Level Data'!$D:$D, INDIRECT("C"&amp;ROW()),
          'Unit-Level Data'!$B:$B, INDIRECT("B"&amp;ROW())),
AVERAGEIFS('Unit-Level Data'!$P:$P,'Unit-Level Data'!$M:$M,TRUE,
          'Unit-Level Data'!$D:$D, INDIRECT("C"&amp;ROW()),
          'Unit-Level Data'!$B:$B, INDIRECT("B"&amp;ROW()))),"")</f>
      </c>
      <c r="O334" s="760" t="str" cm="1">
        <f t="array" aca="true" ref="O334" ca="true">IFERROR(IF($O$3="Chunk Rent",
AVERAGEIFS('Unit-Level Data'!$Q:$Q,'Unit-Level Data'!$M:$M,TRUE,
          'Unit-Level Data'!$D:$D, INDIRECT("C"&amp;ROW()),
          'Unit-Level Data'!$B:$B, INDIRECT("B"&amp;ROW())),
AVERAGEIFS('Unit-Level Data'!$R:$R,'Unit-Level Data'!$M:$M,TRUE,
          'Unit-Level Data'!$D:$D, INDIRECT("C"&amp;ROW()),
          'Unit-Level Data'!$B:$B, INDIRECT("B"&amp;ROW()))),"")</f>
      </c>
      <c r="P334" s="733" cm="1">
        <f t="array" aca="true" ref="P334" ca="true">COUNTIFS('Unit-Level Data'!$M:$M,TRUE,
          'Unit-Level Data'!$D:$D, INDIRECT("C"&amp;ROW()),
          'Unit-Level Data'!$B:$B, INDIRECT("B"&amp;ROW()))</f>
        <v>0</v>
      </c>
      <c r="Q334" s="738" t="str" cm="1">
        <f t="array" aca="true" ref="Q3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4" s="760" t="str" cm="1">
        <f t="array" aca="true" ref="R3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4" s="733" cm="1">
        <f t="array" aca="true" ref="S334" ca="true">COUNTIFS('Unit-Level Data'!$L:$L, "&gt;=" &amp; ($X$2 - Q$5),
          'Unit-Level Data'!$L:$L, "&lt;" &amp; $X$2,
          'Unit-Level Data'!$D:$D, INDIRECT("C"&amp;ROW()),
          'Unit-Level Data'!$B:$B, INDIRECT("B"&amp;ROW()))</f>
        <v>0</v>
      </c>
      <c r="T334" s="738" t="str" cm="1">
        <f t="array" aca="true" ref="T3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4" s="760" t="str" cm="1">
        <f t="array" aca="true" ref="U3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4" s="733" cm="1">
        <f t="array" aca="true" ref="V334" ca="true">COUNTIFS('Unit-Level Data'!$L:$L, "&gt;=" &amp; ($X$2 - T$5),
          'Unit-Level Data'!$L:$L, "&lt;" &amp; $X$2,
          'Unit-Level Data'!$D:$D, INDIRECT("C"&amp;ROW()),
          'Unit-Level Data'!$B:$B, INDIRECT("B"&amp;ROW()))</f>
        <v>0</v>
      </c>
      <c r="W334" s="738" t="str" cm="1">
        <f t="array" aca="true" ref="W3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4" s="760" t="str" cm="1">
        <f t="array" aca="true" ref="X3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4" s="733" cm="1">
        <f t="array" aca="true" ref="Y334" ca="true">COUNTIFS('Unit-Level Data'!$L:$L, "&gt;=" &amp; ($X$2 - W$5),
          'Unit-Level Data'!$L:$L, "&lt;" &amp; $X$2,
          'Unit-Level Data'!$D:$D, INDIRECT("C"&amp;ROW()),
          'Unit-Level Data'!$B:$B, INDIRECT("B"&amp;ROW()))</f>
        <v>0</v>
      </c>
      <c r="Z334" s="761"/>
      <c r="AA334" s="735" cm="1">
        <f t="array" aca="true" ref="AA334" ca="true">IFERROR(AVERAGEIFS(
  unit_details[Sqft],
  unit_details[Property Name], INDIRECT("B"&amp;ROW()),
  unit_details[Floorplan Name], INDIRECT("C"&amp;ROW()),
  unit_details[Beds], INDIRECT("D"&amp;ROW()),
  unit_details[Detected Unit Amenities], "*"&amp;$AB$3&amp;"*",
  unit_details[Leased Date], "&gt;=" &amp; ($X$2 - $AD$3)
),0)</f>
        <v>0</v>
      </c>
      <c r="AB334" s="734" cm="1">
        <f t="array" aca="true" ref="AB3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4" s="733" cm="1">
        <f t="array" aca="true" ref="AC334" ca="true">IFERROR(COUNTIFS(
  unit_details[Property Name], INDIRECT("B"&amp;ROW()),
  unit_details[Floorplan Name], INDIRECT("C"&amp;ROW()),
  unit_details[Beds], INDIRECT("D"&amp;ROW()),
  unit_details[Detected Unit Amenities], "*"&amp;$AB$3&amp;"*",
  unit_details[Leased Date], "&gt;=" &amp; ($X$2 - $AD$3)
),0)</f>
        <v>0</v>
      </c>
      <c r="AD334" s="735" cm="1">
        <f t="array" aca="true" ref="AD334" ca="true">IFERROR(AVERAGEIFS(
  unit_details[Sqft],
  unit_details[Property Name], INDIRECT("B"&amp;ROW()),
  unit_details[Floorplan Name], INDIRECT("C"&amp;ROW()),
  unit_details[Beds], INDIRECT("D"&amp;ROW()),
  unit_details[Detected Unit Amenities], "&lt;&gt;*"&amp;$AB$3&amp;"*",
  unit_details[Leased Date], "&gt;=" &amp; ($X$2 - $AD$3)
),0)</f>
        <v>0</v>
      </c>
      <c r="AE334" s="734" cm="1">
        <f t="array" aca="true" ref="AE3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4" s="733" cm="1">
        <f t="array" aca="true" ref="AF334" ca="true">IFERROR(COUNTIFS(
  unit_details[Property Name], INDIRECT("B"&amp;ROW()),
  unit_details[Floorplan Name], INDIRECT("C"&amp;ROW()),
  unit_details[Beds], INDIRECT("D"&amp;ROW()),
  unit_details[Detected Unit Amenities], "&lt;&gt;*"&amp;$AB$3&amp;"*",
  unit_details[Leased Date], "&gt;=" &amp; ($X$2 - $AD$3)
),0)</f>
        <v>0</v>
      </c>
      <c r="AG334" s="735"/>
      <c r="AH334" s="738">
        <f t="shared" ca="true" si="12"/>
        <v>0</v>
      </c>
      <c r="AI334" s="739">
        <f t="shared" ca="true" si="13"/>
        <v>0</v>
      </c>
    </row>
    <row r="335" spans="2:35">
      <c r="J335" s="345"/>
      <c r="N335" s="738" t="str" cm="1">
        <f t="array" aca="true" ref="N335" ca="true">IFERROR(IF($O$3="Chunk Rent",
AVERAGEIFS('Unit-Level Data'!$O:$O,'Unit-Level Data'!$M:$M,TRUE,
          'Unit-Level Data'!$D:$D, INDIRECT("C"&amp;ROW()),
          'Unit-Level Data'!$B:$B, INDIRECT("B"&amp;ROW())),
AVERAGEIFS('Unit-Level Data'!$P:$P,'Unit-Level Data'!$M:$M,TRUE,
          'Unit-Level Data'!$D:$D, INDIRECT("C"&amp;ROW()),
          'Unit-Level Data'!$B:$B, INDIRECT("B"&amp;ROW()))),"")</f>
      </c>
      <c r="O335" s="760" t="str" cm="1">
        <f t="array" aca="true" ref="O335" ca="true">IFERROR(IF($O$3="Chunk Rent",
AVERAGEIFS('Unit-Level Data'!$Q:$Q,'Unit-Level Data'!$M:$M,TRUE,
          'Unit-Level Data'!$D:$D, INDIRECT("C"&amp;ROW()),
          'Unit-Level Data'!$B:$B, INDIRECT("B"&amp;ROW())),
AVERAGEIFS('Unit-Level Data'!$R:$R,'Unit-Level Data'!$M:$M,TRUE,
          'Unit-Level Data'!$D:$D, INDIRECT("C"&amp;ROW()),
          'Unit-Level Data'!$B:$B, INDIRECT("B"&amp;ROW()))),"")</f>
      </c>
      <c r="P335" s="733" cm="1">
        <f t="array" aca="true" ref="P335" ca="true">COUNTIFS('Unit-Level Data'!$M:$M,TRUE,
          'Unit-Level Data'!$D:$D, INDIRECT("C"&amp;ROW()),
          'Unit-Level Data'!$B:$B, INDIRECT("B"&amp;ROW()))</f>
        <v>0</v>
      </c>
      <c r="Q335" s="738" t="str" cm="1">
        <f t="array" aca="true" ref="Q3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5" s="760" t="str" cm="1">
        <f t="array" aca="true" ref="R3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5" s="733" cm="1">
        <f t="array" aca="true" ref="S335" ca="true">COUNTIFS('Unit-Level Data'!$L:$L, "&gt;=" &amp; ($X$2 - Q$5),
          'Unit-Level Data'!$L:$L, "&lt;" &amp; $X$2,
          'Unit-Level Data'!$D:$D, INDIRECT("C"&amp;ROW()),
          'Unit-Level Data'!$B:$B, INDIRECT("B"&amp;ROW()))</f>
        <v>0</v>
      </c>
      <c r="T335" s="738" t="str" cm="1">
        <f t="array" aca="true" ref="T3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5" s="760" t="str" cm="1">
        <f t="array" aca="true" ref="U3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5" s="733" cm="1">
        <f t="array" aca="true" ref="V335" ca="true">COUNTIFS('Unit-Level Data'!$L:$L, "&gt;=" &amp; ($X$2 - T$5),
          'Unit-Level Data'!$L:$L, "&lt;" &amp; $X$2,
          'Unit-Level Data'!$D:$D, INDIRECT("C"&amp;ROW()),
          'Unit-Level Data'!$B:$B, INDIRECT("B"&amp;ROW()))</f>
        <v>0</v>
      </c>
      <c r="W335" s="738" t="str" cm="1">
        <f t="array" aca="true" ref="W3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5" s="760" t="str" cm="1">
        <f t="array" aca="true" ref="X3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5" s="733" cm="1">
        <f t="array" aca="true" ref="Y335" ca="true">COUNTIFS('Unit-Level Data'!$L:$L, "&gt;=" &amp; ($X$2 - W$5),
          'Unit-Level Data'!$L:$L, "&lt;" &amp; $X$2,
          'Unit-Level Data'!$D:$D, INDIRECT("C"&amp;ROW()),
          'Unit-Level Data'!$B:$B, INDIRECT("B"&amp;ROW()))</f>
        <v>0</v>
      </c>
      <c r="Z335" s="761"/>
      <c r="AA335" s="735" cm="1">
        <f t="array" aca="true" ref="AA335" ca="true">IFERROR(AVERAGEIFS(
  unit_details[Sqft],
  unit_details[Property Name], INDIRECT("B"&amp;ROW()),
  unit_details[Floorplan Name], INDIRECT("C"&amp;ROW()),
  unit_details[Beds], INDIRECT("D"&amp;ROW()),
  unit_details[Detected Unit Amenities], "*"&amp;$AB$3&amp;"*",
  unit_details[Leased Date], "&gt;=" &amp; ($X$2 - $AD$3)
),0)</f>
        <v>0</v>
      </c>
      <c r="AB335" s="734" cm="1">
        <f t="array" aca="true" ref="AB3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5" s="733" cm="1">
        <f t="array" aca="true" ref="AC335" ca="true">IFERROR(COUNTIFS(
  unit_details[Property Name], INDIRECT("B"&amp;ROW()),
  unit_details[Floorplan Name], INDIRECT("C"&amp;ROW()),
  unit_details[Beds], INDIRECT("D"&amp;ROW()),
  unit_details[Detected Unit Amenities], "*"&amp;$AB$3&amp;"*",
  unit_details[Leased Date], "&gt;=" &amp; ($X$2 - $AD$3)
),0)</f>
        <v>0</v>
      </c>
      <c r="AD335" s="735" cm="1">
        <f t="array" aca="true" ref="AD335" ca="true">IFERROR(AVERAGEIFS(
  unit_details[Sqft],
  unit_details[Property Name], INDIRECT("B"&amp;ROW()),
  unit_details[Floorplan Name], INDIRECT("C"&amp;ROW()),
  unit_details[Beds], INDIRECT("D"&amp;ROW()),
  unit_details[Detected Unit Amenities], "&lt;&gt;*"&amp;$AB$3&amp;"*",
  unit_details[Leased Date], "&gt;=" &amp; ($X$2 - $AD$3)
),0)</f>
        <v>0</v>
      </c>
      <c r="AE335" s="734" cm="1">
        <f t="array" aca="true" ref="AE3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5" s="733" cm="1">
        <f t="array" aca="true" ref="AF335" ca="true">IFERROR(COUNTIFS(
  unit_details[Property Name], INDIRECT("B"&amp;ROW()),
  unit_details[Floorplan Name], INDIRECT("C"&amp;ROW()),
  unit_details[Beds], INDIRECT("D"&amp;ROW()),
  unit_details[Detected Unit Amenities], "&lt;&gt;*"&amp;$AB$3&amp;"*",
  unit_details[Leased Date], "&gt;=" &amp; ($X$2 - $AD$3)
),0)</f>
        <v>0</v>
      </c>
      <c r="AG335" s="735"/>
      <c r="AH335" s="738">
        <f t="shared" ca="true" si="12"/>
        <v>0</v>
      </c>
      <c r="AI335" s="739">
        <f t="shared" ca="true" si="13"/>
        <v>0</v>
      </c>
    </row>
    <row r="336" spans="2:35">
      <c r="J336" s="345"/>
      <c r="N336" s="738" t="str" cm="1">
        <f t="array" aca="true" ref="N336" ca="true">IFERROR(IF($O$3="Chunk Rent",
AVERAGEIFS('Unit-Level Data'!$O:$O,'Unit-Level Data'!$M:$M,TRUE,
          'Unit-Level Data'!$D:$D, INDIRECT("C"&amp;ROW()),
          'Unit-Level Data'!$B:$B, INDIRECT("B"&amp;ROW())),
AVERAGEIFS('Unit-Level Data'!$P:$P,'Unit-Level Data'!$M:$M,TRUE,
          'Unit-Level Data'!$D:$D, INDIRECT("C"&amp;ROW()),
          'Unit-Level Data'!$B:$B, INDIRECT("B"&amp;ROW()))),"")</f>
      </c>
      <c r="O336" s="760" t="str" cm="1">
        <f t="array" aca="true" ref="O336" ca="true">IFERROR(IF($O$3="Chunk Rent",
AVERAGEIFS('Unit-Level Data'!$Q:$Q,'Unit-Level Data'!$M:$M,TRUE,
          'Unit-Level Data'!$D:$D, INDIRECT("C"&amp;ROW()),
          'Unit-Level Data'!$B:$B, INDIRECT("B"&amp;ROW())),
AVERAGEIFS('Unit-Level Data'!$R:$R,'Unit-Level Data'!$M:$M,TRUE,
          'Unit-Level Data'!$D:$D, INDIRECT("C"&amp;ROW()),
          'Unit-Level Data'!$B:$B, INDIRECT("B"&amp;ROW()))),"")</f>
      </c>
      <c r="P336" s="733" cm="1">
        <f t="array" aca="true" ref="P336" ca="true">COUNTIFS('Unit-Level Data'!$M:$M,TRUE,
          'Unit-Level Data'!$D:$D, INDIRECT("C"&amp;ROW()),
          'Unit-Level Data'!$B:$B, INDIRECT("B"&amp;ROW()))</f>
        <v>0</v>
      </c>
      <c r="Q336" s="738" t="str" cm="1">
        <f t="array" aca="true" ref="Q3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6" s="760" t="str" cm="1">
        <f t="array" aca="true" ref="R3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6" s="733" cm="1">
        <f t="array" aca="true" ref="S336" ca="true">COUNTIFS('Unit-Level Data'!$L:$L, "&gt;=" &amp; ($X$2 - Q$5),
          'Unit-Level Data'!$L:$L, "&lt;" &amp; $X$2,
          'Unit-Level Data'!$D:$D, INDIRECT("C"&amp;ROW()),
          'Unit-Level Data'!$B:$B, INDIRECT("B"&amp;ROW()))</f>
        <v>0</v>
      </c>
      <c r="T336" s="738" t="str" cm="1">
        <f t="array" aca="true" ref="T3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6" s="760" t="str" cm="1">
        <f t="array" aca="true" ref="U3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6" s="733" cm="1">
        <f t="array" aca="true" ref="V336" ca="true">COUNTIFS('Unit-Level Data'!$L:$L, "&gt;=" &amp; ($X$2 - T$5),
          'Unit-Level Data'!$L:$L, "&lt;" &amp; $X$2,
          'Unit-Level Data'!$D:$D, INDIRECT("C"&amp;ROW()),
          'Unit-Level Data'!$B:$B, INDIRECT("B"&amp;ROW()))</f>
        <v>0</v>
      </c>
      <c r="W336" s="738" t="str" cm="1">
        <f t="array" aca="true" ref="W3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6" s="760" t="str" cm="1">
        <f t="array" aca="true" ref="X3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6" s="733" cm="1">
        <f t="array" aca="true" ref="Y336" ca="true">COUNTIFS('Unit-Level Data'!$L:$L, "&gt;=" &amp; ($X$2 - W$5),
          'Unit-Level Data'!$L:$L, "&lt;" &amp; $X$2,
          'Unit-Level Data'!$D:$D, INDIRECT("C"&amp;ROW()),
          'Unit-Level Data'!$B:$B, INDIRECT("B"&amp;ROW()))</f>
        <v>0</v>
      </c>
      <c r="Z336" s="761"/>
      <c r="AA336" s="735" cm="1">
        <f t="array" aca="true" ref="AA336" ca="true">IFERROR(AVERAGEIFS(
  unit_details[Sqft],
  unit_details[Property Name], INDIRECT("B"&amp;ROW()),
  unit_details[Floorplan Name], INDIRECT("C"&amp;ROW()),
  unit_details[Beds], INDIRECT("D"&amp;ROW()),
  unit_details[Detected Unit Amenities], "*"&amp;$AB$3&amp;"*",
  unit_details[Leased Date], "&gt;=" &amp; ($X$2 - $AD$3)
),0)</f>
        <v>0</v>
      </c>
      <c r="AB336" s="734" cm="1">
        <f t="array" aca="true" ref="AB3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6" s="733" cm="1">
        <f t="array" aca="true" ref="AC336" ca="true">IFERROR(COUNTIFS(
  unit_details[Property Name], INDIRECT("B"&amp;ROW()),
  unit_details[Floorplan Name], INDIRECT("C"&amp;ROW()),
  unit_details[Beds], INDIRECT("D"&amp;ROW()),
  unit_details[Detected Unit Amenities], "*"&amp;$AB$3&amp;"*",
  unit_details[Leased Date], "&gt;=" &amp; ($X$2 - $AD$3)
),0)</f>
        <v>0</v>
      </c>
      <c r="AD336" s="735" cm="1">
        <f t="array" aca="true" ref="AD336" ca="true">IFERROR(AVERAGEIFS(
  unit_details[Sqft],
  unit_details[Property Name], INDIRECT("B"&amp;ROW()),
  unit_details[Floorplan Name], INDIRECT("C"&amp;ROW()),
  unit_details[Beds], INDIRECT("D"&amp;ROW()),
  unit_details[Detected Unit Amenities], "&lt;&gt;*"&amp;$AB$3&amp;"*",
  unit_details[Leased Date], "&gt;=" &amp; ($X$2 - $AD$3)
),0)</f>
        <v>0</v>
      </c>
      <c r="AE336" s="734" cm="1">
        <f t="array" aca="true" ref="AE3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6" s="733" cm="1">
        <f t="array" aca="true" ref="AF336" ca="true">IFERROR(COUNTIFS(
  unit_details[Property Name], INDIRECT("B"&amp;ROW()),
  unit_details[Floorplan Name], INDIRECT("C"&amp;ROW()),
  unit_details[Beds], INDIRECT("D"&amp;ROW()),
  unit_details[Detected Unit Amenities], "&lt;&gt;*"&amp;$AB$3&amp;"*",
  unit_details[Leased Date], "&gt;=" &amp; ($X$2 - $AD$3)
),0)</f>
        <v>0</v>
      </c>
      <c r="AG336" s="735"/>
      <c r="AH336" s="738">
        <f t="shared" ca="true" si="12"/>
        <v>0</v>
      </c>
      <c r="AI336" s="739">
        <f t="shared" ca="true" si="13"/>
        <v>0</v>
      </c>
    </row>
    <row r="337" spans="10:35">
      <c r="J337" s="345"/>
      <c r="N337" s="738" t="str" cm="1">
        <f t="array" aca="true" ref="N337" ca="true">IFERROR(IF($O$3="Chunk Rent",
AVERAGEIFS('Unit-Level Data'!$O:$O,'Unit-Level Data'!$M:$M,TRUE,
          'Unit-Level Data'!$D:$D, INDIRECT("C"&amp;ROW()),
          'Unit-Level Data'!$B:$B, INDIRECT("B"&amp;ROW())),
AVERAGEIFS('Unit-Level Data'!$P:$P,'Unit-Level Data'!$M:$M,TRUE,
          'Unit-Level Data'!$D:$D, INDIRECT("C"&amp;ROW()),
          'Unit-Level Data'!$B:$B, INDIRECT("B"&amp;ROW()))),"")</f>
      </c>
      <c r="O337" s="760" t="str" cm="1">
        <f t="array" aca="true" ref="O337" ca="true">IFERROR(IF($O$3="Chunk Rent",
AVERAGEIFS('Unit-Level Data'!$Q:$Q,'Unit-Level Data'!$M:$M,TRUE,
          'Unit-Level Data'!$D:$D, INDIRECT("C"&amp;ROW()),
          'Unit-Level Data'!$B:$B, INDIRECT("B"&amp;ROW())),
AVERAGEIFS('Unit-Level Data'!$R:$R,'Unit-Level Data'!$M:$M,TRUE,
          'Unit-Level Data'!$D:$D, INDIRECT("C"&amp;ROW()),
          'Unit-Level Data'!$B:$B, INDIRECT("B"&amp;ROW()))),"")</f>
      </c>
      <c r="P337" s="733" cm="1">
        <f t="array" aca="true" ref="P337" ca="true">COUNTIFS('Unit-Level Data'!$M:$M,TRUE,
          'Unit-Level Data'!$D:$D, INDIRECT("C"&amp;ROW()),
          'Unit-Level Data'!$B:$B, INDIRECT("B"&amp;ROW()))</f>
        <v>0</v>
      </c>
      <c r="Q337" s="738" t="str" cm="1">
        <f t="array" aca="true" ref="Q3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7" s="760" t="str" cm="1">
        <f t="array" aca="true" ref="R3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7" s="733" cm="1">
        <f t="array" aca="true" ref="S337" ca="true">COUNTIFS('Unit-Level Data'!$L:$L, "&gt;=" &amp; ($X$2 - Q$5),
          'Unit-Level Data'!$L:$L, "&lt;" &amp; $X$2,
          'Unit-Level Data'!$D:$D, INDIRECT("C"&amp;ROW()),
          'Unit-Level Data'!$B:$B, INDIRECT("B"&amp;ROW()))</f>
        <v>0</v>
      </c>
      <c r="T337" s="738" t="str" cm="1">
        <f t="array" aca="true" ref="T3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7" s="760" t="str" cm="1">
        <f t="array" aca="true" ref="U3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7" s="733" cm="1">
        <f t="array" aca="true" ref="V337" ca="true">COUNTIFS('Unit-Level Data'!$L:$L, "&gt;=" &amp; ($X$2 - T$5),
          'Unit-Level Data'!$L:$L, "&lt;" &amp; $X$2,
          'Unit-Level Data'!$D:$D, INDIRECT("C"&amp;ROW()),
          'Unit-Level Data'!$B:$B, INDIRECT("B"&amp;ROW()))</f>
        <v>0</v>
      </c>
      <c r="W337" s="738" t="str" cm="1">
        <f t="array" aca="true" ref="W3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7" s="760" t="str" cm="1">
        <f t="array" aca="true" ref="X3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7" s="733" cm="1">
        <f t="array" aca="true" ref="Y337" ca="true">COUNTIFS('Unit-Level Data'!$L:$L, "&gt;=" &amp; ($X$2 - W$5),
          'Unit-Level Data'!$L:$L, "&lt;" &amp; $X$2,
          'Unit-Level Data'!$D:$D, INDIRECT("C"&amp;ROW()),
          'Unit-Level Data'!$B:$B, INDIRECT("B"&amp;ROW()))</f>
        <v>0</v>
      </c>
      <c r="Z337" s="761"/>
      <c r="AA337" s="735" cm="1">
        <f t="array" aca="true" ref="AA337" ca="true">IFERROR(AVERAGEIFS(
  unit_details[Sqft],
  unit_details[Property Name], INDIRECT("B"&amp;ROW()),
  unit_details[Floorplan Name], INDIRECT("C"&amp;ROW()),
  unit_details[Beds], INDIRECT("D"&amp;ROW()),
  unit_details[Detected Unit Amenities], "*"&amp;$AB$3&amp;"*",
  unit_details[Leased Date], "&gt;=" &amp; ($X$2 - $AD$3)
),0)</f>
        <v>0</v>
      </c>
      <c r="AB337" s="734" cm="1">
        <f t="array" aca="true" ref="AB3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7" s="733" cm="1">
        <f t="array" aca="true" ref="AC337" ca="true">IFERROR(COUNTIFS(
  unit_details[Property Name], INDIRECT("B"&amp;ROW()),
  unit_details[Floorplan Name], INDIRECT("C"&amp;ROW()),
  unit_details[Beds], INDIRECT("D"&amp;ROW()),
  unit_details[Detected Unit Amenities], "*"&amp;$AB$3&amp;"*",
  unit_details[Leased Date], "&gt;=" &amp; ($X$2 - $AD$3)
),0)</f>
        <v>0</v>
      </c>
      <c r="AD337" s="735" cm="1">
        <f t="array" aca="true" ref="AD337" ca="true">IFERROR(AVERAGEIFS(
  unit_details[Sqft],
  unit_details[Property Name], INDIRECT("B"&amp;ROW()),
  unit_details[Floorplan Name], INDIRECT("C"&amp;ROW()),
  unit_details[Beds], INDIRECT("D"&amp;ROW()),
  unit_details[Detected Unit Amenities], "&lt;&gt;*"&amp;$AB$3&amp;"*",
  unit_details[Leased Date], "&gt;=" &amp; ($X$2 - $AD$3)
),0)</f>
        <v>0</v>
      </c>
      <c r="AE337" s="734" cm="1">
        <f t="array" aca="true" ref="AE3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7" s="733" cm="1">
        <f t="array" aca="true" ref="AF337" ca="true">IFERROR(COUNTIFS(
  unit_details[Property Name], INDIRECT("B"&amp;ROW()),
  unit_details[Floorplan Name], INDIRECT("C"&amp;ROW()),
  unit_details[Beds], INDIRECT("D"&amp;ROW()),
  unit_details[Detected Unit Amenities], "&lt;&gt;*"&amp;$AB$3&amp;"*",
  unit_details[Leased Date], "&gt;=" &amp; ($X$2 - $AD$3)
),0)</f>
        <v>0</v>
      </c>
      <c r="AG337" s="735"/>
      <c r="AH337" s="738">
        <f t="shared" ca="true" si="12"/>
        <v>0</v>
      </c>
      <c r="AI337" s="739">
        <f t="shared" ca="true" si="13"/>
        <v>0</v>
      </c>
    </row>
    <row r="338" spans="10:35">
      <c r="J338" s="345"/>
      <c r="N338" s="738" t="str" cm="1">
        <f t="array" aca="true" ref="N338" ca="true">IFERROR(IF($O$3="Chunk Rent",
AVERAGEIFS('Unit-Level Data'!$O:$O,'Unit-Level Data'!$M:$M,TRUE,
          'Unit-Level Data'!$D:$D, INDIRECT("C"&amp;ROW()),
          'Unit-Level Data'!$B:$B, INDIRECT("B"&amp;ROW())),
AVERAGEIFS('Unit-Level Data'!$P:$P,'Unit-Level Data'!$M:$M,TRUE,
          'Unit-Level Data'!$D:$D, INDIRECT("C"&amp;ROW()),
          'Unit-Level Data'!$B:$B, INDIRECT("B"&amp;ROW()))),"")</f>
      </c>
      <c r="O338" s="760" t="str" cm="1">
        <f t="array" aca="true" ref="O338" ca="true">IFERROR(IF($O$3="Chunk Rent",
AVERAGEIFS('Unit-Level Data'!$Q:$Q,'Unit-Level Data'!$M:$M,TRUE,
          'Unit-Level Data'!$D:$D, INDIRECT("C"&amp;ROW()),
          'Unit-Level Data'!$B:$B, INDIRECT("B"&amp;ROW())),
AVERAGEIFS('Unit-Level Data'!$R:$R,'Unit-Level Data'!$M:$M,TRUE,
          'Unit-Level Data'!$D:$D, INDIRECT("C"&amp;ROW()),
          'Unit-Level Data'!$B:$B, INDIRECT("B"&amp;ROW()))),"")</f>
      </c>
      <c r="P338" s="733" cm="1">
        <f t="array" aca="true" ref="P338" ca="true">COUNTIFS('Unit-Level Data'!$M:$M,TRUE,
          'Unit-Level Data'!$D:$D, INDIRECT("C"&amp;ROW()),
          'Unit-Level Data'!$B:$B, INDIRECT("B"&amp;ROW()))</f>
        <v>0</v>
      </c>
      <c r="Q338" s="738" t="str" cm="1">
        <f t="array" aca="true" ref="Q3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8" s="760" t="str" cm="1">
        <f t="array" aca="true" ref="R3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8" s="733" cm="1">
        <f t="array" aca="true" ref="S338" ca="true">COUNTIFS('Unit-Level Data'!$L:$L, "&gt;=" &amp; ($X$2 - Q$5),
          'Unit-Level Data'!$L:$L, "&lt;" &amp; $X$2,
          'Unit-Level Data'!$D:$D, INDIRECT("C"&amp;ROW()),
          'Unit-Level Data'!$B:$B, INDIRECT("B"&amp;ROW()))</f>
        <v>0</v>
      </c>
      <c r="T338" s="738" t="str" cm="1">
        <f t="array" aca="true" ref="T3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8" s="760" t="str" cm="1">
        <f t="array" aca="true" ref="U3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8" s="733" cm="1">
        <f t="array" aca="true" ref="V338" ca="true">COUNTIFS('Unit-Level Data'!$L:$L, "&gt;=" &amp; ($X$2 - T$5),
          'Unit-Level Data'!$L:$L, "&lt;" &amp; $X$2,
          'Unit-Level Data'!$D:$D, INDIRECT("C"&amp;ROW()),
          'Unit-Level Data'!$B:$B, INDIRECT("B"&amp;ROW()))</f>
        <v>0</v>
      </c>
      <c r="W338" s="738" t="str" cm="1">
        <f t="array" aca="true" ref="W3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8" s="760" t="str" cm="1">
        <f t="array" aca="true" ref="X3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8" s="733" cm="1">
        <f t="array" aca="true" ref="Y338" ca="true">COUNTIFS('Unit-Level Data'!$L:$L, "&gt;=" &amp; ($X$2 - W$5),
          'Unit-Level Data'!$L:$L, "&lt;" &amp; $X$2,
          'Unit-Level Data'!$D:$D, INDIRECT("C"&amp;ROW()),
          'Unit-Level Data'!$B:$B, INDIRECT("B"&amp;ROW()))</f>
        <v>0</v>
      </c>
      <c r="Z338" s="761"/>
      <c r="AA338" s="735" cm="1">
        <f t="array" aca="true" ref="AA338" ca="true">IFERROR(AVERAGEIFS(
  unit_details[Sqft],
  unit_details[Property Name], INDIRECT("B"&amp;ROW()),
  unit_details[Floorplan Name], INDIRECT("C"&amp;ROW()),
  unit_details[Beds], INDIRECT("D"&amp;ROW()),
  unit_details[Detected Unit Amenities], "*"&amp;$AB$3&amp;"*",
  unit_details[Leased Date], "&gt;=" &amp; ($X$2 - $AD$3)
),0)</f>
        <v>0</v>
      </c>
      <c r="AB338" s="734" cm="1">
        <f t="array" aca="true" ref="AB3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8" s="733" cm="1">
        <f t="array" aca="true" ref="AC338" ca="true">IFERROR(COUNTIFS(
  unit_details[Property Name], INDIRECT("B"&amp;ROW()),
  unit_details[Floorplan Name], INDIRECT("C"&amp;ROW()),
  unit_details[Beds], INDIRECT("D"&amp;ROW()),
  unit_details[Detected Unit Amenities], "*"&amp;$AB$3&amp;"*",
  unit_details[Leased Date], "&gt;=" &amp; ($X$2 - $AD$3)
),0)</f>
        <v>0</v>
      </c>
      <c r="AD338" s="735" cm="1">
        <f t="array" aca="true" ref="AD338" ca="true">IFERROR(AVERAGEIFS(
  unit_details[Sqft],
  unit_details[Property Name], INDIRECT("B"&amp;ROW()),
  unit_details[Floorplan Name], INDIRECT("C"&amp;ROW()),
  unit_details[Beds], INDIRECT("D"&amp;ROW()),
  unit_details[Detected Unit Amenities], "&lt;&gt;*"&amp;$AB$3&amp;"*",
  unit_details[Leased Date], "&gt;=" &amp; ($X$2 - $AD$3)
),0)</f>
        <v>0</v>
      </c>
      <c r="AE338" s="734" cm="1">
        <f t="array" aca="true" ref="AE3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8" s="733" cm="1">
        <f t="array" aca="true" ref="AF338" ca="true">IFERROR(COUNTIFS(
  unit_details[Property Name], INDIRECT("B"&amp;ROW()),
  unit_details[Floorplan Name], INDIRECT("C"&amp;ROW()),
  unit_details[Beds], INDIRECT("D"&amp;ROW()),
  unit_details[Detected Unit Amenities], "&lt;&gt;*"&amp;$AB$3&amp;"*",
  unit_details[Leased Date], "&gt;=" &amp; ($X$2 - $AD$3)
),0)</f>
        <v>0</v>
      </c>
      <c r="AG338" s="735"/>
      <c r="AH338" s="738">
        <f t="shared" ca="true" si="12"/>
        <v>0</v>
      </c>
      <c r="AI338" s="739">
        <f t="shared" ca="true" si="13"/>
        <v>0</v>
      </c>
    </row>
    <row r="339" spans="10:35">
      <c r="J339" s="345"/>
      <c r="N339" s="738" t="str" cm="1">
        <f t="array" aca="true" ref="N339" ca="true">IFERROR(IF($O$3="Chunk Rent",
AVERAGEIFS('Unit-Level Data'!$O:$O,'Unit-Level Data'!$M:$M,TRUE,
          'Unit-Level Data'!$D:$D, INDIRECT("C"&amp;ROW()),
          'Unit-Level Data'!$B:$B, INDIRECT("B"&amp;ROW())),
AVERAGEIFS('Unit-Level Data'!$P:$P,'Unit-Level Data'!$M:$M,TRUE,
          'Unit-Level Data'!$D:$D, INDIRECT("C"&amp;ROW()),
          'Unit-Level Data'!$B:$B, INDIRECT("B"&amp;ROW()))),"")</f>
      </c>
      <c r="O339" s="760" t="str" cm="1">
        <f t="array" aca="true" ref="O339" ca="true">IFERROR(IF($O$3="Chunk Rent",
AVERAGEIFS('Unit-Level Data'!$Q:$Q,'Unit-Level Data'!$M:$M,TRUE,
          'Unit-Level Data'!$D:$D, INDIRECT("C"&amp;ROW()),
          'Unit-Level Data'!$B:$B, INDIRECT("B"&amp;ROW())),
AVERAGEIFS('Unit-Level Data'!$R:$R,'Unit-Level Data'!$M:$M,TRUE,
          'Unit-Level Data'!$D:$D, INDIRECT("C"&amp;ROW()),
          'Unit-Level Data'!$B:$B, INDIRECT("B"&amp;ROW()))),"")</f>
      </c>
      <c r="P339" s="733" cm="1">
        <f t="array" aca="true" ref="P339" ca="true">COUNTIFS('Unit-Level Data'!$M:$M,TRUE,
          'Unit-Level Data'!$D:$D, INDIRECT("C"&amp;ROW()),
          'Unit-Level Data'!$B:$B, INDIRECT("B"&amp;ROW()))</f>
        <v>0</v>
      </c>
      <c r="Q339" s="738" t="str" cm="1">
        <f t="array" aca="true" ref="Q3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9" s="760" t="str" cm="1">
        <f t="array" aca="true" ref="R3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9" s="733" cm="1">
        <f t="array" aca="true" ref="S339" ca="true">COUNTIFS('Unit-Level Data'!$L:$L, "&gt;=" &amp; ($X$2 - Q$5),
          'Unit-Level Data'!$L:$L, "&lt;" &amp; $X$2,
          'Unit-Level Data'!$D:$D, INDIRECT("C"&amp;ROW()),
          'Unit-Level Data'!$B:$B, INDIRECT("B"&amp;ROW()))</f>
        <v>0</v>
      </c>
      <c r="T339" s="738" t="str" cm="1">
        <f t="array" aca="true" ref="T3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9" s="760" t="str" cm="1">
        <f t="array" aca="true" ref="U3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9" s="733" cm="1">
        <f t="array" aca="true" ref="V339" ca="true">COUNTIFS('Unit-Level Data'!$L:$L, "&gt;=" &amp; ($X$2 - T$5),
          'Unit-Level Data'!$L:$L, "&lt;" &amp; $X$2,
          'Unit-Level Data'!$D:$D, INDIRECT("C"&amp;ROW()),
          'Unit-Level Data'!$B:$B, INDIRECT("B"&amp;ROW()))</f>
        <v>0</v>
      </c>
      <c r="W339" s="738" t="str" cm="1">
        <f t="array" aca="true" ref="W3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9" s="760" t="str" cm="1">
        <f t="array" aca="true" ref="X3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9" s="733" cm="1">
        <f t="array" aca="true" ref="Y339" ca="true">COUNTIFS('Unit-Level Data'!$L:$L, "&gt;=" &amp; ($X$2 - W$5),
          'Unit-Level Data'!$L:$L, "&lt;" &amp; $X$2,
          'Unit-Level Data'!$D:$D, INDIRECT("C"&amp;ROW()),
          'Unit-Level Data'!$B:$B, INDIRECT("B"&amp;ROW()))</f>
        <v>0</v>
      </c>
      <c r="Z339" s="761"/>
      <c r="AA339" s="735" cm="1">
        <f t="array" aca="true" ref="AA339" ca="true">IFERROR(AVERAGEIFS(
  unit_details[Sqft],
  unit_details[Property Name], INDIRECT("B"&amp;ROW()),
  unit_details[Floorplan Name], INDIRECT("C"&amp;ROW()),
  unit_details[Beds], INDIRECT("D"&amp;ROW()),
  unit_details[Detected Unit Amenities], "*"&amp;$AB$3&amp;"*",
  unit_details[Leased Date], "&gt;=" &amp; ($X$2 - $AD$3)
),0)</f>
        <v>0</v>
      </c>
      <c r="AB339" s="734" cm="1">
        <f t="array" aca="true" ref="AB3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9" s="733" cm="1">
        <f t="array" aca="true" ref="AC339" ca="true">IFERROR(COUNTIFS(
  unit_details[Property Name], INDIRECT("B"&amp;ROW()),
  unit_details[Floorplan Name], INDIRECT("C"&amp;ROW()),
  unit_details[Beds], INDIRECT("D"&amp;ROW()),
  unit_details[Detected Unit Amenities], "*"&amp;$AB$3&amp;"*",
  unit_details[Leased Date], "&gt;=" &amp; ($X$2 - $AD$3)
),0)</f>
        <v>0</v>
      </c>
      <c r="AD339" s="735" cm="1">
        <f t="array" aca="true" ref="AD339" ca="true">IFERROR(AVERAGEIFS(
  unit_details[Sqft],
  unit_details[Property Name], INDIRECT("B"&amp;ROW()),
  unit_details[Floorplan Name], INDIRECT("C"&amp;ROW()),
  unit_details[Beds], INDIRECT("D"&amp;ROW()),
  unit_details[Detected Unit Amenities], "&lt;&gt;*"&amp;$AB$3&amp;"*",
  unit_details[Leased Date], "&gt;=" &amp; ($X$2 - $AD$3)
),0)</f>
        <v>0</v>
      </c>
      <c r="AE339" s="734" cm="1">
        <f t="array" aca="true" ref="AE3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9" s="733" cm="1">
        <f t="array" aca="true" ref="AF339" ca="true">IFERROR(COUNTIFS(
  unit_details[Property Name], INDIRECT("B"&amp;ROW()),
  unit_details[Floorplan Name], INDIRECT("C"&amp;ROW()),
  unit_details[Beds], INDIRECT("D"&amp;ROW()),
  unit_details[Detected Unit Amenities], "&lt;&gt;*"&amp;$AB$3&amp;"*",
  unit_details[Leased Date], "&gt;=" &amp; ($X$2 - $AD$3)
),0)</f>
        <v>0</v>
      </c>
      <c r="AG339" s="735"/>
      <c r="AH339" s="738">
        <f t="shared" ca="true" si="12"/>
        <v>0</v>
      </c>
      <c r="AI339" s="739">
        <f t="shared" ca="true" si="13"/>
        <v>0</v>
      </c>
    </row>
    <row r="340" spans="10:35">
      <c r="J340" s="345"/>
      <c r="N340" s="738" t="str" cm="1">
        <f t="array" aca="true" ref="N340" ca="true">IFERROR(IF($O$3="Chunk Rent",
AVERAGEIFS('Unit-Level Data'!$O:$O,'Unit-Level Data'!$M:$M,TRUE,
          'Unit-Level Data'!$D:$D, INDIRECT("C"&amp;ROW()),
          'Unit-Level Data'!$B:$B, INDIRECT("B"&amp;ROW())),
AVERAGEIFS('Unit-Level Data'!$P:$P,'Unit-Level Data'!$M:$M,TRUE,
          'Unit-Level Data'!$D:$D, INDIRECT("C"&amp;ROW()),
          'Unit-Level Data'!$B:$B, INDIRECT("B"&amp;ROW()))),"")</f>
      </c>
      <c r="O340" s="760" t="str" cm="1">
        <f t="array" aca="true" ref="O340" ca="true">IFERROR(IF($O$3="Chunk Rent",
AVERAGEIFS('Unit-Level Data'!$Q:$Q,'Unit-Level Data'!$M:$M,TRUE,
          'Unit-Level Data'!$D:$D, INDIRECT("C"&amp;ROW()),
          'Unit-Level Data'!$B:$B, INDIRECT("B"&amp;ROW())),
AVERAGEIFS('Unit-Level Data'!$R:$R,'Unit-Level Data'!$M:$M,TRUE,
          'Unit-Level Data'!$D:$D, INDIRECT("C"&amp;ROW()),
          'Unit-Level Data'!$B:$B, INDIRECT("B"&amp;ROW()))),"")</f>
      </c>
      <c r="P340" s="733" cm="1">
        <f t="array" aca="true" ref="P340" ca="true">COUNTIFS('Unit-Level Data'!$M:$M,TRUE,
          'Unit-Level Data'!$D:$D, INDIRECT("C"&amp;ROW()),
          'Unit-Level Data'!$B:$B, INDIRECT("B"&amp;ROW()))</f>
        <v>0</v>
      </c>
      <c r="Q340" s="738" t="str" cm="1">
        <f t="array" aca="true" ref="Q3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0" s="760" t="str" cm="1">
        <f t="array" aca="true" ref="R3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0" s="733" cm="1">
        <f t="array" aca="true" ref="S340" ca="true">COUNTIFS('Unit-Level Data'!$L:$L, "&gt;=" &amp; ($X$2 - Q$5),
          'Unit-Level Data'!$L:$L, "&lt;" &amp; $X$2,
          'Unit-Level Data'!$D:$D, INDIRECT("C"&amp;ROW()),
          'Unit-Level Data'!$B:$B, INDIRECT("B"&amp;ROW()))</f>
        <v>0</v>
      </c>
      <c r="T340" s="738" t="str" cm="1">
        <f t="array" aca="true" ref="T3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0" s="760" t="str" cm="1">
        <f t="array" aca="true" ref="U3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0" s="733" cm="1">
        <f t="array" aca="true" ref="V340" ca="true">COUNTIFS('Unit-Level Data'!$L:$L, "&gt;=" &amp; ($X$2 - T$5),
          'Unit-Level Data'!$L:$L, "&lt;" &amp; $X$2,
          'Unit-Level Data'!$D:$D, INDIRECT("C"&amp;ROW()),
          'Unit-Level Data'!$B:$B, INDIRECT("B"&amp;ROW()))</f>
        <v>0</v>
      </c>
      <c r="W340" s="738" t="str" cm="1">
        <f t="array" aca="true" ref="W3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0" s="760" t="str" cm="1">
        <f t="array" aca="true" ref="X3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0" s="733" cm="1">
        <f t="array" aca="true" ref="Y340" ca="true">COUNTIFS('Unit-Level Data'!$L:$L, "&gt;=" &amp; ($X$2 - W$5),
          'Unit-Level Data'!$L:$L, "&lt;" &amp; $X$2,
          'Unit-Level Data'!$D:$D, INDIRECT("C"&amp;ROW()),
          'Unit-Level Data'!$B:$B, INDIRECT("B"&amp;ROW()))</f>
        <v>0</v>
      </c>
      <c r="Z340" s="761"/>
      <c r="AA340" s="735" cm="1">
        <f t="array" aca="true" ref="AA340" ca="true">IFERROR(AVERAGEIFS(
  unit_details[Sqft],
  unit_details[Property Name], INDIRECT("B"&amp;ROW()),
  unit_details[Floorplan Name], INDIRECT("C"&amp;ROW()),
  unit_details[Beds], INDIRECT("D"&amp;ROW()),
  unit_details[Detected Unit Amenities], "*"&amp;$AB$3&amp;"*",
  unit_details[Leased Date], "&gt;=" &amp; ($X$2 - $AD$3)
),0)</f>
        <v>0</v>
      </c>
      <c r="AB340" s="734" cm="1">
        <f t="array" aca="true" ref="AB3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0" s="733" cm="1">
        <f t="array" aca="true" ref="AC340" ca="true">IFERROR(COUNTIFS(
  unit_details[Property Name], INDIRECT("B"&amp;ROW()),
  unit_details[Floorplan Name], INDIRECT("C"&amp;ROW()),
  unit_details[Beds], INDIRECT("D"&amp;ROW()),
  unit_details[Detected Unit Amenities], "*"&amp;$AB$3&amp;"*",
  unit_details[Leased Date], "&gt;=" &amp; ($X$2 - $AD$3)
),0)</f>
        <v>0</v>
      </c>
      <c r="AD340" s="735" cm="1">
        <f t="array" aca="true" ref="AD340" ca="true">IFERROR(AVERAGEIFS(
  unit_details[Sqft],
  unit_details[Property Name], INDIRECT("B"&amp;ROW()),
  unit_details[Floorplan Name], INDIRECT("C"&amp;ROW()),
  unit_details[Beds], INDIRECT("D"&amp;ROW()),
  unit_details[Detected Unit Amenities], "&lt;&gt;*"&amp;$AB$3&amp;"*",
  unit_details[Leased Date], "&gt;=" &amp; ($X$2 - $AD$3)
),0)</f>
        <v>0</v>
      </c>
      <c r="AE340" s="734" cm="1">
        <f t="array" aca="true" ref="AE3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0" s="733" cm="1">
        <f t="array" aca="true" ref="AF340" ca="true">IFERROR(COUNTIFS(
  unit_details[Property Name], INDIRECT("B"&amp;ROW()),
  unit_details[Floorplan Name], INDIRECT("C"&amp;ROW()),
  unit_details[Beds], INDIRECT("D"&amp;ROW()),
  unit_details[Detected Unit Amenities], "&lt;&gt;*"&amp;$AB$3&amp;"*",
  unit_details[Leased Date], "&gt;=" &amp; ($X$2 - $AD$3)
),0)</f>
        <v>0</v>
      </c>
      <c r="AG340" s="735"/>
      <c r="AH340" s="738">
        <f t="shared" ca="true" si="12"/>
        <v>0</v>
      </c>
      <c r="AI340" s="739">
        <f t="shared" ca="true" si="13"/>
        <v>0</v>
      </c>
    </row>
    <row r="341" spans="10:35">
      <c r="J341" s="345"/>
      <c r="N341" s="738" t="str" cm="1">
        <f t="array" aca="true" ref="N341" ca="true">IFERROR(IF($O$3="Chunk Rent",
AVERAGEIFS('Unit-Level Data'!$O:$O,'Unit-Level Data'!$M:$M,TRUE,
          'Unit-Level Data'!$D:$D, INDIRECT("C"&amp;ROW()),
          'Unit-Level Data'!$B:$B, INDIRECT("B"&amp;ROW())),
AVERAGEIFS('Unit-Level Data'!$P:$P,'Unit-Level Data'!$M:$M,TRUE,
          'Unit-Level Data'!$D:$D, INDIRECT("C"&amp;ROW()),
          'Unit-Level Data'!$B:$B, INDIRECT("B"&amp;ROW()))),"")</f>
      </c>
      <c r="O341" s="760" t="str" cm="1">
        <f t="array" aca="true" ref="O341" ca="true">IFERROR(IF($O$3="Chunk Rent",
AVERAGEIFS('Unit-Level Data'!$Q:$Q,'Unit-Level Data'!$M:$M,TRUE,
          'Unit-Level Data'!$D:$D, INDIRECT("C"&amp;ROW()),
          'Unit-Level Data'!$B:$B, INDIRECT("B"&amp;ROW())),
AVERAGEIFS('Unit-Level Data'!$R:$R,'Unit-Level Data'!$M:$M,TRUE,
          'Unit-Level Data'!$D:$D, INDIRECT("C"&amp;ROW()),
          'Unit-Level Data'!$B:$B, INDIRECT("B"&amp;ROW()))),"")</f>
      </c>
      <c r="P341" s="733" cm="1">
        <f t="array" aca="true" ref="P341" ca="true">COUNTIFS('Unit-Level Data'!$M:$M,TRUE,
          'Unit-Level Data'!$D:$D, INDIRECT("C"&amp;ROW()),
          'Unit-Level Data'!$B:$B, INDIRECT("B"&amp;ROW()))</f>
        <v>0</v>
      </c>
      <c r="Q341" s="738" t="str" cm="1">
        <f t="array" aca="true" ref="Q3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1" s="760" t="str" cm="1">
        <f t="array" aca="true" ref="R3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1" s="733" cm="1">
        <f t="array" aca="true" ref="S341" ca="true">COUNTIFS('Unit-Level Data'!$L:$L, "&gt;=" &amp; ($X$2 - Q$5),
          'Unit-Level Data'!$L:$L, "&lt;" &amp; $X$2,
          'Unit-Level Data'!$D:$D, INDIRECT("C"&amp;ROW()),
          'Unit-Level Data'!$B:$B, INDIRECT("B"&amp;ROW()))</f>
        <v>0</v>
      </c>
      <c r="T341" s="738" t="str" cm="1">
        <f t="array" aca="true" ref="T3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1" s="760" t="str" cm="1">
        <f t="array" aca="true" ref="U3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1" s="733" cm="1">
        <f t="array" aca="true" ref="V341" ca="true">COUNTIFS('Unit-Level Data'!$L:$L, "&gt;=" &amp; ($X$2 - T$5),
          'Unit-Level Data'!$L:$L, "&lt;" &amp; $X$2,
          'Unit-Level Data'!$D:$D, INDIRECT("C"&amp;ROW()),
          'Unit-Level Data'!$B:$B, INDIRECT("B"&amp;ROW()))</f>
        <v>0</v>
      </c>
      <c r="W341" s="738" t="str" cm="1">
        <f t="array" aca="true" ref="W3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1" s="760" t="str" cm="1">
        <f t="array" aca="true" ref="X3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1" s="733" cm="1">
        <f t="array" aca="true" ref="Y341" ca="true">COUNTIFS('Unit-Level Data'!$L:$L, "&gt;=" &amp; ($X$2 - W$5),
          'Unit-Level Data'!$L:$L, "&lt;" &amp; $X$2,
          'Unit-Level Data'!$D:$D, INDIRECT("C"&amp;ROW()),
          'Unit-Level Data'!$B:$B, INDIRECT("B"&amp;ROW()))</f>
        <v>0</v>
      </c>
      <c r="Z341" s="761"/>
      <c r="AA341" s="735" cm="1">
        <f t="array" aca="true" ref="AA341" ca="true">IFERROR(AVERAGEIFS(
  unit_details[Sqft],
  unit_details[Property Name], INDIRECT("B"&amp;ROW()),
  unit_details[Floorplan Name], INDIRECT("C"&amp;ROW()),
  unit_details[Beds], INDIRECT("D"&amp;ROW()),
  unit_details[Detected Unit Amenities], "*"&amp;$AB$3&amp;"*",
  unit_details[Leased Date], "&gt;=" &amp; ($X$2 - $AD$3)
),0)</f>
        <v>0</v>
      </c>
      <c r="AB341" s="734" cm="1">
        <f t="array" aca="true" ref="AB3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1" s="733" cm="1">
        <f t="array" aca="true" ref="AC341" ca="true">IFERROR(COUNTIFS(
  unit_details[Property Name], INDIRECT("B"&amp;ROW()),
  unit_details[Floorplan Name], INDIRECT("C"&amp;ROW()),
  unit_details[Beds], INDIRECT("D"&amp;ROW()),
  unit_details[Detected Unit Amenities], "*"&amp;$AB$3&amp;"*",
  unit_details[Leased Date], "&gt;=" &amp; ($X$2 - $AD$3)
),0)</f>
        <v>0</v>
      </c>
      <c r="AD341" s="735" cm="1">
        <f t="array" aca="true" ref="AD341" ca="true">IFERROR(AVERAGEIFS(
  unit_details[Sqft],
  unit_details[Property Name], INDIRECT("B"&amp;ROW()),
  unit_details[Floorplan Name], INDIRECT("C"&amp;ROW()),
  unit_details[Beds], INDIRECT("D"&amp;ROW()),
  unit_details[Detected Unit Amenities], "&lt;&gt;*"&amp;$AB$3&amp;"*",
  unit_details[Leased Date], "&gt;=" &amp; ($X$2 - $AD$3)
),0)</f>
        <v>0</v>
      </c>
      <c r="AE341" s="734" cm="1">
        <f t="array" aca="true" ref="AE3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1" s="733" cm="1">
        <f t="array" aca="true" ref="AF341" ca="true">IFERROR(COUNTIFS(
  unit_details[Property Name], INDIRECT("B"&amp;ROW()),
  unit_details[Floorplan Name], INDIRECT("C"&amp;ROW()),
  unit_details[Beds], INDIRECT("D"&amp;ROW()),
  unit_details[Detected Unit Amenities], "&lt;&gt;*"&amp;$AB$3&amp;"*",
  unit_details[Leased Date], "&gt;=" &amp; ($X$2 - $AD$3)
),0)</f>
        <v>0</v>
      </c>
      <c r="AG341" s="735"/>
      <c r="AH341" s="738">
        <f t="shared" ca="true" si="12"/>
        <v>0</v>
      </c>
      <c r="AI341" s="739">
        <f t="shared" ca="true" si="13"/>
        <v>0</v>
      </c>
    </row>
    <row r="342" spans="10:35">
      <c r="J342" s="345"/>
      <c r="N342" s="738" t="str" cm="1">
        <f t="array" aca="true" ref="N342" ca="true">IFERROR(IF($O$3="Chunk Rent",
AVERAGEIFS('Unit-Level Data'!$O:$O,'Unit-Level Data'!$M:$M,TRUE,
          'Unit-Level Data'!$D:$D, INDIRECT("C"&amp;ROW()),
          'Unit-Level Data'!$B:$B, INDIRECT("B"&amp;ROW())),
AVERAGEIFS('Unit-Level Data'!$P:$P,'Unit-Level Data'!$M:$M,TRUE,
          'Unit-Level Data'!$D:$D, INDIRECT("C"&amp;ROW()),
          'Unit-Level Data'!$B:$B, INDIRECT("B"&amp;ROW()))),"")</f>
      </c>
      <c r="O342" s="760" t="str" cm="1">
        <f t="array" aca="true" ref="O342" ca="true">IFERROR(IF($O$3="Chunk Rent",
AVERAGEIFS('Unit-Level Data'!$Q:$Q,'Unit-Level Data'!$M:$M,TRUE,
          'Unit-Level Data'!$D:$D, INDIRECT("C"&amp;ROW()),
          'Unit-Level Data'!$B:$B, INDIRECT("B"&amp;ROW())),
AVERAGEIFS('Unit-Level Data'!$R:$R,'Unit-Level Data'!$M:$M,TRUE,
          'Unit-Level Data'!$D:$D, INDIRECT("C"&amp;ROW()),
          'Unit-Level Data'!$B:$B, INDIRECT("B"&amp;ROW()))),"")</f>
      </c>
      <c r="P342" s="733" cm="1">
        <f t="array" aca="true" ref="P342" ca="true">COUNTIFS('Unit-Level Data'!$M:$M,TRUE,
          'Unit-Level Data'!$D:$D, INDIRECT("C"&amp;ROW()),
          'Unit-Level Data'!$B:$B, INDIRECT("B"&amp;ROW()))</f>
        <v>0</v>
      </c>
      <c r="Q342" s="738" t="str" cm="1">
        <f t="array" aca="true" ref="Q3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2" s="760" t="str" cm="1">
        <f t="array" aca="true" ref="R3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2" s="733" cm="1">
        <f t="array" aca="true" ref="S342" ca="true">COUNTIFS('Unit-Level Data'!$L:$L, "&gt;=" &amp; ($X$2 - Q$5),
          'Unit-Level Data'!$L:$L, "&lt;" &amp; $X$2,
          'Unit-Level Data'!$D:$D, INDIRECT("C"&amp;ROW()),
          'Unit-Level Data'!$B:$B, INDIRECT("B"&amp;ROW()))</f>
        <v>0</v>
      </c>
      <c r="T342" s="738" t="str" cm="1">
        <f t="array" aca="true" ref="T3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2" s="760" t="str" cm="1">
        <f t="array" aca="true" ref="U3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2" s="733" cm="1">
        <f t="array" aca="true" ref="V342" ca="true">COUNTIFS('Unit-Level Data'!$L:$L, "&gt;=" &amp; ($X$2 - T$5),
          'Unit-Level Data'!$L:$L, "&lt;" &amp; $X$2,
          'Unit-Level Data'!$D:$D, INDIRECT("C"&amp;ROW()),
          'Unit-Level Data'!$B:$B, INDIRECT("B"&amp;ROW()))</f>
        <v>0</v>
      </c>
      <c r="W342" s="738" t="str" cm="1">
        <f t="array" aca="true" ref="W3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2" s="760" t="str" cm="1">
        <f t="array" aca="true" ref="X3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2" s="733" cm="1">
        <f t="array" aca="true" ref="Y342" ca="true">COUNTIFS('Unit-Level Data'!$L:$L, "&gt;=" &amp; ($X$2 - W$5),
          'Unit-Level Data'!$L:$L, "&lt;" &amp; $X$2,
          'Unit-Level Data'!$D:$D, INDIRECT("C"&amp;ROW()),
          'Unit-Level Data'!$B:$B, INDIRECT("B"&amp;ROW()))</f>
        <v>0</v>
      </c>
      <c r="Z342" s="761"/>
      <c r="AA342" s="735" cm="1">
        <f t="array" aca="true" ref="AA342" ca="true">IFERROR(AVERAGEIFS(
  unit_details[Sqft],
  unit_details[Property Name], INDIRECT("B"&amp;ROW()),
  unit_details[Floorplan Name], INDIRECT("C"&amp;ROW()),
  unit_details[Beds], INDIRECT("D"&amp;ROW()),
  unit_details[Detected Unit Amenities], "*"&amp;$AB$3&amp;"*",
  unit_details[Leased Date], "&gt;=" &amp; ($X$2 - $AD$3)
),0)</f>
        <v>0</v>
      </c>
      <c r="AB342" s="734" cm="1">
        <f t="array" aca="true" ref="AB3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2" s="733" cm="1">
        <f t="array" aca="true" ref="AC342" ca="true">IFERROR(COUNTIFS(
  unit_details[Property Name], INDIRECT("B"&amp;ROW()),
  unit_details[Floorplan Name], INDIRECT("C"&amp;ROW()),
  unit_details[Beds], INDIRECT("D"&amp;ROW()),
  unit_details[Detected Unit Amenities], "*"&amp;$AB$3&amp;"*",
  unit_details[Leased Date], "&gt;=" &amp; ($X$2 - $AD$3)
),0)</f>
        <v>0</v>
      </c>
      <c r="AD342" s="735" cm="1">
        <f t="array" aca="true" ref="AD342" ca="true">IFERROR(AVERAGEIFS(
  unit_details[Sqft],
  unit_details[Property Name], INDIRECT("B"&amp;ROW()),
  unit_details[Floorplan Name], INDIRECT("C"&amp;ROW()),
  unit_details[Beds], INDIRECT("D"&amp;ROW()),
  unit_details[Detected Unit Amenities], "&lt;&gt;*"&amp;$AB$3&amp;"*",
  unit_details[Leased Date], "&gt;=" &amp; ($X$2 - $AD$3)
),0)</f>
        <v>0</v>
      </c>
      <c r="AE342" s="734" cm="1">
        <f t="array" aca="true" ref="AE3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2" s="733" cm="1">
        <f t="array" aca="true" ref="AF342" ca="true">IFERROR(COUNTIFS(
  unit_details[Property Name], INDIRECT("B"&amp;ROW()),
  unit_details[Floorplan Name], INDIRECT("C"&amp;ROW()),
  unit_details[Beds], INDIRECT("D"&amp;ROW()),
  unit_details[Detected Unit Amenities], "&lt;&gt;*"&amp;$AB$3&amp;"*",
  unit_details[Leased Date], "&gt;=" &amp; ($X$2 - $AD$3)
),0)</f>
        <v>0</v>
      </c>
      <c r="AG342" s="735"/>
      <c r="AH342" s="738">
        <f t="shared" ca="true" si="12"/>
        <v>0</v>
      </c>
      <c r="AI342" s="739">
        <f t="shared" ca="true" si="13"/>
        <v>0</v>
      </c>
    </row>
    <row r="343" spans="10:35">
      <c r="J343" s="345"/>
      <c r="N343" s="738" t="str" cm="1">
        <f t="array" aca="true" ref="N343" ca="true">IFERROR(IF($O$3="Chunk Rent",
AVERAGEIFS('Unit-Level Data'!$O:$O,'Unit-Level Data'!$M:$M,TRUE,
          'Unit-Level Data'!$D:$D, INDIRECT("C"&amp;ROW()),
          'Unit-Level Data'!$B:$B, INDIRECT("B"&amp;ROW())),
AVERAGEIFS('Unit-Level Data'!$P:$P,'Unit-Level Data'!$M:$M,TRUE,
          'Unit-Level Data'!$D:$D, INDIRECT("C"&amp;ROW()),
          'Unit-Level Data'!$B:$B, INDIRECT("B"&amp;ROW()))),"")</f>
      </c>
      <c r="O343" s="760" t="str" cm="1">
        <f t="array" aca="true" ref="O343" ca="true">IFERROR(IF($O$3="Chunk Rent",
AVERAGEIFS('Unit-Level Data'!$Q:$Q,'Unit-Level Data'!$M:$M,TRUE,
          'Unit-Level Data'!$D:$D, INDIRECT("C"&amp;ROW()),
          'Unit-Level Data'!$B:$B, INDIRECT("B"&amp;ROW())),
AVERAGEIFS('Unit-Level Data'!$R:$R,'Unit-Level Data'!$M:$M,TRUE,
          'Unit-Level Data'!$D:$D, INDIRECT("C"&amp;ROW()),
          'Unit-Level Data'!$B:$B, INDIRECT("B"&amp;ROW()))),"")</f>
      </c>
      <c r="P343" s="733" cm="1">
        <f t="array" aca="true" ref="P343" ca="true">COUNTIFS('Unit-Level Data'!$M:$M,TRUE,
          'Unit-Level Data'!$D:$D, INDIRECT("C"&amp;ROW()),
          'Unit-Level Data'!$B:$B, INDIRECT("B"&amp;ROW()))</f>
        <v>0</v>
      </c>
      <c r="Q343" s="738" t="str" cm="1">
        <f t="array" aca="true" ref="Q3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3" s="760" t="str" cm="1">
        <f t="array" aca="true" ref="R3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3" s="733" cm="1">
        <f t="array" aca="true" ref="S343" ca="true">COUNTIFS('Unit-Level Data'!$L:$L, "&gt;=" &amp; ($X$2 - Q$5),
          'Unit-Level Data'!$L:$L, "&lt;" &amp; $X$2,
          'Unit-Level Data'!$D:$D, INDIRECT("C"&amp;ROW()),
          'Unit-Level Data'!$B:$B, INDIRECT("B"&amp;ROW()))</f>
        <v>0</v>
      </c>
      <c r="T343" s="738" t="str" cm="1">
        <f t="array" aca="true" ref="T3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3" s="760" t="str" cm="1">
        <f t="array" aca="true" ref="U3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3" s="733" cm="1">
        <f t="array" aca="true" ref="V343" ca="true">COUNTIFS('Unit-Level Data'!$L:$L, "&gt;=" &amp; ($X$2 - T$5),
          'Unit-Level Data'!$L:$L, "&lt;" &amp; $X$2,
          'Unit-Level Data'!$D:$D, INDIRECT("C"&amp;ROW()),
          'Unit-Level Data'!$B:$B, INDIRECT("B"&amp;ROW()))</f>
        <v>0</v>
      </c>
      <c r="W343" s="738" t="str" cm="1">
        <f t="array" aca="true" ref="W3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3" s="760" t="str" cm="1">
        <f t="array" aca="true" ref="X3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3" s="733" cm="1">
        <f t="array" aca="true" ref="Y343" ca="true">COUNTIFS('Unit-Level Data'!$L:$L, "&gt;=" &amp; ($X$2 - W$5),
          'Unit-Level Data'!$L:$L, "&lt;" &amp; $X$2,
          'Unit-Level Data'!$D:$D, INDIRECT("C"&amp;ROW()),
          'Unit-Level Data'!$B:$B, INDIRECT("B"&amp;ROW()))</f>
        <v>0</v>
      </c>
      <c r="Z343" s="761"/>
      <c r="AA343" s="735" cm="1">
        <f t="array" aca="true" ref="AA343" ca="true">IFERROR(AVERAGEIFS(
  unit_details[Sqft],
  unit_details[Property Name], INDIRECT("B"&amp;ROW()),
  unit_details[Floorplan Name], INDIRECT("C"&amp;ROW()),
  unit_details[Beds], INDIRECT("D"&amp;ROW()),
  unit_details[Detected Unit Amenities], "*"&amp;$AB$3&amp;"*",
  unit_details[Leased Date], "&gt;=" &amp; ($X$2 - $AD$3)
),0)</f>
        <v>0</v>
      </c>
      <c r="AB343" s="734" cm="1">
        <f t="array" aca="true" ref="AB3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3" s="733" cm="1">
        <f t="array" aca="true" ref="AC343" ca="true">IFERROR(COUNTIFS(
  unit_details[Property Name], INDIRECT("B"&amp;ROW()),
  unit_details[Floorplan Name], INDIRECT("C"&amp;ROW()),
  unit_details[Beds], INDIRECT("D"&amp;ROW()),
  unit_details[Detected Unit Amenities], "*"&amp;$AB$3&amp;"*",
  unit_details[Leased Date], "&gt;=" &amp; ($X$2 - $AD$3)
),0)</f>
        <v>0</v>
      </c>
      <c r="AD343" s="735" cm="1">
        <f t="array" aca="true" ref="AD343" ca="true">IFERROR(AVERAGEIFS(
  unit_details[Sqft],
  unit_details[Property Name], INDIRECT("B"&amp;ROW()),
  unit_details[Floorplan Name], INDIRECT("C"&amp;ROW()),
  unit_details[Beds], INDIRECT("D"&amp;ROW()),
  unit_details[Detected Unit Amenities], "&lt;&gt;*"&amp;$AB$3&amp;"*",
  unit_details[Leased Date], "&gt;=" &amp; ($X$2 - $AD$3)
),0)</f>
        <v>0</v>
      </c>
      <c r="AE343" s="734" cm="1">
        <f t="array" aca="true" ref="AE3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3" s="733" cm="1">
        <f t="array" aca="true" ref="AF343" ca="true">IFERROR(COUNTIFS(
  unit_details[Property Name], INDIRECT("B"&amp;ROW()),
  unit_details[Floorplan Name], INDIRECT("C"&amp;ROW()),
  unit_details[Beds], INDIRECT("D"&amp;ROW()),
  unit_details[Detected Unit Amenities], "&lt;&gt;*"&amp;$AB$3&amp;"*",
  unit_details[Leased Date], "&gt;=" &amp; ($X$2 - $AD$3)
),0)</f>
        <v>0</v>
      </c>
      <c r="AG343" s="735"/>
      <c r="AH343" s="738">
        <f t="shared" ca="true" si="12"/>
        <v>0</v>
      </c>
      <c r="AI343" s="739">
        <f t="shared" ca="true" si="13"/>
        <v>0</v>
      </c>
    </row>
    <row r="344" spans="10:35">
      <c r="J344" s="345"/>
      <c r="N344" s="738" t="str" cm="1">
        <f t="array" aca="true" ref="N344" ca="true">IFERROR(IF($O$3="Chunk Rent",
AVERAGEIFS('Unit-Level Data'!$O:$O,'Unit-Level Data'!$M:$M,TRUE,
          'Unit-Level Data'!$D:$D, INDIRECT("C"&amp;ROW()),
          'Unit-Level Data'!$B:$B, INDIRECT("B"&amp;ROW())),
AVERAGEIFS('Unit-Level Data'!$P:$P,'Unit-Level Data'!$M:$M,TRUE,
          'Unit-Level Data'!$D:$D, INDIRECT("C"&amp;ROW()),
          'Unit-Level Data'!$B:$B, INDIRECT("B"&amp;ROW()))),"")</f>
      </c>
      <c r="O344" s="760" t="str" cm="1">
        <f t="array" aca="true" ref="O344" ca="true">IFERROR(IF($O$3="Chunk Rent",
AVERAGEIFS('Unit-Level Data'!$Q:$Q,'Unit-Level Data'!$M:$M,TRUE,
          'Unit-Level Data'!$D:$D, INDIRECT("C"&amp;ROW()),
          'Unit-Level Data'!$B:$B, INDIRECT("B"&amp;ROW())),
AVERAGEIFS('Unit-Level Data'!$R:$R,'Unit-Level Data'!$M:$M,TRUE,
          'Unit-Level Data'!$D:$D, INDIRECT("C"&amp;ROW()),
          'Unit-Level Data'!$B:$B, INDIRECT("B"&amp;ROW()))),"")</f>
      </c>
      <c r="P344" s="733" cm="1">
        <f t="array" aca="true" ref="P344" ca="true">COUNTIFS('Unit-Level Data'!$M:$M,TRUE,
          'Unit-Level Data'!$D:$D, INDIRECT("C"&amp;ROW()),
          'Unit-Level Data'!$B:$B, INDIRECT("B"&amp;ROW()))</f>
        <v>0</v>
      </c>
      <c r="Q344" s="738" t="str" cm="1">
        <f t="array" aca="true" ref="Q3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4" s="760" t="str" cm="1">
        <f t="array" aca="true" ref="R3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4" s="733" cm="1">
        <f t="array" aca="true" ref="S344" ca="true">COUNTIFS('Unit-Level Data'!$L:$L, "&gt;=" &amp; ($X$2 - Q$5),
          'Unit-Level Data'!$L:$L, "&lt;" &amp; $X$2,
          'Unit-Level Data'!$D:$D, INDIRECT("C"&amp;ROW()),
          'Unit-Level Data'!$B:$B, INDIRECT("B"&amp;ROW()))</f>
        <v>0</v>
      </c>
      <c r="T344" s="738" t="str" cm="1">
        <f t="array" aca="true" ref="T3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4" s="760" t="str" cm="1">
        <f t="array" aca="true" ref="U3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4" s="733" cm="1">
        <f t="array" aca="true" ref="V344" ca="true">COUNTIFS('Unit-Level Data'!$L:$L, "&gt;=" &amp; ($X$2 - T$5),
          'Unit-Level Data'!$L:$L, "&lt;" &amp; $X$2,
          'Unit-Level Data'!$D:$D, INDIRECT("C"&amp;ROW()),
          'Unit-Level Data'!$B:$B, INDIRECT("B"&amp;ROW()))</f>
        <v>0</v>
      </c>
      <c r="W344" s="738" t="str" cm="1">
        <f t="array" aca="true" ref="W3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4" s="760" t="str" cm="1">
        <f t="array" aca="true" ref="X3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4" s="733" cm="1">
        <f t="array" aca="true" ref="Y344" ca="true">COUNTIFS('Unit-Level Data'!$L:$L, "&gt;=" &amp; ($X$2 - W$5),
          'Unit-Level Data'!$L:$L, "&lt;" &amp; $X$2,
          'Unit-Level Data'!$D:$D, INDIRECT("C"&amp;ROW()),
          'Unit-Level Data'!$B:$B, INDIRECT("B"&amp;ROW()))</f>
        <v>0</v>
      </c>
      <c r="Z344" s="761"/>
      <c r="AA344" s="735" cm="1">
        <f t="array" aca="true" ref="AA344" ca="true">IFERROR(AVERAGEIFS(
  unit_details[Sqft],
  unit_details[Property Name], INDIRECT("B"&amp;ROW()),
  unit_details[Floorplan Name], INDIRECT("C"&amp;ROW()),
  unit_details[Beds], INDIRECT("D"&amp;ROW()),
  unit_details[Detected Unit Amenities], "*"&amp;$AB$3&amp;"*",
  unit_details[Leased Date], "&gt;=" &amp; ($X$2 - $AD$3)
),0)</f>
        <v>0</v>
      </c>
      <c r="AB344" s="734" cm="1">
        <f t="array" aca="true" ref="AB3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4" s="733" cm="1">
        <f t="array" aca="true" ref="AC344" ca="true">IFERROR(COUNTIFS(
  unit_details[Property Name], INDIRECT("B"&amp;ROW()),
  unit_details[Floorplan Name], INDIRECT("C"&amp;ROW()),
  unit_details[Beds], INDIRECT("D"&amp;ROW()),
  unit_details[Detected Unit Amenities], "*"&amp;$AB$3&amp;"*",
  unit_details[Leased Date], "&gt;=" &amp; ($X$2 - $AD$3)
),0)</f>
        <v>0</v>
      </c>
      <c r="AD344" s="735" cm="1">
        <f t="array" aca="true" ref="AD344" ca="true">IFERROR(AVERAGEIFS(
  unit_details[Sqft],
  unit_details[Property Name], INDIRECT("B"&amp;ROW()),
  unit_details[Floorplan Name], INDIRECT("C"&amp;ROW()),
  unit_details[Beds], INDIRECT("D"&amp;ROW()),
  unit_details[Detected Unit Amenities], "&lt;&gt;*"&amp;$AB$3&amp;"*",
  unit_details[Leased Date], "&gt;=" &amp; ($X$2 - $AD$3)
),0)</f>
        <v>0</v>
      </c>
      <c r="AE344" s="734" cm="1">
        <f t="array" aca="true" ref="AE3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4" s="733" cm="1">
        <f t="array" aca="true" ref="AF344" ca="true">IFERROR(COUNTIFS(
  unit_details[Property Name], INDIRECT("B"&amp;ROW()),
  unit_details[Floorplan Name], INDIRECT("C"&amp;ROW()),
  unit_details[Beds], INDIRECT("D"&amp;ROW()),
  unit_details[Detected Unit Amenities], "&lt;&gt;*"&amp;$AB$3&amp;"*",
  unit_details[Leased Date], "&gt;=" &amp; ($X$2 - $AD$3)
),0)</f>
        <v>0</v>
      </c>
      <c r="AG344" s="735"/>
      <c r="AH344" s="738">
        <f t="shared" ca="true" si="12"/>
        <v>0</v>
      </c>
      <c r="AI344" s="739">
        <f t="shared" ca="true" si="13"/>
        <v>0</v>
      </c>
    </row>
    <row r="345" spans="10:35">
      <c r="J345" s="345"/>
      <c r="N345" s="738" t="str" cm="1">
        <f t="array" aca="true" ref="N345" ca="true">IFERROR(IF($O$3="Chunk Rent",
AVERAGEIFS('Unit-Level Data'!$O:$O,'Unit-Level Data'!$M:$M,TRUE,
          'Unit-Level Data'!$D:$D, INDIRECT("C"&amp;ROW()),
          'Unit-Level Data'!$B:$B, INDIRECT("B"&amp;ROW())),
AVERAGEIFS('Unit-Level Data'!$P:$P,'Unit-Level Data'!$M:$M,TRUE,
          'Unit-Level Data'!$D:$D, INDIRECT("C"&amp;ROW()),
          'Unit-Level Data'!$B:$B, INDIRECT("B"&amp;ROW()))),"")</f>
      </c>
      <c r="O345" s="760" t="str" cm="1">
        <f t="array" aca="true" ref="O345" ca="true">IFERROR(IF($O$3="Chunk Rent",
AVERAGEIFS('Unit-Level Data'!$Q:$Q,'Unit-Level Data'!$M:$M,TRUE,
          'Unit-Level Data'!$D:$D, INDIRECT("C"&amp;ROW()),
          'Unit-Level Data'!$B:$B, INDIRECT("B"&amp;ROW())),
AVERAGEIFS('Unit-Level Data'!$R:$R,'Unit-Level Data'!$M:$M,TRUE,
          'Unit-Level Data'!$D:$D, INDIRECT("C"&amp;ROW()),
          'Unit-Level Data'!$B:$B, INDIRECT("B"&amp;ROW()))),"")</f>
      </c>
      <c r="P345" s="733" cm="1">
        <f t="array" aca="true" ref="P345" ca="true">COUNTIFS('Unit-Level Data'!$M:$M,TRUE,
          'Unit-Level Data'!$D:$D, INDIRECT("C"&amp;ROW()),
          'Unit-Level Data'!$B:$B, INDIRECT("B"&amp;ROW()))</f>
        <v>0</v>
      </c>
      <c r="Q345" s="738" t="str" cm="1">
        <f t="array" aca="true" ref="Q3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5" s="760" t="str" cm="1">
        <f t="array" aca="true" ref="R3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5" s="733" cm="1">
        <f t="array" aca="true" ref="S345" ca="true">COUNTIFS('Unit-Level Data'!$L:$L, "&gt;=" &amp; ($X$2 - Q$5),
          'Unit-Level Data'!$L:$L, "&lt;" &amp; $X$2,
          'Unit-Level Data'!$D:$D, INDIRECT("C"&amp;ROW()),
          'Unit-Level Data'!$B:$B, INDIRECT("B"&amp;ROW()))</f>
        <v>0</v>
      </c>
      <c r="T345" s="738" t="str" cm="1">
        <f t="array" aca="true" ref="T3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5" s="760" t="str" cm="1">
        <f t="array" aca="true" ref="U3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5" s="733" cm="1">
        <f t="array" aca="true" ref="V345" ca="true">COUNTIFS('Unit-Level Data'!$L:$L, "&gt;=" &amp; ($X$2 - T$5),
          'Unit-Level Data'!$L:$L, "&lt;" &amp; $X$2,
          'Unit-Level Data'!$D:$D, INDIRECT("C"&amp;ROW()),
          'Unit-Level Data'!$B:$B, INDIRECT("B"&amp;ROW()))</f>
        <v>0</v>
      </c>
      <c r="W345" s="738" t="str" cm="1">
        <f t="array" aca="true" ref="W3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5" s="760" t="str" cm="1">
        <f t="array" aca="true" ref="X3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5" s="733" cm="1">
        <f t="array" aca="true" ref="Y345" ca="true">COUNTIFS('Unit-Level Data'!$L:$L, "&gt;=" &amp; ($X$2 - W$5),
          'Unit-Level Data'!$L:$L, "&lt;" &amp; $X$2,
          'Unit-Level Data'!$D:$D, INDIRECT("C"&amp;ROW()),
          'Unit-Level Data'!$B:$B, INDIRECT("B"&amp;ROW()))</f>
        <v>0</v>
      </c>
      <c r="Z345" s="761"/>
      <c r="AA345" s="735" cm="1">
        <f t="array" aca="true" ref="AA345" ca="true">IFERROR(AVERAGEIFS(
  unit_details[Sqft],
  unit_details[Property Name], INDIRECT("B"&amp;ROW()),
  unit_details[Floorplan Name], INDIRECT("C"&amp;ROW()),
  unit_details[Beds], INDIRECT("D"&amp;ROW()),
  unit_details[Detected Unit Amenities], "*"&amp;$AB$3&amp;"*",
  unit_details[Leased Date], "&gt;=" &amp; ($X$2 - $AD$3)
),0)</f>
        <v>0</v>
      </c>
      <c r="AB345" s="734" cm="1">
        <f t="array" aca="true" ref="AB3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5" s="733" cm="1">
        <f t="array" aca="true" ref="AC345" ca="true">IFERROR(COUNTIFS(
  unit_details[Property Name], INDIRECT("B"&amp;ROW()),
  unit_details[Floorplan Name], INDIRECT("C"&amp;ROW()),
  unit_details[Beds], INDIRECT("D"&amp;ROW()),
  unit_details[Detected Unit Amenities], "*"&amp;$AB$3&amp;"*",
  unit_details[Leased Date], "&gt;=" &amp; ($X$2 - $AD$3)
),0)</f>
        <v>0</v>
      </c>
      <c r="AD345" s="735" cm="1">
        <f t="array" aca="true" ref="AD345" ca="true">IFERROR(AVERAGEIFS(
  unit_details[Sqft],
  unit_details[Property Name], INDIRECT("B"&amp;ROW()),
  unit_details[Floorplan Name], INDIRECT("C"&amp;ROW()),
  unit_details[Beds], INDIRECT("D"&amp;ROW()),
  unit_details[Detected Unit Amenities], "&lt;&gt;*"&amp;$AB$3&amp;"*",
  unit_details[Leased Date], "&gt;=" &amp; ($X$2 - $AD$3)
),0)</f>
        <v>0</v>
      </c>
      <c r="AE345" s="734" cm="1">
        <f t="array" aca="true" ref="AE3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5" s="733" cm="1">
        <f t="array" aca="true" ref="AF345" ca="true">IFERROR(COUNTIFS(
  unit_details[Property Name], INDIRECT("B"&amp;ROW()),
  unit_details[Floorplan Name], INDIRECT("C"&amp;ROW()),
  unit_details[Beds], INDIRECT("D"&amp;ROW()),
  unit_details[Detected Unit Amenities], "&lt;&gt;*"&amp;$AB$3&amp;"*",
  unit_details[Leased Date], "&gt;=" &amp; ($X$2 - $AD$3)
),0)</f>
        <v>0</v>
      </c>
      <c r="AG345" s="735"/>
      <c r="AH345" s="738">
        <f t="shared" ca="true" si="12"/>
        <v>0</v>
      </c>
      <c r="AI345" s="739">
        <f t="shared" ca="true" si="13"/>
        <v>0</v>
      </c>
    </row>
    <row r="346" spans="10:35">
      <c r="J346" s="345"/>
      <c r="N346" s="738" t="str" cm="1">
        <f t="array" aca="true" ref="N346" ca="true">IFERROR(IF($O$3="Chunk Rent",
AVERAGEIFS('Unit-Level Data'!$O:$O,'Unit-Level Data'!$M:$M,TRUE,
          'Unit-Level Data'!$D:$D, INDIRECT("C"&amp;ROW()),
          'Unit-Level Data'!$B:$B, INDIRECT("B"&amp;ROW())),
AVERAGEIFS('Unit-Level Data'!$P:$P,'Unit-Level Data'!$M:$M,TRUE,
          'Unit-Level Data'!$D:$D, INDIRECT("C"&amp;ROW()),
          'Unit-Level Data'!$B:$B, INDIRECT("B"&amp;ROW()))),"")</f>
      </c>
      <c r="O346" s="760" t="str" cm="1">
        <f t="array" aca="true" ref="O346" ca="true">IFERROR(IF($O$3="Chunk Rent",
AVERAGEIFS('Unit-Level Data'!$Q:$Q,'Unit-Level Data'!$M:$M,TRUE,
          'Unit-Level Data'!$D:$D, INDIRECT("C"&amp;ROW()),
          'Unit-Level Data'!$B:$B, INDIRECT("B"&amp;ROW())),
AVERAGEIFS('Unit-Level Data'!$R:$R,'Unit-Level Data'!$M:$M,TRUE,
          'Unit-Level Data'!$D:$D, INDIRECT("C"&amp;ROW()),
          'Unit-Level Data'!$B:$B, INDIRECT("B"&amp;ROW()))),"")</f>
      </c>
      <c r="P346" s="733" cm="1">
        <f t="array" aca="true" ref="P346" ca="true">COUNTIFS('Unit-Level Data'!$M:$M,TRUE,
          'Unit-Level Data'!$D:$D, INDIRECT("C"&amp;ROW()),
          'Unit-Level Data'!$B:$B, INDIRECT("B"&amp;ROW()))</f>
        <v>0</v>
      </c>
      <c r="Q346" s="738" t="str" cm="1">
        <f t="array" aca="true" ref="Q3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6" s="760" t="str" cm="1">
        <f t="array" aca="true" ref="R3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6" s="733" cm="1">
        <f t="array" aca="true" ref="S346" ca="true">COUNTIFS('Unit-Level Data'!$L:$L, "&gt;=" &amp; ($X$2 - Q$5),
          'Unit-Level Data'!$L:$L, "&lt;" &amp; $X$2,
          'Unit-Level Data'!$D:$D, INDIRECT("C"&amp;ROW()),
          'Unit-Level Data'!$B:$B, INDIRECT("B"&amp;ROW()))</f>
        <v>0</v>
      </c>
      <c r="T346" s="738" t="str" cm="1">
        <f t="array" aca="true" ref="T3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6" s="760" t="str" cm="1">
        <f t="array" aca="true" ref="U3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6" s="733" cm="1">
        <f t="array" aca="true" ref="V346" ca="true">COUNTIFS('Unit-Level Data'!$L:$L, "&gt;=" &amp; ($X$2 - T$5),
          'Unit-Level Data'!$L:$L, "&lt;" &amp; $X$2,
          'Unit-Level Data'!$D:$D, INDIRECT("C"&amp;ROW()),
          'Unit-Level Data'!$B:$B, INDIRECT("B"&amp;ROW()))</f>
        <v>0</v>
      </c>
      <c r="W346" s="738" t="str" cm="1">
        <f t="array" aca="true" ref="W3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6" s="760" t="str" cm="1">
        <f t="array" aca="true" ref="X3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6" s="733" cm="1">
        <f t="array" aca="true" ref="Y346" ca="true">COUNTIFS('Unit-Level Data'!$L:$L, "&gt;=" &amp; ($X$2 - W$5),
          'Unit-Level Data'!$L:$L, "&lt;" &amp; $X$2,
          'Unit-Level Data'!$D:$D, INDIRECT("C"&amp;ROW()),
          'Unit-Level Data'!$B:$B, INDIRECT("B"&amp;ROW()))</f>
        <v>0</v>
      </c>
      <c r="Z346" s="761"/>
      <c r="AA346" s="735" cm="1">
        <f t="array" aca="true" ref="AA346" ca="true">IFERROR(AVERAGEIFS(
  unit_details[Sqft],
  unit_details[Property Name], INDIRECT("B"&amp;ROW()),
  unit_details[Floorplan Name], INDIRECT("C"&amp;ROW()),
  unit_details[Beds], INDIRECT("D"&amp;ROW()),
  unit_details[Detected Unit Amenities], "*"&amp;$AB$3&amp;"*",
  unit_details[Leased Date], "&gt;=" &amp; ($X$2 - $AD$3)
),0)</f>
        <v>0</v>
      </c>
      <c r="AB346" s="734" cm="1">
        <f t="array" aca="true" ref="AB3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6" s="733" cm="1">
        <f t="array" aca="true" ref="AC346" ca="true">IFERROR(COUNTIFS(
  unit_details[Property Name], INDIRECT("B"&amp;ROW()),
  unit_details[Floorplan Name], INDIRECT("C"&amp;ROW()),
  unit_details[Beds], INDIRECT("D"&amp;ROW()),
  unit_details[Detected Unit Amenities], "*"&amp;$AB$3&amp;"*",
  unit_details[Leased Date], "&gt;=" &amp; ($X$2 - $AD$3)
),0)</f>
        <v>0</v>
      </c>
      <c r="AD346" s="735" cm="1">
        <f t="array" aca="true" ref="AD346" ca="true">IFERROR(AVERAGEIFS(
  unit_details[Sqft],
  unit_details[Property Name], INDIRECT("B"&amp;ROW()),
  unit_details[Floorplan Name], INDIRECT("C"&amp;ROW()),
  unit_details[Beds], INDIRECT("D"&amp;ROW()),
  unit_details[Detected Unit Amenities], "&lt;&gt;*"&amp;$AB$3&amp;"*",
  unit_details[Leased Date], "&gt;=" &amp; ($X$2 - $AD$3)
),0)</f>
        <v>0</v>
      </c>
      <c r="AE346" s="734" cm="1">
        <f t="array" aca="true" ref="AE3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6" s="733" cm="1">
        <f t="array" aca="true" ref="AF346" ca="true">IFERROR(COUNTIFS(
  unit_details[Property Name], INDIRECT("B"&amp;ROW()),
  unit_details[Floorplan Name], INDIRECT("C"&amp;ROW()),
  unit_details[Beds], INDIRECT("D"&amp;ROW()),
  unit_details[Detected Unit Amenities], "&lt;&gt;*"&amp;$AB$3&amp;"*",
  unit_details[Leased Date], "&gt;=" &amp; ($X$2 - $AD$3)
),0)</f>
        <v>0</v>
      </c>
      <c r="AG346" s="735"/>
      <c r="AH346" s="738">
        <f t="shared" ca="true" si="12"/>
        <v>0</v>
      </c>
      <c r="AI346" s="739">
        <f t="shared" ca="true" si="13"/>
        <v>0</v>
      </c>
    </row>
    <row r="347" spans="10:35">
      <c r="J347" s="345"/>
      <c r="N347" s="738" t="str" cm="1">
        <f t="array" aca="true" ref="N347" ca="true">IFERROR(IF($O$3="Chunk Rent",
AVERAGEIFS('Unit-Level Data'!$O:$O,'Unit-Level Data'!$M:$M,TRUE,
          'Unit-Level Data'!$D:$D, INDIRECT("C"&amp;ROW()),
          'Unit-Level Data'!$B:$B, INDIRECT("B"&amp;ROW())),
AVERAGEIFS('Unit-Level Data'!$P:$P,'Unit-Level Data'!$M:$M,TRUE,
          'Unit-Level Data'!$D:$D, INDIRECT("C"&amp;ROW()),
          'Unit-Level Data'!$B:$B, INDIRECT("B"&amp;ROW()))),"")</f>
      </c>
      <c r="O347" s="760" t="str" cm="1">
        <f t="array" aca="true" ref="O347" ca="true">IFERROR(IF($O$3="Chunk Rent",
AVERAGEIFS('Unit-Level Data'!$Q:$Q,'Unit-Level Data'!$M:$M,TRUE,
          'Unit-Level Data'!$D:$D, INDIRECT("C"&amp;ROW()),
          'Unit-Level Data'!$B:$B, INDIRECT("B"&amp;ROW())),
AVERAGEIFS('Unit-Level Data'!$R:$R,'Unit-Level Data'!$M:$M,TRUE,
          'Unit-Level Data'!$D:$D, INDIRECT("C"&amp;ROW()),
          'Unit-Level Data'!$B:$B, INDIRECT("B"&amp;ROW()))),"")</f>
      </c>
      <c r="P347" s="733" cm="1">
        <f t="array" aca="true" ref="P347" ca="true">COUNTIFS('Unit-Level Data'!$M:$M,TRUE,
          'Unit-Level Data'!$D:$D, INDIRECT("C"&amp;ROW()),
          'Unit-Level Data'!$B:$B, INDIRECT("B"&amp;ROW()))</f>
        <v>0</v>
      </c>
      <c r="Q347" s="738" t="str" cm="1">
        <f t="array" aca="true" ref="Q3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7" s="760" t="str" cm="1">
        <f t="array" aca="true" ref="R3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7" s="733" cm="1">
        <f t="array" aca="true" ref="S347" ca="true">COUNTIFS('Unit-Level Data'!$L:$L, "&gt;=" &amp; ($X$2 - Q$5),
          'Unit-Level Data'!$L:$L, "&lt;" &amp; $X$2,
          'Unit-Level Data'!$D:$D, INDIRECT("C"&amp;ROW()),
          'Unit-Level Data'!$B:$B, INDIRECT("B"&amp;ROW()))</f>
        <v>0</v>
      </c>
      <c r="T347" s="738" t="str" cm="1">
        <f t="array" aca="true" ref="T3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7" s="760" t="str" cm="1">
        <f t="array" aca="true" ref="U3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7" s="733" cm="1">
        <f t="array" aca="true" ref="V347" ca="true">COUNTIFS('Unit-Level Data'!$L:$L, "&gt;=" &amp; ($X$2 - T$5),
          'Unit-Level Data'!$L:$L, "&lt;" &amp; $X$2,
          'Unit-Level Data'!$D:$D, INDIRECT("C"&amp;ROW()),
          'Unit-Level Data'!$B:$B, INDIRECT("B"&amp;ROW()))</f>
        <v>0</v>
      </c>
      <c r="W347" s="738" t="str" cm="1">
        <f t="array" aca="true" ref="W3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7" s="760" t="str" cm="1">
        <f t="array" aca="true" ref="X3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7" s="733" cm="1">
        <f t="array" aca="true" ref="Y347" ca="true">COUNTIFS('Unit-Level Data'!$L:$L, "&gt;=" &amp; ($X$2 - W$5),
          'Unit-Level Data'!$L:$L, "&lt;" &amp; $X$2,
          'Unit-Level Data'!$D:$D, INDIRECT("C"&amp;ROW()),
          'Unit-Level Data'!$B:$B, INDIRECT("B"&amp;ROW()))</f>
        <v>0</v>
      </c>
      <c r="Z347" s="761"/>
      <c r="AA347" s="735" cm="1">
        <f t="array" aca="true" ref="AA347" ca="true">IFERROR(AVERAGEIFS(
  unit_details[Sqft],
  unit_details[Property Name], INDIRECT("B"&amp;ROW()),
  unit_details[Floorplan Name], INDIRECT("C"&amp;ROW()),
  unit_details[Beds], INDIRECT("D"&amp;ROW()),
  unit_details[Detected Unit Amenities], "*"&amp;$AB$3&amp;"*",
  unit_details[Leased Date], "&gt;=" &amp; ($X$2 - $AD$3)
),0)</f>
        <v>0</v>
      </c>
      <c r="AB347" s="734" cm="1">
        <f t="array" aca="true" ref="AB3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7" s="733" cm="1">
        <f t="array" aca="true" ref="AC347" ca="true">IFERROR(COUNTIFS(
  unit_details[Property Name], INDIRECT("B"&amp;ROW()),
  unit_details[Floorplan Name], INDIRECT("C"&amp;ROW()),
  unit_details[Beds], INDIRECT("D"&amp;ROW()),
  unit_details[Detected Unit Amenities], "*"&amp;$AB$3&amp;"*",
  unit_details[Leased Date], "&gt;=" &amp; ($X$2 - $AD$3)
),0)</f>
        <v>0</v>
      </c>
      <c r="AD347" s="735" cm="1">
        <f t="array" aca="true" ref="AD347" ca="true">IFERROR(AVERAGEIFS(
  unit_details[Sqft],
  unit_details[Property Name], INDIRECT("B"&amp;ROW()),
  unit_details[Floorplan Name], INDIRECT("C"&amp;ROW()),
  unit_details[Beds], INDIRECT("D"&amp;ROW()),
  unit_details[Detected Unit Amenities], "&lt;&gt;*"&amp;$AB$3&amp;"*",
  unit_details[Leased Date], "&gt;=" &amp; ($X$2 - $AD$3)
),0)</f>
        <v>0</v>
      </c>
      <c r="AE347" s="734" cm="1">
        <f t="array" aca="true" ref="AE3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7" s="733" cm="1">
        <f t="array" aca="true" ref="AF347" ca="true">IFERROR(COUNTIFS(
  unit_details[Property Name], INDIRECT("B"&amp;ROW()),
  unit_details[Floorplan Name], INDIRECT("C"&amp;ROW()),
  unit_details[Beds], INDIRECT("D"&amp;ROW()),
  unit_details[Detected Unit Amenities], "&lt;&gt;*"&amp;$AB$3&amp;"*",
  unit_details[Leased Date], "&gt;=" &amp; ($X$2 - $AD$3)
),0)</f>
        <v>0</v>
      </c>
      <c r="AG347" s="735"/>
      <c r="AH347" s="738">
        <f t="shared" ca="true" si="12"/>
        <v>0</v>
      </c>
      <c r="AI347" s="739">
        <f t="shared" ca="true" si="13"/>
        <v>0</v>
      </c>
    </row>
    <row r="348" spans="10:35">
      <c r="J348" s="345"/>
      <c r="N348" s="738" t="str" cm="1">
        <f t="array" aca="true" ref="N348" ca="true">IFERROR(IF($O$3="Chunk Rent",
AVERAGEIFS('Unit-Level Data'!$O:$O,'Unit-Level Data'!$M:$M,TRUE,
          'Unit-Level Data'!$D:$D, INDIRECT("C"&amp;ROW()),
          'Unit-Level Data'!$B:$B, INDIRECT("B"&amp;ROW())),
AVERAGEIFS('Unit-Level Data'!$P:$P,'Unit-Level Data'!$M:$M,TRUE,
          'Unit-Level Data'!$D:$D, INDIRECT("C"&amp;ROW()),
          'Unit-Level Data'!$B:$B, INDIRECT("B"&amp;ROW()))),"")</f>
      </c>
      <c r="O348" s="760" t="str" cm="1">
        <f t="array" aca="true" ref="O348" ca="true">IFERROR(IF($O$3="Chunk Rent",
AVERAGEIFS('Unit-Level Data'!$Q:$Q,'Unit-Level Data'!$M:$M,TRUE,
          'Unit-Level Data'!$D:$D, INDIRECT("C"&amp;ROW()),
          'Unit-Level Data'!$B:$B, INDIRECT("B"&amp;ROW())),
AVERAGEIFS('Unit-Level Data'!$R:$R,'Unit-Level Data'!$M:$M,TRUE,
          'Unit-Level Data'!$D:$D, INDIRECT("C"&amp;ROW()),
          'Unit-Level Data'!$B:$B, INDIRECT("B"&amp;ROW()))),"")</f>
      </c>
      <c r="P348" s="733" cm="1">
        <f t="array" aca="true" ref="P348" ca="true">COUNTIFS('Unit-Level Data'!$M:$M,TRUE,
          'Unit-Level Data'!$D:$D, INDIRECT("C"&amp;ROW()),
          'Unit-Level Data'!$B:$B, INDIRECT("B"&amp;ROW()))</f>
        <v>0</v>
      </c>
      <c r="Q348" s="738" t="str" cm="1">
        <f t="array" aca="true" ref="Q3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8" s="760" t="str" cm="1">
        <f t="array" aca="true" ref="R3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8" s="733" cm="1">
        <f t="array" aca="true" ref="S348" ca="true">COUNTIFS('Unit-Level Data'!$L:$L, "&gt;=" &amp; ($X$2 - Q$5),
          'Unit-Level Data'!$L:$L, "&lt;" &amp; $X$2,
          'Unit-Level Data'!$D:$D, INDIRECT("C"&amp;ROW()),
          'Unit-Level Data'!$B:$B, INDIRECT("B"&amp;ROW()))</f>
        <v>0</v>
      </c>
      <c r="T348" s="738" t="str" cm="1">
        <f t="array" aca="true" ref="T3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8" s="760" t="str" cm="1">
        <f t="array" aca="true" ref="U3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8" s="733" cm="1">
        <f t="array" aca="true" ref="V348" ca="true">COUNTIFS('Unit-Level Data'!$L:$L, "&gt;=" &amp; ($X$2 - T$5),
          'Unit-Level Data'!$L:$L, "&lt;" &amp; $X$2,
          'Unit-Level Data'!$D:$D, INDIRECT("C"&amp;ROW()),
          'Unit-Level Data'!$B:$B, INDIRECT("B"&amp;ROW()))</f>
        <v>0</v>
      </c>
      <c r="W348" s="738" t="str" cm="1">
        <f t="array" aca="true" ref="W3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8" s="760" t="str" cm="1">
        <f t="array" aca="true" ref="X3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8" s="733" cm="1">
        <f t="array" aca="true" ref="Y348" ca="true">COUNTIFS('Unit-Level Data'!$L:$L, "&gt;=" &amp; ($X$2 - W$5),
          'Unit-Level Data'!$L:$L, "&lt;" &amp; $X$2,
          'Unit-Level Data'!$D:$D, INDIRECT("C"&amp;ROW()),
          'Unit-Level Data'!$B:$B, INDIRECT("B"&amp;ROW()))</f>
        <v>0</v>
      </c>
      <c r="Z348" s="761"/>
      <c r="AA348" s="735" cm="1">
        <f t="array" aca="true" ref="AA348" ca="true">IFERROR(AVERAGEIFS(
  unit_details[Sqft],
  unit_details[Property Name], INDIRECT("B"&amp;ROW()),
  unit_details[Floorplan Name], INDIRECT("C"&amp;ROW()),
  unit_details[Beds], INDIRECT("D"&amp;ROW()),
  unit_details[Detected Unit Amenities], "*"&amp;$AB$3&amp;"*",
  unit_details[Leased Date], "&gt;=" &amp; ($X$2 - $AD$3)
),0)</f>
        <v>0</v>
      </c>
      <c r="AB348" s="734" cm="1">
        <f t="array" aca="true" ref="AB3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8" s="733" cm="1">
        <f t="array" aca="true" ref="AC348" ca="true">IFERROR(COUNTIFS(
  unit_details[Property Name], INDIRECT("B"&amp;ROW()),
  unit_details[Floorplan Name], INDIRECT("C"&amp;ROW()),
  unit_details[Beds], INDIRECT("D"&amp;ROW()),
  unit_details[Detected Unit Amenities], "*"&amp;$AB$3&amp;"*",
  unit_details[Leased Date], "&gt;=" &amp; ($X$2 - $AD$3)
),0)</f>
        <v>0</v>
      </c>
      <c r="AD348" s="735" cm="1">
        <f t="array" aca="true" ref="AD348" ca="true">IFERROR(AVERAGEIFS(
  unit_details[Sqft],
  unit_details[Property Name], INDIRECT("B"&amp;ROW()),
  unit_details[Floorplan Name], INDIRECT("C"&amp;ROW()),
  unit_details[Beds], INDIRECT("D"&amp;ROW()),
  unit_details[Detected Unit Amenities], "&lt;&gt;*"&amp;$AB$3&amp;"*",
  unit_details[Leased Date], "&gt;=" &amp; ($X$2 - $AD$3)
),0)</f>
        <v>0</v>
      </c>
      <c r="AE348" s="734" cm="1">
        <f t="array" aca="true" ref="AE3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8" s="733" cm="1">
        <f t="array" aca="true" ref="AF348" ca="true">IFERROR(COUNTIFS(
  unit_details[Property Name], INDIRECT("B"&amp;ROW()),
  unit_details[Floorplan Name], INDIRECT("C"&amp;ROW()),
  unit_details[Beds], INDIRECT("D"&amp;ROW()),
  unit_details[Detected Unit Amenities], "&lt;&gt;*"&amp;$AB$3&amp;"*",
  unit_details[Leased Date], "&gt;=" &amp; ($X$2 - $AD$3)
),0)</f>
        <v>0</v>
      </c>
      <c r="AG348" s="735"/>
      <c r="AH348" s="738">
        <f t="shared" ca="true" si="12"/>
        <v>0</v>
      </c>
      <c r="AI348" s="739">
        <f t="shared" ca="true" si="13"/>
        <v>0</v>
      </c>
    </row>
    <row r="349" spans="10:35">
      <c r="J349" s="345"/>
      <c r="N349" s="738" t="str" cm="1">
        <f t="array" aca="true" ref="N349" ca="true">IFERROR(IF($O$3="Chunk Rent",
AVERAGEIFS('Unit-Level Data'!$O:$O,'Unit-Level Data'!$M:$M,TRUE,
          'Unit-Level Data'!$D:$D, INDIRECT("C"&amp;ROW()),
          'Unit-Level Data'!$B:$B, INDIRECT("B"&amp;ROW())),
AVERAGEIFS('Unit-Level Data'!$P:$P,'Unit-Level Data'!$M:$M,TRUE,
          'Unit-Level Data'!$D:$D, INDIRECT("C"&amp;ROW()),
          'Unit-Level Data'!$B:$B, INDIRECT("B"&amp;ROW()))),"")</f>
      </c>
      <c r="O349" s="760" t="str" cm="1">
        <f t="array" aca="true" ref="O349" ca="true">IFERROR(IF($O$3="Chunk Rent",
AVERAGEIFS('Unit-Level Data'!$Q:$Q,'Unit-Level Data'!$M:$M,TRUE,
          'Unit-Level Data'!$D:$D, INDIRECT("C"&amp;ROW()),
          'Unit-Level Data'!$B:$B, INDIRECT("B"&amp;ROW())),
AVERAGEIFS('Unit-Level Data'!$R:$R,'Unit-Level Data'!$M:$M,TRUE,
          'Unit-Level Data'!$D:$D, INDIRECT("C"&amp;ROW()),
          'Unit-Level Data'!$B:$B, INDIRECT("B"&amp;ROW()))),"")</f>
      </c>
      <c r="P349" s="733" cm="1">
        <f t="array" aca="true" ref="P349" ca="true">COUNTIFS('Unit-Level Data'!$M:$M,TRUE,
          'Unit-Level Data'!$D:$D, INDIRECT("C"&amp;ROW()),
          'Unit-Level Data'!$B:$B, INDIRECT("B"&amp;ROW()))</f>
        <v>0</v>
      </c>
      <c r="Q349" s="738" t="str" cm="1">
        <f t="array" aca="true" ref="Q3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9" s="760" t="str" cm="1">
        <f t="array" aca="true" ref="R3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9" s="733" cm="1">
        <f t="array" aca="true" ref="S349" ca="true">COUNTIFS('Unit-Level Data'!$L:$L, "&gt;=" &amp; ($X$2 - Q$5),
          'Unit-Level Data'!$L:$L, "&lt;" &amp; $X$2,
          'Unit-Level Data'!$D:$D, INDIRECT("C"&amp;ROW()),
          'Unit-Level Data'!$B:$B, INDIRECT("B"&amp;ROW()))</f>
        <v>0</v>
      </c>
      <c r="T349" s="738" t="str" cm="1">
        <f t="array" aca="true" ref="T3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9" s="760" t="str" cm="1">
        <f t="array" aca="true" ref="U3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9" s="733" cm="1">
        <f t="array" aca="true" ref="V349" ca="true">COUNTIFS('Unit-Level Data'!$L:$L, "&gt;=" &amp; ($X$2 - T$5),
          'Unit-Level Data'!$L:$L, "&lt;" &amp; $X$2,
          'Unit-Level Data'!$D:$D, INDIRECT("C"&amp;ROW()),
          'Unit-Level Data'!$B:$B, INDIRECT("B"&amp;ROW()))</f>
        <v>0</v>
      </c>
      <c r="W349" s="738" t="str" cm="1">
        <f t="array" aca="true" ref="W3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9" s="760" t="str" cm="1">
        <f t="array" aca="true" ref="X3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9" s="733" cm="1">
        <f t="array" aca="true" ref="Y349" ca="true">COUNTIFS('Unit-Level Data'!$L:$L, "&gt;=" &amp; ($X$2 - W$5),
          'Unit-Level Data'!$L:$L, "&lt;" &amp; $X$2,
          'Unit-Level Data'!$D:$D, INDIRECT("C"&amp;ROW()),
          'Unit-Level Data'!$B:$B, INDIRECT("B"&amp;ROW()))</f>
        <v>0</v>
      </c>
      <c r="Z349" s="761"/>
      <c r="AA349" s="735" cm="1">
        <f t="array" aca="true" ref="AA349" ca="true">IFERROR(AVERAGEIFS(
  unit_details[Sqft],
  unit_details[Property Name], INDIRECT("B"&amp;ROW()),
  unit_details[Floorplan Name], INDIRECT("C"&amp;ROW()),
  unit_details[Beds], INDIRECT("D"&amp;ROW()),
  unit_details[Detected Unit Amenities], "*"&amp;$AB$3&amp;"*",
  unit_details[Leased Date], "&gt;=" &amp; ($X$2 - $AD$3)
),0)</f>
        <v>0</v>
      </c>
      <c r="AB349" s="734" cm="1">
        <f t="array" aca="true" ref="AB3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9" s="733" cm="1">
        <f t="array" aca="true" ref="AC349" ca="true">IFERROR(COUNTIFS(
  unit_details[Property Name], INDIRECT("B"&amp;ROW()),
  unit_details[Floorplan Name], INDIRECT("C"&amp;ROW()),
  unit_details[Beds], INDIRECT("D"&amp;ROW()),
  unit_details[Detected Unit Amenities], "*"&amp;$AB$3&amp;"*",
  unit_details[Leased Date], "&gt;=" &amp; ($X$2 - $AD$3)
),0)</f>
        <v>0</v>
      </c>
      <c r="AD349" s="735" cm="1">
        <f t="array" aca="true" ref="AD349" ca="true">IFERROR(AVERAGEIFS(
  unit_details[Sqft],
  unit_details[Property Name], INDIRECT("B"&amp;ROW()),
  unit_details[Floorplan Name], INDIRECT("C"&amp;ROW()),
  unit_details[Beds], INDIRECT("D"&amp;ROW()),
  unit_details[Detected Unit Amenities], "&lt;&gt;*"&amp;$AB$3&amp;"*",
  unit_details[Leased Date], "&gt;=" &amp; ($X$2 - $AD$3)
),0)</f>
        <v>0</v>
      </c>
      <c r="AE349" s="734" cm="1">
        <f t="array" aca="true" ref="AE3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9" s="733" cm="1">
        <f t="array" aca="true" ref="AF349" ca="true">IFERROR(COUNTIFS(
  unit_details[Property Name], INDIRECT("B"&amp;ROW()),
  unit_details[Floorplan Name], INDIRECT("C"&amp;ROW()),
  unit_details[Beds], INDIRECT("D"&amp;ROW()),
  unit_details[Detected Unit Amenities], "&lt;&gt;*"&amp;$AB$3&amp;"*",
  unit_details[Leased Date], "&gt;=" &amp; ($X$2 - $AD$3)
),0)</f>
        <v>0</v>
      </c>
      <c r="AG349" s="735"/>
      <c r="AH349" s="738">
        <f t="shared" ca="true" si="12"/>
        <v>0</v>
      </c>
      <c r="AI349" s="739">
        <f t="shared" ca="true" si="13"/>
        <v>0</v>
      </c>
    </row>
    <row r="350" spans="10:35">
      <c r="J350" s="345"/>
      <c r="N350" s="738" t="str" cm="1">
        <f t="array" aca="true" ref="N350" ca="true">IFERROR(IF($O$3="Chunk Rent",
AVERAGEIFS('Unit-Level Data'!$O:$O,'Unit-Level Data'!$M:$M,TRUE,
          'Unit-Level Data'!$D:$D, INDIRECT("C"&amp;ROW()),
          'Unit-Level Data'!$B:$B, INDIRECT("B"&amp;ROW())),
AVERAGEIFS('Unit-Level Data'!$P:$P,'Unit-Level Data'!$M:$M,TRUE,
          'Unit-Level Data'!$D:$D, INDIRECT("C"&amp;ROW()),
          'Unit-Level Data'!$B:$B, INDIRECT("B"&amp;ROW()))),"")</f>
      </c>
      <c r="O350" s="760" t="str" cm="1">
        <f t="array" aca="true" ref="O350" ca="true">IFERROR(IF($O$3="Chunk Rent",
AVERAGEIFS('Unit-Level Data'!$Q:$Q,'Unit-Level Data'!$M:$M,TRUE,
          'Unit-Level Data'!$D:$D, INDIRECT("C"&amp;ROW()),
          'Unit-Level Data'!$B:$B, INDIRECT("B"&amp;ROW())),
AVERAGEIFS('Unit-Level Data'!$R:$R,'Unit-Level Data'!$M:$M,TRUE,
          'Unit-Level Data'!$D:$D, INDIRECT("C"&amp;ROW()),
          'Unit-Level Data'!$B:$B, INDIRECT("B"&amp;ROW()))),"")</f>
      </c>
      <c r="P350" s="733" cm="1">
        <f t="array" aca="true" ref="P350" ca="true">COUNTIFS('Unit-Level Data'!$M:$M,TRUE,
          'Unit-Level Data'!$D:$D, INDIRECT("C"&amp;ROW()),
          'Unit-Level Data'!$B:$B, INDIRECT("B"&amp;ROW()))</f>
        <v>0</v>
      </c>
      <c r="Q350" s="738" t="str" cm="1">
        <f t="array" aca="true" ref="Q3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0" s="760" t="str" cm="1">
        <f t="array" aca="true" ref="R3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0" s="733" cm="1">
        <f t="array" aca="true" ref="S350" ca="true">COUNTIFS('Unit-Level Data'!$L:$L, "&gt;=" &amp; ($X$2 - Q$5),
          'Unit-Level Data'!$L:$L, "&lt;" &amp; $X$2,
          'Unit-Level Data'!$D:$D, INDIRECT("C"&amp;ROW()),
          'Unit-Level Data'!$B:$B, INDIRECT("B"&amp;ROW()))</f>
        <v>0</v>
      </c>
      <c r="T350" s="738" t="str" cm="1">
        <f t="array" aca="true" ref="T3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0" s="760" t="str" cm="1">
        <f t="array" aca="true" ref="U3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0" s="733" cm="1">
        <f t="array" aca="true" ref="V350" ca="true">COUNTIFS('Unit-Level Data'!$L:$L, "&gt;=" &amp; ($X$2 - T$5),
          'Unit-Level Data'!$L:$L, "&lt;" &amp; $X$2,
          'Unit-Level Data'!$D:$D, INDIRECT("C"&amp;ROW()),
          'Unit-Level Data'!$B:$B, INDIRECT("B"&amp;ROW()))</f>
        <v>0</v>
      </c>
      <c r="W350" s="738" t="str" cm="1">
        <f t="array" aca="true" ref="W3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0" s="760" t="str" cm="1">
        <f t="array" aca="true" ref="X3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0" s="733" cm="1">
        <f t="array" aca="true" ref="Y350" ca="true">COUNTIFS('Unit-Level Data'!$L:$L, "&gt;=" &amp; ($X$2 - W$5),
          'Unit-Level Data'!$L:$L, "&lt;" &amp; $X$2,
          'Unit-Level Data'!$D:$D, INDIRECT("C"&amp;ROW()),
          'Unit-Level Data'!$B:$B, INDIRECT("B"&amp;ROW()))</f>
        <v>0</v>
      </c>
      <c r="Z350" s="761"/>
      <c r="AA350" s="735" cm="1">
        <f t="array" aca="true" ref="AA350" ca="true">IFERROR(AVERAGEIFS(
  unit_details[Sqft],
  unit_details[Property Name], INDIRECT("B"&amp;ROW()),
  unit_details[Floorplan Name], INDIRECT("C"&amp;ROW()),
  unit_details[Beds], INDIRECT("D"&amp;ROW()),
  unit_details[Detected Unit Amenities], "*"&amp;$AB$3&amp;"*",
  unit_details[Leased Date], "&gt;=" &amp; ($X$2 - $AD$3)
),0)</f>
        <v>0</v>
      </c>
      <c r="AB350" s="734" cm="1">
        <f t="array" aca="true" ref="AB3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0" s="733" cm="1">
        <f t="array" aca="true" ref="AC350" ca="true">IFERROR(COUNTIFS(
  unit_details[Property Name], INDIRECT("B"&amp;ROW()),
  unit_details[Floorplan Name], INDIRECT("C"&amp;ROW()),
  unit_details[Beds], INDIRECT("D"&amp;ROW()),
  unit_details[Detected Unit Amenities], "*"&amp;$AB$3&amp;"*",
  unit_details[Leased Date], "&gt;=" &amp; ($X$2 - $AD$3)
),0)</f>
        <v>0</v>
      </c>
      <c r="AD350" s="735" cm="1">
        <f t="array" aca="true" ref="AD350" ca="true">IFERROR(AVERAGEIFS(
  unit_details[Sqft],
  unit_details[Property Name], INDIRECT("B"&amp;ROW()),
  unit_details[Floorplan Name], INDIRECT("C"&amp;ROW()),
  unit_details[Beds], INDIRECT("D"&amp;ROW()),
  unit_details[Detected Unit Amenities], "&lt;&gt;*"&amp;$AB$3&amp;"*",
  unit_details[Leased Date], "&gt;=" &amp; ($X$2 - $AD$3)
),0)</f>
        <v>0</v>
      </c>
      <c r="AE350" s="734" cm="1">
        <f t="array" aca="true" ref="AE3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0" s="733" cm="1">
        <f t="array" aca="true" ref="AF350" ca="true">IFERROR(COUNTIFS(
  unit_details[Property Name], INDIRECT("B"&amp;ROW()),
  unit_details[Floorplan Name], INDIRECT("C"&amp;ROW()),
  unit_details[Beds], INDIRECT("D"&amp;ROW()),
  unit_details[Detected Unit Amenities], "&lt;&gt;*"&amp;$AB$3&amp;"*",
  unit_details[Leased Date], "&gt;=" &amp; ($X$2 - $AD$3)
),0)</f>
        <v>0</v>
      </c>
      <c r="AG350" s="735"/>
      <c r="AH350" s="738">
        <f t="shared" ca="true" si="12"/>
        <v>0</v>
      </c>
      <c r="AI350" s="739">
        <f t="shared" ca="true" si="13"/>
        <v>0</v>
      </c>
    </row>
    <row r="351" spans="10:35">
      <c r="J351" s="345"/>
      <c r="N351" s="738" t="str" cm="1">
        <f t="array" aca="true" ref="N351" ca="true">IFERROR(IF($O$3="Chunk Rent",
AVERAGEIFS('Unit-Level Data'!$O:$O,'Unit-Level Data'!$M:$M,TRUE,
          'Unit-Level Data'!$D:$D, INDIRECT("C"&amp;ROW()),
          'Unit-Level Data'!$B:$B, INDIRECT("B"&amp;ROW())),
AVERAGEIFS('Unit-Level Data'!$P:$P,'Unit-Level Data'!$M:$M,TRUE,
          'Unit-Level Data'!$D:$D, INDIRECT("C"&amp;ROW()),
          'Unit-Level Data'!$B:$B, INDIRECT("B"&amp;ROW()))),"")</f>
      </c>
      <c r="O351" s="760" t="str" cm="1">
        <f t="array" aca="true" ref="O351" ca="true">IFERROR(IF($O$3="Chunk Rent",
AVERAGEIFS('Unit-Level Data'!$Q:$Q,'Unit-Level Data'!$M:$M,TRUE,
          'Unit-Level Data'!$D:$D, INDIRECT("C"&amp;ROW()),
          'Unit-Level Data'!$B:$B, INDIRECT("B"&amp;ROW())),
AVERAGEIFS('Unit-Level Data'!$R:$R,'Unit-Level Data'!$M:$M,TRUE,
          'Unit-Level Data'!$D:$D, INDIRECT("C"&amp;ROW()),
          'Unit-Level Data'!$B:$B, INDIRECT("B"&amp;ROW()))),"")</f>
      </c>
      <c r="P351" s="733" cm="1">
        <f t="array" aca="true" ref="P351" ca="true">COUNTIFS('Unit-Level Data'!$M:$M,TRUE,
          'Unit-Level Data'!$D:$D, INDIRECT("C"&amp;ROW()),
          'Unit-Level Data'!$B:$B, INDIRECT("B"&amp;ROW()))</f>
        <v>0</v>
      </c>
      <c r="Q351" s="738" t="str" cm="1">
        <f t="array" aca="true" ref="Q3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1" s="760" t="str" cm="1">
        <f t="array" aca="true" ref="R3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1" s="733" cm="1">
        <f t="array" aca="true" ref="S351" ca="true">COUNTIFS('Unit-Level Data'!$L:$L, "&gt;=" &amp; ($X$2 - Q$5),
          'Unit-Level Data'!$L:$L, "&lt;" &amp; $X$2,
          'Unit-Level Data'!$D:$D, INDIRECT("C"&amp;ROW()),
          'Unit-Level Data'!$B:$B, INDIRECT("B"&amp;ROW()))</f>
        <v>0</v>
      </c>
      <c r="T351" s="738" t="str" cm="1">
        <f t="array" aca="true" ref="T3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1" s="760" t="str" cm="1">
        <f t="array" aca="true" ref="U3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1" s="733" cm="1">
        <f t="array" aca="true" ref="V351" ca="true">COUNTIFS('Unit-Level Data'!$L:$L, "&gt;=" &amp; ($X$2 - T$5),
          'Unit-Level Data'!$L:$L, "&lt;" &amp; $X$2,
          'Unit-Level Data'!$D:$D, INDIRECT("C"&amp;ROW()),
          'Unit-Level Data'!$B:$B, INDIRECT("B"&amp;ROW()))</f>
        <v>0</v>
      </c>
      <c r="W351" s="738" t="str" cm="1">
        <f t="array" aca="true" ref="W3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1" s="760" t="str" cm="1">
        <f t="array" aca="true" ref="X3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1" s="733" cm="1">
        <f t="array" aca="true" ref="Y351" ca="true">COUNTIFS('Unit-Level Data'!$L:$L, "&gt;=" &amp; ($X$2 - W$5),
          'Unit-Level Data'!$L:$L, "&lt;" &amp; $X$2,
          'Unit-Level Data'!$D:$D, INDIRECT("C"&amp;ROW()),
          'Unit-Level Data'!$B:$B, INDIRECT("B"&amp;ROW()))</f>
        <v>0</v>
      </c>
      <c r="Z351" s="761"/>
      <c r="AA351" s="735" cm="1">
        <f t="array" aca="true" ref="AA351" ca="true">IFERROR(AVERAGEIFS(
  unit_details[Sqft],
  unit_details[Property Name], INDIRECT("B"&amp;ROW()),
  unit_details[Floorplan Name], INDIRECT("C"&amp;ROW()),
  unit_details[Beds], INDIRECT("D"&amp;ROW()),
  unit_details[Detected Unit Amenities], "*"&amp;$AB$3&amp;"*",
  unit_details[Leased Date], "&gt;=" &amp; ($X$2 - $AD$3)
),0)</f>
        <v>0</v>
      </c>
      <c r="AB351" s="734" cm="1">
        <f t="array" aca="true" ref="AB3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1" s="733" cm="1">
        <f t="array" aca="true" ref="AC351" ca="true">IFERROR(COUNTIFS(
  unit_details[Property Name], INDIRECT("B"&amp;ROW()),
  unit_details[Floorplan Name], INDIRECT("C"&amp;ROW()),
  unit_details[Beds], INDIRECT("D"&amp;ROW()),
  unit_details[Detected Unit Amenities], "*"&amp;$AB$3&amp;"*",
  unit_details[Leased Date], "&gt;=" &amp; ($X$2 - $AD$3)
),0)</f>
        <v>0</v>
      </c>
      <c r="AD351" s="735" cm="1">
        <f t="array" aca="true" ref="AD351" ca="true">IFERROR(AVERAGEIFS(
  unit_details[Sqft],
  unit_details[Property Name], INDIRECT("B"&amp;ROW()),
  unit_details[Floorplan Name], INDIRECT("C"&amp;ROW()),
  unit_details[Beds], INDIRECT("D"&amp;ROW()),
  unit_details[Detected Unit Amenities], "&lt;&gt;*"&amp;$AB$3&amp;"*",
  unit_details[Leased Date], "&gt;=" &amp; ($X$2 - $AD$3)
),0)</f>
        <v>0</v>
      </c>
      <c r="AE351" s="734" cm="1">
        <f t="array" aca="true" ref="AE3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1" s="733" cm="1">
        <f t="array" aca="true" ref="AF351" ca="true">IFERROR(COUNTIFS(
  unit_details[Property Name], INDIRECT("B"&amp;ROW()),
  unit_details[Floorplan Name], INDIRECT("C"&amp;ROW()),
  unit_details[Beds], INDIRECT("D"&amp;ROW()),
  unit_details[Detected Unit Amenities], "&lt;&gt;*"&amp;$AB$3&amp;"*",
  unit_details[Leased Date], "&gt;=" &amp; ($X$2 - $AD$3)
),0)</f>
        <v>0</v>
      </c>
      <c r="AG351" s="735"/>
      <c r="AH351" s="738">
        <f t="shared" ca="true" si="12"/>
        <v>0</v>
      </c>
      <c r="AI351" s="739">
        <f t="shared" ca="true" si="13"/>
        <v>0</v>
      </c>
    </row>
    <row r="352" spans="10:35">
      <c r="J352" s="345"/>
      <c r="N352" s="738" t="str" cm="1">
        <f t="array" aca="true" ref="N352" ca="true">IFERROR(IF($O$3="Chunk Rent",
AVERAGEIFS('Unit-Level Data'!$O:$O,'Unit-Level Data'!$M:$M,TRUE,
          'Unit-Level Data'!$D:$D, INDIRECT("C"&amp;ROW()),
          'Unit-Level Data'!$B:$B, INDIRECT("B"&amp;ROW())),
AVERAGEIFS('Unit-Level Data'!$P:$P,'Unit-Level Data'!$M:$M,TRUE,
          'Unit-Level Data'!$D:$D, INDIRECT("C"&amp;ROW()),
          'Unit-Level Data'!$B:$B, INDIRECT("B"&amp;ROW()))),"")</f>
      </c>
      <c r="O352" s="760" t="str" cm="1">
        <f t="array" aca="true" ref="O352" ca="true">IFERROR(IF($O$3="Chunk Rent",
AVERAGEIFS('Unit-Level Data'!$Q:$Q,'Unit-Level Data'!$M:$M,TRUE,
          'Unit-Level Data'!$D:$D, INDIRECT("C"&amp;ROW()),
          'Unit-Level Data'!$B:$B, INDIRECT("B"&amp;ROW())),
AVERAGEIFS('Unit-Level Data'!$R:$R,'Unit-Level Data'!$M:$M,TRUE,
          'Unit-Level Data'!$D:$D, INDIRECT("C"&amp;ROW()),
          'Unit-Level Data'!$B:$B, INDIRECT("B"&amp;ROW()))),"")</f>
      </c>
      <c r="P352" s="733" cm="1">
        <f t="array" aca="true" ref="P352" ca="true">COUNTIFS('Unit-Level Data'!$M:$M,TRUE,
          'Unit-Level Data'!$D:$D, INDIRECT("C"&amp;ROW()),
          'Unit-Level Data'!$B:$B, INDIRECT("B"&amp;ROW()))</f>
        <v>0</v>
      </c>
      <c r="Q352" s="738" t="str" cm="1">
        <f t="array" aca="true" ref="Q3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2" s="760" t="str" cm="1">
        <f t="array" aca="true" ref="R3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2" s="733" cm="1">
        <f t="array" aca="true" ref="S352" ca="true">COUNTIFS('Unit-Level Data'!$L:$L, "&gt;=" &amp; ($X$2 - Q$5),
          'Unit-Level Data'!$L:$L, "&lt;" &amp; $X$2,
          'Unit-Level Data'!$D:$D, INDIRECT("C"&amp;ROW()),
          'Unit-Level Data'!$B:$B, INDIRECT("B"&amp;ROW()))</f>
        <v>0</v>
      </c>
      <c r="T352" s="738" t="str" cm="1">
        <f t="array" aca="true" ref="T3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2" s="760" t="str" cm="1">
        <f t="array" aca="true" ref="U3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2" s="733" cm="1">
        <f t="array" aca="true" ref="V352" ca="true">COUNTIFS('Unit-Level Data'!$L:$L, "&gt;=" &amp; ($X$2 - T$5),
          'Unit-Level Data'!$L:$L, "&lt;" &amp; $X$2,
          'Unit-Level Data'!$D:$D, INDIRECT("C"&amp;ROW()),
          'Unit-Level Data'!$B:$B, INDIRECT("B"&amp;ROW()))</f>
        <v>0</v>
      </c>
      <c r="W352" s="738" t="str" cm="1">
        <f t="array" aca="true" ref="W3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2" s="760" t="str" cm="1">
        <f t="array" aca="true" ref="X3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2" s="733" cm="1">
        <f t="array" aca="true" ref="Y352" ca="true">COUNTIFS('Unit-Level Data'!$L:$L, "&gt;=" &amp; ($X$2 - W$5),
          'Unit-Level Data'!$L:$L, "&lt;" &amp; $X$2,
          'Unit-Level Data'!$D:$D, INDIRECT("C"&amp;ROW()),
          'Unit-Level Data'!$B:$B, INDIRECT("B"&amp;ROW()))</f>
        <v>0</v>
      </c>
      <c r="Z352" s="761"/>
      <c r="AA352" s="735" cm="1">
        <f t="array" aca="true" ref="AA352" ca="true">IFERROR(AVERAGEIFS(
  unit_details[Sqft],
  unit_details[Property Name], INDIRECT("B"&amp;ROW()),
  unit_details[Floorplan Name], INDIRECT("C"&amp;ROW()),
  unit_details[Beds], INDIRECT("D"&amp;ROW()),
  unit_details[Detected Unit Amenities], "*"&amp;$AB$3&amp;"*",
  unit_details[Leased Date], "&gt;=" &amp; ($X$2 - $AD$3)
),0)</f>
        <v>0</v>
      </c>
      <c r="AB352" s="734" cm="1">
        <f t="array" aca="true" ref="AB3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2" s="733" cm="1">
        <f t="array" aca="true" ref="AC352" ca="true">IFERROR(COUNTIFS(
  unit_details[Property Name], INDIRECT("B"&amp;ROW()),
  unit_details[Floorplan Name], INDIRECT("C"&amp;ROW()),
  unit_details[Beds], INDIRECT("D"&amp;ROW()),
  unit_details[Detected Unit Amenities], "*"&amp;$AB$3&amp;"*",
  unit_details[Leased Date], "&gt;=" &amp; ($X$2 - $AD$3)
),0)</f>
        <v>0</v>
      </c>
      <c r="AD352" s="735" cm="1">
        <f t="array" aca="true" ref="AD352" ca="true">IFERROR(AVERAGEIFS(
  unit_details[Sqft],
  unit_details[Property Name], INDIRECT("B"&amp;ROW()),
  unit_details[Floorplan Name], INDIRECT("C"&amp;ROW()),
  unit_details[Beds], INDIRECT("D"&amp;ROW()),
  unit_details[Detected Unit Amenities], "&lt;&gt;*"&amp;$AB$3&amp;"*",
  unit_details[Leased Date], "&gt;=" &amp; ($X$2 - $AD$3)
),0)</f>
        <v>0</v>
      </c>
      <c r="AE352" s="734" cm="1">
        <f t="array" aca="true" ref="AE3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2" s="733" cm="1">
        <f t="array" aca="true" ref="AF352" ca="true">IFERROR(COUNTIFS(
  unit_details[Property Name], INDIRECT("B"&amp;ROW()),
  unit_details[Floorplan Name], INDIRECT("C"&amp;ROW()),
  unit_details[Beds], INDIRECT("D"&amp;ROW()),
  unit_details[Detected Unit Amenities], "&lt;&gt;*"&amp;$AB$3&amp;"*",
  unit_details[Leased Date], "&gt;=" &amp; ($X$2 - $AD$3)
),0)</f>
        <v>0</v>
      </c>
      <c r="AG352" s="735"/>
      <c r="AH352" s="738">
        <f t="shared" ca="true" si="12"/>
        <v>0</v>
      </c>
      <c r="AI352" s="739">
        <f t="shared" ca="true" si="13"/>
        <v>0</v>
      </c>
    </row>
    <row r="353" spans="10:35">
      <c r="J353" s="345"/>
      <c r="N353" s="738" t="str" cm="1">
        <f t="array" aca="true" ref="N353" ca="true">IFERROR(IF($O$3="Chunk Rent",
AVERAGEIFS('Unit-Level Data'!$O:$O,'Unit-Level Data'!$M:$M,TRUE,
          'Unit-Level Data'!$D:$D, INDIRECT("C"&amp;ROW()),
          'Unit-Level Data'!$B:$B, INDIRECT("B"&amp;ROW())),
AVERAGEIFS('Unit-Level Data'!$P:$P,'Unit-Level Data'!$M:$M,TRUE,
          'Unit-Level Data'!$D:$D, INDIRECT("C"&amp;ROW()),
          'Unit-Level Data'!$B:$B, INDIRECT("B"&amp;ROW()))),"")</f>
      </c>
      <c r="O353" s="760" t="str" cm="1">
        <f t="array" aca="true" ref="O353" ca="true">IFERROR(IF($O$3="Chunk Rent",
AVERAGEIFS('Unit-Level Data'!$Q:$Q,'Unit-Level Data'!$M:$M,TRUE,
          'Unit-Level Data'!$D:$D, INDIRECT("C"&amp;ROW()),
          'Unit-Level Data'!$B:$B, INDIRECT("B"&amp;ROW())),
AVERAGEIFS('Unit-Level Data'!$R:$R,'Unit-Level Data'!$M:$M,TRUE,
          'Unit-Level Data'!$D:$D, INDIRECT("C"&amp;ROW()),
          'Unit-Level Data'!$B:$B, INDIRECT("B"&amp;ROW()))),"")</f>
      </c>
      <c r="P353" s="733" cm="1">
        <f t="array" aca="true" ref="P353" ca="true">COUNTIFS('Unit-Level Data'!$M:$M,TRUE,
          'Unit-Level Data'!$D:$D, INDIRECT("C"&amp;ROW()),
          'Unit-Level Data'!$B:$B, INDIRECT("B"&amp;ROW()))</f>
        <v>0</v>
      </c>
      <c r="Q353" s="738" t="str" cm="1">
        <f t="array" aca="true" ref="Q3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3" s="760" t="str" cm="1">
        <f t="array" aca="true" ref="R3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3" s="733" cm="1">
        <f t="array" aca="true" ref="S353" ca="true">COUNTIFS('Unit-Level Data'!$L:$L, "&gt;=" &amp; ($X$2 - Q$5),
          'Unit-Level Data'!$L:$L, "&lt;" &amp; $X$2,
          'Unit-Level Data'!$D:$D, INDIRECT("C"&amp;ROW()),
          'Unit-Level Data'!$B:$B, INDIRECT("B"&amp;ROW()))</f>
        <v>0</v>
      </c>
      <c r="T353" s="738" t="str" cm="1">
        <f t="array" aca="true" ref="T3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3" s="760" t="str" cm="1">
        <f t="array" aca="true" ref="U3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3" s="733" cm="1">
        <f t="array" aca="true" ref="V353" ca="true">COUNTIFS('Unit-Level Data'!$L:$L, "&gt;=" &amp; ($X$2 - T$5),
          'Unit-Level Data'!$L:$L, "&lt;" &amp; $X$2,
          'Unit-Level Data'!$D:$D, INDIRECT("C"&amp;ROW()),
          'Unit-Level Data'!$B:$B, INDIRECT("B"&amp;ROW()))</f>
        <v>0</v>
      </c>
      <c r="W353" s="738" t="str" cm="1">
        <f t="array" aca="true" ref="W3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3" s="760" t="str" cm="1">
        <f t="array" aca="true" ref="X3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3" s="733" cm="1">
        <f t="array" aca="true" ref="Y353" ca="true">COUNTIFS('Unit-Level Data'!$L:$L, "&gt;=" &amp; ($X$2 - W$5),
          'Unit-Level Data'!$L:$L, "&lt;" &amp; $X$2,
          'Unit-Level Data'!$D:$D, INDIRECT("C"&amp;ROW()),
          'Unit-Level Data'!$B:$B, INDIRECT("B"&amp;ROW()))</f>
        <v>0</v>
      </c>
      <c r="Z353" s="761"/>
      <c r="AA353" s="735" cm="1">
        <f t="array" aca="true" ref="AA353" ca="true">IFERROR(AVERAGEIFS(
  unit_details[Sqft],
  unit_details[Property Name], INDIRECT("B"&amp;ROW()),
  unit_details[Floorplan Name], INDIRECT("C"&amp;ROW()),
  unit_details[Beds], INDIRECT("D"&amp;ROW()),
  unit_details[Detected Unit Amenities], "*"&amp;$AB$3&amp;"*",
  unit_details[Leased Date], "&gt;=" &amp; ($X$2 - $AD$3)
),0)</f>
        <v>0</v>
      </c>
      <c r="AB353" s="734" cm="1">
        <f t="array" aca="true" ref="AB3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3" s="733" cm="1">
        <f t="array" aca="true" ref="AC353" ca="true">IFERROR(COUNTIFS(
  unit_details[Property Name], INDIRECT("B"&amp;ROW()),
  unit_details[Floorplan Name], INDIRECT("C"&amp;ROW()),
  unit_details[Beds], INDIRECT("D"&amp;ROW()),
  unit_details[Detected Unit Amenities], "*"&amp;$AB$3&amp;"*",
  unit_details[Leased Date], "&gt;=" &amp; ($X$2 - $AD$3)
),0)</f>
        <v>0</v>
      </c>
      <c r="AD353" s="735" cm="1">
        <f t="array" aca="true" ref="AD353" ca="true">IFERROR(AVERAGEIFS(
  unit_details[Sqft],
  unit_details[Property Name], INDIRECT("B"&amp;ROW()),
  unit_details[Floorplan Name], INDIRECT("C"&amp;ROW()),
  unit_details[Beds], INDIRECT("D"&amp;ROW()),
  unit_details[Detected Unit Amenities], "&lt;&gt;*"&amp;$AB$3&amp;"*",
  unit_details[Leased Date], "&gt;=" &amp; ($X$2 - $AD$3)
),0)</f>
        <v>0</v>
      </c>
      <c r="AE353" s="734" cm="1">
        <f t="array" aca="true" ref="AE3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3" s="733" cm="1">
        <f t="array" aca="true" ref="AF353" ca="true">IFERROR(COUNTIFS(
  unit_details[Property Name], INDIRECT("B"&amp;ROW()),
  unit_details[Floorplan Name], INDIRECT("C"&amp;ROW()),
  unit_details[Beds], INDIRECT("D"&amp;ROW()),
  unit_details[Detected Unit Amenities], "&lt;&gt;*"&amp;$AB$3&amp;"*",
  unit_details[Leased Date], "&gt;=" &amp; ($X$2 - $AD$3)
),0)</f>
        <v>0</v>
      </c>
      <c r="AG353" s="735"/>
      <c r="AH353" s="738">
        <f t="shared" ca="true" si="12"/>
        <v>0</v>
      </c>
      <c r="AI353" s="739">
        <f t="shared" ca="true" si="13"/>
        <v>0</v>
      </c>
    </row>
    <row r="354" spans="10:35">
      <c r="J354" s="345"/>
      <c r="N354" s="738" t="str" cm="1">
        <f t="array" aca="true" ref="N354" ca="true">IFERROR(IF($O$3="Chunk Rent",
AVERAGEIFS('Unit-Level Data'!$O:$O,'Unit-Level Data'!$M:$M,TRUE,
          'Unit-Level Data'!$D:$D, INDIRECT("C"&amp;ROW()),
          'Unit-Level Data'!$B:$B, INDIRECT("B"&amp;ROW())),
AVERAGEIFS('Unit-Level Data'!$P:$P,'Unit-Level Data'!$M:$M,TRUE,
          'Unit-Level Data'!$D:$D, INDIRECT("C"&amp;ROW()),
          'Unit-Level Data'!$B:$B, INDIRECT("B"&amp;ROW()))),"")</f>
      </c>
      <c r="O354" s="760" t="str" cm="1">
        <f t="array" aca="true" ref="O354" ca="true">IFERROR(IF($O$3="Chunk Rent",
AVERAGEIFS('Unit-Level Data'!$Q:$Q,'Unit-Level Data'!$M:$M,TRUE,
          'Unit-Level Data'!$D:$D, INDIRECT("C"&amp;ROW()),
          'Unit-Level Data'!$B:$B, INDIRECT("B"&amp;ROW())),
AVERAGEIFS('Unit-Level Data'!$R:$R,'Unit-Level Data'!$M:$M,TRUE,
          'Unit-Level Data'!$D:$D, INDIRECT("C"&amp;ROW()),
          'Unit-Level Data'!$B:$B, INDIRECT("B"&amp;ROW()))),"")</f>
      </c>
      <c r="P354" s="733" cm="1">
        <f t="array" aca="true" ref="P354" ca="true">COUNTIFS('Unit-Level Data'!$M:$M,TRUE,
          'Unit-Level Data'!$D:$D, INDIRECT("C"&amp;ROW()),
          'Unit-Level Data'!$B:$B, INDIRECT("B"&amp;ROW()))</f>
        <v>0</v>
      </c>
      <c r="Q354" s="738" t="str" cm="1">
        <f t="array" aca="true" ref="Q3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4" s="760" t="str" cm="1">
        <f t="array" aca="true" ref="R3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4" s="733" cm="1">
        <f t="array" aca="true" ref="S354" ca="true">COUNTIFS('Unit-Level Data'!$L:$L, "&gt;=" &amp; ($X$2 - Q$5),
          'Unit-Level Data'!$L:$L, "&lt;" &amp; $X$2,
          'Unit-Level Data'!$D:$D, INDIRECT("C"&amp;ROW()),
          'Unit-Level Data'!$B:$B, INDIRECT("B"&amp;ROW()))</f>
        <v>0</v>
      </c>
      <c r="T354" s="738" t="str" cm="1">
        <f t="array" aca="true" ref="T3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4" s="760" t="str" cm="1">
        <f t="array" aca="true" ref="U3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4" s="733" cm="1">
        <f t="array" aca="true" ref="V354" ca="true">COUNTIFS('Unit-Level Data'!$L:$L, "&gt;=" &amp; ($X$2 - T$5),
          'Unit-Level Data'!$L:$L, "&lt;" &amp; $X$2,
          'Unit-Level Data'!$D:$D, INDIRECT("C"&amp;ROW()),
          'Unit-Level Data'!$B:$B, INDIRECT("B"&amp;ROW()))</f>
        <v>0</v>
      </c>
      <c r="W354" s="738" t="str" cm="1">
        <f t="array" aca="true" ref="W3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4" s="760" t="str" cm="1">
        <f t="array" aca="true" ref="X3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4" s="733" cm="1">
        <f t="array" aca="true" ref="Y354" ca="true">COUNTIFS('Unit-Level Data'!$L:$L, "&gt;=" &amp; ($X$2 - W$5),
          'Unit-Level Data'!$L:$L, "&lt;" &amp; $X$2,
          'Unit-Level Data'!$D:$D, INDIRECT("C"&amp;ROW()),
          'Unit-Level Data'!$B:$B, INDIRECT("B"&amp;ROW()))</f>
        <v>0</v>
      </c>
      <c r="Z354" s="761"/>
      <c r="AA354" s="735" cm="1">
        <f t="array" aca="true" ref="AA354" ca="true">IFERROR(AVERAGEIFS(
  unit_details[Sqft],
  unit_details[Property Name], INDIRECT("B"&amp;ROW()),
  unit_details[Floorplan Name], INDIRECT("C"&amp;ROW()),
  unit_details[Beds], INDIRECT("D"&amp;ROW()),
  unit_details[Detected Unit Amenities], "*"&amp;$AB$3&amp;"*",
  unit_details[Leased Date], "&gt;=" &amp; ($X$2 - $AD$3)
),0)</f>
        <v>0</v>
      </c>
      <c r="AB354" s="734" cm="1">
        <f t="array" aca="true" ref="AB3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4" s="733" cm="1">
        <f t="array" aca="true" ref="AC354" ca="true">IFERROR(COUNTIFS(
  unit_details[Property Name], INDIRECT("B"&amp;ROW()),
  unit_details[Floorplan Name], INDIRECT("C"&amp;ROW()),
  unit_details[Beds], INDIRECT("D"&amp;ROW()),
  unit_details[Detected Unit Amenities], "*"&amp;$AB$3&amp;"*",
  unit_details[Leased Date], "&gt;=" &amp; ($X$2 - $AD$3)
),0)</f>
        <v>0</v>
      </c>
      <c r="AD354" s="735" cm="1">
        <f t="array" aca="true" ref="AD354" ca="true">IFERROR(AVERAGEIFS(
  unit_details[Sqft],
  unit_details[Property Name], INDIRECT("B"&amp;ROW()),
  unit_details[Floorplan Name], INDIRECT("C"&amp;ROW()),
  unit_details[Beds], INDIRECT("D"&amp;ROW()),
  unit_details[Detected Unit Amenities], "&lt;&gt;*"&amp;$AB$3&amp;"*",
  unit_details[Leased Date], "&gt;=" &amp; ($X$2 - $AD$3)
),0)</f>
        <v>0</v>
      </c>
      <c r="AE354" s="734" cm="1">
        <f t="array" aca="true" ref="AE3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4" s="733" cm="1">
        <f t="array" aca="true" ref="AF354" ca="true">IFERROR(COUNTIFS(
  unit_details[Property Name], INDIRECT("B"&amp;ROW()),
  unit_details[Floorplan Name], INDIRECT("C"&amp;ROW()),
  unit_details[Beds], INDIRECT("D"&amp;ROW()),
  unit_details[Detected Unit Amenities], "&lt;&gt;*"&amp;$AB$3&amp;"*",
  unit_details[Leased Date], "&gt;=" &amp; ($X$2 - $AD$3)
),0)</f>
        <v>0</v>
      </c>
      <c r="AG354" s="735"/>
      <c r="AH354" s="738">
        <f t="shared" ca="true" si="12"/>
        <v>0</v>
      </c>
      <c r="AI354" s="739">
        <f t="shared" ca="true" si="13"/>
        <v>0</v>
      </c>
    </row>
    <row r="355" spans="10:35">
      <c r="J355" s="345"/>
      <c r="N355" s="738" t="str" cm="1">
        <f t="array" aca="true" ref="N355" ca="true">IFERROR(IF($O$3="Chunk Rent",
AVERAGEIFS('Unit-Level Data'!$O:$O,'Unit-Level Data'!$M:$M,TRUE,
          'Unit-Level Data'!$D:$D, INDIRECT("C"&amp;ROW()),
          'Unit-Level Data'!$B:$B, INDIRECT("B"&amp;ROW())),
AVERAGEIFS('Unit-Level Data'!$P:$P,'Unit-Level Data'!$M:$M,TRUE,
          'Unit-Level Data'!$D:$D, INDIRECT("C"&amp;ROW()),
          'Unit-Level Data'!$B:$B, INDIRECT("B"&amp;ROW()))),"")</f>
      </c>
      <c r="O355" s="760" t="str" cm="1">
        <f t="array" aca="true" ref="O355" ca="true">IFERROR(IF($O$3="Chunk Rent",
AVERAGEIFS('Unit-Level Data'!$Q:$Q,'Unit-Level Data'!$M:$M,TRUE,
          'Unit-Level Data'!$D:$D, INDIRECT("C"&amp;ROW()),
          'Unit-Level Data'!$B:$B, INDIRECT("B"&amp;ROW())),
AVERAGEIFS('Unit-Level Data'!$R:$R,'Unit-Level Data'!$M:$M,TRUE,
          'Unit-Level Data'!$D:$D, INDIRECT("C"&amp;ROW()),
          'Unit-Level Data'!$B:$B, INDIRECT("B"&amp;ROW()))),"")</f>
      </c>
      <c r="P355" s="733" cm="1">
        <f t="array" aca="true" ref="P355" ca="true">COUNTIFS('Unit-Level Data'!$M:$M,TRUE,
          'Unit-Level Data'!$D:$D, INDIRECT("C"&amp;ROW()),
          'Unit-Level Data'!$B:$B, INDIRECT("B"&amp;ROW()))</f>
        <v>0</v>
      </c>
      <c r="Q355" s="738" t="str" cm="1">
        <f t="array" aca="true" ref="Q3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5" s="760" t="str" cm="1">
        <f t="array" aca="true" ref="R3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5" s="733" cm="1">
        <f t="array" aca="true" ref="S355" ca="true">COUNTIFS('Unit-Level Data'!$L:$L, "&gt;=" &amp; ($X$2 - Q$5),
          'Unit-Level Data'!$L:$L, "&lt;" &amp; $X$2,
          'Unit-Level Data'!$D:$D, INDIRECT("C"&amp;ROW()),
          'Unit-Level Data'!$B:$B, INDIRECT("B"&amp;ROW()))</f>
        <v>0</v>
      </c>
      <c r="T355" s="738" t="str" cm="1">
        <f t="array" aca="true" ref="T3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5" s="760" t="str" cm="1">
        <f t="array" aca="true" ref="U3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5" s="733" cm="1">
        <f t="array" aca="true" ref="V355" ca="true">COUNTIFS('Unit-Level Data'!$L:$L, "&gt;=" &amp; ($X$2 - T$5),
          'Unit-Level Data'!$L:$L, "&lt;" &amp; $X$2,
          'Unit-Level Data'!$D:$D, INDIRECT("C"&amp;ROW()),
          'Unit-Level Data'!$B:$B, INDIRECT("B"&amp;ROW()))</f>
        <v>0</v>
      </c>
      <c r="W355" s="738" t="str" cm="1">
        <f t="array" aca="true" ref="W3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5" s="760" t="str" cm="1">
        <f t="array" aca="true" ref="X3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5" s="733" cm="1">
        <f t="array" aca="true" ref="Y355" ca="true">COUNTIFS('Unit-Level Data'!$L:$L, "&gt;=" &amp; ($X$2 - W$5),
          'Unit-Level Data'!$L:$L, "&lt;" &amp; $X$2,
          'Unit-Level Data'!$D:$D, INDIRECT("C"&amp;ROW()),
          'Unit-Level Data'!$B:$B, INDIRECT("B"&amp;ROW()))</f>
        <v>0</v>
      </c>
      <c r="Z355" s="761"/>
      <c r="AA355" s="735" cm="1">
        <f t="array" aca="true" ref="AA355" ca="true">IFERROR(AVERAGEIFS(
  unit_details[Sqft],
  unit_details[Property Name], INDIRECT("B"&amp;ROW()),
  unit_details[Floorplan Name], INDIRECT("C"&amp;ROW()),
  unit_details[Beds], INDIRECT("D"&amp;ROW()),
  unit_details[Detected Unit Amenities], "*"&amp;$AB$3&amp;"*",
  unit_details[Leased Date], "&gt;=" &amp; ($X$2 - $AD$3)
),0)</f>
        <v>0</v>
      </c>
      <c r="AB355" s="734" cm="1">
        <f t="array" aca="true" ref="AB3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5" s="733" cm="1">
        <f t="array" aca="true" ref="AC355" ca="true">IFERROR(COUNTIFS(
  unit_details[Property Name], INDIRECT("B"&amp;ROW()),
  unit_details[Floorplan Name], INDIRECT("C"&amp;ROW()),
  unit_details[Beds], INDIRECT("D"&amp;ROW()),
  unit_details[Detected Unit Amenities], "*"&amp;$AB$3&amp;"*",
  unit_details[Leased Date], "&gt;=" &amp; ($X$2 - $AD$3)
),0)</f>
        <v>0</v>
      </c>
      <c r="AD355" s="735" cm="1">
        <f t="array" aca="true" ref="AD355" ca="true">IFERROR(AVERAGEIFS(
  unit_details[Sqft],
  unit_details[Property Name], INDIRECT("B"&amp;ROW()),
  unit_details[Floorplan Name], INDIRECT("C"&amp;ROW()),
  unit_details[Beds], INDIRECT("D"&amp;ROW()),
  unit_details[Detected Unit Amenities], "&lt;&gt;*"&amp;$AB$3&amp;"*",
  unit_details[Leased Date], "&gt;=" &amp; ($X$2 - $AD$3)
),0)</f>
        <v>0</v>
      </c>
      <c r="AE355" s="734" cm="1">
        <f t="array" aca="true" ref="AE3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5" s="733" cm="1">
        <f t="array" aca="true" ref="AF355" ca="true">IFERROR(COUNTIFS(
  unit_details[Property Name], INDIRECT("B"&amp;ROW()),
  unit_details[Floorplan Name], INDIRECT("C"&amp;ROW()),
  unit_details[Beds], INDIRECT("D"&amp;ROW()),
  unit_details[Detected Unit Amenities], "&lt;&gt;*"&amp;$AB$3&amp;"*",
  unit_details[Leased Date], "&gt;=" &amp; ($X$2 - $AD$3)
),0)</f>
        <v>0</v>
      </c>
      <c r="AG355" s="735"/>
      <c r="AH355" s="738">
        <f t="shared" ca="true" si="12"/>
        <v>0</v>
      </c>
      <c r="AI355" s="739">
        <f t="shared" ca="true" si="13"/>
        <v>0</v>
      </c>
    </row>
    <row r="356" spans="10:35">
      <c r="J356" s="345"/>
      <c r="N356" s="738" t="str" cm="1">
        <f t="array" aca="true" ref="N356" ca="true">IFERROR(IF($O$3="Chunk Rent",
AVERAGEIFS('Unit-Level Data'!$O:$O,'Unit-Level Data'!$M:$M,TRUE,
          'Unit-Level Data'!$D:$D, INDIRECT("C"&amp;ROW()),
          'Unit-Level Data'!$B:$B, INDIRECT("B"&amp;ROW())),
AVERAGEIFS('Unit-Level Data'!$P:$P,'Unit-Level Data'!$M:$M,TRUE,
          'Unit-Level Data'!$D:$D, INDIRECT("C"&amp;ROW()),
          'Unit-Level Data'!$B:$B, INDIRECT("B"&amp;ROW()))),"")</f>
      </c>
      <c r="O356" s="760" t="str" cm="1">
        <f t="array" aca="true" ref="O356" ca="true">IFERROR(IF($O$3="Chunk Rent",
AVERAGEIFS('Unit-Level Data'!$Q:$Q,'Unit-Level Data'!$M:$M,TRUE,
          'Unit-Level Data'!$D:$D, INDIRECT("C"&amp;ROW()),
          'Unit-Level Data'!$B:$B, INDIRECT("B"&amp;ROW())),
AVERAGEIFS('Unit-Level Data'!$R:$R,'Unit-Level Data'!$M:$M,TRUE,
          'Unit-Level Data'!$D:$D, INDIRECT("C"&amp;ROW()),
          'Unit-Level Data'!$B:$B, INDIRECT("B"&amp;ROW()))),"")</f>
      </c>
      <c r="P356" s="733" cm="1">
        <f t="array" aca="true" ref="P356" ca="true">COUNTIFS('Unit-Level Data'!$M:$M,TRUE,
          'Unit-Level Data'!$D:$D, INDIRECT("C"&amp;ROW()),
          'Unit-Level Data'!$B:$B, INDIRECT("B"&amp;ROW()))</f>
        <v>0</v>
      </c>
      <c r="Q356" s="738" t="str" cm="1">
        <f t="array" aca="true" ref="Q3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6" s="760" t="str" cm="1">
        <f t="array" aca="true" ref="R3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6" s="733" cm="1">
        <f t="array" aca="true" ref="S356" ca="true">COUNTIFS('Unit-Level Data'!$L:$L, "&gt;=" &amp; ($X$2 - Q$5),
          'Unit-Level Data'!$L:$L, "&lt;" &amp; $X$2,
          'Unit-Level Data'!$D:$D, INDIRECT("C"&amp;ROW()),
          'Unit-Level Data'!$B:$B, INDIRECT("B"&amp;ROW()))</f>
        <v>0</v>
      </c>
      <c r="T356" s="738" t="str" cm="1">
        <f t="array" aca="true" ref="T3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6" s="760" t="str" cm="1">
        <f t="array" aca="true" ref="U3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6" s="733" cm="1">
        <f t="array" aca="true" ref="V356" ca="true">COUNTIFS('Unit-Level Data'!$L:$L, "&gt;=" &amp; ($X$2 - T$5),
          'Unit-Level Data'!$L:$L, "&lt;" &amp; $X$2,
          'Unit-Level Data'!$D:$D, INDIRECT("C"&amp;ROW()),
          'Unit-Level Data'!$B:$B, INDIRECT("B"&amp;ROW()))</f>
        <v>0</v>
      </c>
      <c r="W356" s="738" t="str" cm="1">
        <f t="array" aca="true" ref="W3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6" s="760" t="str" cm="1">
        <f t="array" aca="true" ref="X3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6" s="733" cm="1">
        <f t="array" aca="true" ref="Y356" ca="true">COUNTIFS('Unit-Level Data'!$L:$L, "&gt;=" &amp; ($X$2 - W$5),
          'Unit-Level Data'!$L:$L, "&lt;" &amp; $X$2,
          'Unit-Level Data'!$D:$D, INDIRECT("C"&amp;ROW()),
          'Unit-Level Data'!$B:$B, INDIRECT("B"&amp;ROW()))</f>
        <v>0</v>
      </c>
      <c r="Z356" s="761"/>
      <c r="AA356" s="735" cm="1">
        <f t="array" aca="true" ref="AA356" ca="true">IFERROR(AVERAGEIFS(
  unit_details[Sqft],
  unit_details[Property Name], INDIRECT("B"&amp;ROW()),
  unit_details[Floorplan Name], INDIRECT("C"&amp;ROW()),
  unit_details[Beds], INDIRECT("D"&amp;ROW()),
  unit_details[Detected Unit Amenities], "*"&amp;$AB$3&amp;"*",
  unit_details[Leased Date], "&gt;=" &amp; ($X$2 - $AD$3)
),0)</f>
        <v>0</v>
      </c>
      <c r="AB356" s="734" cm="1">
        <f t="array" aca="true" ref="AB3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6" s="733" cm="1">
        <f t="array" aca="true" ref="AC356" ca="true">IFERROR(COUNTIFS(
  unit_details[Property Name], INDIRECT("B"&amp;ROW()),
  unit_details[Floorplan Name], INDIRECT("C"&amp;ROW()),
  unit_details[Beds], INDIRECT("D"&amp;ROW()),
  unit_details[Detected Unit Amenities], "*"&amp;$AB$3&amp;"*",
  unit_details[Leased Date], "&gt;=" &amp; ($X$2 - $AD$3)
),0)</f>
        <v>0</v>
      </c>
      <c r="AD356" s="735" cm="1">
        <f t="array" aca="true" ref="AD356" ca="true">IFERROR(AVERAGEIFS(
  unit_details[Sqft],
  unit_details[Property Name], INDIRECT("B"&amp;ROW()),
  unit_details[Floorplan Name], INDIRECT("C"&amp;ROW()),
  unit_details[Beds], INDIRECT("D"&amp;ROW()),
  unit_details[Detected Unit Amenities], "&lt;&gt;*"&amp;$AB$3&amp;"*",
  unit_details[Leased Date], "&gt;=" &amp; ($X$2 - $AD$3)
),0)</f>
        <v>0</v>
      </c>
      <c r="AE356" s="734" cm="1">
        <f t="array" aca="true" ref="AE3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6" s="733" cm="1">
        <f t="array" aca="true" ref="AF356" ca="true">IFERROR(COUNTIFS(
  unit_details[Property Name], INDIRECT("B"&amp;ROW()),
  unit_details[Floorplan Name], INDIRECT("C"&amp;ROW()),
  unit_details[Beds], INDIRECT("D"&amp;ROW()),
  unit_details[Detected Unit Amenities], "&lt;&gt;*"&amp;$AB$3&amp;"*",
  unit_details[Leased Date], "&gt;=" &amp; ($X$2 - $AD$3)
),0)</f>
        <v>0</v>
      </c>
      <c r="AG356" s="735"/>
      <c r="AH356" s="738">
        <f t="shared" ca="true" si="12"/>
        <v>0</v>
      </c>
      <c r="AI356" s="739">
        <f t="shared" ca="true" si="13"/>
        <v>0</v>
      </c>
    </row>
    <row r="357" spans="10:35">
      <c r="J357" s="345"/>
      <c r="N357" s="738" t="str" cm="1">
        <f t="array" aca="true" ref="N357" ca="true">IFERROR(IF($O$3="Chunk Rent",
AVERAGEIFS('Unit-Level Data'!$O:$O,'Unit-Level Data'!$M:$M,TRUE,
          'Unit-Level Data'!$D:$D, INDIRECT("C"&amp;ROW()),
          'Unit-Level Data'!$B:$B, INDIRECT("B"&amp;ROW())),
AVERAGEIFS('Unit-Level Data'!$P:$P,'Unit-Level Data'!$M:$M,TRUE,
          'Unit-Level Data'!$D:$D, INDIRECT("C"&amp;ROW()),
          'Unit-Level Data'!$B:$B, INDIRECT("B"&amp;ROW()))),"")</f>
      </c>
      <c r="O357" s="760" t="str" cm="1">
        <f t="array" aca="true" ref="O357" ca="true">IFERROR(IF($O$3="Chunk Rent",
AVERAGEIFS('Unit-Level Data'!$Q:$Q,'Unit-Level Data'!$M:$M,TRUE,
          'Unit-Level Data'!$D:$D, INDIRECT("C"&amp;ROW()),
          'Unit-Level Data'!$B:$B, INDIRECT("B"&amp;ROW())),
AVERAGEIFS('Unit-Level Data'!$R:$R,'Unit-Level Data'!$M:$M,TRUE,
          'Unit-Level Data'!$D:$D, INDIRECT("C"&amp;ROW()),
          'Unit-Level Data'!$B:$B, INDIRECT("B"&amp;ROW()))),"")</f>
      </c>
      <c r="P357" s="733" cm="1">
        <f t="array" aca="true" ref="P357" ca="true">COUNTIFS('Unit-Level Data'!$M:$M,TRUE,
          'Unit-Level Data'!$D:$D, INDIRECT("C"&amp;ROW()),
          'Unit-Level Data'!$B:$B, INDIRECT("B"&amp;ROW()))</f>
        <v>0</v>
      </c>
      <c r="Q357" s="738" t="str" cm="1">
        <f t="array" aca="true" ref="Q3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7" s="760" t="str" cm="1">
        <f t="array" aca="true" ref="R3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7" s="733" cm="1">
        <f t="array" aca="true" ref="S357" ca="true">COUNTIFS('Unit-Level Data'!$L:$L, "&gt;=" &amp; ($X$2 - Q$5),
          'Unit-Level Data'!$L:$L, "&lt;" &amp; $X$2,
          'Unit-Level Data'!$D:$D, INDIRECT("C"&amp;ROW()),
          'Unit-Level Data'!$B:$B, INDIRECT("B"&amp;ROW()))</f>
        <v>0</v>
      </c>
      <c r="T357" s="738" t="str" cm="1">
        <f t="array" aca="true" ref="T3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7" s="760" t="str" cm="1">
        <f t="array" aca="true" ref="U3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7" s="733" cm="1">
        <f t="array" aca="true" ref="V357" ca="true">COUNTIFS('Unit-Level Data'!$L:$L, "&gt;=" &amp; ($X$2 - T$5),
          'Unit-Level Data'!$L:$L, "&lt;" &amp; $X$2,
          'Unit-Level Data'!$D:$D, INDIRECT("C"&amp;ROW()),
          'Unit-Level Data'!$B:$B, INDIRECT("B"&amp;ROW()))</f>
        <v>0</v>
      </c>
      <c r="W357" s="738" t="str" cm="1">
        <f t="array" aca="true" ref="W3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7" s="760" t="str" cm="1">
        <f t="array" aca="true" ref="X3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7" s="733" cm="1">
        <f t="array" aca="true" ref="Y357" ca="true">COUNTIFS('Unit-Level Data'!$L:$L, "&gt;=" &amp; ($X$2 - W$5),
          'Unit-Level Data'!$L:$L, "&lt;" &amp; $X$2,
          'Unit-Level Data'!$D:$D, INDIRECT("C"&amp;ROW()),
          'Unit-Level Data'!$B:$B, INDIRECT("B"&amp;ROW()))</f>
        <v>0</v>
      </c>
      <c r="Z357" s="761"/>
      <c r="AA357" s="735" cm="1">
        <f t="array" aca="true" ref="AA357" ca="true">IFERROR(AVERAGEIFS(
  unit_details[Sqft],
  unit_details[Property Name], INDIRECT("B"&amp;ROW()),
  unit_details[Floorplan Name], INDIRECT("C"&amp;ROW()),
  unit_details[Beds], INDIRECT("D"&amp;ROW()),
  unit_details[Detected Unit Amenities], "*"&amp;$AB$3&amp;"*",
  unit_details[Leased Date], "&gt;=" &amp; ($X$2 - $AD$3)
),0)</f>
        <v>0</v>
      </c>
      <c r="AB357" s="734" cm="1">
        <f t="array" aca="true" ref="AB3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7" s="733" cm="1">
        <f t="array" aca="true" ref="AC357" ca="true">IFERROR(COUNTIFS(
  unit_details[Property Name], INDIRECT("B"&amp;ROW()),
  unit_details[Floorplan Name], INDIRECT("C"&amp;ROW()),
  unit_details[Beds], INDIRECT("D"&amp;ROW()),
  unit_details[Detected Unit Amenities], "*"&amp;$AB$3&amp;"*",
  unit_details[Leased Date], "&gt;=" &amp; ($X$2 - $AD$3)
),0)</f>
        <v>0</v>
      </c>
      <c r="AD357" s="735" cm="1">
        <f t="array" aca="true" ref="AD357" ca="true">IFERROR(AVERAGEIFS(
  unit_details[Sqft],
  unit_details[Property Name], INDIRECT("B"&amp;ROW()),
  unit_details[Floorplan Name], INDIRECT("C"&amp;ROW()),
  unit_details[Beds], INDIRECT("D"&amp;ROW()),
  unit_details[Detected Unit Amenities], "&lt;&gt;*"&amp;$AB$3&amp;"*",
  unit_details[Leased Date], "&gt;=" &amp; ($X$2 - $AD$3)
),0)</f>
        <v>0</v>
      </c>
      <c r="AE357" s="734" cm="1">
        <f t="array" aca="true" ref="AE3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7" s="733" cm="1">
        <f t="array" aca="true" ref="AF357" ca="true">IFERROR(COUNTIFS(
  unit_details[Property Name], INDIRECT("B"&amp;ROW()),
  unit_details[Floorplan Name], INDIRECT("C"&amp;ROW()),
  unit_details[Beds], INDIRECT("D"&amp;ROW()),
  unit_details[Detected Unit Amenities], "&lt;&gt;*"&amp;$AB$3&amp;"*",
  unit_details[Leased Date], "&gt;=" &amp; ($X$2 - $AD$3)
),0)</f>
        <v>0</v>
      </c>
      <c r="AG357" s="735"/>
      <c r="AH357" s="738">
        <f t="shared" ca="true" si="12"/>
        <v>0</v>
      </c>
      <c r="AI357" s="739">
        <f t="shared" ca="true" si="13"/>
        <v>0</v>
      </c>
    </row>
    <row r="358" spans="10:35">
      <c r="J358" s="345"/>
      <c r="N358" s="738" t="str" cm="1">
        <f t="array" aca="true" ref="N358" ca="true">IFERROR(IF($O$3="Chunk Rent",
AVERAGEIFS('Unit-Level Data'!$O:$O,'Unit-Level Data'!$M:$M,TRUE,
          'Unit-Level Data'!$D:$D, INDIRECT("C"&amp;ROW()),
          'Unit-Level Data'!$B:$B, INDIRECT("B"&amp;ROW())),
AVERAGEIFS('Unit-Level Data'!$P:$P,'Unit-Level Data'!$M:$M,TRUE,
          'Unit-Level Data'!$D:$D, INDIRECT("C"&amp;ROW()),
          'Unit-Level Data'!$B:$B, INDIRECT("B"&amp;ROW()))),"")</f>
      </c>
      <c r="O358" s="760" t="str" cm="1">
        <f t="array" aca="true" ref="O358" ca="true">IFERROR(IF($O$3="Chunk Rent",
AVERAGEIFS('Unit-Level Data'!$Q:$Q,'Unit-Level Data'!$M:$M,TRUE,
          'Unit-Level Data'!$D:$D, INDIRECT("C"&amp;ROW()),
          'Unit-Level Data'!$B:$B, INDIRECT("B"&amp;ROW())),
AVERAGEIFS('Unit-Level Data'!$R:$R,'Unit-Level Data'!$M:$M,TRUE,
          'Unit-Level Data'!$D:$D, INDIRECT("C"&amp;ROW()),
          'Unit-Level Data'!$B:$B, INDIRECT("B"&amp;ROW()))),"")</f>
      </c>
      <c r="P358" s="733" cm="1">
        <f t="array" aca="true" ref="P358" ca="true">COUNTIFS('Unit-Level Data'!$M:$M,TRUE,
          'Unit-Level Data'!$D:$D, INDIRECT("C"&amp;ROW()),
          'Unit-Level Data'!$B:$B, INDIRECT("B"&amp;ROW()))</f>
        <v>0</v>
      </c>
      <c r="Q358" s="738" t="str" cm="1">
        <f t="array" aca="true" ref="Q3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8" s="760" t="str" cm="1">
        <f t="array" aca="true" ref="R3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8" s="733" cm="1">
        <f t="array" aca="true" ref="S358" ca="true">COUNTIFS('Unit-Level Data'!$L:$L, "&gt;=" &amp; ($X$2 - Q$5),
          'Unit-Level Data'!$L:$L, "&lt;" &amp; $X$2,
          'Unit-Level Data'!$D:$D, INDIRECT("C"&amp;ROW()),
          'Unit-Level Data'!$B:$B, INDIRECT("B"&amp;ROW()))</f>
        <v>0</v>
      </c>
      <c r="T358" s="738" t="str" cm="1">
        <f t="array" aca="true" ref="T3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8" s="760" t="str" cm="1">
        <f t="array" aca="true" ref="U3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8" s="733" cm="1">
        <f t="array" aca="true" ref="V358" ca="true">COUNTIFS('Unit-Level Data'!$L:$L, "&gt;=" &amp; ($X$2 - T$5),
          'Unit-Level Data'!$L:$L, "&lt;" &amp; $X$2,
          'Unit-Level Data'!$D:$D, INDIRECT("C"&amp;ROW()),
          'Unit-Level Data'!$B:$B, INDIRECT("B"&amp;ROW()))</f>
        <v>0</v>
      </c>
      <c r="W358" s="738" t="str" cm="1">
        <f t="array" aca="true" ref="W3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8" s="760" t="str" cm="1">
        <f t="array" aca="true" ref="X3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8" s="733" cm="1">
        <f t="array" aca="true" ref="Y358" ca="true">COUNTIFS('Unit-Level Data'!$L:$L, "&gt;=" &amp; ($X$2 - W$5),
          'Unit-Level Data'!$L:$L, "&lt;" &amp; $X$2,
          'Unit-Level Data'!$D:$D, INDIRECT("C"&amp;ROW()),
          'Unit-Level Data'!$B:$B, INDIRECT("B"&amp;ROW()))</f>
        <v>0</v>
      </c>
      <c r="Z358" s="761"/>
      <c r="AA358" s="735" cm="1">
        <f t="array" aca="true" ref="AA358" ca="true">IFERROR(AVERAGEIFS(
  unit_details[Sqft],
  unit_details[Property Name], INDIRECT("B"&amp;ROW()),
  unit_details[Floorplan Name], INDIRECT("C"&amp;ROW()),
  unit_details[Beds], INDIRECT("D"&amp;ROW()),
  unit_details[Detected Unit Amenities], "*"&amp;$AB$3&amp;"*",
  unit_details[Leased Date], "&gt;=" &amp; ($X$2 - $AD$3)
),0)</f>
        <v>0</v>
      </c>
      <c r="AB358" s="734" cm="1">
        <f t="array" aca="true" ref="AB3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8" s="733" cm="1">
        <f t="array" aca="true" ref="AC358" ca="true">IFERROR(COUNTIFS(
  unit_details[Property Name], INDIRECT("B"&amp;ROW()),
  unit_details[Floorplan Name], INDIRECT("C"&amp;ROW()),
  unit_details[Beds], INDIRECT("D"&amp;ROW()),
  unit_details[Detected Unit Amenities], "*"&amp;$AB$3&amp;"*",
  unit_details[Leased Date], "&gt;=" &amp; ($X$2 - $AD$3)
),0)</f>
        <v>0</v>
      </c>
      <c r="AD358" s="735" cm="1">
        <f t="array" aca="true" ref="AD358" ca="true">IFERROR(AVERAGEIFS(
  unit_details[Sqft],
  unit_details[Property Name], INDIRECT("B"&amp;ROW()),
  unit_details[Floorplan Name], INDIRECT("C"&amp;ROW()),
  unit_details[Beds], INDIRECT("D"&amp;ROW()),
  unit_details[Detected Unit Amenities], "&lt;&gt;*"&amp;$AB$3&amp;"*",
  unit_details[Leased Date], "&gt;=" &amp; ($X$2 - $AD$3)
),0)</f>
        <v>0</v>
      </c>
      <c r="AE358" s="734" cm="1">
        <f t="array" aca="true" ref="AE3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8" s="733" cm="1">
        <f t="array" aca="true" ref="AF358" ca="true">IFERROR(COUNTIFS(
  unit_details[Property Name], INDIRECT("B"&amp;ROW()),
  unit_details[Floorplan Name], INDIRECT("C"&amp;ROW()),
  unit_details[Beds], INDIRECT("D"&amp;ROW()),
  unit_details[Detected Unit Amenities], "&lt;&gt;*"&amp;$AB$3&amp;"*",
  unit_details[Leased Date], "&gt;=" &amp; ($X$2 - $AD$3)
),0)</f>
        <v>0</v>
      </c>
      <c r="AG358" s="735"/>
      <c r="AH358" s="738">
        <f t="shared" ca="true" si="12"/>
        <v>0</v>
      </c>
      <c r="AI358" s="739">
        <f t="shared" ca="true" si="13"/>
        <v>0</v>
      </c>
    </row>
    <row r="359" spans="10:35">
      <c r="J359" s="345"/>
      <c r="N359" s="738" t="str" cm="1">
        <f t="array" aca="true" ref="N359" ca="true">IFERROR(IF($O$3="Chunk Rent",
AVERAGEIFS('Unit-Level Data'!$O:$O,'Unit-Level Data'!$M:$M,TRUE,
          'Unit-Level Data'!$D:$D, INDIRECT("C"&amp;ROW()),
          'Unit-Level Data'!$B:$B, INDIRECT("B"&amp;ROW())),
AVERAGEIFS('Unit-Level Data'!$P:$P,'Unit-Level Data'!$M:$M,TRUE,
          'Unit-Level Data'!$D:$D, INDIRECT("C"&amp;ROW()),
          'Unit-Level Data'!$B:$B, INDIRECT("B"&amp;ROW()))),"")</f>
      </c>
      <c r="O359" s="760" t="str" cm="1">
        <f t="array" aca="true" ref="O359" ca="true">IFERROR(IF($O$3="Chunk Rent",
AVERAGEIFS('Unit-Level Data'!$Q:$Q,'Unit-Level Data'!$M:$M,TRUE,
          'Unit-Level Data'!$D:$D, INDIRECT("C"&amp;ROW()),
          'Unit-Level Data'!$B:$B, INDIRECT("B"&amp;ROW())),
AVERAGEIFS('Unit-Level Data'!$R:$R,'Unit-Level Data'!$M:$M,TRUE,
          'Unit-Level Data'!$D:$D, INDIRECT("C"&amp;ROW()),
          'Unit-Level Data'!$B:$B, INDIRECT("B"&amp;ROW()))),"")</f>
      </c>
      <c r="P359" s="733" cm="1">
        <f t="array" aca="true" ref="P359" ca="true">COUNTIFS('Unit-Level Data'!$M:$M,TRUE,
          'Unit-Level Data'!$D:$D, INDIRECT("C"&amp;ROW()),
          'Unit-Level Data'!$B:$B, INDIRECT("B"&amp;ROW()))</f>
        <v>0</v>
      </c>
      <c r="Q359" s="738" t="str" cm="1">
        <f t="array" aca="true" ref="Q3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9" s="760" t="str" cm="1">
        <f t="array" aca="true" ref="R3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9" s="733" cm="1">
        <f t="array" aca="true" ref="S359" ca="true">COUNTIFS('Unit-Level Data'!$L:$L, "&gt;=" &amp; ($X$2 - Q$5),
          'Unit-Level Data'!$L:$L, "&lt;" &amp; $X$2,
          'Unit-Level Data'!$D:$D, INDIRECT("C"&amp;ROW()),
          'Unit-Level Data'!$B:$B, INDIRECT("B"&amp;ROW()))</f>
        <v>0</v>
      </c>
      <c r="T359" s="738" t="str" cm="1">
        <f t="array" aca="true" ref="T3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9" s="760" t="str" cm="1">
        <f t="array" aca="true" ref="U3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9" s="733" cm="1">
        <f t="array" aca="true" ref="V359" ca="true">COUNTIFS('Unit-Level Data'!$L:$L, "&gt;=" &amp; ($X$2 - T$5),
          'Unit-Level Data'!$L:$L, "&lt;" &amp; $X$2,
          'Unit-Level Data'!$D:$D, INDIRECT("C"&amp;ROW()),
          'Unit-Level Data'!$B:$B, INDIRECT("B"&amp;ROW()))</f>
        <v>0</v>
      </c>
      <c r="W359" s="738" t="str" cm="1">
        <f t="array" aca="true" ref="W3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9" s="760" t="str" cm="1">
        <f t="array" aca="true" ref="X3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9" s="733" cm="1">
        <f t="array" aca="true" ref="Y359" ca="true">COUNTIFS('Unit-Level Data'!$L:$L, "&gt;=" &amp; ($X$2 - W$5),
          'Unit-Level Data'!$L:$L, "&lt;" &amp; $X$2,
          'Unit-Level Data'!$D:$D, INDIRECT("C"&amp;ROW()),
          'Unit-Level Data'!$B:$B, INDIRECT("B"&amp;ROW()))</f>
        <v>0</v>
      </c>
      <c r="Z359" s="761"/>
      <c r="AA359" s="735" cm="1">
        <f t="array" aca="true" ref="AA359" ca="true">IFERROR(AVERAGEIFS(
  unit_details[Sqft],
  unit_details[Property Name], INDIRECT("B"&amp;ROW()),
  unit_details[Floorplan Name], INDIRECT("C"&amp;ROW()),
  unit_details[Beds], INDIRECT("D"&amp;ROW()),
  unit_details[Detected Unit Amenities], "*"&amp;$AB$3&amp;"*",
  unit_details[Leased Date], "&gt;=" &amp; ($X$2 - $AD$3)
),0)</f>
        <v>0</v>
      </c>
      <c r="AB359" s="734" cm="1">
        <f t="array" aca="true" ref="AB3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9" s="733" cm="1">
        <f t="array" aca="true" ref="AC359" ca="true">IFERROR(COUNTIFS(
  unit_details[Property Name], INDIRECT("B"&amp;ROW()),
  unit_details[Floorplan Name], INDIRECT("C"&amp;ROW()),
  unit_details[Beds], INDIRECT("D"&amp;ROW()),
  unit_details[Detected Unit Amenities], "*"&amp;$AB$3&amp;"*",
  unit_details[Leased Date], "&gt;=" &amp; ($X$2 - $AD$3)
),0)</f>
        <v>0</v>
      </c>
      <c r="AD359" s="735" cm="1">
        <f t="array" aca="true" ref="AD359" ca="true">IFERROR(AVERAGEIFS(
  unit_details[Sqft],
  unit_details[Property Name], INDIRECT("B"&amp;ROW()),
  unit_details[Floorplan Name], INDIRECT("C"&amp;ROW()),
  unit_details[Beds], INDIRECT("D"&amp;ROW()),
  unit_details[Detected Unit Amenities], "&lt;&gt;*"&amp;$AB$3&amp;"*",
  unit_details[Leased Date], "&gt;=" &amp; ($X$2 - $AD$3)
),0)</f>
        <v>0</v>
      </c>
      <c r="AE359" s="734" cm="1">
        <f t="array" aca="true" ref="AE3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9" s="733" cm="1">
        <f t="array" aca="true" ref="AF359" ca="true">IFERROR(COUNTIFS(
  unit_details[Property Name], INDIRECT("B"&amp;ROW()),
  unit_details[Floorplan Name], INDIRECT("C"&amp;ROW()),
  unit_details[Beds], INDIRECT("D"&amp;ROW()),
  unit_details[Detected Unit Amenities], "&lt;&gt;*"&amp;$AB$3&amp;"*",
  unit_details[Leased Date], "&gt;=" &amp; ($X$2 - $AD$3)
),0)</f>
        <v>0</v>
      </c>
      <c r="AG359" s="735"/>
      <c r="AH359" s="738">
        <f t="shared" ca="true" si="12"/>
        <v>0</v>
      </c>
      <c r="AI359" s="739">
        <f t="shared" ca="true" si="13"/>
        <v>0</v>
      </c>
    </row>
    <row r="360" spans="10:35">
      <c r="J360" s="345"/>
      <c r="N360" s="738" t="str" cm="1">
        <f t="array" aca="true" ref="N360" ca="true">IFERROR(IF($O$3="Chunk Rent",
AVERAGEIFS('Unit-Level Data'!$O:$O,'Unit-Level Data'!$M:$M,TRUE,
          'Unit-Level Data'!$D:$D, INDIRECT("C"&amp;ROW()),
          'Unit-Level Data'!$B:$B, INDIRECT("B"&amp;ROW())),
AVERAGEIFS('Unit-Level Data'!$P:$P,'Unit-Level Data'!$M:$M,TRUE,
          'Unit-Level Data'!$D:$D, INDIRECT("C"&amp;ROW()),
          'Unit-Level Data'!$B:$B, INDIRECT("B"&amp;ROW()))),"")</f>
      </c>
      <c r="O360" s="760" t="str" cm="1">
        <f t="array" aca="true" ref="O360" ca="true">IFERROR(IF($O$3="Chunk Rent",
AVERAGEIFS('Unit-Level Data'!$Q:$Q,'Unit-Level Data'!$M:$M,TRUE,
          'Unit-Level Data'!$D:$D, INDIRECT("C"&amp;ROW()),
          'Unit-Level Data'!$B:$B, INDIRECT("B"&amp;ROW())),
AVERAGEIFS('Unit-Level Data'!$R:$R,'Unit-Level Data'!$M:$M,TRUE,
          'Unit-Level Data'!$D:$D, INDIRECT("C"&amp;ROW()),
          'Unit-Level Data'!$B:$B, INDIRECT("B"&amp;ROW()))),"")</f>
      </c>
      <c r="P360" s="733" cm="1">
        <f t="array" aca="true" ref="P360" ca="true">COUNTIFS('Unit-Level Data'!$M:$M,TRUE,
          'Unit-Level Data'!$D:$D, INDIRECT("C"&amp;ROW()),
          'Unit-Level Data'!$B:$B, INDIRECT("B"&amp;ROW()))</f>
        <v>0</v>
      </c>
      <c r="Q360" s="738" t="str" cm="1">
        <f t="array" aca="true" ref="Q3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0" s="760" t="str" cm="1">
        <f t="array" aca="true" ref="R3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0" s="733" cm="1">
        <f t="array" aca="true" ref="S360" ca="true">COUNTIFS('Unit-Level Data'!$L:$L, "&gt;=" &amp; ($X$2 - Q$5),
          'Unit-Level Data'!$L:$L, "&lt;" &amp; $X$2,
          'Unit-Level Data'!$D:$D, INDIRECT("C"&amp;ROW()),
          'Unit-Level Data'!$B:$B, INDIRECT("B"&amp;ROW()))</f>
        <v>0</v>
      </c>
      <c r="T360" s="738" t="str" cm="1">
        <f t="array" aca="true" ref="T3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0" s="760" t="str" cm="1">
        <f t="array" aca="true" ref="U3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0" s="733" cm="1">
        <f t="array" aca="true" ref="V360" ca="true">COUNTIFS('Unit-Level Data'!$L:$L, "&gt;=" &amp; ($X$2 - T$5),
          'Unit-Level Data'!$L:$L, "&lt;" &amp; $X$2,
          'Unit-Level Data'!$D:$D, INDIRECT("C"&amp;ROW()),
          'Unit-Level Data'!$B:$B, INDIRECT("B"&amp;ROW()))</f>
        <v>0</v>
      </c>
      <c r="W360" s="738" t="str" cm="1">
        <f t="array" aca="true" ref="W3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0" s="760" t="str" cm="1">
        <f t="array" aca="true" ref="X3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0" s="733" cm="1">
        <f t="array" aca="true" ref="Y360" ca="true">COUNTIFS('Unit-Level Data'!$L:$L, "&gt;=" &amp; ($X$2 - W$5),
          'Unit-Level Data'!$L:$L, "&lt;" &amp; $X$2,
          'Unit-Level Data'!$D:$D, INDIRECT("C"&amp;ROW()),
          'Unit-Level Data'!$B:$B, INDIRECT("B"&amp;ROW()))</f>
        <v>0</v>
      </c>
      <c r="Z360" s="761"/>
      <c r="AA360" s="735" cm="1">
        <f t="array" aca="true" ref="AA360" ca="true">IFERROR(AVERAGEIFS(
  unit_details[Sqft],
  unit_details[Property Name], INDIRECT("B"&amp;ROW()),
  unit_details[Floorplan Name], INDIRECT("C"&amp;ROW()),
  unit_details[Beds], INDIRECT("D"&amp;ROW()),
  unit_details[Detected Unit Amenities], "*"&amp;$AB$3&amp;"*",
  unit_details[Leased Date], "&gt;=" &amp; ($X$2 - $AD$3)
),0)</f>
        <v>0</v>
      </c>
      <c r="AB360" s="734" cm="1">
        <f t="array" aca="true" ref="AB3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0" s="733" cm="1">
        <f t="array" aca="true" ref="AC360" ca="true">IFERROR(COUNTIFS(
  unit_details[Property Name], INDIRECT("B"&amp;ROW()),
  unit_details[Floorplan Name], INDIRECT("C"&amp;ROW()),
  unit_details[Beds], INDIRECT("D"&amp;ROW()),
  unit_details[Detected Unit Amenities], "*"&amp;$AB$3&amp;"*",
  unit_details[Leased Date], "&gt;=" &amp; ($X$2 - $AD$3)
),0)</f>
        <v>0</v>
      </c>
      <c r="AD360" s="735" cm="1">
        <f t="array" aca="true" ref="AD360" ca="true">IFERROR(AVERAGEIFS(
  unit_details[Sqft],
  unit_details[Property Name], INDIRECT("B"&amp;ROW()),
  unit_details[Floorplan Name], INDIRECT("C"&amp;ROW()),
  unit_details[Beds], INDIRECT("D"&amp;ROW()),
  unit_details[Detected Unit Amenities], "&lt;&gt;*"&amp;$AB$3&amp;"*",
  unit_details[Leased Date], "&gt;=" &amp; ($X$2 - $AD$3)
),0)</f>
        <v>0</v>
      </c>
      <c r="AE360" s="734" cm="1">
        <f t="array" aca="true" ref="AE3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0" s="733" cm="1">
        <f t="array" aca="true" ref="AF360" ca="true">IFERROR(COUNTIFS(
  unit_details[Property Name], INDIRECT("B"&amp;ROW()),
  unit_details[Floorplan Name], INDIRECT("C"&amp;ROW()),
  unit_details[Beds], INDIRECT("D"&amp;ROW()),
  unit_details[Detected Unit Amenities], "&lt;&gt;*"&amp;$AB$3&amp;"*",
  unit_details[Leased Date], "&gt;=" &amp; ($X$2 - $AD$3)
),0)</f>
        <v>0</v>
      </c>
      <c r="AG360" s="735"/>
      <c r="AH360" s="738">
        <f t="shared" ca="true" si="12"/>
        <v>0</v>
      </c>
      <c r="AI360" s="739">
        <f t="shared" ca="true" si="13"/>
        <v>0</v>
      </c>
    </row>
    <row r="361" spans="10:35">
      <c r="J361" s="345"/>
      <c r="N361" s="738" t="str" cm="1">
        <f t="array" aca="true" ref="N361" ca="true">IFERROR(IF($O$3="Chunk Rent",
AVERAGEIFS('Unit-Level Data'!$O:$O,'Unit-Level Data'!$M:$M,TRUE,
          'Unit-Level Data'!$D:$D, INDIRECT("C"&amp;ROW()),
          'Unit-Level Data'!$B:$B, INDIRECT("B"&amp;ROW())),
AVERAGEIFS('Unit-Level Data'!$P:$P,'Unit-Level Data'!$M:$M,TRUE,
          'Unit-Level Data'!$D:$D, INDIRECT("C"&amp;ROW()),
          'Unit-Level Data'!$B:$B, INDIRECT("B"&amp;ROW()))),"")</f>
      </c>
      <c r="O361" s="760" t="str" cm="1">
        <f t="array" aca="true" ref="O361" ca="true">IFERROR(IF($O$3="Chunk Rent",
AVERAGEIFS('Unit-Level Data'!$Q:$Q,'Unit-Level Data'!$M:$M,TRUE,
          'Unit-Level Data'!$D:$D, INDIRECT("C"&amp;ROW()),
          'Unit-Level Data'!$B:$B, INDIRECT("B"&amp;ROW())),
AVERAGEIFS('Unit-Level Data'!$R:$R,'Unit-Level Data'!$M:$M,TRUE,
          'Unit-Level Data'!$D:$D, INDIRECT("C"&amp;ROW()),
          'Unit-Level Data'!$B:$B, INDIRECT("B"&amp;ROW()))),"")</f>
      </c>
      <c r="P361" s="733" cm="1">
        <f t="array" aca="true" ref="P361" ca="true">COUNTIFS('Unit-Level Data'!$M:$M,TRUE,
          'Unit-Level Data'!$D:$D, INDIRECT("C"&amp;ROW()),
          'Unit-Level Data'!$B:$B, INDIRECT("B"&amp;ROW()))</f>
        <v>0</v>
      </c>
      <c r="Q361" s="738" t="str" cm="1">
        <f t="array" aca="true" ref="Q3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1" s="760" t="str" cm="1">
        <f t="array" aca="true" ref="R3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1" s="733" cm="1">
        <f t="array" aca="true" ref="S361" ca="true">COUNTIFS('Unit-Level Data'!$L:$L, "&gt;=" &amp; ($X$2 - Q$5),
          'Unit-Level Data'!$L:$L, "&lt;" &amp; $X$2,
          'Unit-Level Data'!$D:$D, INDIRECT("C"&amp;ROW()),
          'Unit-Level Data'!$B:$B, INDIRECT("B"&amp;ROW()))</f>
        <v>0</v>
      </c>
      <c r="T361" s="738" t="str" cm="1">
        <f t="array" aca="true" ref="T3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1" s="760" t="str" cm="1">
        <f t="array" aca="true" ref="U3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1" s="733" cm="1">
        <f t="array" aca="true" ref="V361" ca="true">COUNTIFS('Unit-Level Data'!$L:$L, "&gt;=" &amp; ($X$2 - T$5),
          'Unit-Level Data'!$L:$L, "&lt;" &amp; $X$2,
          'Unit-Level Data'!$D:$D, INDIRECT("C"&amp;ROW()),
          'Unit-Level Data'!$B:$B, INDIRECT("B"&amp;ROW()))</f>
        <v>0</v>
      </c>
      <c r="W361" s="738" t="str" cm="1">
        <f t="array" aca="true" ref="W3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1" s="760" t="str" cm="1">
        <f t="array" aca="true" ref="X3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1" s="733" cm="1">
        <f t="array" aca="true" ref="Y361" ca="true">COUNTIFS('Unit-Level Data'!$L:$L, "&gt;=" &amp; ($X$2 - W$5),
          'Unit-Level Data'!$L:$L, "&lt;" &amp; $X$2,
          'Unit-Level Data'!$D:$D, INDIRECT("C"&amp;ROW()),
          'Unit-Level Data'!$B:$B, INDIRECT("B"&amp;ROW()))</f>
        <v>0</v>
      </c>
      <c r="Z361" s="761"/>
      <c r="AA361" s="735" cm="1">
        <f t="array" aca="true" ref="AA361" ca="true">IFERROR(AVERAGEIFS(
  unit_details[Sqft],
  unit_details[Property Name], INDIRECT("B"&amp;ROW()),
  unit_details[Floorplan Name], INDIRECT("C"&amp;ROW()),
  unit_details[Beds], INDIRECT("D"&amp;ROW()),
  unit_details[Detected Unit Amenities], "*"&amp;$AB$3&amp;"*",
  unit_details[Leased Date], "&gt;=" &amp; ($X$2 - $AD$3)
),0)</f>
        <v>0</v>
      </c>
      <c r="AB361" s="734" cm="1">
        <f t="array" aca="true" ref="AB3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1" s="733" cm="1">
        <f t="array" aca="true" ref="AC361" ca="true">IFERROR(COUNTIFS(
  unit_details[Property Name], INDIRECT("B"&amp;ROW()),
  unit_details[Floorplan Name], INDIRECT("C"&amp;ROW()),
  unit_details[Beds], INDIRECT("D"&amp;ROW()),
  unit_details[Detected Unit Amenities], "*"&amp;$AB$3&amp;"*",
  unit_details[Leased Date], "&gt;=" &amp; ($X$2 - $AD$3)
),0)</f>
        <v>0</v>
      </c>
      <c r="AD361" s="735" cm="1">
        <f t="array" aca="true" ref="AD361" ca="true">IFERROR(AVERAGEIFS(
  unit_details[Sqft],
  unit_details[Property Name], INDIRECT("B"&amp;ROW()),
  unit_details[Floorplan Name], INDIRECT("C"&amp;ROW()),
  unit_details[Beds], INDIRECT("D"&amp;ROW()),
  unit_details[Detected Unit Amenities], "&lt;&gt;*"&amp;$AB$3&amp;"*",
  unit_details[Leased Date], "&gt;=" &amp; ($X$2 - $AD$3)
),0)</f>
        <v>0</v>
      </c>
      <c r="AE361" s="734" cm="1">
        <f t="array" aca="true" ref="AE3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1" s="733" cm="1">
        <f t="array" aca="true" ref="AF361" ca="true">IFERROR(COUNTIFS(
  unit_details[Property Name], INDIRECT("B"&amp;ROW()),
  unit_details[Floorplan Name], INDIRECT("C"&amp;ROW()),
  unit_details[Beds], INDIRECT("D"&amp;ROW()),
  unit_details[Detected Unit Amenities], "&lt;&gt;*"&amp;$AB$3&amp;"*",
  unit_details[Leased Date], "&gt;=" &amp; ($X$2 - $AD$3)
),0)</f>
        <v>0</v>
      </c>
      <c r="AG361" s="735"/>
      <c r="AH361" s="738">
        <f t="shared" ca="true" si="12"/>
        <v>0</v>
      </c>
      <c r="AI361" s="739">
        <f t="shared" ca="true" si="13"/>
        <v>0</v>
      </c>
    </row>
    <row r="362" spans="10:35">
      <c r="J362" s="345"/>
      <c r="N362" s="738" t="str" cm="1">
        <f t="array" aca="true" ref="N362" ca="true">IFERROR(IF($O$3="Chunk Rent",
AVERAGEIFS('Unit-Level Data'!$O:$O,'Unit-Level Data'!$M:$M,TRUE,
          'Unit-Level Data'!$D:$D, INDIRECT("C"&amp;ROW()),
          'Unit-Level Data'!$B:$B, INDIRECT("B"&amp;ROW())),
AVERAGEIFS('Unit-Level Data'!$P:$P,'Unit-Level Data'!$M:$M,TRUE,
          'Unit-Level Data'!$D:$D, INDIRECT("C"&amp;ROW()),
          'Unit-Level Data'!$B:$B, INDIRECT("B"&amp;ROW()))),"")</f>
      </c>
      <c r="O362" s="760" t="str" cm="1">
        <f t="array" aca="true" ref="O362" ca="true">IFERROR(IF($O$3="Chunk Rent",
AVERAGEIFS('Unit-Level Data'!$Q:$Q,'Unit-Level Data'!$M:$M,TRUE,
          'Unit-Level Data'!$D:$D, INDIRECT("C"&amp;ROW()),
          'Unit-Level Data'!$B:$B, INDIRECT("B"&amp;ROW())),
AVERAGEIFS('Unit-Level Data'!$R:$R,'Unit-Level Data'!$M:$M,TRUE,
          'Unit-Level Data'!$D:$D, INDIRECT("C"&amp;ROW()),
          'Unit-Level Data'!$B:$B, INDIRECT("B"&amp;ROW()))),"")</f>
      </c>
      <c r="P362" s="733" cm="1">
        <f t="array" aca="true" ref="P362" ca="true">COUNTIFS('Unit-Level Data'!$M:$M,TRUE,
          'Unit-Level Data'!$D:$D, INDIRECT("C"&amp;ROW()),
          'Unit-Level Data'!$B:$B, INDIRECT("B"&amp;ROW()))</f>
        <v>0</v>
      </c>
      <c r="Q362" s="738" t="str" cm="1">
        <f t="array" aca="true" ref="Q3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2" s="760" t="str" cm="1">
        <f t="array" aca="true" ref="R3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2" s="733" cm="1">
        <f t="array" aca="true" ref="S362" ca="true">COUNTIFS('Unit-Level Data'!$L:$L, "&gt;=" &amp; ($X$2 - Q$5),
          'Unit-Level Data'!$L:$L, "&lt;" &amp; $X$2,
          'Unit-Level Data'!$D:$D, INDIRECT("C"&amp;ROW()),
          'Unit-Level Data'!$B:$B, INDIRECT("B"&amp;ROW()))</f>
        <v>0</v>
      </c>
      <c r="T362" s="738" t="str" cm="1">
        <f t="array" aca="true" ref="T3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2" s="760" t="str" cm="1">
        <f t="array" aca="true" ref="U3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2" s="733" cm="1">
        <f t="array" aca="true" ref="V362" ca="true">COUNTIFS('Unit-Level Data'!$L:$L, "&gt;=" &amp; ($X$2 - T$5),
          'Unit-Level Data'!$L:$L, "&lt;" &amp; $X$2,
          'Unit-Level Data'!$D:$D, INDIRECT("C"&amp;ROW()),
          'Unit-Level Data'!$B:$B, INDIRECT("B"&amp;ROW()))</f>
        <v>0</v>
      </c>
      <c r="W362" s="738" t="str" cm="1">
        <f t="array" aca="true" ref="W3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2" s="760" t="str" cm="1">
        <f t="array" aca="true" ref="X3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2" s="733" cm="1">
        <f t="array" aca="true" ref="Y362" ca="true">COUNTIFS('Unit-Level Data'!$L:$L, "&gt;=" &amp; ($X$2 - W$5),
          'Unit-Level Data'!$L:$L, "&lt;" &amp; $X$2,
          'Unit-Level Data'!$D:$D, INDIRECT("C"&amp;ROW()),
          'Unit-Level Data'!$B:$B, INDIRECT("B"&amp;ROW()))</f>
        <v>0</v>
      </c>
      <c r="Z362" s="761"/>
      <c r="AA362" s="735" cm="1">
        <f t="array" aca="true" ref="AA362" ca="true">IFERROR(AVERAGEIFS(
  unit_details[Sqft],
  unit_details[Property Name], INDIRECT("B"&amp;ROW()),
  unit_details[Floorplan Name], INDIRECT("C"&amp;ROW()),
  unit_details[Beds], INDIRECT("D"&amp;ROW()),
  unit_details[Detected Unit Amenities], "*"&amp;$AB$3&amp;"*",
  unit_details[Leased Date], "&gt;=" &amp; ($X$2 - $AD$3)
),0)</f>
        <v>0</v>
      </c>
      <c r="AB362" s="734" cm="1">
        <f t="array" aca="true" ref="AB3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2" s="733" cm="1">
        <f t="array" aca="true" ref="AC362" ca="true">IFERROR(COUNTIFS(
  unit_details[Property Name], INDIRECT("B"&amp;ROW()),
  unit_details[Floorplan Name], INDIRECT("C"&amp;ROW()),
  unit_details[Beds], INDIRECT("D"&amp;ROW()),
  unit_details[Detected Unit Amenities], "*"&amp;$AB$3&amp;"*",
  unit_details[Leased Date], "&gt;=" &amp; ($X$2 - $AD$3)
),0)</f>
        <v>0</v>
      </c>
      <c r="AD362" s="735" cm="1">
        <f t="array" aca="true" ref="AD362" ca="true">IFERROR(AVERAGEIFS(
  unit_details[Sqft],
  unit_details[Property Name], INDIRECT("B"&amp;ROW()),
  unit_details[Floorplan Name], INDIRECT("C"&amp;ROW()),
  unit_details[Beds], INDIRECT("D"&amp;ROW()),
  unit_details[Detected Unit Amenities], "&lt;&gt;*"&amp;$AB$3&amp;"*",
  unit_details[Leased Date], "&gt;=" &amp; ($X$2 - $AD$3)
),0)</f>
        <v>0</v>
      </c>
      <c r="AE362" s="734" cm="1">
        <f t="array" aca="true" ref="AE3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2" s="733" cm="1">
        <f t="array" aca="true" ref="AF362" ca="true">IFERROR(COUNTIFS(
  unit_details[Property Name], INDIRECT("B"&amp;ROW()),
  unit_details[Floorplan Name], INDIRECT("C"&amp;ROW()),
  unit_details[Beds], INDIRECT("D"&amp;ROW()),
  unit_details[Detected Unit Amenities], "&lt;&gt;*"&amp;$AB$3&amp;"*",
  unit_details[Leased Date], "&gt;=" &amp; ($X$2 - $AD$3)
),0)</f>
        <v>0</v>
      </c>
      <c r="AG362" s="735"/>
      <c r="AH362" s="738">
        <f t="shared" ca="true" si="12"/>
        <v>0</v>
      </c>
      <c r="AI362" s="739">
        <f t="shared" ca="true" si="13"/>
        <v>0</v>
      </c>
    </row>
    <row r="363" spans="10:35">
      <c r="J363" s="345"/>
      <c r="N363" s="738" t="str" cm="1">
        <f t="array" aca="true" ref="N363" ca="true">IFERROR(IF($O$3="Chunk Rent",
AVERAGEIFS('Unit-Level Data'!$O:$O,'Unit-Level Data'!$M:$M,TRUE,
          'Unit-Level Data'!$D:$D, INDIRECT("C"&amp;ROW()),
          'Unit-Level Data'!$B:$B, INDIRECT("B"&amp;ROW())),
AVERAGEIFS('Unit-Level Data'!$P:$P,'Unit-Level Data'!$M:$M,TRUE,
          'Unit-Level Data'!$D:$D, INDIRECT("C"&amp;ROW()),
          'Unit-Level Data'!$B:$B, INDIRECT("B"&amp;ROW()))),"")</f>
      </c>
      <c r="O363" s="760" t="str" cm="1">
        <f t="array" aca="true" ref="O363" ca="true">IFERROR(IF($O$3="Chunk Rent",
AVERAGEIFS('Unit-Level Data'!$Q:$Q,'Unit-Level Data'!$M:$M,TRUE,
          'Unit-Level Data'!$D:$D, INDIRECT("C"&amp;ROW()),
          'Unit-Level Data'!$B:$B, INDIRECT("B"&amp;ROW())),
AVERAGEIFS('Unit-Level Data'!$R:$R,'Unit-Level Data'!$M:$M,TRUE,
          'Unit-Level Data'!$D:$D, INDIRECT("C"&amp;ROW()),
          'Unit-Level Data'!$B:$B, INDIRECT("B"&amp;ROW()))),"")</f>
      </c>
      <c r="P363" s="733" cm="1">
        <f t="array" aca="true" ref="P363" ca="true">COUNTIFS('Unit-Level Data'!$M:$M,TRUE,
          'Unit-Level Data'!$D:$D, INDIRECT("C"&amp;ROW()),
          'Unit-Level Data'!$B:$B, INDIRECT("B"&amp;ROW()))</f>
        <v>0</v>
      </c>
      <c r="Q363" s="738" t="str" cm="1">
        <f t="array" aca="true" ref="Q3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3" s="760" t="str" cm="1">
        <f t="array" aca="true" ref="R3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3" s="733" cm="1">
        <f t="array" aca="true" ref="S363" ca="true">COUNTIFS('Unit-Level Data'!$L:$L, "&gt;=" &amp; ($X$2 - Q$5),
          'Unit-Level Data'!$L:$L, "&lt;" &amp; $X$2,
          'Unit-Level Data'!$D:$D, INDIRECT("C"&amp;ROW()),
          'Unit-Level Data'!$B:$B, INDIRECT("B"&amp;ROW()))</f>
        <v>0</v>
      </c>
      <c r="T363" s="738" t="str" cm="1">
        <f t="array" aca="true" ref="T3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3" s="760" t="str" cm="1">
        <f t="array" aca="true" ref="U3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3" s="733" cm="1">
        <f t="array" aca="true" ref="V363" ca="true">COUNTIFS('Unit-Level Data'!$L:$L, "&gt;=" &amp; ($X$2 - T$5),
          'Unit-Level Data'!$L:$L, "&lt;" &amp; $X$2,
          'Unit-Level Data'!$D:$D, INDIRECT("C"&amp;ROW()),
          'Unit-Level Data'!$B:$B, INDIRECT("B"&amp;ROW()))</f>
        <v>0</v>
      </c>
      <c r="W363" s="738" t="str" cm="1">
        <f t="array" aca="true" ref="W3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3" s="760" t="str" cm="1">
        <f t="array" aca="true" ref="X3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3" s="733" cm="1">
        <f t="array" aca="true" ref="Y363" ca="true">COUNTIFS('Unit-Level Data'!$L:$L, "&gt;=" &amp; ($X$2 - W$5),
          'Unit-Level Data'!$L:$L, "&lt;" &amp; $X$2,
          'Unit-Level Data'!$D:$D, INDIRECT("C"&amp;ROW()),
          'Unit-Level Data'!$B:$B, INDIRECT("B"&amp;ROW()))</f>
        <v>0</v>
      </c>
      <c r="Z363" s="761"/>
      <c r="AA363" s="735" cm="1">
        <f t="array" aca="true" ref="AA363" ca="true">IFERROR(AVERAGEIFS(
  unit_details[Sqft],
  unit_details[Property Name], INDIRECT("B"&amp;ROW()),
  unit_details[Floorplan Name], INDIRECT("C"&amp;ROW()),
  unit_details[Beds], INDIRECT("D"&amp;ROW()),
  unit_details[Detected Unit Amenities], "*"&amp;$AB$3&amp;"*",
  unit_details[Leased Date], "&gt;=" &amp; ($X$2 - $AD$3)
),0)</f>
        <v>0</v>
      </c>
      <c r="AB363" s="734" cm="1">
        <f t="array" aca="true" ref="AB3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3" s="733" cm="1">
        <f t="array" aca="true" ref="AC363" ca="true">IFERROR(COUNTIFS(
  unit_details[Property Name], INDIRECT("B"&amp;ROW()),
  unit_details[Floorplan Name], INDIRECT("C"&amp;ROW()),
  unit_details[Beds], INDIRECT("D"&amp;ROW()),
  unit_details[Detected Unit Amenities], "*"&amp;$AB$3&amp;"*",
  unit_details[Leased Date], "&gt;=" &amp; ($X$2 - $AD$3)
),0)</f>
        <v>0</v>
      </c>
      <c r="AD363" s="735" cm="1">
        <f t="array" aca="true" ref="AD363" ca="true">IFERROR(AVERAGEIFS(
  unit_details[Sqft],
  unit_details[Property Name], INDIRECT("B"&amp;ROW()),
  unit_details[Floorplan Name], INDIRECT("C"&amp;ROW()),
  unit_details[Beds], INDIRECT("D"&amp;ROW()),
  unit_details[Detected Unit Amenities], "&lt;&gt;*"&amp;$AB$3&amp;"*",
  unit_details[Leased Date], "&gt;=" &amp; ($X$2 - $AD$3)
),0)</f>
        <v>0</v>
      </c>
      <c r="AE363" s="734" cm="1">
        <f t="array" aca="true" ref="AE3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3" s="733" cm="1">
        <f t="array" aca="true" ref="AF363" ca="true">IFERROR(COUNTIFS(
  unit_details[Property Name], INDIRECT("B"&amp;ROW()),
  unit_details[Floorplan Name], INDIRECT("C"&amp;ROW()),
  unit_details[Beds], INDIRECT("D"&amp;ROW()),
  unit_details[Detected Unit Amenities], "&lt;&gt;*"&amp;$AB$3&amp;"*",
  unit_details[Leased Date], "&gt;=" &amp; ($X$2 - $AD$3)
),0)</f>
        <v>0</v>
      </c>
      <c r="AG363" s="735"/>
      <c r="AH363" s="738">
        <f t="shared" ca="true" si="12"/>
        <v>0</v>
      </c>
      <c r="AI363" s="739">
        <f t="shared" ca="true" si="13"/>
        <v>0</v>
      </c>
    </row>
    <row r="364" spans="10:35">
      <c r="J364" s="345"/>
      <c r="N364" s="738" t="str" cm="1">
        <f t="array" aca="true" ref="N364" ca="true">IFERROR(IF($O$3="Chunk Rent",
AVERAGEIFS('Unit-Level Data'!$O:$O,'Unit-Level Data'!$M:$M,TRUE,
          'Unit-Level Data'!$D:$D, INDIRECT("C"&amp;ROW()),
          'Unit-Level Data'!$B:$B, INDIRECT("B"&amp;ROW())),
AVERAGEIFS('Unit-Level Data'!$P:$P,'Unit-Level Data'!$M:$M,TRUE,
          'Unit-Level Data'!$D:$D, INDIRECT("C"&amp;ROW()),
          'Unit-Level Data'!$B:$B, INDIRECT("B"&amp;ROW()))),"")</f>
      </c>
      <c r="O364" s="760" t="str" cm="1">
        <f t="array" aca="true" ref="O364" ca="true">IFERROR(IF($O$3="Chunk Rent",
AVERAGEIFS('Unit-Level Data'!$Q:$Q,'Unit-Level Data'!$M:$M,TRUE,
          'Unit-Level Data'!$D:$D, INDIRECT("C"&amp;ROW()),
          'Unit-Level Data'!$B:$B, INDIRECT("B"&amp;ROW())),
AVERAGEIFS('Unit-Level Data'!$R:$R,'Unit-Level Data'!$M:$M,TRUE,
          'Unit-Level Data'!$D:$D, INDIRECT("C"&amp;ROW()),
          'Unit-Level Data'!$B:$B, INDIRECT("B"&amp;ROW()))),"")</f>
      </c>
      <c r="P364" s="733" cm="1">
        <f t="array" aca="true" ref="P364" ca="true">COUNTIFS('Unit-Level Data'!$M:$M,TRUE,
          'Unit-Level Data'!$D:$D, INDIRECT("C"&amp;ROW()),
          'Unit-Level Data'!$B:$B, INDIRECT("B"&amp;ROW()))</f>
        <v>0</v>
      </c>
      <c r="Q364" s="738" t="str" cm="1">
        <f t="array" aca="true" ref="Q3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4" s="760" t="str" cm="1">
        <f t="array" aca="true" ref="R3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4" s="733" cm="1">
        <f t="array" aca="true" ref="S364" ca="true">COUNTIFS('Unit-Level Data'!$L:$L, "&gt;=" &amp; ($X$2 - Q$5),
          'Unit-Level Data'!$L:$L, "&lt;" &amp; $X$2,
          'Unit-Level Data'!$D:$D, INDIRECT("C"&amp;ROW()),
          'Unit-Level Data'!$B:$B, INDIRECT("B"&amp;ROW()))</f>
        <v>0</v>
      </c>
      <c r="T364" s="738" t="str" cm="1">
        <f t="array" aca="true" ref="T3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4" s="760" t="str" cm="1">
        <f t="array" aca="true" ref="U3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4" s="733" cm="1">
        <f t="array" aca="true" ref="V364" ca="true">COUNTIFS('Unit-Level Data'!$L:$L, "&gt;=" &amp; ($X$2 - T$5),
          'Unit-Level Data'!$L:$L, "&lt;" &amp; $X$2,
          'Unit-Level Data'!$D:$D, INDIRECT("C"&amp;ROW()),
          'Unit-Level Data'!$B:$B, INDIRECT("B"&amp;ROW()))</f>
        <v>0</v>
      </c>
      <c r="W364" s="738" t="str" cm="1">
        <f t="array" aca="true" ref="W3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4" s="760" t="str" cm="1">
        <f t="array" aca="true" ref="X3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4" s="733" cm="1">
        <f t="array" aca="true" ref="Y364" ca="true">COUNTIFS('Unit-Level Data'!$L:$L, "&gt;=" &amp; ($X$2 - W$5),
          'Unit-Level Data'!$L:$L, "&lt;" &amp; $X$2,
          'Unit-Level Data'!$D:$D, INDIRECT("C"&amp;ROW()),
          'Unit-Level Data'!$B:$B, INDIRECT("B"&amp;ROW()))</f>
        <v>0</v>
      </c>
      <c r="Z364" s="761"/>
      <c r="AA364" s="735" cm="1">
        <f t="array" aca="true" ref="AA364" ca="true">IFERROR(AVERAGEIFS(
  unit_details[Sqft],
  unit_details[Property Name], INDIRECT("B"&amp;ROW()),
  unit_details[Floorplan Name], INDIRECT("C"&amp;ROW()),
  unit_details[Beds], INDIRECT("D"&amp;ROW()),
  unit_details[Detected Unit Amenities], "*"&amp;$AB$3&amp;"*",
  unit_details[Leased Date], "&gt;=" &amp; ($X$2 - $AD$3)
),0)</f>
        <v>0</v>
      </c>
      <c r="AB364" s="734" cm="1">
        <f t="array" aca="true" ref="AB3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4" s="733" cm="1">
        <f t="array" aca="true" ref="AC364" ca="true">IFERROR(COUNTIFS(
  unit_details[Property Name], INDIRECT("B"&amp;ROW()),
  unit_details[Floorplan Name], INDIRECT("C"&amp;ROW()),
  unit_details[Beds], INDIRECT("D"&amp;ROW()),
  unit_details[Detected Unit Amenities], "*"&amp;$AB$3&amp;"*",
  unit_details[Leased Date], "&gt;=" &amp; ($X$2 - $AD$3)
),0)</f>
        <v>0</v>
      </c>
      <c r="AD364" s="735" cm="1">
        <f t="array" aca="true" ref="AD364" ca="true">IFERROR(AVERAGEIFS(
  unit_details[Sqft],
  unit_details[Property Name], INDIRECT("B"&amp;ROW()),
  unit_details[Floorplan Name], INDIRECT("C"&amp;ROW()),
  unit_details[Beds], INDIRECT("D"&amp;ROW()),
  unit_details[Detected Unit Amenities], "&lt;&gt;*"&amp;$AB$3&amp;"*",
  unit_details[Leased Date], "&gt;=" &amp; ($X$2 - $AD$3)
),0)</f>
        <v>0</v>
      </c>
      <c r="AE364" s="734" cm="1">
        <f t="array" aca="true" ref="AE3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4" s="733" cm="1">
        <f t="array" aca="true" ref="AF364" ca="true">IFERROR(COUNTIFS(
  unit_details[Property Name], INDIRECT("B"&amp;ROW()),
  unit_details[Floorplan Name], INDIRECT("C"&amp;ROW()),
  unit_details[Beds], INDIRECT("D"&amp;ROW()),
  unit_details[Detected Unit Amenities], "&lt;&gt;*"&amp;$AB$3&amp;"*",
  unit_details[Leased Date], "&gt;=" &amp; ($X$2 - $AD$3)
),0)</f>
        <v>0</v>
      </c>
      <c r="AG364" s="735"/>
      <c r="AH364" s="738">
        <f t="shared" ca="true" si="12"/>
        <v>0</v>
      </c>
      <c r="AI364" s="739">
        <f t="shared" ca="true" si="13"/>
        <v>0</v>
      </c>
    </row>
    <row r="365" spans="10:35">
      <c r="J365" s="345"/>
      <c r="N365" s="738" t="str" cm="1">
        <f t="array" aca="true" ref="N365" ca="true">IFERROR(IF($O$3="Chunk Rent",
AVERAGEIFS('Unit-Level Data'!$O:$O,'Unit-Level Data'!$M:$M,TRUE,
          'Unit-Level Data'!$D:$D, INDIRECT("C"&amp;ROW()),
          'Unit-Level Data'!$B:$B, INDIRECT("B"&amp;ROW())),
AVERAGEIFS('Unit-Level Data'!$P:$P,'Unit-Level Data'!$M:$M,TRUE,
          'Unit-Level Data'!$D:$D, INDIRECT("C"&amp;ROW()),
          'Unit-Level Data'!$B:$B, INDIRECT("B"&amp;ROW()))),"")</f>
      </c>
      <c r="O365" s="760" t="str" cm="1">
        <f t="array" aca="true" ref="O365" ca="true">IFERROR(IF($O$3="Chunk Rent",
AVERAGEIFS('Unit-Level Data'!$Q:$Q,'Unit-Level Data'!$M:$M,TRUE,
          'Unit-Level Data'!$D:$D, INDIRECT("C"&amp;ROW()),
          'Unit-Level Data'!$B:$B, INDIRECT("B"&amp;ROW())),
AVERAGEIFS('Unit-Level Data'!$R:$R,'Unit-Level Data'!$M:$M,TRUE,
          'Unit-Level Data'!$D:$D, INDIRECT("C"&amp;ROW()),
          'Unit-Level Data'!$B:$B, INDIRECT("B"&amp;ROW()))),"")</f>
      </c>
      <c r="P365" s="733" cm="1">
        <f t="array" aca="true" ref="P365" ca="true">COUNTIFS('Unit-Level Data'!$M:$M,TRUE,
          'Unit-Level Data'!$D:$D, INDIRECT("C"&amp;ROW()),
          'Unit-Level Data'!$B:$B, INDIRECT("B"&amp;ROW()))</f>
        <v>0</v>
      </c>
      <c r="Q365" s="738" t="str" cm="1">
        <f t="array" aca="true" ref="Q3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5" s="760" t="str" cm="1">
        <f t="array" aca="true" ref="R3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5" s="733" cm="1">
        <f t="array" aca="true" ref="S365" ca="true">COUNTIFS('Unit-Level Data'!$L:$L, "&gt;=" &amp; ($X$2 - Q$5),
          'Unit-Level Data'!$L:$L, "&lt;" &amp; $X$2,
          'Unit-Level Data'!$D:$D, INDIRECT("C"&amp;ROW()),
          'Unit-Level Data'!$B:$B, INDIRECT("B"&amp;ROW()))</f>
        <v>0</v>
      </c>
      <c r="T365" s="738" t="str" cm="1">
        <f t="array" aca="true" ref="T3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5" s="760" t="str" cm="1">
        <f t="array" aca="true" ref="U3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5" s="733" cm="1">
        <f t="array" aca="true" ref="V365" ca="true">COUNTIFS('Unit-Level Data'!$L:$L, "&gt;=" &amp; ($X$2 - T$5),
          'Unit-Level Data'!$L:$L, "&lt;" &amp; $X$2,
          'Unit-Level Data'!$D:$D, INDIRECT("C"&amp;ROW()),
          'Unit-Level Data'!$B:$B, INDIRECT("B"&amp;ROW()))</f>
        <v>0</v>
      </c>
      <c r="W365" s="738" t="str" cm="1">
        <f t="array" aca="true" ref="W3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5" s="760" t="str" cm="1">
        <f t="array" aca="true" ref="X3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5" s="733" cm="1">
        <f t="array" aca="true" ref="Y365" ca="true">COUNTIFS('Unit-Level Data'!$L:$L, "&gt;=" &amp; ($X$2 - W$5),
          'Unit-Level Data'!$L:$L, "&lt;" &amp; $X$2,
          'Unit-Level Data'!$D:$D, INDIRECT("C"&amp;ROW()),
          'Unit-Level Data'!$B:$B, INDIRECT("B"&amp;ROW()))</f>
        <v>0</v>
      </c>
      <c r="Z365" s="761"/>
      <c r="AA365" s="735" cm="1">
        <f t="array" aca="true" ref="AA365" ca="true">IFERROR(AVERAGEIFS(
  unit_details[Sqft],
  unit_details[Property Name], INDIRECT("B"&amp;ROW()),
  unit_details[Floorplan Name], INDIRECT("C"&amp;ROW()),
  unit_details[Beds], INDIRECT("D"&amp;ROW()),
  unit_details[Detected Unit Amenities], "*"&amp;$AB$3&amp;"*",
  unit_details[Leased Date], "&gt;=" &amp; ($X$2 - $AD$3)
),0)</f>
        <v>0</v>
      </c>
      <c r="AB365" s="734" cm="1">
        <f t="array" aca="true" ref="AB3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5" s="733" cm="1">
        <f t="array" aca="true" ref="AC365" ca="true">IFERROR(COUNTIFS(
  unit_details[Property Name], INDIRECT("B"&amp;ROW()),
  unit_details[Floorplan Name], INDIRECT("C"&amp;ROW()),
  unit_details[Beds], INDIRECT("D"&amp;ROW()),
  unit_details[Detected Unit Amenities], "*"&amp;$AB$3&amp;"*",
  unit_details[Leased Date], "&gt;=" &amp; ($X$2 - $AD$3)
),0)</f>
        <v>0</v>
      </c>
      <c r="AD365" s="735" cm="1">
        <f t="array" aca="true" ref="AD365" ca="true">IFERROR(AVERAGEIFS(
  unit_details[Sqft],
  unit_details[Property Name], INDIRECT("B"&amp;ROW()),
  unit_details[Floorplan Name], INDIRECT("C"&amp;ROW()),
  unit_details[Beds], INDIRECT("D"&amp;ROW()),
  unit_details[Detected Unit Amenities], "&lt;&gt;*"&amp;$AB$3&amp;"*",
  unit_details[Leased Date], "&gt;=" &amp; ($X$2 - $AD$3)
),0)</f>
        <v>0</v>
      </c>
      <c r="AE365" s="734" cm="1">
        <f t="array" aca="true" ref="AE3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5" s="733" cm="1">
        <f t="array" aca="true" ref="AF365" ca="true">IFERROR(COUNTIFS(
  unit_details[Property Name], INDIRECT("B"&amp;ROW()),
  unit_details[Floorplan Name], INDIRECT("C"&amp;ROW()),
  unit_details[Beds], INDIRECT("D"&amp;ROW()),
  unit_details[Detected Unit Amenities], "&lt;&gt;*"&amp;$AB$3&amp;"*",
  unit_details[Leased Date], "&gt;=" &amp; ($X$2 - $AD$3)
),0)</f>
        <v>0</v>
      </c>
      <c r="AG365" s="735"/>
      <c r="AH365" s="738">
        <f t="shared" ca="true" si="12"/>
        <v>0</v>
      </c>
      <c r="AI365" s="739">
        <f t="shared" ca="true" si="13"/>
        <v>0</v>
      </c>
    </row>
    <row r="366" spans="10:35">
      <c r="J366" s="345"/>
      <c r="N366" s="738" t="str" cm="1">
        <f t="array" aca="true" ref="N366" ca="true">IFERROR(IF($O$3="Chunk Rent",
AVERAGEIFS('Unit-Level Data'!$O:$O,'Unit-Level Data'!$M:$M,TRUE,
          'Unit-Level Data'!$D:$D, INDIRECT("C"&amp;ROW()),
          'Unit-Level Data'!$B:$B, INDIRECT("B"&amp;ROW())),
AVERAGEIFS('Unit-Level Data'!$P:$P,'Unit-Level Data'!$M:$M,TRUE,
          'Unit-Level Data'!$D:$D, INDIRECT("C"&amp;ROW()),
          'Unit-Level Data'!$B:$B, INDIRECT("B"&amp;ROW()))),"")</f>
      </c>
      <c r="O366" s="760" t="str" cm="1">
        <f t="array" aca="true" ref="O366" ca="true">IFERROR(IF($O$3="Chunk Rent",
AVERAGEIFS('Unit-Level Data'!$Q:$Q,'Unit-Level Data'!$M:$M,TRUE,
          'Unit-Level Data'!$D:$D, INDIRECT("C"&amp;ROW()),
          'Unit-Level Data'!$B:$B, INDIRECT("B"&amp;ROW())),
AVERAGEIFS('Unit-Level Data'!$R:$R,'Unit-Level Data'!$M:$M,TRUE,
          'Unit-Level Data'!$D:$D, INDIRECT("C"&amp;ROW()),
          'Unit-Level Data'!$B:$B, INDIRECT("B"&amp;ROW()))),"")</f>
      </c>
      <c r="P366" s="733" cm="1">
        <f t="array" aca="true" ref="P366" ca="true">COUNTIFS('Unit-Level Data'!$M:$M,TRUE,
          'Unit-Level Data'!$D:$D, INDIRECT("C"&amp;ROW()),
          'Unit-Level Data'!$B:$B, INDIRECT("B"&amp;ROW()))</f>
        <v>0</v>
      </c>
      <c r="Q366" s="738" t="str" cm="1">
        <f t="array" aca="true" ref="Q3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6" s="760" t="str" cm="1">
        <f t="array" aca="true" ref="R3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6" s="733" cm="1">
        <f t="array" aca="true" ref="S366" ca="true">COUNTIFS('Unit-Level Data'!$L:$L, "&gt;=" &amp; ($X$2 - Q$5),
          'Unit-Level Data'!$L:$L, "&lt;" &amp; $X$2,
          'Unit-Level Data'!$D:$D, INDIRECT("C"&amp;ROW()),
          'Unit-Level Data'!$B:$B, INDIRECT("B"&amp;ROW()))</f>
        <v>0</v>
      </c>
      <c r="T366" s="738" t="str" cm="1">
        <f t="array" aca="true" ref="T3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6" s="760" t="str" cm="1">
        <f t="array" aca="true" ref="U3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6" s="733" cm="1">
        <f t="array" aca="true" ref="V366" ca="true">COUNTIFS('Unit-Level Data'!$L:$L, "&gt;=" &amp; ($X$2 - T$5),
          'Unit-Level Data'!$L:$L, "&lt;" &amp; $X$2,
          'Unit-Level Data'!$D:$D, INDIRECT("C"&amp;ROW()),
          'Unit-Level Data'!$B:$B, INDIRECT("B"&amp;ROW()))</f>
        <v>0</v>
      </c>
      <c r="W366" s="738" t="str" cm="1">
        <f t="array" aca="true" ref="W3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6" s="760" t="str" cm="1">
        <f t="array" aca="true" ref="X3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6" s="733" cm="1">
        <f t="array" aca="true" ref="Y366" ca="true">COUNTIFS('Unit-Level Data'!$L:$L, "&gt;=" &amp; ($X$2 - W$5),
          'Unit-Level Data'!$L:$L, "&lt;" &amp; $X$2,
          'Unit-Level Data'!$D:$D, INDIRECT("C"&amp;ROW()),
          'Unit-Level Data'!$B:$B, INDIRECT("B"&amp;ROW()))</f>
        <v>0</v>
      </c>
      <c r="Z366" s="761"/>
      <c r="AA366" s="735" cm="1">
        <f t="array" aca="true" ref="AA366" ca="true">IFERROR(AVERAGEIFS(
  unit_details[Sqft],
  unit_details[Property Name], INDIRECT("B"&amp;ROW()),
  unit_details[Floorplan Name], INDIRECT("C"&amp;ROW()),
  unit_details[Beds], INDIRECT("D"&amp;ROW()),
  unit_details[Detected Unit Amenities], "*"&amp;$AB$3&amp;"*",
  unit_details[Leased Date], "&gt;=" &amp; ($X$2 - $AD$3)
),0)</f>
        <v>0</v>
      </c>
      <c r="AB366" s="734" cm="1">
        <f t="array" aca="true" ref="AB3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6" s="733" cm="1">
        <f t="array" aca="true" ref="AC366" ca="true">IFERROR(COUNTIFS(
  unit_details[Property Name], INDIRECT("B"&amp;ROW()),
  unit_details[Floorplan Name], INDIRECT("C"&amp;ROW()),
  unit_details[Beds], INDIRECT("D"&amp;ROW()),
  unit_details[Detected Unit Amenities], "*"&amp;$AB$3&amp;"*",
  unit_details[Leased Date], "&gt;=" &amp; ($X$2 - $AD$3)
),0)</f>
        <v>0</v>
      </c>
      <c r="AD366" s="735" cm="1">
        <f t="array" aca="true" ref="AD366" ca="true">IFERROR(AVERAGEIFS(
  unit_details[Sqft],
  unit_details[Property Name], INDIRECT("B"&amp;ROW()),
  unit_details[Floorplan Name], INDIRECT("C"&amp;ROW()),
  unit_details[Beds], INDIRECT("D"&amp;ROW()),
  unit_details[Detected Unit Amenities], "&lt;&gt;*"&amp;$AB$3&amp;"*",
  unit_details[Leased Date], "&gt;=" &amp; ($X$2 - $AD$3)
),0)</f>
        <v>0</v>
      </c>
      <c r="AE366" s="734" cm="1">
        <f t="array" aca="true" ref="AE3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6" s="733" cm="1">
        <f t="array" aca="true" ref="AF366" ca="true">IFERROR(COUNTIFS(
  unit_details[Property Name], INDIRECT("B"&amp;ROW()),
  unit_details[Floorplan Name], INDIRECT("C"&amp;ROW()),
  unit_details[Beds], INDIRECT("D"&amp;ROW()),
  unit_details[Detected Unit Amenities], "&lt;&gt;*"&amp;$AB$3&amp;"*",
  unit_details[Leased Date], "&gt;=" &amp; ($X$2 - $AD$3)
),0)</f>
        <v>0</v>
      </c>
      <c r="AG366" s="735"/>
      <c r="AH366" s="738">
        <f t="shared" ca="true" si="12"/>
        <v>0</v>
      </c>
      <c r="AI366" s="739">
        <f t="shared" ca="true" si="13"/>
        <v>0</v>
      </c>
    </row>
    <row r="367" spans="10:35">
      <c r="J367" s="345"/>
      <c r="N367" s="738" t="str" cm="1">
        <f t="array" aca="true" ref="N367" ca="true">IFERROR(IF($O$3="Chunk Rent",
AVERAGEIFS('Unit-Level Data'!$O:$O,'Unit-Level Data'!$M:$M,TRUE,
          'Unit-Level Data'!$D:$D, INDIRECT("C"&amp;ROW()),
          'Unit-Level Data'!$B:$B, INDIRECT("B"&amp;ROW())),
AVERAGEIFS('Unit-Level Data'!$P:$P,'Unit-Level Data'!$M:$M,TRUE,
          'Unit-Level Data'!$D:$D, INDIRECT("C"&amp;ROW()),
          'Unit-Level Data'!$B:$B, INDIRECT("B"&amp;ROW()))),"")</f>
      </c>
      <c r="O367" s="760" t="str" cm="1">
        <f t="array" aca="true" ref="O367" ca="true">IFERROR(IF($O$3="Chunk Rent",
AVERAGEIFS('Unit-Level Data'!$Q:$Q,'Unit-Level Data'!$M:$M,TRUE,
          'Unit-Level Data'!$D:$D, INDIRECT("C"&amp;ROW()),
          'Unit-Level Data'!$B:$B, INDIRECT("B"&amp;ROW())),
AVERAGEIFS('Unit-Level Data'!$R:$R,'Unit-Level Data'!$M:$M,TRUE,
          'Unit-Level Data'!$D:$D, INDIRECT("C"&amp;ROW()),
          'Unit-Level Data'!$B:$B, INDIRECT("B"&amp;ROW()))),"")</f>
      </c>
      <c r="P367" s="733" cm="1">
        <f t="array" aca="true" ref="P367" ca="true">COUNTIFS('Unit-Level Data'!$M:$M,TRUE,
          'Unit-Level Data'!$D:$D, INDIRECT("C"&amp;ROW()),
          'Unit-Level Data'!$B:$B, INDIRECT("B"&amp;ROW()))</f>
        <v>0</v>
      </c>
      <c r="Q367" s="738" t="str" cm="1">
        <f t="array" aca="true" ref="Q3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7" s="760" t="str" cm="1">
        <f t="array" aca="true" ref="R3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7" s="733" cm="1">
        <f t="array" aca="true" ref="S367" ca="true">COUNTIFS('Unit-Level Data'!$L:$L, "&gt;=" &amp; ($X$2 - Q$5),
          'Unit-Level Data'!$L:$L, "&lt;" &amp; $X$2,
          'Unit-Level Data'!$D:$D, INDIRECT("C"&amp;ROW()),
          'Unit-Level Data'!$B:$B, INDIRECT("B"&amp;ROW()))</f>
        <v>0</v>
      </c>
      <c r="T367" s="738" t="str" cm="1">
        <f t="array" aca="true" ref="T3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7" s="760" t="str" cm="1">
        <f t="array" aca="true" ref="U3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7" s="733" cm="1">
        <f t="array" aca="true" ref="V367" ca="true">COUNTIFS('Unit-Level Data'!$L:$L, "&gt;=" &amp; ($X$2 - T$5),
          'Unit-Level Data'!$L:$L, "&lt;" &amp; $X$2,
          'Unit-Level Data'!$D:$D, INDIRECT("C"&amp;ROW()),
          'Unit-Level Data'!$B:$B, INDIRECT("B"&amp;ROW()))</f>
        <v>0</v>
      </c>
      <c r="W367" s="738" t="str" cm="1">
        <f t="array" aca="true" ref="W3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7" s="760" t="str" cm="1">
        <f t="array" aca="true" ref="X3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7" s="733" cm="1">
        <f t="array" aca="true" ref="Y367" ca="true">COUNTIFS('Unit-Level Data'!$L:$L, "&gt;=" &amp; ($X$2 - W$5),
          'Unit-Level Data'!$L:$L, "&lt;" &amp; $X$2,
          'Unit-Level Data'!$D:$D, INDIRECT("C"&amp;ROW()),
          'Unit-Level Data'!$B:$B, INDIRECT("B"&amp;ROW()))</f>
        <v>0</v>
      </c>
      <c r="Z367" s="761"/>
      <c r="AA367" s="735" cm="1">
        <f t="array" aca="true" ref="AA367" ca="true">IFERROR(AVERAGEIFS(
  unit_details[Sqft],
  unit_details[Property Name], INDIRECT("B"&amp;ROW()),
  unit_details[Floorplan Name], INDIRECT("C"&amp;ROW()),
  unit_details[Beds], INDIRECT("D"&amp;ROW()),
  unit_details[Detected Unit Amenities], "*"&amp;$AB$3&amp;"*",
  unit_details[Leased Date], "&gt;=" &amp; ($X$2 - $AD$3)
),0)</f>
        <v>0</v>
      </c>
      <c r="AB367" s="734" cm="1">
        <f t="array" aca="true" ref="AB3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7" s="733" cm="1">
        <f t="array" aca="true" ref="AC367" ca="true">IFERROR(COUNTIFS(
  unit_details[Property Name], INDIRECT("B"&amp;ROW()),
  unit_details[Floorplan Name], INDIRECT("C"&amp;ROW()),
  unit_details[Beds], INDIRECT("D"&amp;ROW()),
  unit_details[Detected Unit Amenities], "*"&amp;$AB$3&amp;"*",
  unit_details[Leased Date], "&gt;=" &amp; ($X$2 - $AD$3)
),0)</f>
        <v>0</v>
      </c>
      <c r="AD367" s="735" cm="1">
        <f t="array" aca="true" ref="AD367" ca="true">IFERROR(AVERAGEIFS(
  unit_details[Sqft],
  unit_details[Property Name], INDIRECT("B"&amp;ROW()),
  unit_details[Floorplan Name], INDIRECT("C"&amp;ROW()),
  unit_details[Beds], INDIRECT("D"&amp;ROW()),
  unit_details[Detected Unit Amenities], "&lt;&gt;*"&amp;$AB$3&amp;"*",
  unit_details[Leased Date], "&gt;=" &amp; ($X$2 - $AD$3)
),0)</f>
        <v>0</v>
      </c>
      <c r="AE367" s="734" cm="1">
        <f t="array" aca="true" ref="AE3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7" s="733" cm="1">
        <f t="array" aca="true" ref="AF367" ca="true">IFERROR(COUNTIFS(
  unit_details[Property Name], INDIRECT("B"&amp;ROW()),
  unit_details[Floorplan Name], INDIRECT("C"&amp;ROW()),
  unit_details[Beds], INDIRECT("D"&amp;ROW()),
  unit_details[Detected Unit Amenities], "&lt;&gt;*"&amp;$AB$3&amp;"*",
  unit_details[Leased Date], "&gt;=" &amp; ($X$2 - $AD$3)
),0)</f>
        <v>0</v>
      </c>
      <c r="AG367" s="735"/>
      <c r="AH367" s="738">
        <f t="shared" ca="true" si="12"/>
        <v>0</v>
      </c>
      <c r="AI367" s="739">
        <f t="shared" ca="true" si="13"/>
        <v>0</v>
      </c>
    </row>
    <row r="368" spans="10:35">
      <c r="J368" s="345"/>
      <c r="N368" s="738" t="str" cm="1">
        <f t="array" aca="true" ref="N368" ca="true">IFERROR(IF($O$3="Chunk Rent",
AVERAGEIFS('Unit-Level Data'!$O:$O,'Unit-Level Data'!$M:$M,TRUE,
          'Unit-Level Data'!$D:$D, INDIRECT("C"&amp;ROW()),
          'Unit-Level Data'!$B:$B, INDIRECT("B"&amp;ROW())),
AVERAGEIFS('Unit-Level Data'!$P:$P,'Unit-Level Data'!$M:$M,TRUE,
          'Unit-Level Data'!$D:$D, INDIRECT("C"&amp;ROW()),
          'Unit-Level Data'!$B:$B, INDIRECT("B"&amp;ROW()))),"")</f>
      </c>
      <c r="O368" s="760" t="str" cm="1">
        <f t="array" aca="true" ref="O368" ca="true">IFERROR(IF($O$3="Chunk Rent",
AVERAGEIFS('Unit-Level Data'!$Q:$Q,'Unit-Level Data'!$M:$M,TRUE,
          'Unit-Level Data'!$D:$D, INDIRECT("C"&amp;ROW()),
          'Unit-Level Data'!$B:$B, INDIRECT("B"&amp;ROW())),
AVERAGEIFS('Unit-Level Data'!$R:$R,'Unit-Level Data'!$M:$M,TRUE,
          'Unit-Level Data'!$D:$D, INDIRECT("C"&amp;ROW()),
          'Unit-Level Data'!$B:$B, INDIRECT("B"&amp;ROW()))),"")</f>
      </c>
      <c r="P368" s="733" cm="1">
        <f t="array" aca="true" ref="P368" ca="true">COUNTIFS('Unit-Level Data'!$M:$M,TRUE,
          'Unit-Level Data'!$D:$D, INDIRECT("C"&amp;ROW()),
          'Unit-Level Data'!$B:$B, INDIRECT("B"&amp;ROW()))</f>
        <v>0</v>
      </c>
      <c r="Q368" s="738" t="str" cm="1">
        <f t="array" aca="true" ref="Q3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8" s="760" t="str" cm="1">
        <f t="array" aca="true" ref="R3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8" s="733" cm="1">
        <f t="array" aca="true" ref="S368" ca="true">COUNTIFS('Unit-Level Data'!$L:$L, "&gt;=" &amp; ($X$2 - Q$5),
          'Unit-Level Data'!$L:$L, "&lt;" &amp; $X$2,
          'Unit-Level Data'!$D:$D, INDIRECT("C"&amp;ROW()),
          'Unit-Level Data'!$B:$B, INDIRECT("B"&amp;ROW()))</f>
        <v>0</v>
      </c>
      <c r="T368" s="738" t="str" cm="1">
        <f t="array" aca="true" ref="T3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8" s="760" t="str" cm="1">
        <f t="array" aca="true" ref="U3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8" s="733" cm="1">
        <f t="array" aca="true" ref="V368" ca="true">COUNTIFS('Unit-Level Data'!$L:$L, "&gt;=" &amp; ($X$2 - T$5),
          'Unit-Level Data'!$L:$L, "&lt;" &amp; $X$2,
          'Unit-Level Data'!$D:$D, INDIRECT("C"&amp;ROW()),
          'Unit-Level Data'!$B:$B, INDIRECT("B"&amp;ROW()))</f>
        <v>0</v>
      </c>
      <c r="W368" s="738" t="str" cm="1">
        <f t="array" aca="true" ref="W3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8" s="760" t="str" cm="1">
        <f t="array" aca="true" ref="X3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8" s="733" cm="1">
        <f t="array" aca="true" ref="Y368" ca="true">COUNTIFS('Unit-Level Data'!$L:$L, "&gt;=" &amp; ($X$2 - W$5),
          'Unit-Level Data'!$L:$L, "&lt;" &amp; $X$2,
          'Unit-Level Data'!$D:$D, INDIRECT("C"&amp;ROW()),
          'Unit-Level Data'!$B:$B, INDIRECT("B"&amp;ROW()))</f>
        <v>0</v>
      </c>
      <c r="Z368" s="761"/>
      <c r="AA368" s="735" cm="1">
        <f t="array" aca="true" ref="AA368" ca="true">IFERROR(AVERAGEIFS(
  unit_details[Sqft],
  unit_details[Property Name], INDIRECT("B"&amp;ROW()),
  unit_details[Floorplan Name], INDIRECT("C"&amp;ROW()),
  unit_details[Beds], INDIRECT("D"&amp;ROW()),
  unit_details[Detected Unit Amenities], "*"&amp;$AB$3&amp;"*",
  unit_details[Leased Date], "&gt;=" &amp; ($X$2 - $AD$3)
),0)</f>
        <v>0</v>
      </c>
      <c r="AB368" s="734" cm="1">
        <f t="array" aca="true" ref="AB3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8" s="733" cm="1">
        <f t="array" aca="true" ref="AC368" ca="true">IFERROR(COUNTIFS(
  unit_details[Property Name], INDIRECT("B"&amp;ROW()),
  unit_details[Floorplan Name], INDIRECT("C"&amp;ROW()),
  unit_details[Beds], INDIRECT("D"&amp;ROW()),
  unit_details[Detected Unit Amenities], "*"&amp;$AB$3&amp;"*",
  unit_details[Leased Date], "&gt;=" &amp; ($X$2 - $AD$3)
),0)</f>
        <v>0</v>
      </c>
      <c r="AD368" s="735" cm="1">
        <f t="array" aca="true" ref="AD368" ca="true">IFERROR(AVERAGEIFS(
  unit_details[Sqft],
  unit_details[Property Name], INDIRECT("B"&amp;ROW()),
  unit_details[Floorplan Name], INDIRECT("C"&amp;ROW()),
  unit_details[Beds], INDIRECT("D"&amp;ROW()),
  unit_details[Detected Unit Amenities], "&lt;&gt;*"&amp;$AB$3&amp;"*",
  unit_details[Leased Date], "&gt;=" &amp; ($X$2 - $AD$3)
),0)</f>
        <v>0</v>
      </c>
      <c r="AE368" s="734" cm="1">
        <f t="array" aca="true" ref="AE3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8" s="733" cm="1">
        <f t="array" aca="true" ref="AF368" ca="true">IFERROR(COUNTIFS(
  unit_details[Property Name], INDIRECT("B"&amp;ROW()),
  unit_details[Floorplan Name], INDIRECT("C"&amp;ROW()),
  unit_details[Beds], INDIRECT("D"&amp;ROW()),
  unit_details[Detected Unit Amenities], "&lt;&gt;*"&amp;$AB$3&amp;"*",
  unit_details[Leased Date], "&gt;=" &amp; ($X$2 - $AD$3)
),0)</f>
        <v>0</v>
      </c>
      <c r="AG368" s="735"/>
      <c r="AH368" s="738">
        <f t="shared" ca="true" si="12"/>
        <v>0</v>
      </c>
      <c r="AI368" s="739">
        <f t="shared" ca="true" si="13"/>
        <v>0</v>
      </c>
    </row>
    <row r="369" spans="10:35">
      <c r="J369" s="345"/>
      <c r="N369" s="738" t="str" cm="1">
        <f t="array" aca="true" ref="N369" ca="true">IFERROR(IF($O$3="Chunk Rent",
AVERAGEIFS('Unit-Level Data'!$O:$O,'Unit-Level Data'!$M:$M,TRUE,
          'Unit-Level Data'!$D:$D, INDIRECT("C"&amp;ROW()),
          'Unit-Level Data'!$B:$B, INDIRECT("B"&amp;ROW())),
AVERAGEIFS('Unit-Level Data'!$P:$P,'Unit-Level Data'!$M:$M,TRUE,
          'Unit-Level Data'!$D:$D, INDIRECT("C"&amp;ROW()),
          'Unit-Level Data'!$B:$B, INDIRECT("B"&amp;ROW()))),"")</f>
      </c>
      <c r="O369" s="760" t="str" cm="1">
        <f t="array" aca="true" ref="O369" ca="true">IFERROR(IF($O$3="Chunk Rent",
AVERAGEIFS('Unit-Level Data'!$Q:$Q,'Unit-Level Data'!$M:$M,TRUE,
          'Unit-Level Data'!$D:$D, INDIRECT("C"&amp;ROW()),
          'Unit-Level Data'!$B:$B, INDIRECT("B"&amp;ROW())),
AVERAGEIFS('Unit-Level Data'!$R:$R,'Unit-Level Data'!$M:$M,TRUE,
          'Unit-Level Data'!$D:$D, INDIRECT("C"&amp;ROW()),
          'Unit-Level Data'!$B:$B, INDIRECT("B"&amp;ROW()))),"")</f>
      </c>
      <c r="P369" s="733" cm="1">
        <f t="array" aca="true" ref="P369" ca="true">COUNTIFS('Unit-Level Data'!$M:$M,TRUE,
          'Unit-Level Data'!$D:$D, INDIRECT("C"&amp;ROW()),
          'Unit-Level Data'!$B:$B, INDIRECT("B"&amp;ROW()))</f>
        <v>0</v>
      </c>
      <c r="Q369" s="738" t="str" cm="1">
        <f t="array" aca="true" ref="Q3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9" s="760" t="str" cm="1">
        <f t="array" aca="true" ref="R3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9" s="733" cm="1">
        <f t="array" aca="true" ref="S369" ca="true">COUNTIFS('Unit-Level Data'!$L:$L, "&gt;=" &amp; ($X$2 - Q$5),
          'Unit-Level Data'!$L:$L, "&lt;" &amp; $X$2,
          'Unit-Level Data'!$D:$D, INDIRECT("C"&amp;ROW()),
          'Unit-Level Data'!$B:$B, INDIRECT("B"&amp;ROW()))</f>
        <v>0</v>
      </c>
      <c r="T369" s="738" t="str" cm="1">
        <f t="array" aca="true" ref="T3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9" s="760" t="str" cm="1">
        <f t="array" aca="true" ref="U3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9" s="733" cm="1">
        <f t="array" aca="true" ref="V369" ca="true">COUNTIFS('Unit-Level Data'!$L:$L, "&gt;=" &amp; ($X$2 - T$5),
          'Unit-Level Data'!$L:$L, "&lt;" &amp; $X$2,
          'Unit-Level Data'!$D:$D, INDIRECT("C"&amp;ROW()),
          'Unit-Level Data'!$B:$B, INDIRECT("B"&amp;ROW()))</f>
        <v>0</v>
      </c>
      <c r="W369" s="738" t="str" cm="1">
        <f t="array" aca="true" ref="W3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9" s="760" t="str" cm="1">
        <f t="array" aca="true" ref="X3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9" s="733" cm="1">
        <f t="array" aca="true" ref="Y369" ca="true">COUNTIFS('Unit-Level Data'!$L:$L, "&gt;=" &amp; ($X$2 - W$5),
          'Unit-Level Data'!$L:$L, "&lt;" &amp; $X$2,
          'Unit-Level Data'!$D:$D, INDIRECT("C"&amp;ROW()),
          'Unit-Level Data'!$B:$B, INDIRECT("B"&amp;ROW()))</f>
        <v>0</v>
      </c>
      <c r="Z369" s="761"/>
      <c r="AA369" s="735" cm="1">
        <f t="array" aca="true" ref="AA369" ca="true">IFERROR(AVERAGEIFS(
  unit_details[Sqft],
  unit_details[Property Name], INDIRECT("B"&amp;ROW()),
  unit_details[Floorplan Name], INDIRECT("C"&amp;ROW()),
  unit_details[Beds], INDIRECT("D"&amp;ROW()),
  unit_details[Detected Unit Amenities], "*"&amp;$AB$3&amp;"*",
  unit_details[Leased Date], "&gt;=" &amp; ($X$2 - $AD$3)
),0)</f>
        <v>0</v>
      </c>
      <c r="AB369" s="734" cm="1">
        <f t="array" aca="true" ref="AB3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9" s="733" cm="1">
        <f t="array" aca="true" ref="AC369" ca="true">IFERROR(COUNTIFS(
  unit_details[Property Name], INDIRECT("B"&amp;ROW()),
  unit_details[Floorplan Name], INDIRECT("C"&amp;ROW()),
  unit_details[Beds], INDIRECT("D"&amp;ROW()),
  unit_details[Detected Unit Amenities], "*"&amp;$AB$3&amp;"*",
  unit_details[Leased Date], "&gt;=" &amp; ($X$2 - $AD$3)
),0)</f>
        <v>0</v>
      </c>
      <c r="AD369" s="735" cm="1">
        <f t="array" aca="true" ref="AD369" ca="true">IFERROR(AVERAGEIFS(
  unit_details[Sqft],
  unit_details[Property Name], INDIRECT("B"&amp;ROW()),
  unit_details[Floorplan Name], INDIRECT("C"&amp;ROW()),
  unit_details[Beds], INDIRECT("D"&amp;ROW()),
  unit_details[Detected Unit Amenities], "&lt;&gt;*"&amp;$AB$3&amp;"*",
  unit_details[Leased Date], "&gt;=" &amp; ($X$2 - $AD$3)
),0)</f>
        <v>0</v>
      </c>
      <c r="AE369" s="734" cm="1">
        <f t="array" aca="true" ref="AE3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9" s="733" cm="1">
        <f t="array" aca="true" ref="AF369" ca="true">IFERROR(COUNTIFS(
  unit_details[Property Name], INDIRECT("B"&amp;ROW()),
  unit_details[Floorplan Name], INDIRECT("C"&amp;ROW()),
  unit_details[Beds], INDIRECT("D"&amp;ROW()),
  unit_details[Detected Unit Amenities], "&lt;&gt;*"&amp;$AB$3&amp;"*",
  unit_details[Leased Date], "&gt;=" &amp; ($X$2 - $AD$3)
),0)</f>
        <v>0</v>
      </c>
      <c r="AG369" s="735"/>
      <c r="AH369" s="738">
        <f t="shared" ca="true" si="12"/>
        <v>0</v>
      </c>
      <c r="AI369" s="739">
        <f t="shared" ca="true" si="13"/>
        <v>0</v>
      </c>
    </row>
    <row r="370" spans="10:35">
      <c r="J370" s="345"/>
      <c r="N370" s="738" t="str" cm="1">
        <f t="array" aca="true" ref="N370" ca="true">IFERROR(IF($O$3="Chunk Rent",
AVERAGEIFS('Unit-Level Data'!$O:$O,'Unit-Level Data'!$M:$M,TRUE,
          'Unit-Level Data'!$D:$D, INDIRECT("C"&amp;ROW()),
          'Unit-Level Data'!$B:$B, INDIRECT("B"&amp;ROW())),
AVERAGEIFS('Unit-Level Data'!$P:$P,'Unit-Level Data'!$M:$M,TRUE,
          'Unit-Level Data'!$D:$D, INDIRECT("C"&amp;ROW()),
          'Unit-Level Data'!$B:$B, INDIRECT("B"&amp;ROW()))),"")</f>
      </c>
      <c r="O370" s="760" t="str" cm="1">
        <f t="array" aca="true" ref="O370" ca="true">IFERROR(IF($O$3="Chunk Rent",
AVERAGEIFS('Unit-Level Data'!$Q:$Q,'Unit-Level Data'!$M:$M,TRUE,
          'Unit-Level Data'!$D:$D, INDIRECT("C"&amp;ROW()),
          'Unit-Level Data'!$B:$B, INDIRECT("B"&amp;ROW())),
AVERAGEIFS('Unit-Level Data'!$R:$R,'Unit-Level Data'!$M:$M,TRUE,
          'Unit-Level Data'!$D:$D, INDIRECT("C"&amp;ROW()),
          'Unit-Level Data'!$B:$B, INDIRECT("B"&amp;ROW()))),"")</f>
      </c>
      <c r="P370" s="733" cm="1">
        <f t="array" aca="true" ref="P370" ca="true">COUNTIFS('Unit-Level Data'!$M:$M,TRUE,
          'Unit-Level Data'!$D:$D, INDIRECT("C"&amp;ROW()),
          'Unit-Level Data'!$B:$B, INDIRECT("B"&amp;ROW()))</f>
        <v>0</v>
      </c>
      <c r="Q370" s="738" t="str" cm="1">
        <f t="array" aca="true" ref="Q3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0" s="760" t="str" cm="1">
        <f t="array" aca="true" ref="R3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0" s="733" cm="1">
        <f t="array" aca="true" ref="S370" ca="true">COUNTIFS('Unit-Level Data'!$L:$L, "&gt;=" &amp; ($X$2 - Q$5),
          'Unit-Level Data'!$L:$L, "&lt;" &amp; $X$2,
          'Unit-Level Data'!$D:$D, INDIRECT("C"&amp;ROW()),
          'Unit-Level Data'!$B:$B, INDIRECT("B"&amp;ROW()))</f>
        <v>0</v>
      </c>
      <c r="T370" s="738" t="str" cm="1">
        <f t="array" aca="true" ref="T3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0" s="760" t="str" cm="1">
        <f t="array" aca="true" ref="U3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0" s="733" cm="1">
        <f t="array" aca="true" ref="V370" ca="true">COUNTIFS('Unit-Level Data'!$L:$L, "&gt;=" &amp; ($X$2 - T$5),
          'Unit-Level Data'!$L:$L, "&lt;" &amp; $X$2,
          'Unit-Level Data'!$D:$D, INDIRECT("C"&amp;ROW()),
          'Unit-Level Data'!$B:$B, INDIRECT("B"&amp;ROW()))</f>
        <v>0</v>
      </c>
      <c r="W370" s="738" t="str" cm="1">
        <f t="array" aca="true" ref="W3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0" s="760" t="str" cm="1">
        <f t="array" aca="true" ref="X3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0" s="733" cm="1">
        <f t="array" aca="true" ref="Y370" ca="true">COUNTIFS('Unit-Level Data'!$L:$L, "&gt;=" &amp; ($X$2 - W$5),
          'Unit-Level Data'!$L:$L, "&lt;" &amp; $X$2,
          'Unit-Level Data'!$D:$D, INDIRECT("C"&amp;ROW()),
          'Unit-Level Data'!$B:$B, INDIRECT("B"&amp;ROW()))</f>
        <v>0</v>
      </c>
      <c r="Z370" s="761"/>
      <c r="AA370" s="735" cm="1">
        <f t="array" aca="true" ref="AA370" ca="true">IFERROR(AVERAGEIFS(
  unit_details[Sqft],
  unit_details[Property Name], INDIRECT("B"&amp;ROW()),
  unit_details[Floorplan Name], INDIRECT("C"&amp;ROW()),
  unit_details[Beds], INDIRECT("D"&amp;ROW()),
  unit_details[Detected Unit Amenities], "*"&amp;$AB$3&amp;"*",
  unit_details[Leased Date], "&gt;=" &amp; ($X$2 - $AD$3)
),0)</f>
        <v>0</v>
      </c>
      <c r="AB370" s="734" cm="1">
        <f t="array" aca="true" ref="AB3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0" s="733" cm="1">
        <f t="array" aca="true" ref="AC370" ca="true">IFERROR(COUNTIFS(
  unit_details[Property Name], INDIRECT("B"&amp;ROW()),
  unit_details[Floorplan Name], INDIRECT("C"&amp;ROW()),
  unit_details[Beds], INDIRECT("D"&amp;ROW()),
  unit_details[Detected Unit Amenities], "*"&amp;$AB$3&amp;"*",
  unit_details[Leased Date], "&gt;=" &amp; ($X$2 - $AD$3)
),0)</f>
        <v>0</v>
      </c>
      <c r="AD370" s="735" cm="1">
        <f t="array" aca="true" ref="AD370" ca="true">IFERROR(AVERAGEIFS(
  unit_details[Sqft],
  unit_details[Property Name], INDIRECT("B"&amp;ROW()),
  unit_details[Floorplan Name], INDIRECT("C"&amp;ROW()),
  unit_details[Beds], INDIRECT("D"&amp;ROW()),
  unit_details[Detected Unit Amenities], "&lt;&gt;*"&amp;$AB$3&amp;"*",
  unit_details[Leased Date], "&gt;=" &amp; ($X$2 - $AD$3)
),0)</f>
        <v>0</v>
      </c>
      <c r="AE370" s="734" cm="1">
        <f t="array" aca="true" ref="AE3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0" s="733" cm="1">
        <f t="array" aca="true" ref="AF370" ca="true">IFERROR(COUNTIFS(
  unit_details[Property Name], INDIRECT("B"&amp;ROW()),
  unit_details[Floorplan Name], INDIRECT("C"&amp;ROW()),
  unit_details[Beds], INDIRECT("D"&amp;ROW()),
  unit_details[Detected Unit Amenities], "&lt;&gt;*"&amp;$AB$3&amp;"*",
  unit_details[Leased Date], "&gt;=" &amp; ($X$2 - $AD$3)
),0)</f>
        <v>0</v>
      </c>
      <c r="AG370" s="735"/>
      <c r="AH370" s="738">
        <f t="shared" ca="true" si="12"/>
        <v>0</v>
      </c>
      <c r="AI370" s="739">
        <f t="shared" ca="true" si="13"/>
        <v>0</v>
      </c>
    </row>
    <row r="371" spans="10:35">
      <c r="J371" s="345"/>
      <c r="N371" s="738" t="str" cm="1">
        <f t="array" aca="true" ref="N371" ca="true">IFERROR(IF($O$3="Chunk Rent",
AVERAGEIFS('Unit-Level Data'!$O:$O,'Unit-Level Data'!$M:$M,TRUE,
          'Unit-Level Data'!$D:$D, INDIRECT("C"&amp;ROW()),
          'Unit-Level Data'!$B:$B, INDIRECT("B"&amp;ROW())),
AVERAGEIFS('Unit-Level Data'!$P:$P,'Unit-Level Data'!$M:$M,TRUE,
          'Unit-Level Data'!$D:$D, INDIRECT("C"&amp;ROW()),
          'Unit-Level Data'!$B:$B, INDIRECT("B"&amp;ROW()))),"")</f>
      </c>
      <c r="O371" s="760" t="str" cm="1">
        <f t="array" aca="true" ref="O371" ca="true">IFERROR(IF($O$3="Chunk Rent",
AVERAGEIFS('Unit-Level Data'!$Q:$Q,'Unit-Level Data'!$M:$M,TRUE,
          'Unit-Level Data'!$D:$D, INDIRECT("C"&amp;ROW()),
          'Unit-Level Data'!$B:$B, INDIRECT("B"&amp;ROW())),
AVERAGEIFS('Unit-Level Data'!$R:$R,'Unit-Level Data'!$M:$M,TRUE,
          'Unit-Level Data'!$D:$D, INDIRECT("C"&amp;ROW()),
          'Unit-Level Data'!$B:$B, INDIRECT("B"&amp;ROW()))),"")</f>
      </c>
      <c r="P371" s="733" cm="1">
        <f t="array" aca="true" ref="P371" ca="true">COUNTIFS('Unit-Level Data'!$M:$M,TRUE,
          'Unit-Level Data'!$D:$D, INDIRECT("C"&amp;ROW()),
          'Unit-Level Data'!$B:$B, INDIRECT("B"&amp;ROW()))</f>
        <v>0</v>
      </c>
      <c r="Q371" s="738" t="str" cm="1">
        <f t="array" aca="true" ref="Q3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1" s="760" t="str" cm="1">
        <f t="array" aca="true" ref="R3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1" s="733" cm="1">
        <f t="array" aca="true" ref="S371" ca="true">COUNTIFS('Unit-Level Data'!$L:$L, "&gt;=" &amp; ($X$2 - Q$5),
          'Unit-Level Data'!$L:$L, "&lt;" &amp; $X$2,
          'Unit-Level Data'!$D:$D, INDIRECT("C"&amp;ROW()),
          'Unit-Level Data'!$B:$B, INDIRECT("B"&amp;ROW()))</f>
        <v>0</v>
      </c>
      <c r="T371" s="738" t="str" cm="1">
        <f t="array" aca="true" ref="T3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1" s="760" t="str" cm="1">
        <f t="array" aca="true" ref="U3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1" s="733" cm="1">
        <f t="array" aca="true" ref="V371" ca="true">COUNTIFS('Unit-Level Data'!$L:$L, "&gt;=" &amp; ($X$2 - T$5),
          'Unit-Level Data'!$L:$L, "&lt;" &amp; $X$2,
          'Unit-Level Data'!$D:$D, INDIRECT("C"&amp;ROW()),
          'Unit-Level Data'!$B:$B, INDIRECT("B"&amp;ROW()))</f>
        <v>0</v>
      </c>
      <c r="W371" s="738" t="str" cm="1">
        <f t="array" aca="true" ref="W3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1" s="760" t="str" cm="1">
        <f t="array" aca="true" ref="X3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1" s="733" cm="1">
        <f t="array" aca="true" ref="Y371" ca="true">COUNTIFS('Unit-Level Data'!$L:$L, "&gt;=" &amp; ($X$2 - W$5),
          'Unit-Level Data'!$L:$L, "&lt;" &amp; $X$2,
          'Unit-Level Data'!$D:$D, INDIRECT("C"&amp;ROW()),
          'Unit-Level Data'!$B:$B, INDIRECT("B"&amp;ROW()))</f>
        <v>0</v>
      </c>
      <c r="Z371" s="761"/>
      <c r="AA371" s="735" cm="1">
        <f t="array" aca="true" ref="AA371" ca="true">IFERROR(AVERAGEIFS(
  unit_details[Sqft],
  unit_details[Property Name], INDIRECT("B"&amp;ROW()),
  unit_details[Floorplan Name], INDIRECT("C"&amp;ROW()),
  unit_details[Beds], INDIRECT("D"&amp;ROW()),
  unit_details[Detected Unit Amenities], "*"&amp;$AB$3&amp;"*",
  unit_details[Leased Date], "&gt;=" &amp; ($X$2 - $AD$3)
),0)</f>
        <v>0</v>
      </c>
      <c r="AB371" s="734" cm="1">
        <f t="array" aca="true" ref="AB3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1" s="733" cm="1">
        <f t="array" aca="true" ref="AC371" ca="true">IFERROR(COUNTIFS(
  unit_details[Property Name], INDIRECT("B"&amp;ROW()),
  unit_details[Floorplan Name], INDIRECT("C"&amp;ROW()),
  unit_details[Beds], INDIRECT("D"&amp;ROW()),
  unit_details[Detected Unit Amenities], "*"&amp;$AB$3&amp;"*",
  unit_details[Leased Date], "&gt;=" &amp; ($X$2 - $AD$3)
),0)</f>
        <v>0</v>
      </c>
      <c r="AD371" s="735" cm="1">
        <f t="array" aca="true" ref="AD371" ca="true">IFERROR(AVERAGEIFS(
  unit_details[Sqft],
  unit_details[Property Name], INDIRECT("B"&amp;ROW()),
  unit_details[Floorplan Name], INDIRECT("C"&amp;ROW()),
  unit_details[Beds], INDIRECT("D"&amp;ROW()),
  unit_details[Detected Unit Amenities], "&lt;&gt;*"&amp;$AB$3&amp;"*",
  unit_details[Leased Date], "&gt;=" &amp; ($X$2 - $AD$3)
),0)</f>
        <v>0</v>
      </c>
      <c r="AE371" s="734" cm="1">
        <f t="array" aca="true" ref="AE3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1" s="733" cm="1">
        <f t="array" aca="true" ref="AF371" ca="true">IFERROR(COUNTIFS(
  unit_details[Property Name], INDIRECT("B"&amp;ROW()),
  unit_details[Floorplan Name], INDIRECT("C"&amp;ROW()),
  unit_details[Beds], INDIRECT("D"&amp;ROW()),
  unit_details[Detected Unit Amenities], "&lt;&gt;*"&amp;$AB$3&amp;"*",
  unit_details[Leased Date], "&gt;=" &amp; ($X$2 - $AD$3)
),0)</f>
        <v>0</v>
      </c>
      <c r="AG371" s="735"/>
      <c r="AH371" s="738">
        <f t="shared" ca="true" si="12"/>
        <v>0</v>
      </c>
      <c r="AI371" s="739">
        <f t="shared" ca="true" si="13"/>
        <v>0</v>
      </c>
    </row>
    <row r="372" spans="10:35">
      <c r="J372" s="345"/>
      <c r="N372" s="738" t="str" cm="1">
        <f t="array" aca="true" ref="N372" ca="true">IFERROR(IF($O$3="Chunk Rent",
AVERAGEIFS('Unit-Level Data'!$O:$O,'Unit-Level Data'!$M:$M,TRUE,
          'Unit-Level Data'!$D:$D, INDIRECT("C"&amp;ROW()),
          'Unit-Level Data'!$B:$B, INDIRECT("B"&amp;ROW())),
AVERAGEIFS('Unit-Level Data'!$P:$P,'Unit-Level Data'!$M:$M,TRUE,
          'Unit-Level Data'!$D:$D, INDIRECT("C"&amp;ROW()),
          'Unit-Level Data'!$B:$B, INDIRECT("B"&amp;ROW()))),"")</f>
      </c>
      <c r="O372" s="760" t="str" cm="1">
        <f t="array" aca="true" ref="O372" ca="true">IFERROR(IF($O$3="Chunk Rent",
AVERAGEIFS('Unit-Level Data'!$Q:$Q,'Unit-Level Data'!$M:$M,TRUE,
          'Unit-Level Data'!$D:$D, INDIRECT("C"&amp;ROW()),
          'Unit-Level Data'!$B:$B, INDIRECT("B"&amp;ROW())),
AVERAGEIFS('Unit-Level Data'!$R:$R,'Unit-Level Data'!$M:$M,TRUE,
          'Unit-Level Data'!$D:$D, INDIRECT("C"&amp;ROW()),
          'Unit-Level Data'!$B:$B, INDIRECT("B"&amp;ROW()))),"")</f>
      </c>
      <c r="P372" s="733" cm="1">
        <f t="array" aca="true" ref="P372" ca="true">COUNTIFS('Unit-Level Data'!$M:$M,TRUE,
          'Unit-Level Data'!$D:$D, INDIRECT("C"&amp;ROW()),
          'Unit-Level Data'!$B:$B, INDIRECT("B"&amp;ROW()))</f>
        <v>0</v>
      </c>
      <c r="Q372" s="738" t="str" cm="1">
        <f t="array" aca="true" ref="Q3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2" s="760" t="str" cm="1">
        <f t="array" aca="true" ref="R3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2" s="733" cm="1">
        <f t="array" aca="true" ref="S372" ca="true">COUNTIFS('Unit-Level Data'!$L:$L, "&gt;=" &amp; ($X$2 - Q$5),
          'Unit-Level Data'!$L:$L, "&lt;" &amp; $X$2,
          'Unit-Level Data'!$D:$D, INDIRECT("C"&amp;ROW()),
          'Unit-Level Data'!$B:$B, INDIRECT("B"&amp;ROW()))</f>
        <v>0</v>
      </c>
      <c r="T372" s="738" t="str" cm="1">
        <f t="array" aca="true" ref="T3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2" s="760" t="str" cm="1">
        <f t="array" aca="true" ref="U3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2" s="733" cm="1">
        <f t="array" aca="true" ref="V372" ca="true">COUNTIFS('Unit-Level Data'!$L:$L, "&gt;=" &amp; ($X$2 - T$5),
          'Unit-Level Data'!$L:$L, "&lt;" &amp; $X$2,
          'Unit-Level Data'!$D:$D, INDIRECT("C"&amp;ROW()),
          'Unit-Level Data'!$B:$B, INDIRECT("B"&amp;ROW()))</f>
        <v>0</v>
      </c>
      <c r="W372" s="738" t="str" cm="1">
        <f t="array" aca="true" ref="W3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2" s="760" t="str" cm="1">
        <f t="array" aca="true" ref="X3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2" s="733" cm="1">
        <f t="array" aca="true" ref="Y372" ca="true">COUNTIFS('Unit-Level Data'!$L:$L, "&gt;=" &amp; ($X$2 - W$5),
          'Unit-Level Data'!$L:$L, "&lt;" &amp; $X$2,
          'Unit-Level Data'!$D:$D, INDIRECT("C"&amp;ROW()),
          'Unit-Level Data'!$B:$B, INDIRECT("B"&amp;ROW()))</f>
        <v>0</v>
      </c>
      <c r="Z372" s="761"/>
      <c r="AA372" s="735" cm="1">
        <f t="array" aca="true" ref="AA372" ca="true">IFERROR(AVERAGEIFS(
  unit_details[Sqft],
  unit_details[Property Name], INDIRECT("B"&amp;ROW()),
  unit_details[Floorplan Name], INDIRECT("C"&amp;ROW()),
  unit_details[Beds], INDIRECT("D"&amp;ROW()),
  unit_details[Detected Unit Amenities], "*"&amp;$AB$3&amp;"*",
  unit_details[Leased Date], "&gt;=" &amp; ($X$2 - $AD$3)
),0)</f>
        <v>0</v>
      </c>
      <c r="AB372" s="734" cm="1">
        <f t="array" aca="true" ref="AB3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2" s="733" cm="1">
        <f t="array" aca="true" ref="AC372" ca="true">IFERROR(COUNTIFS(
  unit_details[Property Name], INDIRECT("B"&amp;ROW()),
  unit_details[Floorplan Name], INDIRECT("C"&amp;ROW()),
  unit_details[Beds], INDIRECT("D"&amp;ROW()),
  unit_details[Detected Unit Amenities], "*"&amp;$AB$3&amp;"*",
  unit_details[Leased Date], "&gt;=" &amp; ($X$2 - $AD$3)
),0)</f>
        <v>0</v>
      </c>
      <c r="AD372" s="735" cm="1">
        <f t="array" aca="true" ref="AD372" ca="true">IFERROR(AVERAGEIFS(
  unit_details[Sqft],
  unit_details[Property Name], INDIRECT("B"&amp;ROW()),
  unit_details[Floorplan Name], INDIRECT("C"&amp;ROW()),
  unit_details[Beds], INDIRECT("D"&amp;ROW()),
  unit_details[Detected Unit Amenities], "&lt;&gt;*"&amp;$AB$3&amp;"*",
  unit_details[Leased Date], "&gt;=" &amp; ($X$2 - $AD$3)
),0)</f>
        <v>0</v>
      </c>
      <c r="AE372" s="734" cm="1">
        <f t="array" aca="true" ref="AE3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2" s="733" cm="1">
        <f t="array" aca="true" ref="AF372" ca="true">IFERROR(COUNTIFS(
  unit_details[Property Name], INDIRECT("B"&amp;ROW()),
  unit_details[Floorplan Name], INDIRECT("C"&amp;ROW()),
  unit_details[Beds], INDIRECT("D"&amp;ROW()),
  unit_details[Detected Unit Amenities], "&lt;&gt;*"&amp;$AB$3&amp;"*",
  unit_details[Leased Date], "&gt;=" &amp; ($X$2 - $AD$3)
),0)</f>
        <v>0</v>
      </c>
      <c r="AG372" s="735"/>
      <c r="AH372" s="738">
        <f t="shared" ca="true" si="12"/>
        <v>0</v>
      </c>
      <c r="AI372" s="739">
        <f t="shared" ca="true" si="13"/>
        <v>0</v>
      </c>
    </row>
    <row r="373" spans="10:35">
      <c r="J373" s="345"/>
      <c r="N373" s="738" t="str" cm="1">
        <f t="array" aca="true" ref="N373" ca="true">IFERROR(IF($O$3="Chunk Rent",
AVERAGEIFS('Unit-Level Data'!$O:$O,'Unit-Level Data'!$M:$M,TRUE,
          'Unit-Level Data'!$D:$D, INDIRECT("C"&amp;ROW()),
          'Unit-Level Data'!$B:$B, INDIRECT("B"&amp;ROW())),
AVERAGEIFS('Unit-Level Data'!$P:$P,'Unit-Level Data'!$M:$M,TRUE,
          'Unit-Level Data'!$D:$D, INDIRECT("C"&amp;ROW()),
          'Unit-Level Data'!$B:$B, INDIRECT("B"&amp;ROW()))),"")</f>
      </c>
      <c r="O373" s="760" t="str" cm="1">
        <f t="array" aca="true" ref="O373" ca="true">IFERROR(IF($O$3="Chunk Rent",
AVERAGEIFS('Unit-Level Data'!$Q:$Q,'Unit-Level Data'!$M:$M,TRUE,
          'Unit-Level Data'!$D:$D, INDIRECT("C"&amp;ROW()),
          'Unit-Level Data'!$B:$B, INDIRECT("B"&amp;ROW())),
AVERAGEIFS('Unit-Level Data'!$R:$R,'Unit-Level Data'!$M:$M,TRUE,
          'Unit-Level Data'!$D:$D, INDIRECT("C"&amp;ROW()),
          'Unit-Level Data'!$B:$B, INDIRECT("B"&amp;ROW()))),"")</f>
      </c>
      <c r="P373" s="733" cm="1">
        <f t="array" aca="true" ref="P373" ca="true">COUNTIFS('Unit-Level Data'!$M:$M,TRUE,
          'Unit-Level Data'!$D:$D, INDIRECT("C"&amp;ROW()),
          'Unit-Level Data'!$B:$B, INDIRECT("B"&amp;ROW()))</f>
        <v>0</v>
      </c>
      <c r="Q373" s="738" t="str" cm="1">
        <f t="array" aca="true" ref="Q3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3" s="760" t="str" cm="1">
        <f t="array" aca="true" ref="R3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3" s="733" cm="1">
        <f t="array" aca="true" ref="S373" ca="true">COUNTIFS('Unit-Level Data'!$L:$L, "&gt;=" &amp; ($X$2 - Q$5),
          'Unit-Level Data'!$L:$L, "&lt;" &amp; $X$2,
          'Unit-Level Data'!$D:$D, INDIRECT("C"&amp;ROW()),
          'Unit-Level Data'!$B:$B, INDIRECT("B"&amp;ROW()))</f>
        <v>0</v>
      </c>
      <c r="T373" s="738" t="str" cm="1">
        <f t="array" aca="true" ref="T3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3" s="760" t="str" cm="1">
        <f t="array" aca="true" ref="U3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3" s="733" cm="1">
        <f t="array" aca="true" ref="V373" ca="true">COUNTIFS('Unit-Level Data'!$L:$L, "&gt;=" &amp; ($X$2 - T$5),
          'Unit-Level Data'!$L:$L, "&lt;" &amp; $X$2,
          'Unit-Level Data'!$D:$D, INDIRECT("C"&amp;ROW()),
          'Unit-Level Data'!$B:$B, INDIRECT("B"&amp;ROW()))</f>
        <v>0</v>
      </c>
      <c r="W373" s="738" t="str" cm="1">
        <f t="array" aca="true" ref="W3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3" s="760" t="str" cm="1">
        <f t="array" aca="true" ref="X3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3" s="733" cm="1">
        <f t="array" aca="true" ref="Y373" ca="true">COUNTIFS('Unit-Level Data'!$L:$L, "&gt;=" &amp; ($X$2 - W$5),
          'Unit-Level Data'!$L:$L, "&lt;" &amp; $X$2,
          'Unit-Level Data'!$D:$D, INDIRECT("C"&amp;ROW()),
          'Unit-Level Data'!$B:$B, INDIRECT("B"&amp;ROW()))</f>
        <v>0</v>
      </c>
      <c r="Z373" s="761"/>
      <c r="AA373" s="735" cm="1">
        <f t="array" aca="true" ref="AA373" ca="true">IFERROR(AVERAGEIFS(
  unit_details[Sqft],
  unit_details[Property Name], INDIRECT("B"&amp;ROW()),
  unit_details[Floorplan Name], INDIRECT("C"&amp;ROW()),
  unit_details[Beds], INDIRECT("D"&amp;ROW()),
  unit_details[Detected Unit Amenities], "*"&amp;$AB$3&amp;"*",
  unit_details[Leased Date], "&gt;=" &amp; ($X$2 - $AD$3)
),0)</f>
        <v>0</v>
      </c>
      <c r="AB373" s="734" cm="1">
        <f t="array" aca="true" ref="AB3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3" s="733" cm="1">
        <f t="array" aca="true" ref="AC373" ca="true">IFERROR(COUNTIFS(
  unit_details[Property Name], INDIRECT("B"&amp;ROW()),
  unit_details[Floorplan Name], INDIRECT("C"&amp;ROW()),
  unit_details[Beds], INDIRECT("D"&amp;ROW()),
  unit_details[Detected Unit Amenities], "*"&amp;$AB$3&amp;"*",
  unit_details[Leased Date], "&gt;=" &amp; ($X$2 - $AD$3)
),0)</f>
        <v>0</v>
      </c>
      <c r="AD373" s="735" cm="1">
        <f t="array" aca="true" ref="AD373" ca="true">IFERROR(AVERAGEIFS(
  unit_details[Sqft],
  unit_details[Property Name], INDIRECT("B"&amp;ROW()),
  unit_details[Floorplan Name], INDIRECT("C"&amp;ROW()),
  unit_details[Beds], INDIRECT("D"&amp;ROW()),
  unit_details[Detected Unit Amenities], "&lt;&gt;*"&amp;$AB$3&amp;"*",
  unit_details[Leased Date], "&gt;=" &amp; ($X$2 - $AD$3)
),0)</f>
        <v>0</v>
      </c>
      <c r="AE373" s="734" cm="1">
        <f t="array" aca="true" ref="AE3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3" s="733" cm="1">
        <f t="array" aca="true" ref="AF373" ca="true">IFERROR(COUNTIFS(
  unit_details[Property Name], INDIRECT("B"&amp;ROW()),
  unit_details[Floorplan Name], INDIRECT("C"&amp;ROW()),
  unit_details[Beds], INDIRECT("D"&amp;ROW()),
  unit_details[Detected Unit Amenities], "&lt;&gt;*"&amp;$AB$3&amp;"*",
  unit_details[Leased Date], "&gt;=" &amp; ($X$2 - $AD$3)
),0)</f>
        <v>0</v>
      </c>
      <c r="AG373" s="735"/>
      <c r="AH373" s="738">
        <f t="shared" ca="true" si="12"/>
        <v>0</v>
      </c>
      <c r="AI373" s="739">
        <f t="shared" ca="true" si="13"/>
        <v>0</v>
      </c>
    </row>
    <row r="374" spans="10:35">
      <c r="J374" s="345"/>
      <c r="N374" s="738" t="str" cm="1">
        <f t="array" aca="true" ref="N374" ca="true">IFERROR(IF($O$3="Chunk Rent",
AVERAGEIFS('Unit-Level Data'!$O:$O,'Unit-Level Data'!$M:$M,TRUE,
          'Unit-Level Data'!$D:$D, INDIRECT("C"&amp;ROW()),
          'Unit-Level Data'!$B:$B, INDIRECT("B"&amp;ROW())),
AVERAGEIFS('Unit-Level Data'!$P:$P,'Unit-Level Data'!$M:$M,TRUE,
          'Unit-Level Data'!$D:$D, INDIRECT("C"&amp;ROW()),
          'Unit-Level Data'!$B:$B, INDIRECT("B"&amp;ROW()))),"")</f>
      </c>
      <c r="O374" s="760" t="str" cm="1">
        <f t="array" aca="true" ref="O374" ca="true">IFERROR(IF($O$3="Chunk Rent",
AVERAGEIFS('Unit-Level Data'!$Q:$Q,'Unit-Level Data'!$M:$M,TRUE,
          'Unit-Level Data'!$D:$D, INDIRECT("C"&amp;ROW()),
          'Unit-Level Data'!$B:$B, INDIRECT("B"&amp;ROW())),
AVERAGEIFS('Unit-Level Data'!$R:$R,'Unit-Level Data'!$M:$M,TRUE,
          'Unit-Level Data'!$D:$D, INDIRECT("C"&amp;ROW()),
          'Unit-Level Data'!$B:$B, INDIRECT("B"&amp;ROW()))),"")</f>
      </c>
      <c r="P374" s="733" cm="1">
        <f t="array" aca="true" ref="P374" ca="true">COUNTIFS('Unit-Level Data'!$M:$M,TRUE,
          'Unit-Level Data'!$D:$D, INDIRECT("C"&amp;ROW()),
          'Unit-Level Data'!$B:$B, INDIRECT("B"&amp;ROW()))</f>
        <v>0</v>
      </c>
      <c r="Q374" s="738" t="str" cm="1">
        <f t="array" aca="true" ref="Q3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4" s="760" t="str" cm="1">
        <f t="array" aca="true" ref="R3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4" s="733" cm="1">
        <f t="array" aca="true" ref="S374" ca="true">COUNTIFS('Unit-Level Data'!$L:$L, "&gt;=" &amp; ($X$2 - Q$5),
          'Unit-Level Data'!$L:$L, "&lt;" &amp; $X$2,
          'Unit-Level Data'!$D:$D, INDIRECT("C"&amp;ROW()),
          'Unit-Level Data'!$B:$B, INDIRECT("B"&amp;ROW()))</f>
        <v>0</v>
      </c>
      <c r="T374" s="738" t="str" cm="1">
        <f t="array" aca="true" ref="T3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4" s="760" t="str" cm="1">
        <f t="array" aca="true" ref="U3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4" s="733" cm="1">
        <f t="array" aca="true" ref="V374" ca="true">COUNTIFS('Unit-Level Data'!$L:$L, "&gt;=" &amp; ($X$2 - T$5),
          'Unit-Level Data'!$L:$L, "&lt;" &amp; $X$2,
          'Unit-Level Data'!$D:$D, INDIRECT("C"&amp;ROW()),
          'Unit-Level Data'!$B:$B, INDIRECT("B"&amp;ROW()))</f>
        <v>0</v>
      </c>
      <c r="W374" s="738" t="str" cm="1">
        <f t="array" aca="true" ref="W3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4" s="760" t="str" cm="1">
        <f t="array" aca="true" ref="X3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4" s="733" cm="1">
        <f t="array" aca="true" ref="Y374" ca="true">COUNTIFS('Unit-Level Data'!$L:$L, "&gt;=" &amp; ($X$2 - W$5),
          'Unit-Level Data'!$L:$L, "&lt;" &amp; $X$2,
          'Unit-Level Data'!$D:$D, INDIRECT("C"&amp;ROW()),
          'Unit-Level Data'!$B:$B, INDIRECT("B"&amp;ROW()))</f>
        <v>0</v>
      </c>
      <c r="Z374" s="761"/>
      <c r="AA374" s="735" cm="1">
        <f t="array" aca="true" ref="AA374" ca="true">IFERROR(AVERAGEIFS(
  unit_details[Sqft],
  unit_details[Property Name], INDIRECT("B"&amp;ROW()),
  unit_details[Floorplan Name], INDIRECT("C"&amp;ROW()),
  unit_details[Beds], INDIRECT("D"&amp;ROW()),
  unit_details[Detected Unit Amenities], "*"&amp;$AB$3&amp;"*",
  unit_details[Leased Date], "&gt;=" &amp; ($X$2 - $AD$3)
),0)</f>
        <v>0</v>
      </c>
      <c r="AB374" s="734" cm="1">
        <f t="array" aca="true" ref="AB3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4" s="733" cm="1">
        <f t="array" aca="true" ref="AC374" ca="true">IFERROR(COUNTIFS(
  unit_details[Property Name], INDIRECT("B"&amp;ROW()),
  unit_details[Floorplan Name], INDIRECT("C"&amp;ROW()),
  unit_details[Beds], INDIRECT("D"&amp;ROW()),
  unit_details[Detected Unit Amenities], "*"&amp;$AB$3&amp;"*",
  unit_details[Leased Date], "&gt;=" &amp; ($X$2 - $AD$3)
),0)</f>
        <v>0</v>
      </c>
      <c r="AD374" s="735" cm="1">
        <f t="array" aca="true" ref="AD374" ca="true">IFERROR(AVERAGEIFS(
  unit_details[Sqft],
  unit_details[Property Name], INDIRECT("B"&amp;ROW()),
  unit_details[Floorplan Name], INDIRECT("C"&amp;ROW()),
  unit_details[Beds], INDIRECT("D"&amp;ROW()),
  unit_details[Detected Unit Amenities], "&lt;&gt;*"&amp;$AB$3&amp;"*",
  unit_details[Leased Date], "&gt;=" &amp; ($X$2 - $AD$3)
),0)</f>
        <v>0</v>
      </c>
      <c r="AE374" s="734" cm="1">
        <f t="array" aca="true" ref="AE3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4" s="733" cm="1">
        <f t="array" aca="true" ref="AF374" ca="true">IFERROR(COUNTIFS(
  unit_details[Property Name], INDIRECT("B"&amp;ROW()),
  unit_details[Floorplan Name], INDIRECT("C"&amp;ROW()),
  unit_details[Beds], INDIRECT("D"&amp;ROW()),
  unit_details[Detected Unit Amenities], "&lt;&gt;*"&amp;$AB$3&amp;"*",
  unit_details[Leased Date], "&gt;=" &amp; ($X$2 - $AD$3)
),0)</f>
        <v>0</v>
      </c>
      <c r="AG374" s="735"/>
      <c r="AH374" s="738">
        <f t="shared" ca="true" si="12"/>
        <v>0</v>
      </c>
      <c r="AI374" s="739">
        <f t="shared" ca="true" si="13"/>
        <v>0</v>
      </c>
    </row>
    <row r="375" spans="10:35">
      <c r="J375" s="345"/>
      <c r="N375" s="738" t="str" cm="1">
        <f t="array" aca="true" ref="N375" ca="true">IFERROR(IF($O$3="Chunk Rent",
AVERAGEIFS('Unit-Level Data'!$O:$O,'Unit-Level Data'!$M:$M,TRUE,
          'Unit-Level Data'!$D:$D, INDIRECT("C"&amp;ROW()),
          'Unit-Level Data'!$B:$B, INDIRECT("B"&amp;ROW())),
AVERAGEIFS('Unit-Level Data'!$P:$P,'Unit-Level Data'!$M:$M,TRUE,
          'Unit-Level Data'!$D:$D, INDIRECT("C"&amp;ROW()),
          'Unit-Level Data'!$B:$B, INDIRECT("B"&amp;ROW()))),"")</f>
      </c>
      <c r="O375" s="760" t="str" cm="1">
        <f t="array" aca="true" ref="O375" ca="true">IFERROR(IF($O$3="Chunk Rent",
AVERAGEIFS('Unit-Level Data'!$Q:$Q,'Unit-Level Data'!$M:$M,TRUE,
          'Unit-Level Data'!$D:$D, INDIRECT("C"&amp;ROW()),
          'Unit-Level Data'!$B:$B, INDIRECT("B"&amp;ROW())),
AVERAGEIFS('Unit-Level Data'!$R:$R,'Unit-Level Data'!$M:$M,TRUE,
          'Unit-Level Data'!$D:$D, INDIRECT("C"&amp;ROW()),
          'Unit-Level Data'!$B:$B, INDIRECT("B"&amp;ROW()))),"")</f>
      </c>
      <c r="P375" s="733" cm="1">
        <f t="array" aca="true" ref="P375" ca="true">COUNTIFS('Unit-Level Data'!$M:$M,TRUE,
          'Unit-Level Data'!$D:$D, INDIRECT("C"&amp;ROW()),
          'Unit-Level Data'!$B:$B, INDIRECT("B"&amp;ROW()))</f>
        <v>0</v>
      </c>
      <c r="Q375" s="738" t="str" cm="1">
        <f t="array" aca="true" ref="Q3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5" s="760" t="str" cm="1">
        <f t="array" aca="true" ref="R3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5" s="733" cm="1">
        <f t="array" aca="true" ref="S375" ca="true">COUNTIFS('Unit-Level Data'!$L:$L, "&gt;=" &amp; ($X$2 - Q$5),
          'Unit-Level Data'!$L:$L, "&lt;" &amp; $X$2,
          'Unit-Level Data'!$D:$D, INDIRECT("C"&amp;ROW()),
          'Unit-Level Data'!$B:$B, INDIRECT("B"&amp;ROW()))</f>
        <v>0</v>
      </c>
      <c r="T375" s="738" t="str" cm="1">
        <f t="array" aca="true" ref="T3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5" s="760" t="str" cm="1">
        <f t="array" aca="true" ref="U3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5" s="733" cm="1">
        <f t="array" aca="true" ref="V375" ca="true">COUNTIFS('Unit-Level Data'!$L:$L, "&gt;=" &amp; ($X$2 - T$5),
          'Unit-Level Data'!$L:$L, "&lt;" &amp; $X$2,
          'Unit-Level Data'!$D:$D, INDIRECT("C"&amp;ROW()),
          'Unit-Level Data'!$B:$B, INDIRECT("B"&amp;ROW()))</f>
        <v>0</v>
      </c>
      <c r="W375" s="738" t="str" cm="1">
        <f t="array" aca="true" ref="W3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5" s="760" t="str" cm="1">
        <f t="array" aca="true" ref="X3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5" s="733" cm="1">
        <f t="array" aca="true" ref="Y375" ca="true">COUNTIFS('Unit-Level Data'!$L:$L, "&gt;=" &amp; ($X$2 - W$5),
          'Unit-Level Data'!$L:$L, "&lt;" &amp; $X$2,
          'Unit-Level Data'!$D:$D, INDIRECT("C"&amp;ROW()),
          'Unit-Level Data'!$B:$B, INDIRECT("B"&amp;ROW()))</f>
        <v>0</v>
      </c>
      <c r="Z375" s="761"/>
      <c r="AA375" s="735" cm="1">
        <f t="array" aca="true" ref="AA375" ca="true">IFERROR(AVERAGEIFS(
  unit_details[Sqft],
  unit_details[Property Name], INDIRECT("B"&amp;ROW()),
  unit_details[Floorplan Name], INDIRECT("C"&amp;ROW()),
  unit_details[Beds], INDIRECT("D"&amp;ROW()),
  unit_details[Detected Unit Amenities], "*"&amp;$AB$3&amp;"*",
  unit_details[Leased Date], "&gt;=" &amp; ($X$2 - $AD$3)
),0)</f>
        <v>0</v>
      </c>
      <c r="AB375" s="734" cm="1">
        <f t="array" aca="true" ref="AB3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5" s="733" cm="1">
        <f t="array" aca="true" ref="AC375" ca="true">IFERROR(COUNTIFS(
  unit_details[Property Name], INDIRECT("B"&amp;ROW()),
  unit_details[Floorplan Name], INDIRECT("C"&amp;ROW()),
  unit_details[Beds], INDIRECT("D"&amp;ROW()),
  unit_details[Detected Unit Amenities], "*"&amp;$AB$3&amp;"*",
  unit_details[Leased Date], "&gt;=" &amp; ($X$2 - $AD$3)
),0)</f>
        <v>0</v>
      </c>
      <c r="AD375" s="735" cm="1">
        <f t="array" aca="true" ref="AD375" ca="true">IFERROR(AVERAGEIFS(
  unit_details[Sqft],
  unit_details[Property Name], INDIRECT("B"&amp;ROW()),
  unit_details[Floorplan Name], INDIRECT("C"&amp;ROW()),
  unit_details[Beds], INDIRECT("D"&amp;ROW()),
  unit_details[Detected Unit Amenities], "&lt;&gt;*"&amp;$AB$3&amp;"*",
  unit_details[Leased Date], "&gt;=" &amp; ($X$2 - $AD$3)
),0)</f>
        <v>0</v>
      </c>
      <c r="AE375" s="734" cm="1">
        <f t="array" aca="true" ref="AE3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5" s="733" cm="1">
        <f t="array" aca="true" ref="AF375" ca="true">IFERROR(COUNTIFS(
  unit_details[Property Name], INDIRECT("B"&amp;ROW()),
  unit_details[Floorplan Name], INDIRECT("C"&amp;ROW()),
  unit_details[Beds], INDIRECT("D"&amp;ROW()),
  unit_details[Detected Unit Amenities], "&lt;&gt;*"&amp;$AB$3&amp;"*",
  unit_details[Leased Date], "&gt;=" &amp; ($X$2 - $AD$3)
),0)</f>
        <v>0</v>
      </c>
      <c r="AG375" s="735"/>
      <c r="AH375" s="738">
        <f t="shared" ca="true" si="12"/>
        <v>0</v>
      </c>
      <c r="AI375" s="739">
        <f t="shared" ca="true" si="13"/>
        <v>0</v>
      </c>
    </row>
    <row r="376" spans="10:35">
      <c r="J376" s="345"/>
      <c r="N376" s="738" t="str" cm="1">
        <f t="array" aca="true" ref="N376" ca="true">IFERROR(IF($O$3="Chunk Rent",
AVERAGEIFS('Unit-Level Data'!$O:$O,'Unit-Level Data'!$M:$M,TRUE,
          'Unit-Level Data'!$D:$D, INDIRECT("C"&amp;ROW()),
          'Unit-Level Data'!$B:$B, INDIRECT("B"&amp;ROW())),
AVERAGEIFS('Unit-Level Data'!$P:$P,'Unit-Level Data'!$M:$M,TRUE,
          'Unit-Level Data'!$D:$D, INDIRECT("C"&amp;ROW()),
          'Unit-Level Data'!$B:$B, INDIRECT("B"&amp;ROW()))),"")</f>
      </c>
      <c r="O376" s="760" t="str" cm="1">
        <f t="array" aca="true" ref="O376" ca="true">IFERROR(IF($O$3="Chunk Rent",
AVERAGEIFS('Unit-Level Data'!$Q:$Q,'Unit-Level Data'!$M:$M,TRUE,
          'Unit-Level Data'!$D:$D, INDIRECT("C"&amp;ROW()),
          'Unit-Level Data'!$B:$B, INDIRECT("B"&amp;ROW())),
AVERAGEIFS('Unit-Level Data'!$R:$R,'Unit-Level Data'!$M:$M,TRUE,
          'Unit-Level Data'!$D:$D, INDIRECT("C"&amp;ROW()),
          'Unit-Level Data'!$B:$B, INDIRECT("B"&amp;ROW()))),"")</f>
      </c>
      <c r="P376" s="733" cm="1">
        <f t="array" aca="true" ref="P376" ca="true">COUNTIFS('Unit-Level Data'!$M:$M,TRUE,
          'Unit-Level Data'!$D:$D, INDIRECT("C"&amp;ROW()),
          'Unit-Level Data'!$B:$B, INDIRECT("B"&amp;ROW()))</f>
        <v>0</v>
      </c>
      <c r="Q376" s="738" t="str" cm="1">
        <f t="array" aca="true" ref="Q3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6" s="760" t="str" cm="1">
        <f t="array" aca="true" ref="R3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6" s="733" cm="1">
        <f t="array" aca="true" ref="S376" ca="true">COUNTIFS('Unit-Level Data'!$L:$L, "&gt;=" &amp; ($X$2 - Q$5),
          'Unit-Level Data'!$L:$L, "&lt;" &amp; $X$2,
          'Unit-Level Data'!$D:$D, INDIRECT("C"&amp;ROW()),
          'Unit-Level Data'!$B:$B, INDIRECT("B"&amp;ROW()))</f>
        <v>0</v>
      </c>
      <c r="T376" s="738" t="str" cm="1">
        <f t="array" aca="true" ref="T3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6" s="760" t="str" cm="1">
        <f t="array" aca="true" ref="U3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6" s="733" cm="1">
        <f t="array" aca="true" ref="V376" ca="true">COUNTIFS('Unit-Level Data'!$L:$L, "&gt;=" &amp; ($X$2 - T$5),
          'Unit-Level Data'!$L:$L, "&lt;" &amp; $X$2,
          'Unit-Level Data'!$D:$D, INDIRECT("C"&amp;ROW()),
          'Unit-Level Data'!$B:$B, INDIRECT("B"&amp;ROW()))</f>
        <v>0</v>
      </c>
      <c r="W376" s="738" t="str" cm="1">
        <f t="array" aca="true" ref="W3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6" s="760" t="str" cm="1">
        <f t="array" aca="true" ref="X3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6" s="733" cm="1">
        <f t="array" aca="true" ref="Y376" ca="true">COUNTIFS('Unit-Level Data'!$L:$L, "&gt;=" &amp; ($X$2 - W$5),
          'Unit-Level Data'!$L:$L, "&lt;" &amp; $X$2,
          'Unit-Level Data'!$D:$D, INDIRECT("C"&amp;ROW()),
          'Unit-Level Data'!$B:$B, INDIRECT("B"&amp;ROW()))</f>
        <v>0</v>
      </c>
      <c r="Z376" s="761"/>
      <c r="AA376" s="735" cm="1">
        <f t="array" aca="true" ref="AA376" ca="true">IFERROR(AVERAGEIFS(
  unit_details[Sqft],
  unit_details[Property Name], INDIRECT("B"&amp;ROW()),
  unit_details[Floorplan Name], INDIRECT("C"&amp;ROW()),
  unit_details[Beds], INDIRECT("D"&amp;ROW()),
  unit_details[Detected Unit Amenities], "*"&amp;$AB$3&amp;"*",
  unit_details[Leased Date], "&gt;=" &amp; ($X$2 - $AD$3)
),0)</f>
        <v>0</v>
      </c>
      <c r="AB376" s="734" cm="1">
        <f t="array" aca="true" ref="AB3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6" s="733" cm="1">
        <f t="array" aca="true" ref="AC376" ca="true">IFERROR(COUNTIFS(
  unit_details[Property Name], INDIRECT("B"&amp;ROW()),
  unit_details[Floorplan Name], INDIRECT("C"&amp;ROW()),
  unit_details[Beds], INDIRECT("D"&amp;ROW()),
  unit_details[Detected Unit Amenities], "*"&amp;$AB$3&amp;"*",
  unit_details[Leased Date], "&gt;=" &amp; ($X$2 - $AD$3)
),0)</f>
        <v>0</v>
      </c>
      <c r="AD376" s="735" cm="1">
        <f t="array" aca="true" ref="AD376" ca="true">IFERROR(AVERAGEIFS(
  unit_details[Sqft],
  unit_details[Property Name], INDIRECT("B"&amp;ROW()),
  unit_details[Floorplan Name], INDIRECT("C"&amp;ROW()),
  unit_details[Beds], INDIRECT("D"&amp;ROW()),
  unit_details[Detected Unit Amenities], "&lt;&gt;*"&amp;$AB$3&amp;"*",
  unit_details[Leased Date], "&gt;=" &amp; ($X$2 - $AD$3)
),0)</f>
        <v>0</v>
      </c>
      <c r="AE376" s="734" cm="1">
        <f t="array" aca="true" ref="AE3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6" s="733" cm="1">
        <f t="array" aca="true" ref="AF376" ca="true">IFERROR(COUNTIFS(
  unit_details[Property Name], INDIRECT("B"&amp;ROW()),
  unit_details[Floorplan Name], INDIRECT("C"&amp;ROW()),
  unit_details[Beds], INDIRECT("D"&amp;ROW()),
  unit_details[Detected Unit Amenities], "&lt;&gt;*"&amp;$AB$3&amp;"*",
  unit_details[Leased Date], "&gt;=" &amp; ($X$2 - $AD$3)
),0)</f>
        <v>0</v>
      </c>
      <c r="AG376" s="735"/>
      <c r="AH376" s="738">
        <f t="shared" ca="true" si="12"/>
        <v>0</v>
      </c>
      <c r="AI376" s="739">
        <f t="shared" ca="true" si="13"/>
        <v>0</v>
      </c>
    </row>
    <row r="377" spans="10:35">
      <c r="J377" s="345"/>
      <c r="N377" s="738" t="str" cm="1">
        <f t="array" aca="true" ref="N377" ca="true">IFERROR(IF($O$3="Chunk Rent",
AVERAGEIFS('Unit-Level Data'!$O:$O,'Unit-Level Data'!$M:$M,TRUE,
          'Unit-Level Data'!$D:$D, INDIRECT("C"&amp;ROW()),
          'Unit-Level Data'!$B:$B, INDIRECT("B"&amp;ROW())),
AVERAGEIFS('Unit-Level Data'!$P:$P,'Unit-Level Data'!$M:$M,TRUE,
          'Unit-Level Data'!$D:$D, INDIRECT("C"&amp;ROW()),
          'Unit-Level Data'!$B:$B, INDIRECT("B"&amp;ROW()))),"")</f>
      </c>
      <c r="O377" s="760" t="str" cm="1">
        <f t="array" aca="true" ref="O377" ca="true">IFERROR(IF($O$3="Chunk Rent",
AVERAGEIFS('Unit-Level Data'!$Q:$Q,'Unit-Level Data'!$M:$M,TRUE,
          'Unit-Level Data'!$D:$D, INDIRECT("C"&amp;ROW()),
          'Unit-Level Data'!$B:$B, INDIRECT("B"&amp;ROW())),
AVERAGEIFS('Unit-Level Data'!$R:$R,'Unit-Level Data'!$M:$M,TRUE,
          'Unit-Level Data'!$D:$D, INDIRECT("C"&amp;ROW()),
          'Unit-Level Data'!$B:$B, INDIRECT("B"&amp;ROW()))),"")</f>
      </c>
      <c r="P377" s="733" cm="1">
        <f t="array" aca="true" ref="P377" ca="true">COUNTIFS('Unit-Level Data'!$M:$M,TRUE,
          'Unit-Level Data'!$D:$D, INDIRECT("C"&amp;ROW()),
          'Unit-Level Data'!$B:$B, INDIRECT("B"&amp;ROW()))</f>
        <v>0</v>
      </c>
      <c r="Q377" s="738" t="str" cm="1">
        <f t="array" aca="true" ref="Q3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7" s="760" t="str" cm="1">
        <f t="array" aca="true" ref="R3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7" s="733" cm="1">
        <f t="array" aca="true" ref="S377" ca="true">COUNTIFS('Unit-Level Data'!$L:$L, "&gt;=" &amp; ($X$2 - Q$5),
          'Unit-Level Data'!$L:$L, "&lt;" &amp; $X$2,
          'Unit-Level Data'!$D:$D, INDIRECT("C"&amp;ROW()),
          'Unit-Level Data'!$B:$B, INDIRECT("B"&amp;ROW()))</f>
        <v>0</v>
      </c>
      <c r="T377" s="738" t="str" cm="1">
        <f t="array" aca="true" ref="T3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7" s="760" t="str" cm="1">
        <f t="array" aca="true" ref="U3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7" s="733" cm="1">
        <f t="array" aca="true" ref="V377" ca="true">COUNTIFS('Unit-Level Data'!$L:$L, "&gt;=" &amp; ($X$2 - T$5),
          'Unit-Level Data'!$L:$L, "&lt;" &amp; $X$2,
          'Unit-Level Data'!$D:$D, INDIRECT("C"&amp;ROW()),
          'Unit-Level Data'!$B:$B, INDIRECT("B"&amp;ROW()))</f>
        <v>0</v>
      </c>
      <c r="W377" s="738" t="str" cm="1">
        <f t="array" aca="true" ref="W3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7" s="760" t="str" cm="1">
        <f t="array" aca="true" ref="X3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7" s="733" cm="1">
        <f t="array" aca="true" ref="Y377" ca="true">COUNTIFS('Unit-Level Data'!$L:$L, "&gt;=" &amp; ($X$2 - W$5),
          'Unit-Level Data'!$L:$L, "&lt;" &amp; $X$2,
          'Unit-Level Data'!$D:$D, INDIRECT("C"&amp;ROW()),
          'Unit-Level Data'!$B:$B, INDIRECT("B"&amp;ROW()))</f>
        <v>0</v>
      </c>
      <c r="Z377" s="761"/>
      <c r="AA377" s="735" cm="1">
        <f t="array" aca="true" ref="AA377" ca="true">IFERROR(AVERAGEIFS(
  unit_details[Sqft],
  unit_details[Property Name], INDIRECT("B"&amp;ROW()),
  unit_details[Floorplan Name], INDIRECT("C"&amp;ROW()),
  unit_details[Beds], INDIRECT("D"&amp;ROW()),
  unit_details[Detected Unit Amenities], "*"&amp;$AB$3&amp;"*",
  unit_details[Leased Date], "&gt;=" &amp; ($X$2 - $AD$3)
),0)</f>
        <v>0</v>
      </c>
      <c r="AB377" s="734" cm="1">
        <f t="array" aca="true" ref="AB3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7" s="733" cm="1">
        <f t="array" aca="true" ref="AC377" ca="true">IFERROR(COUNTIFS(
  unit_details[Property Name], INDIRECT("B"&amp;ROW()),
  unit_details[Floorplan Name], INDIRECT("C"&amp;ROW()),
  unit_details[Beds], INDIRECT("D"&amp;ROW()),
  unit_details[Detected Unit Amenities], "*"&amp;$AB$3&amp;"*",
  unit_details[Leased Date], "&gt;=" &amp; ($X$2 - $AD$3)
),0)</f>
        <v>0</v>
      </c>
      <c r="AD377" s="735" cm="1">
        <f t="array" aca="true" ref="AD377" ca="true">IFERROR(AVERAGEIFS(
  unit_details[Sqft],
  unit_details[Property Name], INDIRECT("B"&amp;ROW()),
  unit_details[Floorplan Name], INDIRECT("C"&amp;ROW()),
  unit_details[Beds], INDIRECT("D"&amp;ROW()),
  unit_details[Detected Unit Amenities], "&lt;&gt;*"&amp;$AB$3&amp;"*",
  unit_details[Leased Date], "&gt;=" &amp; ($X$2 - $AD$3)
),0)</f>
        <v>0</v>
      </c>
      <c r="AE377" s="734" cm="1">
        <f t="array" aca="true" ref="AE3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7" s="733" cm="1">
        <f t="array" aca="true" ref="AF377" ca="true">IFERROR(COUNTIFS(
  unit_details[Property Name], INDIRECT("B"&amp;ROW()),
  unit_details[Floorplan Name], INDIRECT("C"&amp;ROW()),
  unit_details[Beds], INDIRECT("D"&amp;ROW()),
  unit_details[Detected Unit Amenities], "&lt;&gt;*"&amp;$AB$3&amp;"*",
  unit_details[Leased Date], "&gt;=" &amp; ($X$2 - $AD$3)
),0)</f>
        <v>0</v>
      </c>
      <c r="AG377" s="735"/>
      <c r="AH377" s="738">
        <f t="shared" ca="true" si="12"/>
        <v>0</v>
      </c>
      <c r="AI377" s="739">
        <f t="shared" ca="true" si="13"/>
        <v>0</v>
      </c>
    </row>
    <row r="378" spans="10:35">
      <c r="J378" s="345"/>
      <c r="N378" s="738" t="str" cm="1">
        <f t="array" aca="true" ref="N378" ca="true">IFERROR(IF($O$3="Chunk Rent",
AVERAGEIFS('Unit-Level Data'!$O:$O,'Unit-Level Data'!$M:$M,TRUE,
          'Unit-Level Data'!$D:$D, INDIRECT("C"&amp;ROW()),
          'Unit-Level Data'!$B:$B, INDIRECT("B"&amp;ROW())),
AVERAGEIFS('Unit-Level Data'!$P:$P,'Unit-Level Data'!$M:$M,TRUE,
          'Unit-Level Data'!$D:$D, INDIRECT("C"&amp;ROW()),
          'Unit-Level Data'!$B:$B, INDIRECT("B"&amp;ROW()))),"")</f>
      </c>
      <c r="O378" s="760" t="str" cm="1">
        <f t="array" aca="true" ref="O378" ca="true">IFERROR(IF($O$3="Chunk Rent",
AVERAGEIFS('Unit-Level Data'!$Q:$Q,'Unit-Level Data'!$M:$M,TRUE,
          'Unit-Level Data'!$D:$D, INDIRECT("C"&amp;ROW()),
          'Unit-Level Data'!$B:$B, INDIRECT("B"&amp;ROW())),
AVERAGEIFS('Unit-Level Data'!$R:$R,'Unit-Level Data'!$M:$M,TRUE,
          'Unit-Level Data'!$D:$D, INDIRECT("C"&amp;ROW()),
          'Unit-Level Data'!$B:$B, INDIRECT("B"&amp;ROW()))),"")</f>
      </c>
      <c r="P378" s="733" cm="1">
        <f t="array" aca="true" ref="P378" ca="true">COUNTIFS('Unit-Level Data'!$M:$M,TRUE,
          'Unit-Level Data'!$D:$D, INDIRECT("C"&amp;ROW()),
          'Unit-Level Data'!$B:$B, INDIRECT("B"&amp;ROW()))</f>
        <v>0</v>
      </c>
      <c r="Q378" s="738" t="str" cm="1">
        <f t="array" aca="true" ref="Q3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8" s="760" t="str" cm="1">
        <f t="array" aca="true" ref="R3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8" s="733" cm="1">
        <f t="array" aca="true" ref="S378" ca="true">COUNTIFS('Unit-Level Data'!$L:$L, "&gt;=" &amp; ($X$2 - Q$5),
          'Unit-Level Data'!$L:$L, "&lt;" &amp; $X$2,
          'Unit-Level Data'!$D:$D, INDIRECT("C"&amp;ROW()),
          'Unit-Level Data'!$B:$B, INDIRECT("B"&amp;ROW()))</f>
        <v>0</v>
      </c>
      <c r="T378" s="738" t="str" cm="1">
        <f t="array" aca="true" ref="T3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8" s="760" t="str" cm="1">
        <f t="array" aca="true" ref="U3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8" s="733" cm="1">
        <f t="array" aca="true" ref="V378" ca="true">COUNTIFS('Unit-Level Data'!$L:$L, "&gt;=" &amp; ($X$2 - T$5),
          'Unit-Level Data'!$L:$L, "&lt;" &amp; $X$2,
          'Unit-Level Data'!$D:$D, INDIRECT("C"&amp;ROW()),
          'Unit-Level Data'!$B:$B, INDIRECT("B"&amp;ROW()))</f>
        <v>0</v>
      </c>
      <c r="W378" s="738" t="str" cm="1">
        <f t="array" aca="true" ref="W3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8" s="760" t="str" cm="1">
        <f t="array" aca="true" ref="X3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8" s="733" cm="1">
        <f t="array" aca="true" ref="Y378" ca="true">COUNTIFS('Unit-Level Data'!$L:$L, "&gt;=" &amp; ($X$2 - W$5),
          'Unit-Level Data'!$L:$L, "&lt;" &amp; $X$2,
          'Unit-Level Data'!$D:$D, INDIRECT("C"&amp;ROW()),
          'Unit-Level Data'!$B:$B, INDIRECT("B"&amp;ROW()))</f>
        <v>0</v>
      </c>
      <c r="Z378" s="761"/>
      <c r="AA378" s="735" cm="1">
        <f t="array" aca="true" ref="AA378" ca="true">IFERROR(AVERAGEIFS(
  unit_details[Sqft],
  unit_details[Property Name], INDIRECT("B"&amp;ROW()),
  unit_details[Floorplan Name], INDIRECT("C"&amp;ROW()),
  unit_details[Beds], INDIRECT("D"&amp;ROW()),
  unit_details[Detected Unit Amenities], "*"&amp;$AB$3&amp;"*",
  unit_details[Leased Date], "&gt;=" &amp; ($X$2 - $AD$3)
),0)</f>
        <v>0</v>
      </c>
      <c r="AB378" s="734" cm="1">
        <f t="array" aca="true" ref="AB3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8" s="733" cm="1">
        <f t="array" aca="true" ref="AC378" ca="true">IFERROR(COUNTIFS(
  unit_details[Property Name], INDIRECT("B"&amp;ROW()),
  unit_details[Floorplan Name], INDIRECT("C"&amp;ROW()),
  unit_details[Beds], INDIRECT("D"&amp;ROW()),
  unit_details[Detected Unit Amenities], "*"&amp;$AB$3&amp;"*",
  unit_details[Leased Date], "&gt;=" &amp; ($X$2 - $AD$3)
),0)</f>
        <v>0</v>
      </c>
      <c r="AD378" s="735" cm="1">
        <f t="array" aca="true" ref="AD378" ca="true">IFERROR(AVERAGEIFS(
  unit_details[Sqft],
  unit_details[Property Name], INDIRECT("B"&amp;ROW()),
  unit_details[Floorplan Name], INDIRECT("C"&amp;ROW()),
  unit_details[Beds], INDIRECT("D"&amp;ROW()),
  unit_details[Detected Unit Amenities], "&lt;&gt;*"&amp;$AB$3&amp;"*",
  unit_details[Leased Date], "&gt;=" &amp; ($X$2 - $AD$3)
),0)</f>
        <v>0</v>
      </c>
      <c r="AE378" s="734" cm="1">
        <f t="array" aca="true" ref="AE3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8" s="733" cm="1">
        <f t="array" aca="true" ref="AF378" ca="true">IFERROR(COUNTIFS(
  unit_details[Property Name], INDIRECT("B"&amp;ROW()),
  unit_details[Floorplan Name], INDIRECT("C"&amp;ROW()),
  unit_details[Beds], INDIRECT("D"&amp;ROW()),
  unit_details[Detected Unit Amenities], "&lt;&gt;*"&amp;$AB$3&amp;"*",
  unit_details[Leased Date], "&gt;=" &amp; ($X$2 - $AD$3)
),0)</f>
        <v>0</v>
      </c>
      <c r="AG378" s="735"/>
      <c r="AH378" s="738">
        <f t="shared" ca="true" si="12"/>
        <v>0</v>
      </c>
      <c r="AI378" s="739">
        <f t="shared" ca="true" si="13"/>
        <v>0</v>
      </c>
    </row>
    <row r="379" spans="10:35">
      <c r="J379" s="345"/>
      <c r="N379" s="738" t="str" cm="1">
        <f t="array" aca="true" ref="N379" ca="true">IFERROR(IF($O$3="Chunk Rent",
AVERAGEIFS('Unit-Level Data'!$O:$O,'Unit-Level Data'!$M:$M,TRUE,
          'Unit-Level Data'!$D:$D, INDIRECT("C"&amp;ROW()),
          'Unit-Level Data'!$B:$B, INDIRECT("B"&amp;ROW())),
AVERAGEIFS('Unit-Level Data'!$P:$P,'Unit-Level Data'!$M:$M,TRUE,
          'Unit-Level Data'!$D:$D, INDIRECT("C"&amp;ROW()),
          'Unit-Level Data'!$B:$B, INDIRECT("B"&amp;ROW()))),"")</f>
      </c>
      <c r="O379" s="760" t="str" cm="1">
        <f t="array" aca="true" ref="O379" ca="true">IFERROR(IF($O$3="Chunk Rent",
AVERAGEIFS('Unit-Level Data'!$Q:$Q,'Unit-Level Data'!$M:$M,TRUE,
          'Unit-Level Data'!$D:$D, INDIRECT("C"&amp;ROW()),
          'Unit-Level Data'!$B:$B, INDIRECT("B"&amp;ROW())),
AVERAGEIFS('Unit-Level Data'!$R:$R,'Unit-Level Data'!$M:$M,TRUE,
          'Unit-Level Data'!$D:$D, INDIRECT("C"&amp;ROW()),
          'Unit-Level Data'!$B:$B, INDIRECT("B"&amp;ROW()))),"")</f>
      </c>
      <c r="P379" s="733" cm="1">
        <f t="array" aca="true" ref="P379" ca="true">COUNTIFS('Unit-Level Data'!$M:$M,TRUE,
          'Unit-Level Data'!$D:$D, INDIRECT("C"&amp;ROW()),
          'Unit-Level Data'!$B:$B, INDIRECT("B"&amp;ROW()))</f>
        <v>0</v>
      </c>
      <c r="Q379" s="738" t="str" cm="1">
        <f t="array" aca="true" ref="Q3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9" s="760" t="str" cm="1">
        <f t="array" aca="true" ref="R3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9" s="733" cm="1">
        <f t="array" aca="true" ref="S379" ca="true">COUNTIFS('Unit-Level Data'!$L:$L, "&gt;=" &amp; ($X$2 - Q$5),
          'Unit-Level Data'!$L:$L, "&lt;" &amp; $X$2,
          'Unit-Level Data'!$D:$D, INDIRECT("C"&amp;ROW()),
          'Unit-Level Data'!$B:$B, INDIRECT("B"&amp;ROW()))</f>
        <v>0</v>
      </c>
      <c r="T379" s="738" t="str" cm="1">
        <f t="array" aca="true" ref="T3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9" s="760" t="str" cm="1">
        <f t="array" aca="true" ref="U3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9" s="733" cm="1">
        <f t="array" aca="true" ref="V379" ca="true">COUNTIFS('Unit-Level Data'!$L:$L, "&gt;=" &amp; ($X$2 - T$5),
          'Unit-Level Data'!$L:$L, "&lt;" &amp; $X$2,
          'Unit-Level Data'!$D:$D, INDIRECT("C"&amp;ROW()),
          'Unit-Level Data'!$B:$B, INDIRECT("B"&amp;ROW()))</f>
        <v>0</v>
      </c>
      <c r="W379" s="738" t="str" cm="1">
        <f t="array" aca="true" ref="W3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9" s="760" t="str" cm="1">
        <f t="array" aca="true" ref="X3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9" s="733" cm="1">
        <f t="array" aca="true" ref="Y379" ca="true">COUNTIFS('Unit-Level Data'!$L:$L, "&gt;=" &amp; ($X$2 - W$5),
          'Unit-Level Data'!$L:$L, "&lt;" &amp; $X$2,
          'Unit-Level Data'!$D:$D, INDIRECT("C"&amp;ROW()),
          'Unit-Level Data'!$B:$B, INDIRECT("B"&amp;ROW()))</f>
        <v>0</v>
      </c>
      <c r="Z379" s="761"/>
      <c r="AA379" s="735" cm="1">
        <f t="array" aca="true" ref="AA379" ca="true">IFERROR(AVERAGEIFS(
  unit_details[Sqft],
  unit_details[Property Name], INDIRECT("B"&amp;ROW()),
  unit_details[Floorplan Name], INDIRECT("C"&amp;ROW()),
  unit_details[Beds], INDIRECT("D"&amp;ROW()),
  unit_details[Detected Unit Amenities], "*"&amp;$AB$3&amp;"*",
  unit_details[Leased Date], "&gt;=" &amp; ($X$2 - $AD$3)
),0)</f>
        <v>0</v>
      </c>
      <c r="AB379" s="734" cm="1">
        <f t="array" aca="true" ref="AB3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9" s="733" cm="1">
        <f t="array" aca="true" ref="AC379" ca="true">IFERROR(COUNTIFS(
  unit_details[Property Name], INDIRECT("B"&amp;ROW()),
  unit_details[Floorplan Name], INDIRECT("C"&amp;ROW()),
  unit_details[Beds], INDIRECT("D"&amp;ROW()),
  unit_details[Detected Unit Amenities], "*"&amp;$AB$3&amp;"*",
  unit_details[Leased Date], "&gt;=" &amp; ($X$2 - $AD$3)
),0)</f>
        <v>0</v>
      </c>
      <c r="AD379" s="735" cm="1">
        <f t="array" aca="true" ref="AD379" ca="true">IFERROR(AVERAGEIFS(
  unit_details[Sqft],
  unit_details[Property Name], INDIRECT("B"&amp;ROW()),
  unit_details[Floorplan Name], INDIRECT("C"&amp;ROW()),
  unit_details[Beds], INDIRECT("D"&amp;ROW()),
  unit_details[Detected Unit Amenities], "&lt;&gt;*"&amp;$AB$3&amp;"*",
  unit_details[Leased Date], "&gt;=" &amp; ($X$2 - $AD$3)
),0)</f>
        <v>0</v>
      </c>
      <c r="AE379" s="734" cm="1">
        <f t="array" aca="true" ref="AE3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9" s="733" cm="1">
        <f t="array" aca="true" ref="AF379" ca="true">IFERROR(COUNTIFS(
  unit_details[Property Name], INDIRECT("B"&amp;ROW()),
  unit_details[Floorplan Name], INDIRECT("C"&amp;ROW()),
  unit_details[Beds], INDIRECT("D"&amp;ROW()),
  unit_details[Detected Unit Amenities], "&lt;&gt;*"&amp;$AB$3&amp;"*",
  unit_details[Leased Date], "&gt;=" &amp; ($X$2 - $AD$3)
),0)</f>
        <v>0</v>
      </c>
      <c r="AG379" s="735"/>
      <c r="AH379" s="738">
        <f t="shared" ca="true" si="12"/>
        <v>0</v>
      </c>
      <c r="AI379" s="739">
        <f t="shared" ca="true" si="13"/>
        <v>0</v>
      </c>
    </row>
    <row r="380" spans="10:35">
      <c r="J380" s="345"/>
      <c r="N380" s="738" t="str" cm="1">
        <f t="array" aca="true" ref="N380" ca="true">IFERROR(IF($O$3="Chunk Rent",
AVERAGEIFS('Unit-Level Data'!$O:$O,'Unit-Level Data'!$M:$M,TRUE,
          'Unit-Level Data'!$D:$D, INDIRECT("C"&amp;ROW()),
          'Unit-Level Data'!$B:$B, INDIRECT("B"&amp;ROW())),
AVERAGEIFS('Unit-Level Data'!$P:$P,'Unit-Level Data'!$M:$M,TRUE,
          'Unit-Level Data'!$D:$D, INDIRECT("C"&amp;ROW()),
          'Unit-Level Data'!$B:$B, INDIRECT("B"&amp;ROW()))),"")</f>
      </c>
      <c r="O380" s="760" t="str" cm="1">
        <f t="array" aca="true" ref="O380" ca="true">IFERROR(IF($O$3="Chunk Rent",
AVERAGEIFS('Unit-Level Data'!$Q:$Q,'Unit-Level Data'!$M:$M,TRUE,
          'Unit-Level Data'!$D:$D, INDIRECT("C"&amp;ROW()),
          'Unit-Level Data'!$B:$B, INDIRECT("B"&amp;ROW())),
AVERAGEIFS('Unit-Level Data'!$R:$R,'Unit-Level Data'!$M:$M,TRUE,
          'Unit-Level Data'!$D:$D, INDIRECT("C"&amp;ROW()),
          'Unit-Level Data'!$B:$B, INDIRECT("B"&amp;ROW()))),"")</f>
      </c>
      <c r="P380" s="733" cm="1">
        <f t="array" aca="true" ref="P380" ca="true">COUNTIFS('Unit-Level Data'!$M:$M,TRUE,
          'Unit-Level Data'!$D:$D, INDIRECT("C"&amp;ROW()),
          'Unit-Level Data'!$B:$B, INDIRECT("B"&amp;ROW()))</f>
        <v>0</v>
      </c>
      <c r="Q380" s="738" t="str" cm="1">
        <f t="array" aca="true" ref="Q3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0" s="760" t="str" cm="1">
        <f t="array" aca="true" ref="R3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0" s="733" cm="1">
        <f t="array" aca="true" ref="S380" ca="true">COUNTIFS('Unit-Level Data'!$L:$L, "&gt;=" &amp; ($X$2 - Q$5),
          'Unit-Level Data'!$L:$L, "&lt;" &amp; $X$2,
          'Unit-Level Data'!$D:$D, INDIRECT("C"&amp;ROW()),
          'Unit-Level Data'!$B:$B, INDIRECT("B"&amp;ROW()))</f>
        <v>0</v>
      </c>
      <c r="T380" s="738" t="str" cm="1">
        <f t="array" aca="true" ref="T3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0" s="760" t="str" cm="1">
        <f t="array" aca="true" ref="U3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0" s="733" cm="1">
        <f t="array" aca="true" ref="V380" ca="true">COUNTIFS('Unit-Level Data'!$L:$L, "&gt;=" &amp; ($X$2 - T$5),
          'Unit-Level Data'!$L:$L, "&lt;" &amp; $X$2,
          'Unit-Level Data'!$D:$D, INDIRECT("C"&amp;ROW()),
          'Unit-Level Data'!$B:$B, INDIRECT("B"&amp;ROW()))</f>
        <v>0</v>
      </c>
      <c r="W380" s="738" t="str" cm="1">
        <f t="array" aca="true" ref="W3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0" s="760" t="str" cm="1">
        <f t="array" aca="true" ref="X3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0" s="733" cm="1">
        <f t="array" aca="true" ref="Y380" ca="true">COUNTIFS('Unit-Level Data'!$L:$L, "&gt;=" &amp; ($X$2 - W$5),
          'Unit-Level Data'!$L:$L, "&lt;" &amp; $X$2,
          'Unit-Level Data'!$D:$D, INDIRECT("C"&amp;ROW()),
          'Unit-Level Data'!$B:$B, INDIRECT("B"&amp;ROW()))</f>
        <v>0</v>
      </c>
      <c r="Z380" s="761"/>
      <c r="AA380" s="735" cm="1">
        <f t="array" aca="true" ref="AA380" ca="true">IFERROR(AVERAGEIFS(
  unit_details[Sqft],
  unit_details[Property Name], INDIRECT("B"&amp;ROW()),
  unit_details[Floorplan Name], INDIRECT("C"&amp;ROW()),
  unit_details[Beds], INDIRECT("D"&amp;ROW()),
  unit_details[Detected Unit Amenities], "*"&amp;$AB$3&amp;"*",
  unit_details[Leased Date], "&gt;=" &amp; ($X$2 - $AD$3)
),0)</f>
        <v>0</v>
      </c>
      <c r="AB380" s="734" cm="1">
        <f t="array" aca="true" ref="AB3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0" s="733" cm="1">
        <f t="array" aca="true" ref="AC380" ca="true">IFERROR(COUNTIFS(
  unit_details[Property Name], INDIRECT("B"&amp;ROW()),
  unit_details[Floorplan Name], INDIRECT("C"&amp;ROW()),
  unit_details[Beds], INDIRECT("D"&amp;ROW()),
  unit_details[Detected Unit Amenities], "*"&amp;$AB$3&amp;"*",
  unit_details[Leased Date], "&gt;=" &amp; ($X$2 - $AD$3)
),0)</f>
        <v>0</v>
      </c>
      <c r="AD380" s="735" cm="1">
        <f t="array" aca="true" ref="AD380" ca="true">IFERROR(AVERAGEIFS(
  unit_details[Sqft],
  unit_details[Property Name], INDIRECT("B"&amp;ROW()),
  unit_details[Floorplan Name], INDIRECT("C"&amp;ROW()),
  unit_details[Beds], INDIRECT("D"&amp;ROW()),
  unit_details[Detected Unit Amenities], "&lt;&gt;*"&amp;$AB$3&amp;"*",
  unit_details[Leased Date], "&gt;=" &amp; ($X$2 - $AD$3)
),0)</f>
        <v>0</v>
      </c>
      <c r="AE380" s="734" cm="1">
        <f t="array" aca="true" ref="AE3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0" s="733" cm="1">
        <f t="array" aca="true" ref="AF380" ca="true">IFERROR(COUNTIFS(
  unit_details[Property Name], INDIRECT("B"&amp;ROW()),
  unit_details[Floorplan Name], INDIRECT("C"&amp;ROW()),
  unit_details[Beds], INDIRECT("D"&amp;ROW()),
  unit_details[Detected Unit Amenities], "&lt;&gt;*"&amp;$AB$3&amp;"*",
  unit_details[Leased Date], "&gt;=" &amp; ($X$2 - $AD$3)
),0)</f>
        <v>0</v>
      </c>
      <c r="AG380" s="735"/>
      <c r="AH380" s="738">
        <f t="shared" ca="true" si="12"/>
        <v>0</v>
      </c>
      <c r="AI380" s="739">
        <f t="shared" ca="true" si="13"/>
        <v>0</v>
      </c>
    </row>
    <row r="381" spans="10:35">
      <c r="J381" s="345"/>
      <c r="N381" s="738" t="str" cm="1">
        <f t="array" aca="true" ref="N381" ca="true">IFERROR(IF($O$3="Chunk Rent",
AVERAGEIFS('Unit-Level Data'!$O:$O,'Unit-Level Data'!$M:$M,TRUE,
          'Unit-Level Data'!$D:$D, INDIRECT("C"&amp;ROW()),
          'Unit-Level Data'!$B:$B, INDIRECT("B"&amp;ROW())),
AVERAGEIFS('Unit-Level Data'!$P:$P,'Unit-Level Data'!$M:$M,TRUE,
          'Unit-Level Data'!$D:$D, INDIRECT("C"&amp;ROW()),
          'Unit-Level Data'!$B:$B, INDIRECT("B"&amp;ROW()))),"")</f>
      </c>
      <c r="O381" s="760" t="str" cm="1">
        <f t="array" aca="true" ref="O381" ca="true">IFERROR(IF($O$3="Chunk Rent",
AVERAGEIFS('Unit-Level Data'!$Q:$Q,'Unit-Level Data'!$M:$M,TRUE,
          'Unit-Level Data'!$D:$D, INDIRECT("C"&amp;ROW()),
          'Unit-Level Data'!$B:$B, INDIRECT("B"&amp;ROW())),
AVERAGEIFS('Unit-Level Data'!$R:$R,'Unit-Level Data'!$M:$M,TRUE,
          'Unit-Level Data'!$D:$D, INDIRECT("C"&amp;ROW()),
          'Unit-Level Data'!$B:$B, INDIRECT("B"&amp;ROW()))),"")</f>
      </c>
      <c r="P381" s="733" cm="1">
        <f t="array" aca="true" ref="P381" ca="true">COUNTIFS('Unit-Level Data'!$M:$M,TRUE,
          'Unit-Level Data'!$D:$D, INDIRECT("C"&amp;ROW()),
          'Unit-Level Data'!$B:$B, INDIRECT("B"&amp;ROW()))</f>
        <v>0</v>
      </c>
      <c r="Q381" s="738" t="str" cm="1">
        <f t="array" aca="true" ref="Q3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1" s="760" t="str" cm="1">
        <f t="array" aca="true" ref="R3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1" s="733" cm="1">
        <f t="array" aca="true" ref="S381" ca="true">COUNTIFS('Unit-Level Data'!$L:$L, "&gt;=" &amp; ($X$2 - Q$5),
          'Unit-Level Data'!$L:$L, "&lt;" &amp; $X$2,
          'Unit-Level Data'!$D:$D, INDIRECT("C"&amp;ROW()),
          'Unit-Level Data'!$B:$B, INDIRECT("B"&amp;ROW()))</f>
        <v>0</v>
      </c>
      <c r="T381" s="738" t="str" cm="1">
        <f t="array" aca="true" ref="T3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1" s="760" t="str" cm="1">
        <f t="array" aca="true" ref="U3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1" s="733" cm="1">
        <f t="array" aca="true" ref="V381" ca="true">COUNTIFS('Unit-Level Data'!$L:$L, "&gt;=" &amp; ($X$2 - T$5),
          'Unit-Level Data'!$L:$L, "&lt;" &amp; $X$2,
          'Unit-Level Data'!$D:$D, INDIRECT("C"&amp;ROW()),
          'Unit-Level Data'!$B:$B, INDIRECT("B"&amp;ROW()))</f>
        <v>0</v>
      </c>
      <c r="W381" s="738" t="str" cm="1">
        <f t="array" aca="true" ref="W3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1" s="760" t="str" cm="1">
        <f t="array" aca="true" ref="X3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1" s="733" cm="1">
        <f t="array" aca="true" ref="Y381" ca="true">COUNTIFS('Unit-Level Data'!$L:$L, "&gt;=" &amp; ($X$2 - W$5),
          'Unit-Level Data'!$L:$L, "&lt;" &amp; $X$2,
          'Unit-Level Data'!$D:$D, INDIRECT("C"&amp;ROW()),
          'Unit-Level Data'!$B:$B, INDIRECT("B"&amp;ROW()))</f>
        <v>0</v>
      </c>
      <c r="Z381" s="761"/>
      <c r="AA381" s="735" cm="1">
        <f t="array" aca="true" ref="AA381" ca="true">IFERROR(AVERAGEIFS(
  unit_details[Sqft],
  unit_details[Property Name], INDIRECT("B"&amp;ROW()),
  unit_details[Floorplan Name], INDIRECT("C"&amp;ROW()),
  unit_details[Beds], INDIRECT("D"&amp;ROW()),
  unit_details[Detected Unit Amenities], "*"&amp;$AB$3&amp;"*",
  unit_details[Leased Date], "&gt;=" &amp; ($X$2 - $AD$3)
),0)</f>
        <v>0</v>
      </c>
      <c r="AB381" s="734" cm="1">
        <f t="array" aca="true" ref="AB3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1" s="733" cm="1">
        <f t="array" aca="true" ref="AC381" ca="true">IFERROR(COUNTIFS(
  unit_details[Property Name], INDIRECT("B"&amp;ROW()),
  unit_details[Floorplan Name], INDIRECT("C"&amp;ROW()),
  unit_details[Beds], INDIRECT("D"&amp;ROW()),
  unit_details[Detected Unit Amenities], "*"&amp;$AB$3&amp;"*",
  unit_details[Leased Date], "&gt;=" &amp; ($X$2 - $AD$3)
),0)</f>
        <v>0</v>
      </c>
      <c r="AD381" s="735" cm="1">
        <f t="array" aca="true" ref="AD381" ca="true">IFERROR(AVERAGEIFS(
  unit_details[Sqft],
  unit_details[Property Name], INDIRECT("B"&amp;ROW()),
  unit_details[Floorplan Name], INDIRECT("C"&amp;ROW()),
  unit_details[Beds], INDIRECT("D"&amp;ROW()),
  unit_details[Detected Unit Amenities], "&lt;&gt;*"&amp;$AB$3&amp;"*",
  unit_details[Leased Date], "&gt;=" &amp; ($X$2 - $AD$3)
),0)</f>
        <v>0</v>
      </c>
      <c r="AE381" s="734" cm="1">
        <f t="array" aca="true" ref="AE3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1" s="733" cm="1">
        <f t="array" aca="true" ref="AF381" ca="true">IFERROR(COUNTIFS(
  unit_details[Property Name], INDIRECT("B"&amp;ROW()),
  unit_details[Floorplan Name], INDIRECT("C"&amp;ROW()),
  unit_details[Beds], INDIRECT("D"&amp;ROW()),
  unit_details[Detected Unit Amenities], "&lt;&gt;*"&amp;$AB$3&amp;"*",
  unit_details[Leased Date], "&gt;=" &amp; ($X$2 - $AD$3)
),0)</f>
        <v>0</v>
      </c>
      <c r="AG381" s="735"/>
      <c r="AH381" s="738">
        <f t="shared" ca="true" si="12"/>
        <v>0</v>
      </c>
      <c r="AI381" s="739">
        <f t="shared" ca="true" si="13"/>
        <v>0</v>
      </c>
    </row>
    <row r="382" spans="10:35">
      <c r="J382" s="345"/>
      <c r="N382" s="738" t="str" cm="1">
        <f t="array" aca="true" ref="N382" ca="true">IFERROR(IF($O$3="Chunk Rent",
AVERAGEIFS('Unit-Level Data'!$O:$O,'Unit-Level Data'!$M:$M,TRUE,
          'Unit-Level Data'!$D:$D, INDIRECT("C"&amp;ROW()),
          'Unit-Level Data'!$B:$B, INDIRECT("B"&amp;ROW())),
AVERAGEIFS('Unit-Level Data'!$P:$P,'Unit-Level Data'!$M:$M,TRUE,
          'Unit-Level Data'!$D:$D, INDIRECT("C"&amp;ROW()),
          'Unit-Level Data'!$B:$B, INDIRECT("B"&amp;ROW()))),"")</f>
      </c>
      <c r="O382" s="760" t="str" cm="1">
        <f t="array" aca="true" ref="O382" ca="true">IFERROR(IF($O$3="Chunk Rent",
AVERAGEIFS('Unit-Level Data'!$Q:$Q,'Unit-Level Data'!$M:$M,TRUE,
          'Unit-Level Data'!$D:$D, INDIRECT("C"&amp;ROW()),
          'Unit-Level Data'!$B:$B, INDIRECT("B"&amp;ROW())),
AVERAGEIFS('Unit-Level Data'!$R:$R,'Unit-Level Data'!$M:$M,TRUE,
          'Unit-Level Data'!$D:$D, INDIRECT("C"&amp;ROW()),
          'Unit-Level Data'!$B:$B, INDIRECT("B"&amp;ROW()))),"")</f>
      </c>
      <c r="P382" s="733" cm="1">
        <f t="array" aca="true" ref="P382" ca="true">COUNTIFS('Unit-Level Data'!$M:$M,TRUE,
          'Unit-Level Data'!$D:$D, INDIRECT("C"&amp;ROW()),
          'Unit-Level Data'!$B:$B, INDIRECT("B"&amp;ROW()))</f>
        <v>0</v>
      </c>
      <c r="Q382" s="738" t="str" cm="1">
        <f t="array" aca="true" ref="Q3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2" s="760" t="str" cm="1">
        <f t="array" aca="true" ref="R3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2" s="733" cm="1">
        <f t="array" aca="true" ref="S382" ca="true">COUNTIFS('Unit-Level Data'!$L:$L, "&gt;=" &amp; ($X$2 - Q$5),
          'Unit-Level Data'!$L:$L, "&lt;" &amp; $X$2,
          'Unit-Level Data'!$D:$D, INDIRECT("C"&amp;ROW()),
          'Unit-Level Data'!$B:$B, INDIRECT("B"&amp;ROW()))</f>
        <v>0</v>
      </c>
      <c r="T382" s="738" t="str" cm="1">
        <f t="array" aca="true" ref="T3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2" s="760" t="str" cm="1">
        <f t="array" aca="true" ref="U3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2" s="733" cm="1">
        <f t="array" aca="true" ref="V382" ca="true">COUNTIFS('Unit-Level Data'!$L:$L, "&gt;=" &amp; ($X$2 - T$5),
          'Unit-Level Data'!$L:$L, "&lt;" &amp; $X$2,
          'Unit-Level Data'!$D:$D, INDIRECT("C"&amp;ROW()),
          'Unit-Level Data'!$B:$B, INDIRECT("B"&amp;ROW()))</f>
        <v>0</v>
      </c>
      <c r="W382" s="738" t="str" cm="1">
        <f t="array" aca="true" ref="W3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2" s="760" t="str" cm="1">
        <f t="array" aca="true" ref="X3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2" s="733" cm="1">
        <f t="array" aca="true" ref="Y382" ca="true">COUNTIFS('Unit-Level Data'!$L:$L, "&gt;=" &amp; ($X$2 - W$5),
          'Unit-Level Data'!$L:$L, "&lt;" &amp; $X$2,
          'Unit-Level Data'!$D:$D, INDIRECT("C"&amp;ROW()),
          'Unit-Level Data'!$B:$B, INDIRECT("B"&amp;ROW()))</f>
        <v>0</v>
      </c>
      <c r="Z382" s="761"/>
      <c r="AA382" s="735" cm="1">
        <f t="array" aca="true" ref="AA382" ca="true">IFERROR(AVERAGEIFS(
  unit_details[Sqft],
  unit_details[Property Name], INDIRECT("B"&amp;ROW()),
  unit_details[Floorplan Name], INDIRECT("C"&amp;ROW()),
  unit_details[Beds], INDIRECT("D"&amp;ROW()),
  unit_details[Detected Unit Amenities], "*"&amp;$AB$3&amp;"*",
  unit_details[Leased Date], "&gt;=" &amp; ($X$2 - $AD$3)
),0)</f>
        <v>0</v>
      </c>
      <c r="AB382" s="734" cm="1">
        <f t="array" aca="true" ref="AB3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2" s="733" cm="1">
        <f t="array" aca="true" ref="AC382" ca="true">IFERROR(COUNTIFS(
  unit_details[Property Name], INDIRECT("B"&amp;ROW()),
  unit_details[Floorplan Name], INDIRECT("C"&amp;ROW()),
  unit_details[Beds], INDIRECT("D"&amp;ROW()),
  unit_details[Detected Unit Amenities], "*"&amp;$AB$3&amp;"*",
  unit_details[Leased Date], "&gt;=" &amp; ($X$2 - $AD$3)
),0)</f>
        <v>0</v>
      </c>
      <c r="AD382" s="735" cm="1">
        <f t="array" aca="true" ref="AD382" ca="true">IFERROR(AVERAGEIFS(
  unit_details[Sqft],
  unit_details[Property Name], INDIRECT("B"&amp;ROW()),
  unit_details[Floorplan Name], INDIRECT("C"&amp;ROW()),
  unit_details[Beds], INDIRECT("D"&amp;ROW()),
  unit_details[Detected Unit Amenities], "&lt;&gt;*"&amp;$AB$3&amp;"*",
  unit_details[Leased Date], "&gt;=" &amp; ($X$2 - $AD$3)
),0)</f>
        <v>0</v>
      </c>
      <c r="AE382" s="734" cm="1">
        <f t="array" aca="true" ref="AE3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2" s="733" cm="1">
        <f t="array" aca="true" ref="AF382" ca="true">IFERROR(COUNTIFS(
  unit_details[Property Name], INDIRECT("B"&amp;ROW()),
  unit_details[Floorplan Name], INDIRECT("C"&amp;ROW()),
  unit_details[Beds], INDIRECT("D"&amp;ROW()),
  unit_details[Detected Unit Amenities], "&lt;&gt;*"&amp;$AB$3&amp;"*",
  unit_details[Leased Date], "&gt;=" &amp; ($X$2 - $AD$3)
),0)</f>
        <v>0</v>
      </c>
      <c r="AG382" s="735"/>
      <c r="AH382" s="738">
        <f t="shared" ca="true" si="12"/>
        <v>0</v>
      </c>
      <c r="AI382" s="739">
        <f t="shared" ca="true" si="13"/>
        <v>0</v>
      </c>
    </row>
    <row r="383" spans="10:35">
      <c r="J383" s="345"/>
      <c r="N383" s="738" t="str" cm="1">
        <f t="array" aca="true" ref="N383" ca="true">IFERROR(IF($O$3="Chunk Rent",
AVERAGEIFS('Unit-Level Data'!$O:$O,'Unit-Level Data'!$M:$M,TRUE,
          'Unit-Level Data'!$D:$D, INDIRECT("C"&amp;ROW()),
          'Unit-Level Data'!$B:$B, INDIRECT("B"&amp;ROW())),
AVERAGEIFS('Unit-Level Data'!$P:$P,'Unit-Level Data'!$M:$M,TRUE,
          'Unit-Level Data'!$D:$D, INDIRECT("C"&amp;ROW()),
          'Unit-Level Data'!$B:$B, INDIRECT("B"&amp;ROW()))),"")</f>
      </c>
      <c r="O383" s="760" t="str" cm="1">
        <f t="array" aca="true" ref="O383" ca="true">IFERROR(IF($O$3="Chunk Rent",
AVERAGEIFS('Unit-Level Data'!$Q:$Q,'Unit-Level Data'!$M:$M,TRUE,
          'Unit-Level Data'!$D:$D, INDIRECT("C"&amp;ROW()),
          'Unit-Level Data'!$B:$B, INDIRECT("B"&amp;ROW())),
AVERAGEIFS('Unit-Level Data'!$R:$R,'Unit-Level Data'!$M:$M,TRUE,
          'Unit-Level Data'!$D:$D, INDIRECT("C"&amp;ROW()),
          'Unit-Level Data'!$B:$B, INDIRECT("B"&amp;ROW()))),"")</f>
      </c>
      <c r="P383" s="733" cm="1">
        <f t="array" aca="true" ref="P383" ca="true">COUNTIFS('Unit-Level Data'!$M:$M,TRUE,
          'Unit-Level Data'!$D:$D, INDIRECT("C"&amp;ROW()),
          'Unit-Level Data'!$B:$B, INDIRECT("B"&amp;ROW()))</f>
        <v>0</v>
      </c>
      <c r="Q383" s="738" t="str" cm="1">
        <f t="array" aca="true" ref="Q3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3" s="760" t="str" cm="1">
        <f t="array" aca="true" ref="R3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3" s="733" cm="1">
        <f t="array" aca="true" ref="S383" ca="true">COUNTIFS('Unit-Level Data'!$L:$L, "&gt;=" &amp; ($X$2 - Q$5),
          'Unit-Level Data'!$L:$L, "&lt;" &amp; $X$2,
          'Unit-Level Data'!$D:$D, INDIRECT("C"&amp;ROW()),
          'Unit-Level Data'!$B:$B, INDIRECT("B"&amp;ROW()))</f>
        <v>0</v>
      </c>
      <c r="T383" s="738" t="str" cm="1">
        <f t="array" aca="true" ref="T3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3" s="760" t="str" cm="1">
        <f t="array" aca="true" ref="U3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3" s="733" cm="1">
        <f t="array" aca="true" ref="V383" ca="true">COUNTIFS('Unit-Level Data'!$L:$L, "&gt;=" &amp; ($X$2 - T$5),
          'Unit-Level Data'!$L:$L, "&lt;" &amp; $X$2,
          'Unit-Level Data'!$D:$D, INDIRECT("C"&amp;ROW()),
          'Unit-Level Data'!$B:$B, INDIRECT("B"&amp;ROW()))</f>
        <v>0</v>
      </c>
      <c r="W383" s="738" t="str" cm="1">
        <f t="array" aca="true" ref="W3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3" s="760" t="str" cm="1">
        <f t="array" aca="true" ref="X3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3" s="733" cm="1">
        <f t="array" aca="true" ref="Y383" ca="true">COUNTIFS('Unit-Level Data'!$L:$L, "&gt;=" &amp; ($X$2 - W$5),
          'Unit-Level Data'!$L:$L, "&lt;" &amp; $X$2,
          'Unit-Level Data'!$D:$D, INDIRECT("C"&amp;ROW()),
          'Unit-Level Data'!$B:$B, INDIRECT("B"&amp;ROW()))</f>
        <v>0</v>
      </c>
      <c r="Z383" s="761"/>
      <c r="AA383" s="735" cm="1">
        <f t="array" aca="true" ref="AA383" ca="true">IFERROR(AVERAGEIFS(
  unit_details[Sqft],
  unit_details[Property Name], INDIRECT("B"&amp;ROW()),
  unit_details[Floorplan Name], INDIRECT("C"&amp;ROW()),
  unit_details[Beds], INDIRECT("D"&amp;ROW()),
  unit_details[Detected Unit Amenities], "*"&amp;$AB$3&amp;"*",
  unit_details[Leased Date], "&gt;=" &amp; ($X$2 - $AD$3)
),0)</f>
        <v>0</v>
      </c>
      <c r="AB383" s="734" cm="1">
        <f t="array" aca="true" ref="AB3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3" s="733" cm="1">
        <f t="array" aca="true" ref="AC383" ca="true">IFERROR(COUNTIFS(
  unit_details[Property Name], INDIRECT("B"&amp;ROW()),
  unit_details[Floorplan Name], INDIRECT("C"&amp;ROW()),
  unit_details[Beds], INDIRECT("D"&amp;ROW()),
  unit_details[Detected Unit Amenities], "*"&amp;$AB$3&amp;"*",
  unit_details[Leased Date], "&gt;=" &amp; ($X$2 - $AD$3)
),0)</f>
        <v>0</v>
      </c>
      <c r="AD383" s="735" cm="1">
        <f t="array" aca="true" ref="AD383" ca="true">IFERROR(AVERAGEIFS(
  unit_details[Sqft],
  unit_details[Property Name], INDIRECT("B"&amp;ROW()),
  unit_details[Floorplan Name], INDIRECT("C"&amp;ROW()),
  unit_details[Beds], INDIRECT("D"&amp;ROW()),
  unit_details[Detected Unit Amenities], "&lt;&gt;*"&amp;$AB$3&amp;"*",
  unit_details[Leased Date], "&gt;=" &amp; ($X$2 - $AD$3)
),0)</f>
        <v>0</v>
      </c>
      <c r="AE383" s="734" cm="1">
        <f t="array" aca="true" ref="AE3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3" s="733" cm="1">
        <f t="array" aca="true" ref="AF383" ca="true">IFERROR(COUNTIFS(
  unit_details[Property Name], INDIRECT("B"&amp;ROW()),
  unit_details[Floorplan Name], INDIRECT("C"&amp;ROW()),
  unit_details[Beds], INDIRECT("D"&amp;ROW()),
  unit_details[Detected Unit Amenities], "&lt;&gt;*"&amp;$AB$3&amp;"*",
  unit_details[Leased Date], "&gt;=" &amp; ($X$2 - $AD$3)
),0)</f>
        <v>0</v>
      </c>
      <c r="AG383" s="735"/>
      <c r="AH383" s="738">
        <f t="shared" ca="true" si="12"/>
        <v>0</v>
      </c>
      <c r="AI383" s="739">
        <f t="shared" ca="true" si="13"/>
        <v>0</v>
      </c>
    </row>
    <row r="384" spans="10:35">
      <c r="J384" s="345"/>
      <c r="N384" s="738" t="str" cm="1">
        <f t="array" aca="true" ref="N384" ca="true">IFERROR(IF($O$3="Chunk Rent",
AVERAGEIFS('Unit-Level Data'!$O:$O,'Unit-Level Data'!$M:$M,TRUE,
          'Unit-Level Data'!$D:$D, INDIRECT("C"&amp;ROW()),
          'Unit-Level Data'!$B:$B, INDIRECT("B"&amp;ROW())),
AVERAGEIFS('Unit-Level Data'!$P:$P,'Unit-Level Data'!$M:$M,TRUE,
          'Unit-Level Data'!$D:$D, INDIRECT("C"&amp;ROW()),
          'Unit-Level Data'!$B:$B, INDIRECT("B"&amp;ROW()))),"")</f>
      </c>
      <c r="O384" s="760" t="str" cm="1">
        <f t="array" aca="true" ref="O384" ca="true">IFERROR(IF($O$3="Chunk Rent",
AVERAGEIFS('Unit-Level Data'!$Q:$Q,'Unit-Level Data'!$M:$M,TRUE,
          'Unit-Level Data'!$D:$D, INDIRECT("C"&amp;ROW()),
          'Unit-Level Data'!$B:$B, INDIRECT("B"&amp;ROW())),
AVERAGEIFS('Unit-Level Data'!$R:$R,'Unit-Level Data'!$M:$M,TRUE,
          'Unit-Level Data'!$D:$D, INDIRECT("C"&amp;ROW()),
          'Unit-Level Data'!$B:$B, INDIRECT("B"&amp;ROW()))),"")</f>
      </c>
      <c r="P384" s="733" cm="1">
        <f t="array" aca="true" ref="P384" ca="true">COUNTIFS('Unit-Level Data'!$M:$M,TRUE,
          'Unit-Level Data'!$D:$D, INDIRECT("C"&amp;ROW()),
          'Unit-Level Data'!$B:$B, INDIRECT("B"&amp;ROW()))</f>
        <v>0</v>
      </c>
      <c r="Q384" s="738" t="str" cm="1">
        <f t="array" aca="true" ref="Q3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4" s="760" t="str" cm="1">
        <f t="array" aca="true" ref="R3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4" s="733" cm="1">
        <f t="array" aca="true" ref="S384" ca="true">COUNTIFS('Unit-Level Data'!$L:$L, "&gt;=" &amp; ($X$2 - Q$5),
          'Unit-Level Data'!$L:$L, "&lt;" &amp; $X$2,
          'Unit-Level Data'!$D:$D, INDIRECT("C"&amp;ROW()),
          'Unit-Level Data'!$B:$B, INDIRECT("B"&amp;ROW()))</f>
        <v>0</v>
      </c>
      <c r="T384" s="738" t="str" cm="1">
        <f t="array" aca="true" ref="T3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4" s="760" t="str" cm="1">
        <f t="array" aca="true" ref="U3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4" s="733" cm="1">
        <f t="array" aca="true" ref="V384" ca="true">COUNTIFS('Unit-Level Data'!$L:$L, "&gt;=" &amp; ($X$2 - T$5),
          'Unit-Level Data'!$L:$L, "&lt;" &amp; $X$2,
          'Unit-Level Data'!$D:$D, INDIRECT("C"&amp;ROW()),
          'Unit-Level Data'!$B:$B, INDIRECT("B"&amp;ROW()))</f>
        <v>0</v>
      </c>
      <c r="W384" s="738" t="str" cm="1">
        <f t="array" aca="true" ref="W3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4" s="760" t="str" cm="1">
        <f t="array" aca="true" ref="X3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4" s="733" cm="1">
        <f t="array" aca="true" ref="Y384" ca="true">COUNTIFS('Unit-Level Data'!$L:$L, "&gt;=" &amp; ($X$2 - W$5),
          'Unit-Level Data'!$L:$L, "&lt;" &amp; $X$2,
          'Unit-Level Data'!$D:$D, INDIRECT("C"&amp;ROW()),
          'Unit-Level Data'!$B:$B, INDIRECT("B"&amp;ROW()))</f>
        <v>0</v>
      </c>
      <c r="Z384" s="761"/>
      <c r="AA384" s="735" cm="1">
        <f t="array" aca="true" ref="AA384" ca="true">IFERROR(AVERAGEIFS(
  unit_details[Sqft],
  unit_details[Property Name], INDIRECT("B"&amp;ROW()),
  unit_details[Floorplan Name], INDIRECT("C"&amp;ROW()),
  unit_details[Beds], INDIRECT("D"&amp;ROW()),
  unit_details[Detected Unit Amenities], "*"&amp;$AB$3&amp;"*",
  unit_details[Leased Date], "&gt;=" &amp; ($X$2 - $AD$3)
),0)</f>
        <v>0</v>
      </c>
      <c r="AB384" s="734" cm="1">
        <f t="array" aca="true" ref="AB3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4" s="733" cm="1">
        <f t="array" aca="true" ref="AC384" ca="true">IFERROR(COUNTIFS(
  unit_details[Property Name], INDIRECT("B"&amp;ROW()),
  unit_details[Floorplan Name], INDIRECT("C"&amp;ROW()),
  unit_details[Beds], INDIRECT("D"&amp;ROW()),
  unit_details[Detected Unit Amenities], "*"&amp;$AB$3&amp;"*",
  unit_details[Leased Date], "&gt;=" &amp; ($X$2 - $AD$3)
),0)</f>
        <v>0</v>
      </c>
      <c r="AD384" s="735" cm="1">
        <f t="array" aca="true" ref="AD384" ca="true">IFERROR(AVERAGEIFS(
  unit_details[Sqft],
  unit_details[Property Name], INDIRECT("B"&amp;ROW()),
  unit_details[Floorplan Name], INDIRECT("C"&amp;ROW()),
  unit_details[Beds], INDIRECT("D"&amp;ROW()),
  unit_details[Detected Unit Amenities], "&lt;&gt;*"&amp;$AB$3&amp;"*",
  unit_details[Leased Date], "&gt;=" &amp; ($X$2 - $AD$3)
),0)</f>
        <v>0</v>
      </c>
      <c r="AE384" s="734" cm="1">
        <f t="array" aca="true" ref="AE3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4" s="733" cm="1">
        <f t="array" aca="true" ref="AF384" ca="true">IFERROR(COUNTIFS(
  unit_details[Property Name], INDIRECT("B"&amp;ROW()),
  unit_details[Floorplan Name], INDIRECT("C"&amp;ROW()),
  unit_details[Beds], INDIRECT("D"&amp;ROW()),
  unit_details[Detected Unit Amenities], "&lt;&gt;*"&amp;$AB$3&amp;"*",
  unit_details[Leased Date], "&gt;=" &amp; ($X$2 - $AD$3)
),0)</f>
        <v>0</v>
      </c>
      <c r="AG384" s="735"/>
      <c r="AH384" s="738">
        <f t="shared" ca="true" si="12"/>
        <v>0</v>
      </c>
      <c r="AI384" s="739">
        <f t="shared" ca="true" si="13"/>
        <v>0</v>
      </c>
    </row>
    <row r="385" spans="10:35">
      <c r="J385" s="345"/>
      <c r="N385" s="738" t="str" cm="1">
        <f t="array" aca="true" ref="N385" ca="true">IFERROR(IF($O$3="Chunk Rent",
AVERAGEIFS('Unit-Level Data'!$O:$O,'Unit-Level Data'!$M:$M,TRUE,
          'Unit-Level Data'!$D:$D, INDIRECT("C"&amp;ROW()),
          'Unit-Level Data'!$B:$B, INDIRECT("B"&amp;ROW())),
AVERAGEIFS('Unit-Level Data'!$P:$P,'Unit-Level Data'!$M:$M,TRUE,
          'Unit-Level Data'!$D:$D, INDIRECT("C"&amp;ROW()),
          'Unit-Level Data'!$B:$B, INDIRECT("B"&amp;ROW()))),"")</f>
      </c>
      <c r="O385" s="760" t="str" cm="1">
        <f t="array" aca="true" ref="O385" ca="true">IFERROR(IF($O$3="Chunk Rent",
AVERAGEIFS('Unit-Level Data'!$Q:$Q,'Unit-Level Data'!$M:$M,TRUE,
          'Unit-Level Data'!$D:$D, INDIRECT("C"&amp;ROW()),
          'Unit-Level Data'!$B:$B, INDIRECT("B"&amp;ROW())),
AVERAGEIFS('Unit-Level Data'!$R:$R,'Unit-Level Data'!$M:$M,TRUE,
          'Unit-Level Data'!$D:$D, INDIRECT("C"&amp;ROW()),
          'Unit-Level Data'!$B:$B, INDIRECT("B"&amp;ROW()))),"")</f>
      </c>
      <c r="P385" s="733" cm="1">
        <f t="array" aca="true" ref="P385" ca="true">COUNTIFS('Unit-Level Data'!$M:$M,TRUE,
          'Unit-Level Data'!$D:$D, INDIRECT("C"&amp;ROW()),
          'Unit-Level Data'!$B:$B, INDIRECT("B"&amp;ROW()))</f>
        <v>0</v>
      </c>
      <c r="Q385" s="738" t="str" cm="1">
        <f t="array" aca="true" ref="Q3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5" s="760" t="str" cm="1">
        <f t="array" aca="true" ref="R3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5" s="733" cm="1">
        <f t="array" aca="true" ref="S385" ca="true">COUNTIFS('Unit-Level Data'!$L:$L, "&gt;=" &amp; ($X$2 - Q$5),
          'Unit-Level Data'!$L:$L, "&lt;" &amp; $X$2,
          'Unit-Level Data'!$D:$D, INDIRECT("C"&amp;ROW()),
          'Unit-Level Data'!$B:$B, INDIRECT("B"&amp;ROW()))</f>
        <v>0</v>
      </c>
      <c r="T385" s="738" t="str" cm="1">
        <f t="array" aca="true" ref="T3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5" s="760" t="str" cm="1">
        <f t="array" aca="true" ref="U3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5" s="733" cm="1">
        <f t="array" aca="true" ref="V385" ca="true">COUNTIFS('Unit-Level Data'!$L:$L, "&gt;=" &amp; ($X$2 - T$5),
          'Unit-Level Data'!$L:$L, "&lt;" &amp; $X$2,
          'Unit-Level Data'!$D:$D, INDIRECT("C"&amp;ROW()),
          'Unit-Level Data'!$B:$B, INDIRECT("B"&amp;ROW()))</f>
        <v>0</v>
      </c>
      <c r="W385" s="738" t="str" cm="1">
        <f t="array" aca="true" ref="W3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5" s="760" t="str" cm="1">
        <f t="array" aca="true" ref="X3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5" s="733" cm="1">
        <f t="array" aca="true" ref="Y385" ca="true">COUNTIFS('Unit-Level Data'!$L:$L, "&gt;=" &amp; ($X$2 - W$5),
          'Unit-Level Data'!$L:$L, "&lt;" &amp; $X$2,
          'Unit-Level Data'!$D:$D, INDIRECT("C"&amp;ROW()),
          'Unit-Level Data'!$B:$B, INDIRECT("B"&amp;ROW()))</f>
        <v>0</v>
      </c>
      <c r="Z385" s="761"/>
      <c r="AA385" s="735" cm="1">
        <f t="array" aca="true" ref="AA385" ca="true">IFERROR(AVERAGEIFS(
  unit_details[Sqft],
  unit_details[Property Name], INDIRECT("B"&amp;ROW()),
  unit_details[Floorplan Name], INDIRECT("C"&amp;ROW()),
  unit_details[Beds], INDIRECT("D"&amp;ROW()),
  unit_details[Detected Unit Amenities], "*"&amp;$AB$3&amp;"*",
  unit_details[Leased Date], "&gt;=" &amp; ($X$2 - $AD$3)
),0)</f>
        <v>0</v>
      </c>
      <c r="AB385" s="734" cm="1">
        <f t="array" aca="true" ref="AB3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5" s="733" cm="1">
        <f t="array" aca="true" ref="AC385" ca="true">IFERROR(COUNTIFS(
  unit_details[Property Name], INDIRECT("B"&amp;ROW()),
  unit_details[Floorplan Name], INDIRECT("C"&amp;ROW()),
  unit_details[Beds], INDIRECT("D"&amp;ROW()),
  unit_details[Detected Unit Amenities], "*"&amp;$AB$3&amp;"*",
  unit_details[Leased Date], "&gt;=" &amp; ($X$2 - $AD$3)
),0)</f>
        <v>0</v>
      </c>
      <c r="AD385" s="735" cm="1">
        <f t="array" aca="true" ref="AD385" ca="true">IFERROR(AVERAGEIFS(
  unit_details[Sqft],
  unit_details[Property Name], INDIRECT("B"&amp;ROW()),
  unit_details[Floorplan Name], INDIRECT("C"&amp;ROW()),
  unit_details[Beds], INDIRECT("D"&amp;ROW()),
  unit_details[Detected Unit Amenities], "&lt;&gt;*"&amp;$AB$3&amp;"*",
  unit_details[Leased Date], "&gt;=" &amp; ($X$2 - $AD$3)
),0)</f>
        <v>0</v>
      </c>
      <c r="AE385" s="734" cm="1">
        <f t="array" aca="true" ref="AE3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5" s="733" cm="1">
        <f t="array" aca="true" ref="AF385" ca="true">IFERROR(COUNTIFS(
  unit_details[Property Name], INDIRECT("B"&amp;ROW()),
  unit_details[Floorplan Name], INDIRECT("C"&amp;ROW()),
  unit_details[Beds], INDIRECT("D"&amp;ROW()),
  unit_details[Detected Unit Amenities], "&lt;&gt;*"&amp;$AB$3&amp;"*",
  unit_details[Leased Date], "&gt;=" &amp; ($X$2 - $AD$3)
),0)</f>
        <v>0</v>
      </c>
      <c r="AG385" s="735"/>
      <c r="AH385" s="738">
        <f t="shared" ca="true" si="12"/>
        <v>0</v>
      </c>
      <c r="AI385" s="739">
        <f t="shared" ca="true" si="13"/>
        <v>0</v>
      </c>
    </row>
    <row r="386" spans="10:35">
      <c r="J386" s="345"/>
      <c r="N386" s="738" t="str" cm="1">
        <f t="array" aca="true" ref="N386" ca="true">IFERROR(IF($O$3="Chunk Rent",
AVERAGEIFS('Unit-Level Data'!$O:$O,'Unit-Level Data'!$M:$M,TRUE,
          'Unit-Level Data'!$D:$D, INDIRECT("C"&amp;ROW()),
          'Unit-Level Data'!$B:$B, INDIRECT("B"&amp;ROW())),
AVERAGEIFS('Unit-Level Data'!$P:$P,'Unit-Level Data'!$M:$M,TRUE,
          'Unit-Level Data'!$D:$D, INDIRECT("C"&amp;ROW()),
          'Unit-Level Data'!$B:$B, INDIRECT("B"&amp;ROW()))),"")</f>
      </c>
      <c r="O386" s="760" t="str" cm="1">
        <f t="array" aca="true" ref="O386" ca="true">IFERROR(IF($O$3="Chunk Rent",
AVERAGEIFS('Unit-Level Data'!$Q:$Q,'Unit-Level Data'!$M:$M,TRUE,
          'Unit-Level Data'!$D:$D, INDIRECT("C"&amp;ROW()),
          'Unit-Level Data'!$B:$B, INDIRECT("B"&amp;ROW())),
AVERAGEIFS('Unit-Level Data'!$R:$R,'Unit-Level Data'!$M:$M,TRUE,
          'Unit-Level Data'!$D:$D, INDIRECT("C"&amp;ROW()),
          'Unit-Level Data'!$B:$B, INDIRECT("B"&amp;ROW()))),"")</f>
      </c>
      <c r="P386" s="733" cm="1">
        <f t="array" aca="true" ref="P386" ca="true">COUNTIFS('Unit-Level Data'!$M:$M,TRUE,
          'Unit-Level Data'!$D:$D, INDIRECT("C"&amp;ROW()),
          'Unit-Level Data'!$B:$B, INDIRECT("B"&amp;ROW()))</f>
        <v>0</v>
      </c>
      <c r="Q386" s="738" t="str" cm="1">
        <f t="array" aca="true" ref="Q3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6" s="760" t="str" cm="1">
        <f t="array" aca="true" ref="R3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6" s="733" cm="1">
        <f t="array" aca="true" ref="S386" ca="true">COUNTIFS('Unit-Level Data'!$L:$L, "&gt;=" &amp; ($X$2 - Q$5),
          'Unit-Level Data'!$L:$L, "&lt;" &amp; $X$2,
          'Unit-Level Data'!$D:$D, INDIRECT("C"&amp;ROW()),
          'Unit-Level Data'!$B:$B, INDIRECT("B"&amp;ROW()))</f>
        <v>0</v>
      </c>
      <c r="T386" s="738" t="str" cm="1">
        <f t="array" aca="true" ref="T3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6" s="760" t="str" cm="1">
        <f t="array" aca="true" ref="U3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6" s="733" cm="1">
        <f t="array" aca="true" ref="V386" ca="true">COUNTIFS('Unit-Level Data'!$L:$L, "&gt;=" &amp; ($X$2 - T$5),
          'Unit-Level Data'!$L:$L, "&lt;" &amp; $X$2,
          'Unit-Level Data'!$D:$D, INDIRECT("C"&amp;ROW()),
          'Unit-Level Data'!$B:$B, INDIRECT("B"&amp;ROW()))</f>
        <v>0</v>
      </c>
      <c r="W386" s="738" t="str" cm="1">
        <f t="array" aca="true" ref="W3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6" s="760" t="str" cm="1">
        <f t="array" aca="true" ref="X3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6" s="733" cm="1">
        <f t="array" aca="true" ref="Y386" ca="true">COUNTIFS('Unit-Level Data'!$L:$L, "&gt;=" &amp; ($X$2 - W$5),
          'Unit-Level Data'!$L:$L, "&lt;" &amp; $X$2,
          'Unit-Level Data'!$D:$D, INDIRECT("C"&amp;ROW()),
          'Unit-Level Data'!$B:$B, INDIRECT("B"&amp;ROW()))</f>
        <v>0</v>
      </c>
      <c r="Z386" s="761"/>
      <c r="AA386" s="735" cm="1">
        <f t="array" aca="true" ref="AA386" ca="true">IFERROR(AVERAGEIFS(
  unit_details[Sqft],
  unit_details[Property Name], INDIRECT("B"&amp;ROW()),
  unit_details[Floorplan Name], INDIRECT("C"&amp;ROW()),
  unit_details[Beds], INDIRECT("D"&amp;ROW()),
  unit_details[Detected Unit Amenities], "*"&amp;$AB$3&amp;"*",
  unit_details[Leased Date], "&gt;=" &amp; ($X$2 - $AD$3)
),0)</f>
        <v>0</v>
      </c>
      <c r="AB386" s="734" cm="1">
        <f t="array" aca="true" ref="AB3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6" s="733" cm="1">
        <f t="array" aca="true" ref="AC386" ca="true">IFERROR(COUNTIFS(
  unit_details[Property Name], INDIRECT("B"&amp;ROW()),
  unit_details[Floorplan Name], INDIRECT("C"&amp;ROW()),
  unit_details[Beds], INDIRECT("D"&amp;ROW()),
  unit_details[Detected Unit Amenities], "*"&amp;$AB$3&amp;"*",
  unit_details[Leased Date], "&gt;=" &amp; ($X$2 - $AD$3)
),0)</f>
        <v>0</v>
      </c>
      <c r="AD386" s="735" cm="1">
        <f t="array" aca="true" ref="AD386" ca="true">IFERROR(AVERAGEIFS(
  unit_details[Sqft],
  unit_details[Property Name], INDIRECT("B"&amp;ROW()),
  unit_details[Floorplan Name], INDIRECT("C"&amp;ROW()),
  unit_details[Beds], INDIRECT("D"&amp;ROW()),
  unit_details[Detected Unit Amenities], "&lt;&gt;*"&amp;$AB$3&amp;"*",
  unit_details[Leased Date], "&gt;=" &amp; ($X$2 - $AD$3)
),0)</f>
        <v>0</v>
      </c>
      <c r="AE386" s="734" cm="1">
        <f t="array" aca="true" ref="AE3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6" s="733" cm="1">
        <f t="array" aca="true" ref="AF386" ca="true">IFERROR(COUNTIFS(
  unit_details[Property Name], INDIRECT("B"&amp;ROW()),
  unit_details[Floorplan Name], INDIRECT("C"&amp;ROW()),
  unit_details[Beds], INDIRECT("D"&amp;ROW()),
  unit_details[Detected Unit Amenities], "&lt;&gt;*"&amp;$AB$3&amp;"*",
  unit_details[Leased Date], "&gt;=" &amp; ($X$2 - $AD$3)
),0)</f>
        <v>0</v>
      </c>
      <c r="AG386" s="735"/>
      <c r="AH386" s="738">
        <f t="shared" ca="true" si="12"/>
        <v>0</v>
      </c>
      <c r="AI386" s="739">
        <f t="shared" ca="true" si="13"/>
        <v>0</v>
      </c>
    </row>
    <row r="387" spans="10:35">
      <c r="J387" s="345"/>
      <c r="N387" s="738" t="str" cm="1">
        <f t="array" aca="true" ref="N387" ca="true">IFERROR(IF($O$3="Chunk Rent",
AVERAGEIFS('Unit-Level Data'!$O:$O,'Unit-Level Data'!$M:$M,TRUE,
          'Unit-Level Data'!$D:$D, INDIRECT("C"&amp;ROW()),
          'Unit-Level Data'!$B:$B, INDIRECT("B"&amp;ROW())),
AVERAGEIFS('Unit-Level Data'!$P:$P,'Unit-Level Data'!$M:$M,TRUE,
          'Unit-Level Data'!$D:$D, INDIRECT("C"&amp;ROW()),
          'Unit-Level Data'!$B:$B, INDIRECT("B"&amp;ROW()))),"")</f>
      </c>
      <c r="O387" s="760" t="str" cm="1">
        <f t="array" aca="true" ref="O387" ca="true">IFERROR(IF($O$3="Chunk Rent",
AVERAGEIFS('Unit-Level Data'!$Q:$Q,'Unit-Level Data'!$M:$M,TRUE,
          'Unit-Level Data'!$D:$D, INDIRECT("C"&amp;ROW()),
          'Unit-Level Data'!$B:$B, INDIRECT("B"&amp;ROW())),
AVERAGEIFS('Unit-Level Data'!$R:$R,'Unit-Level Data'!$M:$M,TRUE,
          'Unit-Level Data'!$D:$D, INDIRECT("C"&amp;ROW()),
          'Unit-Level Data'!$B:$B, INDIRECT("B"&amp;ROW()))),"")</f>
      </c>
      <c r="P387" s="733" cm="1">
        <f t="array" aca="true" ref="P387" ca="true">COUNTIFS('Unit-Level Data'!$M:$M,TRUE,
          'Unit-Level Data'!$D:$D, INDIRECT("C"&amp;ROW()),
          'Unit-Level Data'!$B:$B, INDIRECT("B"&amp;ROW()))</f>
        <v>0</v>
      </c>
      <c r="Q387" s="738" t="str" cm="1">
        <f t="array" aca="true" ref="Q3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7" s="760" t="str" cm="1">
        <f t="array" aca="true" ref="R3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7" s="733" cm="1">
        <f t="array" aca="true" ref="S387" ca="true">COUNTIFS('Unit-Level Data'!$L:$L, "&gt;=" &amp; ($X$2 - Q$5),
          'Unit-Level Data'!$L:$L, "&lt;" &amp; $X$2,
          'Unit-Level Data'!$D:$D, INDIRECT("C"&amp;ROW()),
          'Unit-Level Data'!$B:$B, INDIRECT("B"&amp;ROW()))</f>
        <v>0</v>
      </c>
      <c r="T387" s="738" t="str" cm="1">
        <f t="array" aca="true" ref="T3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7" s="760" t="str" cm="1">
        <f t="array" aca="true" ref="U3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7" s="733" cm="1">
        <f t="array" aca="true" ref="V387" ca="true">COUNTIFS('Unit-Level Data'!$L:$L, "&gt;=" &amp; ($X$2 - T$5),
          'Unit-Level Data'!$L:$L, "&lt;" &amp; $X$2,
          'Unit-Level Data'!$D:$D, INDIRECT("C"&amp;ROW()),
          'Unit-Level Data'!$B:$B, INDIRECT("B"&amp;ROW()))</f>
        <v>0</v>
      </c>
      <c r="W387" s="738" t="str" cm="1">
        <f t="array" aca="true" ref="W3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7" s="760" t="str" cm="1">
        <f t="array" aca="true" ref="X3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7" s="733" cm="1">
        <f t="array" aca="true" ref="Y387" ca="true">COUNTIFS('Unit-Level Data'!$L:$L, "&gt;=" &amp; ($X$2 - W$5),
          'Unit-Level Data'!$L:$L, "&lt;" &amp; $X$2,
          'Unit-Level Data'!$D:$D, INDIRECT("C"&amp;ROW()),
          'Unit-Level Data'!$B:$B, INDIRECT("B"&amp;ROW()))</f>
        <v>0</v>
      </c>
      <c r="Z387" s="761"/>
      <c r="AA387" s="735" cm="1">
        <f t="array" aca="true" ref="AA387" ca="true">IFERROR(AVERAGEIFS(
  unit_details[Sqft],
  unit_details[Property Name], INDIRECT("B"&amp;ROW()),
  unit_details[Floorplan Name], INDIRECT("C"&amp;ROW()),
  unit_details[Beds], INDIRECT("D"&amp;ROW()),
  unit_details[Detected Unit Amenities], "*"&amp;$AB$3&amp;"*",
  unit_details[Leased Date], "&gt;=" &amp; ($X$2 - $AD$3)
),0)</f>
        <v>0</v>
      </c>
      <c r="AB387" s="734" cm="1">
        <f t="array" aca="true" ref="AB3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7" s="733" cm="1">
        <f t="array" aca="true" ref="AC387" ca="true">IFERROR(COUNTIFS(
  unit_details[Property Name], INDIRECT("B"&amp;ROW()),
  unit_details[Floorplan Name], INDIRECT("C"&amp;ROW()),
  unit_details[Beds], INDIRECT("D"&amp;ROW()),
  unit_details[Detected Unit Amenities], "*"&amp;$AB$3&amp;"*",
  unit_details[Leased Date], "&gt;=" &amp; ($X$2 - $AD$3)
),0)</f>
        <v>0</v>
      </c>
      <c r="AD387" s="735" cm="1">
        <f t="array" aca="true" ref="AD387" ca="true">IFERROR(AVERAGEIFS(
  unit_details[Sqft],
  unit_details[Property Name], INDIRECT("B"&amp;ROW()),
  unit_details[Floorplan Name], INDIRECT("C"&amp;ROW()),
  unit_details[Beds], INDIRECT("D"&amp;ROW()),
  unit_details[Detected Unit Amenities], "&lt;&gt;*"&amp;$AB$3&amp;"*",
  unit_details[Leased Date], "&gt;=" &amp; ($X$2 - $AD$3)
),0)</f>
        <v>0</v>
      </c>
      <c r="AE387" s="734" cm="1">
        <f t="array" aca="true" ref="AE3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7" s="733" cm="1">
        <f t="array" aca="true" ref="AF387" ca="true">IFERROR(COUNTIFS(
  unit_details[Property Name], INDIRECT("B"&amp;ROW()),
  unit_details[Floorplan Name], INDIRECT("C"&amp;ROW()),
  unit_details[Beds], INDIRECT("D"&amp;ROW()),
  unit_details[Detected Unit Amenities], "&lt;&gt;*"&amp;$AB$3&amp;"*",
  unit_details[Leased Date], "&gt;=" &amp; ($X$2 - $AD$3)
),0)</f>
        <v>0</v>
      </c>
      <c r="AG387" s="735"/>
      <c r="AH387" s="738">
        <f t="shared" ca="true" si="12"/>
        <v>0</v>
      </c>
      <c r="AI387" s="739">
        <f t="shared" ca="true" si="13"/>
        <v>0</v>
      </c>
    </row>
    <row r="388" spans="10:35">
      <c r="J388" s="345"/>
      <c r="N388" s="738" t="str" cm="1">
        <f t="array" aca="true" ref="N388" ca="true">IFERROR(IF($O$3="Chunk Rent",
AVERAGEIFS('Unit-Level Data'!$O:$O,'Unit-Level Data'!$M:$M,TRUE,
          'Unit-Level Data'!$D:$D, INDIRECT("C"&amp;ROW()),
          'Unit-Level Data'!$B:$B, INDIRECT("B"&amp;ROW())),
AVERAGEIFS('Unit-Level Data'!$P:$P,'Unit-Level Data'!$M:$M,TRUE,
          'Unit-Level Data'!$D:$D, INDIRECT("C"&amp;ROW()),
          'Unit-Level Data'!$B:$B, INDIRECT("B"&amp;ROW()))),"")</f>
      </c>
      <c r="O388" s="760" t="str" cm="1">
        <f t="array" aca="true" ref="O388" ca="true">IFERROR(IF($O$3="Chunk Rent",
AVERAGEIFS('Unit-Level Data'!$Q:$Q,'Unit-Level Data'!$M:$M,TRUE,
          'Unit-Level Data'!$D:$D, INDIRECT("C"&amp;ROW()),
          'Unit-Level Data'!$B:$B, INDIRECT("B"&amp;ROW())),
AVERAGEIFS('Unit-Level Data'!$R:$R,'Unit-Level Data'!$M:$M,TRUE,
          'Unit-Level Data'!$D:$D, INDIRECT("C"&amp;ROW()),
          'Unit-Level Data'!$B:$B, INDIRECT("B"&amp;ROW()))),"")</f>
      </c>
      <c r="P388" s="733" cm="1">
        <f t="array" aca="true" ref="P388" ca="true">COUNTIFS('Unit-Level Data'!$M:$M,TRUE,
          'Unit-Level Data'!$D:$D, INDIRECT("C"&amp;ROW()),
          'Unit-Level Data'!$B:$B, INDIRECT("B"&amp;ROW()))</f>
        <v>0</v>
      </c>
      <c r="Q388" s="738" t="str" cm="1">
        <f t="array" aca="true" ref="Q3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8" s="760" t="str" cm="1">
        <f t="array" aca="true" ref="R3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8" s="733" cm="1">
        <f t="array" aca="true" ref="S388" ca="true">COUNTIFS('Unit-Level Data'!$L:$L, "&gt;=" &amp; ($X$2 - Q$5),
          'Unit-Level Data'!$L:$L, "&lt;" &amp; $X$2,
          'Unit-Level Data'!$D:$D, INDIRECT("C"&amp;ROW()),
          'Unit-Level Data'!$B:$B, INDIRECT("B"&amp;ROW()))</f>
        <v>0</v>
      </c>
      <c r="T388" s="738" t="str" cm="1">
        <f t="array" aca="true" ref="T3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8" s="760" t="str" cm="1">
        <f t="array" aca="true" ref="U3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8" s="733" cm="1">
        <f t="array" aca="true" ref="V388" ca="true">COUNTIFS('Unit-Level Data'!$L:$L, "&gt;=" &amp; ($X$2 - T$5),
          'Unit-Level Data'!$L:$L, "&lt;" &amp; $X$2,
          'Unit-Level Data'!$D:$D, INDIRECT("C"&amp;ROW()),
          'Unit-Level Data'!$B:$B, INDIRECT("B"&amp;ROW()))</f>
        <v>0</v>
      </c>
      <c r="W388" s="738" t="str" cm="1">
        <f t="array" aca="true" ref="W3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8" s="760" t="str" cm="1">
        <f t="array" aca="true" ref="X3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8" s="733" cm="1">
        <f t="array" aca="true" ref="Y388" ca="true">COUNTIFS('Unit-Level Data'!$L:$L, "&gt;=" &amp; ($X$2 - W$5),
          'Unit-Level Data'!$L:$L, "&lt;" &amp; $X$2,
          'Unit-Level Data'!$D:$D, INDIRECT("C"&amp;ROW()),
          'Unit-Level Data'!$B:$B, INDIRECT("B"&amp;ROW()))</f>
        <v>0</v>
      </c>
      <c r="Z388" s="761"/>
      <c r="AA388" s="735" cm="1">
        <f t="array" aca="true" ref="AA388" ca="true">IFERROR(AVERAGEIFS(
  unit_details[Sqft],
  unit_details[Property Name], INDIRECT("B"&amp;ROW()),
  unit_details[Floorplan Name], INDIRECT("C"&amp;ROW()),
  unit_details[Beds], INDIRECT("D"&amp;ROW()),
  unit_details[Detected Unit Amenities], "*"&amp;$AB$3&amp;"*",
  unit_details[Leased Date], "&gt;=" &amp; ($X$2 - $AD$3)
),0)</f>
        <v>0</v>
      </c>
      <c r="AB388" s="734" cm="1">
        <f t="array" aca="true" ref="AB3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8" s="733" cm="1">
        <f t="array" aca="true" ref="AC388" ca="true">IFERROR(COUNTIFS(
  unit_details[Property Name], INDIRECT("B"&amp;ROW()),
  unit_details[Floorplan Name], INDIRECT("C"&amp;ROW()),
  unit_details[Beds], INDIRECT("D"&amp;ROW()),
  unit_details[Detected Unit Amenities], "*"&amp;$AB$3&amp;"*",
  unit_details[Leased Date], "&gt;=" &amp; ($X$2 - $AD$3)
),0)</f>
        <v>0</v>
      </c>
      <c r="AD388" s="735" cm="1">
        <f t="array" aca="true" ref="AD388" ca="true">IFERROR(AVERAGEIFS(
  unit_details[Sqft],
  unit_details[Property Name], INDIRECT("B"&amp;ROW()),
  unit_details[Floorplan Name], INDIRECT("C"&amp;ROW()),
  unit_details[Beds], INDIRECT("D"&amp;ROW()),
  unit_details[Detected Unit Amenities], "&lt;&gt;*"&amp;$AB$3&amp;"*",
  unit_details[Leased Date], "&gt;=" &amp; ($X$2 - $AD$3)
),0)</f>
        <v>0</v>
      </c>
      <c r="AE388" s="734" cm="1">
        <f t="array" aca="true" ref="AE3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8" s="733" cm="1">
        <f t="array" aca="true" ref="AF388" ca="true">IFERROR(COUNTIFS(
  unit_details[Property Name], INDIRECT("B"&amp;ROW()),
  unit_details[Floorplan Name], INDIRECT("C"&amp;ROW()),
  unit_details[Beds], INDIRECT("D"&amp;ROW()),
  unit_details[Detected Unit Amenities], "&lt;&gt;*"&amp;$AB$3&amp;"*",
  unit_details[Leased Date], "&gt;=" &amp; ($X$2 - $AD$3)
),0)</f>
        <v>0</v>
      </c>
      <c r="AG388" s="735"/>
      <c r="AH388" s="738">
        <f t="shared" ca="true" si="12"/>
        <v>0</v>
      </c>
      <c r="AI388" s="739">
        <f t="shared" ca="true" si="13"/>
        <v>0</v>
      </c>
    </row>
    <row r="389" spans="10:35">
      <c r="J389" s="345"/>
      <c r="N389" s="738" t="str" cm="1">
        <f t="array" aca="true" ref="N389" ca="true">IFERROR(IF($O$3="Chunk Rent",
AVERAGEIFS('Unit-Level Data'!$O:$O,'Unit-Level Data'!$M:$M,TRUE,
          'Unit-Level Data'!$D:$D, INDIRECT("C"&amp;ROW()),
          'Unit-Level Data'!$B:$B, INDIRECT("B"&amp;ROW())),
AVERAGEIFS('Unit-Level Data'!$P:$P,'Unit-Level Data'!$M:$M,TRUE,
          'Unit-Level Data'!$D:$D, INDIRECT("C"&amp;ROW()),
          'Unit-Level Data'!$B:$B, INDIRECT("B"&amp;ROW()))),"")</f>
      </c>
      <c r="O389" s="760" t="str" cm="1">
        <f t="array" aca="true" ref="O389" ca="true">IFERROR(IF($O$3="Chunk Rent",
AVERAGEIFS('Unit-Level Data'!$Q:$Q,'Unit-Level Data'!$M:$M,TRUE,
          'Unit-Level Data'!$D:$D, INDIRECT("C"&amp;ROW()),
          'Unit-Level Data'!$B:$B, INDIRECT("B"&amp;ROW())),
AVERAGEIFS('Unit-Level Data'!$R:$R,'Unit-Level Data'!$M:$M,TRUE,
          'Unit-Level Data'!$D:$D, INDIRECT("C"&amp;ROW()),
          'Unit-Level Data'!$B:$B, INDIRECT("B"&amp;ROW()))),"")</f>
      </c>
      <c r="P389" s="733" cm="1">
        <f t="array" aca="true" ref="P389" ca="true">COUNTIFS('Unit-Level Data'!$M:$M,TRUE,
          'Unit-Level Data'!$D:$D, INDIRECT("C"&amp;ROW()),
          'Unit-Level Data'!$B:$B, INDIRECT("B"&amp;ROW()))</f>
        <v>0</v>
      </c>
      <c r="Q389" s="738" t="str" cm="1">
        <f t="array" aca="true" ref="Q3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9" s="760" t="str" cm="1">
        <f t="array" aca="true" ref="R3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9" s="733" cm="1">
        <f t="array" aca="true" ref="S389" ca="true">COUNTIFS('Unit-Level Data'!$L:$L, "&gt;=" &amp; ($X$2 - Q$5),
          'Unit-Level Data'!$L:$L, "&lt;" &amp; $X$2,
          'Unit-Level Data'!$D:$D, INDIRECT("C"&amp;ROW()),
          'Unit-Level Data'!$B:$B, INDIRECT("B"&amp;ROW()))</f>
        <v>0</v>
      </c>
      <c r="T389" s="738" t="str" cm="1">
        <f t="array" aca="true" ref="T3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9" s="760" t="str" cm="1">
        <f t="array" aca="true" ref="U3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9" s="733" cm="1">
        <f t="array" aca="true" ref="V389" ca="true">COUNTIFS('Unit-Level Data'!$L:$L, "&gt;=" &amp; ($X$2 - T$5),
          'Unit-Level Data'!$L:$L, "&lt;" &amp; $X$2,
          'Unit-Level Data'!$D:$D, INDIRECT("C"&amp;ROW()),
          'Unit-Level Data'!$B:$B, INDIRECT("B"&amp;ROW()))</f>
        <v>0</v>
      </c>
      <c r="W389" s="738" t="str" cm="1">
        <f t="array" aca="true" ref="W3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9" s="760" t="str" cm="1">
        <f t="array" aca="true" ref="X3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9" s="733" cm="1">
        <f t="array" aca="true" ref="Y389" ca="true">COUNTIFS('Unit-Level Data'!$L:$L, "&gt;=" &amp; ($X$2 - W$5),
          'Unit-Level Data'!$L:$L, "&lt;" &amp; $X$2,
          'Unit-Level Data'!$D:$D, INDIRECT("C"&amp;ROW()),
          'Unit-Level Data'!$B:$B, INDIRECT("B"&amp;ROW()))</f>
        <v>0</v>
      </c>
      <c r="Z389" s="761"/>
      <c r="AA389" s="735" cm="1">
        <f t="array" aca="true" ref="AA389" ca="true">IFERROR(AVERAGEIFS(
  unit_details[Sqft],
  unit_details[Property Name], INDIRECT("B"&amp;ROW()),
  unit_details[Floorplan Name], INDIRECT("C"&amp;ROW()),
  unit_details[Beds], INDIRECT("D"&amp;ROW()),
  unit_details[Detected Unit Amenities], "*"&amp;$AB$3&amp;"*",
  unit_details[Leased Date], "&gt;=" &amp; ($X$2 - $AD$3)
),0)</f>
        <v>0</v>
      </c>
      <c r="AB389" s="734" cm="1">
        <f t="array" aca="true" ref="AB3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9" s="733" cm="1">
        <f t="array" aca="true" ref="AC389" ca="true">IFERROR(COUNTIFS(
  unit_details[Property Name], INDIRECT("B"&amp;ROW()),
  unit_details[Floorplan Name], INDIRECT("C"&amp;ROW()),
  unit_details[Beds], INDIRECT("D"&amp;ROW()),
  unit_details[Detected Unit Amenities], "*"&amp;$AB$3&amp;"*",
  unit_details[Leased Date], "&gt;=" &amp; ($X$2 - $AD$3)
),0)</f>
        <v>0</v>
      </c>
      <c r="AD389" s="735" cm="1">
        <f t="array" aca="true" ref="AD389" ca="true">IFERROR(AVERAGEIFS(
  unit_details[Sqft],
  unit_details[Property Name], INDIRECT("B"&amp;ROW()),
  unit_details[Floorplan Name], INDIRECT("C"&amp;ROW()),
  unit_details[Beds], INDIRECT("D"&amp;ROW()),
  unit_details[Detected Unit Amenities], "&lt;&gt;*"&amp;$AB$3&amp;"*",
  unit_details[Leased Date], "&gt;=" &amp; ($X$2 - $AD$3)
),0)</f>
        <v>0</v>
      </c>
      <c r="AE389" s="734" cm="1">
        <f t="array" aca="true" ref="AE3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9" s="733" cm="1">
        <f t="array" aca="true" ref="AF389" ca="true">IFERROR(COUNTIFS(
  unit_details[Property Name], INDIRECT("B"&amp;ROW()),
  unit_details[Floorplan Name], INDIRECT("C"&amp;ROW()),
  unit_details[Beds], INDIRECT("D"&amp;ROW()),
  unit_details[Detected Unit Amenities], "&lt;&gt;*"&amp;$AB$3&amp;"*",
  unit_details[Leased Date], "&gt;=" &amp; ($X$2 - $AD$3)
),0)</f>
        <v>0</v>
      </c>
      <c r="AG389" s="735"/>
      <c r="AH389" s="738">
        <f t="shared" ca="true" si="12"/>
        <v>0</v>
      </c>
      <c r="AI389" s="739">
        <f t="shared" ca="true" si="13"/>
        <v>0</v>
      </c>
    </row>
    <row r="390" spans="10:35">
      <c r="J390" s="345"/>
      <c r="N390" s="738" t="str" cm="1">
        <f t="array" aca="true" ref="N390" ca="true">IFERROR(IF($O$3="Chunk Rent",
AVERAGEIFS('Unit-Level Data'!$O:$O,'Unit-Level Data'!$M:$M,TRUE,
          'Unit-Level Data'!$D:$D, INDIRECT("C"&amp;ROW()),
          'Unit-Level Data'!$B:$B, INDIRECT("B"&amp;ROW())),
AVERAGEIFS('Unit-Level Data'!$P:$P,'Unit-Level Data'!$M:$M,TRUE,
          'Unit-Level Data'!$D:$D, INDIRECT("C"&amp;ROW()),
          'Unit-Level Data'!$B:$B, INDIRECT("B"&amp;ROW()))),"")</f>
      </c>
      <c r="O390" s="760" t="str" cm="1">
        <f t="array" aca="true" ref="O390" ca="true">IFERROR(IF($O$3="Chunk Rent",
AVERAGEIFS('Unit-Level Data'!$Q:$Q,'Unit-Level Data'!$M:$M,TRUE,
          'Unit-Level Data'!$D:$D, INDIRECT("C"&amp;ROW()),
          'Unit-Level Data'!$B:$B, INDIRECT("B"&amp;ROW())),
AVERAGEIFS('Unit-Level Data'!$R:$R,'Unit-Level Data'!$M:$M,TRUE,
          'Unit-Level Data'!$D:$D, INDIRECT("C"&amp;ROW()),
          'Unit-Level Data'!$B:$B, INDIRECT("B"&amp;ROW()))),"")</f>
      </c>
      <c r="P390" s="733" cm="1">
        <f t="array" aca="true" ref="P390" ca="true">COUNTIFS('Unit-Level Data'!$M:$M,TRUE,
          'Unit-Level Data'!$D:$D, INDIRECT("C"&amp;ROW()),
          'Unit-Level Data'!$B:$B, INDIRECT("B"&amp;ROW()))</f>
        <v>0</v>
      </c>
      <c r="Q390" s="738" t="str" cm="1">
        <f t="array" aca="true" ref="Q3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0" s="760" t="str" cm="1">
        <f t="array" aca="true" ref="R3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0" s="733" cm="1">
        <f t="array" aca="true" ref="S390" ca="true">COUNTIFS('Unit-Level Data'!$L:$L, "&gt;=" &amp; ($X$2 - Q$5),
          'Unit-Level Data'!$L:$L, "&lt;" &amp; $X$2,
          'Unit-Level Data'!$D:$D, INDIRECT("C"&amp;ROW()),
          'Unit-Level Data'!$B:$B, INDIRECT("B"&amp;ROW()))</f>
        <v>0</v>
      </c>
      <c r="T390" s="738" t="str" cm="1">
        <f t="array" aca="true" ref="T3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0" s="760" t="str" cm="1">
        <f t="array" aca="true" ref="U3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0" s="733" cm="1">
        <f t="array" aca="true" ref="V390" ca="true">COUNTIFS('Unit-Level Data'!$L:$L, "&gt;=" &amp; ($X$2 - T$5),
          'Unit-Level Data'!$L:$L, "&lt;" &amp; $X$2,
          'Unit-Level Data'!$D:$D, INDIRECT("C"&amp;ROW()),
          'Unit-Level Data'!$B:$B, INDIRECT("B"&amp;ROW()))</f>
        <v>0</v>
      </c>
      <c r="W390" s="738" t="str" cm="1">
        <f t="array" aca="true" ref="W3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0" s="760" t="str" cm="1">
        <f t="array" aca="true" ref="X3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0" s="733" cm="1">
        <f t="array" aca="true" ref="Y390" ca="true">COUNTIFS('Unit-Level Data'!$L:$L, "&gt;=" &amp; ($X$2 - W$5),
          'Unit-Level Data'!$L:$L, "&lt;" &amp; $X$2,
          'Unit-Level Data'!$D:$D, INDIRECT("C"&amp;ROW()),
          'Unit-Level Data'!$B:$B, INDIRECT("B"&amp;ROW()))</f>
        <v>0</v>
      </c>
      <c r="Z390" s="761"/>
      <c r="AA390" s="735" cm="1">
        <f t="array" aca="true" ref="AA390" ca="true">IFERROR(AVERAGEIFS(
  unit_details[Sqft],
  unit_details[Property Name], INDIRECT("B"&amp;ROW()),
  unit_details[Floorplan Name], INDIRECT("C"&amp;ROW()),
  unit_details[Beds], INDIRECT("D"&amp;ROW()),
  unit_details[Detected Unit Amenities], "*"&amp;$AB$3&amp;"*",
  unit_details[Leased Date], "&gt;=" &amp; ($X$2 - $AD$3)
),0)</f>
        <v>0</v>
      </c>
      <c r="AB390" s="734" cm="1">
        <f t="array" aca="true" ref="AB3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0" s="733" cm="1">
        <f t="array" aca="true" ref="AC390" ca="true">IFERROR(COUNTIFS(
  unit_details[Property Name], INDIRECT("B"&amp;ROW()),
  unit_details[Floorplan Name], INDIRECT("C"&amp;ROW()),
  unit_details[Beds], INDIRECT("D"&amp;ROW()),
  unit_details[Detected Unit Amenities], "*"&amp;$AB$3&amp;"*",
  unit_details[Leased Date], "&gt;=" &amp; ($X$2 - $AD$3)
),0)</f>
        <v>0</v>
      </c>
      <c r="AD390" s="735" cm="1">
        <f t="array" aca="true" ref="AD390" ca="true">IFERROR(AVERAGEIFS(
  unit_details[Sqft],
  unit_details[Property Name], INDIRECT("B"&amp;ROW()),
  unit_details[Floorplan Name], INDIRECT("C"&amp;ROW()),
  unit_details[Beds], INDIRECT("D"&amp;ROW()),
  unit_details[Detected Unit Amenities], "&lt;&gt;*"&amp;$AB$3&amp;"*",
  unit_details[Leased Date], "&gt;=" &amp; ($X$2 - $AD$3)
),0)</f>
        <v>0</v>
      </c>
      <c r="AE390" s="734" cm="1">
        <f t="array" aca="true" ref="AE3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0" s="733" cm="1">
        <f t="array" aca="true" ref="AF390" ca="true">IFERROR(COUNTIFS(
  unit_details[Property Name], INDIRECT("B"&amp;ROW()),
  unit_details[Floorplan Name], INDIRECT("C"&amp;ROW()),
  unit_details[Beds], INDIRECT("D"&amp;ROW()),
  unit_details[Detected Unit Amenities], "&lt;&gt;*"&amp;$AB$3&amp;"*",
  unit_details[Leased Date], "&gt;=" &amp; ($X$2 - $AD$3)
),0)</f>
        <v>0</v>
      </c>
      <c r="AG390" s="735"/>
      <c r="AH390" s="738">
        <f t="shared" ca="true" si="12"/>
        <v>0</v>
      </c>
      <c r="AI390" s="739">
        <f t="shared" ca="true" si="13"/>
        <v>0</v>
      </c>
    </row>
    <row r="391" spans="10:35">
      <c r="J391" s="345"/>
      <c r="N391" s="738" t="str" cm="1">
        <f t="array" aca="true" ref="N391" ca="true">IFERROR(IF($O$3="Chunk Rent",
AVERAGEIFS('Unit-Level Data'!$O:$O,'Unit-Level Data'!$M:$M,TRUE,
          'Unit-Level Data'!$D:$D, INDIRECT("C"&amp;ROW()),
          'Unit-Level Data'!$B:$B, INDIRECT("B"&amp;ROW())),
AVERAGEIFS('Unit-Level Data'!$P:$P,'Unit-Level Data'!$M:$M,TRUE,
          'Unit-Level Data'!$D:$D, INDIRECT("C"&amp;ROW()),
          'Unit-Level Data'!$B:$B, INDIRECT("B"&amp;ROW()))),"")</f>
      </c>
      <c r="O391" s="760" t="str" cm="1">
        <f t="array" aca="true" ref="O391" ca="true">IFERROR(IF($O$3="Chunk Rent",
AVERAGEIFS('Unit-Level Data'!$Q:$Q,'Unit-Level Data'!$M:$M,TRUE,
          'Unit-Level Data'!$D:$D, INDIRECT("C"&amp;ROW()),
          'Unit-Level Data'!$B:$B, INDIRECT("B"&amp;ROW())),
AVERAGEIFS('Unit-Level Data'!$R:$R,'Unit-Level Data'!$M:$M,TRUE,
          'Unit-Level Data'!$D:$D, INDIRECT("C"&amp;ROW()),
          'Unit-Level Data'!$B:$B, INDIRECT("B"&amp;ROW()))),"")</f>
      </c>
      <c r="P391" s="733" cm="1">
        <f t="array" aca="true" ref="P391" ca="true">COUNTIFS('Unit-Level Data'!$M:$M,TRUE,
          'Unit-Level Data'!$D:$D, INDIRECT("C"&amp;ROW()),
          'Unit-Level Data'!$B:$B, INDIRECT("B"&amp;ROW()))</f>
        <v>0</v>
      </c>
      <c r="Q391" s="738" t="str" cm="1">
        <f t="array" aca="true" ref="Q3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1" s="760" t="str" cm="1">
        <f t="array" aca="true" ref="R3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1" s="733" cm="1">
        <f t="array" aca="true" ref="S391" ca="true">COUNTIFS('Unit-Level Data'!$L:$L, "&gt;=" &amp; ($X$2 - Q$5),
          'Unit-Level Data'!$L:$L, "&lt;" &amp; $X$2,
          'Unit-Level Data'!$D:$D, INDIRECT("C"&amp;ROW()),
          'Unit-Level Data'!$B:$B, INDIRECT("B"&amp;ROW()))</f>
        <v>0</v>
      </c>
      <c r="T391" s="738" t="str" cm="1">
        <f t="array" aca="true" ref="T3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1" s="760" t="str" cm="1">
        <f t="array" aca="true" ref="U3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1" s="733" cm="1">
        <f t="array" aca="true" ref="V391" ca="true">COUNTIFS('Unit-Level Data'!$L:$L, "&gt;=" &amp; ($X$2 - T$5),
          'Unit-Level Data'!$L:$L, "&lt;" &amp; $X$2,
          'Unit-Level Data'!$D:$D, INDIRECT("C"&amp;ROW()),
          'Unit-Level Data'!$B:$B, INDIRECT("B"&amp;ROW()))</f>
        <v>0</v>
      </c>
      <c r="W391" s="738" t="str" cm="1">
        <f t="array" aca="true" ref="W3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1" s="760" t="str" cm="1">
        <f t="array" aca="true" ref="X3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1" s="733" cm="1">
        <f t="array" aca="true" ref="Y391" ca="true">COUNTIFS('Unit-Level Data'!$L:$L, "&gt;=" &amp; ($X$2 - W$5),
          'Unit-Level Data'!$L:$L, "&lt;" &amp; $X$2,
          'Unit-Level Data'!$D:$D, INDIRECT("C"&amp;ROW()),
          'Unit-Level Data'!$B:$B, INDIRECT("B"&amp;ROW()))</f>
        <v>0</v>
      </c>
      <c r="Z391" s="761"/>
      <c r="AA391" s="735" cm="1">
        <f t="array" aca="true" ref="AA391" ca="true">IFERROR(AVERAGEIFS(
  unit_details[Sqft],
  unit_details[Property Name], INDIRECT("B"&amp;ROW()),
  unit_details[Floorplan Name], INDIRECT("C"&amp;ROW()),
  unit_details[Beds], INDIRECT("D"&amp;ROW()),
  unit_details[Detected Unit Amenities], "*"&amp;$AB$3&amp;"*",
  unit_details[Leased Date], "&gt;=" &amp; ($X$2 - $AD$3)
),0)</f>
        <v>0</v>
      </c>
      <c r="AB391" s="734" cm="1">
        <f t="array" aca="true" ref="AB3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1" s="733" cm="1">
        <f t="array" aca="true" ref="AC391" ca="true">IFERROR(COUNTIFS(
  unit_details[Property Name], INDIRECT("B"&amp;ROW()),
  unit_details[Floorplan Name], INDIRECT("C"&amp;ROW()),
  unit_details[Beds], INDIRECT("D"&amp;ROW()),
  unit_details[Detected Unit Amenities], "*"&amp;$AB$3&amp;"*",
  unit_details[Leased Date], "&gt;=" &amp; ($X$2 - $AD$3)
),0)</f>
        <v>0</v>
      </c>
      <c r="AD391" s="735" cm="1">
        <f t="array" aca="true" ref="AD391" ca="true">IFERROR(AVERAGEIFS(
  unit_details[Sqft],
  unit_details[Property Name], INDIRECT("B"&amp;ROW()),
  unit_details[Floorplan Name], INDIRECT("C"&amp;ROW()),
  unit_details[Beds], INDIRECT("D"&amp;ROW()),
  unit_details[Detected Unit Amenities], "&lt;&gt;*"&amp;$AB$3&amp;"*",
  unit_details[Leased Date], "&gt;=" &amp; ($X$2 - $AD$3)
),0)</f>
        <v>0</v>
      </c>
      <c r="AE391" s="734" cm="1">
        <f t="array" aca="true" ref="AE3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1" s="733" cm="1">
        <f t="array" aca="true" ref="AF391" ca="true">IFERROR(COUNTIFS(
  unit_details[Property Name], INDIRECT("B"&amp;ROW()),
  unit_details[Floorplan Name], INDIRECT("C"&amp;ROW()),
  unit_details[Beds], INDIRECT("D"&amp;ROW()),
  unit_details[Detected Unit Amenities], "&lt;&gt;*"&amp;$AB$3&amp;"*",
  unit_details[Leased Date], "&gt;=" &amp; ($X$2 - $AD$3)
),0)</f>
        <v>0</v>
      </c>
      <c r="AG391" s="735"/>
      <c r="AH391" s="738">
        <f t="shared" ca="true" si="12"/>
        <v>0</v>
      </c>
      <c r="AI391" s="739">
        <f t="shared" ca="true" si="13"/>
        <v>0</v>
      </c>
    </row>
    <row r="392" spans="10:35">
      <c r="J392" s="345"/>
      <c r="N392" s="738" t="str" cm="1">
        <f t="array" aca="true" ref="N392" ca="true">IFERROR(IF($O$3="Chunk Rent",
AVERAGEIFS('Unit-Level Data'!$O:$O,'Unit-Level Data'!$M:$M,TRUE,
          'Unit-Level Data'!$D:$D, INDIRECT("C"&amp;ROW()),
          'Unit-Level Data'!$B:$B, INDIRECT("B"&amp;ROW())),
AVERAGEIFS('Unit-Level Data'!$P:$P,'Unit-Level Data'!$M:$M,TRUE,
          'Unit-Level Data'!$D:$D, INDIRECT("C"&amp;ROW()),
          'Unit-Level Data'!$B:$B, INDIRECT("B"&amp;ROW()))),"")</f>
      </c>
      <c r="O392" s="760" t="str" cm="1">
        <f t="array" aca="true" ref="O392" ca="true">IFERROR(IF($O$3="Chunk Rent",
AVERAGEIFS('Unit-Level Data'!$Q:$Q,'Unit-Level Data'!$M:$M,TRUE,
          'Unit-Level Data'!$D:$D, INDIRECT("C"&amp;ROW()),
          'Unit-Level Data'!$B:$B, INDIRECT("B"&amp;ROW())),
AVERAGEIFS('Unit-Level Data'!$R:$R,'Unit-Level Data'!$M:$M,TRUE,
          'Unit-Level Data'!$D:$D, INDIRECT("C"&amp;ROW()),
          'Unit-Level Data'!$B:$B, INDIRECT("B"&amp;ROW()))),"")</f>
      </c>
      <c r="P392" s="733" cm="1">
        <f t="array" aca="true" ref="P392" ca="true">COUNTIFS('Unit-Level Data'!$M:$M,TRUE,
          'Unit-Level Data'!$D:$D, INDIRECT("C"&amp;ROW()),
          'Unit-Level Data'!$B:$B, INDIRECT("B"&amp;ROW()))</f>
        <v>0</v>
      </c>
      <c r="Q392" s="738" t="str" cm="1">
        <f t="array" aca="true" ref="Q3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2" s="760" t="str" cm="1">
        <f t="array" aca="true" ref="R3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2" s="733" cm="1">
        <f t="array" aca="true" ref="S392" ca="true">COUNTIFS('Unit-Level Data'!$L:$L, "&gt;=" &amp; ($X$2 - Q$5),
          'Unit-Level Data'!$L:$L, "&lt;" &amp; $X$2,
          'Unit-Level Data'!$D:$D, INDIRECT("C"&amp;ROW()),
          'Unit-Level Data'!$B:$B, INDIRECT("B"&amp;ROW()))</f>
        <v>0</v>
      </c>
      <c r="T392" s="738" t="str" cm="1">
        <f t="array" aca="true" ref="T3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2" s="760" t="str" cm="1">
        <f t="array" aca="true" ref="U3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2" s="733" cm="1">
        <f t="array" aca="true" ref="V392" ca="true">COUNTIFS('Unit-Level Data'!$L:$L, "&gt;=" &amp; ($X$2 - T$5),
          'Unit-Level Data'!$L:$L, "&lt;" &amp; $X$2,
          'Unit-Level Data'!$D:$D, INDIRECT("C"&amp;ROW()),
          'Unit-Level Data'!$B:$B, INDIRECT("B"&amp;ROW()))</f>
        <v>0</v>
      </c>
      <c r="W392" s="738" t="str" cm="1">
        <f t="array" aca="true" ref="W3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2" s="760" t="str" cm="1">
        <f t="array" aca="true" ref="X3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2" s="733" cm="1">
        <f t="array" aca="true" ref="Y392" ca="true">COUNTIFS('Unit-Level Data'!$L:$L, "&gt;=" &amp; ($X$2 - W$5),
          'Unit-Level Data'!$L:$L, "&lt;" &amp; $X$2,
          'Unit-Level Data'!$D:$D, INDIRECT("C"&amp;ROW()),
          'Unit-Level Data'!$B:$B, INDIRECT("B"&amp;ROW()))</f>
        <v>0</v>
      </c>
      <c r="Z392" s="761"/>
      <c r="AA392" s="735" cm="1">
        <f t="array" aca="true" ref="AA392" ca="true">IFERROR(AVERAGEIFS(
  unit_details[Sqft],
  unit_details[Property Name], INDIRECT("B"&amp;ROW()),
  unit_details[Floorplan Name], INDIRECT("C"&amp;ROW()),
  unit_details[Beds], INDIRECT("D"&amp;ROW()),
  unit_details[Detected Unit Amenities], "*"&amp;$AB$3&amp;"*",
  unit_details[Leased Date], "&gt;=" &amp; ($X$2 - $AD$3)
),0)</f>
        <v>0</v>
      </c>
      <c r="AB392" s="734" cm="1">
        <f t="array" aca="true" ref="AB3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2" s="733" cm="1">
        <f t="array" aca="true" ref="AC392" ca="true">IFERROR(COUNTIFS(
  unit_details[Property Name], INDIRECT("B"&amp;ROW()),
  unit_details[Floorplan Name], INDIRECT("C"&amp;ROW()),
  unit_details[Beds], INDIRECT("D"&amp;ROW()),
  unit_details[Detected Unit Amenities], "*"&amp;$AB$3&amp;"*",
  unit_details[Leased Date], "&gt;=" &amp; ($X$2 - $AD$3)
),0)</f>
        <v>0</v>
      </c>
      <c r="AD392" s="735" cm="1">
        <f t="array" aca="true" ref="AD392" ca="true">IFERROR(AVERAGEIFS(
  unit_details[Sqft],
  unit_details[Property Name], INDIRECT("B"&amp;ROW()),
  unit_details[Floorplan Name], INDIRECT("C"&amp;ROW()),
  unit_details[Beds], INDIRECT("D"&amp;ROW()),
  unit_details[Detected Unit Amenities], "&lt;&gt;*"&amp;$AB$3&amp;"*",
  unit_details[Leased Date], "&gt;=" &amp; ($X$2 - $AD$3)
),0)</f>
        <v>0</v>
      </c>
      <c r="AE392" s="734" cm="1">
        <f t="array" aca="true" ref="AE3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2" s="733" cm="1">
        <f t="array" aca="true" ref="AF392" ca="true">IFERROR(COUNTIFS(
  unit_details[Property Name], INDIRECT("B"&amp;ROW()),
  unit_details[Floorplan Name], INDIRECT("C"&amp;ROW()),
  unit_details[Beds], INDIRECT("D"&amp;ROW()),
  unit_details[Detected Unit Amenities], "&lt;&gt;*"&amp;$AB$3&amp;"*",
  unit_details[Leased Date], "&gt;=" &amp; ($X$2 - $AD$3)
),0)</f>
        <v>0</v>
      </c>
      <c r="AG392" s="735"/>
      <c r="AH392" s="738">
        <f t="shared" ca="true" si="12"/>
        <v>0</v>
      </c>
      <c r="AI392" s="739">
        <f t="shared" ca="true" si="13"/>
        <v>0</v>
      </c>
    </row>
    <row r="393" spans="10:35">
      <c r="J393" s="345"/>
      <c r="N393" s="738" t="str" cm="1">
        <f t="array" aca="true" ref="N393" ca="true">IFERROR(IF($O$3="Chunk Rent",
AVERAGEIFS('Unit-Level Data'!$O:$O,'Unit-Level Data'!$M:$M,TRUE,
          'Unit-Level Data'!$D:$D, INDIRECT("C"&amp;ROW()),
          'Unit-Level Data'!$B:$B, INDIRECT("B"&amp;ROW())),
AVERAGEIFS('Unit-Level Data'!$P:$P,'Unit-Level Data'!$M:$M,TRUE,
          'Unit-Level Data'!$D:$D, INDIRECT("C"&amp;ROW()),
          'Unit-Level Data'!$B:$B, INDIRECT("B"&amp;ROW()))),"")</f>
      </c>
      <c r="O393" s="760" t="str" cm="1">
        <f t="array" aca="true" ref="O393" ca="true">IFERROR(IF($O$3="Chunk Rent",
AVERAGEIFS('Unit-Level Data'!$Q:$Q,'Unit-Level Data'!$M:$M,TRUE,
          'Unit-Level Data'!$D:$D, INDIRECT("C"&amp;ROW()),
          'Unit-Level Data'!$B:$B, INDIRECT("B"&amp;ROW())),
AVERAGEIFS('Unit-Level Data'!$R:$R,'Unit-Level Data'!$M:$M,TRUE,
          'Unit-Level Data'!$D:$D, INDIRECT("C"&amp;ROW()),
          'Unit-Level Data'!$B:$B, INDIRECT("B"&amp;ROW()))),"")</f>
      </c>
      <c r="P393" s="733" cm="1">
        <f t="array" aca="true" ref="P393" ca="true">COUNTIFS('Unit-Level Data'!$M:$M,TRUE,
          'Unit-Level Data'!$D:$D, INDIRECT("C"&amp;ROW()),
          'Unit-Level Data'!$B:$B, INDIRECT("B"&amp;ROW()))</f>
        <v>0</v>
      </c>
      <c r="Q393" s="738" t="str" cm="1">
        <f t="array" aca="true" ref="Q3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3" s="760" t="str" cm="1">
        <f t="array" aca="true" ref="R3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3" s="733" cm="1">
        <f t="array" aca="true" ref="S393" ca="true">COUNTIFS('Unit-Level Data'!$L:$L, "&gt;=" &amp; ($X$2 - Q$5),
          'Unit-Level Data'!$L:$L, "&lt;" &amp; $X$2,
          'Unit-Level Data'!$D:$D, INDIRECT("C"&amp;ROW()),
          'Unit-Level Data'!$B:$B, INDIRECT("B"&amp;ROW()))</f>
        <v>0</v>
      </c>
      <c r="T393" s="738" t="str" cm="1">
        <f t="array" aca="true" ref="T3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3" s="760" t="str" cm="1">
        <f t="array" aca="true" ref="U3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3" s="733" cm="1">
        <f t="array" aca="true" ref="V393" ca="true">COUNTIFS('Unit-Level Data'!$L:$L, "&gt;=" &amp; ($X$2 - T$5),
          'Unit-Level Data'!$L:$L, "&lt;" &amp; $X$2,
          'Unit-Level Data'!$D:$D, INDIRECT("C"&amp;ROW()),
          'Unit-Level Data'!$B:$B, INDIRECT("B"&amp;ROW()))</f>
        <v>0</v>
      </c>
      <c r="W393" s="738" t="str" cm="1">
        <f t="array" aca="true" ref="W3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3" s="760" t="str" cm="1">
        <f t="array" aca="true" ref="X3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3" s="733" cm="1">
        <f t="array" aca="true" ref="Y393" ca="true">COUNTIFS('Unit-Level Data'!$L:$L, "&gt;=" &amp; ($X$2 - W$5),
          'Unit-Level Data'!$L:$L, "&lt;" &amp; $X$2,
          'Unit-Level Data'!$D:$D, INDIRECT("C"&amp;ROW()),
          'Unit-Level Data'!$B:$B, INDIRECT("B"&amp;ROW()))</f>
        <v>0</v>
      </c>
      <c r="Z393" s="761"/>
      <c r="AA393" s="735" cm="1">
        <f t="array" aca="true" ref="AA393" ca="true">IFERROR(AVERAGEIFS(
  unit_details[Sqft],
  unit_details[Property Name], INDIRECT("B"&amp;ROW()),
  unit_details[Floorplan Name], INDIRECT("C"&amp;ROW()),
  unit_details[Beds], INDIRECT("D"&amp;ROW()),
  unit_details[Detected Unit Amenities], "*"&amp;$AB$3&amp;"*",
  unit_details[Leased Date], "&gt;=" &amp; ($X$2 - $AD$3)
),0)</f>
        <v>0</v>
      </c>
      <c r="AB393" s="734" cm="1">
        <f t="array" aca="true" ref="AB3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3" s="733" cm="1">
        <f t="array" aca="true" ref="AC393" ca="true">IFERROR(COUNTIFS(
  unit_details[Property Name], INDIRECT("B"&amp;ROW()),
  unit_details[Floorplan Name], INDIRECT("C"&amp;ROW()),
  unit_details[Beds], INDIRECT("D"&amp;ROW()),
  unit_details[Detected Unit Amenities], "*"&amp;$AB$3&amp;"*",
  unit_details[Leased Date], "&gt;=" &amp; ($X$2 - $AD$3)
),0)</f>
        <v>0</v>
      </c>
      <c r="AD393" s="735" cm="1">
        <f t="array" aca="true" ref="AD393" ca="true">IFERROR(AVERAGEIFS(
  unit_details[Sqft],
  unit_details[Property Name], INDIRECT("B"&amp;ROW()),
  unit_details[Floorplan Name], INDIRECT("C"&amp;ROW()),
  unit_details[Beds], INDIRECT("D"&amp;ROW()),
  unit_details[Detected Unit Amenities], "&lt;&gt;*"&amp;$AB$3&amp;"*",
  unit_details[Leased Date], "&gt;=" &amp; ($X$2 - $AD$3)
),0)</f>
        <v>0</v>
      </c>
      <c r="AE393" s="734" cm="1">
        <f t="array" aca="true" ref="AE3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3" s="733" cm="1">
        <f t="array" aca="true" ref="AF393" ca="true">IFERROR(COUNTIFS(
  unit_details[Property Name], INDIRECT("B"&amp;ROW()),
  unit_details[Floorplan Name], INDIRECT("C"&amp;ROW()),
  unit_details[Beds], INDIRECT("D"&amp;ROW()),
  unit_details[Detected Unit Amenities], "&lt;&gt;*"&amp;$AB$3&amp;"*",
  unit_details[Leased Date], "&gt;=" &amp; ($X$2 - $AD$3)
),0)</f>
        <v>0</v>
      </c>
      <c r="AG393" s="735"/>
      <c r="AH393" s="738">
        <f t="shared" ref="AH393:AH456" ca="true" si="14">IF(OR(AB393=0,AE393=0),0,IFERROR(AB393-AE393,0))</f>
        <v>0</v>
      </c>
      <c r="AI393" s="739">
        <f t="shared" ref="AI393:AI456" ca="true" si="15">IFERROR(AH393/AE393,0)</f>
        <v>0</v>
      </c>
    </row>
    <row r="394" spans="10:35">
      <c r="J394" s="345"/>
      <c r="N394" s="738" t="str" cm="1">
        <f t="array" aca="true" ref="N394" ca="true">IFERROR(IF($O$3="Chunk Rent",
AVERAGEIFS('Unit-Level Data'!$O:$O,'Unit-Level Data'!$M:$M,TRUE,
          'Unit-Level Data'!$D:$D, INDIRECT("C"&amp;ROW()),
          'Unit-Level Data'!$B:$B, INDIRECT("B"&amp;ROW())),
AVERAGEIFS('Unit-Level Data'!$P:$P,'Unit-Level Data'!$M:$M,TRUE,
          'Unit-Level Data'!$D:$D, INDIRECT("C"&amp;ROW()),
          'Unit-Level Data'!$B:$B, INDIRECT("B"&amp;ROW()))),"")</f>
      </c>
      <c r="O394" s="760" t="str" cm="1">
        <f t="array" aca="true" ref="O394" ca="true">IFERROR(IF($O$3="Chunk Rent",
AVERAGEIFS('Unit-Level Data'!$Q:$Q,'Unit-Level Data'!$M:$M,TRUE,
          'Unit-Level Data'!$D:$D, INDIRECT("C"&amp;ROW()),
          'Unit-Level Data'!$B:$B, INDIRECT("B"&amp;ROW())),
AVERAGEIFS('Unit-Level Data'!$R:$R,'Unit-Level Data'!$M:$M,TRUE,
          'Unit-Level Data'!$D:$D, INDIRECT("C"&amp;ROW()),
          'Unit-Level Data'!$B:$B, INDIRECT("B"&amp;ROW()))),"")</f>
      </c>
      <c r="P394" s="733" cm="1">
        <f t="array" aca="true" ref="P394" ca="true">COUNTIFS('Unit-Level Data'!$M:$M,TRUE,
          'Unit-Level Data'!$D:$D, INDIRECT("C"&amp;ROW()),
          'Unit-Level Data'!$B:$B, INDIRECT("B"&amp;ROW()))</f>
        <v>0</v>
      </c>
      <c r="Q394" s="738" t="str" cm="1">
        <f t="array" aca="true" ref="Q3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4" s="760" t="str" cm="1">
        <f t="array" aca="true" ref="R3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4" s="733" cm="1">
        <f t="array" aca="true" ref="S394" ca="true">COUNTIFS('Unit-Level Data'!$L:$L, "&gt;=" &amp; ($X$2 - Q$5),
          'Unit-Level Data'!$L:$L, "&lt;" &amp; $X$2,
          'Unit-Level Data'!$D:$D, INDIRECT("C"&amp;ROW()),
          'Unit-Level Data'!$B:$B, INDIRECT("B"&amp;ROW()))</f>
        <v>0</v>
      </c>
      <c r="T394" s="738" t="str" cm="1">
        <f t="array" aca="true" ref="T3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4" s="760" t="str" cm="1">
        <f t="array" aca="true" ref="U3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4" s="733" cm="1">
        <f t="array" aca="true" ref="V394" ca="true">COUNTIFS('Unit-Level Data'!$L:$L, "&gt;=" &amp; ($X$2 - T$5),
          'Unit-Level Data'!$L:$L, "&lt;" &amp; $X$2,
          'Unit-Level Data'!$D:$D, INDIRECT("C"&amp;ROW()),
          'Unit-Level Data'!$B:$B, INDIRECT("B"&amp;ROW()))</f>
        <v>0</v>
      </c>
      <c r="W394" s="738" t="str" cm="1">
        <f t="array" aca="true" ref="W3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4" s="760" t="str" cm="1">
        <f t="array" aca="true" ref="X3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4" s="733" cm="1">
        <f t="array" aca="true" ref="Y394" ca="true">COUNTIFS('Unit-Level Data'!$L:$L, "&gt;=" &amp; ($X$2 - W$5),
          'Unit-Level Data'!$L:$L, "&lt;" &amp; $X$2,
          'Unit-Level Data'!$D:$D, INDIRECT("C"&amp;ROW()),
          'Unit-Level Data'!$B:$B, INDIRECT("B"&amp;ROW()))</f>
        <v>0</v>
      </c>
      <c r="Z394" s="761"/>
      <c r="AA394" s="735" cm="1">
        <f t="array" aca="true" ref="AA394" ca="true">IFERROR(AVERAGEIFS(
  unit_details[Sqft],
  unit_details[Property Name], INDIRECT("B"&amp;ROW()),
  unit_details[Floorplan Name], INDIRECT("C"&amp;ROW()),
  unit_details[Beds], INDIRECT("D"&amp;ROW()),
  unit_details[Detected Unit Amenities], "*"&amp;$AB$3&amp;"*",
  unit_details[Leased Date], "&gt;=" &amp; ($X$2 - $AD$3)
),0)</f>
        <v>0</v>
      </c>
      <c r="AB394" s="734" cm="1">
        <f t="array" aca="true" ref="AB3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4" s="733" cm="1">
        <f t="array" aca="true" ref="AC394" ca="true">IFERROR(COUNTIFS(
  unit_details[Property Name], INDIRECT("B"&amp;ROW()),
  unit_details[Floorplan Name], INDIRECT("C"&amp;ROW()),
  unit_details[Beds], INDIRECT("D"&amp;ROW()),
  unit_details[Detected Unit Amenities], "*"&amp;$AB$3&amp;"*",
  unit_details[Leased Date], "&gt;=" &amp; ($X$2 - $AD$3)
),0)</f>
        <v>0</v>
      </c>
      <c r="AD394" s="735" cm="1">
        <f t="array" aca="true" ref="AD394" ca="true">IFERROR(AVERAGEIFS(
  unit_details[Sqft],
  unit_details[Property Name], INDIRECT("B"&amp;ROW()),
  unit_details[Floorplan Name], INDIRECT("C"&amp;ROW()),
  unit_details[Beds], INDIRECT("D"&amp;ROW()),
  unit_details[Detected Unit Amenities], "&lt;&gt;*"&amp;$AB$3&amp;"*",
  unit_details[Leased Date], "&gt;=" &amp; ($X$2 - $AD$3)
),0)</f>
        <v>0</v>
      </c>
      <c r="AE394" s="734" cm="1">
        <f t="array" aca="true" ref="AE3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4" s="733" cm="1">
        <f t="array" aca="true" ref="AF394" ca="true">IFERROR(COUNTIFS(
  unit_details[Property Name], INDIRECT("B"&amp;ROW()),
  unit_details[Floorplan Name], INDIRECT("C"&amp;ROW()),
  unit_details[Beds], INDIRECT("D"&amp;ROW()),
  unit_details[Detected Unit Amenities], "&lt;&gt;*"&amp;$AB$3&amp;"*",
  unit_details[Leased Date], "&gt;=" &amp; ($X$2 - $AD$3)
),0)</f>
        <v>0</v>
      </c>
      <c r="AG394" s="735"/>
      <c r="AH394" s="738">
        <f t="shared" ca="true" si="14"/>
        <v>0</v>
      </c>
      <c r="AI394" s="739">
        <f t="shared" ca="true" si="15"/>
        <v>0</v>
      </c>
    </row>
    <row r="395" spans="10:35">
      <c r="J395" s="345"/>
      <c r="N395" s="738" t="str" cm="1">
        <f t="array" aca="true" ref="N395" ca="true">IFERROR(IF($O$3="Chunk Rent",
AVERAGEIFS('Unit-Level Data'!$O:$O,'Unit-Level Data'!$M:$M,TRUE,
          'Unit-Level Data'!$D:$D, INDIRECT("C"&amp;ROW()),
          'Unit-Level Data'!$B:$B, INDIRECT("B"&amp;ROW())),
AVERAGEIFS('Unit-Level Data'!$P:$P,'Unit-Level Data'!$M:$M,TRUE,
          'Unit-Level Data'!$D:$D, INDIRECT("C"&amp;ROW()),
          'Unit-Level Data'!$B:$B, INDIRECT("B"&amp;ROW()))),"")</f>
      </c>
      <c r="O395" s="760" t="str" cm="1">
        <f t="array" aca="true" ref="O395" ca="true">IFERROR(IF($O$3="Chunk Rent",
AVERAGEIFS('Unit-Level Data'!$Q:$Q,'Unit-Level Data'!$M:$M,TRUE,
          'Unit-Level Data'!$D:$D, INDIRECT("C"&amp;ROW()),
          'Unit-Level Data'!$B:$B, INDIRECT("B"&amp;ROW())),
AVERAGEIFS('Unit-Level Data'!$R:$R,'Unit-Level Data'!$M:$M,TRUE,
          'Unit-Level Data'!$D:$D, INDIRECT("C"&amp;ROW()),
          'Unit-Level Data'!$B:$B, INDIRECT("B"&amp;ROW()))),"")</f>
      </c>
      <c r="P395" s="733" cm="1">
        <f t="array" aca="true" ref="P395" ca="true">COUNTIFS('Unit-Level Data'!$M:$M,TRUE,
          'Unit-Level Data'!$D:$D, INDIRECT("C"&amp;ROW()),
          'Unit-Level Data'!$B:$B, INDIRECT("B"&amp;ROW()))</f>
        <v>0</v>
      </c>
      <c r="Q395" s="738" t="str" cm="1">
        <f t="array" aca="true" ref="Q3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5" s="760" t="str" cm="1">
        <f t="array" aca="true" ref="R3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5" s="733" cm="1">
        <f t="array" aca="true" ref="S395" ca="true">COUNTIFS('Unit-Level Data'!$L:$L, "&gt;=" &amp; ($X$2 - Q$5),
          'Unit-Level Data'!$L:$L, "&lt;" &amp; $X$2,
          'Unit-Level Data'!$D:$D, INDIRECT("C"&amp;ROW()),
          'Unit-Level Data'!$B:$B, INDIRECT("B"&amp;ROW()))</f>
        <v>0</v>
      </c>
      <c r="T395" s="738" t="str" cm="1">
        <f t="array" aca="true" ref="T3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5" s="760" t="str" cm="1">
        <f t="array" aca="true" ref="U3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5" s="733" cm="1">
        <f t="array" aca="true" ref="V395" ca="true">COUNTIFS('Unit-Level Data'!$L:$L, "&gt;=" &amp; ($X$2 - T$5),
          'Unit-Level Data'!$L:$L, "&lt;" &amp; $X$2,
          'Unit-Level Data'!$D:$D, INDIRECT("C"&amp;ROW()),
          'Unit-Level Data'!$B:$B, INDIRECT("B"&amp;ROW()))</f>
        <v>0</v>
      </c>
      <c r="W395" s="738" t="str" cm="1">
        <f t="array" aca="true" ref="W3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5" s="760" t="str" cm="1">
        <f t="array" aca="true" ref="X3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5" s="733" cm="1">
        <f t="array" aca="true" ref="Y395" ca="true">COUNTIFS('Unit-Level Data'!$L:$L, "&gt;=" &amp; ($X$2 - W$5),
          'Unit-Level Data'!$L:$L, "&lt;" &amp; $X$2,
          'Unit-Level Data'!$D:$D, INDIRECT("C"&amp;ROW()),
          'Unit-Level Data'!$B:$B, INDIRECT("B"&amp;ROW()))</f>
        <v>0</v>
      </c>
      <c r="Z395" s="761"/>
      <c r="AA395" s="735" cm="1">
        <f t="array" aca="true" ref="AA395" ca="true">IFERROR(AVERAGEIFS(
  unit_details[Sqft],
  unit_details[Property Name], INDIRECT("B"&amp;ROW()),
  unit_details[Floorplan Name], INDIRECT("C"&amp;ROW()),
  unit_details[Beds], INDIRECT("D"&amp;ROW()),
  unit_details[Detected Unit Amenities], "*"&amp;$AB$3&amp;"*",
  unit_details[Leased Date], "&gt;=" &amp; ($X$2 - $AD$3)
),0)</f>
        <v>0</v>
      </c>
      <c r="AB395" s="734" cm="1">
        <f t="array" aca="true" ref="AB3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5" s="733" cm="1">
        <f t="array" aca="true" ref="AC395" ca="true">IFERROR(COUNTIFS(
  unit_details[Property Name], INDIRECT("B"&amp;ROW()),
  unit_details[Floorplan Name], INDIRECT("C"&amp;ROW()),
  unit_details[Beds], INDIRECT("D"&amp;ROW()),
  unit_details[Detected Unit Amenities], "*"&amp;$AB$3&amp;"*",
  unit_details[Leased Date], "&gt;=" &amp; ($X$2 - $AD$3)
),0)</f>
        <v>0</v>
      </c>
      <c r="AD395" s="735" cm="1">
        <f t="array" aca="true" ref="AD395" ca="true">IFERROR(AVERAGEIFS(
  unit_details[Sqft],
  unit_details[Property Name], INDIRECT("B"&amp;ROW()),
  unit_details[Floorplan Name], INDIRECT("C"&amp;ROW()),
  unit_details[Beds], INDIRECT("D"&amp;ROW()),
  unit_details[Detected Unit Amenities], "&lt;&gt;*"&amp;$AB$3&amp;"*",
  unit_details[Leased Date], "&gt;=" &amp; ($X$2 - $AD$3)
),0)</f>
        <v>0</v>
      </c>
      <c r="AE395" s="734" cm="1">
        <f t="array" aca="true" ref="AE3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5" s="733" cm="1">
        <f t="array" aca="true" ref="AF395" ca="true">IFERROR(COUNTIFS(
  unit_details[Property Name], INDIRECT("B"&amp;ROW()),
  unit_details[Floorplan Name], INDIRECT("C"&amp;ROW()),
  unit_details[Beds], INDIRECT("D"&amp;ROW()),
  unit_details[Detected Unit Amenities], "&lt;&gt;*"&amp;$AB$3&amp;"*",
  unit_details[Leased Date], "&gt;=" &amp; ($X$2 - $AD$3)
),0)</f>
        <v>0</v>
      </c>
      <c r="AG395" s="735"/>
      <c r="AH395" s="738">
        <f t="shared" ca="true" si="14"/>
        <v>0</v>
      </c>
      <c r="AI395" s="739">
        <f t="shared" ca="true" si="15"/>
        <v>0</v>
      </c>
    </row>
    <row r="396" spans="10:35">
      <c r="J396" s="345"/>
      <c r="N396" s="738" t="str" cm="1">
        <f t="array" aca="true" ref="N396" ca="true">IFERROR(IF($O$3="Chunk Rent",
AVERAGEIFS('Unit-Level Data'!$O:$O,'Unit-Level Data'!$M:$M,TRUE,
          'Unit-Level Data'!$D:$D, INDIRECT("C"&amp;ROW()),
          'Unit-Level Data'!$B:$B, INDIRECT("B"&amp;ROW())),
AVERAGEIFS('Unit-Level Data'!$P:$P,'Unit-Level Data'!$M:$M,TRUE,
          'Unit-Level Data'!$D:$D, INDIRECT("C"&amp;ROW()),
          'Unit-Level Data'!$B:$B, INDIRECT("B"&amp;ROW()))),"")</f>
      </c>
      <c r="O396" s="760" t="str" cm="1">
        <f t="array" aca="true" ref="O396" ca="true">IFERROR(IF($O$3="Chunk Rent",
AVERAGEIFS('Unit-Level Data'!$Q:$Q,'Unit-Level Data'!$M:$M,TRUE,
          'Unit-Level Data'!$D:$D, INDIRECT("C"&amp;ROW()),
          'Unit-Level Data'!$B:$B, INDIRECT("B"&amp;ROW())),
AVERAGEIFS('Unit-Level Data'!$R:$R,'Unit-Level Data'!$M:$M,TRUE,
          'Unit-Level Data'!$D:$D, INDIRECT("C"&amp;ROW()),
          'Unit-Level Data'!$B:$B, INDIRECT("B"&amp;ROW()))),"")</f>
      </c>
      <c r="P396" s="733" cm="1">
        <f t="array" aca="true" ref="P396" ca="true">COUNTIFS('Unit-Level Data'!$M:$M,TRUE,
          'Unit-Level Data'!$D:$D, INDIRECT("C"&amp;ROW()),
          'Unit-Level Data'!$B:$B, INDIRECT("B"&amp;ROW()))</f>
        <v>0</v>
      </c>
      <c r="Q396" s="738" t="str" cm="1">
        <f t="array" aca="true" ref="Q3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6" s="760" t="str" cm="1">
        <f t="array" aca="true" ref="R3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6" s="733" cm="1">
        <f t="array" aca="true" ref="S396" ca="true">COUNTIFS('Unit-Level Data'!$L:$L, "&gt;=" &amp; ($X$2 - Q$5),
          'Unit-Level Data'!$L:$L, "&lt;" &amp; $X$2,
          'Unit-Level Data'!$D:$D, INDIRECT("C"&amp;ROW()),
          'Unit-Level Data'!$B:$B, INDIRECT("B"&amp;ROW()))</f>
        <v>0</v>
      </c>
      <c r="T396" s="738" t="str" cm="1">
        <f t="array" aca="true" ref="T3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6" s="760" t="str" cm="1">
        <f t="array" aca="true" ref="U3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6" s="733" cm="1">
        <f t="array" aca="true" ref="V396" ca="true">COUNTIFS('Unit-Level Data'!$L:$L, "&gt;=" &amp; ($X$2 - T$5),
          'Unit-Level Data'!$L:$L, "&lt;" &amp; $X$2,
          'Unit-Level Data'!$D:$D, INDIRECT("C"&amp;ROW()),
          'Unit-Level Data'!$B:$B, INDIRECT("B"&amp;ROW()))</f>
        <v>0</v>
      </c>
      <c r="W396" s="738" t="str" cm="1">
        <f t="array" aca="true" ref="W3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6" s="760" t="str" cm="1">
        <f t="array" aca="true" ref="X3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6" s="733" cm="1">
        <f t="array" aca="true" ref="Y396" ca="true">COUNTIFS('Unit-Level Data'!$L:$L, "&gt;=" &amp; ($X$2 - W$5),
          'Unit-Level Data'!$L:$L, "&lt;" &amp; $X$2,
          'Unit-Level Data'!$D:$D, INDIRECT("C"&amp;ROW()),
          'Unit-Level Data'!$B:$B, INDIRECT("B"&amp;ROW()))</f>
        <v>0</v>
      </c>
      <c r="Z396" s="761"/>
      <c r="AA396" s="735" cm="1">
        <f t="array" aca="true" ref="AA396" ca="true">IFERROR(AVERAGEIFS(
  unit_details[Sqft],
  unit_details[Property Name], INDIRECT("B"&amp;ROW()),
  unit_details[Floorplan Name], INDIRECT("C"&amp;ROW()),
  unit_details[Beds], INDIRECT("D"&amp;ROW()),
  unit_details[Detected Unit Amenities], "*"&amp;$AB$3&amp;"*",
  unit_details[Leased Date], "&gt;=" &amp; ($X$2 - $AD$3)
),0)</f>
        <v>0</v>
      </c>
      <c r="AB396" s="734" cm="1">
        <f t="array" aca="true" ref="AB3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6" s="733" cm="1">
        <f t="array" aca="true" ref="AC396" ca="true">IFERROR(COUNTIFS(
  unit_details[Property Name], INDIRECT("B"&amp;ROW()),
  unit_details[Floorplan Name], INDIRECT("C"&amp;ROW()),
  unit_details[Beds], INDIRECT("D"&amp;ROW()),
  unit_details[Detected Unit Amenities], "*"&amp;$AB$3&amp;"*",
  unit_details[Leased Date], "&gt;=" &amp; ($X$2 - $AD$3)
),0)</f>
        <v>0</v>
      </c>
      <c r="AD396" s="735" cm="1">
        <f t="array" aca="true" ref="AD396" ca="true">IFERROR(AVERAGEIFS(
  unit_details[Sqft],
  unit_details[Property Name], INDIRECT("B"&amp;ROW()),
  unit_details[Floorplan Name], INDIRECT("C"&amp;ROW()),
  unit_details[Beds], INDIRECT("D"&amp;ROW()),
  unit_details[Detected Unit Amenities], "&lt;&gt;*"&amp;$AB$3&amp;"*",
  unit_details[Leased Date], "&gt;=" &amp; ($X$2 - $AD$3)
),0)</f>
        <v>0</v>
      </c>
      <c r="AE396" s="734" cm="1">
        <f t="array" aca="true" ref="AE3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6" s="733" cm="1">
        <f t="array" aca="true" ref="AF396" ca="true">IFERROR(COUNTIFS(
  unit_details[Property Name], INDIRECT("B"&amp;ROW()),
  unit_details[Floorplan Name], INDIRECT("C"&amp;ROW()),
  unit_details[Beds], INDIRECT("D"&amp;ROW()),
  unit_details[Detected Unit Amenities], "&lt;&gt;*"&amp;$AB$3&amp;"*",
  unit_details[Leased Date], "&gt;=" &amp; ($X$2 - $AD$3)
),0)</f>
        <v>0</v>
      </c>
      <c r="AG396" s="735"/>
      <c r="AH396" s="738">
        <f t="shared" ca="true" si="14"/>
        <v>0</v>
      </c>
      <c r="AI396" s="739">
        <f t="shared" ca="true" si="15"/>
        <v>0</v>
      </c>
    </row>
    <row r="397" spans="10:35">
      <c r="J397" s="345"/>
      <c r="N397" s="738" t="str" cm="1">
        <f t="array" aca="true" ref="N397" ca="true">IFERROR(IF($O$3="Chunk Rent",
AVERAGEIFS('Unit-Level Data'!$O:$O,'Unit-Level Data'!$M:$M,TRUE,
          'Unit-Level Data'!$D:$D, INDIRECT("C"&amp;ROW()),
          'Unit-Level Data'!$B:$B, INDIRECT("B"&amp;ROW())),
AVERAGEIFS('Unit-Level Data'!$P:$P,'Unit-Level Data'!$M:$M,TRUE,
          'Unit-Level Data'!$D:$D, INDIRECT("C"&amp;ROW()),
          'Unit-Level Data'!$B:$B, INDIRECT("B"&amp;ROW()))),"")</f>
      </c>
      <c r="O397" s="760" t="str" cm="1">
        <f t="array" aca="true" ref="O397" ca="true">IFERROR(IF($O$3="Chunk Rent",
AVERAGEIFS('Unit-Level Data'!$Q:$Q,'Unit-Level Data'!$M:$M,TRUE,
          'Unit-Level Data'!$D:$D, INDIRECT("C"&amp;ROW()),
          'Unit-Level Data'!$B:$B, INDIRECT("B"&amp;ROW())),
AVERAGEIFS('Unit-Level Data'!$R:$R,'Unit-Level Data'!$M:$M,TRUE,
          'Unit-Level Data'!$D:$D, INDIRECT("C"&amp;ROW()),
          'Unit-Level Data'!$B:$B, INDIRECT("B"&amp;ROW()))),"")</f>
      </c>
      <c r="P397" s="733" cm="1">
        <f t="array" aca="true" ref="P397" ca="true">COUNTIFS('Unit-Level Data'!$M:$M,TRUE,
          'Unit-Level Data'!$D:$D, INDIRECT("C"&amp;ROW()),
          'Unit-Level Data'!$B:$B, INDIRECT("B"&amp;ROW()))</f>
        <v>0</v>
      </c>
      <c r="Q397" s="738" t="str" cm="1">
        <f t="array" aca="true" ref="Q3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7" s="760" t="str" cm="1">
        <f t="array" aca="true" ref="R3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7" s="733" cm="1">
        <f t="array" aca="true" ref="S397" ca="true">COUNTIFS('Unit-Level Data'!$L:$L, "&gt;=" &amp; ($X$2 - Q$5),
          'Unit-Level Data'!$L:$L, "&lt;" &amp; $X$2,
          'Unit-Level Data'!$D:$D, INDIRECT("C"&amp;ROW()),
          'Unit-Level Data'!$B:$B, INDIRECT("B"&amp;ROW()))</f>
        <v>0</v>
      </c>
      <c r="T397" s="738" t="str" cm="1">
        <f t="array" aca="true" ref="T3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7" s="760" t="str" cm="1">
        <f t="array" aca="true" ref="U3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7" s="733" cm="1">
        <f t="array" aca="true" ref="V397" ca="true">COUNTIFS('Unit-Level Data'!$L:$L, "&gt;=" &amp; ($X$2 - T$5),
          'Unit-Level Data'!$L:$L, "&lt;" &amp; $X$2,
          'Unit-Level Data'!$D:$D, INDIRECT("C"&amp;ROW()),
          'Unit-Level Data'!$B:$B, INDIRECT("B"&amp;ROW()))</f>
        <v>0</v>
      </c>
      <c r="W397" s="738" t="str" cm="1">
        <f t="array" aca="true" ref="W3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7" s="760" t="str" cm="1">
        <f t="array" aca="true" ref="X3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7" s="733" cm="1">
        <f t="array" aca="true" ref="Y397" ca="true">COUNTIFS('Unit-Level Data'!$L:$L, "&gt;=" &amp; ($X$2 - W$5),
          'Unit-Level Data'!$L:$L, "&lt;" &amp; $X$2,
          'Unit-Level Data'!$D:$D, INDIRECT("C"&amp;ROW()),
          'Unit-Level Data'!$B:$B, INDIRECT("B"&amp;ROW()))</f>
        <v>0</v>
      </c>
      <c r="Z397" s="761"/>
      <c r="AA397" s="735" cm="1">
        <f t="array" aca="true" ref="AA397" ca="true">IFERROR(AVERAGEIFS(
  unit_details[Sqft],
  unit_details[Property Name], INDIRECT("B"&amp;ROW()),
  unit_details[Floorplan Name], INDIRECT("C"&amp;ROW()),
  unit_details[Beds], INDIRECT("D"&amp;ROW()),
  unit_details[Detected Unit Amenities], "*"&amp;$AB$3&amp;"*",
  unit_details[Leased Date], "&gt;=" &amp; ($X$2 - $AD$3)
),0)</f>
        <v>0</v>
      </c>
      <c r="AB397" s="734" cm="1">
        <f t="array" aca="true" ref="AB3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7" s="733" cm="1">
        <f t="array" aca="true" ref="AC397" ca="true">IFERROR(COUNTIFS(
  unit_details[Property Name], INDIRECT("B"&amp;ROW()),
  unit_details[Floorplan Name], INDIRECT("C"&amp;ROW()),
  unit_details[Beds], INDIRECT("D"&amp;ROW()),
  unit_details[Detected Unit Amenities], "*"&amp;$AB$3&amp;"*",
  unit_details[Leased Date], "&gt;=" &amp; ($X$2 - $AD$3)
),0)</f>
        <v>0</v>
      </c>
      <c r="AD397" s="735" cm="1">
        <f t="array" aca="true" ref="AD397" ca="true">IFERROR(AVERAGEIFS(
  unit_details[Sqft],
  unit_details[Property Name], INDIRECT("B"&amp;ROW()),
  unit_details[Floorplan Name], INDIRECT("C"&amp;ROW()),
  unit_details[Beds], INDIRECT("D"&amp;ROW()),
  unit_details[Detected Unit Amenities], "&lt;&gt;*"&amp;$AB$3&amp;"*",
  unit_details[Leased Date], "&gt;=" &amp; ($X$2 - $AD$3)
),0)</f>
        <v>0</v>
      </c>
      <c r="AE397" s="734" cm="1">
        <f t="array" aca="true" ref="AE3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7" s="733" cm="1">
        <f t="array" aca="true" ref="AF397" ca="true">IFERROR(COUNTIFS(
  unit_details[Property Name], INDIRECT("B"&amp;ROW()),
  unit_details[Floorplan Name], INDIRECT("C"&amp;ROW()),
  unit_details[Beds], INDIRECT("D"&amp;ROW()),
  unit_details[Detected Unit Amenities], "&lt;&gt;*"&amp;$AB$3&amp;"*",
  unit_details[Leased Date], "&gt;=" &amp; ($X$2 - $AD$3)
),0)</f>
        <v>0</v>
      </c>
      <c r="AG397" s="735"/>
      <c r="AH397" s="738">
        <f t="shared" ca="true" si="14"/>
        <v>0</v>
      </c>
      <c r="AI397" s="739">
        <f t="shared" ca="true" si="15"/>
        <v>0</v>
      </c>
    </row>
    <row r="398" spans="10:35">
      <c r="J398" s="345"/>
      <c r="N398" s="738" t="str" cm="1">
        <f t="array" aca="true" ref="N398" ca="true">IFERROR(IF($O$3="Chunk Rent",
AVERAGEIFS('Unit-Level Data'!$O:$O,'Unit-Level Data'!$M:$M,TRUE,
          'Unit-Level Data'!$D:$D, INDIRECT("C"&amp;ROW()),
          'Unit-Level Data'!$B:$B, INDIRECT("B"&amp;ROW())),
AVERAGEIFS('Unit-Level Data'!$P:$P,'Unit-Level Data'!$M:$M,TRUE,
          'Unit-Level Data'!$D:$D, INDIRECT("C"&amp;ROW()),
          'Unit-Level Data'!$B:$B, INDIRECT("B"&amp;ROW()))),"")</f>
      </c>
      <c r="O398" s="760" t="str" cm="1">
        <f t="array" aca="true" ref="O398" ca="true">IFERROR(IF($O$3="Chunk Rent",
AVERAGEIFS('Unit-Level Data'!$Q:$Q,'Unit-Level Data'!$M:$M,TRUE,
          'Unit-Level Data'!$D:$D, INDIRECT("C"&amp;ROW()),
          'Unit-Level Data'!$B:$B, INDIRECT("B"&amp;ROW())),
AVERAGEIFS('Unit-Level Data'!$R:$R,'Unit-Level Data'!$M:$M,TRUE,
          'Unit-Level Data'!$D:$D, INDIRECT("C"&amp;ROW()),
          'Unit-Level Data'!$B:$B, INDIRECT("B"&amp;ROW()))),"")</f>
      </c>
      <c r="P398" s="733" cm="1">
        <f t="array" aca="true" ref="P398" ca="true">COUNTIFS('Unit-Level Data'!$M:$M,TRUE,
          'Unit-Level Data'!$D:$D, INDIRECT("C"&amp;ROW()),
          'Unit-Level Data'!$B:$B, INDIRECT("B"&amp;ROW()))</f>
        <v>0</v>
      </c>
      <c r="Q398" s="738" t="str" cm="1">
        <f t="array" aca="true" ref="Q3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8" s="760" t="str" cm="1">
        <f t="array" aca="true" ref="R3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8" s="733" cm="1">
        <f t="array" aca="true" ref="S398" ca="true">COUNTIFS('Unit-Level Data'!$L:$L, "&gt;=" &amp; ($X$2 - Q$5),
          'Unit-Level Data'!$L:$L, "&lt;" &amp; $X$2,
          'Unit-Level Data'!$D:$D, INDIRECT("C"&amp;ROW()),
          'Unit-Level Data'!$B:$B, INDIRECT("B"&amp;ROW()))</f>
        <v>0</v>
      </c>
      <c r="T398" s="738" t="str" cm="1">
        <f t="array" aca="true" ref="T3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8" s="760" t="str" cm="1">
        <f t="array" aca="true" ref="U3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8" s="733" cm="1">
        <f t="array" aca="true" ref="V398" ca="true">COUNTIFS('Unit-Level Data'!$L:$L, "&gt;=" &amp; ($X$2 - T$5),
          'Unit-Level Data'!$L:$L, "&lt;" &amp; $X$2,
          'Unit-Level Data'!$D:$D, INDIRECT("C"&amp;ROW()),
          'Unit-Level Data'!$B:$B, INDIRECT("B"&amp;ROW()))</f>
        <v>0</v>
      </c>
      <c r="W398" s="738" t="str" cm="1">
        <f t="array" aca="true" ref="W3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8" s="760" t="str" cm="1">
        <f t="array" aca="true" ref="X3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8" s="733" cm="1">
        <f t="array" aca="true" ref="Y398" ca="true">COUNTIFS('Unit-Level Data'!$L:$L, "&gt;=" &amp; ($X$2 - W$5),
          'Unit-Level Data'!$L:$L, "&lt;" &amp; $X$2,
          'Unit-Level Data'!$D:$D, INDIRECT("C"&amp;ROW()),
          'Unit-Level Data'!$B:$B, INDIRECT("B"&amp;ROW()))</f>
        <v>0</v>
      </c>
      <c r="Z398" s="761"/>
      <c r="AA398" s="735" cm="1">
        <f t="array" aca="true" ref="AA398" ca="true">IFERROR(AVERAGEIFS(
  unit_details[Sqft],
  unit_details[Property Name], INDIRECT("B"&amp;ROW()),
  unit_details[Floorplan Name], INDIRECT("C"&amp;ROW()),
  unit_details[Beds], INDIRECT("D"&amp;ROW()),
  unit_details[Detected Unit Amenities], "*"&amp;$AB$3&amp;"*",
  unit_details[Leased Date], "&gt;=" &amp; ($X$2 - $AD$3)
),0)</f>
        <v>0</v>
      </c>
      <c r="AB398" s="734" cm="1">
        <f t="array" aca="true" ref="AB3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8" s="733" cm="1">
        <f t="array" aca="true" ref="AC398" ca="true">IFERROR(COUNTIFS(
  unit_details[Property Name], INDIRECT("B"&amp;ROW()),
  unit_details[Floorplan Name], INDIRECT("C"&amp;ROW()),
  unit_details[Beds], INDIRECT("D"&amp;ROW()),
  unit_details[Detected Unit Amenities], "*"&amp;$AB$3&amp;"*",
  unit_details[Leased Date], "&gt;=" &amp; ($X$2 - $AD$3)
),0)</f>
        <v>0</v>
      </c>
      <c r="AD398" s="735" cm="1">
        <f t="array" aca="true" ref="AD398" ca="true">IFERROR(AVERAGEIFS(
  unit_details[Sqft],
  unit_details[Property Name], INDIRECT("B"&amp;ROW()),
  unit_details[Floorplan Name], INDIRECT("C"&amp;ROW()),
  unit_details[Beds], INDIRECT("D"&amp;ROW()),
  unit_details[Detected Unit Amenities], "&lt;&gt;*"&amp;$AB$3&amp;"*",
  unit_details[Leased Date], "&gt;=" &amp; ($X$2 - $AD$3)
),0)</f>
        <v>0</v>
      </c>
      <c r="AE398" s="734" cm="1">
        <f t="array" aca="true" ref="AE3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8" s="733" cm="1">
        <f t="array" aca="true" ref="AF398" ca="true">IFERROR(COUNTIFS(
  unit_details[Property Name], INDIRECT("B"&amp;ROW()),
  unit_details[Floorplan Name], INDIRECT("C"&amp;ROW()),
  unit_details[Beds], INDIRECT("D"&amp;ROW()),
  unit_details[Detected Unit Amenities], "&lt;&gt;*"&amp;$AB$3&amp;"*",
  unit_details[Leased Date], "&gt;=" &amp; ($X$2 - $AD$3)
),0)</f>
        <v>0</v>
      </c>
      <c r="AG398" s="735"/>
      <c r="AH398" s="738">
        <f t="shared" ca="true" si="14"/>
        <v>0</v>
      </c>
      <c r="AI398" s="739">
        <f t="shared" ca="true" si="15"/>
        <v>0</v>
      </c>
    </row>
    <row r="399" spans="10:35">
      <c r="J399" s="345"/>
      <c r="N399" s="738" t="str" cm="1">
        <f t="array" aca="true" ref="N399" ca="true">IFERROR(IF($O$3="Chunk Rent",
AVERAGEIFS('Unit-Level Data'!$O:$O,'Unit-Level Data'!$M:$M,TRUE,
          'Unit-Level Data'!$D:$D, INDIRECT("C"&amp;ROW()),
          'Unit-Level Data'!$B:$B, INDIRECT("B"&amp;ROW())),
AVERAGEIFS('Unit-Level Data'!$P:$P,'Unit-Level Data'!$M:$M,TRUE,
          'Unit-Level Data'!$D:$D, INDIRECT("C"&amp;ROW()),
          'Unit-Level Data'!$B:$B, INDIRECT("B"&amp;ROW()))),"")</f>
      </c>
      <c r="O399" s="760" t="str" cm="1">
        <f t="array" aca="true" ref="O399" ca="true">IFERROR(IF($O$3="Chunk Rent",
AVERAGEIFS('Unit-Level Data'!$Q:$Q,'Unit-Level Data'!$M:$M,TRUE,
          'Unit-Level Data'!$D:$D, INDIRECT("C"&amp;ROW()),
          'Unit-Level Data'!$B:$B, INDIRECT("B"&amp;ROW())),
AVERAGEIFS('Unit-Level Data'!$R:$R,'Unit-Level Data'!$M:$M,TRUE,
          'Unit-Level Data'!$D:$D, INDIRECT("C"&amp;ROW()),
          'Unit-Level Data'!$B:$B, INDIRECT("B"&amp;ROW()))),"")</f>
      </c>
      <c r="P399" s="733" cm="1">
        <f t="array" aca="true" ref="P399" ca="true">COUNTIFS('Unit-Level Data'!$M:$M,TRUE,
          'Unit-Level Data'!$D:$D, INDIRECT("C"&amp;ROW()),
          'Unit-Level Data'!$B:$B, INDIRECT("B"&amp;ROW()))</f>
        <v>0</v>
      </c>
      <c r="Q399" s="738" t="str" cm="1">
        <f t="array" aca="true" ref="Q3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9" s="760" t="str" cm="1">
        <f t="array" aca="true" ref="R3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9" s="733" cm="1">
        <f t="array" aca="true" ref="S399" ca="true">COUNTIFS('Unit-Level Data'!$L:$L, "&gt;=" &amp; ($X$2 - Q$5),
          'Unit-Level Data'!$L:$L, "&lt;" &amp; $X$2,
          'Unit-Level Data'!$D:$D, INDIRECT("C"&amp;ROW()),
          'Unit-Level Data'!$B:$B, INDIRECT("B"&amp;ROW()))</f>
        <v>0</v>
      </c>
      <c r="T399" s="738" t="str" cm="1">
        <f t="array" aca="true" ref="T3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9" s="760" t="str" cm="1">
        <f t="array" aca="true" ref="U3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9" s="733" cm="1">
        <f t="array" aca="true" ref="V399" ca="true">COUNTIFS('Unit-Level Data'!$L:$L, "&gt;=" &amp; ($X$2 - T$5),
          'Unit-Level Data'!$L:$L, "&lt;" &amp; $X$2,
          'Unit-Level Data'!$D:$D, INDIRECT("C"&amp;ROW()),
          'Unit-Level Data'!$B:$B, INDIRECT("B"&amp;ROW()))</f>
        <v>0</v>
      </c>
      <c r="W399" s="738" t="str" cm="1">
        <f t="array" aca="true" ref="W3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9" s="760" t="str" cm="1">
        <f t="array" aca="true" ref="X3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9" s="733" cm="1">
        <f t="array" aca="true" ref="Y399" ca="true">COUNTIFS('Unit-Level Data'!$L:$L, "&gt;=" &amp; ($X$2 - W$5),
          'Unit-Level Data'!$L:$L, "&lt;" &amp; $X$2,
          'Unit-Level Data'!$D:$D, INDIRECT("C"&amp;ROW()),
          'Unit-Level Data'!$B:$B, INDIRECT("B"&amp;ROW()))</f>
        <v>0</v>
      </c>
      <c r="Z399" s="761"/>
      <c r="AA399" s="735" cm="1">
        <f t="array" aca="true" ref="AA399" ca="true">IFERROR(AVERAGEIFS(
  unit_details[Sqft],
  unit_details[Property Name], INDIRECT("B"&amp;ROW()),
  unit_details[Floorplan Name], INDIRECT("C"&amp;ROW()),
  unit_details[Beds], INDIRECT("D"&amp;ROW()),
  unit_details[Detected Unit Amenities], "*"&amp;$AB$3&amp;"*",
  unit_details[Leased Date], "&gt;=" &amp; ($X$2 - $AD$3)
),0)</f>
        <v>0</v>
      </c>
      <c r="AB399" s="734" cm="1">
        <f t="array" aca="true" ref="AB3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9" s="733" cm="1">
        <f t="array" aca="true" ref="AC399" ca="true">IFERROR(COUNTIFS(
  unit_details[Property Name], INDIRECT("B"&amp;ROW()),
  unit_details[Floorplan Name], INDIRECT("C"&amp;ROW()),
  unit_details[Beds], INDIRECT("D"&amp;ROW()),
  unit_details[Detected Unit Amenities], "*"&amp;$AB$3&amp;"*",
  unit_details[Leased Date], "&gt;=" &amp; ($X$2 - $AD$3)
),0)</f>
        <v>0</v>
      </c>
      <c r="AD399" s="735" cm="1">
        <f t="array" aca="true" ref="AD399" ca="true">IFERROR(AVERAGEIFS(
  unit_details[Sqft],
  unit_details[Property Name], INDIRECT("B"&amp;ROW()),
  unit_details[Floorplan Name], INDIRECT("C"&amp;ROW()),
  unit_details[Beds], INDIRECT("D"&amp;ROW()),
  unit_details[Detected Unit Amenities], "&lt;&gt;*"&amp;$AB$3&amp;"*",
  unit_details[Leased Date], "&gt;=" &amp; ($X$2 - $AD$3)
),0)</f>
        <v>0</v>
      </c>
      <c r="AE399" s="734" cm="1">
        <f t="array" aca="true" ref="AE3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9" s="733" cm="1">
        <f t="array" aca="true" ref="AF399" ca="true">IFERROR(COUNTIFS(
  unit_details[Property Name], INDIRECT("B"&amp;ROW()),
  unit_details[Floorplan Name], INDIRECT("C"&amp;ROW()),
  unit_details[Beds], INDIRECT("D"&amp;ROW()),
  unit_details[Detected Unit Amenities], "&lt;&gt;*"&amp;$AB$3&amp;"*",
  unit_details[Leased Date], "&gt;=" &amp; ($X$2 - $AD$3)
),0)</f>
        <v>0</v>
      </c>
      <c r="AG399" s="735"/>
      <c r="AH399" s="738">
        <f t="shared" ca="true" si="14"/>
        <v>0</v>
      </c>
      <c r="AI399" s="739">
        <f t="shared" ca="true" si="15"/>
        <v>0</v>
      </c>
    </row>
    <row r="400" spans="10:35">
      <c r="J400" s="345"/>
      <c r="N400" s="738" t="str" cm="1">
        <f t="array" aca="true" ref="N400" ca="true">IFERROR(IF($O$3="Chunk Rent",
AVERAGEIFS('Unit-Level Data'!$O:$O,'Unit-Level Data'!$M:$M,TRUE,
          'Unit-Level Data'!$D:$D, INDIRECT("C"&amp;ROW()),
          'Unit-Level Data'!$B:$B, INDIRECT("B"&amp;ROW())),
AVERAGEIFS('Unit-Level Data'!$P:$P,'Unit-Level Data'!$M:$M,TRUE,
          'Unit-Level Data'!$D:$D, INDIRECT("C"&amp;ROW()),
          'Unit-Level Data'!$B:$B, INDIRECT("B"&amp;ROW()))),"")</f>
      </c>
      <c r="O400" s="760" t="str" cm="1">
        <f t="array" aca="true" ref="O400" ca="true">IFERROR(IF($O$3="Chunk Rent",
AVERAGEIFS('Unit-Level Data'!$Q:$Q,'Unit-Level Data'!$M:$M,TRUE,
          'Unit-Level Data'!$D:$D, INDIRECT("C"&amp;ROW()),
          'Unit-Level Data'!$B:$B, INDIRECT("B"&amp;ROW())),
AVERAGEIFS('Unit-Level Data'!$R:$R,'Unit-Level Data'!$M:$M,TRUE,
          'Unit-Level Data'!$D:$D, INDIRECT("C"&amp;ROW()),
          'Unit-Level Data'!$B:$B, INDIRECT("B"&amp;ROW()))),"")</f>
      </c>
      <c r="P400" s="733" cm="1">
        <f t="array" aca="true" ref="P400" ca="true">COUNTIFS('Unit-Level Data'!$M:$M,TRUE,
          'Unit-Level Data'!$D:$D, INDIRECT("C"&amp;ROW()),
          'Unit-Level Data'!$B:$B, INDIRECT("B"&amp;ROW()))</f>
        <v>0</v>
      </c>
      <c r="Q400" s="738" t="str" cm="1">
        <f t="array" aca="true" ref="Q4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0" s="760" t="str" cm="1">
        <f t="array" aca="true" ref="R4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0" s="733" cm="1">
        <f t="array" aca="true" ref="S400" ca="true">COUNTIFS('Unit-Level Data'!$L:$L, "&gt;=" &amp; ($X$2 - Q$5),
          'Unit-Level Data'!$L:$L, "&lt;" &amp; $X$2,
          'Unit-Level Data'!$D:$D, INDIRECT("C"&amp;ROW()),
          'Unit-Level Data'!$B:$B, INDIRECT("B"&amp;ROW()))</f>
        <v>0</v>
      </c>
      <c r="T400" s="738" t="str" cm="1">
        <f t="array" aca="true" ref="T4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0" s="760" t="str" cm="1">
        <f t="array" aca="true" ref="U4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0" s="733" cm="1">
        <f t="array" aca="true" ref="V400" ca="true">COUNTIFS('Unit-Level Data'!$L:$L, "&gt;=" &amp; ($X$2 - T$5),
          'Unit-Level Data'!$L:$L, "&lt;" &amp; $X$2,
          'Unit-Level Data'!$D:$D, INDIRECT("C"&amp;ROW()),
          'Unit-Level Data'!$B:$B, INDIRECT("B"&amp;ROW()))</f>
        <v>0</v>
      </c>
      <c r="W400" s="738" t="str" cm="1">
        <f t="array" aca="true" ref="W4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0" s="760" t="str" cm="1">
        <f t="array" aca="true" ref="X4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0" s="733" cm="1">
        <f t="array" aca="true" ref="Y400" ca="true">COUNTIFS('Unit-Level Data'!$L:$L, "&gt;=" &amp; ($X$2 - W$5),
          'Unit-Level Data'!$L:$L, "&lt;" &amp; $X$2,
          'Unit-Level Data'!$D:$D, INDIRECT("C"&amp;ROW()),
          'Unit-Level Data'!$B:$B, INDIRECT("B"&amp;ROW()))</f>
        <v>0</v>
      </c>
      <c r="Z400" s="761"/>
      <c r="AA400" s="735" cm="1">
        <f t="array" aca="true" ref="AA400" ca="true">IFERROR(AVERAGEIFS(
  unit_details[Sqft],
  unit_details[Property Name], INDIRECT("B"&amp;ROW()),
  unit_details[Floorplan Name], INDIRECT("C"&amp;ROW()),
  unit_details[Beds], INDIRECT("D"&amp;ROW()),
  unit_details[Detected Unit Amenities], "*"&amp;$AB$3&amp;"*",
  unit_details[Leased Date], "&gt;=" &amp; ($X$2 - $AD$3)
),0)</f>
        <v>0</v>
      </c>
      <c r="AB400" s="734" cm="1">
        <f t="array" aca="true" ref="AB4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0" s="733" cm="1">
        <f t="array" aca="true" ref="AC400" ca="true">IFERROR(COUNTIFS(
  unit_details[Property Name], INDIRECT("B"&amp;ROW()),
  unit_details[Floorplan Name], INDIRECT("C"&amp;ROW()),
  unit_details[Beds], INDIRECT("D"&amp;ROW()),
  unit_details[Detected Unit Amenities], "*"&amp;$AB$3&amp;"*",
  unit_details[Leased Date], "&gt;=" &amp; ($X$2 - $AD$3)
),0)</f>
        <v>0</v>
      </c>
      <c r="AD400" s="735" cm="1">
        <f t="array" aca="true" ref="AD400" ca="true">IFERROR(AVERAGEIFS(
  unit_details[Sqft],
  unit_details[Property Name], INDIRECT("B"&amp;ROW()),
  unit_details[Floorplan Name], INDIRECT("C"&amp;ROW()),
  unit_details[Beds], INDIRECT("D"&amp;ROW()),
  unit_details[Detected Unit Amenities], "&lt;&gt;*"&amp;$AB$3&amp;"*",
  unit_details[Leased Date], "&gt;=" &amp; ($X$2 - $AD$3)
),0)</f>
        <v>0</v>
      </c>
      <c r="AE400" s="734" cm="1">
        <f t="array" aca="true" ref="AE4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0" s="733" cm="1">
        <f t="array" aca="true" ref="AF400" ca="true">IFERROR(COUNTIFS(
  unit_details[Property Name], INDIRECT("B"&amp;ROW()),
  unit_details[Floorplan Name], INDIRECT("C"&amp;ROW()),
  unit_details[Beds], INDIRECT("D"&amp;ROW()),
  unit_details[Detected Unit Amenities], "&lt;&gt;*"&amp;$AB$3&amp;"*",
  unit_details[Leased Date], "&gt;=" &amp; ($X$2 - $AD$3)
),0)</f>
        <v>0</v>
      </c>
      <c r="AG400" s="735"/>
      <c r="AH400" s="738">
        <f t="shared" ca="true" si="14"/>
        <v>0</v>
      </c>
      <c r="AI400" s="739">
        <f t="shared" ca="true" si="15"/>
        <v>0</v>
      </c>
    </row>
    <row r="401" spans="10:35">
      <c r="J401" s="345"/>
      <c r="N401" s="738" t="str" cm="1">
        <f t="array" aca="true" ref="N401" ca="true">IFERROR(IF($O$3="Chunk Rent",
AVERAGEIFS('Unit-Level Data'!$O:$O,'Unit-Level Data'!$M:$M,TRUE,
          'Unit-Level Data'!$D:$D, INDIRECT("C"&amp;ROW()),
          'Unit-Level Data'!$B:$B, INDIRECT("B"&amp;ROW())),
AVERAGEIFS('Unit-Level Data'!$P:$P,'Unit-Level Data'!$M:$M,TRUE,
          'Unit-Level Data'!$D:$D, INDIRECT("C"&amp;ROW()),
          'Unit-Level Data'!$B:$B, INDIRECT("B"&amp;ROW()))),"")</f>
      </c>
      <c r="O401" s="760" t="str" cm="1">
        <f t="array" aca="true" ref="O401" ca="true">IFERROR(IF($O$3="Chunk Rent",
AVERAGEIFS('Unit-Level Data'!$Q:$Q,'Unit-Level Data'!$M:$M,TRUE,
          'Unit-Level Data'!$D:$D, INDIRECT("C"&amp;ROW()),
          'Unit-Level Data'!$B:$B, INDIRECT("B"&amp;ROW())),
AVERAGEIFS('Unit-Level Data'!$R:$R,'Unit-Level Data'!$M:$M,TRUE,
          'Unit-Level Data'!$D:$D, INDIRECT("C"&amp;ROW()),
          'Unit-Level Data'!$B:$B, INDIRECT("B"&amp;ROW()))),"")</f>
      </c>
      <c r="P401" s="733" cm="1">
        <f t="array" aca="true" ref="P401" ca="true">COUNTIFS('Unit-Level Data'!$M:$M,TRUE,
          'Unit-Level Data'!$D:$D, INDIRECT("C"&amp;ROW()),
          'Unit-Level Data'!$B:$B, INDIRECT("B"&amp;ROW()))</f>
        <v>0</v>
      </c>
      <c r="Q401" s="738" t="str" cm="1">
        <f t="array" aca="true" ref="Q4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1" s="760" t="str" cm="1">
        <f t="array" aca="true" ref="R4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1" s="733" cm="1">
        <f t="array" aca="true" ref="S401" ca="true">COUNTIFS('Unit-Level Data'!$L:$L, "&gt;=" &amp; ($X$2 - Q$5),
          'Unit-Level Data'!$L:$L, "&lt;" &amp; $X$2,
          'Unit-Level Data'!$D:$D, INDIRECT("C"&amp;ROW()),
          'Unit-Level Data'!$B:$B, INDIRECT("B"&amp;ROW()))</f>
        <v>0</v>
      </c>
      <c r="T401" s="738" t="str" cm="1">
        <f t="array" aca="true" ref="T4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1" s="760" t="str" cm="1">
        <f t="array" aca="true" ref="U4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1" s="733" cm="1">
        <f t="array" aca="true" ref="V401" ca="true">COUNTIFS('Unit-Level Data'!$L:$L, "&gt;=" &amp; ($X$2 - T$5),
          'Unit-Level Data'!$L:$L, "&lt;" &amp; $X$2,
          'Unit-Level Data'!$D:$D, INDIRECT("C"&amp;ROW()),
          'Unit-Level Data'!$B:$B, INDIRECT("B"&amp;ROW()))</f>
        <v>0</v>
      </c>
      <c r="W401" s="738" t="str" cm="1">
        <f t="array" aca="true" ref="W4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1" s="760" t="str" cm="1">
        <f t="array" aca="true" ref="X4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1" s="733" cm="1">
        <f t="array" aca="true" ref="Y401" ca="true">COUNTIFS('Unit-Level Data'!$L:$L, "&gt;=" &amp; ($X$2 - W$5),
          'Unit-Level Data'!$L:$L, "&lt;" &amp; $X$2,
          'Unit-Level Data'!$D:$D, INDIRECT("C"&amp;ROW()),
          'Unit-Level Data'!$B:$B, INDIRECT("B"&amp;ROW()))</f>
        <v>0</v>
      </c>
      <c r="Z401" s="761"/>
      <c r="AA401" s="735" cm="1">
        <f t="array" aca="true" ref="AA401" ca="true">IFERROR(AVERAGEIFS(
  unit_details[Sqft],
  unit_details[Property Name], INDIRECT("B"&amp;ROW()),
  unit_details[Floorplan Name], INDIRECT("C"&amp;ROW()),
  unit_details[Beds], INDIRECT("D"&amp;ROW()),
  unit_details[Detected Unit Amenities], "*"&amp;$AB$3&amp;"*",
  unit_details[Leased Date], "&gt;=" &amp; ($X$2 - $AD$3)
),0)</f>
        <v>0</v>
      </c>
      <c r="AB401" s="734" cm="1">
        <f t="array" aca="true" ref="AB4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1" s="733" cm="1">
        <f t="array" aca="true" ref="AC401" ca="true">IFERROR(COUNTIFS(
  unit_details[Property Name], INDIRECT("B"&amp;ROW()),
  unit_details[Floorplan Name], INDIRECT("C"&amp;ROW()),
  unit_details[Beds], INDIRECT("D"&amp;ROW()),
  unit_details[Detected Unit Amenities], "*"&amp;$AB$3&amp;"*",
  unit_details[Leased Date], "&gt;=" &amp; ($X$2 - $AD$3)
),0)</f>
        <v>0</v>
      </c>
      <c r="AD401" s="735" cm="1">
        <f t="array" aca="true" ref="AD401" ca="true">IFERROR(AVERAGEIFS(
  unit_details[Sqft],
  unit_details[Property Name], INDIRECT("B"&amp;ROW()),
  unit_details[Floorplan Name], INDIRECT("C"&amp;ROW()),
  unit_details[Beds], INDIRECT("D"&amp;ROW()),
  unit_details[Detected Unit Amenities], "&lt;&gt;*"&amp;$AB$3&amp;"*",
  unit_details[Leased Date], "&gt;=" &amp; ($X$2 - $AD$3)
),0)</f>
        <v>0</v>
      </c>
      <c r="AE401" s="734" cm="1">
        <f t="array" aca="true" ref="AE4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1" s="733" cm="1">
        <f t="array" aca="true" ref="AF401" ca="true">IFERROR(COUNTIFS(
  unit_details[Property Name], INDIRECT("B"&amp;ROW()),
  unit_details[Floorplan Name], INDIRECT("C"&amp;ROW()),
  unit_details[Beds], INDIRECT("D"&amp;ROW()),
  unit_details[Detected Unit Amenities], "&lt;&gt;*"&amp;$AB$3&amp;"*",
  unit_details[Leased Date], "&gt;=" &amp; ($X$2 - $AD$3)
),0)</f>
        <v>0</v>
      </c>
      <c r="AG401" s="735"/>
      <c r="AH401" s="738">
        <f t="shared" ca="true" si="14"/>
        <v>0</v>
      </c>
      <c r="AI401" s="739">
        <f t="shared" ca="true" si="15"/>
        <v>0</v>
      </c>
    </row>
    <row r="402" spans="10:35">
      <c r="J402" s="345"/>
      <c r="N402" s="738" t="str" cm="1">
        <f t="array" aca="true" ref="N402" ca="true">IFERROR(IF($O$3="Chunk Rent",
AVERAGEIFS('Unit-Level Data'!$O:$O,'Unit-Level Data'!$M:$M,TRUE,
          'Unit-Level Data'!$D:$D, INDIRECT("C"&amp;ROW()),
          'Unit-Level Data'!$B:$B, INDIRECT("B"&amp;ROW())),
AVERAGEIFS('Unit-Level Data'!$P:$P,'Unit-Level Data'!$M:$M,TRUE,
          'Unit-Level Data'!$D:$D, INDIRECT("C"&amp;ROW()),
          'Unit-Level Data'!$B:$B, INDIRECT("B"&amp;ROW()))),"")</f>
      </c>
      <c r="O402" s="760" t="str" cm="1">
        <f t="array" aca="true" ref="O402" ca="true">IFERROR(IF($O$3="Chunk Rent",
AVERAGEIFS('Unit-Level Data'!$Q:$Q,'Unit-Level Data'!$M:$M,TRUE,
          'Unit-Level Data'!$D:$D, INDIRECT("C"&amp;ROW()),
          'Unit-Level Data'!$B:$B, INDIRECT("B"&amp;ROW())),
AVERAGEIFS('Unit-Level Data'!$R:$R,'Unit-Level Data'!$M:$M,TRUE,
          'Unit-Level Data'!$D:$D, INDIRECT("C"&amp;ROW()),
          'Unit-Level Data'!$B:$B, INDIRECT("B"&amp;ROW()))),"")</f>
      </c>
      <c r="P402" s="733" cm="1">
        <f t="array" aca="true" ref="P402" ca="true">COUNTIFS('Unit-Level Data'!$M:$M,TRUE,
          'Unit-Level Data'!$D:$D, INDIRECT("C"&amp;ROW()),
          'Unit-Level Data'!$B:$B, INDIRECT("B"&amp;ROW()))</f>
        <v>0</v>
      </c>
      <c r="Q402" s="738" t="str" cm="1">
        <f t="array" aca="true" ref="Q4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2" s="760" t="str" cm="1">
        <f t="array" aca="true" ref="R4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2" s="733" cm="1">
        <f t="array" aca="true" ref="S402" ca="true">COUNTIFS('Unit-Level Data'!$L:$L, "&gt;=" &amp; ($X$2 - Q$5),
          'Unit-Level Data'!$L:$L, "&lt;" &amp; $X$2,
          'Unit-Level Data'!$D:$D, INDIRECT("C"&amp;ROW()),
          'Unit-Level Data'!$B:$B, INDIRECT("B"&amp;ROW()))</f>
        <v>0</v>
      </c>
      <c r="T402" s="738" t="str" cm="1">
        <f t="array" aca="true" ref="T4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2" s="760" t="str" cm="1">
        <f t="array" aca="true" ref="U4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2" s="733" cm="1">
        <f t="array" aca="true" ref="V402" ca="true">COUNTIFS('Unit-Level Data'!$L:$L, "&gt;=" &amp; ($X$2 - T$5),
          'Unit-Level Data'!$L:$L, "&lt;" &amp; $X$2,
          'Unit-Level Data'!$D:$D, INDIRECT("C"&amp;ROW()),
          'Unit-Level Data'!$B:$B, INDIRECT("B"&amp;ROW()))</f>
        <v>0</v>
      </c>
      <c r="W402" s="738" t="str" cm="1">
        <f t="array" aca="true" ref="W4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2" s="760" t="str" cm="1">
        <f t="array" aca="true" ref="X4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2" s="733" cm="1">
        <f t="array" aca="true" ref="Y402" ca="true">COUNTIFS('Unit-Level Data'!$L:$L, "&gt;=" &amp; ($X$2 - W$5),
          'Unit-Level Data'!$L:$L, "&lt;" &amp; $X$2,
          'Unit-Level Data'!$D:$D, INDIRECT("C"&amp;ROW()),
          'Unit-Level Data'!$B:$B, INDIRECT("B"&amp;ROW()))</f>
        <v>0</v>
      </c>
      <c r="Z402" s="761"/>
      <c r="AA402" s="735" cm="1">
        <f t="array" aca="true" ref="AA402" ca="true">IFERROR(AVERAGEIFS(
  unit_details[Sqft],
  unit_details[Property Name], INDIRECT("B"&amp;ROW()),
  unit_details[Floorplan Name], INDIRECT("C"&amp;ROW()),
  unit_details[Beds], INDIRECT("D"&amp;ROW()),
  unit_details[Detected Unit Amenities], "*"&amp;$AB$3&amp;"*",
  unit_details[Leased Date], "&gt;=" &amp; ($X$2 - $AD$3)
),0)</f>
        <v>0</v>
      </c>
      <c r="AB402" s="734" cm="1">
        <f t="array" aca="true" ref="AB4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2" s="733" cm="1">
        <f t="array" aca="true" ref="AC402" ca="true">IFERROR(COUNTIFS(
  unit_details[Property Name], INDIRECT("B"&amp;ROW()),
  unit_details[Floorplan Name], INDIRECT("C"&amp;ROW()),
  unit_details[Beds], INDIRECT("D"&amp;ROW()),
  unit_details[Detected Unit Amenities], "*"&amp;$AB$3&amp;"*",
  unit_details[Leased Date], "&gt;=" &amp; ($X$2 - $AD$3)
),0)</f>
        <v>0</v>
      </c>
      <c r="AD402" s="735" cm="1">
        <f t="array" aca="true" ref="AD402" ca="true">IFERROR(AVERAGEIFS(
  unit_details[Sqft],
  unit_details[Property Name], INDIRECT("B"&amp;ROW()),
  unit_details[Floorplan Name], INDIRECT("C"&amp;ROW()),
  unit_details[Beds], INDIRECT("D"&amp;ROW()),
  unit_details[Detected Unit Amenities], "&lt;&gt;*"&amp;$AB$3&amp;"*",
  unit_details[Leased Date], "&gt;=" &amp; ($X$2 - $AD$3)
),0)</f>
        <v>0</v>
      </c>
      <c r="AE402" s="734" cm="1">
        <f t="array" aca="true" ref="AE4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2" s="733" cm="1">
        <f t="array" aca="true" ref="AF402" ca="true">IFERROR(COUNTIFS(
  unit_details[Property Name], INDIRECT("B"&amp;ROW()),
  unit_details[Floorplan Name], INDIRECT("C"&amp;ROW()),
  unit_details[Beds], INDIRECT("D"&amp;ROW()),
  unit_details[Detected Unit Amenities], "&lt;&gt;*"&amp;$AB$3&amp;"*",
  unit_details[Leased Date], "&gt;=" &amp; ($X$2 - $AD$3)
),0)</f>
        <v>0</v>
      </c>
      <c r="AG402" s="735"/>
      <c r="AH402" s="738">
        <f t="shared" ca="true" si="14"/>
        <v>0</v>
      </c>
      <c r="AI402" s="739">
        <f t="shared" ca="true" si="15"/>
        <v>0</v>
      </c>
    </row>
    <row r="403" spans="10:35">
      <c r="J403" s="345"/>
      <c r="N403" s="738" t="str" cm="1">
        <f t="array" aca="true" ref="N403" ca="true">IFERROR(IF($O$3="Chunk Rent",
AVERAGEIFS('Unit-Level Data'!$O:$O,'Unit-Level Data'!$M:$M,TRUE,
          'Unit-Level Data'!$D:$D, INDIRECT("C"&amp;ROW()),
          'Unit-Level Data'!$B:$B, INDIRECT("B"&amp;ROW())),
AVERAGEIFS('Unit-Level Data'!$P:$P,'Unit-Level Data'!$M:$M,TRUE,
          'Unit-Level Data'!$D:$D, INDIRECT("C"&amp;ROW()),
          'Unit-Level Data'!$B:$B, INDIRECT("B"&amp;ROW()))),"")</f>
      </c>
      <c r="O403" s="760" t="str" cm="1">
        <f t="array" aca="true" ref="O403" ca="true">IFERROR(IF($O$3="Chunk Rent",
AVERAGEIFS('Unit-Level Data'!$Q:$Q,'Unit-Level Data'!$M:$M,TRUE,
          'Unit-Level Data'!$D:$D, INDIRECT("C"&amp;ROW()),
          'Unit-Level Data'!$B:$B, INDIRECT("B"&amp;ROW())),
AVERAGEIFS('Unit-Level Data'!$R:$R,'Unit-Level Data'!$M:$M,TRUE,
          'Unit-Level Data'!$D:$D, INDIRECT("C"&amp;ROW()),
          'Unit-Level Data'!$B:$B, INDIRECT("B"&amp;ROW()))),"")</f>
      </c>
      <c r="P403" s="733" cm="1">
        <f t="array" aca="true" ref="P403" ca="true">COUNTIFS('Unit-Level Data'!$M:$M,TRUE,
          'Unit-Level Data'!$D:$D, INDIRECT("C"&amp;ROW()),
          'Unit-Level Data'!$B:$B, INDIRECT("B"&amp;ROW()))</f>
        <v>0</v>
      </c>
      <c r="Q403" s="738" t="str" cm="1">
        <f t="array" aca="true" ref="Q4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3" s="760" t="str" cm="1">
        <f t="array" aca="true" ref="R4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3" s="733" cm="1">
        <f t="array" aca="true" ref="S403" ca="true">COUNTIFS('Unit-Level Data'!$L:$L, "&gt;=" &amp; ($X$2 - Q$5),
          'Unit-Level Data'!$L:$L, "&lt;" &amp; $X$2,
          'Unit-Level Data'!$D:$D, INDIRECT("C"&amp;ROW()),
          'Unit-Level Data'!$B:$B, INDIRECT("B"&amp;ROW()))</f>
        <v>0</v>
      </c>
      <c r="T403" s="738" t="str" cm="1">
        <f t="array" aca="true" ref="T4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3" s="760" t="str" cm="1">
        <f t="array" aca="true" ref="U4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3" s="733" cm="1">
        <f t="array" aca="true" ref="V403" ca="true">COUNTIFS('Unit-Level Data'!$L:$L, "&gt;=" &amp; ($X$2 - T$5),
          'Unit-Level Data'!$L:$L, "&lt;" &amp; $X$2,
          'Unit-Level Data'!$D:$D, INDIRECT("C"&amp;ROW()),
          'Unit-Level Data'!$B:$B, INDIRECT("B"&amp;ROW()))</f>
        <v>0</v>
      </c>
      <c r="W403" s="738" t="str" cm="1">
        <f t="array" aca="true" ref="W4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3" s="760" t="str" cm="1">
        <f t="array" aca="true" ref="X4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3" s="733" cm="1">
        <f t="array" aca="true" ref="Y403" ca="true">COUNTIFS('Unit-Level Data'!$L:$L, "&gt;=" &amp; ($X$2 - W$5),
          'Unit-Level Data'!$L:$L, "&lt;" &amp; $X$2,
          'Unit-Level Data'!$D:$D, INDIRECT("C"&amp;ROW()),
          'Unit-Level Data'!$B:$B, INDIRECT("B"&amp;ROW()))</f>
        <v>0</v>
      </c>
      <c r="Z403" s="761"/>
      <c r="AA403" s="735" cm="1">
        <f t="array" aca="true" ref="AA403" ca="true">IFERROR(AVERAGEIFS(
  unit_details[Sqft],
  unit_details[Property Name], INDIRECT("B"&amp;ROW()),
  unit_details[Floorplan Name], INDIRECT("C"&amp;ROW()),
  unit_details[Beds], INDIRECT("D"&amp;ROW()),
  unit_details[Detected Unit Amenities], "*"&amp;$AB$3&amp;"*",
  unit_details[Leased Date], "&gt;=" &amp; ($X$2 - $AD$3)
),0)</f>
        <v>0</v>
      </c>
      <c r="AB403" s="734" cm="1">
        <f t="array" aca="true" ref="AB4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3" s="733" cm="1">
        <f t="array" aca="true" ref="AC403" ca="true">IFERROR(COUNTIFS(
  unit_details[Property Name], INDIRECT("B"&amp;ROW()),
  unit_details[Floorplan Name], INDIRECT("C"&amp;ROW()),
  unit_details[Beds], INDIRECT("D"&amp;ROW()),
  unit_details[Detected Unit Amenities], "*"&amp;$AB$3&amp;"*",
  unit_details[Leased Date], "&gt;=" &amp; ($X$2 - $AD$3)
),0)</f>
        <v>0</v>
      </c>
      <c r="AD403" s="735" cm="1">
        <f t="array" aca="true" ref="AD403" ca="true">IFERROR(AVERAGEIFS(
  unit_details[Sqft],
  unit_details[Property Name], INDIRECT("B"&amp;ROW()),
  unit_details[Floorplan Name], INDIRECT("C"&amp;ROW()),
  unit_details[Beds], INDIRECT("D"&amp;ROW()),
  unit_details[Detected Unit Amenities], "&lt;&gt;*"&amp;$AB$3&amp;"*",
  unit_details[Leased Date], "&gt;=" &amp; ($X$2 - $AD$3)
),0)</f>
        <v>0</v>
      </c>
      <c r="AE403" s="734" cm="1">
        <f t="array" aca="true" ref="AE4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3" s="733" cm="1">
        <f t="array" aca="true" ref="AF403" ca="true">IFERROR(COUNTIFS(
  unit_details[Property Name], INDIRECT("B"&amp;ROW()),
  unit_details[Floorplan Name], INDIRECT("C"&amp;ROW()),
  unit_details[Beds], INDIRECT("D"&amp;ROW()),
  unit_details[Detected Unit Amenities], "&lt;&gt;*"&amp;$AB$3&amp;"*",
  unit_details[Leased Date], "&gt;=" &amp; ($X$2 - $AD$3)
),0)</f>
        <v>0</v>
      </c>
      <c r="AG403" s="735"/>
      <c r="AH403" s="738">
        <f t="shared" ca="true" si="14"/>
        <v>0</v>
      </c>
      <c r="AI403" s="739">
        <f t="shared" ca="true" si="15"/>
        <v>0</v>
      </c>
    </row>
    <row r="404" spans="10:35">
      <c r="J404" s="345"/>
      <c r="N404" s="738" t="str" cm="1">
        <f t="array" aca="true" ref="N404" ca="true">IFERROR(IF($O$3="Chunk Rent",
AVERAGEIFS('Unit-Level Data'!$O:$O,'Unit-Level Data'!$M:$M,TRUE,
          'Unit-Level Data'!$D:$D, INDIRECT("C"&amp;ROW()),
          'Unit-Level Data'!$B:$B, INDIRECT("B"&amp;ROW())),
AVERAGEIFS('Unit-Level Data'!$P:$P,'Unit-Level Data'!$M:$M,TRUE,
          'Unit-Level Data'!$D:$D, INDIRECT("C"&amp;ROW()),
          'Unit-Level Data'!$B:$B, INDIRECT("B"&amp;ROW()))),"")</f>
      </c>
      <c r="O404" s="760" t="str" cm="1">
        <f t="array" aca="true" ref="O404" ca="true">IFERROR(IF($O$3="Chunk Rent",
AVERAGEIFS('Unit-Level Data'!$Q:$Q,'Unit-Level Data'!$M:$M,TRUE,
          'Unit-Level Data'!$D:$D, INDIRECT("C"&amp;ROW()),
          'Unit-Level Data'!$B:$B, INDIRECT("B"&amp;ROW())),
AVERAGEIFS('Unit-Level Data'!$R:$R,'Unit-Level Data'!$M:$M,TRUE,
          'Unit-Level Data'!$D:$D, INDIRECT("C"&amp;ROW()),
          'Unit-Level Data'!$B:$B, INDIRECT("B"&amp;ROW()))),"")</f>
      </c>
      <c r="P404" s="733" cm="1">
        <f t="array" aca="true" ref="P404" ca="true">COUNTIFS('Unit-Level Data'!$M:$M,TRUE,
          'Unit-Level Data'!$D:$D, INDIRECT("C"&amp;ROW()),
          'Unit-Level Data'!$B:$B, INDIRECT("B"&amp;ROW()))</f>
        <v>0</v>
      </c>
      <c r="Q404" s="738" t="str" cm="1">
        <f t="array" aca="true" ref="Q4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4" s="760" t="str" cm="1">
        <f t="array" aca="true" ref="R4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4" s="733" cm="1">
        <f t="array" aca="true" ref="S404" ca="true">COUNTIFS('Unit-Level Data'!$L:$L, "&gt;=" &amp; ($X$2 - Q$5),
          'Unit-Level Data'!$L:$L, "&lt;" &amp; $X$2,
          'Unit-Level Data'!$D:$D, INDIRECT("C"&amp;ROW()),
          'Unit-Level Data'!$B:$B, INDIRECT("B"&amp;ROW()))</f>
        <v>0</v>
      </c>
      <c r="T404" s="738" t="str" cm="1">
        <f t="array" aca="true" ref="T4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4" s="760" t="str" cm="1">
        <f t="array" aca="true" ref="U4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4" s="733" cm="1">
        <f t="array" aca="true" ref="V404" ca="true">COUNTIFS('Unit-Level Data'!$L:$L, "&gt;=" &amp; ($X$2 - T$5),
          'Unit-Level Data'!$L:$L, "&lt;" &amp; $X$2,
          'Unit-Level Data'!$D:$D, INDIRECT("C"&amp;ROW()),
          'Unit-Level Data'!$B:$B, INDIRECT("B"&amp;ROW()))</f>
        <v>0</v>
      </c>
      <c r="W404" s="738" t="str" cm="1">
        <f t="array" aca="true" ref="W4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4" s="760" t="str" cm="1">
        <f t="array" aca="true" ref="X4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4" s="733" cm="1">
        <f t="array" aca="true" ref="Y404" ca="true">COUNTIFS('Unit-Level Data'!$L:$L, "&gt;=" &amp; ($X$2 - W$5),
          'Unit-Level Data'!$L:$L, "&lt;" &amp; $X$2,
          'Unit-Level Data'!$D:$D, INDIRECT("C"&amp;ROW()),
          'Unit-Level Data'!$B:$B, INDIRECT("B"&amp;ROW()))</f>
        <v>0</v>
      </c>
      <c r="Z404" s="761"/>
      <c r="AA404" s="735" cm="1">
        <f t="array" aca="true" ref="AA404" ca="true">IFERROR(AVERAGEIFS(
  unit_details[Sqft],
  unit_details[Property Name], INDIRECT("B"&amp;ROW()),
  unit_details[Floorplan Name], INDIRECT("C"&amp;ROW()),
  unit_details[Beds], INDIRECT("D"&amp;ROW()),
  unit_details[Detected Unit Amenities], "*"&amp;$AB$3&amp;"*",
  unit_details[Leased Date], "&gt;=" &amp; ($X$2 - $AD$3)
),0)</f>
        <v>0</v>
      </c>
      <c r="AB404" s="734" cm="1">
        <f t="array" aca="true" ref="AB4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4" s="733" cm="1">
        <f t="array" aca="true" ref="AC404" ca="true">IFERROR(COUNTIFS(
  unit_details[Property Name], INDIRECT("B"&amp;ROW()),
  unit_details[Floorplan Name], INDIRECT("C"&amp;ROW()),
  unit_details[Beds], INDIRECT("D"&amp;ROW()),
  unit_details[Detected Unit Amenities], "*"&amp;$AB$3&amp;"*",
  unit_details[Leased Date], "&gt;=" &amp; ($X$2 - $AD$3)
),0)</f>
        <v>0</v>
      </c>
      <c r="AD404" s="735" cm="1">
        <f t="array" aca="true" ref="AD404" ca="true">IFERROR(AVERAGEIFS(
  unit_details[Sqft],
  unit_details[Property Name], INDIRECT("B"&amp;ROW()),
  unit_details[Floorplan Name], INDIRECT("C"&amp;ROW()),
  unit_details[Beds], INDIRECT("D"&amp;ROW()),
  unit_details[Detected Unit Amenities], "&lt;&gt;*"&amp;$AB$3&amp;"*",
  unit_details[Leased Date], "&gt;=" &amp; ($X$2 - $AD$3)
),0)</f>
        <v>0</v>
      </c>
      <c r="AE404" s="734" cm="1">
        <f t="array" aca="true" ref="AE4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4" s="733" cm="1">
        <f t="array" aca="true" ref="AF404" ca="true">IFERROR(COUNTIFS(
  unit_details[Property Name], INDIRECT("B"&amp;ROW()),
  unit_details[Floorplan Name], INDIRECT("C"&amp;ROW()),
  unit_details[Beds], INDIRECT("D"&amp;ROW()),
  unit_details[Detected Unit Amenities], "&lt;&gt;*"&amp;$AB$3&amp;"*",
  unit_details[Leased Date], "&gt;=" &amp; ($X$2 - $AD$3)
),0)</f>
        <v>0</v>
      </c>
      <c r="AG404" s="735"/>
      <c r="AH404" s="738">
        <f t="shared" ca="true" si="14"/>
        <v>0</v>
      </c>
      <c r="AI404" s="739">
        <f t="shared" ca="true" si="15"/>
        <v>0</v>
      </c>
    </row>
    <row r="405" spans="10:35">
      <c r="J405" s="345"/>
      <c r="N405" s="738" t="str" cm="1">
        <f t="array" aca="true" ref="N405" ca="true">IFERROR(IF($O$3="Chunk Rent",
AVERAGEIFS('Unit-Level Data'!$O:$O,'Unit-Level Data'!$M:$M,TRUE,
          'Unit-Level Data'!$D:$D, INDIRECT("C"&amp;ROW()),
          'Unit-Level Data'!$B:$B, INDIRECT("B"&amp;ROW())),
AVERAGEIFS('Unit-Level Data'!$P:$P,'Unit-Level Data'!$M:$M,TRUE,
          'Unit-Level Data'!$D:$D, INDIRECT("C"&amp;ROW()),
          'Unit-Level Data'!$B:$B, INDIRECT("B"&amp;ROW()))),"")</f>
      </c>
      <c r="O405" s="760" t="str" cm="1">
        <f t="array" aca="true" ref="O405" ca="true">IFERROR(IF($O$3="Chunk Rent",
AVERAGEIFS('Unit-Level Data'!$Q:$Q,'Unit-Level Data'!$M:$M,TRUE,
          'Unit-Level Data'!$D:$D, INDIRECT("C"&amp;ROW()),
          'Unit-Level Data'!$B:$B, INDIRECT("B"&amp;ROW())),
AVERAGEIFS('Unit-Level Data'!$R:$R,'Unit-Level Data'!$M:$M,TRUE,
          'Unit-Level Data'!$D:$D, INDIRECT("C"&amp;ROW()),
          'Unit-Level Data'!$B:$B, INDIRECT("B"&amp;ROW()))),"")</f>
      </c>
      <c r="P405" s="733" cm="1">
        <f t="array" aca="true" ref="P405" ca="true">COUNTIFS('Unit-Level Data'!$M:$M,TRUE,
          'Unit-Level Data'!$D:$D, INDIRECT("C"&amp;ROW()),
          'Unit-Level Data'!$B:$B, INDIRECT("B"&amp;ROW()))</f>
        <v>0</v>
      </c>
      <c r="Q405" s="738" t="str" cm="1">
        <f t="array" aca="true" ref="Q4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5" s="760" t="str" cm="1">
        <f t="array" aca="true" ref="R4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5" s="733" cm="1">
        <f t="array" aca="true" ref="S405" ca="true">COUNTIFS('Unit-Level Data'!$L:$L, "&gt;=" &amp; ($X$2 - Q$5),
          'Unit-Level Data'!$L:$L, "&lt;" &amp; $X$2,
          'Unit-Level Data'!$D:$D, INDIRECT("C"&amp;ROW()),
          'Unit-Level Data'!$B:$B, INDIRECT("B"&amp;ROW()))</f>
        <v>0</v>
      </c>
      <c r="T405" s="738" t="str" cm="1">
        <f t="array" aca="true" ref="T4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5" s="760" t="str" cm="1">
        <f t="array" aca="true" ref="U4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5" s="733" cm="1">
        <f t="array" aca="true" ref="V405" ca="true">COUNTIFS('Unit-Level Data'!$L:$L, "&gt;=" &amp; ($X$2 - T$5),
          'Unit-Level Data'!$L:$L, "&lt;" &amp; $X$2,
          'Unit-Level Data'!$D:$D, INDIRECT("C"&amp;ROW()),
          'Unit-Level Data'!$B:$B, INDIRECT("B"&amp;ROW()))</f>
        <v>0</v>
      </c>
      <c r="W405" s="738" t="str" cm="1">
        <f t="array" aca="true" ref="W4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5" s="760" t="str" cm="1">
        <f t="array" aca="true" ref="X4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5" s="733" cm="1">
        <f t="array" aca="true" ref="Y405" ca="true">COUNTIFS('Unit-Level Data'!$L:$L, "&gt;=" &amp; ($X$2 - W$5),
          'Unit-Level Data'!$L:$L, "&lt;" &amp; $X$2,
          'Unit-Level Data'!$D:$D, INDIRECT("C"&amp;ROW()),
          'Unit-Level Data'!$B:$B, INDIRECT("B"&amp;ROW()))</f>
        <v>0</v>
      </c>
      <c r="Z405" s="761"/>
      <c r="AA405" s="735" cm="1">
        <f t="array" aca="true" ref="AA405" ca="true">IFERROR(AVERAGEIFS(
  unit_details[Sqft],
  unit_details[Property Name], INDIRECT("B"&amp;ROW()),
  unit_details[Floorplan Name], INDIRECT("C"&amp;ROW()),
  unit_details[Beds], INDIRECT("D"&amp;ROW()),
  unit_details[Detected Unit Amenities], "*"&amp;$AB$3&amp;"*",
  unit_details[Leased Date], "&gt;=" &amp; ($X$2 - $AD$3)
),0)</f>
        <v>0</v>
      </c>
      <c r="AB405" s="734" cm="1">
        <f t="array" aca="true" ref="AB4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5" s="733" cm="1">
        <f t="array" aca="true" ref="AC405" ca="true">IFERROR(COUNTIFS(
  unit_details[Property Name], INDIRECT("B"&amp;ROW()),
  unit_details[Floorplan Name], INDIRECT("C"&amp;ROW()),
  unit_details[Beds], INDIRECT("D"&amp;ROW()),
  unit_details[Detected Unit Amenities], "*"&amp;$AB$3&amp;"*",
  unit_details[Leased Date], "&gt;=" &amp; ($X$2 - $AD$3)
),0)</f>
        <v>0</v>
      </c>
      <c r="AD405" s="735" cm="1">
        <f t="array" aca="true" ref="AD405" ca="true">IFERROR(AVERAGEIFS(
  unit_details[Sqft],
  unit_details[Property Name], INDIRECT("B"&amp;ROW()),
  unit_details[Floorplan Name], INDIRECT("C"&amp;ROW()),
  unit_details[Beds], INDIRECT("D"&amp;ROW()),
  unit_details[Detected Unit Amenities], "&lt;&gt;*"&amp;$AB$3&amp;"*",
  unit_details[Leased Date], "&gt;=" &amp; ($X$2 - $AD$3)
),0)</f>
        <v>0</v>
      </c>
      <c r="AE405" s="734" cm="1">
        <f t="array" aca="true" ref="AE4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5" s="733" cm="1">
        <f t="array" aca="true" ref="AF405" ca="true">IFERROR(COUNTIFS(
  unit_details[Property Name], INDIRECT("B"&amp;ROW()),
  unit_details[Floorplan Name], INDIRECT("C"&amp;ROW()),
  unit_details[Beds], INDIRECT("D"&amp;ROW()),
  unit_details[Detected Unit Amenities], "&lt;&gt;*"&amp;$AB$3&amp;"*",
  unit_details[Leased Date], "&gt;=" &amp; ($X$2 - $AD$3)
),0)</f>
        <v>0</v>
      </c>
      <c r="AG405" s="735"/>
      <c r="AH405" s="738">
        <f t="shared" ca="true" si="14"/>
        <v>0</v>
      </c>
      <c r="AI405" s="739">
        <f t="shared" ca="true" si="15"/>
        <v>0</v>
      </c>
    </row>
    <row r="406" spans="10:35">
      <c r="J406" s="345"/>
      <c r="N406" s="738" t="str" cm="1">
        <f t="array" aca="true" ref="N406" ca="true">IFERROR(IF($O$3="Chunk Rent",
AVERAGEIFS('Unit-Level Data'!$O:$O,'Unit-Level Data'!$M:$M,TRUE,
          'Unit-Level Data'!$D:$D, INDIRECT("C"&amp;ROW()),
          'Unit-Level Data'!$B:$B, INDIRECT("B"&amp;ROW())),
AVERAGEIFS('Unit-Level Data'!$P:$P,'Unit-Level Data'!$M:$M,TRUE,
          'Unit-Level Data'!$D:$D, INDIRECT("C"&amp;ROW()),
          'Unit-Level Data'!$B:$B, INDIRECT("B"&amp;ROW()))),"")</f>
      </c>
      <c r="O406" s="760" t="str" cm="1">
        <f t="array" aca="true" ref="O406" ca="true">IFERROR(IF($O$3="Chunk Rent",
AVERAGEIFS('Unit-Level Data'!$Q:$Q,'Unit-Level Data'!$M:$M,TRUE,
          'Unit-Level Data'!$D:$D, INDIRECT("C"&amp;ROW()),
          'Unit-Level Data'!$B:$B, INDIRECT("B"&amp;ROW())),
AVERAGEIFS('Unit-Level Data'!$R:$R,'Unit-Level Data'!$M:$M,TRUE,
          'Unit-Level Data'!$D:$D, INDIRECT("C"&amp;ROW()),
          'Unit-Level Data'!$B:$B, INDIRECT("B"&amp;ROW()))),"")</f>
      </c>
      <c r="P406" s="733" cm="1">
        <f t="array" aca="true" ref="P406" ca="true">COUNTIFS('Unit-Level Data'!$M:$M,TRUE,
          'Unit-Level Data'!$D:$D, INDIRECT("C"&amp;ROW()),
          'Unit-Level Data'!$B:$B, INDIRECT("B"&amp;ROW()))</f>
        <v>0</v>
      </c>
      <c r="Q406" s="738" t="str" cm="1">
        <f t="array" aca="true" ref="Q4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6" s="760" t="str" cm="1">
        <f t="array" aca="true" ref="R4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6" s="733" cm="1">
        <f t="array" aca="true" ref="S406" ca="true">COUNTIFS('Unit-Level Data'!$L:$L, "&gt;=" &amp; ($X$2 - Q$5),
          'Unit-Level Data'!$L:$L, "&lt;" &amp; $X$2,
          'Unit-Level Data'!$D:$D, INDIRECT("C"&amp;ROW()),
          'Unit-Level Data'!$B:$B, INDIRECT("B"&amp;ROW()))</f>
        <v>0</v>
      </c>
      <c r="T406" s="738" t="str" cm="1">
        <f t="array" aca="true" ref="T4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6" s="760" t="str" cm="1">
        <f t="array" aca="true" ref="U4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6" s="733" cm="1">
        <f t="array" aca="true" ref="V406" ca="true">COUNTIFS('Unit-Level Data'!$L:$L, "&gt;=" &amp; ($X$2 - T$5),
          'Unit-Level Data'!$L:$L, "&lt;" &amp; $X$2,
          'Unit-Level Data'!$D:$D, INDIRECT("C"&amp;ROW()),
          'Unit-Level Data'!$B:$B, INDIRECT("B"&amp;ROW()))</f>
        <v>0</v>
      </c>
      <c r="W406" s="738" t="str" cm="1">
        <f t="array" aca="true" ref="W4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6" s="760" t="str" cm="1">
        <f t="array" aca="true" ref="X4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6" s="733" cm="1">
        <f t="array" aca="true" ref="Y406" ca="true">COUNTIFS('Unit-Level Data'!$L:$L, "&gt;=" &amp; ($X$2 - W$5),
          'Unit-Level Data'!$L:$L, "&lt;" &amp; $X$2,
          'Unit-Level Data'!$D:$D, INDIRECT("C"&amp;ROW()),
          'Unit-Level Data'!$B:$B, INDIRECT("B"&amp;ROW()))</f>
        <v>0</v>
      </c>
      <c r="Z406" s="761"/>
      <c r="AA406" s="735" cm="1">
        <f t="array" aca="true" ref="AA406" ca="true">IFERROR(AVERAGEIFS(
  unit_details[Sqft],
  unit_details[Property Name], INDIRECT("B"&amp;ROW()),
  unit_details[Floorplan Name], INDIRECT("C"&amp;ROW()),
  unit_details[Beds], INDIRECT("D"&amp;ROW()),
  unit_details[Detected Unit Amenities], "*"&amp;$AB$3&amp;"*",
  unit_details[Leased Date], "&gt;=" &amp; ($X$2 - $AD$3)
),0)</f>
        <v>0</v>
      </c>
      <c r="AB406" s="734" cm="1">
        <f t="array" aca="true" ref="AB4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6" s="733" cm="1">
        <f t="array" aca="true" ref="AC406" ca="true">IFERROR(COUNTIFS(
  unit_details[Property Name], INDIRECT("B"&amp;ROW()),
  unit_details[Floorplan Name], INDIRECT("C"&amp;ROW()),
  unit_details[Beds], INDIRECT("D"&amp;ROW()),
  unit_details[Detected Unit Amenities], "*"&amp;$AB$3&amp;"*",
  unit_details[Leased Date], "&gt;=" &amp; ($X$2 - $AD$3)
),0)</f>
        <v>0</v>
      </c>
      <c r="AD406" s="735" cm="1">
        <f t="array" aca="true" ref="AD406" ca="true">IFERROR(AVERAGEIFS(
  unit_details[Sqft],
  unit_details[Property Name], INDIRECT("B"&amp;ROW()),
  unit_details[Floorplan Name], INDIRECT("C"&amp;ROW()),
  unit_details[Beds], INDIRECT("D"&amp;ROW()),
  unit_details[Detected Unit Amenities], "&lt;&gt;*"&amp;$AB$3&amp;"*",
  unit_details[Leased Date], "&gt;=" &amp; ($X$2 - $AD$3)
),0)</f>
        <v>0</v>
      </c>
      <c r="AE406" s="734" cm="1">
        <f t="array" aca="true" ref="AE4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6" s="733" cm="1">
        <f t="array" aca="true" ref="AF406" ca="true">IFERROR(COUNTIFS(
  unit_details[Property Name], INDIRECT("B"&amp;ROW()),
  unit_details[Floorplan Name], INDIRECT("C"&amp;ROW()),
  unit_details[Beds], INDIRECT("D"&amp;ROW()),
  unit_details[Detected Unit Amenities], "&lt;&gt;*"&amp;$AB$3&amp;"*",
  unit_details[Leased Date], "&gt;=" &amp; ($X$2 - $AD$3)
),0)</f>
        <v>0</v>
      </c>
      <c r="AG406" s="735"/>
      <c r="AH406" s="738">
        <f t="shared" ca="true" si="14"/>
        <v>0</v>
      </c>
      <c r="AI406" s="739">
        <f t="shared" ca="true" si="15"/>
        <v>0</v>
      </c>
    </row>
    <row r="407" spans="10:35">
      <c r="J407" s="345"/>
      <c r="N407" s="738" t="str" cm="1">
        <f t="array" aca="true" ref="N407" ca="true">IFERROR(IF($O$3="Chunk Rent",
AVERAGEIFS('Unit-Level Data'!$O:$O,'Unit-Level Data'!$M:$M,TRUE,
          'Unit-Level Data'!$D:$D, INDIRECT("C"&amp;ROW()),
          'Unit-Level Data'!$B:$B, INDIRECT("B"&amp;ROW())),
AVERAGEIFS('Unit-Level Data'!$P:$P,'Unit-Level Data'!$M:$M,TRUE,
          'Unit-Level Data'!$D:$D, INDIRECT("C"&amp;ROW()),
          'Unit-Level Data'!$B:$B, INDIRECT("B"&amp;ROW()))),"")</f>
      </c>
      <c r="O407" s="760" t="str" cm="1">
        <f t="array" aca="true" ref="O407" ca="true">IFERROR(IF($O$3="Chunk Rent",
AVERAGEIFS('Unit-Level Data'!$Q:$Q,'Unit-Level Data'!$M:$M,TRUE,
          'Unit-Level Data'!$D:$D, INDIRECT("C"&amp;ROW()),
          'Unit-Level Data'!$B:$B, INDIRECT("B"&amp;ROW())),
AVERAGEIFS('Unit-Level Data'!$R:$R,'Unit-Level Data'!$M:$M,TRUE,
          'Unit-Level Data'!$D:$D, INDIRECT("C"&amp;ROW()),
          'Unit-Level Data'!$B:$B, INDIRECT("B"&amp;ROW()))),"")</f>
      </c>
      <c r="P407" s="733" cm="1">
        <f t="array" aca="true" ref="P407" ca="true">COUNTIFS('Unit-Level Data'!$M:$M,TRUE,
          'Unit-Level Data'!$D:$D, INDIRECT("C"&amp;ROW()),
          'Unit-Level Data'!$B:$B, INDIRECT("B"&amp;ROW()))</f>
        <v>0</v>
      </c>
      <c r="Q407" s="738" t="str" cm="1">
        <f t="array" aca="true" ref="Q4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7" s="760" t="str" cm="1">
        <f t="array" aca="true" ref="R4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7" s="733" cm="1">
        <f t="array" aca="true" ref="S407" ca="true">COUNTIFS('Unit-Level Data'!$L:$L, "&gt;=" &amp; ($X$2 - Q$5),
          'Unit-Level Data'!$L:$L, "&lt;" &amp; $X$2,
          'Unit-Level Data'!$D:$D, INDIRECT("C"&amp;ROW()),
          'Unit-Level Data'!$B:$B, INDIRECT("B"&amp;ROW()))</f>
        <v>0</v>
      </c>
      <c r="T407" s="738" t="str" cm="1">
        <f t="array" aca="true" ref="T4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7" s="760" t="str" cm="1">
        <f t="array" aca="true" ref="U4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7" s="733" cm="1">
        <f t="array" aca="true" ref="V407" ca="true">COUNTIFS('Unit-Level Data'!$L:$L, "&gt;=" &amp; ($X$2 - T$5),
          'Unit-Level Data'!$L:$L, "&lt;" &amp; $X$2,
          'Unit-Level Data'!$D:$D, INDIRECT("C"&amp;ROW()),
          'Unit-Level Data'!$B:$B, INDIRECT("B"&amp;ROW()))</f>
        <v>0</v>
      </c>
      <c r="W407" s="738" t="str" cm="1">
        <f t="array" aca="true" ref="W4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7" s="760" t="str" cm="1">
        <f t="array" aca="true" ref="X4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7" s="733" cm="1">
        <f t="array" aca="true" ref="Y407" ca="true">COUNTIFS('Unit-Level Data'!$L:$L, "&gt;=" &amp; ($X$2 - W$5),
          'Unit-Level Data'!$L:$L, "&lt;" &amp; $X$2,
          'Unit-Level Data'!$D:$D, INDIRECT("C"&amp;ROW()),
          'Unit-Level Data'!$B:$B, INDIRECT("B"&amp;ROW()))</f>
        <v>0</v>
      </c>
      <c r="Z407" s="761"/>
      <c r="AA407" s="735" cm="1">
        <f t="array" aca="true" ref="AA407" ca="true">IFERROR(AVERAGEIFS(
  unit_details[Sqft],
  unit_details[Property Name], INDIRECT("B"&amp;ROW()),
  unit_details[Floorplan Name], INDIRECT("C"&amp;ROW()),
  unit_details[Beds], INDIRECT("D"&amp;ROW()),
  unit_details[Detected Unit Amenities], "*"&amp;$AB$3&amp;"*",
  unit_details[Leased Date], "&gt;=" &amp; ($X$2 - $AD$3)
),0)</f>
        <v>0</v>
      </c>
      <c r="AB407" s="734" cm="1">
        <f t="array" aca="true" ref="AB4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7" s="733" cm="1">
        <f t="array" aca="true" ref="AC407" ca="true">IFERROR(COUNTIFS(
  unit_details[Property Name], INDIRECT("B"&amp;ROW()),
  unit_details[Floorplan Name], INDIRECT("C"&amp;ROW()),
  unit_details[Beds], INDIRECT("D"&amp;ROW()),
  unit_details[Detected Unit Amenities], "*"&amp;$AB$3&amp;"*",
  unit_details[Leased Date], "&gt;=" &amp; ($X$2 - $AD$3)
),0)</f>
        <v>0</v>
      </c>
      <c r="AD407" s="735" cm="1">
        <f t="array" aca="true" ref="AD407" ca="true">IFERROR(AVERAGEIFS(
  unit_details[Sqft],
  unit_details[Property Name], INDIRECT("B"&amp;ROW()),
  unit_details[Floorplan Name], INDIRECT("C"&amp;ROW()),
  unit_details[Beds], INDIRECT("D"&amp;ROW()),
  unit_details[Detected Unit Amenities], "&lt;&gt;*"&amp;$AB$3&amp;"*",
  unit_details[Leased Date], "&gt;=" &amp; ($X$2 - $AD$3)
),0)</f>
        <v>0</v>
      </c>
      <c r="AE407" s="734" cm="1">
        <f t="array" aca="true" ref="AE4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7" s="733" cm="1">
        <f t="array" aca="true" ref="AF407" ca="true">IFERROR(COUNTIFS(
  unit_details[Property Name], INDIRECT("B"&amp;ROW()),
  unit_details[Floorplan Name], INDIRECT("C"&amp;ROW()),
  unit_details[Beds], INDIRECT("D"&amp;ROW()),
  unit_details[Detected Unit Amenities], "&lt;&gt;*"&amp;$AB$3&amp;"*",
  unit_details[Leased Date], "&gt;=" &amp; ($X$2 - $AD$3)
),0)</f>
        <v>0</v>
      </c>
      <c r="AG407" s="735"/>
      <c r="AH407" s="738">
        <f t="shared" ca="true" si="14"/>
        <v>0</v>
      </c>
      <c r="AI407" s="739">
        <f t="shared" ca="true" si="15"/>
        <v>0</v>
      </c>
    </row>
    <row r="408" spans="10:35">
      <c r="J408" s="345"/>
      <c r="N408" s="738" t="str" cm="1">
        <f t="array" aca="true" ref="N408" ca="true">IFERROR(IF($O$3="Chunk Rent",
AVERAGEIFS('Unit-Level Data'!$O:$O,'Unit-Level Data'!$M:$M,TRUE,
          'Unit-Level Data'!$D:$D, INDIRECT("C"&amp;ROW()),
          'Unit-Level Data'!$B:$B, INDIRECT("B"&amp;ROW())),
AVERAGEIFS('Unit-Level Data'!$P:$P,'Unit-Level Data'!$M:$M,TRUE,
          'Unit-Level Data'!$D:$D, INDIRECT("C"&amp;ROW()),
          'Unit-Level Data'!$B:$B, INDIRECT("B"&amp;ROW()))),"")</f>
      </c>
      <c r="O408" s="760" t="str" cm="1">
        <f t="array" aca="true" ref="O408" ca="true">IFERROR(IF($O$3="Chunk Rent",
AVERAGEIFS('Unit-Level Data'!$Q:$Q,'Unit-Level Data'!$M:$M,TRUE,
          'Unit-Level Data'!$D:$D, INDIRECT("C"&amp;ROW()),
          'Unit-Level Data'!$B:$B, INDIRECT("B"&amp;ROW())),
AVERAGEIFS('Unit-Level Data'!$R:$R,'Unit-Level Data'!$M:$M,TRUE,
          'Unit-Level Data'!$D:$D, INDIRECT("C"&amp;ROW()),
          'Unit-Level Data'!$B:$B, INDIRECT("B"&amp;ROW()))),"")</f>
      </c>
      <c r="P408" s="733" cm="1">
        <f t="array" aca="true" ref="P408" ca="true">COUNTIFS('Unit-Level Data'!$M:$M,TRUE,
          'Unit-Level Data'!$D:$D, INDIRECT("C"&amp;ROW()),
          'Unit-Level Data'!$B:$B, INDIRECT("B"&amp;ROW()))</f>
        <v>0</v>
      </c>
      <c r="Q408" s="738" t="str" cm="1">
        <f t="array" aca="true" ref="Q4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8" s="760" t="str" cm="1">
        <f t="array" aca="true" ref="R4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8" s="733" cm="1">
        <f t="array" aca="true" ref="S408" ca="true">COUNTIFS('Unit-Level Data'!$L:$L, "&gt;=" &amp; ($X$2 - Q$5),
          'Unit-Level Data'!$L:$L, "&lt;" &amp; $X$2,
          'Unit-Level Data'!$D:$D, INDIRECT("C"&amp;ROW()),
          'Unit-Level Data'!$B:$B, INDIRECT("B"&amp;ROW()))</f>
        <v>0</v>
      </c>
      <c r="T408" s="738" t="str" cm="1">
        <f t="array" aca="true" ref="T4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8" s="760" t="str" cm="1">
        <f t="array" aca="true" ref="U4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8" s="733" cm="1">
        <f t="array" aca="true" ref="V408" ca="true">COUNTIFS('Unit-Level Data'!$L:$L, "&gt;=" &amp; ($X$2 - T$5),
          'Unit-Level Data'!$L:$L, "&lt;" &amp; $X$2,
          'Unit-Level Data'!$D:$D, INDIRECT("C"&amp;ROW()),
          'Unit-Level Data'!$B:$B, INDIRECT("B"&amp;ROW()))</f>
        <v>0</v>
      </c>
      <c r="W408" s="738" t="str" cm="1">
        <f t="array" aca="true" ref="W4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8" s="760" t="str" cm="1">
        <f t="array" aca="true" ref="X4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8" s="733" cm="1">
        <f t="array" aca="true" ref="Y408" ca="true">COUNTIFS('Unit-Level Data'!$L:$L, "&gt;=" &amp; ($X$2 - W$5),
          'Unit-Level Data'!$L:$L, "&lt;" &amp; $X$2,
          'Unit-Level Data'!$D:$D, INDIRECT("C"&amp;ROW()),
          'Unit-Level Data'!$B:$B, INDIRECT("B"&amp;ROW()))</f>
        <v>0</v>
      </c>
      <c r="Z408" s="761"/>
      <c r="AA408" s="735" cm="1">
        <f t="array" aca="true" ref="AA408" ca="true">IFERROR(AVERAGEIFS(
  unit_details[Sqft],
  unit_details[Property Name], INDIRECT("B"&amp;ROW()),
  unit_details[Floorplan Name], INDIRECT("C"&amp;ROW()),
  unit_details[Beds], INDIRECT("D"&amp;ROW()),
  unit_details[Detected Unit Amenities], "*"&amp;$AB$3&amp;"*",
  unit_details[Leased Date], "&gt;=" &amp; ($X$2 - $AD$3)
),0)</f>
        <v>0</v>
      </c>
      <c r="AB408" s="734" cm="1">
        <f t="array" aca="true" ref="AB4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8" s="733" cm="1">
        <f t="array" aca="true" ref="AC408" ca="true">IFERROR(COUNTIFS(
  unit_details[Property Name], INDIRECT("B"&amp;ROW()),
  unit_details[Floorplan Name], INDIRECT("C"&amp;ROW()),
  unit_details[Beds], INDIRECT("D"&amp;ROW()),
  unit_details[Detected Unit Amenities], "*"&amp;$AB$3&amp;"*",
  unit_details[Leased Date], "&gt;=" &amp; ($X$2 - $AD$3)
),0)</f>
        <v>0</v>
      </c>
      <c r="AD408" s="735" cm="1">
        <f t="array" aca="true" ref="AD408" ca="true">IFERROR(AVERAGEIFS(
  unit_details[Sqft],
  unit_details[Property Name], INDIRECT("B"&amp;ROW()),
  unit_details[Floorplan Name], INDIRECT("C"&amp;ROW()),
  unit_details[Beds], INDIRECT("D"&amp;ROW()),
  unit_details[Detected Unit Amenities], "&lt;&gt;*"&amp;$AB$3&amp;"*",
  unit_details[Leased Date], "&gt;=" &amp; ($X$2 - $AD$3)
),0)</f>
        <v>0</v>
      </c>
      <c r="AE408" s="734" cm="1">
        <f t="array" aca="true" ref="AE4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8" s="733" cm="1">
        <f t="array" aca="true" ref="AF408" ca="true">IFERROR(COUNTIFS(
  unit_details[Property Name], INDIRECT("B"&amp;ROW()),
  unit_details[Floorplan Name], INDIRECT("C"&amp;ROW()),
  unit_details[Beds], INDIRECT("D"&amp;ROW()),
  unit_details[Detected Unit Amenities], "&lt;&gt;*"&amp;$AB$3&amp;"*",
  unit_details[Leased Date], "&gt;=" &amp; ($X$2 - $AD$3)
),0)</f>
        <v>0</v>
      </c>
      <c r="AG408" s="735"/>
      <c r="AH408" s="738">
        <f t="shared" ca="true" si="14"/>
        <v>0</v>
      </c>
      <c r="AI408" s="739">
        <f t="shared" ca="true" si="15"/>
        <v>0</v>
      </c>
    </row>
    <row r="409" spans="10:35">
      <c r="J409" s="345"/>
      <c r="N409" s="738" t="str" cm="1">
        <f t="array" aca="true" ref="N409" ca="true">IFERROR(IF($O$3="Chunk Rent",
AVERAGEIFS('Unit-Level Data'!$O:$O,'Unit-Level Data'!$M:$M,TRUE,
          'Unit-Level Data'!$D:$D, INDIRECT("C"&amp;ROW()),
          'Unit-Level Data'!$B:$B, INDIRECT("B"&amp;ROW())),
AVERAGEIFS('Unit-Level Data'!$P:$P,'Unit-Level Data'!$M:$M,TRUE,
          'Unit-Level Data'!$D:$D, INDIRECT("C"&amp;ROW()),
          'Unit-Level Data'!$B:$B, INDIRECT("B"&amp;ROW()))),"")</f>
      </c>
      <c r="O409" s="760" t="str" cm="1">
        <f t="array" aca="true" ref="O409" ca="true">IFERROR(IF($O$3="Chunk Rent",
AVERAGEIFS('Unit-Level Data'!$Q:$Q,'Unit-Level Data'!$M:$M,TRUE,
          'Unit-Level Data'!$D:$D, INDIRECT("C"&amp;ROW()),
          'Unit-Level Data'!$B:$B, INDIRECT("B"&amp;ROW())),
AVERAGEIFS('Unit-Level Data'!$R:$R,'Unit-Level Data'!$M:$M,TRUE,
          'Unit-Level Data'!$D:$D, INDIRECT("C"&amp;ROW()),
          'Unit-Level Data'!$B:$B, INDIRECT("B"&amp;ROW()))),"")</f>
      </c>
      <c r="P409" s="733" cm="1">
        <f t="array" aca="true" ref="P409" ca="true">COUNTIFS('Unit-Level Data'!$M:$M,TRUE,
          'Unit-Level Data'!$D:$D, INDIRECT("C"&amp;ROW()),
          'Unit-Level Data'!$B:$B, INDIRECT("B"&amp;ROW()))</f>
        <v>0</v>
      </c>
      <c r="Q409" s="738" t="str" cm="1">
        <f t="array" aca="true" ref="Q4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9" s="760" t="str" cm="1">
        <f t="array" aca="true" ref="R4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9" s="733" cm="1">
        <f t="array" aca="true" ref="S409" ca="true">COUNTIFS('Unit-Level Data'!$L:$L, "&gt;=" &amp; ($X$2 - Q$5),
          'Unit-Level Data'!$L:$L, "&lt;" &amp; $X$2,
          'Unit-Level Data'!$D:$D, INDIRECT("C"&amp;ROW()),
          'Unit-Level Data'!$B:$B, INDIRECT("B"&amp;ROW()))</f>
        <v>0</v>
      </c>
      <c r="T409" s="738" t="str" cm="1">
        <f t="array" aca="true" ref="T4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9" s="760" t="str" cm="1">
        <f t="array" aca="true" ref="U4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9" s="733" cm="1">
        <f t="array" aca="true" ref="V409" ca="true">COUNTIFS('Unit-Level Data'!$L:$L, "&gt;=" &amp; ($X$2 - T$5),
          'Unit-Level Data'!$L:$L, "&lt;" &amp; $X$2,
          'Unit-Level Data'!$D:$D, INDIRECT("C"&amp;ROW()),
          'Unit-Level Data'!$B:$B, INDIRECT("B"&amp;ROW()))</f>
        <v>0</v>
      </c>
      <c r="W409" s="738" t="str" cm="1">
        <f t="array" aca="true" ref="W4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9" s="760" t="str" cm="1">
        <f t="array" aca="true" ref="X4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9" s="733" cm="1">
        <f t="array" aca="true" ref="Y409" ca="true">COUNTIFS('Unit-Level Data'!$L:$L, "&gt;=" &amp; ($X$2 - W$5),
          'Unit-Level Data'!$L:$L, "&lt;" &amp; $X$2,
          'Unit-Level Data'!$D:$D, INDIRECT("C"&amp;ROW()),
          'Unit-Level Data'!$B:$B, INDIRECT("B"&amp;ROW()))</f>
        <v>0</v>
      </c>
      <c r="Z409" s="761"/>
      <c r="AA409" s="735" cm="1">
        <f t="array" aca="true" ref="AA409" ca="true">IFERROR(AVERAGEIFS(
  unit_details[Sqft],
  unit_details[Property Name], INDIRECT("B"&amp;ROW()),
  unit_details[Floorplan Name], INDIRECT("C"&amp;ROW()),
  unit_details[Beds], INDIRECT("D"&amp;ROW()),
  unit_details[Detected Unit Amenities], "*"&amp;$AB$3&amp;"*",
  unit_details[Leased Date], "&gt;=" &amp; ($X$2 - $AD$3)
),0)</f>
        <v>0</v>
      </c>
      <c r="AB409" s="734" cm="1">
        <f t="array" aca="true" ref="AB4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9" s="733" cm="1">
        <f t="array" aca="true" ref="AC409" ca="true">IFERROR(COUNTIFS(
  unit_details[Property Name], INDIRECT("B"&amp;ROW()),
  unit_details[Floorplan Name], INDIRECT("C"&amp;ROW()),
  unit_details[Beds], INDIRECT("D"&amp;ROW()),
  unit_details[Detected Unit Amenities], "*"&amp;$AB$3&amp;"*",
  unit_details[Leased Date], "&gt;=" &amp; ($X$2 - $AD$3)
),0)</f>
        <v>0</v>
      </c>
      <c r="AD409" s="735" cm="1">
        <f t="array" aca="true" ref="AD409" ca="true">IFERROR(AVERAGEIFS(
  unit_details[Sqft],
  unit_details[Property Name], INDIRECT("B"&amp;ROW()),
  unit_details[Floorplan Name], INDIRECT("C"&amp;ROW()),
  unit_details[Beds], INDIRECT("D"&amp;ROW()),
  unit_details[Detected Unit Amenities], "&lt;&gt;*"&amp;$AB$3&amp;"*",
  unit_details[Leased Date], "&gt;=" &amp; ($X$2 - $AD$3)
),0)</f>
        <v>0</v>
      </c>
      <c r="AE409" s="734" cm="1">
        <f t="array" aca="true" ref="AE4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9" s="733" cm="1">
        <f t="array" aca="true" ref="AF409" ca="true">IFERROR(COUNTIFS(
  unit_details[Property Name], INDIRECT("B"&amp;ROW()),
  unit_details[Floorplan Name], INDIRECT("C"&amp;ROW()),
  unit_details[Beds], INDIRECT("D"&amp;ROW()),
  unit_details[Detected Unit Amenities], "&lt;&gt;*"&amp;$AB$3&amp;"*",
  unit_details[Leased Date], "&gt;=" &amp; ($X$2 - $AD$3)
),0)</f>
        <v>0</v>
      </c>
      <c r="AG409" s="735"/>
      <c r="AH409" s="738">
        <f t="shared" ca="true" si="14"/>
        <v>0</v>
      </c>
      <c r="AI409" s="739">
        <f t="shared" ca="true" si="15"/>
        <v>0</v>
      </c>
    </row>
    <row r="410" spans="10:35">
      <c r="J410" s="345"/>
      <c r="N410" s="738" t="str" cm="1">
        <f t="array" aca="true" ref="N410" ca="true">IFERROR(IF($O$3="Chunk Rent",
AVERAGEIFS('Unit-Level Data'!$O:$O,'Unit-Level Data'!$M:$M,TRUE,
          'Unit-Level Data'!$D:$D, INDIRECT("C"&amp;ROW()),
          'Unit-Level Data'!$B:$B, INDIRECT("B"&amp;ROW())),
AVERAGEIFS('Unit-Level Data'!$P:$P,'Unit-Level Data'!$M:$M,TRUE,
          'Unit-Level Data'!$D:$D, INDIRECT("C"&amp;ROW()),
          'Unit-Level Data'!$B:$B, INDIRECT("B"&amp;ROW()))),"")</f>
      </c>
      <c r="O410" s="760" t="str" cm="1">
        <f t="array" aca="true" ref="O410" ca="true">IFERROR(IF($O$3="Chunk Rent",
AVERAGEIFS('Unit-Level Data'!$Q:$Q,'Unit-Level Data'!$M:$M,TRUE,
          'Unit-Level Data'!$D:$D, INDIRECT("C"&amp;ROW()),
          'Unit-Level Data'!$B:$B, INDIRECT("B"&amp;ROW())),
AVERAGEIFS('Unit-Level Data'!$R:$R,'Unit-Level Data'!$M:$M,TRUE,
          'Unit-Level Data'!$D:$D, INDIRECT("C"&amp;ROW()),
          'Unit-Level Data'!$B:$B, INDIRECT("B"&amp;ROW()))),"")</f>
      </c>
      <c r="P410" s="733" cm="1">
        <f t="array" aca="true" ref="P410" ca="true">COUNTIFS('Unit-Level Data'!$M:$M,TRUE,
          'Unit-Level Data'!$D:$D, INDIRECT("C"&amp;ROW()),
          'Unit-Level Data'!$B:$B, INDIRECT("B"&amp;ROW()))</f>
        <v>0</v>
      </c>
      <c r="Q410" s="738" t="str" cm="1">
        <f t="array" aca="true" ref="Q4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0" s="760" t="str" cm="1">
        <f t="array" aca="true" ref="R4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0" s="733" cm="1">
        <f t="array" aca="true" ref="S410" ca="true">COUNTIFS('Unit-Level Data'!$L:$L, "&gt;=" &amp; ($X$2 - Q$5),
          'Unit-Level Data'!$L:$L, "&lt;" &amp; $X$2,
          'Unit-Level Data'!$D:$D, INDIRECT("C"&amp;ROW()),
          'Unit-Level Data'!$B:$B, INDIRECT("B"&amp;ROW()))</f>
        <v>0</v>
      </c>
      <c r="T410" s="738" t="str" cm="1">
        <f t="array" aca="true" ref="T4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0" s="760" t="str" cm="1">
        <f t="array" aca="true" ref="U4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0" s="733" cm="1">
        <f t="array" aca="true" ref="V410" ca="true">COUNTIFS('Unit-Level Data'!$L:$L, "&gt;=" &amp; ($X$2 - T$5),
          'Unit-Level Data'!$L:$L, "&lt;" &amp; $X$2,
          'Unit-Level Data'!$D:$D, INDIRECT("C"&amp;ROW()),
          'Unit-Level Data'!$B:$B, INDIRECT("B"&amp;ROW()))</f>
        <v>0</v>
      </c>
      <c r="W410" s="738" t="str" cm="1">
        <f t="array" aca="true" ref="W4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0" s="760" t="str" cm="1">
        <f t="array" aca="true" ref="X4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0" s="733" cm="1">
        <f t="array" aca="true" ref="Y410" ca="true">COUNTIFS('Unit-Level Data'!$L:$L, "&gt;=" &amp; ($X$2 - W$5),
          'Unit-Level Data'!$L:$L, "&lt;" &amp; $X$2,
          'Unit-Level Data'!$D:$D, INDIRECT("C"&amp;ROW()),
          'Unit-Level Data'!$B:$B, INDIRECT("B"&amp;ROW()))</f>
        <v>0</v>
      </c>
      <c r="Z410" s="761"/>
      <c r="AA410" s="735" cm="1">
        <f t="array" aca="true" ref="AA410" ca="true">IFERROR(AVERAGEIFS(
  unit_details[Sqft],
  unit_details[Property Name], INDIRECT("B"&amp;ROW()),
  unit_details[Floorplan Name], INDIRECT("C"&amp;ROW()),
  unit_details[Beds], INDIRECT("D"&amp;ROW()),
  unit_details[Detected Unit Amenities], "*"&amp;$AB$3&amp;"*",
  unit_details[Leased Date], "&gt;=" &amp; ($X$2 - $AD$3)
),0)</f>
        <v>0</v>
      </c>
      <c r="AB410" s="734" cm="1">
        <f t="array" aca="true" ref="AB4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0" s="733" cm="1">
        <f t="array" aca="true" ref="AC410" ca="true">IFERROR(COUNTIFS(
  unit_details[Property Name], INDIRECT("B"&amp;ROW()),
  unit_details[Floorplan Name], INDIRECT("C"&amp;ROW()),
  unit_details[Beds], INDIRECT("D"&amp;ROW()),
  unit_details[Detected Unit Amenities], "*"&amp;$AB$3&amp;"*",
  unit_details[Leased Date], "&gt;=" &amp; ($X$2 - $AD$3)
),0)</f>
        <v>0</v>
      </c>
      <c r="AD410" s="735" cm="1">
        <f t="array" aca="true" ref="AD410" ca="true">IFERROR(AVERAGEIFS(
  unit_details[Sqft],
  unit_details[Property Name], INDIRECT("B"&amp;ROW()),
  unit_details[Floorplan Name], INDIRECT("C"&amp;ROW()),
  unit_details[Beds], INDIRECT("D"&amp;ROW()),
  unit_details[Detected Unit Amenities], "&lt;&gt;*"&amp;$AB$3&amp;"*",
  unit_details[Leased Date], "&gt;=" &amp; ($X$2 - $AD$3)
),0)</f>
        <v>0</v>
      </c>
      <c r="AE410" s="734" cm="1">
        <f t="array" aca="true" ref="AE4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0" s="733" cm="1">
        <f t="array" aca="true" ref="AF410" ca="true">IFERROR(COUNTIFS(
  unit_details[Property Name], INDIRECT("B"&amp;ROW()),
  unit_details[Floorplan Name], INDIRECT("C"&amp;ROW()),
  unit_details[Beds], INDIRECT("D"&amp;ROW()),
  unit_details[Detected Unit Amenities], "&lt;&gt;*"&amp;$AB$3&amp;"*",
  unit_details[Leased Date], "&gt;=" &amp; ($X$2 - $AD$3)
),0)</f>
        <v>0</v>
      </c>
      <c r="AG410" s="735"/>
      <c r="AH410" s="738">
        <f t="shared" ca="true" si="14"/>
        <v>0</v>
      </c>
      <c r="AI410" s="739">
        <f t="shared" ca="true" si="15"/>
        <v>0</v>
      </c>
    </row>
    <row r="411" spans="10:35">
      <c r="J411" s="345"/>
      <c r="N411" s="738" t="str" cm="1">
        <f t="array" aca="true" ref="N411" ca="true">IFERROR(IF($O$3="Chunk Rent",
AVERAGEIFS('Unit-Level Data'!$O:$O,'Unit-Level Data'!$M:$M,TRUE,
          'Unit-Level Data'!$D:$D, INDIRECT("C"&amp;ROW()),
          'Unit-Level Data'!$B:$B, INDIRECT("B"&amp;ROW())),
AVERAGEIFS('Unit-Level Data'!$P:$P,'Unit-Level Data'!$M:$M,TRUE,
          'Unit-Level Data'!$D:$D, INDIRECT("C"&amp;ROW()),
          'Unit-Level Data'!$B:$B, INDIRECT("B"&amp;ROW()))),"")</f>
      </c>
      <c r="O411" s="760" t="str" cm="1">
        <f t="array" aca="true" ref="O411" ca="true">IFERROR(IF($O$3="Chunk Rent",
AVERAGEIFS('Unit-Level Data'!$Q:$Q,'Unit-Level Data'!$M:$M,TRUE,
          'Unit-Level Data'!$D:$D, INDIRECT("C"&amp;ROW()),
          'Unit-Level Data'!$B:$B, INDIRECT("B"&amp;ROW())),
AVERAGEIFS('Unit-Level Data'!$R:$R,'Unit-Level Data'!$M:$M,TRUE,
          'Unit-Level Data'!$D:$D, INDIRECT("C"&amp;ROW()),
          'Unit-Level Data'!$B:$B, INDIRECT("B"&amp;ROW()))),"")</f>
      </c>
      <c r="P411" s="733" cm="1">
        <f t="array" aca="true" ref="P411" ca="true">COUNTIFS('Unit-Level Data'!$M:$M,TRUE,
          'Unit-Level Data'!$D:$D, INDIRECT("C"&amp;ROW()),
          'Unit-Level Data'!$B:$B, INDIRECT("B"&amp;ROW()))</f>
        <v>0</v>
      </c>
      <c r="Q411" s="738" t="str" cm="1">
        <f t="array" aca="true" ref="Q4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1" s="760" t="str" cm="1">
        <f t="array" aca="true" ref="R4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1" s="733" cm="1">
        <f t="array" aca="true" ref="S411" ca="true">COUNTIFS('Unit-Level Data'!$L:$L, "&gt;=" &amp; ($X$2 - Q$5),
          'Unit-Level Data'!$L:$L, "&lt;" &amp; $X$2,
          'Unit-Level Data'!$D:$D, INDIRECT("C"&amp;ROW()),
          'Unit-Level Data'!$B:$B, INDIRECT("B"&amp;ROW()))</f>
        <v>0</v>
      </c>
      <c r="T411" s="738" t="str" cm="1">
        <f t="array" aca="true" ref="T4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1" s="760" t="str" cm="1">
        <f t="array" aca="true" ref="U4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1" s="733" cm="1">
        <f t="array" aca="true" ref="V411" ca="true">COUNTIFS('Unit-Level Data'!$L:$L, "&gt;=" &amp; ($X$2 - T$5),
          'Unit-Level Data'!$L:$L, "&lt;" &amp; $X$2,
          'Unit-Level Data'!$D:$D, INDIRECT("C"&amp;ROW()),
          'Unit-Level Data'!$B:$B, INDIRECT("B"&amp;ROW()))</f>
        <v>0</v>
      </c>
      <c r="W411" s="738" t="str" cm="1">
        <f t="array" aca="true" ref="W4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1" s="760" t="str" cm="1">
        <f t="array" aca="true" ref="X4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1" s="733" cm="1">
        <f t="array" aca="true" ref="Y411" ca="true">COUNTIFS('Unit-Level Data'!$L:$L, "&gt;=" &amp; ($X$2 - W$5),
          'Unit-Level Data'!$L:$L, "&lt;" &amp; $X$2,
          'Unit-Level Data'!$D:$D, INDIRECT("C"&amp;ROW()),
          'Unit-Level Data'!$B:$B, INDIRECT("B"&amp;ROW()))</f>
        <v>0</v>
      </c>
      <c r="Z411" s="761"/>
      <c r="AA411" s="735" cm="1">
        <f t="array" aca="true" ref="AA411" ca="true">IFERROR(AVERAGEIFS(
  unit_details[Sqft],
  unit_details[Property Name], INDIRECT("B"&amp;ROW()),
  unit_details[Floorplan Name], INDIRECT("C"&amp;ROW()),
  unit_details[Beds], INDIRECT("D"&amp;ROW()),
  unit_details[Detected Unit Amenities], "*"&amp;$AB$3&amp;"*",
  unit_details[Leased Date], "&gt;=" &amp; ($X$2 - $AD$3)
),0)</f>
        <v>0</v>
      </c>
      <c r="AB411" s="734" cm="1">
        <f t="array" aca="true" ref="AB4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1" s="733" cm="1">
        <f t="array" aca="true" ref="AC411" ca="true">IFERROR(COUNTIFS(
  unit_details[Property Name], INDIRECT("B"&amp;ROW()),
  unit_details[Floorplan Name], INDIRECT("C"&amp;ROW()),
  unit_details[Beds], INDIRECT("D"&amp;ROW()),
  unit_details[Detected Unit Amenities], "*"&amp;$AB$3&amp;"*",
  unit_details[Leased Date], "&gt;=" &amp; ($X$2 - $AD$3)
),0)</f>
        <v>0</v>
      </c>
      <c r="AD411" s="735" cm="1">
        <f t="array" aca="true" ref="AD411" ca="true">IFERROR(AVERAGEIFS(
  unit_details[Sqft],
  unit_details[Property Name], INDIRECT("B"&amp;ROW()),
  unit_details[Floorplan Name], INDIRECT("C"&amp;ROW()),
  unit_details[Beds], INDIRECT("D"&amp;ROW()),
  unit_details[Detected Unit Amenities], "&lt;&gt;*"&amp;$AB$3&amp;"*",
  unit_details[Leased Date], "&gt;=" &amp; ($X$2 - $AD$3)
),0)</f>
        <v>0</v>
      </c>
      <c r="AE411" s="734" cm="1">
        <f t="array" aca="true" ref="AE4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1" s="733" cm="1">
        <f t="array" aca="true" ref="AF411" ca="true">IFERROR(COUNTIFS(
  unit_details[Property Name], INDIRECT("B"&amp;ROW()),
  unit_details[Floorplan Name], INDIRECT("C"&amp;ROW()),
  unit_details[Beds], INDIRECT("D"&amp;ROW()),
  unit_details[Detected Unit Amenities], "&lt;&gt;*"&amp;$AB$3&amp;"*",
  unit_details[Leased Date], "&gt;=" &amp; ($X$2 - $AD$3)
),0)</f>
        <v>0</v>
      </c>
      <c r="AG411" s="735"/>
      <c r="AH411" s="738">
        <f t="shared" ca="true" si="14"/>
        <v>0</v>
      </c>
      <c r="AI411" s="739">
        <f t="shared" ca="true" si="15"/>
        <v>0</v>
      </c>
    </row>
    <row r="412" spans="10:35">
      <c r="J412" s="345"/>
      <c r="N412" s="738" t="str" cm="1">
        <f t="array" aca="true" ref="N412" ca="true">IFERROR(IF($O$3="Chunk Rent",
AVERAGEIFS('Unit-Level Data'!$O:$O,'Unit-Level Data'!$M:$M,TRUE,
          'Unit-Level Data'!$D:$D, INDIRECT("C"&amp;ROW()),
          'Unit-Level Data'!$B:$B, INDIRECT("B"&amp;ROW())),
AVERAGEIFS('Unit-Level Data'!$P:$P,'Unit-Level Data'!$M:$M,TRUE,
          'Unit-Level Data'!$D:$D, INDIRECT("C"&amp;ROW()),
          'Unit-Level Data'!$B:$B, INDIRECT("B"&amp;ROW()))),"")</f>
      </c>
      <c r="O412" s="760" t="str" cm="1">
        <f t="array" aca="true" ref="O412" ca="true">IFERROR(IF($O$3="Chunk Rent",
AVERAGEIFS('Unit-Level Data'!$Q:$Q,'Unit-Level Data'!$M:$M,TRUE,
          'Unit-Level Data'!$D:$D, INDIRECT("C"&amp;ROW()),
          'Unit-Level Data'!$B:$B, INDIRECT("B"&amp;ROW())),
AVERAGEIFS('Unit-Level Data'!$R:$R,'Unit-Level Data'!$M:$M,TRUE,
          'Unit-Level Data'!$D:$D, INDIRECT("C"&amp;ROW()),
          'Unit-Level Data'!$B:$B, INDIRECT("B"&amp;ROW()))),"")</f>
      </c>
      <c r="P412" s="733" cm="1">
        <f t="array" aca="true" ref="P412" ca="true">COUNTIFS('Unit-Level Data'!$M:$M,TRUE,
          'Unit-Level Data'!$D:$D, INDIRECT("C"&amp;ROW()),
          'Unit-Level Data'!$B:$B, INDIRECT("B"&amp;ROW()))</f>
        <v>0</v>
      </c>
      <c r="Q412" s="738" t="str" cm="1">
        <f t="array" aca="true" ref="Q4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2" s="760" t="str" cm="1">
        <f t="array" aca="true" ref="R4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2" s="733" cm="1">
        <f t="array" aca="true" ref="S412" ca="true">COUNTIFS('Unit-Level Data'!$L:$L, "&gt;=" &amp; ($X$2 - Q$5),
          'Unit-Level Data'!$L:$L, "&lt;" &amp; $X$2,
          'Unit-Level Data'!$D:$D, INDIRECT("C"&amp;ROW()),
          'Unit-Level Data'!$B:$B, INDIRECT("B"&amp;ROW()))</f>
        <v>0</v>
      </c>
      <c r="T412" s="738" t="str" cm="1">
        <f t="array" aca="true" ref="T4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2" s="760" t="str" cm="1">
        <f t="array" aca="true" ref="U4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2" s="733" cm="1">
        <f t="array" aca="true" ref="V412" ca="true">COUNTIFS('Unit-Level Data'!$L:$L, "&gt;=" &amp; ($X$2 - T$5),
          'Unit-Level Data'!$L:$L, "&lt;" &amp; $X$2,
          'Unit-Level Data'!$D:$D, INDIRECT("C"&amp;ROW()),
          'Unit-Level Data'!$B:$B, INDIRECT("B"&amp;ROW()))</f>
        <v>0</v>
      </c>
      <c r="W412" s="738" t="str" cm="1">
        <f t="array" aca="true" ref="W4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2" s="760" t="str" cm="1">
        <f t="array" aca="true" ref="X4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2" s="733" cm="1">
        <f t="array" aca="true" ref="Y412" ca="true">COUNTIFS('Unit-Level Data'!$L:$L, "&gt;=" &amp; ($X$2 - W$5),
          'Unit-Level Data'!$L:$L, "&lt;" &amp; $X$2,
          'Unit-Level Data'!$D:$D, INDIRECT("C"&amp;ROW()),
          'Unit-Level Data'!$B:$B, INDIRECT("B"&amp;ROW()))</f>
        <v>0</v>
      </c>
      <c r="Z412" s="761"/>
      <c r="AA412" s="735" cm="1">
        <f t="array" aca="true" ref="AA412" ca="true">IFERROR(AVERAGEIFS(
  unit_details[Sqft],
  unit_details[Property Name], INDIRECT("B"&amp;ROW()),
  unit_details[Floorplan Name], INDIRECT("C"&amp;ROW()),
  unit_details[Beds], INDIRECT("D"&amp;ROW()),
  unit_details[Detected Unit Amenities], "*"&amp;$AB$3&amp;"*",
  unit_details[Leased Date], "&gt;=" &amp; ($X$2 - $AD$3)
),0)</f>
        <v>0</v>
      </c>
      <c r="AB412" s="734" cm="1">
        <f t="array" aca="true" ref="AB4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2" s="733" cm="1">
        <f t="array" aca="true" ref="AC412" ca="true">IFERROR(COUNTIFS(
  unit_details[Property Name], INDIRECT("B"&amp;ROW()),
  unit_details[Floorplan Name], INDIRECT("C"&amp;ROW()),
  unit_details[Beds], INDIRECT("D"&amp;ROW()),
  unit_details[Detected Unit Amenities], "*"&amp;$AB$3&amp;"*",
  unit_details[Leased Date], "&gt;=" &amp; ($X$2 - $AD$3)
),0)</f>
        <v>0</v>
      </c>
      <c r="AD412" s="735" cm="1">
        <f t="array" aca="true" ref="AD412" ca="true">IFERROR(AVERAGEIFS(
  unit_details[Sqft],
  unit_details[Property Name], INDIRECT("B"&amp;ROW()),
  unit_details[Floorplan Name], INDIRECT("C"&amp;ROW()),
  unit_details[Beds], INDIRECT("D"&amp;ROW()),
  unit_details[Detected Unit Amenities], "&lt;&gt;*"&amp;$AB$3&amp;"*",
  unit_details[Leased Date], "&gt;=" &amp; ($X$2 - $AD$3)
),0)</f>
        <v>0</v>
      </c>
      <c r="AE412" s="734" cm="1">
        <f t="array" aca="true" ref="AE4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2" s="733" cm="1">
        <f t="array" aca="true" ref="AF412" ca="true">IFERROR(COUNTIFS(
  unit_details[Property Name], INDIRECT("B"&amp;ROW()),
  unit_details[Floorplan Name], INDIRECT("C"&amp;ROW()),
  unit_details[Beds], INDIRECT("D"&amp;ROW()),
  unit_details[Detected Unit Amenities], "&lt;&gt;*"&amp;$AB$3&amp;"*",
  unit_details[Leased Date], "&gt;=" &amp; ($X$2 - $AD$3)
),0)</f>
        <v>0</v>
      </c>
      <c r="AG412" s="735"/>
      <c r="AH412" s="738">
        <f t="shared" ca="true" si="14"/>
        <v>0</v>
      </c>
      <c r="AI412" s="739">
        <f t="shared" ca="true" si="15"/>
        <v>0</v>
      </c>
    </row>
    <row r="413" spans="10:35">
      <c r="J413" s="345"/>
      <c r="N413" s="738" t="str" cm="1">
        <f t="array" aca="true" ref="N413" ca="true">IFERROR(IF($O$3="Chunk Rent",
AVERAGEIFS('Unit-Level Data'!$O:$O,'Unit-Level Data'!$M:$M,TRUE,
          'Unit-Level Data'!$D:$D, INDIRECT("C"&amp;ROW()),
          'Unit-Level Data'!$B:$B, INDIRECT("B"&amp;ROW())),
AVERAGEIFS('Unit-Level Data'!$P:$P,'Unit-Level Data'!$M:$M,TRUE,
          'Unit-Level Data'!$D:$D, INDIRECT("C"&amp;ROW()),
          'Unit-Level Data'!$B:$B, INDIRECT("B"&amp;ROW()))),"")</f>
      </c>
      <c r="O413" s="760" t="str" cm="1">
        <f t="array" aca="true" ref="O413" ca="true">IFERROR(IF($O$3="Chunk Rent",
AVERAGEIFS('Unit-Level Data'!$Q:$Q,'Unit-Level Data'!$M:$M,TRUE,
          'Unit-Level Data'!$D:$D, INDIRECT("C"&amp;ROW()),
          'Unit-Level Data'!$B:$B, INDIRECT("B"&amp;ROW())),
AVERAGEIFS('Unit-Level Data'!$R:$R,'Unit-Level Data'!$M:$M,TRUE,
          'Unit-Level Data'!$D:$D, INDIRECT("C"&amp;ROW()),
          'Unit-Level Data'!$B:$B, INDIRECT("B"&amp;ROW()))),"")</f>
      </c>
      <c r="P413" s="733" cm="1">
        <f t="array" aca="true" ref="P413" ca="true">COUNTIFS('Unit-Level Data'!$M:$M,TRUE,
          'Unit-Level Data'!$D:$D, INDIRECT("C"&amp;ROW()),
          'Unit-Level Data'!$B:$B, INDIRECT("B"&amp;ROW()))</f>
        <v>0</v>
      </c>
      <c r="Q413" s="738" t="str" cm="1">
        <f t="array" aca="true" ref="Q4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3" s="760" t="str" cm="1">
        <f t="array" aca="true" ref="R4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3" s="733" cm="1">
        <f t="array" aca="true" ref="S413" ca="true">COUNTIFS('Unit-Level Data'!$L:$L, "&gt;=" &amp; ($X$2 - Q$5),
          'Unit-Level Data'!$L:$L, "&lt;" &amp; $X$2,
          'Unit-Level Data'!$D:$D, INDIRECT("C"&amp;ROW()),
          'Unit-Level Data'!$B:$B, INDIRECT("B"&amp;ROW()))</f>
        <v>0</v>
      </c>
      <c r="T413" s="738" t="str" cm="1">
        <f t="array" aca="true" ref="T4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3" s="760" t="str" cm="1">
        <f t="array" aca="true" ref="U4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3" s="733" cm="1">
        <f t="array" aca="true" ref="V413" ca="true">COUNTIFS('Unit-Level Data'!$L:$L, "&gt;=" &amp; ($X$2 - T$5),
          'Unit-Level Data'!$L:$L, "&lt;" &amp; $X$2,
          'Unit-Level Data'!$D:$D, INDIRECT("C"&amp;ROW()),
          'Unit-Level Data'!$B:$B, INDIRECT("B"&amp;ROW()))</f>
        <v>0</v>
      </c>
      <c r="W413" s="738" t="str" cm="1">
        <f t="array" aca="true" ref="W4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3" s="760" t="str" cm="1">
        <f t="array" aca="true" ref="X4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3" s="733" cm="1">
        <f t="array" aca="true" ref="Y413" ca="true">COUNTIFS('Unit-Level Data'!$L:$L, "&gt;=" &amp; ($X$2 - W$5),
          'Unit-Level Data'!$L:$L, "&lt;" &amp; $X$2,
          'Unit-Level Data'!$D:$D, INDIRECT("C"&amp;ROW()),
          'Unit-Level Data'!$B:$B, INDIRECT("B"&amp;ROW()))</f>
        <v>0</v>
      </c>
      <c r="Z413" s="761"/>
      <c r="AA413" s="735" cm="1">
        <f t="array" aca="true" ref="AA413" ca="true">IFERROR(AVERAGEIFS(
  unit_details[Sqft],
  unit_details[Property Name], INDIRECT("B"&amp;ROW()),
  unit_details[Floorplan Name], INDIRECT("C"&amp;ROW()),
  unit_details[Beds], INDIRECT("D"&amp;ROW()),
  unit_details[Detected Unit Amenities], "*"&amp;$AB$3&amp;"*",
  unit_details[Leased Date], "&gt;=" &amp; ($X$2 - $AD$3)
),0)</f>
        <v>0</v>
      </c>
      <c r="AB413" s="734" cm="1">
        <f t="array" aca="true" ref="AB4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3" s="733" cm="1">
        <f t="array" aca="true" ref="AC413" ca="true">IFERROR(COUNTIFS(
  unit_details[Property Name], INDIRECT("B"&amp;ROW()),
  unit_details[Floorplan Name], INDIRECT("C"&amp;ROW()),
  unit_details[Beds], INDIRECT("D"&amp;ROW()),
  unit_details[Detected Unit Amenities], "*"&amp;$AB$3&amp;"*",
  unit_details[Leased Date], "&gt;=" &amp; ($X$2 - $AD$3)
),0)</f>
        <v>0</v>
      </c>
      <c r="AD413" s="735" cm="1">
        <f t="array" aca="true" ref="AD413" ca="true">IFERROR(AVERAGEIFS(
  unit_details[Sqft],
  unit_details[Property Name], INDIRECT("B"&amp;ROW()),
  unit_details[Floorplan Name], INDIRECT("C"&amp;ROW()),
  unit_details[Beds], INDIRECT("D"&amp;ROW()),
  unit_details[Detected Unit Amenities], "&lt;&gt;*"&amp;$AB$3&amp;"*",
  unit_details[Leased Date], "&gt;=" &amp; ($X$2 - $AD$3)
),0)</f>
        <v>0</v>
      </c>
      <c r="AE413" s="734" cm="1">
        <f t="array" aca="true" ref="AE4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3" s="733" cm="1">
        <f t="array" aca="true" ref="AF413" ca="true">IFERROR(COUNTIFS(
  unit_details[Property Name], INDIRECT("B"&amp;ROW()),
  unit_details[Floorplan Name], INDIRECT("C"&amp;ROW()),
  unit_details[Beds], INDIRECT("D"&amp;ROW()),
  unit_details[Detected Unit Amenities], "&lt;&gt;*"&amp;$AB$3&amp;"*",
  unit_details[Leased Date], "&gt;=" &amp; ($X$2 - $AD$3)
),0)</f>
        <v>0</v>
      </c>
      <c r="AG413" s="735"/>
      <c r="AH413" s="738">
        <f t="shared" ca="true" si="14"/>
        <v>0</v>
      </c>
      <c r="AI413" s="739">
        <f t="shared" ca="true" si="15"/>
        <v>0</v>
      </c>
    </row>
    <row r="414" spans="10:35">
      <c r="J414" s="345"/>
      <c r="N414" s="738" t="str" cm="1">
        <f t="array" aca="true" ref="N414" ca="true">IFERROR(IF($O$3="Chunk Rent",
AVERAGEIFS('Unit-Level Data'!$O:$O,'Unit-Level Data'!$M:$M,TRUE,
          'Unit-Level Data'!$D:$D, INDIRECT("C"&amp;ROW()),
          'Unit-Level Data'!$B:$B, INDIRECT("B"&amp;ROW())),
AVERAGEIFS('Unit-Level Data'!$P:$P,'Unit-Level Data'!$M:$M,TRUE,
          'Unit-Level Data'!$D:$D, INDIRECT("C"&amp;ROW()),
          'Unit-Level Data'!$B:$B, INDIRECT("B"&amp;ROW()))),"")</f>
      </c>
      <c r="O414" s="760" t="str" cm="1">
        <f t="array" aca="true" ref="O414" ca="true">IFERROR(IF($O$3="Chunk Rent",
AVERAGEIFS('Unit-Level Data'!$Q:$Q,'Unit-Level Data'!$M:$M,TRUE,
          'Unit-Level Data'!$D:$D, INDIRECT("C"&amp;ROW()),
          'Unit-Level Data'!$B:$B, INDIRECT("B"&amp;ROW())),
AVERAGEIFS('Unit-Level Data'!$R:$R,'Unit-Level Data'!$M:$M,TRUE,
          'Unit-Level Data'!$D:$D, INDIRECT("C"&amp;ROW()),
          'Unit-Level Data'!$B:$B, INDIRECT("B"&amp;ROW()))),"")</f>
      </c>
      <c r="P414" s="733" cm="1">
        <f t="array" aca="true" ref="P414" ca="true">COUNTIFS('Unit-Level Data'!$M:$M,TRUE,
          'Unit-Level Data'!$D:$D, INDIRECT("C"&amp;ROW()),
          'Unit-Level Data'!$B:$B, INDIRECT("B"&amp;ROW()))</f>
        <v>0</v>
      </c>
      <c r="Q414" s="738" t="str" cm="1">
        <f t="array" aca="true" ref="Q4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4" s="760" t="str" cm="1">
        <f t="array" aca="true" ref="R4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4" s="733" cm="1">
        <f t="array" aca="true" ref="S414" ca="true">COUNTIFS('Unit-Level Data'!$L:$L, "&gt;=" &amp; ($X$2 - Q$5),
          'Unit-Level Data'!$L:$L, "&lt;" &amp; $X$2,
          'Unit-Level Data'!$D:$D, INDIRECT("C"&amp;ROW()),
          'Unit-Level Data'!$B:$B, INDIRECT("B"&amp;ROW()))</f>
        <v>0</v>
      </c>
      <c r="T414" s="738" t="str" cm="1">
        <f t="array" aca="true" ref="T4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4" s="760" t="str" cm="1">
        <f t="array" aca="true" ref="U4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4" s="733" cm="1">
        <f t="array" aca="true" ref="V414" ca="true">COUNTIFS('Unit-Level Data'!$L:$L, "&gt;=" &amp; ($X$2 - T$5),
          'Unit-Level Data'!$L:$L, "&lt;" &amp; $X$2,
          'Unit-Level Data'!$D:$D, INDIRECT("C"&amp;ROW()),
          'Unit-Level Data'!$B:$B, INDIRECT("B"&amp;ROW()))</f>
        <v>0</v>
      </c>
      <c r="W414" s="738" t="str" cm="1">
        <f t="array" aca="true" ref="W4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4" s="760" t="str" cm="1">
        <f t="array" aca="true" ref="X4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4" s="733" cm="1">
        <f t="array" aca="true" ref="Y414" ca="true">COUNTIFS('Unit-Level Data'!$L:$L, "&gt;=" &amp; ($X$2 - W$5),
          'Unit-Level Data'!$L:$L, "&lt;" &amp; $X$2,
          'Unit-Level Data'!$D:$D, INDIRECT("C"&amp;ROW()),
          'Unit-Level Data'!$B:$B, INDIRECT("B"&amp;ROW()))</f>
        <v>0</v>
      </c>
      <c r="Z414" s="761"/>
      <c r="AA414" s="735" cm="1">
        <f t="array" aca="true" ref="AA414" ca="true">IFERROR(AVERAGEIFS(
  unit_details[Sqft],
  unit_details[Property Name], INDIRECT("B"&amp;ROW()),
  unit_details[Floorplan Name], INDIRECT("C"&amp;ROW()),
  unit_details[Beds], INDIRECT("D"&amp;ROW()),
  unit_details[Detected Unit Amenities], "*"&amp;$AB$3&amp;"*",
  unit_details[Leased Date], "&gt;=" &amp; ($X$2 - $AD$3)
),0)</f>
        <v>0</v>
      </c>
      <c r="AB414" s="734" cm="1">
        <f t="array" aca="true" ref="AB4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4" s="733" cm="1">
        <f t="array" aca="true" ref="AC414" ca="true">IFERROR(COUNTIFS(
  unit_details[Property Name], INDIRECT("B"&amp;ROW()),
  unit_details[Floorplan Name], INDIRECT("C"&amp;ROW()),
  unit_details[Beds], INDIRECT("D"&amp;ROW()),
  unit_details[Detected Unit Amenities], "*"&amp;$AB$3&amp;"*",
  unit_details[Leased Date], "&gt;=" &amp; ($X$2 - $AD$3)
),0)</f>
        <v>0</v>
      </c>
      <c r="AD414" s="735" cm="1">
        <f t="array" aca="true" ref="AD414" ca="true">IFERROR(AVERAGEIFS(
  unit_details[Sqft],
  unit_details[Property Name], INDIRECT("B"&amp;ROW()),
  unit_details[Floorplan Name], INDIRECT("C"&amp;ROW()),
  unit_details[Beds], INDIRECT("D"&amp;ROW()),
  unit_details[Detected Unit Amenities], "&lt;&gt;*"&amp;$AB$3&amp;"*",
  unit_details[Leased Date], "&gt;=" &amp; ($X$2 - $AD$3)
),0)</f>
        <v>0</v>
      </c>
      <c r="AE414" s="734" cm="1">
        <f t="array" aca="true" ref="AE4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4" s="733" cm="1">
        <f t="array" aca="true" ref="AF414" ca="true">IFERROR(COUNTIFS(
  unit_details[Property Name], INDIRECT("B"&amp;ROW()),
  unit_details[Floorplan Name], INDIRECT("C"&amp;ROW()),
  unit_details[Beds], INDIRECT("D"&amp;ROW()),
  unit_details[Detected Unit Amenities], "&lt;&gt;*"&amp;$AB$3&amp;"*",
  unit_details[Leased Date], "&gt;=" &amp; ($X$2 - $AD$3)
),0)</f>
        <v>0</v>
      </c>
      <c r="AG414" s="735"/>
      <c r="AH414" s="738">
        <f t="shared" ca="true" si="14"/>
        <v>0</v>
      </c>
      <c r="AI414" s="739">
        <f t="shared" ca="true" si="15"/>
        <v>0</v>
      </c>
    </row>
    <row r="415" spans="10:35">
      <c r="J415" s="345"/>
      <c r="N415" s="738" t="str" cm="1">
        <f t="array" aca="true" ref="N415" ca="true">IFERROR(IF($O$3="Chunk Rent",
AVERAGEIFS('Unit-Level Data'!$O:$O,'Unit-Level Data'!$M:$M,TRUE,
          'Unit-Level Data'!$D:$D, INDIRECT("C"&amp;ROW()),
          'Unit-Level Data'!$B:$B, INDIRECT("B"&amp;ROW())),
AVERAGEIFS('Unit-Level Data'!$P:$P,'Unit-Level Data'!$M:$M,TRUE,
          'Unit-Level Data'!$D:$D, INDIRECT("C"&amp;ROW()),
          'Unit-Level Data'!$B:$B, INDIRECT("B"&amp;ROW()))),"")</f>
      </c>
      <c r="O415" s="760" t="str" cm="1">
        <f t="array" aca="true" ref="O415" ca="true">IFERROR(IF($O$3="Chunk Rent",
AVERAGEIFS('Unit-Level Data'!$Q:$Q,'Unit-Level Data'!$M:$M,TRUE,
          'Unit-Level Data'!$D:$D, INDIRECT("C"&amp;ROW()),
          'Unit-Level Data'!$B:$B, INDIRECT("B"&amp;ROW())),
AVERAGEIFS('Unit-Level Data'!$R:$R,'Unit-Level Data'!$M:$M,TRUE,
          'Unit-Level Data'!$D:$D, INDIRECT("C"&amp;ROW()),
          'Unit-Level Data'!$B:$B, INDIRECT("B"&amp;ROW()))),"")</f>
      </c>
      <c r="P415" s="733" cm="1">
        <f t="array" aca="true" ref="P415" ca="true">COUNTIFS('Unit-Level Data'!$M:$M,TRUE,
          'Unit-Level Data'!$D:$D, INDIRECT("C"&amp;ROW()),
          'Unit-Level Data'!$B:$B, INDIRECT("B"&amp;ROW()))</f>
        <v>0</v>
      </c>
      <c r="Q415" s="738" t="str" cm="1">
        <f t="array" aca="true" ref="Q4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5" s="760" t="str" cm="1">
        <f t="array" aca="true" ref="R4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5" s="733" cm="1">
        <f t="array" aca="true" ref="S415" ca="true">COUNTIFS('Unit-Level Data'!$L:$L, "&gt;=" &amp; ($X$2 - Q$5),
          'Unit-Level Data'!$L:$L, "&lt;" &amp; $X$2,
          'Unit-Level Data'!$D:$D, INDIRECT("C"&amp;ROW()),
          'Unit-Level Data'!$B:$B, INDIRECT("B"&amp;ROW()))</f>
        <v>0</v>
      </c>
      <c r="T415" s="738" t="str" cm="1">
        <f t="array" aca="true" ref="T4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5" s="760" t="str" cm="1">
        <f t="array" aca="true" ref="U4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5" s="733" cm="1">
        <f t="array" aca="true" ref="V415" ca="true">COUNTIFS('Unit-Level Data'!$L:$L, "&gt;=" &amp; ($X$2 - T$5),
          'Unit-Level Data'!$L:$L, "&lt;" &amp; $X$2,
          'Unit-Level Data'!$D:$D, INDIRECT("C"&amp;ROW()),
          'Unit-Level Data'!$B:$B, INDIRECT("B"&amp;ROW()))</f>
        <v>0</v>
      </c>
      <c r="W415" s="738" t="str" cm="1">
        <f t="array" aca="true" ref="W4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5" s="760" t="str" cm="1">
        <f t="array" aca="true" ref="X4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5" s="733" cm="1">
        <f t="array" aca="true" ref="Y415" ca="true">COUNTIFS('Unit-Level Data'!$L:$L, "&gt;=" &amp; ($X$2 - W$5),
          'Unit-Level Data'!$L:$L, "&lt;" &amp; $X$2,
          'Unit-Level Data'!$D:$D, INDIRECT("C"&amp;ROW()),
          'Unit-Level Data'!$B:$B, INDIRECT("B"&amp;ROW()))</f>
        <v>0</v>
      </c>
      <c r="Z415" s="761"/>
      <c r="AA415" s="735" cm="1">
        <f t="array" aca="true" ref="AA415" ca="true">IFERROR(AVERAGEIFS(
  unit_details[Sqft],
  unit_details[Property Name], INDIRECT("B"&amp;ROW()),
  unit_details[Floorplan Name], INDIRECT("C"&amp;ROW()),
  unit_details[Beds], INDIRECT("D"&amp;ROW()),
  unit_details[Detected Unit Amenities], "*"&amp;$AB$3&amp;"*",
  unit_details[Leased Date], "&gt;=" &amp; ($X$2 - $AD$3)
),0)</f>
        <v>0</v>
      </c>
      <c r="AB415" s="734" cm="1">
        <f t="array" aca="true" ref="AB4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5" s="733" cm="1">
        <f t="array" aca="true" ref="AC415" ca="true">IFERROR(COUNTIFS(
  unit_details[Property Name], INDIRECT("B"&amp;ROW()),
  unit_details[Floorplan Name], INDIRECT("C"&amp;ROW()),
  unit_details[Beds], INDIRECT("D"&amp;ROW()),
  unit_details[Detected Unit Amenities], "*"&amp;$AB$3&amp;"*",
  unit_details[Leased Date], "&gt;=" &amp; ($X$2 - $AD$3)
),0)</f>
        <v>0</v>
      </c>
      <c r="AD415" s="735" cm="1">
        <f t="array" aca="true" ref="AD415" ca="true">IFERROR(AVERAGEIFS(
  unit_details[Sqft],
  unit_details[Property Name], INDIRECT("B"&amp;ROW()),
  unit_details[Floorplan Name], INDIRECT("C"&amp;ROW()),
  unit_details[Beds], INDIRECT("D"&amp;ROW()),
  unit_details[Detected Unit Amenities], "&lt;&gt;*"&amp;$AB$3&amp;"*",
  unit_details[Leased Date], "&gt;=" &amp; ($X$2 - $AD$3)
),0)</f>
        <v>0</v>
      </c>
      <c r="AE415" s="734" cm="1">
        <f t="array" aca="true" ref="AE4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5" s="733" cm="1">
        <f t="array" aca="true" ref="AF415" ca="true">IFERROR(COUNTIFS(
  unit_details[Property Name], INDIRECT("B"&amp;ROW()),
  unit_details[Floorplan Name], INDIRECT("C"&amp;ROW()),
  unit_details[Beds], INDIRECT("D"&amp;ROW()),
  unit_details[Detected Unit Amenities], "&lt;&gt;*"&amp;$AB$3&amp;"*",
  unit_details[Leased Date], "&gt;=" &amp; ($X$2 - $AD$3)
),0)</f>
        <v>0</v>
      </c>
      <c r="AG415" s="735"/>
      <c r="AH415" s="738">
        <f t="shared" ca="true" si="14"/>
        <v>0</v>
      </c>
      <c r="AI415" s="739">
        <f t="shared" ca="true" si="15"/>
        <v>0</v>
      </c>
    </row>
    <row r="416" spans="10:35">
      <c r="J416" s="345"/>
      <c r="N416" s="738" t="str" cm="1">
        <f t="array" aca="true" ref="N416" ca="true">IFERROR(IF($O$3="Chunk Rent",
AVERAGEIFS('Unit-Level Data'!$O:$O,'Unit-Level Data'!$M:$M,TRUE,
          'Unit-Level Data'!$D:$D, INDIRECT("C"&amp;ROW()),
          'Unit-Level Data'!$B:$B, INDIRECT("B"&amp;ROW())),
AVERAGEIFS('Unit-Level Data'!$P:$P,'Unit-Level Data'!$M:$M,TRUE,
          'Unit-Level Data'!$D:$D, INDIRECT("C"&amp;ROW()),
          'Unit-Level Data'!$B:$B, INDIRECT("B"&amp;ROW()))),"")</f>
      </c>
      <c r="O416" s="760" t="str" cm="1">
        <f t="array" aca="true" ref="O416" ca="true">IFERROR(IF($O$3="Chunk Rent",
AVERAGEIFS('Unit-Level Data'!$Q:$Q,'Unit-Level Data'!$M:$M,TRUE,
          'Unit-Level Data'!$D:$D, INDIRECT("C"&amp;ROW()),
          'Unit-Level Data'!$B:$B, INDIRECT("B"&amp;ROW())),
AVERAGEIFS('Unit-Level Data'!$R:$R,'Unit-Level Data'!$M:$M,TRUE,
          'Unit-Level Data'!$D:$D, INDIRECT("C"&amp;ROW()),
          'Unit-Level Data'!$B:$B, INDIRECT("B"&amp;ROW()))),"")</f>
      </c>
      <c r="P416" s="733" cm="1">
        <f t="array" aca="true" ref="P416" ca="true">COUNTIFS('Unit-Level Data'!$M:$M,TRUE,
          'Unit-Level Data'!$D:$D, INDIRECT("C"&amp;ROW()),
          'Unit-Level Data'!$B:$B, INDIRECT("B"&amp;ROW()))</f>
        <v>0</v>
      </c>
      <c r="Q416" s="738" t="str" cm="1">
        <f t="array" aca="true" ref="Q4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6" s="760" t="str" cm="1">
        <f t="array" aca="true" ref="R4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6" s="733" cm="1">
        <f t="array" aca="true" ref="S416" ca="true">COUNTIFS('Unit-Level Data'!$L:$L, "&gt;=" &amp; ($X$2 - Q$5),
          'Unit-Level Data'!$L:$L, "&lt;" &amp; $X$2,
          'Unit-Level Data'!$D:$D, INDIRECT("C"&amp;ROW()),
          'Unit-Level Data'!$B:$B, INDIRECT("B"&amp;ROW()))</f>
        <v>0</v>
      </c>
      <c r="T416" s="738" t="str" cm="1">
        <f t="array" aca="true" ref="T4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6" s="760" t="str" cm="1">
        <f t="array" aca="true" ref="U4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6" s="733" cm="1">
        <f t="array" aca="true" ref="V416" ca="true">COUNTIFS('Unit-Level Data'!$L:$L, "&gt;=" &amp; ($X$2 - T$5),
          'Unit-Level Data'!$L:$L, "&lt;" &amp; $X$2,
          'Unit-Level Data'!$D:$D, INDIRECT("C"&amp;ROW()),
          'Unit-Level Data'!$B:$B, INDIRECT("B"&amp;ROW()))</f>
        <v>0</v>
      </c>
      <c r="W416" s="738" t="str" cm="1">
        <f t="array" aca="true" ref="W4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6" s="760" t="str" cm="1">
        <f t="array" aca="true" ref="X4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6" s="733" cm="1">
        <f t="array" aca="true" ref="Y416" ca="true">COUNTIFS('Unit-Level Data'!$L:$L, "&gt;=" &amp; ($X$2 - W$5),
          'Unit-Level Data'!$L:$L, "&lt;" &amp; $X$2,
          'Unit-Level Data'!$D:$D, INDIRECT("C"&amp;ROW()),
          'Unit-Level Data'!$B:$B, INDIRECT("B"&amp;ROW()))</f>
        <v>0</v>
      </c>
      <c r="Z416" s="761"/>
      <c r="AA416" s="735" cm="1">
        <f t="array" aca="true" ref="AA416" ca="true">IFERROR(AVERAGEIFS(
  unit_details[Sqft],
  unit_details[Property Name], INDIRECT("B"&amp;ROW()),
  unit_details[Floorplan Name], INDIRECT("C"&amp;ROW()),
  unit_details[Beds], INDIRECT("D"&amp;ROW()),
  unit_details[Detected Unit Amenities], "*"&amp;$AB$3&amp;"*",
  unit_details[Leased Date], "&gt;=" &amp; ($X$2 - $AD$3)
),0)</f>
        <v>0</v>
      </c>
      <c r="AB416" s="734" cm="1">
        <f t="array" aca="true" ref="AB4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6" s="733" cm="1">
        <f t="array" aca="true" ref="AC416" ca="true">IFERROR(COUNTIFS(
  unit_details[Property Name], INDIRECT("B"&amp;ROW()),
  unit_details[Floorplan Name], INDIRECT("C"&amp;ROW()),
  unit_details[Beds], INDIRECT("D"&amp;ROW()),
  unit_details[Detected Unit Amenities], "*"&amp;$AB$3&amp;"*",
  unit_details[Leased Date], "&gt;=" &amp; ($X$2 - $AD$3)
),0)</f>
        <v>0</v>
      </c>
      <c r="AD416" s="735" cm="1">
        <f t="array" aca="true" ref="AD416" ca="true">IFERROR(AVERAGEIFS(
  unit_details[Sqft],
  unit_details[Property Name], INDIRECT("B"&amp;ROW()),
  unit_details[Floorplan Name], INDIRECT("C"&amp;ROW()),
  unit_details[Beds], INDIRECT("D"&amp;ROW()),
  unit_details[Detected Unit Amenities], "&lt;&gt;*"&amp;$AB$3&amp;"*",
  unit_details[Leased Date], "&gt;=" &amp; ($X$2 - $AD$3)
),0)</f>
        <v>0</v>
      </c>
      <c r="AE416" s="734" cm="1">
        <f t="array" aca="true" ref="AE4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6" s="733" cm="1">
        <f t="array" aca="true" ref="AF416" ca="true">IFERROR(COUNTIFS(
  unit_details[Property Name], INDIRECT("B"&amp;ROW()),
  unit_details[Floorplan Name], INDIRECT("C"&amp;ROW()),
  unit_details[Beds], INDIRECT("D"&amp;ROW()),
  unit_details[Detected Unit Amenities], "&lt;&gt;*"&amp;$AB$3&amp;"*",
  unit_details[Leased Date], "&gt;=" &amp; ($X$2 - $AD$3)
),0)</f>
        <v>0</v>
      </c>
      <c r="AG416" s="735"/>
      <c r="AH416" s="738">
        <f t="shared" ca="true" si="14"/>
        <v>0</v>
      </c>
      <c r="AI416" s="739">
        <f t="shared" ca="true" si="15"/>
        <v>0</v>
      </c>
    </row>
    <row r="417" spans="10:35">
      <c r="J417" s="345"/>
      <c r="N417" s="738" t="str" cm="1">
        <f t="array" aca="true" ref="N417" ca="true">IFERROR(IF($O$3="Chunk Rent",
AVERAGEIFS('Unit-Level Data'!$O:$O,'Unit-Level Data'!$M:$M,TRUE,
          'Unit-Level Data'!$D:$D, INDIRECT("C"&amp;ROW()),
          'Unit-Level Data'!$B:$B, INDIRECT("B"&amp;ROW())),
AVERAGEIFS('Unit-Level Data'!$P:$P,'Unit-Level Data'!$M:$M,TRUE,
          'Unit-Level Data'!$D:$D, INDIRECT("C"&amp;ROW()),
          'Unit-Level Data'!$B:$B, INDIRECT("B"&amp;ROW()))),"")</f>
      </c>
      <c r="O417" s="760" t="str" cm="1">
        <f t="array" aca="true" ref="O417" ca="true">IFERROR(IF($O$3="Chunk Rent",
AVERAGEIFS('Unit-Level Data'!$Q:$Q,'Unit-Level Data'!$M:$M,TRUE,
          'Unit-Level Data'!$D:$D, INDIRECT("C"&amp;ROW()),
          'Unit-Level Data'!$B:$B, INDIRECT("B"&amp;ROW())),
AVERAGEIFS('Unit-Level Data'!$R:$R,'Unit-Level Data'!$M:$M,TRUE,
          'Unit-Level Data'!$D:$D, INDIRECT("C"&amp;ROW()),
          'Unit-Level Data'!$B:$B, INDIRECT("B"&amp;ROW()))),"")</f>
      </c>
      <c r="P417" s="733" cm="1">
        <f t="array" aca="true" ref="P417" ca="true">COUNTIFS('Unit-Level Data'!$M:$M,TRUE,
          'Unit-Level Data'!$D:$D, INDIRECT("C"&amp;ROW()),
          'Unit-Level Data'!$B:$B, INDIRECT("B"&amp;ROW()))</f>
        <v>0</v>
      </c>
      <c r="Q417" s="738" t="str" cm="1">
        <f t="array" aca="true" ref="Q4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7" s="760" t="str" cm="1">
        <f t="array" aca="true" ref="R4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7" s="733" cm="1">
        <f t="array" aca="true" ref="S417" ca="true">COUNTIFS('Unit-Level Data'!$L:$L, "&gt;=" &amp; ($X$2 - Q$5),
          'Unit-Level Data'!$L:$L, "&lt;" &amp; $X$2,
          'Unit-Level Data'!$D:$D, INDIRECT("C"&amp;ROW()),
          'Unit-Level Data'!$B:$B, INDIRECT("B"&amp;ROW()))</f>
        <v>0</v>
      </c>
      <c r="T417" s="738" t="str" cm="1">
        <f t="array" aca="true" ref="T4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7" s="760" t="str" cm="1">
        <f t="array" aca="true" ref="U4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7" s="733" cm="1">
        <f t="array" aca="true" ref="V417" ca="true">COUNTIFS('Unit-Level Data'!$L:$L, "&gt;=" &amp; ($X$2 - T$5),
          'Unit-Level Data'!$L:$L, "&lt;" &amp; $X$2,
          'Unit-Level Data'!$D:$D, INDIRECT("C"&amp;ROW()),
          'Unit-Level Data'!$B:$B, INDIRECT("B"&amp;ROW()))</f>
        <v>0</v>
      </c>
      <c r="W417" s="738" t="str" cm="1">
        <f t="array" aca="true" ref="W4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7" s="760" t="str" cm="1">
        <f t="array" aca="true" ref="X4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7" s="733" cm="1">
        <f t="array" aca="true" ref="Y417" ca="true">COUNTIFS('Unit-Level Data'!$L:$L, "&gt;=" &amp; ($X$2 - W$5),
          'Unit-Level Data'!$L:$L, "&lt;" &amp; $X$2,
          'Unit-Level Data'!$D:$D, INDIRECT("C"&amp;ROW()),
          'Unit-Level Data'!$B:$B, INDIRECT("B"&amp;ROW()))</f>
        <v>0</v>
      </c>
      <c r="Z417" s="761"/>
      <c r="AA417" s="735" cm="1">
        <f t="array" aca="true" ref="AA417" ca="true">IFERROR(AVERAGEIFS(
  unit_details[Sqft],
  unit_details[Property Name], INDIRECT("B"&amp;ROW()),
  unit_details[Floorplan Name], INDIRECT("C"&amp;ROW()),
  unit_details[Beds], INDIRECT("D"&amp;ROW()),
  unit_details[Detected Unit Amenities], "*"&amp;$AB$3&amp;"*",
  unit_details[Leased Date], "&gt;=" &amp; ($X$2 - $AD$3)
),0)</f>
        <v>0</v>
      </c>
      <c r="AB417" s="734" cm="1">
        <f t="array" aca="true" ref="AB4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7" s="733" cm="1">
        <f t="array" aca="true" ref="AC417" ca="true">IFERROR(COUNTIFS(
  unit_details[Property Name], INDIRECT("B"&amp;ROW()),
  unit_details[Floorplan Name], INDIRECT("C"&amp;ROW()),
  unit_details[Beds], INDIRECT("D"&amp;ROW()),
  unit_details[Detected Unit Amenities], "*"&amp;$AB$3&amp;"*",
  unit_details[Leased Date], "&gt;=" &amp; ($X$2 - $AD$3)
),0)</f>
        <v>0</v>
      </c>
      <c r="AD417" s="735" cm="1">
        <f t="array" aca="true" ref="AD417" ca="true">IFERROR(AVERAGEIFS(
  unit_details[Sqft],
  unit_details[Property Name], INDIRECT("B"&amp;ROW()),
  unit_details[Floorplan Name], INDIRECT("C"&amp;ROW()),
  unit_details[Beds], INDIRECT("D"&amp;ROW()),
  unit_details[Detected Unit Amenities], "&lt;&gt;*"&amp;$AB$3&amp;"*",
  unit_details[Leased Date], "&gt;=" &amp; ($X$2 - $AD$3)
),0)</f>
        <v>0</v>
      </c>
      <c r="AE417" s="734" cm="1">
        <f t="array" aca="true" ref="AE4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7" s="733" cm="1">
        <f t="array" aca="true" ref="AF417" ca="true">IFERROR(COUNTIFS(
  unit_details[Property Name], INDIRECT("B"&amp;ROW()),
  unit_details[Floorplan Name], INDIRECT("C"&amp;ROW()),
  unit_details[Beds], INDIRECT("D"&amp;ROW()),
  unit_details[Detected Unit Amenities], "&lt;&gt;*"&amp;$AB$3&amp;"*",
  unit_details[Leased Date], "&gt;=" &amp; ($X$2 - $AD$3)
),0)</f>
        <v>0</v>
      </c>
      <c r="AG417" s="735"/>
      <c r="AH417" s="738">
        <f t="shared" ca="true" si="14"/>
        <v>0</v>
      </c>
      <c r="AI417" s="739">
        <f t="shared" ca="true" si="15"/>
        <v>0</v>
      </c>
    </row>
    <row r="418" spans="10:35">
      <c r="J418" s="345"/>
      <c r="N418" s="738" t="str" cm="1">
        <f t="array" aca="true" ref="N418" ca="true">IFERROR(IF($O$3="Chunk Rent",
AVERAGEIFS('Unit-Level Data'!$O:$O,'Unit-Level Data'!$M:$M,TRUE,
          'Unit-Level Data'!$D:$D, INDIRECT("C"&amp;ROW()),
          'Unit-Level Data'!$B:$B, INDIRECT("B"&amp;ROW())),
AVERAGEIFS('Unit-Level Data'!$P:$P,'Unit-Level Data'!$M:$M,TRUE,
          'Unit-Level Data'!$D:$D, INDIRECT("C"&amp;ROW()),
          'Unit-Level Data'!$B:$B, INDIRECT("B"&amp;ROW()))),"")</f>
      </c>
      <c r="O418" s="760" t="str" cm="1">
        <f t="array" aca="true" ref="O418" ca="true">IFERROR(IF($O$3="Chunk Rent",
AVERAGEIFS('Unit-Level Data'!$Q:$Q,'Unit-Level Data'!$M:$M,TRUE,
          'Unit-Level Data'!$D:$D, INDIRECT("C"&amp;ROW()),
          'Unit-Level Data'!$B:$B, INDIRECT("B"&amp;ROW())),
AVERAGEIFS('Unit-Level Data'!$R:$R,'Unit-Level Data'!$M:$M,TRUE,
          'Unit-Level Data'!$D:$D, INDIRECT("C"&amp;ROW()),
          'Unit-Level Data'!$B:$B, INDIRECT("B"&amp;ROW()))),"")</f>
      </c>
      <c r="P418" s="733" cm="1">
        <f t="array" aca="true" ref="P418" ca="true">COUNTIFS('Unit-Level Data'!$M:$M,TRUE,
          'Unit-Level Data'!$D:$D, INDIRECT("C"&amp;ROW()),
          'Unit-Level Data'!$B:$B, INDIRECT("B"&amp;ROW()))</f>
        <v>0</v>
      </c>
      <c r="Q418" s="738" t="str" cm="1">
        <f t="array" aca="true" ref="Q4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8" s="760" t="str" cm="1">
        <f t="array" aca="true" ref="R4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8" s="733" cm="1">
        <f t="array" aca="true" ref="S418" ca="true">COUNTIFS('Unit-Level Data'!$L:$L, "&gt;=" &amp; ($X$2 - Q$5),
          'Unit-Level Data'!$L:$L, "&lt;" &amp; $X$2,
          'Unit-Level Data'!$D:$D, INDIRECT("C"&amp;ROW()),
          'Unit-Level Data'!$B:$B, INDIRECT("B"&amp;ROW()))</f>
        <v>0</v>
      </c>
      <c r="T418" s="738" t="str" cm="1">
        <f t="array" aca="true" ref="T4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8" s="760" t="str" cm="1">
        <f t="array" aca="true" ref="U4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8" s="733" cm="1">
        <f t="array" aca="true" ref="V418" ca="true">COUNTIFS('Unit-Level Data'!$L:$L, "&gt;=" &amp; ($X$2 - T$5),
          'Unit-Level Data'!$L:$L, "&lt;" &amp; $X$2,
          'Unit-Level Data'!$D:$D, INDIRECT("C"&amp;ROW()),
          'Unit-Level Data'!$B:$B, INDIRECT("B"&amp;ROW()))</f>
        <v>0</v>
      </c>
      <c r="W418" s="738" t="str" cm="1">
        <f t="array" aca="true" ref="W4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8" s="760" t="str" cm="1">
        <f t="array" aca="true" ref="X4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8" s="733" cm="1">
        <f t="array" aca="true" ref="Y418" ca="true">COUNTIFS('Unit-Level Data'!$L:$L, "&gt;=" &amp; ($X$2 - W$5),
          'Unit-Level Data'!$L:$L, "&lt;" &amp; $X$2,
          'Unit-Level Data'!$D:$D, INDIRECT("C"&amp;ROW()),
          'Unit-Level Data'!$B:$B, INDIRECT("B"&amp;ROW()))</f>
        <v>0</v>
      </c>
      <c r="Z418" s="761"/>
      <c r="AA418" s="735" cm="1">
        <f t="array" aca="true" ref="AA418" ca="true">IFERROR(AVERAGEIFS(
  unit_details[Sqft],
  unit_details[Property Name], INDIRECT("B"&amp;ROW()),
  unit_details[Floorplan Name], INDIRECT("C"&amp;ROW()),
  unit_details[Beds], INDIRECT("D"&amp;ROW()),
  unit_details[Detected Unit Amenities], "*"&amp;$AB$3&amp;"*",
  unit_details[Leased Date], "&gt;=" &amp; ($X$2 - $AD$3)
),0)</f>
        <v>0</v>
      </c>
      <c r="AB418" s="734" cm="1">
        <f t="array" aca="true" ref="AB4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8" s="733" cm="1">
        <f t="array" aca="true" ref="AC418" ca="true">IFERROR(COUNTIFS(
  unit_details[Property Name], INDIRECT("B"&amp;ROW()),
  unit_details[Floorplan Name], INDIRECT("C"&amp;ROW()),
  unit_details[Beds], INDIRECT("D"&amp;ROW()),
  unit_details[Detected Unit Amenities], "*"&amp;$AB$3&amp;"*",
  unit_details[Leased Date], "&gt;=" &amp; ($X$2 - $AD$3)
),0)</f>
        <v>0</v>
      </c>
      <c r="AD418" s="735" cm="1">
        <f t="array" aca="true" ref="AD418" ca="true">IFERROR(AVERAGEIFS(
  unit_details[Sqft],
  unit_details[Property Name], INDIRECT("B"&amp;ROW()),
  unit_details[Floorplan Name], INDIRECT("C"&amp;ROW()),
  unit_details[Beds], INDIRECT("D"&amp;ROW()),
  unit_details[Detected Unit Amenities], "&lt;&gt;*"&amp;$AB$3&amp;"*",
  unit_details[Leased Date], "&gt;=" &amp; ($X$2 - $AD$3)
),0)</f>
        <v>0</v>
      </c>
      <c r="AE418" s="734" cm="1">
        <f t="array" aca="true" ref="AE4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8" s="733" cm="1">
        <f t="array" aca="true" ref="AF418" ca="true">IFERROR(COUNTIFS(
  unit_details[Property Name], INDIRECT("B"&amp;ROW()),
  unit_details[Floorplan Name], INDIRECT("C"&amp;ROW()),
  unit_details[Beds], INDIRECT("D"&amp;ROW()),
  unit_details[Detected Unit Amenities], "&lt;&gt;*"&amp;$AB$3&amp;"*",
  unit_details[Leased Date], "&gt;=" &amp; ($X$2 - $AD$3)
),0)</f>
        <v>0</v>
      </c>
      <c r="AG418" s="735"/>
      <c r="AH418" s="738">
        <f t="shared" ca="true" si="14"/>
        <v>0</v>
      </c>
      <c r="AI418" s="739">
        <f t="shared" ca="true" si="15"/>
        <v>0</v>
      </c>
    </row>
    <row r="419" spans="10:35">
      <c r="J419" s="345"/>
      <c r="N419" s="738" t="str" cm="1">
        <f t="array" aca="true" ref="N419" ca="true">IFERROR(IF($O$3="Chunk Rent",
AVERAGEIFS('Unit-Level Data'!$O:$O,'Unit-Level Data'!$M:$M,TRUE,
          'Unit-Level Data'!$D:$D, INDIRECT("C"&amp;ROW()),
          'Unit-Level Data'!$B:$B, INDIRECT("B"&amp;ROW())),
AVERAGEIFS('Unit-Level Data'!$P:$P,'Unit-Level Data'!$M:$M,TRUE,
          'Unit-Level Data'!$D:$D, INDIRECT("C"&amp;ROW()),
          'Unit-Level Data'!$B:$B, INDIRECT("B"&amp;ROW()))),"")</f>
      </c>
      <c r="O419" s="760" t="str" cm="1">
        <f t="array" aca="true" ref="O419" ca="true">IFERROR(IF($O$3="Chunk Rent",
AVERAGEIFS('Unit-Level Data'!$Q:$Q,'Unit-Level Data'!$M:$M,TRUE,
          'Unit-Level Data'!$D:$D, INDIRECT("C"&amp;ROW()),
          'Unit-Level Data'!$B:$B, INDIRECT("B"&amp;ROW())),
AVERAGEIFS('Unit-Level Data'!$R:$R,'Unit-Level Data'!$M:$M,TRUE,
          'Unit-Level Data'!$D:$D, INDIRECT("C"&amp;ROW()),
          'Unit-Level Data'!$B:$B, INDIRECT("B"&amp;ROW()))),"")</f>
      </c>
      <c r="P419" s="733" cm="1">
        <f t="array" aca="true" ref="P419" ca="true">COUNTIFS('Unit-Level Data'!$M:$M,TRUE,
          'Unit-Level Data'!$D:$D, INDIRECT("C"&amp;ROW()),
          'Unit-Level Data'!$B:$B, INDIRECT("B"&amp;ROW()))</f>
        <v>0</v>
      </c>
      <c r="Q419" s="738" t="str" cm="1">
        <f t="array" aca="true" ref="Q4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9" s="760" t="str" cm="1">
        <f t="array" aca="true" ref="R4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9" s="733" cm="1">
        <f t="array" aca="true" ref="S419" ca="true">COUNTIFS('Unit-Level Data'!$L:$L, "&gt;=" &amp; ($X$2 - Q$5),
          'Unit-Level Data'!$L:$L, "&lt;" &amp; $X$2,
          'Unit-Level Data'!$D:$D, INDIRECT("C"&amp;ROW()),
          'Unit-Level Data'!$B:$B, INDIRECT("B"&amp;ROW()))</f>
        <v>0</v>
      </c>
      <c r="T419" s="738" t="str" cm="1">
        <f t="array" aca="true" ref="T4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9" s="760" t="str" cm="1">
        <f t="array" aca="true" ref="U4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9" s="733" cm="1">
        <f t="array" aca="true" ref="V419" ca="true">COUNTIFS('Unit-Level Data'!$L:$L, "&gt;=" &amp; ($X$2 - T$5),
          'Unit-Level Data'!$L:$L, "&lt;" &amp; $X$2,
          'Unit-Level Data'!$D:$D, INDIRECT("C"&amp;ROW()),
          'Unit-Level Data'!$B:$B, INDIRECT("B"&amp;ROW()))</f>
        <v>0</v>
      </c>
      <c r="W419" s="738" t="str" cm="1">
        <f t="array" aca="true" ref="W4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9" s="760" t="str" cm="1">
        <f t="array" aca="true" ref="X4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9" s="733" cm="1">
        <f t="array" aca="true" ref="Y419" ca="true">COUNTIFS('Unit-Level Data'!$L:$L, "&gt;=" &amp; ($X$2 - W$5),
          'Unit-Level Data'!$L:$L, "&lt;" &amp; $X$2,
          'Unit-Level Data'!$D:$D, INDIRECT("C"&amp;ROW()),
          'Unit-Level Data'!$B:$B, INDIRECT("B"&amp;ROW()))</f>
        <v>0</v>
      </c>
      <c r="Z419" s="761"/>
      <c r="AA419" s="735" cm="1">
        <f t="array" aca="true" ref="AA419" ca="true">IFERROR(AVERAGEIFS(
  unit_details[Sqft],
  unit_details[Property Name], INDIRECT("B"&amp;ROW()),
  unit_details[Floorplan Name], INDIRECT("C"&amp;ROW()),
  unit_details[Beds], INDIRECT("D"&amp;ROW()),
  unit_details[Detected Unit Amenities], "*"&amp;$AB$3&amp;"*",
  unit_details[Leased Date], "&gt;=" &amp; ($X$2 - $AD$3)
),0)</f>
        <v>0</v>
      </c>
      <c r="AB419" s="734" cm="1">
        <f t="array" aca="true" ref="AB4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9" s="733" cm="1">
        <f t="array" aca="true" ref="AC419" ca="true">IFERROR(COUNTIFS(
  unit_details[Property Name], INDIRECT("B"&amp;ROW()),
  unit_details[Floorplan Name], INDIRECT("C"&amp;ROW()),
  unit_details[Beds], INDIRECT("D"&amp;ROW()),
  unit_details[Detected Unit Amenities], "*"&amp;$AB$3&amp;"*",
  unit_details[Leased Date], "&gt;=" &amp; ($X$2 - $AD$3)
),0)</f>
        <v>0</v>
      </c>
      <c r="AD419" s="735" cm="1">
        <f t="array" aca="true" ref="AD419" ca="true">IFERROR(AVERAGEIFS(
  unit_details[Sqft],
  unit_details[Property Name], INDIRECT("B"&amp;ROW()),
  unit_details[Floorplan Name], INDIRECT("C"&amp;ROW()),
  unit_details[Beds], INDIRECT("D"&amp;ROW()),
  unit_details[Detected Unit Amenities], "&lt;&gt;*"&amp;$AB$3&amp;"*",
  unit_details[Leased Date], "&gt;=" &amp; ($X$2 - $AD$3)
),0)</f>
        <v>0</v>
      </c>
      <c r="AE419" s="734" cm="1">
        <f t="array" aca="true" ref="AE4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9" s="733" cm="1">
        <f t="array" aca="true" ref="AF419" ca="true">IFERROR(COUNTIFS(
  unit_details[Property Name], INDIRECT("B"&amp;ROW()),
  unit_details[Floorplan Name], INDIRECT("C"&amp;ROW()),
  unit_details[Beds], INDIRECT("D"&amp;ROW()),
  unit_details[Detected Unit Amenities], "&lt;&gt;*"&amp;$AB$3&amp;"*",
  unit_details[Leased Date], "&gt;=" &amp; ($X$2 - $AD$3)
),0)</f>
        <v>0</v>
      </c>
      <c r="AG419" s="735"/>
      <c r="AH419" s="738">
        <f t="shared" ca="true" si="14"/>
        <v>0</v>
      </c>
      <c r="AI419" s="739">
        <f t="shared" ca="true" si="15"/>
        <v>0</v>
      </c>
    </row>
    <row r="420" spans="10:35">
      <c r="J420" s="345"/>
      <c r="N420" s="738" t="str" cm="1">
        <f t="array" aca="true" ref="N420" ca="true">IFERROR(IF($O$3="Chunk Rent",
AVERAGEIFS('Unit-Level Data'!$O:$O,'Unit-Level Data'!$M:$M,TRUE,
          'Unit-Level Data'!$D:$D, INDIRECT("C"&amp;ROW()),
          'Unit-Level Data'!$B:$B, INDIRECT("B"&amp;ROW())),
AVERAGEIFS('Unit-Level Data'!$P:$P,'Unit-Level Data'!$M:$M,TRUE,
          'Unit-Level Data'!$D:$D, INDIRECT("C"&amp;ROW()),
          'Unit-Level Data'!$B:$B, INDIRECT("B"&amp;ROW()))),"")</f>
      </c>
      <c r="O420" s="760" t="str" cm="1">
        <f t="array" aca="true" ref="O420" ca="true">IFERROR(IF($O$3="Chunk Rent",
AVERAGEIFS('Unit-Level Data'!$Q:$Q,'Unit-Level Data'!$M:$M,TRUE,
          'Unit-Level Data'!$D:$D, INDIRECT("C"&amp;ROW()),
          'Unit-Level Data'!$B:$B, INDIRECT("B"&amp;ROW())),
AVERAGEIFS('Unit-Level Data'!$R:$R,'Unit-Level Data'!$M:$M,TRUE,
          'Unit-Level Data'!$D:$D, INDIRECT("C"&amp;ROW()),
          'Unit-Level Data'!$B:$B, INDIRECT("B"&amp;ROW()))),"")</f>
      </c>
      <c r="P420" s="733" cm="1">
        <f t="array" aca="true" ref="P420" ca="true">COUNTIFS('Unit-Level Data'!$M:$M,TRUE,
          'Unit-Level Data'!$D:$D, INDIRECT("C"&amp;ROW()),
          'Unit-Level Data'!$B:$B, INDIRECT("B"&amp;ROW()))</f>
        <v>0</v>
      </c>
      <c r="Q420" s="738" t="str" cm="1">
        <f t="array" aca="true" ref="Q4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0" s="760" t="str" cm="1">
        <f t="array" aca="true" ref="R4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0" s="733" cm="1">
        <f t="array" aca="true" ref="S420" ca="true">COUNTIFS('Unit-Level Data'!$L:$L, "&gt;=" &amp; ($X$2 - Q$5),
          'Unit-Level Data'!$L:$L, "&lt;" &amp; $X$2,
          'Unit-Level Data'!$D:$D, INDIRECT("C"&amp;ROW()),
          'Unit-Level Data'!$B:$B, INDIRECT("B"&amp;ROW()))</f>
        <v>0</v>
      </c>
      <c r="T420" s="738" t="str" cm="1">
        <f t="array" aca="true" ref="T4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0" s="760" t="str" cm="1">
        <f t="array" aca="true" ref="U4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0" s="733" cm="1">
        <f t="array" aca="true" ref="V420" ca="true">COUNTIFS('Unit-Level Data'!$L:$L, "&gt;=" &amp; ($X$2 - T$5),
          'Unit-Level Data'!$L:$L, "&lt;" &amp; $X$2,
          'Unit-Level Data'!$D:$D, INDIRECT("C"&amp;ROW()),
          'Unit-Level Data'!$B:$B, INDIRECT("B"&amp;ROW()))</f>
        <v>0</v>
      </c>
      <c r="W420" s="738" t="str" cm="1">
        <f t="array" aca="true" ref="W4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0" s="760" t="str" cm="1">
        <f t="array" aca="true" ref="X4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0" s="733" cm="1">
        <f t="array" aca="true" ref="Y420" ca="true">COUNTIFS('Unit-Level Data'!$L:$L, "&gt;=" &amp; ($X$2 - W$5),
          'Unit-Level Data'!$L:$L, "&lt;" &amp; $X$2,
          'Unit-Level Data'!$D:$D, INDIRECT("C"&amp;ROW()),
          'Unit-Level Data'!$B:$B, INDIRECT("B"&amp;ROW()))</f>
        <v>0</v>
      </c>
      <c r="Z420" s="761"/>
      <c r="AA420" s="735" cm="1">
        <f t="array" aca="true" ref="AA420" ca="true">IFERROR(AVERAGEIFS(
  unit_details[Sqft],
  unit_details[Property Name], INDIRECT("B"&amp;ROW()),
  unit_details[Floorplan Name], INDIRECT("C"&amp;ROW()),
  unit_details[Beds], INDIRECT("D"&amp;ROW()),
  unit_details[Detected Unit Amenities], "*"&amp;$AB$3&amp;"*",
  unit_details[Leased Date], "&gt;=" &amp; ($X$2 - $AD$3)
),0)</f>
        <v>0</v>
      </c>
      <c r="AB420" s="734" cm="1">
        <f t="array" aca="true" ref="AB4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0" s="733" cm="1">
        <f t="array" aca="true" ref="AC420" ca="true">IFERROR(COUNTIFS(
  unit_details[Property Name], INDIRECT("B"&amp;ROW()),
  unit_details[Floorplan Name], INDIRECT("C"&amp;ROW()),
  unit_details[Beds], INDIRECT("D"&amp;ROW()),
  unit_details[Detected Unit Amenities], "*"&amp;$AB$3&amp;"*",
  unit_details[Leased Date], "&gt;=" &amp; ($X$2 - $AD$3)
),0)</f>
        <v>0</v>
      </c>
      <c r="AD420" s="735" cm="1">
        <f t="array" aca="true" ref="AD420" ca="true">IFERROR(AVERAGEIFS(
  unit_details[Sqft],
  unit_details[Property Name], INDIRECT("B"&amp;ROW()),
  unit_details[Floorplan Name], INDIRECT("C"&amp;ROW()),
  unit_details[Beds], INDIRECT("D"&amp;ROW()),
  unit_details[Detected Unit Amenities], "&lt;&gt;*"&amp;$AB$3&amp;"*",
  unit_details[Leased Date], "&gt;=" &amp; ($X$2 - $AD$3)
),0)</f>
        <v>0</v>
      </c>
      <c r="AE420" s="734" cm="1">
        <f t="array" aca="true" ref="AE4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0" s="733" cm="1">
        <f t="array" aca="true" ref="AF420" ca="true">IFERROR(COUNTIFS(
  unit_details[Property Name], INDIRECT("B"&amp;ROW()),
  unit_details[Floorplan Name], INDIRECT("C"&amp;ROW()),
  unit_details[Beds], INDIRECT("D"&amp;ROW()),
  unit_details[Detected Unit Amenities], "&lt;&gt;*"&amp;$AB$3&amp;"*",
  unit_details[Leased Date], "&gt;=" &amp; ($X$2 - $AD$3)
),0)</f>
        <v>0</v>
      </c>
      <c r="AG420" s="735"/>
      <c r="AH420" s="738">
        <f t="shared" ca="true" si="14"/>
        <v>0</v>
      </c>
      <c r="AI420" s="739">
        <f t="shared" ca="true" si="15"/>
        <v>0</v>
      </c>
    </row>
    <row r="421" spans="10:35">
      <c r="J421" s="345"/>
      <c r="N421" s="738" t="str" cm="1">
        <f t="array" aca="true" ref="N421" ca="true">IFERROR(IF($O$3="Chunk Rent",
AVERAGEIFS('Unit-Level Data'!$O:$O,'Unit-Level Data'!$M:$M,TRUE,
          'Unit-Level Data'!$D:$D, INDIRECT("C"&amp;ROW()),
          'Unit-Level Data'!$B:$B, INDIRECT("B"&amp;ROW())),
AVERAGEIFS('Unit-Level Data'!$P:$P,'Unit-Level Data'!$M:$M,TRUE,
          'Unit-Level Data'!$D:$D, INDIRECT("C"&amp;ROW()),
          'Unit-Level Data'!$B:$B, INDIRECT("B"&amp;ROW()))),"")</f>
      </c>
      <c r="O421" s="760" t="str" cm="1">
        <f t="array" aca="true" ref="O421" ca="true">IFERROR(IF($O$3="Chunk Rent",
AVERAGEIFS('Unit-Level Data'!$Q:$Q,'Unit-Level Data'!$M:$M,TRUE,
          'Unit-Level Data'!$D:$D, INDIRECT("C"&amp;ROW()),
          'Unit-Level Data'!$B:$B, INDIRECT("B"&amp;ROW())),
AVERAGEIFS('Unit-Level Data'!$R:$R,'Unit-Level Data'!$M:$M,TRUE,
          'Unit-Level Data'!$D:$D, INDIRECT("C"&amp;ROW()),
          'Unit-Level Data'!$B:$B, INDIRECT("B"&amp;ROW()))),"")</f>
      </c>
      <c r="P421" s="733" cm="1">
        <f t="array" aca="true" ref="P421" ca="true">COUNTIFS('Unit-Level Data'!$M:$M,TRUE,
          'Unit-Level Data'!$D:$D, INDIRECT("C"&amp;ROW()),
          'Unit-Level Data'!$B:$B, INDIRECT("B"&amp;ROW()))</f>
        <v>0</v>
      </c>
      <c r="Q421" s="738" t="str" cm="1">
        <f t="array" aca="true" ref="Q4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1" s="760" t="str" cm="1">
        <f t="array" aca="true" ref="R4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1" s="733" cm="1">
        <f t="array" aca="true" ref="S421" ca="true">COUNTIFS('Unit-Level Data'!$L:$L, "&gt;=" &amp; ($X$2 - Q$5),
          'Unit-Level Data'!$L:$L, "&lt;" &amp; $X$2,
          'Unit-Level Data'!$D:$D, INDIRECT("C"&amp;ROW()),
          'Unit-Level Data'!$B:$B, INDIRECT("B"&amp;ROW()))</f>
        <v>0</v>
      </c>
      <c r="T421" s="738" t="str" cm="1">
        <f t="array" aca="true" ref="T4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1" s="760" t="str" cm="1">
        <f t="array" aca="true" ref="U4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1" s="733" cm="1">
        <f t="array" aca="true" ref="V421" ca="true">COUNTIFS('Unit-Level Data'!$L:$L, "&gt;=" &amp; ($X$2 - T$5),
          'Unit-Level Data'!$L:$L, "&lt;" &amp; $X$2,
          'Unit-Level Data'!$D:$D, INDIRECT("C"&amp;ROW()),
          'Unit-Level Data'!$B:$B, INDIRECT("B"&amp;ROW()))</f>
        <v>0</v>
      </c>
      <c r="W421" s="738" t="str" cm="1">
        <f t="array" aca="true" ref="W4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1" s="760" t="str" cm="1">
        <f t="array" aca="true" ref="X4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1" s="733" cm="1">
        <f t="array" aca="true" ref="Y421" ca="true">COUNTIFS('Unit-Level Data'!$L:$L, "&gt;=" &amp; ($X$2 - W$5),
          'Unit-Level Data'!$L:$L, "&lt;" &amp; $X$2,
          'Unit-Level Data'!$D:$D, INDIRECT("C"&amp;ROW()),
          'Unit-Level Data'!$B:$B, INDIRECT("B"&amp;ROW()))</f>
        <v>0</v>
      </c>
      <c r="Z421" s="761"/>
      <c r="AA421" s="735" cm="1">
        <f t="array" aca="true" ref="AA421" ca="true">IFERROR(AVERAGEIFS(
  unit_details[Sqft],
  unit_details[Property Name], INDIRECT("B"&amp;ROW()),
  unit_details[Floorplan Name], INDIRECT("C"&amp;ROW()),
  unit_details[Beds], INDIRECT("D"&amp;ROW()),
  unit_details[Detected Unit Amenities], "*"&amp;$AB$3&amp;"*",
  unit_details[Leased Date], "&gt;=" &amp; ($X$2 - $AD$3)
),0)</f>
        <v>0</v>
      </c>
      <c r="AB421" s="734" cm="1">
        <f t="array" aca="true" ref="AB4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1" s="733" cm="1">
        <f t="array" aca="true" ref="AC421" ca="true">IFERROR(COUNTIFS(
  unit_details[Property Name], INDIRECT("B"&amp;ROW()),
  unit_details[Floorplan Name], INDIRECT("C"&amp;ROW()),
  unit_details[Beds], INDIRECT("D"&amp;ROW()),
  unit_details[Detected Unit Amenities], "*"&amp;$AB$3&amp;"*",
  unit_details[Leased Date], "&gt;=" &amp; ($X$2 - $AD$3)
),0)</f>
        <v>0</v>
      </c>
      <c r="AD421" s="735" cm="1">
        <f t="array" aca="true" ref="AD421" ca="true">IFERROR(AVERAGEIFS(
  unit_details[Sqft],
  unit_details[Property Name], INDIRECT("B"&amp;ROW()),
  unit_details[Floorplan Name], INDIRECT("C"&amp;ROW()),
  unit_details[Beds], INDIRECT("D"&amp;ROW()),
  unit_details[Detected Unit Amenities], "&lt;&gt;*"&amp;$AB$3&amp;"*",
  unit_details[Leased Date], "&gt;=" &amp; ($X$2 - $AD$3)
),0)</f>
        <v>0</v>
      </c>
      <c r="AE421" s="734" cm="1">
        <f t="array" aca="true" ref="AE4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1" s="733" cm="1">
        <f t="array" aca="true" ref="AF421" ca="true">IFERROR(COUNTIFS(
  unit_details[Property Name], INDIRECT("B"&amp;ROW()),
  unit_details[Floorplan Name], INDIRECT("C"&amp;ROW()),
  unit_details[Beds], INDIRECT("D"&amp;ROW()),
  unit_details[Detected Unit Amenities], "&lt;&gt;*"&amp;$AB$3&amp;"*",
  unit_details[Leased Date], "&gt;=" &amp; ($X$2 - $AD$3)
),0)</f>
        <v>0</v>
      </c>
      <c r="AG421" s="735"/>
      <c r="AH421" s="738">
        <f t="shared" ca="true" si="14"/>
        <v>0</v>
      </c>
      <c r="AI421" s="739">
        <f t="shared" ca="true" si="15"/>
        <v>0</v>
      </c>
    </row>
    <row r="422" spans="10:35">
      <c r="J422" s="345"/>
      <c r="N422" s="738" t="str" cm="1">
        <f t="array" aca="true" ref="N422" ca="true">IFERROR(IF($O$3="Chunk Rent",
AVERAGEIFS('Unit-Level Data'!$O:$O,'Unit-Level Data'!$M:$M,TRUE,
          'Unit-Level Data'!$D:$D, INDIRECT("C"&amp;ROW()),
          'Unit-Level Data'!$B:$B, INDIRECT("B"&amp;ROW())),
AVERAGEIFS('Unit-Level Data'!$P:$P,'Unit-Level Data'!$M:$M,TRUE,
          'Unit-Level Data'!$D:$D, INDIRECT("C"&amp;ROW()),
          'Unit-Level Data'!$B:$B, INDIRECT("B"&amp;ROW()))),"")</f>
      </c>
      <c r="O422" s="760" t="str" cm="1">
        <f t="array" aca="true" ref="O422" ca="true">IFERROR(IF($O$3="Chunk Rent",
AVERAGEIFS('Unit-Level Data'!$Q:$Q,'Unit-Level Data'!$M:$M,TRUE,
          'Unit-Level Data'!$D:$D, INDIRECT("C"&amp;ROW()),
          'Unit-Level Data'!$B:$B, INDIRECT("B"&amp;ROW())),
AVERAGEIFS('Unit-Level Data'!$R:$R,'Unit-Level Data'!$M:$M,TRUE,
          'Unit-Level Data'!$D:$D, INDIRECT("C"&amp;ROW()),
          'Unit-Level Data'!$B:$B, INDIRECT("B"&amp;ROW()))),"")</f>
      </c>
      <c r="P422" s="733" cm="1">
        <f t="array" aca="true" ref="P422" ca="true">COUNTIFS('Unit-Level Data'!$M:$M,TRUE,
          'Unit-Level Data'!$D:$D, INDIRECT("C"&amp;ROW()),
          'Unit-Level Data'!$B:$B, INDIRECT("B"&amp;ROW()))</f>
        <v>0</v>
      </c>
      <c r="Q422" s="738" t="str" cm="1">
        <f t="array" aca="true" ref="Q4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2" s="760" t="str" cm="1">
        <f t="array" aca="true" ref="R4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2" s="733" cm="1">
        <f t="array" aca="true" ref="S422" ca="true">COUNTIFS('Unit-Level Data'!$L:$L, "&gt;=" &amp; ($X$2 - Q$5),
          'Unit-Level Data'!$L:$L, "&lt;" &amp; $X$2,
          'Unit-Level Data'!$D:$D, INDIRECT("C"&amp;ROW()),
          'Unit-Level Data'!$B:$B, INDIRECT("B"&amp;ROW()))</f>
        <v>0</v>
      </c>
      <c r="T422" s="738" t="str" cm="1">
        <f t="array" aca="true" ref="T4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2" s="760" t="str" cm="1">
        <f t="array" aca="true" ref="U4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2" s="733" cm="1">
        <f t="array" aca="true" ref="V422" ca="true">COUNTIFS('Unit-Level Data'!$L:$L, "&gt;=" &amp; ($X$2 - T$5),
          'Unit-Level Data'!$L:$L, "&lt;" &amp; $X$2,
          'Unit-Level Data'!$D:$D, INDIRECT("C"&amp;ROW()),
          'Unit-Level Data'!$B:$B, INDIRECT("B"&amp;ROW()))</f>
        <v>0</v>
      </c>
      <c r="W422" s="738" t="str" cm="1">
        <f t="array" aca="true" ref="W4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2" s="760" t="str" cm="1">
        <f t="array" aca="true" ref="X4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2" s="733" cm="1">
        <f t="array" aca="true" ref="Y422" ca="true">COUNTIFS('Unit-Level Data'!$L:$L, "&gt;=" &amp; ($X$2 - W$5),
          'Unit-Level Data'!$L:$L, "&lt;" &amp; $X$2,
          'Unit-Level Data'!$D:$D, INDIRECT("C"&amp;ROW()),
          'Unit-Level Data'!$B:$B, INDIRECT("B"&amp;ROW()))</f>
        <v>0</v>
      </c>
      <c r="Z422" s="761"/>
      <c r="AA422" s="735" cm="1">
        <f t="array" aca="true" ref="AA422" ca="true">IFERROR(AVERAGEIFS(
  unit_details[Sqft],
  unit_details[Property Name], INDIRECT("B"&amp;ROW()),
  unit_details[Floorplan Name], INDIRECT("C"&amp;ROW()),
  unit_details[Beds], INDIRECT("D"&amp;ROW()),
  unit_details[Detected Unit Amenities], "*"&amp;$AB$3&amp;"*",
  unit_details[Leased Date], "&gt;=" &amp; ($X$2 - $AD$3)
),0)</f>
        <v>0</v>
      </c>
      <c r="AB422" s="734" cm="1">
        <f t="array" aca="true" ref="AB4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2" s="733" cm="1">
        <f t="array" aca="true" ref="AC422" ca="true">IFERROR(COUNTIFS(
  unit_details[Property Name], INDIRECT("B"&amp;ROW()),
  unit_details[Floorplan Name], INDIRECT("C"&amp;ROW()),
  unit_details[Beds], INDIRECT("D"&amp;ROW()),
  unit_details[Detected Unit Amenities], "*"&amp;$AB$3&amp;"*",
  unit_details[Leased Date], "&gt;=" &amp; ($X$2 - $AD$3)
),0)</f>
        <v>0</v>
      </c>
      <c r="AD422" s="735" cm="1">
        <f t="array" aca="true" ref="AD422" ca="true">IFERROR(AVERAGEIFS(
  unit_details[Sqft],
  unit_details[Property Name], INDIRECT("B"&amp;ROW()),
  unit_details[Floorplan Name], INDIRECT("C"&amp;ROW()),
  unit_details[Beds], INDIRECT("D"&amp;ROW()),
  unit_details[Detected Unit Amenities], "&lt;&gt;*"&amp;$AB$3&amp;"*",
  unit_details[Leased Date], "&gt;=" &amp; ($X$2 - $AD$3)
),0)</f>
        <v>0</v>
      </c>
      <c r="AE422" s="734" cm="1">
        <f t="array" aca="true" ref="AE4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2" s="733" cm="1">
        <f t="array" aca="true" ref="AF422" ca="true">IFERROR(COUNTIFS(
  unit_details[Property Name], INDIRECT("B"&amp;ROW()),
  unit_details[Floorplan Name], INDIRECT("C"&amp;ROW()),
  unit_details[Beds], INDIRECT("D"&amp;ROW()),
  unit_details[Detected Unit Amenities], "&lt;&gt;*"&amp;$AB$3&amp;"*",
  unit_details[Leased Date], "&gt;=" &amp; ($X$2 - $AD$3)
),0)</f>
        <v>0</v>
      </c>
      <c r="AG422" s="735"/>
      <c r="AH422" s="738">
        <f t="shared" ca="true" si="14"/>
        <v>0</v>
      </c>
      <c r="AI422" s="739">
        <f t="shared" ca="true" si="15"/>
        <v>0</v>
      </c>
    </row>
    <row r="423" spans="10:35">
      <c r="J423" s="345"/>
      <c r="N423" s="738" t="str" cm="1">
        <f t="array" aca="true" ref="N423" ca="true">IFERROR(IF($O$3="Chunk Rent",
AVERAGEIFS('Unit-Level Data'!$O:$O,'Unit-Level Data'!$M:$M,TRUE,
          'Unit-Level Data'!$D:$D, INDIRECT("C"&amp;ROW()),
          'Unit-Level Data'!$B:$B, INDIRECT("B"&amp;ROW())),
AVERAGEIFS('Unit-Level Data'!$P:$P,'Unit-Level Data'!$M:$M,TRUE,
          'Unit-Level Data'!$D:$D, INDIRECT("C"&amp;ROW()),
          'Unit-Level Data'!$B:$B, INDIRECT("B"&amp;ROW()))),"")</f>
      </c>
      <c r="O423" s="760" t="str" cm="1">
        <f t="array" aca="true" ref="O423" ca="true">IFERROR(IF($O$3="Chunk Rent",
AVERAGEIFS('Unit-Level Data'!$Q:$Q,'Unit-Level Data'!$M:$M,TRUE,
          'Unit-Level Data'!$D:$D, INDIRECT("C"&amp;ROW()),
          'Unit-Level Data'!$B:$B, INDIRECT("B"&amp;ROW())),
AVERAGEIFS('Unit-Level Data'!$R:$R,'Unit-Level Data'!$M:$M,TRUE,
          'Unit-Level Data'!$D:$D, INDIRECT("C"&amp;ROW()),
          'Unit-Level Data'!$B:$B, INDIRECT("B"&amp;ROW()))),"")</f>
      </c>
      <c r="P423" s="733" cm="1">
        <f t="array" aca="true" ref="P423" ca="true">COUNTIFS('Unit-Level Data'!$M:$M,TRUE,
          'Unit-Level Data'!$D:$D, INDIRECT("C"&amp;ROW()),
          'Unit-Level Data'!$B:$B, INDIRECT("B"&amp;ROW()))</f>
        <v>0</v>
      </c>
      <c r="Q423" s="738" t="str" cm="1">
        <f t="array" aca="true" ref="Q4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3" s="760" t="str" cm="1">
        <f t="array" aca="true" ref="R4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3" s="733" cm="1">
        <f t="array" aca="true" ref="S423" ca="true">COUNTIFS('Unit-Level Data'!$L:$L, "&gt;=" &amp; ($X$2 - Q$5),
          'Unit-Level Data'!$L:$L, "&lt;" &amp; $X$2,
          'Unit-Level Data'!$D:$D, INDIRECT("C"&amp;ROW()),
          'Unit-Level Data'!$B:$B, INDIRECT("B"&amp;ROW()))</f>
        <v>0</v>
      </c>
      <c r="T423" s="738" t="str" cm="1">
        <f t="array" aca="true" ref="T4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3" s="760" t="str" cm="1">
        <f t="array" aca="true" ref="U4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3" s="733" cm="1">
        <f t="array" aca="true" ref="V423" ca="true">COUNTIFS('Unit-Level Data'!$L:$L, "&gt;=" &amp; ($X$2 - T$5),
          'Unit-Level Data'!$L:$L, "&lt;" &amp; $X$2,
          'Unit-Level Data'!$D:$D, INDIRECT("C"&amp;ROW()),
          'Unit-Level Data'!$B:$B, INDIRECT("B"&amp;ROW()))</f>
        <v>0</v>
      </c>
      <c r="W423" s="738" t="str" cm="1">
        <f t="array" aca="true" ref="W4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3" s="760" t="str" cm="1">
        <f t="array" aca="true" ref="X4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3" s="733" cm="1">
        <f t="array" aca="true" ref="Y423" ca="true">COUNTIFS('Unit-Level Data'!$L:$L, "&gt;=" &amp; ($X$2 - W$5),
          'Unit-Level Data'!$L:$L, "&lt;" &amp; $X$2,
          'Unit-Level Data'!$D:$D, INDIRECT("C"&amp;ROW()),
          'Unit-Level Data'!$B:$B, INDIRECT("B"&amp;ROW()))</f>
        <v>0</v>
      </c>
      <c r="Z423" s="761"/>
      <c r="AA423" s="735" cm="1">
        <f t="array" aca="true" ref="AA423" ca="true">IFERROR(AVERAGEIFS(
  unit_details[Sqft],
  unit_details[Property Name], INDIRECT("B"&amp;ROW()),
  unit_details[Floorplan Name], INDIRECT("C"&amp;ROW()),
  unit_details[Beds], INDIRECT("D"&amp;ROW()),
  unit_details[Detected Unit Amenities], "*"&amp;$AB$3&amp;"*",
  unit_details[Leased Date], "&gt;=" &amp; ($X$2 - $AD$3)
),0)</f>
        <v>0</v>
      </c>
      <c r="AB423" s="734" cm="1">
        <f t="array" aca="true" ref="AB4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3" s="733" cm="1">
        <f t="array" aca="true" ref="AC423" ca="true">IFERROR(COUNTIFS(
  unit_details[Property Name], INDIRECT("B"&amp;ROW()),
  unit_details[Floorplan Name], INDIRECT("C"&amp;ROW()),
  unit_details[Beds], INDIRECT("D"&amp;ROW()),
  unit_details[Detected Unit Amenities], "*"&amp;$AB$3&amp;"*",
  unit_details[Leased Date], "&gt;=" &amp; ($X$2 - $AD$3)
),0)</f>
        <v>0</v>
      </c>
      <c r="AD423" s="735" cm="1">
        <f t="array" aca="true" ref="AD423" ca="true">IFERROR(AVERAGEIFS(
  unit_details[Sqft],
  unit_details[Property Name], INDIRECT("B"&amp;ROW()),
  unit_details[Floorplan Name], INDIRECT("C"&amp;ROW()),
  unit_details[Beds], INDIRECT("D"&amp;ROW()),
  unit_details[Detected Unit Amenities], "&lt;&gt;*"&amp;$AB$3&amp;"*",
  unit_details[Leased Date], "&gt;=" &amp; ($X$2 - $AD$3)
),0)</f>
        <v>0</v>
      </c>
      <c r="AE423" s="734" cm="1">
        <f t="array" aca="true" ref="AE4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3" s="733" cm="1">
        <f t="array" aca="true" ref="AF423" ca="true">IFERROR(COUNTIFS(
  unit_details[Property Name], INDIRECT("B"&amp;ROW()),
  unit_details[Floorplan Name], INDIRECT("C"&amp;ROW()),
  unit_details[Beds], INDIRECT("D"&amp;ROW()),
  unit_details[Detected Unit Amenities], "&lt;&gt;*"&amp;$AB$3&amp;"*",
  unit_details[Leased Date], "&gt;=" &amp; ($X$2 - $AD$3)
),0)</f>
        <v>0</v>
      </c>
      <c r="AG423" s="735"/>
      <c r="AH423" s="738">
        <f t="shared" ca="true" si="14"/>
        <v>0</v>
      </c>
      <c r="AI423" s="739">
        <f t="shared" ca="true" si="15"/>
        <v>0</v>
      </c>
    </row>
    <row r="424" spans="10:35">
      <c r="J424" s="345"/>
      <c r="N424" s="738" t="str" cm="1">
        <f t="array" aca="true" ref="N424" ca="true">IFERROR(IF($O$3="Chunk Rent",
AVERAGEIFS('Unit-Level Data'!$O:$O,'Unit-Level Data'!$M:$M,TRUE,
          'Unit-Level Data'!$D:$D, INDIRECT("C"&amp;ROW()),
          'Unit-Level Data'!$B:$B, INDIRECT("B"&amp;ROW())),
AVERAGEIFS('Unit-Level Data'!$P:$P,'Unit-Level Data'!$M:$M,TRUE,
          'Unit-Level Data'!$D:$D, INDIRECT("C"&amp;ROW()),
          'Unit-Level Data'!$B:$B, INDIRECT("B"&amp;ROW()))),"")</f>
      </c>
      <c r="O424" s="760" t="str" cm="1">
        <f t="array" aca="true" ref="O424" ca="true">IFERROR(IF($O$3="Chunk Rent",
AVERAGEIFS('Unit-Level Data'!$Q:$Q,'Unit-Level Data'!$M:$M,TRUE,
          'Unit-Level Data'!$D:$D, INDIRECT("C"&amp;ROW()),
          'Unit-Level Data'!$B:$B, INDIRECT("B"&amp;ROW())),
AVERAGEIFS('Unit-Level Data'!$R:$R,'Unit-Level Data'!$M:$M,TRUE,
          'Unit-Level Data'!$D:$D, INDIRECT("C"&amp;ROW()),
          'Unit-Level Data'!$B:$B, INDIRECT("B"&amp;ROW()))),"")</f>
      </c>
      <c r="P424" s="733" cm="1">
        <f t="array" aca="true" ref="P424" ca="true">COUNTIFS('Unit-Level Data'!$M:$M,TRUE,
          'Unit-Level Data'!$D:$D, INDIRECT("C"&amp;ROW()),
          'Unit-Level Data'!$B:$B, INDIRECT("B"&amp;ROW()))</f>
        <v>0</v>
      </c>
      <c r="Q424" s="738" t="str" cm="1">
        <f t="array" aca="true" ref="Q4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4" s="760" t="str" cm="1">
        <f t="array" aca="true" ref="R4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4" s="733" cm="1">
        <f t="array" aca="true" ref="S424" ca="true">COUNTIFS('Unit-Level Data'!$L:$L, "&gt;=" &amp; ($X$2 - Q$5),
          'Unit-Level Data'!$L:$L, "&lt;" &amp; $X$2,
          'Unit-Level Data'!$D:$D, INDIRECT("C"&amp;ROW()),
          'Unit-Level Data'!$B:$B, INDIRECT("B"&amp;ROW()))</f>
        <v>0</v>
      </c>
      <c r="T424" s="738" t="str" cm="1">
        <f t="array" aca="true" ref="T4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4" s="760" t="str" cm="1">
        <f t="array" aca="true" ref="U4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4" s="733" cm="1">
        <f t="array" aca="true" ref="V424" ca="true">COUNTIFS('Unit-Level Data'!$L:$L, "&gt;=" &amp; ($X$2 - T$5),
          'Unit-Level Data'!$L:$L, "&lt;" &amp; $X$2,
          'Unit-Level Data'!$D:$D, INDIRECT("C"&amp;ROW()),
          'Unit-Level Data'!$B:$B, INDIRECT("B"&amp;ROW()))</f>
        <v>0</v>
      </c>
      <c r="W424" s="738" t="str" cm="1">
        <f t="array" aca="true" ref="W4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4" s="760" t="str" cm="1">
        <f t="array" aca="true" ref="X4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4" s="733" cm="1">
        <f t="array" aca="true" ref="Y424" ca="true">COUNTIFS('Unit-Level Data'!$L:$L, "&gt;=" &amp; ($X$2 - W$5),
          'Unit-Level Data'!$L:$L, "&lt;" &amp; $X$2,
          'Unit-Level Data'!$D:$D, INDIRECT("C"&amp;ROW()),
          'Unit-Level Data'!$B:$B, INDIRECT("B"&amp;ROW()))</f>
        <v>0</v>
      </c>
      <c r="Z424" s="761"/>
      <c r="AA424" s="735" cm="1">
        <f t="array" aca="true" ref="AA424" ca="true">IFERROR(AVERAGEIFS(
  unit_details[Sqft],
  unit_details[Property Name], INDIRECT("B"&amp;ROW()),
  unit_details[Floorplan Name], INDIRECT("C"&amp;ROW()),
  unit_details[Beds], INDIRECT("D"&amp;ROW()),
  unit_details[Detected Unit Amenities], "*"&amp;$AB$3&amp;"*",
  unit_details[Leased Date], "&gt;=" &amp; ($X$2 - $AD$3)
),0)</f>
        <v>0</v>
      </c>
      <c r="AB424" s="734" cm="1">
        <f t="array" aca="true" ref="AB4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4" s="733" cm="1">
        <f t="array" aca="true" ref="AC424" ca="true">IFERROR(COUNTIFS(
  unit_details[Property Name], INDIRECT("B"&amp;ROW()),
  unit_details[Floorplan Name], INDIRECT("C"&amp;ROW()),
  unit_details[Beds], INDIRECT("D"&amp;ROW()),
  unit_details[Detected Unit Amenities], "*"&amp;$AB$3&amp;"*",
  unit_details[Leased Date], "&gt;=" &amp; ($X$2 - $AD$3)
),0)</f>
        <v>0</v>
      </c>
      <c r="AD424" s="735" cm="1">
        <f t="array" aca="true" ref="AD424" ca="true">IFERROR(AVERAGEIFS(
  unit_details[Sqft],
  unit_details[Property Name], INDIRECT("B"&amp;ROW()),
  unit_details[Floorplan Name], INDIRECT("C"&amp;ROW()),
  unit_details[Beds], INDIRECT("D"&amp;ROW()),
  unit_details[Detected Unit Amenities], "&lt;&gt;*"&amp;$AB$3&amp;"*",
  unit_details[Leased Date], "&gt;=" &amp; ($X$2 - $AD$3)
),0)</f>
        <v>0</v>
      </c>
      <c r="AE424" s="734" cm="1">
        <f t="array" aca="true" ref="AE4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4" s="733" cm="1">
        <f t="array" aca="true" ref="AF424" ca="true">IFERROR(COUNTIFS(
  unit_details[Property Name], INDIRECT("B"&amp;ROW()),
  unit_details[Floorplan Name], INDIRECT("C"&amp;ROW()),
  unit_details[Beds], INDIRECT("D"&amp;ROW()),
  unit_details[Detected Unit Amenities], "&lt;&gt;*"&amp;$AB$3&amp;"*",
  unit_details[Leased Date], "&gt;=" &amp; ($X$2 - $AD$3)
),0)</f>
        <v>0</v>
      </c>
      <c r="AG424" s="735"/>
      <c r="AH424" s="738">
        <f t="shared" ca="true" si="14"/>
        <v>0</v>
      </c>
      <c r="AI424" s="739">
        <f t="shared" ca="true" si="15"/>
        <v>0</v>
      </c>
    </row>
    <row r="425" spans="10:35">
      <c r="J425" s="345"/>
      <c r="N425" s="738" t="str" cm="1">
        <f t="array" aca="true" ref="N425" ca="true">IFERROR(IF($O$3="Chunk Rent",
AVERAGEIFS('Unit-Level Data'!$O:$O,'Unit-Level Data'!$M:$M,TRUE,
          'Unit-Level Data'!$D:$D, INDIRECT("C"&amp;ROW()),
          'Unit-Level Data'!$B:$B, INDIRECT("B"&amp;ROW())),
AVERAGEIFS('Unit-Level Data'!$P:$P,'Unit-Level Data'!$M:$M,TRUE,
          'Unit-Level Data'!$D:$D, INDIRECT("C"&amp;ROW()),
          'Unit-Level Data'!$B:$B, INDIRECT("B"&amp;ROW()))),"")</f>
      </c>
      <c r="O425" s="760" t="str" cm="1">
        <f t="array" aca="true" ref="O425" ca="true">IFERROR(IF($O$3="Chunk Rent",
AVERAGEIFS('Unit-Level Data'!$Q:$Q,'Unit-Level Data'!$M:$M,TRUE,
          'Unit-Level Data'!$D:$D, INDIRECT("C"&amp;ROW()),
          'Unit-Level Data'!$B:$B, INDIRECT("B"&amp;ROW())),
AVERAGEIFS('Unit-Level Data'!$R:$R,'Unit-Level Data'!$M:$M,TRUE,
          'Unit-Level Data'!$D:$D, INDIRECT("C"&amp;ROW()),
          'Unit-Level Data'!$B:$B, INDIRECT("B"&amp;ROW()))),"")</f>
      </c>
      <c r="P425" s="733" cm="1">
        <f t="array" aca="true" ref="P425" ca="true">COUNTIFS('Unit-Level Data'!$M:$M,TRUE,
          'Unit-Level Data'!$D:$D, INDIRECT("C"&amp;ROW()),
          'Unit-Level Data'!$B:$B, INDIRECT("B"&amp;ROW()))</f>
        <v>0</v>
      </c>
      <c r="Q425" s="738" t="str" cm="1">
        <f t="array" aca="true" ref="Q4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5" s="760" t="str" cm="1">
        <f t="array" aca="true" ref="R4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5" s="733" cm="1">
        <f t="array" aca="true" ref="S425" ca="true">COUNTIFS('Unit-Level Data'!$L:$L, "&gt;=" &amp; ($X$2 - Q$5),
          'Unit-Level Data'!$L:$L, "&lt;" &amp; $X$2,
          'Unit-Level Data'!$D:$D, INDIRECT("C"&amp;ROW()),
          'Unit-Level Data'!$B:$B, INDIRECT("B"&amp;ROW()))</f>
        <v>0</v>
      </c>
      <c r="T425" s="738" t="str" cm="1">
        <f t="array" aca="true" ref="T4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5" s="760" t="str" cm="1">
        <f t="array" aca="true" ref="U4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5" s="733" cm="1">
        <f t="array" aca="true" ref="V425" ca="true">COUNTIFS('Unit-Level Data'!$L:$L, "&gt;=" &amp; ($X$2 - T$5),
          'Unit-Level Data'!$L:$L, "&lt;" &amp; $X$2,
          'Unit-Level Data'!$D:$D, INDIRECT("C"&amp;ROW()),
          'Unit-Level Data'!$B:$B, INDIRECT("B"&amp;ROW()))</f>
        <v>0</v>
      </c>
      <c r="W425" s="738" t="str" cm="1">
        <f t="array" aca="true" ref="W4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5" s="760" t="str" cm="1">
        <f t="array" aca="true" ref="X4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5" s="733" cm="1">
        <f t="array" aca="true" ref="Y425" ca="true">COUNTIFS('Unit-Level Data'!$L:$L, "&gt;=" &amp; ($X$2 - W$5),
          'Unit-Level Data'!$L:$L, "&lt;" &amp; $X$2,
          'Unit-Level Data'!$D:$D, INDIRECT("C"&amp;ROW()),
          'Unit-Level Data'!$B:$B, INDIRECT("B"&amp;ROW()))</f>
        <v>0</v>
      </c>
      <c r="Z425" s="761"/>
      <c r="AA425" s="735" cm="1">
        <f t="array" aca="true" ref="AA425" ca="true">IFERROR(AVERAGEIFS(
  unit_details[Sqft],
  unit_details[Property Name], INDIRECT("B"&amp;ROW()),
  unit_details[Floorplan Name], INDIRECT("C"&amp;ROW()),
  unit_details[Beds], INDIRECT("D"&amp;ROW()),
  unit_details[Detected Unit Amenities], "*"&amp;$AB$3&amp;"*",
  unit_details[Leased Date], "&gt;=" &amp; ($X$2 - $AD$3)
),0)</f>
        <v>0</v>
      </c>
      <c r="AB425" s="734" cm="1">
        <f t="array" aca="true" ref="AB4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5" s="733" cm="1">
        <f t="array" aca="true" ref="AC425" ca="true">IFERROR(COUNTIFS(
  unit_details[Property Name], INDIRECT("B"&amp;ROW()),
  unit_details[Floorplan Name], INDIRECT("C"&amp;ROW()),
  unit_details[Beds], INDIRECT("D"&amp;ROW()),
  unit_details[Detected Unit Amenities], "*"&amp;$AB$3&amp;"*",
  unit_details[Leased Date], "&gt;=" &amp; ($X$2 - $AD$3)
),0)</f>
        <v>0</v>
      </c>
      <c r="AD425" s="735" cm="1">
        <f t="array" aca="true" ref="AD425" ca="true">IFERROR(AVERAGEIFS(
  unit_details[Sqft],
  unit_details[Property Name], INDIRECT("B"&amp;ROW()),
  unit_details[Floorplan Name], INDIRECT("C"&amp;ROW()),
  unit_details[Beds], INDIRECT("D"&amp;ROW()),
  unit_details[Detected Unit Amenities], "&lt;&gt;*"&amp;$AB$3&amp;"*",
  unit_details[Leased Date], "&gt;=" &amp; ($X$2 - $AD$3)
),0)</f>
        <v>0</v>
      </c>
      <c r="AE425" s="734" cm="1">
        <f t="array" aca="true" ref="AE4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5" s="733" cm="1">
        <f t="array" aca="true" ref="AF425" ca="true">IFERROR(COUNTIFS(
  unit_details[Property Name], INDIRECT("B"&amp;ROW()),
  unit_details[Floorplan Name], INDIRECT("C"&amp;ROW()),
  unit_details[Beds], INDIRECT("D"&amp;ROW()),
  unit_details[Detected Unit Amenities], "&lt;&gt;*"&amp;$AB$3&amp;"*",
  unit_details[Leased Date], "&gt;=" &amp; ($X$2 - $AD$3)
),0)</f>
        <v>0</v>
      </c>
      <c r="AG425" s="735"/>
      <c r="AH425" s="738">
        <f t="shared" ca="true" si="14"/>
        <v>0</v>
      </c>
      <c r="AI425" s="739">
        <f t="shared" ca="true" si="15"/>
        <v>0</v>
      </c>
    </row>
    <row r="426" spans="10:35">
      <c r="J426" s="345"/>
      <c r="N426" s="738" t="str" cm="1">
        <f t="array" aca="true" ref="N426" ca="true">IFERROR(IF($O$3="Chunk Rent",
AVERAGEIFS('Unit-Level Data'!$O:$O,'Unit-Level Data'!$M:$M,TRUE,
          'Unit-Level Data'!$D:$D, INDIRECT("C"&amp;ROW()),
          'Unit-Level Data'!$B:$B, INDIRECT("B"&amp;ROW())),
AVERAGEIFS('Unit-Level Data'!$P:$P,'Unit-Level Data'!$M:$M,TRUE,
          'Unit-Level Data'!$D:$D, INDIRECT("C"&amp;ROW()),
          'Unit-Level Data'!$B:$B, INDIRECT("B"&amp;ROW()))),"")</f>
      </c>
      <c r="O426" s="760" t="str" cm="1">
        <f t="array" aca="true" ref="O426" ca="true">IFERROR(IF($O$3="Chunk Rent",
AVERAGEIFS('Unit-Level Data'!$Q:$Q,'Unit-Level Data'!$M:$M,TRUE,
          'Unit-Level Data'!$D:$D, INDIRECT("C"&amp;ROW()),
          'Unit-Level Data'!$B:$B, INDIRECT("B"&amp;ROW())),
AVERAGEIFS('Unit-Level Data'!$R:$R,'Unit-Level Data'!$M:$M,TRUE,
          'Unit-Level Data'!$D:$D, INDIRECT("C"&amp;ROW()),
          'Unit-Level Data'!$B:$B, INDIRECT("B"&amp;ROW()))),"")</f>
      </c>
      <c r="P426" s="733" cm="1">
        <f t="array" aca="true" ref="P426" ca="true">COUNTIFS('Unit-Level Data'!$M:$M,TRUE,
          'Unit-Level Data'!$D:$D, INDIRECT("C"&amp;ROW()),
          'Unit-Level Data'!$B:$B, INDIRECT("B"&amp;ROW()))</f>
        <v>0</v>
      </c>
      <c r="Q426" s="738" t="str" cm="1">
        <f t="array" aca="true" ref="Q4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6" s="760" t="str" cm="1">
        <f t="array" aca="true" ref="R4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6" s="733" cm="1">
        <f t="array" aca="true" ref="S426" ca="true">COUNTIFS('Unit-Level Data'!$L:$L, "&gt;=" &amp; ($X$2 - Q$5),
          'Unit-Level Data'!$L:$L, "&lt;" &amp; $X$2,
          'Unit-Level Data'!$D:$D, INDIRECT("C"&amp;ROW()),
          'Unit-Level Data'!$B:$B, INDIRECT("B"&amp;ROW()))</f>
        <v>0</v>
      </c>
      <c r="T426" s="738" t="str" cm="1">
        <f t="array" aca="true" ref="T4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6" s="760" t="str" cm="1">
        <f t="array" aca="true" ref="U4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6" s="733" cm="1">
        <f t="array" aca="true" ref="V426" ca="true">COUNTIFS('Unit-Level Data'!$L:$L, "&gt;=" &amp; ($X$2 - T$5),
          'Unit-Level Data'!$L:$L, "&lt;" &amp; $X$2,
          'Unit-Level Data'!$D:$D, INDIRECT("C"&amp;ROW()),
          'Unit-Level Data'!$B:$B, INDIRECT("B"&amp;ROW()))</f>
        <v>0</v>
      </c>
      <c r="W426" s="738" t="str" cm="1">
        <f t="array" aca="true" ref="W4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6" s="760" t="str" cm="1">
        <f t="array" aca="true" ref="X4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6" s="733" cm="1">
        <f t="array" aca="true" ref="Y426" ca="true">COUNTIFS('Unit-Level Data'!$L:$L, "&gt;=" &amp; ($X$2 - W$5),
          'Unit-Level Data'!$L:$L, "&lt;" &amp; $X$2,
          'Unit-Level Data'!$D:$D, INDIRECT("C"&amp;ROW()),
          'Unit-Level Data'!$B:$B, INDIRECT("B"&amp;ROW()))</f>
        <v>0</v>
      </c>
      <c r="Z426" s="761"/>
      <c r="AA426" s="735" cm="1">
        <f t="array" aca="true" ref="AA426" ca="true">IFERROR(AVERAGEIFS(
  unit_details[Sqft],
  unit_details[Property Name], INDIRECT("B"&amp;ROW()),
  unit_details[Floorplan Name], INDIRECT("C"&amp;ROW()),
  unit_details[Beds], INDIRECT("D"&amp;ROW()),
  unit_details[Detected Unit Amenities], "*"&amp;$AB$3&amp;"*",
  unit_details[Leased Date], "&gt;=" &amp; ($X$2 - $AD$3)
),0)</f>
        <v>0</v>
      </c>
      <c r="AB426" s="734" cm="1">
        <f t="array" aca="true" ref="AB4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6" s="733" cm="1">
        <f t="array" aca="true" ref="AC426" ca="true">IFERROR(COUNTIFS(
  unit_details[Property Name], INDIRECT("B"&amp;ROW()),
  unit_details[Floorplan Name], INDIRECT("C"&amp;ROW()),
  unit_details[Beds], INDIRECT("D"&amp;ROW()),
  unit_details[Detected Unit Amenities], "*"&amp;$AB$3&amp;"*",
  unit_details[Leased Date], "&gt;=" &amp; ($X$2 - $AD$3)
),0)</f>
        <v>0</v>
      </c>
      <c r="AD426" s="735" cm="1">
        <f t="array" aca="true" ref="AD426" ca="true">IFERROR(AVERAGEIFS(
  unit_details[Sqft],
  unit_details[Property Name], INDIRECT("B"&amp;ROW()),
  unit_details[Floorplan Name], INDIRECT("C"&amp;ROW()),
  unit_details[Beds], INDIRECT("D"&amp;ROW()),
  unit_details[Detected Unit Amenities], "&lt;&gt;*"&amp;$AB$3&amp;"*",
  unit_details[Leased Date], "&gt;=" &amp; ($X$2 - $AD$3)
),0)</f>
        <v>0</v>
      </c>
      <c r="AE426" s="734" cm="1">
        <f t="array" aca="true" ref="AE4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6" s="733" cm="1">
        <f t="array" aca="true" ref="AF426" ca="true">IFERROR(COUNTIFS(
  unit_details[Property Name], INDIRECT("B"&amp;ROW()),
  unit_details[Floorplan Name], INDIRECT("C"&amp;ROW()),
  unit_details[Beds], INDIRECT("D"&amp;ROW()),
  unit_details[Detected Unit Amenities], "&lt;&gt;*"&amp;$AB$3&amp;"*",
  unit_details[Leased Date], "&gt;=" &amp; ($X$2 - $AD$3)
),0)</f>
        <v>0</v>
      </c>
      <c r="AG426" s="735"/>
      <c r="AH426" s="738">
        <f t="shared" ca="true" si="14"/>
        <v>0</v>
      </c>
      <c r="AI426" s="739">
        <f t="shared" ca="true" si="15"/>
        <v>0</v>
      </c>
    </row>
    <row r="427" spans="10:35">
      <c r="J427" s="345"/>
      <c r="N427" s="738" t="str" cm="1">
        <f t="array" aca="true" ref="N427" ca="true">IFERROR(IF($O$3="Chunk Rent",
AVERAGEIFS('Unit-Level Data'!$O:$O,'Unit-Level Data'!$M:$M,TRUE,
          'Unit-Level Data'!$D:$D, INDIRECT("C"&amp;ROW()),
          'Unit-Level Data'!$B:$B, INDIRECT("B"&amp;ROW())),
AVERAGEIFS('Unit-Level Data'!$P:$P,'Unit-Level Data'!$M:$M,TRUE,
          'Unit-Level Data'!$D:$D, INDIRECT("C"&amp;ROW()),
          'Unit-Level Data'!$B:$B, INDIRECT("B"&amp;ROW()))),"")</f>
      </c>
      <c r="O427" s="760" t="str" cm="1">
        <f t="array" aca="true" ref="O427" ca="true">IFERROR(IF($O$3="Chunk Rent",
AVERAGEIFS('Unit-Level Data'!$Q:$Q,'Unit-Level Data'!$M:$M,TRUE,
          'Unit-Level Data'!$D:$D, INDIRECT("C"&amp;ROW()),
          'Unit-Level Data'!$B:$B, INDIRECT("B"&amp;ROW())),
AVERAGEIFS('Unit-Level Data'!$R:$R,'Unit-Level Data'!$M:$M,TRUE,
          'Unit-Level Data'!$D:$D, INDIRECT("C"&amp;ROW()),
          'Unit-Level Data'!$B:$B, INDIRECT("B"&amp;ROW()))),"")</f>
      </c>
      <c r="P427" s="733" cm="1">
        <f t="array" aca="true" ref="P427" ca="true">COUNTIFS('Unit-Level Data'!$M:$M,TRUE,
          'Unit-Level Data'!$D:$D, INDIRECT("C"&amp;ROW()),
          'Unit-Level Data'!$B:$B, INDIRECT("B"&amp;ROW()))</f>
        <v>0</v>
      </c>
      <c r="Q427" s="738" t="str" cm="1">
        <f t="array" aca="true" ref="Q4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7" s="760" t="str" cm="1">
        <f t="array" aca="true" ref="R4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7" s="733" cm="1">
        <f t="array" aca="true" ref="S427" ca="true">COUNTIFS('Unit-Level Data'!$L:$L, "&gt;=" &amp; ($X$2 - Q$5),
          'Unit-Level Data'!$L:$L, "&lt;" &amp; $X$2,
          'Unit-Level Data'!$D:$D, INDIRECT("C"&amp;ROW()),
          'Unit-Level Data'!$B:$B, INDIRECT("B"&amp;ROW()))</f>
        <v>0</v>
      </c>
      <c r="T427" s="738" t="str" cm="1">
        <f t="array" aca="true" ref="T4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7" s="760" t="str" cm="1">
        <f t="array" aca="true" ref="U4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7" s="733" cm="1">
        <f t="array" aca="true" ref="V427" ca="true">COUNTIFS('Unit-Level Data'!$L:$L, "&gt;=" &amp; ($X$2 - T$5),
          'Unit-Level Data'!$L:$L, "&lt;" &amp; $X$2,
          'Unit-Level Data'!$D:$D, INDIRECT("C"&amp;ROW()),
          'Unit-Level Data'!$B:$B, INDIRECT("B"&amp;ROW()))</f>
        <v>0</v>
      </c>
      <c r="W427" s="738" t="str" cm="1">
        <f t="array" aca="true" ref="W4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7" s="760" t="str" cm="1">
        <f t="array" aca="true" ref="X4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7" s="733" cm="1">
        <f t="array" aca="true" ref="Y427" ca="true">COUNTIFS('Unit-Level Data'!$L:$L, "&gt;=" &amp; ($X$2 - W$5),
          'Unit-Level Data'!$L:$L, "&lt;" &amp; $X$2,
          'Unit-Level Data'!$D:$D, INDIRECT("C"&amp;ROW()),
          'Unit-Level Data'!$B:$B, INDIRECT("B"&amp;ROW()))</f>
        <v>0</v>
      </c>
      <c r="Z427" s="761"/>
      <c r="AA427" s="735" cm="1">
        <f t="array" aca="true" ref="AA427" ca="true">IFERROR(AVERAGEIFS(
  unit_details[Sqft],
  unit_details[Property Name], INDIRECT("B"&amp;ROW()),
  unit_details[Floorplan Name], INDIRECT("C"&amp;ROW()),
  unit_details[Beds], INDIRECT("D"&amp;ROW()),
  unit_details[Detected Unit Amenities], "*"&amp;$AB$3&amp;"*",
  unit_details[Leased Date], "&gt;=" &amp; ($X$2 - $AD$3)
),0)</f>
        <v>0</v>
      </c>
      <c r="AB427" s="734" cm="1">
        <f t="array" aca="true" ref="AB4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7" s="733" cm="1">
        <f t="array" aca="true" ref="AC427" ca="true">IFERROR(COUNTIFS(
  unit_details[Property Name], INDIRECT("B"&amp;ROW()),
  unit_details[Floorplan Name], INDIRECT("C"&amp;ROW()),
  unit_details[Beds], INDIRECT("D"&amp;ROW()),
  unit_details[Detected Unit Amenities], "*"&amp;$AB$3&amp;"*",
  unit_details[Leased Date], "&gt;=" &amp; ($X$2 - $AD$3)
),0)</f>
        <v>0</v>
      </c>
      <c r="AD427" s="735" cm="1">
        <f t="array" aca="true" ref="AD427" ca="true">IFERROR(AVERAGEIFS(
  unit_details[Sqft],
  unit_details[Property Name], INDIRECT("B"&amp;ROW()),
  unit_details[Floorplan Name], INDIRECT("C"&amp;ROW()),
  unit_details[Beds], INDIRECT("D"&amp;ROW()),
  unit_details[Detected Unit Amenities], "&lt;&gt;*"&amp;$AB$3&amp;"*",
  unit_details[Leased Date], "&gt;=" &amp; ($X$2 - $AD$3)
),0)</f>
        <v>0</v>
      </c>
      <c r="AE427" s="734" cm="1">
        <f t="array" aca="true" ref="AE4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7" s="733" cm="1">
        <f t="array" aca="true" ref="AF427" ca="true">IFERROR(COUNTIFS(
  unit_details[Property Name], INDIRECT("B"&amp;ROW()),
  unit_details[Floorplan Name], INDIRECT("C"&amp;ROW()),
  unit_details[Beds], INDIRECT("D"&amp;ROW()),
  unit_details[Detected Unit Amenities], "&lt;&gt;*"&amp;$AB$3&amp;"*",
  unit_details[Leased Date], "&gt;=" &amp; ($X$2 - $AD$3)
),0)</f>
        <v>0</v>
      </c>
      <c r="AG427" s="735"/>
      <c r="AH427" s="738">
        <f t="shared" ca="true" si="14"/>
        <v>0</v>
      </c>
      <c r="AI427" s="739">
        <f t="shared" ca="true" si="15"/>
        <v>0</v>
      </c>
    </row>
    <row r="428" spans="10:35">
      <c r="J428" s="345"/>
      <c r="N428" s="738" t="str" cm="1">
        <f t="array" aca="true" ref="N428" ca="true">IFERROR(IF($O$3="Chunk Rent",
AVERAGEIFS('Unit-Level Data'!$O:$O,'Unit-Level Data'!$M:$M,TRUE,
          'Unit-Level Data'!$D:$D, INDIRECT("C"&amp;ROW()),
          'Unit-Level Data'!$B:$B, INDIRECT("B"&amp;ROW())),
AVERAGEIFS('Unit-Level Data'!$P:$P,'Unit-Level Data'!$M:$M,TRUE,
          'Unit-Level Data'!$D:$D, INDIRECT("C"&amp;ROW()),
          'Unit-Level Data'!$B:$B, INDIRECT("B"&amp;ROW()))),"")</f>
      </c>
      <c r="O428" s="760" t="str" cm="1">
        <f t="array" aca="true" ref="O428" ca="true">IFERROR(IF($O$3="Chunk Rent",
AVERAGEIFS('Unit-Level Data'!$Q:$Q,'Unit-Level Data'!$M:$M,TRUE,
          'Unit-Level Data'!$D:$D, INDIRECT("C"&amp;ROW()),
          'Unit-Level Data'!$B:$B, INDIRECT("B"&amp;ROW())),
AVERAGEIFS('Unit-Level Data'!$R:$R,'Unit-Level Data'!$M:$M,TRUE,
          'Unit-Level Data'!$D:$D, INDIRECT("C"&amp;ROW()),
          'Unit-Level Data'!$B:$B, INDIRECT("B"&amp;ROW()))),"")</f>
      </c>
      <c r="P428" s="733" cm="1">
        <f t="array" aca="true" ref="P428" ca="true">COUNTIFS('Unit-Level Data'!$M:$M,TRUE,
          'Unit-Level Data'!$D:$D, INDIRECT("C"&amp;ROW()),
          'Unit-Level Data'!$B:$B, INDIRECT("B"&amp;ROW()))</f>
        <v>0</v>
      </c>
      <c r="Q428" s="738" t="str" cm="1">
        <f t="array" aca="true" ref="Q4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8" s="760" t="str" cm="1">
        <f t="array" aca="true" ref="R4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8" s="733" cm="1">
        <f t="array" aca="true" ref="S428" ca="true">COUNTIFS('Unit-Level Data'!$L:$L, "&gt;=" &amp; ($X$2 - Q$5),
          'Unit-Level Data'!$L:$L, "&lt;" &amp; $X$2,
          'Unit-Level Data'!$D:$D, INDIRECT("C"&amp;ROW()),
          'Unit-Level Data'!$B:$B, INDIRECT("B"&amp;ROW()))</f>
        <v>0</v>
      </c>
      <c r="T428" s="738" t="str" cm="1">
        <f t="array" aca="true" ref="T4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8" s="760" t="str" cm="1">
        <f t="array" aca="true" ref="U4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8" s="733" cm="1">
        <f t="array" aca="true" ref="V428" ca="true">COUNTIFS('Unit-Level Data'!$L:$L, "&gt;=" &amp; ($X$2 - T$5),
          'Unit-Level Data'!$L:$L, "&lt;" &amp; $X$2,
          'Unit-Level Data'!$D:$D, INDIRECT("C"&amp;ROW()),
          'Unit-Level Data'!$B:$B, INDIRECT("B"&amp;ROW()))</f>
        <v>0</v>
      </c>
      <c r="W428" s="738" t="str" cm="1">
        <f t="array" aca="true" ref="W4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8" s="760" t="str" cm="1">
        <f t="array" aca="true" ref="X4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8" s="733" cm="1">
        <f t="array" aca="true" ref="Y428" ca="true">COUNTIFS('Unit-Level Data'!$L:$L, "&gt;=" &amp; ($X$2 - W$5),
          'Unit-Level Data'!$L:$L, "&lt;" &amp; $X$2,
          'Unit-Level Data'!$D:$D, INDIRECT("C"&amp;ROW()),
          'Unit-Level Data'!$B:$B, INDIRECT("B"&amp;ROW()))</f>
        <v>0</v>
      </c>
      <c r="Z428" s="761"/>
      <c r="AA428" s="735" cm="1">
        <f t="array" aca="true" ref="AA428" ca="true">IFERROR(AVERAGEIFS(
  unit_details[Sqft],
  unit_details[Property Name], INDIRECT("B"&amp;ROW()),
  unit_details[Floorplan Name], INDIRECT("C"&amp;ROW()),
  unit_details[Beds], INDIRECT("D"&amp;ROW()),
  unit_details[Detected Unit Amenities], "*"&amp;$AB$3&amp;"*",
  unit_details[Leased Date], "&gt;=" &amp; ($X$2 - $AD$3)
),0)</f>
        <v>0</v>
      </c>
      <c r="AB428" s="734" cm="1">
        <f t="array" aca="true" ref="AB4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8" s="733" cm="1">
        <f t="array" aca="true" ref="AC428" ca="true">IFERROR(COUNTIFS(
  unit_details[Property Name], INDIRECT("B"&amp;ROW()),
  unit_details[Floorplan Name], INDIRECT("C"&amp;ROW()),
  unit_details[Beds], INDIRECT("D"&amp;ROW()),
  unit_details[Detected Unit Amenities], "*"&amp;$AB$3&amp;"*",
  unit_details[Leased Date], "&gt;=" &amp; ($X$2 - $AD$3)
),0)</f>
        <v>0</v>
      </c>
      <c r="AD428" s="735" cm="1">
        <f t="array" aca="true" ref="AD428" ca="true">IFERROR(AVERAGEIFS(
  unit_details[Sqft],
  unit_details[Property Name], INDIRECT("B"&amp;ROW()),
  unit_details[Floorplan Name], INDIRECT("C"&amp;ROW()),
  unit_details[Beds], INDIRECT("D"&amp;ROW()),
  unit_details[Detected Unit Amenities], "&lt;&gt;*"&amp;$AB$3&amp;"*",
  unit_details[Leased Date], "&gt;=" &amp; ($X$2 - $AD$3)
),0)</f>
        <v>0</v>
      </c>
      <c r="AE428" s="734" cm="1">
        <f t="array" aca="true" ref="AE4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8" s="733" cm="1">
        <f t="array" aca="true" ref="AF428" ca="true">IFERROR(COUNTIFS(
  unit_details[Property Name], INDIRECT("B"&amp;ROW()),
  unit_details[Floorplan Name], INDIRECT("C"&amp;ROW()),
  unit_details[Beds], INDIRECT("D"&amp;ROW()),
  unit_details[Detected Unit Amenities], "&lt;&gt;*"&amp;$AB$3&amp;"*",
  unit_details[Leased Date], "&gt;=" &amp; ($X$2 - $AD$3)
),0)</f>
        <v>0</v>
      </c>
      <c r="AG428" s="735"/>
      <c r="AH428" s="738">
        <f t="shared" ca="true" si="14"/>
        <v>0</v>
      </c>
      <c r="AI428" s="739">
        <f t="shared" ca="true" si="15"/>
        <v>0</v>
      </c>
    </row>
    <row r="429" spans="10:35">
      <c r="J429" s="345"/>
      <c r="N429" s="738" t="str" cm="1">
        <f t="array" aca="true" ref="N429" ca="true">IFERROR(IF($O$3="Chunk Rent",
AVERAGEIFS('Unit-Level Data'!$O:$O,'Unit-Level Data'!$M:$M,TRUE,
          'Unit-Level Data'!$D:$D, INDIRECT("C"&amp;ROW()),
          'Unit-Level Data'!$B:$B, INDIRECT("B"&amp;ROW())),
AVERAGEIFS('Unit-Level Data'!$P:$P,'Unit-Level Data'!$M:$M,TRUE,
          'Unit-Level Data'!$D:$D, INDIRECT("C"&amp;ROW()),
          'Unit-Level Data'!$B:$B, INDIRECT("B"&amp;ROW()))),"")</f>
      </c>
      <c r="O429" s="760" t="str" cm="1">
        <f t="array" aca="true" ref="O429" ca="true">IFERROR(IF($O$3="Chunk Rent",
AVERAGEIFS('Unit-Level Data'!$Q:$Q,'Unit-Level Data'!$M:$M,TRUE,
          'Unit-Level Data'!$D:$D, INDIRECT("C"&amp;ROW()),
          'Unit-Level Data'!$B:$B, INDIRECT("B"&amp;ROW())),
AVERAGEIFS('Unit-Level Data'!$R:$R,'Unit-Level Data'!$M:$M,TRUE,
          'Unit-Level Data'!$D:$D, INDIRECT("C"&amp;ROW()),
          'Unit-Level Data'!$B:$B, INDIRECT("B"&amp;ROW()))),"")</f>
      </c>
      <c r="P429" s="733" cm="1">
        <f t="array" aca="true" ref="P429" ca="true">COUNTIFS('Unit-Level Data'!$M:$M,TRUE,
          'Unit-Level Data'!$D:$D, INDIRECT("C"&amp;ROW()),
          'Unit-Level Data'!$B:$B, INDIRECT("B"&amp;ROW()))</f>
        <v>0</v>
      </c>
      <c r="Q429" s="738" t="str" cm="1">
        <f t="array" aca="true" ref="Q4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9" s="760" t="str" cm="1">
        <f t="array" aca="true" ref="R4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9" s="733" cm="1">
        <f t="array" aca="true" ref="S429" ca="true">COUNTIFS('Unit-Level Data'!$L:$L, "&gt;=" &amp; ($X$2 - Q$5),
          'Unit-Level Data'!$L:$L, "&lt;" &amp; $X$2,
          'Unit-Level Data'!$D:$D, INDIRECT("C"&amp;ROW()),
          'Unit-Level Data'!$B:$B, INDIRECT("B"&amp;ROW()))</f>
        <v>0</v>
      </c>
      <c r="T429" s="738" t="str" cm="1">
        <f t="array" aca="true" ref="T4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9" s="760" t="str" cm="1">
        <f t="array" aca="true" ref="U4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9" s="733" cm="1">
        <f t="array" aca="true" ref="V429" ca="true">COUNTIFS('Unit-Level Data'!$L:$L, "&gt;=" &amp; ($X$2 - T$5),
          'Unit-Level Data'!$L:$L, "&lt;" &amp; $X$2,
          'Unit-Level Data'!$D:$D, INDIRECT("C"&amp;ROW()),
          'Unit-Level Data'!$B:$B, INDIRECT("B"&amp;ROW()))</f>
        <v>0</v>
      </c>
      <c r="W429" s="738" t="str" cm="1">
        <f t="array" aca="true" ref="W4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9" s="760" t="str" cm="1">
        <f t="array" aca="true" ref="X4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9" s="733" cm="1">
        <f t="array" aca="true" ref="Y429" ca="true">COUNTIFS('Unit-Level Data'!$L:$L, "&gt;=" &amp; ($X$2 - W$5),
          'Unit-Level Data'!$L:$L, "&lt;" &amp; $X$2,
          'Unit-Level Data'!$D:$D, INDIRECT("C"&amp;ROW()),
          'Unit-Level Data'!$B:$B, INDIRECT("B"&amp;ROW()))</f>
        <v>0</v>
      </c>
      <c r="Z429" s="761"/>
      <c r="AA429" s="735" cm="1">
        <f t="array" aca="true" ref="AA429" ca="true">IFERROR(AVERAGEIFS(
  unit_details[Sqft],
  unit_details[Property Name], INDIRECT("B"&amp;ROW()),
  unit_details[Floorplan Name], INDIRECT("C"&amp;ROW()),
  unit_details[Beds], INDIRECT("D"&amp;ROW()),
  unit_details[Detected Unit Amenities], "*"&amp;$AB$3&amp;"*",
  unit_details[Leased Date], "&gt;=" &amp; ($X$2 - $AD$3)
),0)</f>
        <v>0</v>
      </c>
      <c r="AB429" s="734" cm="1">
        <f t="array" aca="true" ref="AB4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9" s="733" cm="1">
        <f t="array" aca="true" ref="AC429" ca="true">IFERROR(COUNTIFS(
  unit_details[Property Name], INDIRECT("B"&amp;ROW()),
  unit_details[Floorplan Name], INDIRECT("C"&amp;ROW()),
  unit_details[Beds], INDIRECT("D"&amp;ROW()),
  unit_details[Detected Unit Amenities], "*"&amp;$AB$3&amp;"*",
  unit_details[Leased Date], "&gt;=" &amp; ($X$2 - $AD$3)
),0)</f>
        <v>0</v>
      </c>
      <c r="AD429" s="735" cm="1">
        <f t="array" aca="true" ref="AD429" ca="true">IFERROR(AVERAGEIFS(
  unit_details[Sqft],
  unit_details[Property Name], INDIRECT("B"&amp;ROW()),
  unit_details[Floorplan Name], INDIRECT("C"&amp;ROW()),
  unit_details[Beds], INDIRECT("D"&amp;ROW()),
  unit_details[Detected Unit Amenities], "&lt;&gt;*"&amp;$AB$3&amp;"*",
  unit_details[Leased Date], "&gt;=" &amp; ($X$2 - $AD$3)
),0)</f>
        <v>0</v>
      </c>
      <c r="AE429" s="734" cm="1">
        <f t="array" aca="true" ref="AE4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9" s="733" cm="1">
        <f t="array" aca="true" ref="AF429" ca="true">IFERROR(COUNTIFS(
  unit_details[Property Name], INDIRECT("B"&amp;ROW()),
  unit_details[Floorplan Name], INDIRECT("C"&amp;ROW()),
  unit_details[Beds], INDIRECT("D"&amp;ROW()),
  unit_details[Detected Unit Amenities], "&lt;&gt;*"&amp;$AB$3&amp;"*",
  unit_details[Leased Date], "&gt;=" &amp; ($X$2 - $AD$3)
),0)</f>
        <v>0</v>
      </c>
      <c r="AG429" s="735"/>
      <c r="AH429" s="738">
        <f t="shared" ca="true" si="14"/>
        <v>0</v>
      </c>
      <c r="AI429" s="739">
        <f t="shared" ca="true" si="15"/>
        <v>0</v>
      </c>
    </row>
    <row r="430" spans="10:35">
      <c r="J430" s="345"/>
      <c r="N430" s="738" t="str" cm="1">
        <f t="array" aca="true" ref="N430" ca="true">IFERROR(IF($O$3="Chunk Rent",
AVERAGEIFS('Unit-Level Data'!$O:$O,'Unit-Level Data'!$M:$M,TRUE,
          'Unit-Level Data'!$D:$D, INDIRECT("C"&amp;ROW()),
          'Unit-Level Data'!$B:$B, INDIRECT("B"&amp;ROW())),
AVERAGEIFS('Unit-Level Data'!$P:$P,'Unit-Level Data'!$M:$M,TRUE,
          'Unit-Level Data'!$D:$D, INDIRECT("C"&amp;ROW()),
          'Unit-Level Data'!$B:$B, INDIRECT("B"&amp;ROW()))),"")</f>
      </c>
      <c r="O430" s="760" t="str" cm="1">
        <f t="array" aca="true" ref="O430" ca="true">IFERROR(IF($O$3="Chunk Rent",
AVERAGEIFS('Unit-Level Data'!$Q:$Q,'Unit-Level Data'!$M:$M,TRUE,
          'Unit-Level Data'!$D:$D, INDIRECT("C"&amp;ROW()),
          'Unit-Level Data'!$B:$B, INDIRECT("B"&amp;ROW())),
AVERAGEIFS('Unit-Level Data'!$R:$R,'Unit-Level Data'!$M:$M,TRUE,
          'Unit-Level Data'!$D:$D, INDIRECT("C"&amp;ROW()),
          'Unit-Level Data'!$B:$B, INDIRECT("B"&amp;ROW()))),"")</f>
      </c>
      <c r="P430" s="733" cm="1">
        <f t="array" aca="true" ref="P430" ca="true">COUNTIFS('Unit-Level Data'!$M:$M,TRUE,
          'Unit-Level Data'!$D:$D, INDIRECT("C"&amp;ROW()),
          'Unit-Level Data'!$B:$B, INDIRECT("B"&amp;ROW()))</f>
        <v>0</v>
      </c>
      <c r="Q430" s="738" t="str" cm="1">
        <f t="array" aca="true" ref="Q4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0" s="760" t="str" cm="1">
        <f t="array" aca="true" ref="R4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0" s="733" cm="1">
        <f t="array" aca="true" ref="S430" ca="true">COUNTIFS('Unit-Level Data'!$L:$L, "&gt;=" &amp; ($X$2 - Q$5),
          'Unit-Level Data'!$L:$L, "&lt;" &amp; $X$2,
          'Unit-Level Data'!$D:$D, INDIRECT("C"&amp;ROW()),
          'Unit-Level Data'!$B:$B, INDIRECT("B"&amp;ROW()))</f>
        <v>0</v>
      </c>
      <c r="T430" s="738" t="str" cm="1">
        <f t="array" aca="true" ref="T4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0" s="760" t="str" cm="1">
        <f t="array" aca="true" ref="U4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0" s="733" cm="1">
        <f t="array" aca="true" ref="V430" ca="true">COUNTIFS('Unit-Level Data'!$L:$L, "&gt;=" &amp; ($X$2 - T$5),
          'Unit-Level Data'!$L:$L, "&lt;" &amp; $X$2,
          'Unit-Level Data'!$D:$D, INDIRECT("C"&amp;ROW()),
          'Unit-Level Data'!$B:$B, INDIRECT("B"&amp;ROW()))</f>
        <v>0</v>
      </c>
      <c r="W430" s="738" t="str" cm="1">
        <f t="array" aca="true" ref="W4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0" s="760" t="str" cm="1">
        <f t="array" aca="true" ref="X4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0" s="733" cm="1">
        <f t="array" aca="true" ref="Y430" ca="true">COUNTIFS('Unit-Level Data'!$L:$L, "&gt;=" &amp; ($X$2 - W$5),
          'Unit-Level Data'!$L:$L, "&lt;" &amp; $X$2,
          'Unit-Level Data'!$D:$D, INDIRECT("C"&amp;ROW()),
          'Unit-Level Data'!$B:$B, INDIRECT("B"&amp;ROW()))</f>
        <v>0</v>
      </c>
      <c r="Z430" s="761"/>
      <c r="AA430" s="735" cm="1">
        <f t="array" aca="true" ref="AA430" ca="true">IFERROR(AVERAGEIFS(
  unit_details[Sqft],
  unit_details[Property Name], INDIRECT("B"&amp;ROW()),
  unit_details[Floorplan Name], INDIRECT("C"&amp;ROW()),
  unit_details[Beds], INDIRECT("D"&amp;ROW()),
  unit_details[Detected Unit Amenities], "*"&amp;$AB$3&amp;"*",
  unit_details[Leased Date], "&gt;=" &amp; ($X$2 - $AD$3)
),0)</f>
        <v>0</v>
      </c>
      <c r="AB430" s="734" cm="1">
        <f t="array" aca="true" ref="AB4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0" s="733" cm="1">
        <f t="array" aca="true" ref="AC430" ca="true">IFERROR(COUNTIFS(
  unit_details[Property Name], INDIRECT("B"&amp;ROW()),
  unit_details[Floorplan Name], INDIRECT("C"&amp;ROW()),
  unit_details[Beds], INDIRECT("D"&amp;ROW()),
  unit_details[Detected Unit Amenities], "*"&amp;$AB$3&amp;"*",
  unit_details[Leased Date], "&gt;=" &amp; ($X$2 - $AD$3)
),0)</f>
        <v>0</v>
      </c>
      <c r="AD430" s="735" cm="1">
        <f t="array" aca="true" ref="AD430" ca="true">IFERROR(AVERAGEIFS(
  unit_details[Sqft],
  unit_details[Property Name], INDIRECT("B"&amp;ROW()),
  unit_details[Floorplan Name], INDIRECT("C"&amp;ROW()),
  unit_details[Beds], INDIRECT("D"&amp;ROW()),
  unit_details[Detected Unit Amenities], "&lt;&gt;*"&amp;$AB$3&amp;"*",
  unit_details[Leased Date], "&gt;=" &amp; ($X$2 - $AD$3)
),0)</f>
        <v>0</v>
      </c>
      <c r="AE430" s="734" cm="1">
        <f t="array" aca="true" ref="AE4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0" s="733" cm="1">
        <f t="array" aca="true" ref="AF430" ca="true">IFERROR(COUNTIFS(
  unit_details[Property Name], INDIRECT("B"&amp;ROW()),
  unit_details[Floorplan Name], INDIRECT("C"&amp;ROW()),
  unit_details[Beds], INDIRECT("D"&amp;ROW()),
  unit_details[Detected Unit Amenities], "&lt;&gt;*"&amp;$AB$3&amp;"*",
  unit_details[Leased Date], "&gt;=" &amp; ($X$2 - $AD$3)
),0)</f>
        <v>0</v>
      </c>
      <c r="AG430" s="735"/>
      <c r="AH430" s="738">
        <f t="shared" ca="true" si="14"/>
        <v>0</v>
      </c>
      <c r="AI430" s="739">
        <f t="shared" ca="true" si="15"/>
        <v>0</v>
      </c>
    </row>
    <row r="431" spans="10:35">
      <c r="J431" s="345"/>
      <c r="N431" s="738" t="str" cm="1">
        <f t="array" aca="true" ref="N431" ca="true">IFERROR(IF($O$3="Chunk Rent",
AVERAGEIFS('Unit-Level Data'!$O:$O,'Unit-Level Data'!$M:$M,TRUE,
          'Unit-Level Data'!$D:$D, INDIRECT("C"&amp;ROW()),
          'Unit-Level Data'!$B:$B, INDIRECT("B"&amp;ROW())),
AVERAGEIFS('Unit-Level Data'!$P:$P,'Unit-Level Data'!$M:$M,TRUE,
          'Unit-Level Data'!$D:$D, INDIRECT("C"&amp;ROW()),
          'Unit-Level Data'!$B:$B, INDIRECT("B"&amp;ROW()))),"")</f>
      </c>
      <c r="O431" s="760" t="str" cm="1">
        <f t="array" aca="true" ref="O431" ca="true">IFERROR(IF($O$3="Chunk Rent",
AVERAGEIFS('Unit-Level Data'!$Q:$Q,'Unit-Level Data'!$M:$M,TRUE,
          'Unit-Level Data'!$D:$D, INDIRECT("C"&amp;ROW()),
          'Unit-Level Data'!$B:$B, INDIRECT("B"&amp;ROW())),
AVERAGEIFS('Unit-Level Data'!$R:$R,'Unit-Level Data'!$M:$M,TRUE,
          'Unit-Level Data'!$D:$D, INDIRECT("C"&amp;ROW()),
          'Unit-Level Data'!$B:$B, INDIRECT("B"&amp;ROW()))),"")</f>
      </c>
      <c r="P431" s="733" cm="1">
        <f t="array" aca="true" ref="P431" ca="true">COUNTIFS('Unit-Level Data'!$M:$M,TRUE,
          'Unit-Level Data'!$D:$D, INDIRECT("C"&amp;ROW()),
          'Unit-Level Data'!$B:$B, INDIRECT("B"&amp;ROW()))</f>
        <v>0</v>
      </c>
      <c r="Q431" s="738" t="str" cm="1">
        <f t="array" aca="true" ref="Q4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1" s="760" t="str" cm="1">
        <f t="array" aca="true" ref="R4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1" s="733" cm="1">
        <f t="array" aca="true" ref="S431" ca="true">COUNTIFS('Unit-Level Data'!$L:$L, "&gt;=" &amp; ($X$2 - Q$5),
          'Unit-Level Data'!$L:$L, "&lt;" &amp; $X$2,
          'Unit-Level Data'!$D:$D, INDIRECT("C"&amp;ROW()),
          'Unit-Level Data'!$B:$B, INDIRECT("B"&amp;ROW()))</f>
        <v>0</v>
      </c>
      <c r="T431" s="738" t="str" cm="1">
        <f t="array" aca="true" ref="T4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1" s="760" t="str" cm="1">
        <f t="array" aca="true" ref="U4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1" s="733" cm="1">
        <f t="array" aca="true" ref="V431" ca="true">COUNTIFS('Unit-Level Data'!$L:$L, "&gt;=" &amp; ($X$2 - T$5),
          'Unit-Level Data'!$L:$L, "&lt;" &amp; $X$2,
          'Unit-Level Data'!$D:$D, INDIRECT("C"&amp;ROW()),
          'Unit-Level Data'!$B:$B, INDIRECT("B"&amp;ROW()))</f>
        <v>0</v>
      </c>
      <c r="W431" s="738" t="str" cm="1">
        <f t="array" aca="true" ref="W4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1" s="760" t="str" cm="1">
        <f t="array" aca="true" ref="X4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1" s="733" cm="1">
        <f t="array" aca="true" ref="Y431" ca="true">COUNTIFS('Unit-Level Data'!$L:$L, "&gt;=" &amp; ($X$2 - W$5),
          'Unit-Level Data'!$L:$L, "&lt;" &amp; $X$2,
          'Unit-Level Data'!$D:$D, INDIRECT("C"&amp;ROW()),
          'Unit-Level Data'!$B:$B, INDIRECT("B"&amp;ROW()))</f>
        <v>0</v>
      </c>
      <c r="Z431" s="761"/>
      <c r="AA431" s="735" cm="1">
        <f t="array" aca="true" ref="AA431" ca="true">IFERROR(AVERAGEIFS(
  unit_details[Sqft],
  unit_details[Property Name], INDIRECT("B"&amp;ROW()),
  unit_details[Floorplan Name], INDIRECT("C"&amp;ROW()),
  unit_details[Beds], INDIRECT("D"&amp;ROW()),
  unit_details[Detected Unit Amenities], "*"&amp;$AB$3&amp;"*",
  unit_details[Leased Date], "&gt;=" &amp; ($X$2 - $AD$3)
),0)</f>
        <v>0</v>
      </c>
      <c r="AB431" s="734" cm="1">
        <f t="array" aca="true" ref="AB4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1" s="733" cm="1">
        <f t="array" aca="true" ref="AC431" ca="true">IFERROR(COUNTIFS(
  unit_details[Property Name], INDIRECT("B"&amp;ROW()),
  unit_details[Floorplan Name], INDIRECT("C"&amp;ROW()),
  unit_details[Beds], INDIRECT("D"&amp;ROW()),
  unit_details[Detected Unit Amenities], "*"&amp;$AB$3&amp;"*",
  unit_details[Leased Date], "&gt;=" &amp; ($X$2 - $AD$3)
),0)</f>
        <v>0</v>
      </c>
      <c r="AD431" s="735" cm="1">
        <f t="array" aca="true" ref="AD431" ca="true">IFERROR(AVERAGEIFS(
  unit_details[Sqft],
  unit_details[Property Name], INDIRECT("B"&amp;ROW()),
  unit_details[Floorplan Name], INDIRECT("C"&amp;ROW()),
  unit_details[Beds], INDIRECT("D"&amp;ROW()),
  unit_details[Detected Unit Amenities], "&lt;&gt;*"&amp;$AB$3&amp;"*",
  unit_details[Leased Date], "&gt;=" &amp; ($X$2 - $AD$3)
),0)</f>
        <v>0</v>
      </c>
      <c r="AE431" s="734" cm="1">
        <f t="array" aca="true" ref="AE4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1" s="733" cm="1">
        <f t="array" aca="true" ref="AF431" ca="true">IFERROR(COUNTIFS(
  unit_details[Property Name], INDIRECT("B"&amp;ROW()),
  unit_details[Floorplan Name], INDIRECT("C"&amp;ROW()),
  unit_details[Beds], INDIRECT("D"&amp;ROW()),
  unit_details[Detected Unit Amenities], "&lt;&gt;*"&amp;$AB$3&amp;"*",
  unit_details[Leased Date], "&gt;=" &amp; ($X$2 - $AD$3)
),0)</f>
        <v>0</v>
      </c>
      <c r="AG431" s="735"/>
      <c r="AH431" s="738">
        <f t="shared" ca="true" si="14"/>
        <v>0</v>
      </c>
      <c r="AI431" s="739">
        <f t="shared" ca="true" si="15"/>
        <v>0</v>
      </c>
    </row>
    <row r="432" spans="10:35">
      <c r="J432" s="345"/>
      <c r="N432" s="738" t="str" cm="1">
        <f t="array" aca="true" ref="N432" ca="true">IFERROR(IF($O$3="Chunk Rent",
AVERAGEIFS('Unit-Level Data'!$O:$O,'Unit-Level Data'!$M:$M,TRUE,
          'Unit-Level Data'!$D:$D, INDIRECT("C"&amp;ROW()),
          'Unit-Level Data'!$B:$B, INDIRECT("B"&amp;ROW())),
AVERAGEIFS('Unit-Level Data'!$P:$P,'Unit-Level Data'!$M:$M,TRUE,
          'Unit-Level Data'!$D:$D, INDIRECT("C"&amp;ROW()),
          'Unit-Level Data'!$B:$B, INDIRECT("B"&amp;ROW()))),"")</f>
      </c>
      <c r="O432" s="760" t="str" cm="1">
        <f t="array" aca="true" ref="O432" ca="true">IFERROR(IF($O$3="Chunk Rent",
AVERAGEIFS('Unit-Level Data'!$Q:$Q,'Unit-Level Data'!$M:$M,TRUE,
          'Unit-Level Data'!$D:$D, INDIRECT("C"&amp;ROW()),
          'Unit-Level Data'!$B:$B, INDIRECT("B"&amp;ROW())),
AVERAGEIFS('Unit-Level Data'!$R:$R,'Unit-Level Data'!$M:$M,TRUE,
          'Unit-Level Data'!$D:$D, INDIRECT("C"&amp;ROW()),
          'Unit-Level Data'!$B:$B, INDIRECT("B"&amp;ROW()))),"")</f>
      </c>
      <c r="P432" s="733" cm="1">
        <f t="array" aca="true" ref="P432" ca="true">COUNTIFS('Unit-Level Data'!$M:$M,TRUE,
          'Unit-Level Data'!$D:$D, INDIRECT("C"&amp;ROW()),
          'Unit-Level Data'!$B:$B, INDIRECT("B"&amp;ROW()))</f>
        <v>0</v>
      </c>
      <c r="Q432" s="738" t="str" cm="1">
        <f t="array" aca="true" ref="Q4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2" s="760" t="str" cm="1">
        <f t="array" aca="true" ref="R4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2" s="733" cm="1">
        <f t="array" aca="true" ref="S432" ca="true">COUNTIFS('Unit-Level Data'!$L:$L, "&gt;=" &amp; ($X$2 - Q$5),
          'Unit-Level Data'!$L:$L, "&lt;" &amp; $X$2,
          'Unit-Level Data'!$D:$D, INDIRECT("C"&amp;ROW()),
          'Unit-Level Data'!$B:$B, INDIRECT("B"&amp;ROW()))</f>
        <v>0</v>
      </c>
      <c r="T432" s="738" t="str" cm="1">
        <f t="array" aca="true" ref="T4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2" s="760" t="str" cm="1">
        <f t="array" aca="true" ref="U4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2" s="733" cm="1">
        <f t="array" aca="true" ref="V432" ca="true">COUNTIFS('Unit-Level Data'!$L:$L, "&gt;=" &amp; ($X$2 - T$5),
          'Unit-Level Data'!$L:$L, "&lt;" &amp; $X$2,
          'Unit-Level Data'!$D:$D, INDIRECT("C"&amp;ROW()),
          'Unit-Level Data'!$B:$B, INDIRECT("B"&amp;ROW()))</f>
        <v>0</v>
      </c>
      <c r="W432" s="738" t="str" cm="1">
        <f t="array" aca="true" ref="W4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2" s="760" t="str" cm="1">
        <f t="array" aca="true" ref="X4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2" s="733" cm="1">
        <f t="array" aca="true" ref="Y432" ca="true">COUNTIFS('Unit-Level Data'!$L:$L, "&gt;=" &amp; ($X$2 - W$5),
          'Unit-Level Data'!$L:$L, "&lt;" &amp; $X$2,
          'Unit-Level Data'!$D:$D, INDIRECT("C"&amp;ROW()),
          'Unit-Level Data'!$B:$B, INDIRECT("B"&amp;ROW()))</f>
        <v>0</v>
      </c>
      <c r="Z432" s="761"/>
      <c r="AA432" s="735" cm="1">
        <f t="array" aca="true" ref="AA432" ca="true">IFERROR(AVERAGEIFS(
  unit_details[Sqft],
  unit_details[Property Name], INDIRECT("B"&amp;ROW()),
  unit_details[Floorplan Name], INDIRECT("C"&amp;ROW()),
  unit_details[Beds], INDIRECT("D"&amp;ROW()),
  unit_details[Detected Unit Amenities], "*"&amp;$AB$3&amp;"*",
  unit_details[Leased Date], "&gt;=" &amp; ($X$2 - $AD$3)
),0)</f>
        <v>0</v>
      </c>
      <c r="AB432" s="734" cm="1">
        <f t="array" aca="true" ref="AB4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2" s="733" cm="1">
        <f t="array" aca="true" ref="AC432" ca="true">IFERROR(COUNTIFS(
  unit_details[Property Name], INDIRECT("B"&amp;ROW()),
  unit_details[Floorplan Name], INDIRECT("C"&amp;ROW()),
  unit_details[Beds], INDIRECT("D"&amp;ROW()),
  unit_details[Detected Unit Amenities], "*"&amp;$AB$3&amp;"*",
  unit_details[Leased Date], "&gt;=" &amp; ($X$2 - $AD$3)
),0)</f>
        <v>0</v>
      </c>
      <c r="AD432" s="735" cm="1">
        <f t="array" aca="true" ref="AD432" ca="true">IFERROR(AVERAGEIFS(
  unit_details[Sqft],
  unit_details[Property Name], INDIRECT("B"&amp;ROW()),
  unit_details[Floorplan Name], INDIRECT("C"&amp;ROW()),
  unit_details[Beds], INDIRECT("D"&amp;ROW()),
  unit_details[Detected Unit Amenities], "&lt;&gt;*"&amp;$AB$3&amp;"*",
  unit_details[Leased Date], "&gt;=" &amp; ($X$2 - $AD$3)
),0)</f>
        <v>0</v>
      </c>
      <c r="AE432" s="734" cm="1">
        <f t="array" aca="true" ref="AE4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2" s="733" cm="1">
        <f t="array" aca="true" ref="AF432" ca="true">IFERROR(COUNTIFS(
  unit_details[Property Name], INDIRECT("B"&amp;ROW()),
  unit_details[Floorplan Name], INDIRECT("C"&amp;ROW()),
  unit_details[Beds], INDIRECT("D"&amp;ROW()),
  unit_details[Detected Unit Amenities], "&lt;&gt;*"&amp;$AB$3&amp;"*",
  unit_details[Leased Date], "&gt;=" &amp; ($X$2 - $AD$3)
),0)</f>
        <v>0</v>
      </c>
      <c r="AG432" s="735"/>
      <c r="AH432" s="738">
        <f t="shared" ca="true" si="14"/>
        <v>0</v>
      </c>
      <c r="AI432" s="739">
        <f t="shared" ca="true" si="15"/>
        <v>0</v>
      </c>
    </row>
    <row r="433" spans="10:35">
      <c r="J433" s="345"/>
      <c r="N433" s="738" t="str" cm="1">
        <f t="array" aca="true" ref="N433" ca="true">IFERROR(IF($O$3="Chunk Rent",
AVERAGEIFS('Unit-Level Data'!$O:$O,'Unit-Level Data'!$M:$M,TRUE,
          'Unit-Level Data'!$D:$D, INDIRECT("C"&amp;ROW()),
          'Unit-Level Data'!$B:$B, INDIRECT("B"&amp;ROW())),
AVERAGEIFS('Unit-Level Data'!$P:$P,'Unit-Level Data'!$M:$M,TRUE,
          'Unit-Level Data'!$D:$D, INDIRECT("C"&amp;ROW()),
          'Unit-Level Data'!$B:$B, INDIRECT("B"&amp;ROW()))),"")</f>
      </c>
      <c r="O433" s="760" t="str" cm="1">
        <f t="array" aca="true" ref="O433" ca="true">IFERROR(IF($O$3="Chunk Rent",
AVERAGEIFS('Unit-Level Data'!$Q:$Q,'Unit-Level Data'!$M:$M,TRUE,
          'Unit-Level Data'!$D:$D, INDIRECT("C"&amp;ROW()),
          'Unit-Level Data'!$B:$B, INDIRECT("B"&amp;ROW())),
AVERAGEIFS('Unit-Level Data'!$R:$R,'Unit-Level Data'!$M:$M,TRUE,
          'Unit-Level Data'!$D:$D, INDIRECT("C"&amp;ROW()),
          'Unit-Level Data'!$B:$B, INDIRECT("B"&amp;ROW()))),"")</f>
      </c>
      <c r="P433" s="733" cm="1">
        <f t="array" aca="true" ref="P433" ca="true">COUNTIFS('Unit-Level Data'!$M:$M,TRUE,
          'Unit-Level Data'!$D:$D, INDIRECT("C"&amp;ROW()),
          'Unit-Level Data'!$B:$B, INDIRECT("B"&amp;ROW()))</f>
        <v>0</v>
      </c>
      <c r="Q433" s="738" t="str" cm="1">
        <f t="array" aca="true" ref="Q4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3" s="760" t="str" cm="1">
        <f t="array" aca="true" ref="R4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3" s="733" cm="1">
        <f t="array" aca="true" ref="S433" ca="true">COUNTIFS('Unit-Level Data'!$L:$L, "&gt;=" &amp; ($X$2 - Q$5),
          'Unit-Level Data'!$L:$L, "&lt;" &amp; $X$2,
          'Unit-Level Data'!$D:$D, INDIRECT("C"&amp;ROW()),
          'Unit-Level Data'!$B:$B, INDIRECT("B"&amp;ROW()))</f>
        <v>0</v>
      </c>
      <c r="T433" s="738" t="str" cm="1">
        <f t="array" aca="true" ref="T4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3" s="760" t="str" cm="1">
        <f t="array" aca="true" ref="U4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3" s="733" cm="1">
        <f t="array" aca="true" ref="V433" ca="true">COUNTIFS('Unit-Level Data'!$L:$L, "&gt;=" &amp; ($X$2 - T$5),
          'Unit-Level Data'!$L:$L, "&lt;" &amp; $X$2,
          'Unit-Level Data'!$D:$D, INDIRECT("C"&amp;ROW()),
          'Unit-Level Data'!$B:$B, INDIRECT("B"&amp;ROW()))</f>
        <v>0</v>
      </c>
      <c r="W433" s="738" t="str" cm="1">
        <f t="array" aca="true" ref="W4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3" s="760" t="str" cm="1">
        <f t="array" aca="true" ref="X4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3" s="733" cm="1">
        <f t="array" aca="true" ref="Y433" ca="true">COUNTIFS('Unit-Level Data'!$L:$L, "&gt;=" &amp; ($X$2 - W$5),
          'Unit-Level Data'!$L:$L, "&lt;" &amp; $X$2,
          'Unit-Level Data'!$D:$D, INDIRECT("C"&amp;ROW()),
          'Unit-Level Data'!$B:$B, INDIRECT("B"&amp;ROW()))</f>
        <v>0</v>
      </c>
      <c r="Z433" s="761"/>
      <c r="AA433" s="735" cm="1">
        <f t="array" aca="true" ref="AA433" ca="true">IFERROR(AVERAGEIFS(
  unit_details[Sqft],
  unit_details[Property Name], INDIRECT("B"&amp;ROW()),
  unit_details[Floorplan Name], INDIRECT("C"&amp;ROW()),
  unit_details[Beds], INDIRECT("D"&amp;ROW()),
  unit_details[Detected Unit Amenities], "*"&amp;$AB$3&amp;"*",
  unit_details[Leased Date], "&gt;=" &amp; ($X$2 - $AD$3)
),0)</f>
        <v>0</v>
      </c>
      <c r="AB433" s="734" cm="1">
        <f t="array" aca="true" ref="AB4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3" s="733" cm="1">
        <f t="array" aca="true" ref="AC433" ca="true">IFERROR(COUNTIFS(
  unit_details[Property Name], INDIRECT("B"&amp;ROW()),
  unit_details[Floorplan Name], INDIRECT("C"&amp;ROW()),
  unit_details[Beds], INDIRECT("D"&amp;ROW()),
  unit_details[Detected Unit Amenities], "*"&amp;$AB$3&amp;"*",
  unit_details[Leased Date], "&gt;=" &amp; ($X$2 - $AD$3)
),0)</f>
        <v>0</v>
      </c>
      <c r="AD433" s="735" cm="1">
        <f t="array" aca="true" ref="AD433" ca="true">IFERROR(AVERAGEIFS(
  unit_details[Sqft],
  unit_details[Property Name], INDIRECT("B"&amp;ROW()),
  unit_details[Floorplan Name], INDIRECT("C"&amp;ROW()),
  unit_details[Beds], INDIRECT("D"&amp;ROW()),
  unit_details[Detected Unit Amenities], "&lt;&gt;*"&amp;$AB$3&amp;"*",
  unit_details[Leased Date], "&gt;=" &amp; ($X$2 - $AD$3)
),0)</f>
        <v>0</v>
      </c>
      <c r="AE433" s="734" cm="1">
        <f t="array" aca="true" ref="AE4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3" s="733" cm="1">
        <f t="array" aca="true" ref="AF433" ca="true">IFERROR(COUNTIFS(
  unit_details[Property Name], INDIRECT("B"&amp;ROW()),
  unit_details[Floorplan Name], INDIRECT("C"&amp;ROW()),
  unit_details[Beds], INDIRECT("D"&amp;ROW()),
  unit_details[Detected Unit Amenities], "&lt;&gt;*"&amp;$AB$3&amp;"*",
  unit_details[Leased Date], "&gt;=" &amp; ($X$2 - $AD$3)
),0)</f>
        <v>0</v>
      </c>
      <c r="AG433" s="735"/>
      <c r="AH433" s="738">
        <f t="shared" ca="true" si="14"/>
        <v>0</v>
      </c>
      <c r="AI433" s="739">
        <f t="shared" ca="true" si="15"/>
        <v>0</v>
      </c>
    </row>
    <row r="434" spans="10:35">
      <c r="J434" s="345"/>
      <c r="N434" s="738" t="str" cm="1">
        <f t="array" aca="true" ref="N434" ca="true">IFERROR(IF($O$3="Chunk Rent",
AVERAGEIFS('Unit-Level Data'!$O:$O,'Unit-Level Data'!$M:$M,TRUE,
          'Unit-Level Data'!$D:$D, INDIRECT("C"&amp;ROW()),
          'Unit-Level Data'!$B:$B, INDIRECT("B"&amp;ROW())),
AVERAGEIFS('Unit-Level Data'!$P:$P,'Unit-Level Data'!$M:$M,TRUE,
          'Unit-Level Data'!$D:$D, INDIRECT("C"&amp;ROW()),
          'Unit-Level Data'!$B:$B, INDIRECT("B"&amp;ROW()))),"")</f>
      </c>
      <c r="O434" s="760" t="str" cm="1">
        <f t="array" aca="true" ref="O434" ca="true">IFERROR(IF($O$3="Chunk Rent",
AVERAGEIFS('Unit-Level Data'!$Q:$Q,'Unit-Level Data'!$M:$M,TRUE,
          'Unit-Level Data'!$D:$D, INDIRECT("C"&amp;ROW()),
          'Unit-Level Data'!$B:$B, INDIRECT("B"&amp;ROW())),
AVERAGEIFS('Unit-Level Data'!$R:$R,'Unit-Level Data'!$M:$M,TRUE,
          'Unit-Level Data'!$D:$D, INDIRECT("C"&amp;ROW()),
          'Unit-Level Data'!$B:$B, INDIRECT("B"&amp;ROW()))),"")</f>
      </c>
      <c r="P434" s="733" cm="1">
        <f t="array" aca="true" ref="P434" ca="true">COUNTIFS('Unit-Level Data'!$M:$M,TRUE,
          'Unit-Level Data'!$D:$D, INDIRECT("C"&amp;ROW()),
          'Unit-Level Data'!$B:$B, INDIRECT("B"&amp;ROW()))</f>
        <v>0</v>
      </c>
      <c r="Q434" s="738" t="str" cm="1">
        <f t="array" aca="true" ref="Q4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4" s="760" t="str" cm="1">
        <f t="array" aca="true" ref="R4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4" s="733" cm="1">
        <f t="array" aca="true" ref="S434" ca="true">COUNTIFS('Unit-Level Data'!$L:$L, "&gt;=" &amp; ($X$2 - Q$5),
          'Unit-Level Data'!$L:$L, "&lt;" &amp; $X$2,
          'Unit-Level Data'!$D:$D, INDIRECT("C"&amp;ROW()),
          'Unit-Level Data'!$B:$B, INDIRECT("B"&amp;ROW()))</f>
        <v>0</v>
      </c>
      <c r="T434" s="738" t="str" cm="1">
        <f t="array" aca="true" ref="T4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4" s="760" t="str" cm="1">
        <f t="array" aca="true" ref="U4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4" s="733" cm="1">
        <f t="array" aca="true" ref="V434" ca="true">COUNTIFS('Unit-Level Data'!$L:$L, "&gt;=" &amp; ($X$2 - T$5),
          'Unit-Level Data'!$L:$L, "&lt;" &amp; $X$2,
          'Unit-Level Data'!$D:$D, INDIRECT("C"&amp;ROW()),
          'Unit-Level Data'!$B:$B, INDIRECT("B"&amp;ROW()))</f>
        <v>0</v>
      </c>
      <c r="W434" s="738" t="str" cm="1">
        <f t="array" aca="true" ref="W4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4" s="760" t="str" cm="1">
        <f t="array" aca="true" ref="X4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4" s="733" cm="1">
        <f t="array" aca="true" ref="Y434" ca="true">COUNTIFS('Unit-Level Data'!$L:$L, "&gt;=" &amp; ($X$2 - W$5),
          'Unit-Level Data'!$L:$L, "&lt;" &amp; $X$2,
          'Unit-Level Data'!$D:$D, INDIRECT("C"&amp;ROW()),
          'Unit-Level Data'!$B:$B, INDIRECT("B"&amp;ROW()))</f>
        <v>0</v>
      </c>
      <c r="Z434" s="761"/>
      <c r="AA434" s="735" cm="1">
        <f t="array" aca="true" ref="AA434" ca="true">IFERROR(AVERAGEIFS(
  unit_details[Sqft],
  unit_details[Property Name], INDIRECT("B"&amp;ROW()),
  unit_details[Floorplan Name], INDIRECT("C"&amp;ROW()),
  unit_details[Beds], INDIRECT("D"&amp;ROW()),
  unit_details[Detected Unit Amenities], "*"&amp;$AB$3&amp;"*",
  unit_details[Leased Date], "&gt;=" &amp; ($X$2 - $AD$3)
),0)</f>
        <v>0</v>
      </c>
      <c r="AB434" s="734" cm="1">
        <f t="array" aca="true" ref="AB4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4" s="733" cm="1">
        <f t="array" aca="true" ref="AC434" ca="true">IFERROR(COUNTIFS(
  unit_details[Property Name], INDIRECT("B"&amp;ROW()),
  unit_details[Floorplan Name], INDIRECT("C"&amp;ROW()),
  unit_details[Beds], INDIRECT("D"&amp;ROW()),
  unit_details[Detected Unit Amenities], "*"&amp;$AB$3&amp;"*",
  unit_details[Leased Date], "&gt;=" &amp; ($X$2 - $AD$3)
),0)</f>
        <v>0</v>
      </c>
      <c r="AD434" s="735" cm="1">
        <f t="array" aca="true" ref="AD434" ca="true">IFERROR(AVERAGEIFS(
  unit_details[Sqft],
  unit_details[Property Name], INDIRECT("B"&amp;ROW()),
  unit_details[Floorplan Name], INDIRECT("C"&amp;ROW()),
  unit_details[Beds], INDIRECT("D"&amp;ROW()),
  unit_details[Detected Unit Amenities], "&lt;&gt;*"&amp;$AB$3&amp;"*",
  unit_details[Leased Date], "&gt;=" &amp; ($X$2 - $AD$3)
),0)</f>
        <v>0</v>
      </c>
      <c r="AE434" s="734" cm="1">
        <f t="array" aca="true" ref="AE4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4" s="733" cm="1">
        <f t="array" aca="true" ref="AF434" ca="true">IFERROR(COUNTIFS(
  unit_details[Property Name], INDIRECT("B"&amp;ROW()),
  unit_details[Floorplan Name], INDIRECT("C"&amp;ROW()),
  unit_details[Beds], INDIRECT("D"&amp;ROW()),
  unit_details[Detected Unit Amenities], "&lt;&gt;*"&amp;$AB$3&amp;"*",
  unit_details[Leased Date], "&gt;=" &amp; ($X$2 - $AD$3)
),0)</f>
        <v>0</v>
      </c>
      <c r="AG434" s="735"/>
      <c r="AH434" s="738">
        <f t="shared" ca="true" si="14"/>
        <v>0</v>
      </c>
      <c r="AI434" s="739">
        <f t="shared" ca="true" si="15"/>
        <v>0</v>
      </c>
    </row>
    <row r="435" spans="10:35">
      <c r="J435" s="345"/>
      <c r="N435" s="738" t="str" cm="1">
        <f t="array" aca="true" ref="N435" ca="true">IFERROR(IF($O$3="Chunk Rent",
AVERAGEIFS('Unit-Level Data'!$O:$O,'Unit-Level Data'!$M:$M,TRUE,
          'Unit-Level Data'!$D:$D, INDIRECT("C"&amp;ROW()),
          'Unit-Level Data'!$B:$B, INDIRECT("B"&amp;ROW())),
AVERAGEIFS('Unit-Level Data'!$P:$P,'Unit-Level Data'!$M:$M,TRUE,
          'Unit-Level Data'!$D:$D, INDIRECT("C"&amp;ROW()),
          'Unit-Level Data'!$B:$B, INDIRECT("B"&amp;ROW()))),"")</f>
      </c>
      <c r="O435" s="760" t="str" cm="1">
        <f t="array" aca="true" ref="O435" ca="true">IFERROR(IF($O$3="Chunk Rent",
AVERAGEIFS('Unit-Level Data'!$Q:$Q,'Unit-Level Data'!$M:$M,TRUE,
          'Unit-Level Data'!$D:$D, INDIRECT("C"&amp;ROW()),
          'Unit-Level Data'!$B:$B, INDIRECT("B"&amp;ROW())),
AVERAGEIFS('Unit-Level Data'!$R:$R,'Unit-Level Data'!$M:$M,TRUE,
          'Unit-Level Data'!$D:$D, INDIRECT("C"&amp;ROW()),
          'Unit-Level Data'!$B:$B, INDIRECT("B"&amp;ROW()))),"")</f>
      </c>
      <c r="P435" s="733" cm="1">
        <f t="array" aca="true" ref="P435" ca="true">COUNTIFS('Unit-Level Data'!$M:$M,TRUE,
          'Unit-Level Data'!$D:$D, INDIRECT("C"&amp;ROW()),
          'Unit-Level Data'!$B:$B, INDIRECT("B"&amp;ROW()))</f>
        <v>0</v>
      </c>
      <c r="Q435" s="738" t="str" cm="1">
        <f t="array" aca="true" ref="Q4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5" s="760" t="str" cm="1">
        <f t="array" aca="true" ref="R4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5" s="733" cm="1">
        <f t="array" aca="true" ref="S435" ca="true">COUNTIFS('Unit-Level Data'!$L:$L, "&gt;=" &amp; ($X$2 - Q$5),
          'Unit-Level Data'!$L:$L, "&lt;" &amp; $X$2,
          'Unit-Level Data'!$D:$D, INDIRECT("C"&amp;ROW()),
          'Unit-Level Data'!$B:$B, INDIRECT("B"&amp;ROW()))</f>
        <v>0</v>
      </c>
      <c r="T435" s="738" t="str" cm="1">
        <f t="array" aca="true" ref="T4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5" s="760" t="str" cm="1">
        <f t="array" aca="true" ref="U4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5" s="733" cm="1">
        <f t="array" aca="true" ref="V435" ca="true">COUNTIFS('Unit-Level Data'!$L:$L, "&gt;=" &amp; ($X$2 - T$5),
          'Unit-Level Data'!$L:$L, "&lt;" &amp; $X$2,
          'Unit-Level Data'!$D:$D, INDIRECT("C"&amp;ROW()),
          'Unit-Level Data'!$B:$B, INDIRECT("B"&amp;ROW()))</f>
        <v>0</v>
      </c>
      <c r="W435" s="738" t="str" cm="1">
        <f t="array" aca="true" ref="W4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5" s="760" t="str" cm="1">
        <f t="array" aca="true" ref="X4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5" s="733" cm="1">
        <f t="array" aca="true" ref="Y435" ca="true">COUNTIFS('Unit-Level Data'!$L:$L, "&gt;=" &amp; ($X$2 - W$5),
          'Unit-Level Data'!$L:$L, "&lt;" &amp; $X$2,
          'Unit-Level Data'!$D:$D, INDIRECT("C"&amp;ROW()),
          'Unit-Level Data'!$B:$B, INDIRECT("B"&amp;ROW()))</f>
        <v>0</v>
      </c>
      <c r="Z435" s="761"/>
      <c r="AA435" s="735" cm="1">
        <f t="array" aca="true" ref="AA435" ca="true">IFERROR(AVERAGEIFS(
  unit_details[Sqft],
  unit_details[Property Name], INDIRECT("B"&amp;ROW()),
  unit_details[Floorplan Name], INDIRECT("C"&amp;ROW()),
  unit_details[Beds], INDIRECT("D"&amp;ROW()),
  unit_details[Detected Unit Amenities], "*"&amp;$AB$3&amp;"*",
  unit_details[Leased Date], "&gt;=" &amp; ($X$2 - $AD$3)
),0)</f>
        <v>0</v>
      </c>
      <c r="AB435" s="734" cm="1">
        <f t="array" aca="true" ref="AB4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5" s="733" cm="1">
        <f t="array" aca="true" ref="AC435" ca="true">IFERROR(COUNTIFS(
  unit_details[Property Name], INDIRECT("B"&amp;ROW()),
  unit_details[Floorplan Name], INDIRECT("C"&amp;ROW()),
  unit_details[Beds], INDIRECT("D"&amp;ROW()),
  unit_details[Detected Unit Amenities], "*"&amp;$AB$3&amp;"*",
  unit_details[Leased Date], "&gt;=" &amp; ($X$2 - $AD$3)
),0)</f>
        <v>0</v>
      </c>
      <c r="AD435" s="735" cm="1">
        <f t="array" aca="true" ref="AD435" ca="true">IFERROR(AVERAGEIFS(
  unit_details[Sqft],
  unit_details[Property Name], INDIRECT("B"&amp;ROW()),
  unit_details[Floorplan Name], INDIRECT("C"&amp;ROW()),
  unit_details[Beds], INDIRECT("D"&amp;ROW()),
  unit_details[Detected Unit Amenities], "&lt;&gt;*"&amp;$AB$3&amp;"*",
  unit_details[Leased Date], "&gt;=" &amp; ($X$2 - $AD$3)
),0)</f>
        <v>0</v>
      </c>
      <c r="AE435" s="734" cm="1">
        <f t="array" aca="true" ref="AE4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5" s="733" cm="1">
        <f t="array" aca="true" ref="AF435" ca="true">IFERROR(COUNTIFS(
  unit_details[Property Name], INDIRECT("B"&amp;ROW()),
  unit_details[Floorplan Name], INDIRECT("C"&amp;ROW()),
  unit_details[Beds], INDIRECT("D"&amp;ROW()),
  unit_details[Detected Unit Amenities], "&lt;&gt;*"&amp;$AB$3&amp;"*",
  unit_details[Leased Date], "&gt;=" &amp; ($X$2 - $AD$3)
),0)</f>
        <v>0</v>
      </c>
      <c r="AG435" s="735"/>
      <c r="AH435" s="738">
        <f t="shared" ca="true" si="14"/>
        <v>0</v>
      </c>
      <c r="AI435" s="739">
        <f t="shared" ca="true" si="15"/>
        <v>0</v>
      </c>
    </row>
    <row r="436" spans="10:35">
      <c r="J436" s="345"/>
      <c r="N436" s="738" t="str" cm="1">
        <f t="array" aca="true" ref="N436" ca="true">IFERROR(IF($O$3="Chunk Rent",
AVERAGEIFS('Unit-Level Data'!$O:$O,'Unit-Level Data'!$M:$M,TRUE,
          'Unit-Level Data'!$D:$D, INDIRECT("C"&amp;ROW()),
          'Unit-Level Data'!$B:$B, INDIRECT("B"&amp;ROW())),
AVERAGEIFS('Unit-Level Data'!$P:$P,'Unit-Level Data'!$M:$M,TRUE,
          'Unit-Level Data'!$D:$D, INDIRECT("C"&amp;ROW()),
          'Unit-Level Data'!$B:$B, INDIRECT("B"&amp;ROW()))),"")</f>
      </c>
      <c r="O436" s="760" t="str" cm="1">
        <f t="array" aca="true" ref="O436" ca="true">IFERROR(IF($O$3="Chunk Rent",
AVERAGEIFS('Unit-Level Data'!$Q:$Q,'Unit-Level Data'!$M:$M,TRUE,
          'Unit-Level Data'!$D:$D, INDIRECT("C"&amp;ROW()),
          'Unit-Level Data'!$B:$B, INDIRECT("B"&amp;ROW())),
AVERAGEIFS('Unit-Level Data'!$R:$R,'Unit-Level Data'!$M:$M,TRUE,
          'Unit-Level Data'!$D:$D, INDIRECT("C"&amp;ROW()),
          'Unit-Level Data'!$B:$B, INDIRECT("B"&amp;ROW()))),"")</f>
      </c>
      <c r="P436" s="733" cm="1">
        <f t="array" aca="true" ref="P436" ca="true">COUNTIFS('Unit-Level Data'!$M:$M,TRUE,
          'Unit-Level Data'!$D:$D, INDIRECT("C"&amp;ROW()),
          'Unit-Level Data'!$B:$B, INDIRECT("B"&amp;ROW()))</f>
        <v>0</v>
      </c>
      <c r="Q436" s="738" t="str" cm="1">
        <f t="array" aca="true" ref="Q4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6" s="760" t="str" cm="1">
        <f t="array" aca="true" ref="R4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6" s="733" cm="1">
        <f t="array" aca="true" ref="S436" ca="true">COUNTIFS('Unit-Level Data'!$L:$L, "&gt;=" &amp; ($X$2 - Q$5),
          'Unit-Level Data'!$L:$L, "&lt;" &amp; $X$2,
          'Unit-Level Data'!$D:$D, INDIRECT("C"&amp;ROW()),
          'Unit-Level Data'!$B:$B, INDIRECT("B"&amp;ROW()))</f>
        <v>0</v>
      </c>
      <c r="T436" s="738" t="str" cm="1">
        <f t="array" aca="true" ref="T4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6" s="760" t="str" cm="1">
        <f t="array" aca="true" ref="U4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6" s="733" cm="1">
        <f t="array" aca="true" ref="V436" ca="true">COUNTIFS('Unit-Level Data'!$L:$L, "&gt;=" &amp; ($X$2 - T$5),
          'Unit-Level Data'!$L:$L, "&lt;" &amp; $X$2,
          'Unit-Level Data'!$D:$D, INDIRECT("C"&amp;ROW()),
          'Unit-Level Data'!$B:$B, INDIRECT("B"&amp;ROW()))</f>
        <v>0</v>
      </c>
      <c r="W436" s="738" t="str" cm="1">
        <f t="array" aca="true" ref="W4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6" s="760" t="str" cm="1">
        <f t="array" aca="true" ref="X4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6" s="733" cm="1">
        <f t="array" aca="true" ref="Y436" ca="true">COUNTIFS('Unit-Level Data'!$L:$L, "&gt;=" &amp; ($X$2 - W$5),
          'Unit-Level Data'!$L:$L, "&lt;" &amp; $X$2,
          'Unit-Level Data'!$D:$D, INDIRECT("C"&amp;ROW()),
          'Unit-Level Data'!$B:$B, INDIRECT("B"&amp;ROW()))</f>
        <v>0</v>
      </c>
      <c r="Z436" s="761"/>
      <c r="AA436" s="735" cm="1">
        <f t="array" aca="true" ref="AA436" ca="true">IFERROR(AVERAGEIFS(
  unit_details[Sqft],
  unit_details[Property Name], INDIRECT("B"&amp;ROW()),
  unit_details[Floorplan Name], INDIRECT("C"&amp;ROW()),
  unit_details[Beds], INDIRECT("D"&amp;ROW()),
  unit_details[Detected Unit Amenities], "*"&amp;$AB$3&amp;"*",
  unit_details[Leased Date], "&gt;=" &amp; ($X$2 - $AD$3)
),0)</f>
        <v>0</v>
      </c>
      <c r="AB436" s="734" cm="1">
        <f t="array" aca="true" ref="AB4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6" s="733" cm="1">
        <f t="array" aca="true" ref="AC436" ca="true">IFERROR(COUNTIFS(
  unit_details[Property Name], INDIRECT("B"&amp;ROW()),
  unit_details[Floorplan Name], INDIRECT("C"&amp;ROW()),
  unit_details[Beds], INDIRECT("D"&amp;ROW()),
  unit_details[Detected Unit Amenities], "*"&amp;$AB$3&amp;"*",
  unit_details[Leased Date], "&gt;=" &amp; ($X$2 - $AD$3)
),0)</f>
        <v>0</v>
      </c>
      <c r="AD436" s="735" cm="1">
        <f t="array" aca="true" ref="AD436" ca="true">IFERROR(AVERAGEIFS(
  unit_details[Sqft],
  unit_details[Property Name], INDIRECT("B"&amp;ROW()),
  unit_details[Floorplan Name], INDIRECT("C"&amp;ROW()),
  unit_details[Beds], INDIRECT("D"&amp;ROW()),
  unit_details[Detected Unit Amenities], "&lt;&gt;*"&amp;$AB$3&amp;"*",
  unit_details[Leased Date], "&gt;=" &amp; ($X$2 - $AD$3)
),0)</f>
        <v>0</v>
      </c>
      <c r="AE436" s="734" cm="1">
        <f t="array" aca="true" ref="AE4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6" s="733" cm="1">
        <f t="array" aca="true" ref="AF436" ca="true">IFERROR(COUNTIFS(
  unit_details[Property Name], INDIRECT("B"&amp;ROW()),
  unit_details[Floorplan Name], INDIRECT("C"&amp;ROW()),
  unit_details[Beds], INDIRECT("D"&amp;ROW()),
  unit_details[Detected Unit Amenities], "&lt;&gt;*"&amp;$AB$3&amp;"*",
  unit_details[Leased Date], "&gt;=" &amp; ($X$2 - $AD$3)
),0)</f>
        <v>0</v>
      </c>
      <c r="AG436" s="735"/>
      <c r="AH436" s="738">
        <f t="shared" ca="true" si="14"/>
        <v>0</v>
      </c>
      <c r="AI436" s="739">
        <f t="shared" ca="true" si="15"/>
        <v>0</v>
      </c>
    </row>
    <row r="437" spans="10:35">
      <c r="J437" s="345"/>
      <c r="N437" s="738" t="str" cm="1">
        <f t="array" aca="true" ref="N437" ca="true">IFERROR(IF($O$3="Chunk Rent",
AVERAGEIFS('Unit-Level Data'!$O:$O,'Unit-Level Data'!$M:$M,TRUE,
          'Unit-Level Data'!$D:$D, INDIRECT("C"&amp;ROW()),
          'Unit-Level Data'!$B:$B, INDIRECT("B"&amp;ROW())),
AVERAGEIFS('Unit-Level Data'!$P:$P,'Unit-Level Data'!$M:$M,TRUE,
          'Unit-Level Data'!$D:$D, INDIRECT("C"&amp;ROW()),
          'Unit-Level Data'!$B:$B, INDIRECT("B"&amp;ROW()))),"")</f>
      </c>
      <c r="O437" s="760" t="str" cm="1">
        <f t="array" aca="true" ref="O437" ca="true">IFERROR(IF($O$3="Chunk Rent",
AVERAGEIFS('Unit-Level Data'!$Q:$Q,'Unit-Level Data'!$M:$M,TRUE,
          'Unit-Level Data'!$D:$D, INDIRECT("C"&amp;ROW()),
          'Unit-Level Data'!$B:$B, INDIRECT("B"&amp;ROW())),
AVERAGEIFS('Unit-Level Data'!$R:$R,'Unit-Level Data'!$M:$M,TRUE,
          'Unit-Level Data'!$D:$D, INDIRECT("C"&amp;ROW()),
          'Unit-Level Data'!$B:$B, INDIRECT("B"&amp;ROW()))),"")</f>
      </c>
      <c r="P437" s="733" cm="1">
        <f t="array" aca="true" ref="P437" ca="true">COUNTIFS('Unit-Level Data'!$M:$M,TRUE,
          'Unit-Level Data'!$D:$D, INDIRECT("C"&amp;ROW()),
          'Unit-Level Data'!$B:$B, INDIRECT("B"&amp;ROW()))</f>
        <v>0</v>
      </c>
      <c r="Q437" s="738" t="str" cm="1">
        <f t="array" aca="true" ref="Q4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7" s="760" t="str" cm="1">
        <f t="array" aca="true" ref="R4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7" s="733" cm="1">
        <f t="array" aca="true" ref="S437" ca="true">COUNTIFS('Unit-Level Data'!$L:$L, "&gt;=" &amp; ($X$2 - Q$5),
          'Unit-Level Data'!$L:$L, "&lt;" &amp; $X$2,
          'Unit-Level Data'!$D:$D, INDIRECT("C"&amp;ROW()),
          'Unit-Level Data'!$B:$B, INDIRECT("B"&amp;ROW()))</f>
        <v>0</v>
      </c>
      <c r="T437" s="738" t="str" cm="1">
        <f t="array" aca="true" ref="T4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7" s="760" t="str" cm="1">
        <f t="array" aca="true" ref="U4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7" s="733" cm="1">
        <f t="array" aca="true" ref="V437" ca="true">COUNTIFS('Unit-Level Data'!$L:$L, "&gt;=" &amp; ($X$2 - T$5),
          'Unit-Level Data'!$L:$L, "&lt;" &amp; $X$2,
          'Unit-Level Data'!$D:$D, INDIRECT("C"&amp;ROW()),
          'Unit-Level Data'!$B:$B, INDIRECT("B"&amp;ROW()))</f>
        <v>0</v>
      </c>
      <c r="W437" s="738" t="str" cm="1">
        <f t="array" aca="true" ref="W4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7" s="760" t="str" cm="1">
        <f t="array" aca="true" ref="X4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7" s="733" cm="1">
        <f t="array" aca="true" ref="Y437" ca="true">COUNTIFS('Unit-Level Data'!$L:$L, "&gt;=" &amp; ($X$2 - W$5),
          'Unit-Level Data'!$L:$L, "&lt;" &amp; $X$2,
          'Unit-Level Data'!$D:$D, INDIRECT("C"&amp;ROW()),
          'Unit-Level Data'!$B:$B, INDIRECT("B"&amp;ROW()))</f>
        <v>0</v>
      </c>
      <c r="Z437" s="761"/>
      <c r="AA437" s="735" cm="1">
        <f t="array" aca="true" ref="AA437" ca="true">IFERROR(AVERAGEIFS(
  unit_details[Sqft],
  unit_details[Property Name], INDIRECT("B"&amp;ROW()),
  unit_details[Floorplan Name], INDIRECT("C"&amp;ROW()),
  unit_details[Beds], INDIRECT("D"&amp;ROW()),
  unit_details[Detected Unit Amenities], "*"&amp;$AB$3&amp;"*",
  unit_details[Leased Date], "&gt;=" &amp; ($X$2 - $AD$3)
),0)</f>
        <v>0</v>
      </c>
      <c r="AB437" s="734" cm="1">
        <f t="array" aca="true" ref="AB4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7" s="733" cm="1">
        <f t="array" aca="true" ref="AC437" ca="true">IFERROR(COUNTIFS(
  unit_details[Property Name], INDIRECT("B"&amp;ROW()),
  unit_details[Floorplan Name], INDIRECT("C"&amp;ROW()),
  unit_details[Beds], INDIRECT("D"&amp;ROW()),
  unit_details[Detected Unit Amenities], "*"&amp;$AB$3&amp;"*",
  unit_details[Leased Date], "&gt;=" &amp; ($X$2 - $AD$3)
),0)</f>
        <v>0</v>
      </c>
      <c r="AD437" s="735" cm="1">
        <f t="array" aca="true" ref="AD437" ca="true">IFERROR(AVERAGEIFS(
  unit_details[Sqft],
  unit_details[Property Name], INDIRECT("B"&amp;ROW()),
  unit_details[Floorplan Name], INDIRECT("C"&amp;ROW()),
  unit_details[Beds], INDIRECT("D"&amp;ROW()),
  unit_details[Detected Unit Amenities], "&lt;&gt;*"&amp;$AB$3&amp;"*",
  unit_details[Leased Date], "&gt;=" &amp; ($X$2 - $AD$3)
),0)</f>
        <v>0</v>
      </c>
      <c r="AE437" s="734" cm="1">
        <f t="array" aca="true" ref="AE4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7" s="733" cm="1">
        <f t="array" aca="true" ref="AF437" ca="true">IFERROR(COUNTIFS(
  unit_details[Property Name], INDIRECT("B"&amp;ROW()),
  unit_details[Floorplan Name], INDIRECT("C"&amp;ROW()),
  unit_details[Beds], INDIRECT("D"&amp;ROW()),
  unit_details[Detected Unit Amenities], "&lt;&gt;*"&amp;$AB$3&amp;"*",
  unit_details[Leased Date], "&gt;=" &amp; ($X$2 - $AD$3)
),0)</f>
        <v>0</v>
      </c>
      <c r="AG437" s="735"/>
      <c r="AH437" s="738">
        <f t="shared" ca="true" si="14"/>
        <v>0</v>
      </c>
      <c r="AI437" s="739">
        <f t="shared" ca="true" si="15"/>
        <v>0</v>
      </c>
    </row>
    <row r="438" spans="10:35">
      <c r="J438" s="345"/>
      <c r="N438" s="738" t="str" cm="1">
        <f t="array" aca="true" ref="N438" ca="true">IFERROR(IF($O$3="Chunk Rent",
AVERAGEIFS('Unit-Level Data'!$O:$O,'Unit-Level Data'!$M:$M,TRUE,
          'Unit-Level Data'!$D:$D, INDIRECT("C"&amp;ROW()),
          'Unit-Level Data'!$B:$B, INDIRECT("B"&amp;ROW())),
AVERAGEIFS('Unit-Level Data'!$P:$P,'Unit-Level Data'!$M:$M,TRUE,
          'Unit-Level Data'!$D:$D, INDIRECT("C"&amp;ROW()),
          'Unit-Level Data'!$B:$B, INDIRECT("B"&amp;ROW()))),"")</f>
      </c>
      <c r="O438" s="760" t="str" cm="1">
        <f t="array" aca="true" ref="O438" ca="true">IFERROR(IF($O$3="Chunk Rent",
AVERAGEIFS('Unit-Level Data'!$Q:$Q,'Unit-Level Data'!$M:$M,TRUE,
          'Unit-Level Data'!$D:$D, INDIRECT("C"&amp;ROW()),
          'Unit-Level Data'!$B:$B, INDIRECT("B"&amp;ROW())),
AVERAGEIFS('Unit-Level Data'!$R:$R,'Unit-Level Data'!$M:$M,TRUE,
          'Unit-Level Data'!$D:$D, INDIRECT("C"&amp;ROW()),
          'Unit-Level Data'!$B:$B, INDIRECT("B"&amp;ROW()))),"")</f>
      </c>
      <c r="P438" s="733" cm="1">
        <f t="array" aca="true" ref="P438" ca="true">COUNTIFS('Unit-Level Data'!$M:$M,TRUE,
          'Unit-Level Data'!$D:$D, INDIRECT("C"&amp;ROW()),
          'Unit-Level Data'!$B:$B, INDIRECT("B"&amp;ROW()))</f>
        <v>0</v>
      </c>
      <c r="Q438" s="738" t="str" cm="1">
        <f t="array" aca="true" ref="Q4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8" s="760" t="str" cm="1">
        <f t="array" aca="true" ref="R4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8" s="733" cm="1">
        <f t="array" aca="true" ref="S438" ca="true">COUNTIFS('Unit-Level Data'!$L:$L, "&gt;=" &amp; ($X$2 - Q$5),
          'Unit-Level Data'!$L:$L, "&lt;" &amp; $X$2,
          'Unit-Level Data'!$D:$D, INDIRECT("C"&amp;ROW()),
          'Unit-Level Data'!$B:$B, INDIRECT("B"&amp;ROW()))</f>
        <v>0</v>
      </c>
      <c r="T438" s="738" t="str" cm="1">
        <f t="array" aca="true" ref="T4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8" s="760" t="str" cm="1">
        <f t="array" aca="true" ref="U4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8" s="733" cm="1">
        <f t="array" aca="true" ref="V438" ca="true">COUNTIFS('Unit-Level Data'!$L:$L, "&gt;=" &amp; ($X$2 - T$5),
          'Unit-Level Data'!$L:$L, "&lt;" &amp; $X$2,
          'Unit-Level Data'!$D:$D, INDIRECT("C"&amp;ROW()),
          'Unit-Level Data'!$B:$B, INDIRECT("B"&amp;ROW()))</f>
        <v>0</v>
      </c>
      <c r="W438" s="738" t="str" cm="1">
        <f t="array" aca="true" ref="W4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8" s="760" t="str" cm="1">
        <f t="array" aca="true" ref="X4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8" s="733" cm="1">
        <f t="array" aca="true" ref="Y438" ca="true">COUNTIFS('Unit-Level Data'!$L:$L, "&gt;=" &amp; ($X$2 - W$5),
          'Unit-Level Data'!$L:$L, "&lt;" &amp; $X$2,
          'Unit-Level Data'!$D:$D, INDIRECT("C"&amp;ROW()),
          'Unit-Level Data'!$B:$B, INDIRECT("B"&amp;ROW()))</f>
        <v>0</v>
      </c>
      <c r="Z438" s="761"/>
      <c r="AA438" s="735" cm="1">
        <f t="array" aca="true" ref="AA438" ca="true">IFERROR(AVERAGEIFS(
  unit_details[Sqft],
  unit_details[Property Name], INDIRECT("B"&amp;ROW()),
  unit_details[Floorplan Name], INDIRECT("C"&amp;ROW()),
  unit_details[Beds], INDIRECT("D"&amp;ROW()),
  unit_details[Detected Unit Amenities], "*"&amp;$AB$3&amp;"*",
  unit_details[Leased Date], "&gt;=" &amp; ($X$2 - $AD$3)
),0)</f>
        <v>0</v>
      </c>
      <c r="AB438" s="734" cm="1">
        <f t="array" aca="true" ref="AB4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8" s="733" cm="1">
        <f t="array" aca="true" ref="AC438" ca="true">IFERROR(COUNTIFS(
  unit_details[Property Name], INDIRECT("B"&amp;ROW()),
  unit_details[Floorplan Name], INDIRECT("C"&amp;ROW()),
  unit_details[Beds], INDIRECT("D"&amp;ROW()),
  unit_details[Detected Unit Amenities], "*"&amp;$AB$3&amp;"*",
  unit_details[Leased Date], "&gt;=" &amp; ($X$2 - $AD$3)
),0)</f>
        <v>0</v>
      </c>
      <c r="AD438" s="735" cm="1">
        <f t="array" aca="true" ref="AD438" ca="true">IFERROR(AVERAGEIFS(
  unit_details[Sqft],
  unit_details[Property Name], INDIRECT("B"&amp;ROW()),
  unit_details[Floorplan Name], INDIRECT("C"&amp;ROW()),
  unit_details[Beds], INDIRECT("D"&amp;ROW()),
  unit_details[Detected Unit Amenities], "&lt;&gt;*"&amp;$AB$3&amp;"*",
  unit_details[Leased Date], "&gt;=" &amp; ($X$2 - $AD$3)
),0)</f>
        <v>0</v>
      </c>
      <c r="AE438" s="734" cm="1">
        <f t="array" aca="true" ref="AE4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8" s="733" cm="1">
        <f t="array" aca="true" ref="AF438" ca="true">IFERROR(COUNTIFS(
  unit_details[Property Name], INDIRECT("B"&amp;ROW()),
  unit_details[Floorplan Name], INDIRECT("C"&amp;ROW()),
  unit_details[Beds], INDIRECT("D"&amp;ROW()),
  unit_details[Detected Unit Amenities], "&lt;&gt;*"&amp;$AB$3&amp;"*",
  unit_details[Leased Date], "&gt;=" &amp; ($X$2 - $AD$3)
),0)</f>
        <v>0</v>
      </c>
      <c r="AG438" s="735"/>
      <c r="AH438" s="738">
        <f t="shared" ca="true" si="14"/>
        <v>0</v>
      </c>
      <c r="AI438" s="739">
        <f t="shared" ca="true" si="15"/>
        <v>0</v>
      </c>
    </row>
    <row r="439" spans="10:35">
      <c r="J439" s="345"/>
      <c r="N439" s="738" t="str" cm="1">
        <f t="array" aca="true" ref="N439" ca="true">IFERROR(IF($O$3="Chunk Rent",
AVERAGEIFS('Unit-Level Data'!$O:$O,'Unit-Level Data'!$M:$M,TRUE,
          'Unit-Level Data'!$D:$D, INDIRECT("C"&amp;ROW()),
          'Unit-Level Data'!$B:$B, INDIRECT("B"&amp;ROW())),
AVERAGEIFS('Unit-Level Data'!$P:$P,'Unit-Level Data'!$M:$M,TRUE,
          'Unit-Level Data'!$D:$D, INDIRECT("C"&amp;ROW()),
          'Unit-Level Data'!$B:$B, INDIRECT("B"&amp;ROW()))),"")</f>
      </c>
      <c r="O439" s="760" t="str" cm="1">
        <f t="array" aca="true" ref="O439" ca="true">IFERROR(IF($O$3="Chunk Rent",
AVERAGEIFS('Unit-Level Data'!$Q:$Q,'Unit-Level Data'!$M:$M,TRUE,
          'Unit-Level Data'!$D:$D, INDIRECT("C"&amp;ROW()),
          'Unit-Level Data'!$B:$B, INDIRECT("B"&amp;ROW())),
AVERAGEIFS('Unit-Level Data'!$R:$R,'Unit-Level Data'!$M:$M,TRUE,
          'Unit-Level Data'!$D:$D, INDIRECT("C"&amp;ROW()),
          'Unit-Level Data'!$B:$B, INDIRECT("B"&amp;ROW()))),"")</f>
      </c>
      <c r="P439" s="733" cm="1">
        <f t="array" aca="true" ref="P439" ca="true">COUNTIFS('Unit-Level Data'!$M:$M,TRUE,
          'Unit-Level Data'!$D:$D, INDIRECT("C"&amp;ROW()),
          'Unit-Level Data'!$B:$B, INDIRECT("B"&amp;ROW()))</f>
        <v>0</v>
      </c>
      <c r="Q439" s="738" t="str" cm="1">
        <f t="array" aca="true" ref="Q4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9" s="760" t="str" cm="1">
        <f t="array" aca="true" ref="R4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9" s="733" cm="1">
        <f t="array" aca="true" ref="S439" ca="true">COUNTIFS('Unit-Level Data'!$L:$L, "&gt;=" &amp; ($X$2 - Q$5),
          'Unit-Level Data'!$L:$L, "&lt;" &amp; $X$2,
          'Unit-Level Data'!$D:$D, INDIRECT("C"&amp;ROW()),
          'Unit-Level Data'!$B:$B, INDIRECT("B"&amp;ROW()))</f>
        <v>0</v>
      </c>
      <c r="T439" s="738" t="str" cm="1">
        <f t="array" aca="true" ref="T4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9" s="760" t="str" cm="1">
        <f t="array" aca="true" ref="U4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9" s="733" cm="1">
        <f t="array" aca="true" ref="V439" ca="true">COUNTIFS('Unit-Level Data'!$L:$L, "&gt;=" &amp; ($X$2 - T$5),
          'Unit-Level Data'!$L:$L, "&lt;" &amp; $X$2,
          'Unit-Level Data'!$D:$D, INDIRECT("C"&amp;ROW()),
          'Unit-Level Data'!$B:$B, INDIRECT("B"&amp;ROW()))</f>
        <v>0</v>
      </c>
      <c r="W439" s="738" t="str" cm="1">
        <f t="array" aca="true" ref="W4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9" s="760" t="str" cm="1">
        <f t="array" aca="true" ref="X4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9" s="733" cm="1">
        <f t="array" aca="true" ref="Y439" ca="true">COUNTIFS('Unit-Level Data'!$L:$L, "&gt;=" &amp; ($X$2 - W$5),
          'Unit-Level Data'!$L:$L, "&lt;" &amp; $X$2,
          'Unit-Level Data'!$D:$D, INDIRECT("C"&amp;ROW()),
          'Unit-Level Data'!$B:$B, INDIRECT("B"&amp;ROW()))</f>
        <v>0</v>
      </c>
      <c r="Z439" s="761"/>
      <c r="AA439" s="735" cm="1">
        <f t="array" aca="true" ref="AA439" ca="true">IFERROR(AVERAGEIFS(
  unit_details[Sqft],
  unit_details[Property Name], INDIRECT("B"&amp;ROW()),
  unit_details[Floorplan Name], INDIRECT("C"&amp;ROW()),
  unit_details[Beds], INDIRECT("D"&amp;ROW()),
  unit_details[Detected Unit Amenities], "*"&amp;$AB$3&amp;"*",
  unit_details[Leased Date], "&gt;=" &amp; ($X$2 - $AD$3)
),0)</f>
        <v>0</v>
      </c>
      <c r="AB439" s="734" cm="1">
        <f t="array" aca="true" ref="AB4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9" s="733" cm="1">
        <f t="array" aca="true" ref="AC439" ca="true">IFERROR(COUNTIFS(
  unit_details[Property Name], INDIRECT("B"&amp;ROW()),
  unit_details[Floorplan Name], INDIRECT("C"&amp;ROW()),
  unit_details[Beds], INDIRECT("D"&amp;ROW()),
  unit_details[Detected Unit Amenities], "*"&amp;$AB$3&amp;"*",
  unit_details[Leased Date], "&gt;=" &amp; ($X$2 - $AD$3)
),0)</f>
        <v>0</v>
      </c>
      <c r="AD439" s="735" cm="1">
        <f t="array" aca="true" ref="AD439" ca="true">IFERROR(AVERAGEIFS(
  unit_details[Sqft],
  unit_details[Property Name], INDIRECT("B"&amp;ROW()),
  unit_details[Floorplan Name], INDIRECT("C"&amp;ROW()),
  unit_details[Beds], INDIRECT("D"&amp;ROW()),
  unit_details[Detected Unit Amenities], "&lt;&gt;*"&amp;$AB$3&amp;"*",
  unit_details[Leased Date], "&gt;=" &amp; ($X$2 - $AD$3)
),0)</f>
        <v>0</v>
      </c>
      <c r="AE439" s="734" cm="1">
        <f t="array" aca="true" ref="AE4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9" s="733" cm="1">
        <f t="array" aca="true" ref="AF439" ca="true">IFERROR(COUNTIFS(
  unit_details[Property Name], INDIRECT("B"&amp;ROW()),
  unit_details[Floorplan Name], INDIRECT("C"&amp;ROW()),
  unit_details[Beds], INDIRECT("D"&amp;ROW()),
  unit_details[Detected Unit Amenities], "&lt;&gt;*"&amp;$AB$3&amp;"*",
  unit_details[Leased Date], "&gt;=" &amp; ($X$2 - $AD$3)
),0)</f>
        <v>0</v>
      </c>
      <c r="AG439" s="735"/>
      <c r="AH439" s="738">
        <f t="shared" ca="true" si="14"/>
        <v>0</v>
      </c>
      <c r="AI439" s="739">
        <f t="shared" ca="true" si="15"/>
        <v>0</v>
      </c>
    </row>
    <row r="440" spans="10:35">
      <c r="J440" s="345"/>
      <c r="N440" s="738" t="str" cm="1">
        <f t="array" aca="true" ref="N440" ca="true">IFERROR(IF($O$3="Chunk Rent",
AVERAGEIFS('Unit-Level Data'!$O:$O,'Unit-Level Data'!$M:$M,TRUE,
          'Unit-Level Data'!$D:$D, INDIRECT("C"&amp;ROW()),
          'Unit-Level Data'!$B:$B, INDIRECT("B"&amp;ROW())),
AVERAGEIFS('Unit-Level Data'!$P:$P,'Unit-Level Data'!$M:$M,TRUE,
          'Unit-Level Data'!$D:$D, INDIRECT("C"&amp;ROW()),
          'Unit-Level Data'!$B:$B, INDIRECT("B"&amp;ROW()))),"")</f>
      </c>
      <c r="O440" s="760" t="str" cm="1">
        <f t="array" aca="true" ref="O440" ca="true">IFERROR(IF($O$3="Chunk Rent",
AVERAGEIFS('Unit-Level Data'!$Q:$Q,'Unit-Level Data'!$M:$M,TRUE,
          'Unit-Level Data'!$D:$D, INDIRECT("C"&amp;ROW()),
          'Unit-Level Data'!$B:$B, INDIRECT("B"&amp;ROW())),
AVERAGEIFS('Unit-Level Data'!$R:$R,'Unit-Level Data'!$M:$M,TRUE,
          'Unit-Level Data'!$D:$D, INDIRECT("C"&amp;ROW()),
          'Unit-Level Data'!$B:$B, INDIRECT("B"&amp;ROW()))),"")</f>
      </c>
      <c r="P440" s="733" cm="1">
        <f t="array" aca="true" ref="P440" ca="true">COUNTIFS('Unit-Level Data'!$M:$M,TRUE,
          'Unit-Level Data'!$D:$D, INDIRECT("C"&amp;ROW()),
          'Unit-Level Data'!$B:$B, INDIRECT("B"&amp;ROW()))</f>
        <v>0</v>
      </c>
      <c r="Q440" s="738" t="str" cm="1">
        <f t="array" aca="true" ref="Q4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0" s="760" t="str" cm="1">
        <f t="array" aca="true" ref="R4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0" s="733" cm="1">
        <f t="array" aca="true" ref="S440" ca="true">COUNTIFS('Unit-Level Data'!$L:$L, "&gt;=" &amp; ($X$2 - Q$5),
          'Unit-Level Data'!$L:$L, "&lt;" &amp; $X$2,
          'Unit-Level Data'!$D:$D, INDIRECT("C"&amp;ROW()),
          'Unit-Level Data'!$B:$B, INDIRECT("B"&amp;ROW()))</f>
        <v>0</v>
      </c>
      <c r="T440" s="738" t="str" cm="1">
        <f t="array" aca="true" ref="T4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0" s="760" t="str" cm="1">
        <f t="array" aca="true" ref="U4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0" s="733" cm="1">
        <f t="array" aca="true" ref="V440" ca="true">COUNTIFS('Unit-Level Data'!$L:$L, "&gt;=" &amp; ($X$2 - T$5),
          'Unit-Level Data'!$L:$L, "&lt;" &amp; $X$2,
          'Unit-Level Data'!$D:$D, INDIRECT("C"&amp;ROW()),
          'Unit-Level Data'!$B:$B, INDIRECT("B"&amp;ROW()))</f>
        <v>0</v>
      </c>
      <c r="W440" s="738" t="str" cm="1">
        <f t="array" aca="true" ref="W4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0" s="760" t="str" cm="1">
        <f t="array" aca="true" ref="X4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0" s="733" cm="1">
        <f t="array" aca="true" ref="Y440" ca="true">COUNTIFS('Unit-Level Data'!$L:$L, "&gt;=" &amp; ($X$2 - W$5),
          'Unit-Level Data'!$L:$L, "&lt;" &amp; $X$2,
          'Unit-Level Data'!$D:$D, INDIRECT("C"&amp;ROW()),
          'Unit-Level Data'!$B:$B, INDIRECT("B"&amp;ROW()))</f>
        <v>0</v>
      </c>
      <c r="Z440" s="761"/>
      <c r="AA440" s="735" cm="1">
        <f t="array" aca="true" ref="AA440" ca="true">IFERROR(AVERAGEIFS(
  unit_details[Sqft],
  unit_details[Property Name], INDIRECT("B"&amp;ROW()),
  unit_details[Floorplan Name], INDIRECT("C"&amp;ROW()),
  unit_details[Beds], INDIRECT("D"&amp;ROW()),
  unit_details[Detected Unit Amenities], "*"&amp;$AB$3&amp;"*",
  unit_details[Leased Date], "&gt;=" &amp; ($X$2 - $AD$3)
),0)</f>
        <v>0</v>
      </c>
      <c r="AB440" s="734" cm="1">
        <f t="array" aca="true" ref="AB4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0" s="733" cm="1">
        <f t="array" aca="true" ref="AC440" ca="true">IFERROR(COUNTIFS(
  unit_details[Property Name], INDIRECT("B"&amp;ROW()),
  unit_details[Floorplan Name], INDIRECT("C"&amp;ROW()),
  unit_details[Beds], INDIRECT("D"&amp;ROW()),
  unit_details[Detected Unit Amenities], "*"&amp;$AB$3&amp;"*",
  unit_details[Leased Date], "&gt;=" &amp; ($X$2 - $AD$3)
),0)</f>
        <v>0</v>
      </c>
      <c r="AD440" s="735" cm="1">
        <f t="array" aca="true" ref="AD440" ca="true">IFERROR(AVERAGEIFS(
  unit_details[Sqft],
  unit_details[Property Name], INDIRECT("B"&amp;ROW()),
  unit_details[Floorplan Name], INDIRECT("C"&amp;ROW()),
  unit_details[Beds], INDIRECT("D"&amp;ROW()),
  unit_details[Detected Unit Amenities], "&lt;&gt;*"&amp;$AB$3&amp;"*",
  unit_details[Leased Date], "&gt;=" &amp; ($X$2 - $AD$3)
),0)</f>
        <v>0</v>
      </c>
      <c r="AE440" s="734" cm="1">
        <f t="array" aca="true" ref="AE4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0" s="733" cm="1">
        <f t="array" aca="true" ref="AF440" ca="true">IFERROR(COUNTIFS(
  unit_details[Property Name], INDIRECT("B"&amp;ROW()),
  unit_details[Floorplan Name], INDIRECT("C"&amp;ROW()),
  unit_details[Beds], INDIRECT("D"&amp;ROW()),
  unit_details[Detected Unit Amenities], "&lt;&gt;*"&amp;$AB$3&amp;"*",
  unit_details[Leased Date], "&gt;=" &amp; ($X$2 - $AD$3)
),0)</f>
        <v>0</v>
      </c>
      <c r="AG440" s="735"/>
      <c r="AH440" s="738">
        <f t="shared" ca="true" si="14"/>
        <v>0</v>
      </c>
      <c r="AI440" s="739">
        <f t="shared" ca="true" si="15"/>
        <v>0</v>
      </c>
    </row>
    <row r="441" spans="10:35">
      <c r="J441" s="345"/>
      <c r="N441" s="738" t="str" cm="1">
        <f t="array" aca="true" ref="N441" ca="true">IFERROR(IF($O$3="Chunk Rent",
AVERAGEIFS('Unit-Level Data'!$O:$O,'Unit-Level Data'!$M:$M,TRUE,
          'Unit-Level Data'!$D:$D, INDIRECT("C"&amp;ROW()),
          'Unit-Level Data'!$B:$B, INDIRECT("B"&amp;ROW())),
AVERAGEIFS('Unit-Level Data'!$P:$P,'Unit-Level Data'!$M:$M,TRUE,
          'Unit-Level Data'!$D:$D, INDIRECT("C"&amp;ROW()),
          'Unit-Level Data'!$B:$B, INDIRECT("B"&amp;ROW()))),"")</f>
      </c>
      <c r="O441" s="760" t="str" cm="1">
        <f t="array" aca="true" ref="O441" ca="true">IFERROR(IF($O$3="Chunk Rent",
AVERAGEIFS('Unit-Level Data'!$Q:$Q,'Unit-Level Data'!$M:$M,TRUE,
          'Unit-Level Data'!$D:$D, INDIRECT("C"&amp;ROW()),
          'Unit-Level Data'!$B:$B, INDIRECT("B"&amp;ROW())),
AVERAGEIFS('Unit-Level Data'!$R:$R,'Unit-Level Data'!$M:$M,TRUE,
          'Unit-Level Data'!$D:$D, INDIRECT("C"&amp;ROW()),
          'Unit-Level Data'!$B:$B, INDIRECT("B"&amp;ROW()))),"")</f>
      </c>
      <c r="P441" s="733" cm="1">
        <f t="array" aca="true" ref="P441" ca="true">COUNTIFS('Unit-Level Data'!$M:$M,TRUE,
          'Unit-Level Data'!$D:$D, INDIRECT("C"&amp;ROW()),
          'Unit-Level Data'!$B:$B, INDIRECT("B"&amp;ROW()))</f>
        <v>0</v>
      </c>
      <c r="Q441" s="738" t="str" cm="1">
        <f t="array" aca="true" ref="Q4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1" s="760" t="str" cm="1">
        <f t="array" aca="true" ref="R4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1" s="733" cm="1">
        <f t="array" aca="true" ref="S441" ca="true">COUNTIFS('Unit-Level Data'!$L:$L, "&gt;=" &amp; ($X$2 - Q$5),
          'Unit-Level Data'!$L:$L, "&lt;" &amp; $X$2,
          'Unit-Level Data'!$D:$D, INDIRECT("C"&amp;ROW()),
          'Unit-Level Data'!$B:$B, INDIRECT("B"&amp;ROW()))</f>
        <v>0</v>
      </c>
      <c r="T441" s="738" t="str" cm="1">
        <f t="array" aca="true" ref="T4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1" s="760" t="str" cm="1">
        <f t="array" aca="true" ref="U4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1" s="733" cm="1">
        <f t="array" aca="true" ref="V441" ca="true">COUNTIFS('Unit-Level Data'!$L:$L, "&gt;=" &amp; ($X$2 - T$5),
          'Unit-Level Data'!$L:$L, "&lt;" &amp; $X$2,
          'Unit-Level Data'!$D:$D, INDIRECT("C"&amp;ROW()),
          'Unit-Level Data'!$B:$B, INDIRECT("B"&amp;ROW()))</f>
        <v>0</v>
      </c>
      <c r="W441" s="738" t="str" cm="1">
        <f t="array" aca="true" ref="W4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1" s="760" t="str" cm="1">
        <f t="array" aca="true" ref="X4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1" s="733" cm="1">
        <f t="array" aca="true" ref="Y441" ca="true">COUNTIFS('Unit-Level Data'!$L:$L, "&gt;=" &amp; ($X$2 - W$5),
          'Unit-Level Data'!$L:$L, "&lt;" &amp; $X$2,
          'Unit-Level Data'!$D:$D, INDIRECT("C"&amp;ROW()),
          'Unit-Level Data'!$B:$B, INDIRECT("B"&amp;ROW()))</f>
        <v>0</v>
      </c>
      <c r="Z441" s="761"/>
      <c r="AA441" s="735" cm="1">
        <f t="array" aca="true" ref="AA441" ca="true">IFERROR(AVERAGEIFS(
  unit_details[Sqft],
  unit_details[Property Name], INDIRECT("B"&amp;ROW()),
  unit_details[Floorplan Name], INDIRECT("C"&amp;ROW()),
  unit_details[Beds], INDIRECT("D"&amp;ROW()),
  unit_details[Detected Unit Amenities], "*"&amp;$AB$3&amp;"*",
  unit_details[Leased Date], "&gt;=" &amp; ($X$2 - $AD$3)
),0)</f>
        <v>0</v>
      </c>
      <c r="AB441" s="734" cm="1">
        <f t="array" aca="true" ref="AB4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1" s="733" cm="1">
        <f t="array" aca="true" ref="AC441" ca="true">IFERROR(COUNTIFS(
  unit_details[Property Name], INDIRECT("B"&amp;ROW()),
  unit_details[Floorplan Name], INDIRECT("C"&amp;ROW()),
  unit_details[Beds], INDIRECT("D"&amp;ROW()),
  unit_details[Detected Unit Amenities], "*"&amp;$AB$3&amp;"*",
  unit_details[Leased Date], "&gt;=" &amp; ($X$2 - $AD$3)
),0)</f>
        <v>0</v>
      </c>
      <c r="AD441" s="735" cm="1">
        <f t="array" aca="true" ref="AD441" ca="true">IFERROR(AVERAGEIFS(
  unit_details[Sqft],
  unit_details[Property Name], INDIRECT("B"&amp;ROW()),
  unit_details[Floorplan Name], INDIRECT("C"&amp;ROW()),
  unit_details[Beds], INDIRECT("D"&amp;ROW()),
  unit_details[Detected Unit Amenities], "&lt;&gt;*"&amp;$AB$3&amp;"*",
  unit_details[Leased Date], "&gt;=" &amp; ($X$2 - $AD$3)
),0)</f>
        <v>0</v>
      </c>
      <c r="AE441" s="734" cm="1">
        <f t="array" aca="true" ref="AE4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1" s="733" cm="1">
        <f t="array" aca="true" ref="AF441" ca="true">IFERROR(COUNTIFS(
  unit_details[Property Name], INDIRECT("B"&amp;ROW()),
  unit_details[Floorplan Name], INDIRECT("C"&amp;ROW()),
  unit_details[Beds], INDIRECT("D"&amp;ROW()),
  unit_details[Detected Unit Amenities], "&lt;&gt;*"&amp;$AB$3&amp;"*",
  unit_details[Leased Date], "&gt;=" &amp; ($X$2 - $AD$3)
),0)</f>
        <v>0</v>
      </c>
      <c r="AG441" s="735"/>
      <c r="AH441" s="738">
        <f t="shared" ca="true" si="14"/>
        <v>0</v>
      </c>
      <c r="AI441" s="739">
        <f t="shared" ca="true" si="15"/>
        <v>0</v>
      </c>
    </row>
    <row r="442" spans="10:35">
      <c r="J442" s="345"/>
      <c r="N442" s="738" t="str" cm="1">
        <f t="array" aca="true" ref="N442" ca="true">IFERROR(IF($O$3="Chunk Rent",
AVERAGEIFS('Unit-Level Data'!$O:$O,'Unit-Level Data'!$M:$M,TRUE,
          'Unit-Level Data'!$D:$D, INDIRECT("C"&amp;ROW()),
          'Unit-Level Data'!$B:$B, INDIRECT("B"&amp;ROW())),
AVERAGEIFS('Unit-Level Data'!$P:$P,'Unit-Level Data'!$M:$M,TRUE,
          'Unit-Level Data'!$D:$D, INDIRECT("C"&amp;ROW()),
          'Unit-Level Data'!$B:$B, INDIRECT("B"&amp;ROW()))),"")</f>
      </c>
      <c r="O442" s="760" t="str" cm="1">
        <f t="array" aca="true" ref="O442" ca="true">IFERROR(IF($O$3="Chunk Rent",
AVERAGEIFS('Unit-Level Data'!$Q:$Q,'Unit-Level Data'!$M:$M,TRUE,
          'Unit-Level Data'!$D:$D, INDIRECT("C"&amp;ROW()),
          'Unit-Level Data'!$B:$B, INDIRECT("B"&amp;ROW())),
AVERAGEIFS('Unit-Level Data'!$R:$R,'Unit-Level Data'!$M:$M,TRUE,
          'Unit-Level Data'!$D:$D, INDIRECT("C"&amp;ROW()),
          'Unit-Level Data'!$B:$B, INDIRECT("B"&amp;ROW()))),"")</f>
      </c>
      <c r="P442" s="733" cm="1">
        <f t="array" aca="true" ref="P442" ca="true">COUNTIFS('Unit-Level Data'!$M:$M,TRUE,
          'Unit-Level Data'!$D:$D, INDIRECT("C"&amp;ROW()),
          'Unit-Level Data'!$B:$B, INDIRECT("B"&amp;ROW()))</f>
        <v>0</v>
      </c>
      <c r="Q442" s="738" t="str" cm="1">
        <f t="array" aca="true" ref="Q4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2" s="760" t="str" cm="1">
        <f t="array" aca="true" ref="R4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2" s="733" cm="1">
        <f t="array" aca="true" ref="S442" ca="true">COUNTIFS('Unit-Level Data'!$L:$L, "&gt;=" &amp; ($X$2 - Q$5),
          'Unit-Level Data'!$L:$L, "&lt;" &amp; $X$2,
          'Unit-Level Data'!$D:$D, INDIRECT("C"&amp;ROW()),
          'Unit-Level Data'!$B:$B, INDIRECT("B"&amp;ROW()))</f>
        <v>0</v>
      </c>
      <c r="T442" s="738" t="str" cm="1">
        <f t="array" aca="true" ref="T4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2" s="760" t="str" cm="1">
        <f t="array" aca="true" ref="U4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2" s="733" cm="1">
        <f t="array" aca="true" ref="V442" ca="true">COUNTIFS('Unit-Level Data'!$L:$L, "&gt;=" &amp; ($X$2 - T$5),
          'Unit-Level Data'!$L:$L, "&lt;" &amp; $X$2,
          'Unit-Level Data'!$D:$D, INDIRECT("C"&amp;ROW()),
          'Unit-Level Data'!$B:$B, INDIRECT("B"&amp;ROW()))</f>
        <v>0</v>
      </c>
      <c r="W442" s="738" t="str" cm="1">
        <f t="array" aca="true" ref="W4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2" s="760" t="str" cm="1">
        <f t="array" aca="true" ref="X4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2" s="733" cm="1">
        <f t="array" aca="true" ref="Y442" ca="true">COUNTIFS('Unit-Level Data'!$L:$L, "&gt;=" &amp; ($X$2 - W$5),
          'Unit-Level Data'!$L:$L, "&lt;" &amp; $X$2,
          'Unit-Level Data'!$D:$D, INDIRECT("C"&amp;ROW()),
          'Unit-Level Data'!$B:$B, INDIRECT("B"&amp;ROW()))</f>
        <v>0</v>
      </c>
      <c r="Z442" s="761"/>
      <c r="AA442" s="735" cm="1">
        <f t="array" aca="true" ref="AA442" ca="true">IFERROR(AVERAGEIFS(
  unit_details[Sqft],
  unit_details[Property Name], INDIRECT("B"&amp;ROW()),
  unit_details[Floorplan Name], INDIRECT("C"&amp;ROW()),
  unit_details[Beds], INDIRECT("D"&amp;ROW()),
  unit_details[Detected Unit Amenities], "*"&amp;$AB$3&amp;"*",
  unit_details[Leased Date], "&gt;=" &amp; ($X$2 - $AD$3)
),0)</f>
        <v>0</v>
      </c>
      <c r="AB442" s="734" cm="1">
        <f t="array" aca="true" ref="AB4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2" s="733" cm="1">
        <f t="array" aca="true" ref="AC442" ca="true">IFERROR(COUNTIFS(
  unit_details[Property Name], INDIRECT("B"&amp;ROW()),
  unit_details[Floorplan Name], INDIRECT("C"&amp;ROW()),
  unit_details[Beds], INDIRECT("D"&amp;ROW()),
  unit_details[Detected Unit Amenities], "*"&amp;$AB$3&amp;"*",
  unit_details[Leased Date], "&gt;=" &amp; ($X$2 - $AD$3)
),0)</f>
        <v>0</v>
      </c>
      <c r="AD442" s="735" cm="1">
        <f t="array" aca="true" ref="AD442" ca="true">IFERROR(AVERAGEIFS(
  unit_details[Sqft],
  unit_details[Property Name], INDIRECT("B"&amp;ROW()),
  unit_details[Floorplan Name], INDIRECT("C"&amp;ROW()),
  unit_details[Beds], INDIRECT("D"&amp;ROW()),
  unit_details[Detected Unit Amenities], "&lt;&gt;*"&amp;$AB$3&amp;"*",
  unit_details[Leased Date], "&gt;=" &amp; ($X$2 - $AD$3)
),0)</f>
        <v>0</v>
      </c>
      <c r="AE442" s="734" cm="1">
        <f t="array" aca="true" ref="AE4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2" s="733" cm="1">
        <f t="array" aca="true" ref="AF442" ca="true">IFERROR(COUNTIFS(
  unit_details[Property Name], INDIRECT("B"&amp;ROW()),
  unit_details[Floorplan Name], INDIRECT("C"&amp;ROW()),
  unit_details[Beds], INDIRECT("D"&amp;ROW()),
  unit_details[Detected Unit Amenities], "&lt;&gt;*"&amp;$AB$3&amp;"*",
  unit_details[Leased Date], "&gt;=" &amp; ($X$2 - $AD$3)
),0)</f>
        <v>0</v>
      </c>
      <c r="AG442" s="735"/>
      <c r="AH442" s="738">
        <f t="shared" ca="true" si="14"/>
        <v>0</v>
      </c>
      <c r="AI442" s="739">
        <f t="shared" ca="true" si="15"/>
        <v>0</v>
      </c>
    </row>
    <row r="443" spans="10:35">
      <c r="J443" s="345"/>
      <c r="N443" s="738" t="str" cm="1">
        <f t="array" aca="true" ref="N443" ca="true">IFERROR(IF($O$3="Chunk Rent",
AVERAGEIFS('Unit-Level Data'!$O:$O,'Unit-Level Data'!$M:$M,TRUE,
          'Unit-Level Data'!$D:$D, INDIRECT("C"&amp;ROW()),
          'Unit-Level Data'!$B:$B, INDIRECT("B"&amp;ROW())),
AVERAGEIFS('Unit-Level Data'!$P:$P,'Unit-Level Data'!$M:$M,TRUE,
          'Unit-Level Data'!$D:$D, INDIRECT("C"&amp;ROW()),
          'Unit-Level Data'!$B:$B, INDIRECT("B"&amp;ROW()))),"")</f>
      </c>
      <c r="O443" s="760" t="str" cm="1">
        <f t="array" aca="true" ref="O443" ca="true">IFERROR(IF($O$3="Chunk Rent",
AVERAGEIFS('Unit-Level Data'!$Q:$Q,'Unit-Level Data'!$M:$M,TRUE,
          'Unit-Level Data'!$D:$D, INDIRECT("C"&amp;ROW()),
          'Unit-Level Data'!$B:$B, INDIRECT("B"&amp;ROW())),
AVERAGEIFS('Unit-Level Data'!$R:$R,'Unit-Level Data'!$M:$M,TRUE,
          'Unit-Level Data'!$D:$D, INDIRECT("C"&amp;ROW()),
          'Unit-Level Data'!$B:$B, INDIRECT("B"&amp;ROW()))),"")</f>
      </c>
      <c r="P443" s="733" cm="1">
        <f t="array" aca="true" ref="P443" ca="true">COUNTIFS('Unit-Level Data'!$M:$M,TRUE,
          'Unit-Level Data'!$D:$D, INDIRECT("C"&amp;ROW()),
          'Unit-Level Data'!$B:$B, INDIRECT("B"&amp;ROW()))</f>
        <v>0</v>
      </c>
      <c r="Q443" s="738" t="str" cm="1">
        <f t="array" aca="true" ref="Q4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3" s="760" t="str" cm="1">
        <f t="array" aca="true" ref="R4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3" s="733" cm="1">
        <f t="array" aca="true" ref="S443" ca="true">COUNTIFS('Unit-Level Data'!$L:$L, "&gt;=" &amp; ($X$2 - Q$5),
          'Unit-Level Data'!$L:$L, "&lt;" &amp; $X$2,
          'Unit-Level Data'!$D:$D, INDIRECT("C"&amp;ROW()),
          'Unit-Level Data'!$B:$B, INDIRECT("B"&amp;ROW()))</f>
        <v>0</v>
      </c>
      <c r="T443" s="738" t="str" cm="1">
        <f t="array" aca="true" ref="T4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3" s="760" t="str" cm="1">
        <f t="array" aca="true" ref="U4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3" s="733" cm="1">
        <f t="array" aca="true" ref="V443" ca="true">COUNTIFS('Unit-Level Data'!$L:$L, "&gt;=" &amp; ($X$2 - T$5),
          'Unit-Level Data'!$L:$L, "&lt;" &amp; $X$2,
          'Unit-Level Data'!$D:$D, INDIRECT("C"&amp;ROW()),
          'Unit-Level Data'!$B:$B, INDIRECT("B"&amp;ROW()))</f>
        <v>0</v>
      </c>
      <c r="W443" s="738" t="str" cm="1">
        <f t="array" aca="true" ref="W4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3" s="760" t="str" cm="1">
        <f t="array" aca="true" ref="X4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3" s="733" cm="1">
        <f t="array" aca="true" ref="Y443" ca="true">COUNTIFS('Unit-Level Data'!$L:$L, "&gt;=" &amp; ($X$2 - W$5),
          'Unit-Level Data'!$L:$L, "&lt;" &amp; $X$2,
          'Unit-Level Data'!$D:$D, INDIRECT("C"&amp;ROW()),
          'Unit-Level Data'!$B:$B, INDIRECT("B"&amp;ROW()))</f>
        <v>0</v>
      </c>
      <c r="Z443" s="761"/>
      <c r="AA443" s="735" cm="1">
        <f t="array" aca="true" ref="AA443" ca="true">IFERROR(AVERAGEIFS(
  unit_details[Sqft],
  unit_details[Property Name], INDIRECT("B"&amp;ROW()),
  unit_details[Floorplan Name], INDIRECT("C"&amp;ROW()),
  unit_details[Beds], INDIRECT("D"&amp;ROW()),
  unit_details[Detected Unit Amenities], "*"&amp;$AB$3&amp;"*",
  unit_details[Leased Date], "&gt;=" &amp; ($X$2 - $AD$3)
),0)</f>
        <v>0</v>
      </c>
      <c r="AB443" s="734" cm="1">
        <f t="array" aca="true" ref="AB4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3" s="733" cm="1">
        <f t="array" aca="true" ref="AC443" ca="true">IFERROR(COUNTIFS(
  unit_details[Property Name], INDIRECT("B"&amp;ROW()),
  unit_details[Floorplan Name], INDIRECT("C"&amp;ROW()),
  unit_details[Beds], INDIRECT("D"&amp;ROW()),
  unit_details[Detected Unit Amenities], "*"&amp;$AB$3&amp;"*",
  unit_details[Leased Date], "&gt;=" &amp; ($X$2 - $AD$3)
),0)</f>
        <v>0</v>
      </c>
      <c r="AD443" s="735" cm="1">
        <f t="array" aca="true" ref="AD443" ca="true">IFERROR(AVERAGEIFS(
  unit_details[Sqft],
  unit_details[Property Name], INDIRECT("B"&amp;ROW()),
  unit_details[Floorplan Name], INDIRECT("C"&amp;ROW()),
  unit_details[Beds], INDIRECT("D"&amp;ROW()),
  unit_details[Detected Unit Amenities], "&lt;&gt;*"&amp;$AB$3&amp;"*",
  unit_details[Leased Date], "&gt;=" &amp; ($X$2 - $AD$3)
),0)</f>
        <v>0</v>
      </c>
      <c r="AE443" s="734" cm="1">
        <f t="array" aca="true" ref="AE4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3" s="733" cm="1">
        <f t="array" aca="true" ref="AF443" ca="true">IFERROR(COUNTIFS(
  unit_details[Property Name], INDIRECT("B"&amp;ROW()),
  unit_details[Floorplan Name], INDIRECT("C"&amp;ROW()),
  unit_details[Beds], INDIRECT("D"&amp;ROW()),
  unit_details[Detected Unit Amenities], "&lt;&gt;*"&amp;$AB$3&amp;"*",
  unit_details[Leased Date], "&gt;=" &amp; ($X$2 - $AD$3)
),0)</f>
        <v>0</v>
      </c>
      <c r="AG443" s="735"/>
      <c r="AH443" s="738">
        <f t="shared" ca="true" si="14"/>
        <v>0</v>
      </c>
      <c r="AI443" s="739">
        <f t="shared" ca="true" si="15"/>
        <v>0</v>
      </c>
    </row>
    <row r="444" spans="10:35">
      <c r="J444" s="345"/>
      <c r="N444" s="738" t="str" cm="1">
        <f t="array" aca="true" ref="N444" ca="true">IFERROR(IF($O$3="Chunk Rent",
AVERAGEIFS('Unit-Level Data'!$O:$O,'Unit-Level Data'!$M:$M,TRUE,
          'Unit-Level Data'!$D:$D, INDIRECT("C"&amp;ROW()),
          'Unit-Level Data'!$B:$B, INDIRECT("B"&amp;ROW())),
AVERAGEIFS('Unit-Level Data'!$P:$P,'Unit-Level Data'!$M:$M,TRUE,
          'Unit-Level Data'!$D:$D, INDIRECT("C"&amp;ROW()),
          'Unit-Level Data'!$B:$B, INDIRECT("B"&amp;ROW()))),"")</f>
      </c>
      <c r="O444" s="760" t="str" cm="1">
        <f t="array" aca="true" ref="O444" ca="true">IFERROR(IF($O$3="Chunk Rent",
AVERAGEIFS('Unit-Level Data'!$Q:$Q,'Unit-Level Data'!$M:$M,TRUE,
          'Unit-Level Data'!$D:$D, INDIRECT("C"&amp;ROW()),
          'Unit-Level Data'!$B:$B, INDIRECT("B"&amp;ROW())),
AVERAGEIFS('Unit-Level Data'!$R:$R,'Unit-Level Data'!$M:$M,TRUE,
          'Unit-Level Data'!$D:$D, INDIRECT("C"&amp;ROW()),
          'Unit-Level Data'!$B:$B, INDIRECT("B"&amp;ROW()))),"")</f>
      </c>
      <c r="P444" s="733" cm="1">
        <f t="array" aca="true" ref="P444" ca="true">COUNTIFS('Unit-Level Data'!$M:$M,TRUE,
          'Unit-Level Data'!$D:$D, INDIRECT("C"&amp;ROW()),
          'Unit-Level Data'!$B:$B, INDIRECT("B"&amp;ROW()))</f>
        <v>0</v>
      </c>
      <c r="Q444" s="738" t="str" cm="1">
        <f t="array" aca="true" ref="Q4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4" s="760" t="str" cm="1">
        <f t="array" aca="true" ref="R4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4" s="733" cm="1">
        <f t="array" aca="true" ref="S444" ca="true">COUNTIFS('Unit-Level Data'!$L:$L, "&gt;=" &amp; ($X$2 - Q$5),
          'Unit-Level Data'!$L:$L, "&lt;" &amp; $X$2,
          'Unit-Level Data'!$D:$D, INDIRECT("C"&amp;ROW()),
          'Unit-Level Data'!$B:$B, INDIRECT("B"&amp;ROW()))</f>
        <v>0</v>
      </c>
      <c r="T444" s="738" t="str" cm="1">
        <f t="array" aca="true" ref="T4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4" s="760" t="str" cm="1">
        <f t="array" aca="true" ref="U4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4" s="733" cm="1">
        <f t="array" aca="true" ref="V444" ca="true">COUNTIFS('Unit-Level Data'!$L:$L, "&gt;=" &amp; ($X$2 - T$5),
          'Unit-Level Data'!$L:$L, "&lt;" &amp; $X$2,
          'Unit-Level Data'!$D:$D, INDIRECT("C"&amp;ROW()),
          'Unit-Level Data'!$B:$B, INDIRECT("B"&amp;ROW()))</f>
        <v>0</v>
      </c>
      <c r="W444" s="738" t="str" cm="1">
        <f t="array" aca="true" ref="W4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4" s="760" t="str" cm="1">
        <f t="array" aca="true" ref="X4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4" s="733" cm="1">
        <f t="array" aca="true" ref="Y444" ca="true">COUNTIFS('Unit-Level Data'!$L:$L, "&gt;=" &amp; ($X$2 - W$5),
          'Unit-Level Data'!$L:$L, "&lt;" &amp; $X$2,
          'Unit-Level Data'!$D:$D, INDIRECT("C"&amp;ROW()),
          'Unit-Level Data'!$B:$B, INDIRECT("B"&amp;ROW()))</f>
        <v>0</v>
      </c>
      <c r="Z444" s="761"/>
      <c r="AA444" s="735" cm="1">
        <f t="array" aca="true" ref="AA444" ca="true">IFERROR(AVERAGEIFS(
  unit_details[Sqft],
  unit_details[Property Name], INDIRECT("B"&amp;ROW()),
  unit_details[Floorplan Name], INDIRECT("C"&amp;ROW()),
  unit_details[Beds], INDIRECT("D"&amp;ROW()),
  unit_details[Detected Unit Amenities], "*"&amp;$AB$3&amp;"*",
  unit_details[Leased Date], "&gt;=" &amp; ($X$2 - $AD$3)
),0)</f>
        <v>0</v>
      </c>
      <c r="AB444" s="734" cm="1">
        <f t="array" aca="true" ref="AB4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4" s="733" cm="1">
        <f t="array" aca="true" ref="AC444" ca="true">IFERROR(COUNTIFS(
  unit_details[Property Name], INDIRECT("B"&amp;ROW()),
  unit_details[Floorplan Name], INDIRECT("C"&amp;ROW()),
  unit_details[Beds], INDIRECT("D"&amp;ROW()),
  unit_details[Detected Unit Amenities], "*"&amp;$AB$3&amp;"*",
  unit_details[Leased Date], "&gt;=" &amp; ($X$2 - $AD$3)
),0)</f>
        <v>0</v>
      </c>
      <c r="AD444" s="735" cm="1">
        <f t="array" aca="true" ref="AD444" ca="true">IFERROR(AVERAGEIFS(
  unit_details[Sqft],
  unit_details[Property Name], INDIRECT("B"&amp;ROW()),
  unit_details[Floorplan Name], INDIRECT("C"&amp;ROW()),
  unit_details[Beds], INDIRECT("D"&amp;ROW()),
  unit_details[Detected Unit Amenities], "&lt;&gt;*"&amp;$AB$3&amp;"*",
  unit_details[Leased Date], "&gt;=" &amp; ($X$2 - $AD$3)
),0)</f>
        <v>0</v>
      </c>
      <c r="AE444" s="734" cm="1">
        <f t="array" aca="true" ref="AE4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4" s="733" cm="1">
        <f t="array" aca="true" ref="AF444" ca="true">IFERROR(COUNTIFS(
  unit_details[Property Name], INDIRECT("B"&amp;ROW()),
  unit_details[Floorplan Name], INDIRECT("C"&amp;ROW()),
  unit_details[Beds], INDIRECT("D"&amp;ROW()),
  unit_details[Detected Unit Amenities], "&lt;&gt;*"&amp;$AB$3&amp;"*",
  unit_details[Leased Date], "&gt;=" &amp; ($X$2 - $AD$3)
),0)</f>
        <v>0</v>
      </c>
      <c r="AG444" s="735"/>
      <c r="AH444" s="738">
        <f t="shared" ca="true" si="14"/>
        <v>0</v>
      </c>
      <c r="AI444" s="739">
        <f t="shared" ca="true" si="15"/>
        <v>0</v>
      </c>
    </row>
    <row r="445" spans="10:35">
      <c r="J445" s="345"/>
      <c r="N445" s="738" t="str" cm="1">
        <f t="array" aca="true" ref="N445" ca="true">IFERROR(IF($O$3="Chunk Rent",
AVERAGEIFS('Unit-Level Data'!$O:$O,'Unit-Level Data'!$M:$M,TRUE,
          'Unit-Level Data'!$D:$D, INDIRECT("C"&amp;ROW()),
          'Unit-Level Data'!$B:$B, INDIRECT("B"&amp;ROW())),
AVERAGEIFS('Unit-Level Data'!$P:$P,'Unit-Level Data'!$M:$M,TRUE,
          'Unit-Level Data'!$D:$D, INDIRECT("C"&amp;ROW()),
          'Unit-Level Data'!$B:$B, INDIRECT("B"&amp;ROW()))),"")</f>
      </c>
      <c r="O445" s="760" t="str" cm="1">
        <f t="array" aca="true" ref="O445" ca="true">IFERROR(IF($O$3="Chunk Rent",
AVERAGEIFS('Unit-Level Data'!$Q:$Q,'Unit-Level Data'!$M:$M,TRUE,
          'Unit-Level Data'!$D:$D, INDIRECT("C"&amp;ROW()),
          'Unit-Level Data'!$B:$B, INDIRECT("B"&amp;ROW())),
AVERAGEIFS('Unit-Level Data'!$R:$R,'Unit-Level Data'!$M:$M,TRUE,
          'Unit-Level Data'!$D:$D, INDIRECT("C"&amp;ROW()),
          'Unit-Level Data'!$B:$B, INDIRECT("B"&amp;ROW()))),"")</f>
      </c>
      <c r="P445" s="733" cm="1">
        <f t="array" aca="true" ref="P445" ca="true">COUNTIFS('Unit-Level Data'!$M:$M,TRUE,
          'Unit-Level Data'!$D:$D, INDIRECT("C"&amp;ROW()),
          'Unit-Level Data'!$B:$B, INDIRECT("B"&amp;ROW()))</f>
        <v>0</v>
      </c>
      <c r="Q445" s="738" t="str" cm="1">
        <f t="array" aca="true" ref="Q4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5" s="760" t="str" cm="1">
        <f t="array" aca="true" ref="R4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5" s="733" cm="1">
        <f t="array" aca="true" ref="S445" ca="true">COUNTIFS('Unit-Level Data'!$L:$L, "&gt;=" &amp; ($X$2 - Q$5),
          'Unit-Level Data'!$L:$L, "&lt;" &amp; $X$2,
          'Unit-Level Data'!$D:$D, INDIRECT("C"&amp;ROW()),
          'Unit-Level Data'!$B:$B, INDIRECT("B"&amp;ROW()))</f>
        <v>0</v>
      </c>
      <c r="T445" s="738" t="str" cm="1">
        <f t="array" aca="true" ref="T4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5" s="760" t="str" cm="1">
        <f t="array" aca="true" ref="U4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5" s="733" cm="1">
        <f t="array" aca="true" ref="V445" ca="true">COUNTIFS('Unit-Level Data'!$L:$L, "&gt;=" &amp; ($X$2 - T$5),
          'Unit-Level Data'!$L:$L, "&lt;" &amp; $X$2,
          'Unit-Level Data'!$D:$D, INDIRECT("C"&amp;ROW()),
          'Unit-Level Data'!$B:$B, INDIRECT("B"&amp;ROW()))</f>
        <v>0</v>
      </c>
      <c r="W445" s="738" t="str" cm="1">
        <f t="array" aca="true" ref="W4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5" s="760" t="str" cm="1">
        <f t="array" aca="true" ref="X4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5" s="733" cm="1">
        <f t="array" aca="true" ref="Y445" ca="true">COUNTIFS('Unit-Level Data'!$L:$L, "&gt;=" &amp; ($X$2 - W$5),
          'Unit-Level Data'!$L:$L, "&lt;" &amp; $X$2,
          'Unit-Level Data'!$D:$D, INDIRECT("C"&amp;ROW()),
          'Unit-Level Data'!$B:$B, INDIRECT("B"&amp;ROW()))</f>
        <v>0</v>
      </c>
      <c r="Z445" s="761"/>
      <c r="AA445" s="735" cm="1">
        <f t="array" aca="true" ref="AA445" ca="true">IFERROR(AVERAGEIFS(
  unit_details[Sqft],
  unit_details[Property Name], INDIRECT("B"&amp;ROW()),
  unit_details[Floorplan Name], INDIRECT("C"&amp;ROW()),
  unit_details[Beds], INDIRECT("D"&amp;ROW()),
  unit_details[Detected Unit Amenities], "*"&amp;$AB$3&amp;"*",
  unit_details[Leased Date], "&gt;=" &amp; ($X$2 - $AD$3)
),0)</f>
        <v>0</v>
      </c>
      <c r="AB445" s="734" cm="1">
        <f t="array" aca="true" ref="AB4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5" s="733" cm="1">
        <f t="array" aca="true" ref="AC445" ca="true">IFERROR(COUNTIFS(
  unit_details[Property Name], INDIRECT("B"&amp;ROW()),
  unit_details[Floorplan Name], INDIRECT("C"&amp;ROW()),
  unit_details[Beds], INDIRECT("D"&amp;ROW()),
  unit_details[Detected Unit Amenities], "*"&amp;$AB$3&amp;"*",
  unit_details[Leased Date], "&gt;=" &amp; ($X$2 - $AD$3)
),0)</f>
        <v>0</v>
      </c>
      <c r="AD445" s="735" cm="1">
        <f t="array" aca="true" ref="AD445" ca="true">IFERROR(AVERAGEIFS(
  unit_details[Sqft],
  unit_details[Property Name], INDIRECT("B"&amp;ROW()),
  unit_details[Floorplan Name], INDIRECT("C"&amp;ROW()),
  unit_details[Beds], INDIRECT("D"&amp;ROW()),
  unit_details[Detected Unit Amenities], "&lt;&gt;*"&amp;$AB$3&amp;"*",
  unit_details[Leased Date], "&gt;=" &amp; ($X$2 - $AD$3)
),0)</f>
        <v>0</v>
      </c>
      <c r="AE445" s="734" cm="1">
        <f t="array" aca="true" ref="AE4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5" s="733" cm="1">
        <f t="array" aca="true" ref="AF445" ca="true">IFERROR(COUNTIFS(
  unit_details[Property Name], INDIRECT("B"&amp;ROW()),
  unit_details[Floorplan Name], INDIRECT("C"&amp;ROW()),
  unit_details[Beds], INDIRECT("D"&amp;ROW()),
  unit_details[Detected Unit Amenities], "&lt;&gt;*"&amp;$AB$3&amp;"*",
  unit_details[Leased Date], "&gt;=" &amp; ($X$2 - $AD$3)
),0)</f>
        <v>0</v>
      </c>
      <c r="AG445" s="735"/>
      <c r="AH445" s="738">
        <f t="shared" ca="true" si="14"/>
        <v>0</v>
      </c>
      <c r="AI445" s="739">
        <f t="shared" ca="true" si="15"/>
        <v>0</v>
      </c>
    </row>
    <row r="446" spans="10:35">
      <c r="J446" s="345"/>
      <c r="N446" s="738" t="str" cm="1">
        <f t="array" aca="true" ref="N446" ca="true">IFERROR(IF($O$3="Chunk Rent",
AVERAGEIFS('Unit-Level Data'!$O:$O,'Unit-Level Data'!$M:$M,TRUE,
          'Unit-Level Data'!$D:$D, INDIRECT("C"&amp;ROW()),
          'Unit-Level Data'!$B:$B, INDIRECT("B"&amp;ROW())),
AVERAGEIFS('Unit-Level Data'!$P:$P,'Unit-Level Data'!$M:$M,TRUE,
          'Unit-Level Data'!$D:$D, INDIRECT("C"&amp;ROW()),
          'Unit-Level Data'!$B:$B, INDIRECT("B"&amp;ROW()))),"")</f>
      </c>
      <c r="O446" s="760" t="str" cm="1">
        <f t="array" aca="true" ref="O446" ca="true">IFERROR(IF($O$3="Chunk Rent",
AVERAGEIFS('Unit-Level Data'!$Q:$Q,'Unit-Level Data'!$M:$M,TRUE,
          'Unit-Level Data'!$D:$D, INDIRECT("C"&amp;ROW()),
          'Unit-Level Data'!$B:$B, INDIRECT("B"&amp;ROW())),
AVERAGEIFS('Unit-Level Data'!$R:$R,'Unit-Level Data'!$M:$M,TRUE,
          'Unit-Level Data'!$D:$D, INDIRECT("C"&amp;ROW()),
          'Unit-Level Data'!$B:$B, INDIRECT("B"&amp;ROW()))),"")</f>
      </c>
      <c r="P446" s="733" cm="1">
        <f t="array" aca="true" ref="P446" ca="true">COUNTIFS('Unit-Level Data'!$M:$M,TRUE,
          'Unit-Level Data'!$D:$D, INDIRECT("C"&amp;ROW()),
          'Unit-Level Data'!$B:$B, INDIRECT("B"&amp;ROW()))</f>
        <v>0</v>
      </c>
      <c r="Q446" s="738" t="str" cm="1">
        <f t="array" aca="true" ref="Q4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6" s="760" t="str" cm="1">
        <f t="array" aca="true" ref="R4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6" s="733" cm="1">
        <f t="array" aca="true" ref="S446" ca="true">COUNTIFS('Unit-Level Data'!$L:$L, "&gt;=" &amp; ($X$2 - Q$5),
          'Unit-Level Data'!$L:$L, "&lt;" &amp; $X$2,
          'Unit-Level Data'!$D:$D, INDIRECT("C"&amp;ROW()),
          'Unit-Level Data'!$B:$B, INDIRECT("B"&amp;ROW()))</f>
        <v>0</v>
      </c>
      <c r="T446" s="738" t="str" cm="1">
        <f t="array" aca="true" ref="T4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6" s="760" t="str" cm="1">
        <f t="array" aca="true" ref="U4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6" s="733" cm="1">
        <f t="array" aca="true" ref="V446" ca="true">COUNTIFS('Unit-Level Data'!$L:$L, "&gt;=" &amp; ($X$2 - T$5),
          'Unit-Level Data'!$L:$L, "&lt;" &amp; $X$2,
          'Unit-Level Data'!$D:$D, INDIRECT("C"&amp;ROW()),
          'Unit-Level Data'!$B:$B, INDIRECT("B"&amp;ROW()))</f>
        <v>0</v>
      </c>
      <c r="W446" s="738" t="str" cm="1">
        <f t="array" aca="true" ref="W4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6" s="760" t="str" cm="1">
        <f t="array" aca="true" ref="X4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6" s="733" cm="1">
        <f t="array" aca="true" ref="Y446" ca="true">COUNTIFS('Unit-Level Data'!$L:$L, "&gt;=" &amp; ($X$2 - W$5),
          'Unit-Level Data'!$L:$L, "&lt;" &amp; $X$2,
          'Unit-Level Data'!$D:$D, INDIRECT("C"&amp;ROW()),
          'Unit-Level Data'!$B:$B, INDIRECT("B"&amp;ROW()))</f>
        <v>0</v>
      </c>
      <c r="Z446" s="761"/>
      <c r="AA446" s="735" cm="1">
        <f t="array" aca="true" ref="AA446" ca="true">IFERROR(AVERAGEIFS(
  unit_details[Sqft],
  unit_details[Property Name], INDIRECT("B"&amp;ROW()),
  unit_details[Floorplan Name], INDIRECT("C"&amp;ROW()),
  unit_details[Beds], INDIRECT("D"&amp;ROW()),
  unit_details[Detected Unit Amenities], "*"&amp;$AB$3&amp;"*",
  unit_details[Leased Date], "&gt;=" &amp; ($X$2 - $AD$3)
),0)</f>
        <v>0</v>
      </c>
      <c r="AB446" s="734" cm="1">
        <f t="array" aca="true" ref="AB4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6" s="733" cm="1">
        <f t="array" aca="true" ref="AC446" ca="true">IFERROR(COUNTIFS(
  unit_details[Property Name], INDIRECT("B"&amp;ROW()),
  unit_details[Floorplan Name], INDIRECT("C"&amp;ROW()),
  unit_details[Beds], INDIRECT("D"&amp;ROW()),
  unit_details[Detected Unit Amenities], "*"&amp;$AB$3&amp;"*",
  unit_details[Leased Date], "&gt;=" &amp; ($X$2 - $AD$3)
),0)</f>
        <v>0</v>
      </c>
      <c r="AD446" s="735" cm="1">
        <f t="array" aca="true" ref="AD446" ca="true">IFERROR(AVERAGEIFS(
  unit_details[Sqft],
  unit_details[Property Name], INDIRECT("B"&amp;ROW()),
  unit_details[Floorplan Name], INDIRECT("C"&amp;ROW()),
  unit_details[Beds], INDIRECT("D"&amp;ROW()),
  unit_details[Detected Unit Amenities], "&lt;&gt;*"&amp;$AB$3&amp;"*",
  unit_details[Leased Date], "&gt;=" &amp; ($X$2 - $AD$3)
),0)</f>
        <v>0</v>
      </c>
      <c r="AE446" s="734" cm="1">
        <f t="array" aca="true" ref="AE4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6" s="733" cm="1">
        <f t="array" aca="true" ref="AF446" ca="true">IFERROR(COUNTIFS(
  unit_details[Property Name], INDIRECT("B"&amp;ROW()),
  unit_details[Floorplan Name], INDIRECT("C"&amp;ROW()),
  unit_details[Beds], INDIRECT("D"&amp;ROW()),
  unit_details[Detected Unit Amenities], "&lt;&gt;*"&amp;$AB$3&amp;"*",
  unit_details[Leased Date], "&gt;=" &amp; ($X$2 - $AD$3)
),0)</f>
        <v>0</v>
      </c>
      <c r="AG446" s="735"/>
      <c r="AH446" s="738">
        <f t="shared" ca="true" si="14"/>
        <v>0</v>
      </c>
      <c r="AI446" s="739">
        <f t="shared" ca="true" si="15"/>
        <v>0</v>
      </c>
    </row>
    <row r="447" spans="10:35">
      <c r="J447" s="345"/>
      <c r="N447" s="738" t="str" cm="1">
        <f t="array" aca="true" ref="N447" ca="true">IFERROR(IF($O$3="Chunk Rent",
AVERAGEIFS('Unit-Level Data'!$O:$O,'Unit-Level Data'!$M:$M,TRUE,
          'Unit-Level Data'!$D:$D, INDIRECT("C"&amp;ROW()),
          'Unit-Level Data'!$B:$B, INDIRECT("B"&amp;ROW())),
AVERAGEIFS('Unit-Level Data'!$P:$P,'Unit-Level Data'!$M:$M,TRUE,
          'Unit-Level Data'!$D:$D, INDIRECT("C"&amp;ROW()),
          'Unit-Level Data'!$B:$B, INDIRECT("B"&amp;ROW()))),"")</f>
      </c>
      <c r="O447" s="760" t="str" cm="1">
        <f t="array" aca="true" ref="O447" ca="true">IFERROR(IF($O$3="Chunk Rent",
AVERAGEIFS('Unit-Level Data'!$Q:$Q,'Unit-Level Data'!$M:$M,TRUE,
          'Unit-Level Data'!$D:$D, INDIRECT("C"&amp;ROW()),
          'Unit-Level Data'!$B:$B, INDIRECT("B"&amp;ROW())),
AVERAGEIFS('Unit-Level Data'!$R:$R,'Unit-Level Data'!$M:$M,TRUE,
          'Unit-Level Data'!$D:$D, INDIRECT("C"&amp;ROW()),
          'Unit-Level Data'!$B:$B, INDIRECT("B"&amp;ROW()))),"")</f>
      </c>
      <c r="P447" s="733" cm="1">
        <f t="array" aca="true" ref="P447" ca="true">COUNTIFS('Unit-Level Data'!$M:$M,TRUE,
          'Unit-Level Data'!$D:$D, INDIRECT("C"&amp;ROW()),
          'Unit-Level Data'!$B:$B, INDIRECT("B"&amp;ROW()))</f>
        <v>0</v>
      </c>
      <c r="Q447" s="738" t="str" cm="1">
        <f t="array" aca="true" ref="Q4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7" s="760" t="str" cm="1">
        <f t="array" aca="true" ref="R4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7" s="733" cm="1">
        <f t="array" aca="true" ref="S447" ca="true">COUNTIFS('Unit-Level Data'!$L:$L, "&gt;=" &amp; ($X$2 - Q$5),
          'Unit-Level Data'!$L:$L, "&lt;" &amp; $X$2,
          'Unit-Level Data'!$D:$D, INDIRECT("C"&amp;ROW()),
          'Unit-Level Data'!$B:$B, INDIRECT("B"&amp;ROW()))</f>
        <v>0</v>
      </c>
      <c r="T447" s="738" t="str" cm="1">
        <f t="array" aca="true" ref="T4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7" s="760" t="str" cm="1">
        <f t="array" aca="true" ref="U4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7" s="733" cm="1">
        <f t="array" aca="true" ref="V447" ca="true">COUNTIFS('Unit-Level Data'!$L:$L, "&gt;=" &amp; ($X$2 - T$5),
          'Unit-Level Data'!$L:$L, "&lt;" &amp; $X$2,
          'Unit-Level Data'!$D:$D, INDIRECT("C"&amp;ROW()),
          'Unit-Level Data'!$B:$B, INDIRECT("B"&amp;ROW()))</f>
        <v>0</v>
      </c>
      <c r="W447" s="738" t="str" cm="1">
        <f t="array" aca="true" ref="W4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7" s="760" t="str" cm="1">
        <f t="array" aca="true" ref="X4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7" s="733" cm="1">
        <f t="array" aca="true" ref="Y447" ca="true">COUNTIFS('Unit-Level Data'!$L:$L, "&gt;=" &amp; ($X$2 - W$5),
          'Unit-Level Data'!$L:$L, "&lt;" &amp; $X$2,
          'Unit-Level Data'!$D:$D, INDIRECT("C"&amp;ROW()),
          'Unit-Level Data'!$B:$B, INDIRECT("B"&amp;ROW()))</f>
        <v>0</v>
      </c>
      <c r="Z447" s="761"/>
      <c r="AA447" s="735" cm="1">
        <f t="array" aca="true" ref="AA447" ca="true">IFERROR(AVERAGEIFS(
  unit_details[Sqft],
  unit_details[Property Name], INDIRECT("B"&amp;ROW()),
  unit_details[Floorplan Name], INDIRECT("C"&amp;ROW()),
  unit_details[Beds], INDIRECT("D"&amp;ROW()),
  unit_details[Detected Unit Amenities], "*"&amp;$AB$3&amp;"*",
  unit_details[Leased Date], "&gt;=" &amp; ($X$2 - $AD$3)
),0)</f>
        <v>0</v>
      </c>
      <c r="AB447" s="734" cm="1">
        <f t="array" aca="true" ref="AB4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7" s="733" cm="1">
        <f t="array" aca="true" ref="AC447" ca="true">IFERROR(COUNTIFS(
  unit_details[Property Name], INDIRECT("B"&amp;ROW()),
  unit_details[Floorplan Name], INDIRECT("C"&amp;ROW()),
  unit_details[Beds], INDIRECT("D"&amp;ROW()),
  unit_details[Detected Unit Amenities], "*"&amp;$AB$3&amp;"*",
  unit_details[Leased Date], "&gt;=" &amp; ($X$2 - $AD$3)
),0)</f>
        <v>0</v>
      </c>
      <c r="AD447" s="735" cm="1">
        <f t="array" aca="true" ref="AD447" ca="true">IFERROR(AVERAGEIFS(
  unit_details[Sqft],
  unit_details[Property Name], INDIRECT("B"&amp;ROW()),
  unit_details[Floorplan Name], INDIRECT("C"&amp;ROW()),
  unit_details[Beds], INDIRECT("D"&amp;ROW()),
  unit_details[Detected Unit Amenities], "&lt;&gt;*"&amp;$AB$3&amp;"*",
  unit_details[Leased Date], "&gt;=" &amp; ($X$2 - $AD$3)
),0)</f>
        <v>0</v>
      </c>
      <c r="AE447" s="734" cm="1">
        <f t="array" aca="true" ref="AE4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7" s="733" cm="1">
        <f t="array" aca="true" ref="AF447" ca="true">IFERROR(COUNTIFS(
  unit_details[Property Name], INDIRECT("B"&amp;ROW()),
  unit_details[Floorplan Name], INDIRECT("C"&amp;ROW()),
  unit_details[Beds], INDIRECT("D"&amp;ROW()),
  unit_details[Detected Unit Amenities], "&lt;&gt;*"&amp;$AB$3&amp;"*",
  unit_details[Leased Date], "&gt;=" &amp; ($X$2 - $AD$3)
),0)</f>
        <v>0</v>
      </c>
      <c r="AG447" s="735"/>
      <c r="AH447" s="738">
        <f t="shared" ca="true" si="14"/>
        <v>0</v>
      </c>
      <c r="AI447" s="739">
        <f t="shared" ca="true" si="15"/>
        <v>0</v>
      </c>
    </row>
    <row r="448" spans="10:35">
      <c r="J448" s="345"/>
      <c r="N448" s="738" t="str" cm="1">
        <f t="array" aca="true" ref="N448" ca="true">IFERROR(IF($O$3="Chunk Rent",
AVERAGEIFS('Unit-Level Data'!$O:$O,'Unit-Level Data'!$M:$M,TRUE,
          'Unit-Level Data'!$D:$D, INDIRECT("C"&amp;ROW()),
          'Unit-Level Data'!$B:$B, INDIRECT("B"&amp;ROW())),
AVERAGEIFS('Unit-Level Data'!$P:$P,'Unit-Level Data'!$M:$M,TRUE,
          'Unit-Level Data'!$D:$D, INDIRECT("C"&amp;ROW()),
          'Unit-Level Data'!$B:$B, INDIRECT("B"&amp;ROW()))),"")</f>
      </c>
      <c r="O448" s="760" t="str" cm="1">
        <f t="array" aca="true" ref="O448" ca="true">IFERROR(IF($O$3="Chunk Rent",
AVERAGEIFS('Unit-Level Data'!$Q:$Q,'Unit-Level Data'!$M:$M,TRUE,
          'Unit-Level Data'!$D:$D, INDIRECT("C"&amp;ROW()),
          'Unit-Level Data'!$B:$B, INDIRECT("B"&amp;ROW())),
AVERAGEIFS('Unit-Level Data'!$R:$R,'Unit-Level Data'!$M:$M,TRUE,
          'Unit-Level Data'!$D:$D, INDIRECT("C"&amp;ROW()),
          'Unit-Level Data'!$B:$B, INDIRECT("B"&amp;ROW()))),"")</f>
      </c>
      <c r="P448" s="733" cm="1">
        <f t="array" aca="true" ref="P448" ca="true">COUNTIFS('Unit-Level Data'!$M:$M,TRUE,
          'Unit-Level Data'!$D:$D, INDIRECT("C"&amp;ROW()),
          'Unit-Level Data'!$B:$B, INDIRECT("B"&amp;ROW()))</f>
        <v>0</v>
      </c>
      <c r="Q448" s="738" t="str" cm="1">
        <f t="array" aca="true" ref="Q4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8" s="760" t="str" cm="1">
        <f t="array" aca="true" ref="R4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8" s="733" cm="1">
        <f t="array" aca="true" ref="S448" ca="true">COUNTIFS('Unit-Level Data'!$L:$L, "&gt;=" &amp; ($X$2 - Q$5),
          'Unit-Level Data'!$L:$L, "&lt;" &amp; $X$2,
          'Unit-Level Data'!$D:$D, INDIRECT("C"&amp;ROW()),
          'Unit-Level Data'!$B:$B, INDIRECT("B"&amp;ROW()))</f>
        <v>0</v>
      </c>
      <c r="T448" s="738" t="str" cm="1">
        <f t="array" aca="true" ref="T4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8" s="760" t="str" cm="1">
        <f t="array" aca="true" ref="U4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8" s="733" cm="1">
        <f t="array" aca="true" ref="V448" ca="true">COUNTIFS('Unit-Level Data'!$L:$L, "&gt;=" &amp; ($X$2 - T$5),
          'Unit-Level Data'!$L:$L, "&lt;" &amp; $X$2,
          'Unit-Level Data'!$D:$D, INDIRECT("C"&amp;ROW()),
          'Unit-Level Data'!$B:$B, INDIRECT("B"&amp;ROW()))</f>
        <v>0</v>
      </c>
      <c r="W448" s="738" t="str" cm="1">
        <f t="array" aca="true" ref="W4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8" s="760" t="str" cm="1">
        <f t="array" aca="true" ref="X4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8" s="733" cm="1">
        <f t="array" aca="true" ref="Y448" ca="true">COUNTIFS('Unit-Level Data'!$L:$L, "&gt;=" &amp; ($X$2 - W$5),
          'Unit-Level Data'!$L:$L, "&lt;" &amp; $X$2,
          'Unit-Level Data'!$D:$D, INDIRECT("C"&amp;ROW()),
          'Unit-Level Data'!$B:$B, INDIRECT("B"&amp;ROW()))</f>
        <v>0</v>
      </c>
      <c r="Z448" s="761"/>
      <c r="AA448" s="735" cm="1">
        <f t="array" aca="true" ref="AA448" ca="true">IFERROR(AVERAGEIFS(
  unit_details[Sqft],
  unit_details[Property Name], INDIRECT("B"&amp;ROW()),
  unit_details[Floorplan Name], INDIRECT("C"&amp;ROW()),
  unit_details[Beds], INDIRECT("D"&amp;ROW()),
  unit_details[Detected Unit Amenities], "*"&amp;$AB$3&amp;"*",
  unit_details[Leased Date], "&gt;=" &amp; ($X$2 - $AD$3)
),0)</f>
        <v>0</v>
      </c>
      <c r="AB448" s="734" cm="1">
        <f t="array" aca="true" ref="AB4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8" s="733" cm="1">
        <f t="array" aca="true" ref="AC448" ca="true">IFERROR(COUNTIFS(
  unit_details[Property Name], INDIRECT("B"&amp;ROW()),
  unit_details[Floorplan Name], INDIRECT("C"&amp;ROW()),
  unit_details[Beds], INDIRECT("D"&amp;ROW()),
  unit_details[Detected Unit Amenities], "*"&amp;$AB$3&amp;"*",
  unit_details[Leased Date], "&gt;=" &amp; ($X$2 - $AD$3)
),0)</f>
        <v>0</v>
      </c>
      <c r="AD448" s="735" cm="1">
        <f t="array" aca="true" ref="AD448" ca="true">IFERROR(AVERAGEIFS(
  unit_details[Sqft],
  unit_details[Property Name], INDIRECT("B"&amp;ROW()),
  unit_details[Floorplan Name], INDIRECT("C"&amp;ROW()),
  unit_details[Beds], INDIRECT("D"&amp;ROW()),
  unit_details[Detected Unit Amenities], "&lt;&gt;*"&amp;$AB$3&amp;"*",
  unit_details[Leased Date], "&gt;=" &amp; ($X$2 - $AD$3)
),0)</f>
        <v>0</v>
      </c>
      <c r="AE448" s="734" cm="1">
        <f t="array" aca="true" ref="AE4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8" s="733" cm="1">
        <f t="array" aca="true" ref="AF448" ca="true">IFERROR(COUNTIFS(
  unit_details[Property Name], INDIRECT("B"&amp;ROW()),
  unit_details[Floorplan Name], INDIRECT("C"&amp;ROW()),
  unit_details[Beds], INDIRECT("D"&amp;ROW()),
  unit_details[Detected Unit Amenities], "&lt;&gt;*"&amp;$AB$3&amp;"*",
  unit_details[Leased Date], "&gt;=" &amp; ($X$2 - $AD$3)
),0)</f>
        <v>0</v>
      </c>
      <c r="AG448" s="735"/>
      <c r="AH448" s="738">
        <f t="shared" ca="true" si="14"/>
        <v>0</v>
      </c>
      <c r="AI448" s="739">
        <f t="shared" ca="true" si="15"/>
        <v>0</v>
      </c>
    </row>
    <row r="449" spans="10:35">
      <c r="J449" s="345"/>
      <c r="N449" s="738" t="str" cm="1">
        <f t="array" aca="true" ref="N449" ca="true">IFERROR(IF($O$3="Chunk Rent",
AVERAGEIFS('Unit-Level Data'!$O:$O,'Unit-Level Data'!$M:$M,TRUE,
          'Unit-Level Data'!$D:$D, INDIRECT("C"&amp;ROW()),
          'Unit-Level Data'!$B:$B, INDIRECT("B"&amp;ROW())),
AVERAGEIFS('Unit-Level Data'!$P:$P,'Unit-Level Data'!$M:$M,TRUE,
          'Unit-Level Data'!$D:$D, INDIRECT("C"&amp;ROW()),
          'Unit-Level Data'!$B:$B, INDIRECT("B"&amp;ROW()))),"")</f>
      </c>
      <c r="O449" s="760" t="str" cm="1">
        <f t="array" aca="true" ref="O449" ca="true">IFERROR(IF($O$3="Chunk Rent",
AVERAGEIFS('Unit-Level Data'!$Q:$Q,'Unit-Level Data'!$M:$M,TRUE,
          'Unit-Level Data'!$D:$D, INDIRECT("C"&amp;ROW()),
          'Unit-Level Data'!$B:$B, INDIRECT("B"&amp;ROW())),
AVERAGEIFS('Unit-Level Data'!$R:$R,'Unit-Level Data'!$M:$M,TRUE,
          'Unit-Level Data'!$D:$D, INDIRECT("C"&amp;ROW()),
          'Unit-Level Data'!$B:$B, INDIRECT("B"&amp;ROW()))),"")</f>
      </c>
      <c r="P449" s="733" cm="1">
        <f t="array" aca="true" ref="P449" ca="true">COUNTIFS('Unit-Level Data'!$M:$M,TRUE,
          'Unit-Level Data'!$D:$D, INDIRECT("C"&amp;ROW()),
          'Unit-Level Data'!$B:$B, INDIRECT("B"&amp;ROW()))</f>
        <v>0</v>
      </c>
      <c r="Q449" s="738" t="str" cm="1">
        <f t="array" aca="true" ref="Q4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9" s="760" t="str" cm="1">
        <f t="array" aca="true" ref="R4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9" s="733" cm="1">
        <f t="array" aca="true" ref="S449" ca="true">COUNTIFS('Unit-Level Data'!$L:$L, "&gt;=" &amp; ($X$2 - Q$5),
          'Unit-Level Data'!$L:$L, "&lt;" &amp; $X$2,
          'Unit-Level Data'!$D:$D, INDIRECT("C"&amp;ROW()),
          'Unit-Level Data'!$B:$B, INDIRECT("B"&amp;ROW()))</f>
        <v>0</v>
      </c>
      <c r="T449" s="738" t="str" cm="1">
        <f t="array" aca="true" ref="T4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9" s="760" t="str" cm="1">
        <f t="array" aca="true" ref="U4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9" s="733" cm="1">
        <f t="array" aca="true" ref="V449" ca="true">COUNTIFS('Unit-Level Data'!$L:$L, "&gt;=" &amp; ($X$2 - T$5),
          'Unit-Level Data'!$L:$L, "&lt;" &amp; $X$2,
          'Unit-Level Data'!$D:$D, INDIRECT("C"&amp;ROW()),
          'Unit-Level Data'!$B:$B, INDIRECT("B"&amp;ROW()))</f>
        <v>0</v>
      </c>
      <c r="W449" s="738" t="str" cm="1">
        <f t="array" aca="true" ref="W4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9" s="760" t="str" cm="1">
        <f t="array" aca="true" ref="X4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9" s="733" cm="1">
        <f t="array" aca="true" ref="Y449" ca="true">COUNTIFS('Unit-Level Data'!$L:$L, "&gt;=" &amp; ($X$2 - W$5),
          'Unit-Level Data'!$L:$L, "&lt;" &amp; $X$2,
          'Unit-Level Data'!$D:$D, INDIRECT("C"&amp;ROW()),
          'Unit-Level Data'!$B:$B, INDIRECT("B"&amp;ROW()))</f>
        <v>0</v>
      </c>
      <c r="Z449" s="761"/>
      <c r="AA449" s="735" cm="1">
        <f t="array" aca="true" ref="AA449" ca="true">IFERROR(AVERAGEIFS(
  unit_details[Sqft],
  unit_details[Property Name], INDIRECT("B"&amp;ROW()),
  unit_details[Floorplan Name], INDIRECT("C"&amp;ROW()),
  unit_details[Beds], INDIRECT("D"&amp;ROW()),
  unit_details[Detected Unit Amenities], "*"&amp;$AB$3&amp;"*",
  unit_details[Leased Date], "&gt;=" &amp; ($X$2 - $AD$3)
),0)</f>
        <v>0</v>
      </c>
      <c r="AB449" s="734" cm="1">
        <f t="array" aca="true" ref="AB4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9" s="733" cm="1">
        <f t="array" aca="true" ref="AC449" ca="true">IFERROR(COUNTIFS(
  unit_details[Property Name], INDIRECT("B"&amp;ROW()),
  unit_details[Floorplan Name], INDIRECT("C"&amp;ROW()),
  unit_details[Beds], INDIRECT("D"&amp;ROW()),
  unit_details[Detected Unit Amenities], "*"&amp;$AB$3&amp;"*",
  unit_details[Leased Date], "&gt;=" &amp; ($X$2 - $AD$3)
),0)</f>
        <v>0</v>
      </c>
      <c r="AD449" s="735" cm="1">
        <f t="array" aca="true" ref="AD449" ca="true">IFERROR(AVERAGEIFS(
  unit_details[Sqft],
  unit_details[Property Name], INDIRECT("B"&amp;ROW()),
  unit_details[Floorplan Name], INDIRECT("C"&amp;ROW()),
  unit_details[Beds], INDIRECT("D"&amp;ROW()),
  unit_details[Detected Unit Amenities], "&lt;&gt;*"&amp;$AB$3&amp;"*",
  unit_details[Leased Date], "&gt;=" &amp; ($X$2 - $AD$3)
),0)</f>
        <v>0</v>
      </c>
      <c r="AE449" s="734" cm="1">
        <f t="array" aca="true" ref="AE4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9" s="733" cm="1">
        <f t="array" aca="true" ref="AF449" ca="true">IFERROR(COUNTIFS(
  unit_details[Property Name], INDIRECT("B"&amp;ROW()),
  unit_details[Floorplan Name], INDIRECT("C"&amp;ROW()),
  unit_details[Beds], INDIRECT("D"&amp;ROW()),
  unit_details[Detected Unit Amenities], "&lt;&gt;*"&amp;$AB$3&amp;"*",
  unit_details[Leased Date], "&gt;=" &amp; ($X$2 - $AD$3)
),0)</f>
        <v>0</v>
      </c>
      <c r="AG449" s="735"/>
      <c r="AH449" s="738">
        <f t="shared" ca="true" si="14"/>
        <v>0</v>
      </c>
      <c r="AI449" s="739">
        <f t="shared" ca="true" si="15"/>
        <v>0</v>
      </c>
    </row>
    <row r="450" spans="10:35">
      <c r="J450" s="345"/>
      <c r="N450" s="738" t="str" cm="1">
        <f t="array" aca="true" ref="N450" ca="true">IFERROR(IF($O$3="Chunk Rent",
AVERAGEIFS('Unit-Level Data'!$O:$O,'Unit-Level Data'!$M:$M,TRUE,
          'Unit-Level Data'!$D:$D, INDIRECT("C"&amp;ROW()),
          'Unit-Level Data'!$B:$B, INDIRECT("B"&amp;ROW())),
AVERAGEIFS('Unit-Level Data'!$P:$P,'Unit-Level Data'!$M:$M,TRUE,
          'Unit-Level Data'!$D:$D, INDIRECT("C"&amp;ROW()),
          'Unit-Level Data'!$B:$B, INDIRECT("B"&amp;ROW()))),"")</f>
      </c>
      <c r="O450" s="760" t="str" cm="1">
        <f t="array" aca="true" ref="O450" ca="true">IFERROR(IF($O$3="Chunk Rent",
AVERAGEIFS('Unit-Level Data'!$Q:$Q,'Unit-Level Data'!$M:$M,TRUE,
          'Unit-Level Data'!$D:$D, INDIRECT("C"&amp;ROW()),
          'Unit-Level Data'!$B:$B, INDIRECT("B"&amp;ROW())),
AVERAGEIFS('Unit-Level Data'!$R:$R,'Unit-Level Data'!$M:$M,TRUE,
          'Unit-Level Data'!$D:$D, INDIRECT("C"&amp;ROW()),
          'Unit-Level Data'!$B:$B, INDIRECT("B"&amp;ROW()))),"")</f>
      </c>
      <c r="P450" s="733" cm="1">
        <f t="array" aca="true" ref="P450" ca="true">COUNTIFS('Unit-Level Data'!$M:$M,TRUE,
          'Unit-Level Data'!$D:$D, INDIRECT("C"&amp;ROW()),
          'Unit-Level Data'!$B:$B, INDIRECT("B"&amp;ROW()))</f>
        <v>0</v>
      </c>
      <c r="Q450" s="738" t="str" cm="1">
        <f t="array" aca="true" ref="Q4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0" s="760" t="str" cm="1">
        <f t="array" aca="true" ref="R4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0" s="733" cm="1">
        <f t="array" aca="true" ref="S450" ca="true">COUNTIFS('Unit-Level Data'!$L:$L, "&gt;=" &amp; ($X$2 - Q$5),
          'Unit-Level Data'!$L:$L, "&lt;" &amp; $X$2,
          'Unit-Level Data'!$D:$D, INDIRECT("C"&amp;ROW()),
          'Unit-Level Data'!$B:$B, INDIRECT("B"&amp;ROW()))</f>
        <v>0</v>
      </c>
      <c r="T450" s="738" t="str" cm="1">
        <f t="array" aca="true" ref="T4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0" s="760" t="str" cm="1">
        <f t="array" aca="true" ref="U4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0" s="733" cm="1">
        <f t="array" aca="true" ref="V450" ca="true">COUNTIFS('Unit-Level Data'!$L:$L, "&gt;=" &amp; ($X$2 - T$5),
          'Unit-Level Data'!$L:$L, "&lt;" &amp; $X$2,
          'Unit-Level Data'!$D:$D, INDIRECT("C"&amp;ROW()),
          'Unit-Level Data'!$B:$B, INDIRECT("B"&amp;ROW()))</f>
        <v>0</v>
      </c>
      <c r="W450" s="738" t="str" cm="1">
        <f t="array" aca="true" ref="W4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0" s="760" t="str" cm="1">
        <f t="array" aca="true" ref="X4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0" s="733" cm="1">
        <f t="array" aca="true" ref="Y450" ca="true">COUNTIFS('Unit-Level Data'!$L:$L, "&gt;=" &amp; ($X$2 - W$5),
          'Unit-Level Data'!$L:$L, "&lt;" &amp; $X$2,
          'Unit-Level Data'!$D:$D, INDIRECT("C"&amp;ROW()),
          'Unit-Level Data'!$B:$B, INDIRECT("B"&amp;ROW()))</f>
        <v>0</v>
      </c>
      <c r="Z450" s="761"/>
      <c r="AA450" s="735" cm="1">
        <f t="array" aca="true" ref="AA450" ca="true">IFERROR(AVERAGEIFS(
  unit_details[Sqft],
  unit_details[Property Name], INDIRECT("B"&amp;ROW()),
  unit_details[Floorplan Name], INDIRECT("C"&amp;ROW()),
  unit_details[Beds], INDIRECT("D"&amp;ROW()),
  unit_details[Detected Unit Amenities], "*"&amp;$AB$3&amp;"*",
  unit_details[Leased Date], "&gt;=" &amp; ($X$2 - $AD$3)
),0)</f>
        <v>0</v>
      </c>
      <c r="AB450" s="734" cm="1">
        <f t="array" aca="true" ref="AB4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0" s="733" cm="1">
        <f t="array" aca="true" ref="AC450" ca="true">IFERROR(COUNTIFS(
  unit_details[Property Name], INDIRECT("B"&amp;ROW()),
  unit_details[Floorplan Name], INDIRECT("C"&amp;ROW()),
  unit_details[Beds], INDIRECT("D"&amp;ROW()),
  unit_details[Detected Unit Amenities], "*"&amp;$AB$3&amp;"*",
  unit_details[Leased Date], "&gt;=" &amp; ($X$2 - $AD$3)
),0)</f>
        <v>0</v>
      </c>
      <c r="AD450" s="735" cm="1">
        <f t="array" aca="true" ref="AD450" ca="true">IFERROR(AVERAGEIFS(
  unit_details[Sqft],
  unit_details[Property Name], INDIRECT("B"&amp;ROW()),
  unit_details[Floorplan Name], INDIRECT("C"&amp;ROW()),
  unit_details[Beds], INDIRECT("D"&amp;ROW()),
  unit_details[Detected Unit Amenities], "&lt;&gt;*"&amp;$AB$3&amp;"*",
  unit_details[Leased Date], "&gt;=" &amp; ($X$2 - $AD$3)
),0)</f>
        <v>0</v>
      </c>
      <c r="AE450" s="734" cm="1">
        <f t="array" aca="true" ref="AE4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0" s="733" cm="1">
        <f t="array" aca="true" ref="AF450" ca="true">IFERROR(COUNTIFS(
  unit_details[Property Name], INDIRECT("B"&amp;ROW()),
  unit_details[Floorplan Name], INDIRECT("C"&amp;ROW()),
  unit_details[Beds], INDIRECT("D"&amp;ROW()),
  unit_details[Detected Unit Amenities], "&lt;&gt;*"&amp;$AB$3&amp;"*",
  unit_details[Leased Date], "&gt;=" &amp; ($X$2 - $AD$3)
),0)</f>
        <v>0</v>
      </c>
      <c r="AG450" s="735"/>
      <c r="AH450" s="738">
        <f t="shared" ca="true" si="14"/>
        <v>0</v>
      </c>
      <c r="AI450" s="739">
        <f t="shared" ca="true" si="15"/>
        <v>0</v>
      </c>
    </row>
    <row r="451" spans="10:35">
      <c r="J451" s="345"/>
      <c r="N451" s="738" t="str" cm="1">
        <f t="array" aca="true" ref="N451" ca="true">IFERROR(IF($O$3="Chunk Rent",
AVERAGEIFS('Unit-Level Data'!$O:$O,'Unit-Level Data'!$M:$M,TRUE,
          'Unit-Level Data'!$D:$D, INDIRECT("C"&amp;ROW()),
          'Unit-Level Data'!$B:$B, INDIRECT("B"&amp;ROW())),
AVERAGEIFS('Unit-Level Data'!$P:$P,'Unit-Level Data'!$M:$M,TRUE,
          'Unit-Level Data'!$D:$D, INDIRECT("C"&amp;ROW()),
          'Unit-Level Data'!$B:$B, INDIRECT("B"&amp;ROW()))),"")</f>
      </c>
      <c r="O451" s="760" t="str" cm="1">
        <f t="array" aca="true" ref="O451" ca="true">IFERROR(IF($O$3="Chunk Rent",
AVERAGEIFS('Unit-Level Data'!$Q:$Q,'Unit-Level Data'!$M:$M,TRUE,
          'Unit-Level Data'!$D:$D, INDIRECT("C"&amp;ROW()),
          'Unit-Level Data'!$B:$B, INDIRECT("B"&amp;ROW())),
AVERAGEIFS('Unit-Level Data'!$R:$R,'Unit-Level Data'!$M:$M,TRUE,
          'Unit-Level Data'!$D:$D, INDIRECT("C"&amp;ROW()),
          'Unit-Level Data'!$B:$B, INDIRECT("B"&amp;ROW()))),"")</f>
      </c>
      <c r="P451" s="733" cm="1">
        <f t="array" aca="true" ref="P451" ca="true">COUNTIFS('Unit-Level Data'!$M:$M,TRUE,
          'Unit-Level Data'!$D:$D, INDIRECT("C"&amp;ROW()),
          'Unit-Level Data'!$B:$B, INDIRECT("B"&amp;ROW()))</f>
        <v>0</v>
      </c>
      <c r="Q451" s="738" t="str" cm="1">
        <f t="array" aca="true" ref="Q4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1" s="760" t="str" cm="1">
        <f t="array" aca="true" ref="R4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1" s="733" cm="1">
        <f t="array" aca="true" ref="S451" ca="true">COUNTIFS('Unit-Level Data'!$L:$L, "&gt;=" &amp; ($X$2 - Q$5),
          'Unit-Level Data'!$L:$L, "&lt;" &amp; $X$2,
          'Unit-Level Data'!$D:$D, INDIRECT("C"&amp;ROW()),
          'Unit-Level Data'!$B:$B, INDIRECT("B"&amp;ROW()))</f>
        <v>0</v>
      </c>
      <c r="T451" s="738" t="str" cm="1">
        <f t="array" aca="true" ref="T4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1" s="760" t="str" cm="1">
        <f t="array" aca="true" ref="U4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1" s="733" cm="1">
        <f t="array" aca="true" ref="V451" ca="true">COUNTIFS('Unit-Level Data'!$L:$L, "&gt;=" &amp; ($X$2 - T$5),
          'Unit-Level Data'!$L:$L, "&lt;" &amp; $X$2,
          'Unit-Level Data'!$D:$D, INDIRECT("C"&amp;ROW()),
          'Unit-Level Data'!$B:$B, INDIRECT("B"&amp;ROW()))</f>
        <v>0</v>
      </c>
      <c r="W451" s="738" t="str" cm="1">
        <f t="array" aca="true" ref="W4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1" s="760" t="str" cm="1">
        <f t="array" aca="true" ref="X4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1" s="733" cm="1">
        <f t="array" aca="true" ref="Y451" ca="true">COUNTIFS('Unit-Level Data'!$L:$L, "&gt;=" &amp; ($X$2 - W$5),
          'Unit-Level Data'!$L:$L, "&lt;" &amp; $X$2,
          'Unit-Level Data'!$D:$D, INDIRECT("C"&amp;ROW()),
          'Unit-Level Data'!$B:$B, INDIRECT("B"&amp;ROW()))</f>
        <v>0</v>
      </c>
      <c r="Z451" s="761"/>
      <c r="AA451" s="735" cm="1">
        <f t="array" aca="true" ref="AA451" ca="true">IFERROR(AVERAGEIFS(
  unit_details[Sqft],
  unit_details[Property Name], INDIRECT("B"&amp;ROW()),
  unit_details[Floorplan Name], INDIRECT("C"&amp;ROW()),
  unit_details[Beds], INDIRECT("D"&amp;ROW()),
  unit_details[Detected Unit Amenities], "*"&amp;$AB$3&amp;"*",
  unit_details[Leased Date], "&gt;=" &amp; ($X$2 - $AD$3)
),0)</f>
        <v>0</v>
      </c>
      <c r="AB451" s="734" cm="1">
        <f t="array" aca="true" ref="AB4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1" s="733" cm="1">
        <f t="array" aca="true" ref="AC451" ca="true">IFERROR(COUNTIFS(
  unit_details[Property Name], INDIRECT("B"&amp;ROW()),
  unit_details[Floorplan Name], INDIRECT("C"&amp;ROW()),
  unit_details[Beds], INDIRECT("D"&amp;ROW()),
  unit_details[Detected Unit Amenities], "*"&amp;$AB$3&amp;"*",
  unit_details[Leased Date], "&gt;=" &amp; ($X$2 - $AD$3)
),0)</f>
        <v>0</v>
      </c>
      <c r="AD451" s="735" cm="1">
        <f t="array" aca="true" ref="AD451" ca="true">IFERROR(AVERAGEIFS(
  unit_details[Sqft],
  unit_details[Property Name], INDIRECT("B"&amp;ROW()),
  unit_details[Floorplan Name], INDIRECT("C"&amp;ROW()),
  unit_details[Beds], INDIRECT("D"&amp;ROW()),
  unit_details[Detected Unit Amenities], "&lt;&gt;*"&amp;$AB$3&amp;"*",
  unit_details[Leased Date], "&gt;=" &amp; ($X$2 - $AD$3)
),0)</f>
        <v>0</v>
      </c>
      <c r="AE451" s="734" cm="1">
        <f t="array" aca="true" ref="AE4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1" s="733" cm="1">
        <f t="array" aca="true" ref="AF451" ca="true">IFERROR(COUNTIFS(
  unit_details[Property Name], INDIRECT("B"&amp;ROW()),
  unit_details[Floorplan Name], INDIRECT("C"&amp;ROW()),
  unit_details[Beds], INDIRECT("D"&amp;ROW()),
  unit_details[Detected Unit Amenities], "&lt;&gt;*"&amp;$AB$3&amp;"*",
  unit_details[Leased Date], "&gt;=" &amp; ($X$2 - $AD$3)
),0)</f>
        <v>0</v>
      </c>
      <c r="AG451" s="735"/>
      <c r="AH451" s="738">
        <f t="shared" ca="true" si="14"/>
        <v>0</v>
      </c>
      <c r="AI451" s="739">
        <f t="shared" ca="true" si="15"/>
        <v>0</v>
      </c>
    </row>
    <row r="452" spans="10:35">
      <c r="J452" s="345"/>
      <c r="N452" s="738" t="str" cm="1">
        <f t="array" aca="true" ref="N452" ca="true">IFERROR(IF($O$3="Chunk Rent",
AVERAGEIFS('Unit-Level Data'!$O:$O,'Unit-Level Data'!$M:$M,TRUE,
          'Unit-Level Data'!$D:$D, INDIRECT("C"&amp;ROW()),
          'Unit-Level Data'!$B:$B, INDIRECT("B"&amp;ROW())),
AVERAGEIFS('Unit-Level Data'!$P:$P,'Unit-Level Data'!$M:$M,TRUE,
          'Unit-Level Data'!$D:$D, INDIRECT("C"&amp;ROW()),
          'Unit-Level Data'!$B:$B, INDIRECT("B"&amp;ROW()))),"")</f>
      </c>
      <c r="O452" s="760" t="str" cm="1">
        <f t="array" aca="true" ref="O452" ca="true">IFERROR(IF($O$3="Chunk Rent",
AVERAGEIFS('Unit-Level Data'!$Q:$Q,'Unit-Level Data'!$M:$M,TRUE,
          'Unit-Level Data'!$D:$D, INDIRECT("C"&amp;ROW()),
          'Unit-Level Data'!$B:$B, INDIRECT("B"&amp;ROW())),
AVERAGEIFS('Unit-Level Data'!$R:$R,'Unit-Level Data'!$M:$M,TRUE,
          'Unit-Level Data'!$D:$D, INDIRECT("C"&amp;ROW()),
          'Unit-Level Data'!$B:$B, INDIRECT("B"&amp;ROW()))),"")</f>
      </c>
      <c r="P452" s="733" cm="1">
        <f t="array" aca="true" ref="P452" ca="true">COUNTIFS('Unit-Level Data'!$M:$M,TRUE,
          'Unit-Level Data'!$D:$D, INDIRECT("C"&amp;ROW()),
          'Unit-Level Data'!$B:$B, INDIRECT("B"&amp;ROW()))</f>
        <v>0</v>
      </c>
      <c r="Q452" s="738" t="str" cm="1">
        <f t="array" aca="true" ref="Q4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2" s="760" t="str" cm="1">
        <f t="array" aca="true" ref="R4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2" s="733" cm="1">
        <f t="array" aca="true" ref="S452" ca="true">COUNTIFS('Unit-Level Data'!$L:$L, "&gt;=" &amp; ($X$2 - Q$5),
          'Unit-Level Data'!$L:$L, "&lt;" &amp; $X$2,
          'Unit-Level Data'!$D:$D, INDIRECT("C"&amp;ROW()),
          'Unit-Level Data'!$B:$B, INDIRECT("B"&amp;ROW()))</f>
        <v>0</v>
      </c>
      <c r="T452" s="738" t="str" cm="1">
        <f t="array" aca="true" ref="T4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2" s="760" t="str" cm="1">
        <f t="array" aca="true" ref="U4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2" s="733" cm="1">
        <f t="array" aca="true" ref="V452" ca="true">COUNTIFS('Unit-Level Data'!$L:$L, "&gt;=" &amp; ($X$2 - T$5),
          'Unit-Level Data'!$L:$L, "&lt;" &amp; $X$2,
          'Unit-Level Data'!$D:$D, INDIRECT("C"&amp;ROW()),
          'Unit-Level Data'!$B:$B, INDIRECT("B"&amp;ROW()))</f>
        <v>0</v>
      </c>
      <c r="W452" s="738" t="str" cm="1">
        <f t="array" aca="true" ref="W4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2" s="760" t="str" cm="1">
        <f t="array" aca="true" ref="X4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2" s="733" cm="1">
        <f t="array" aca="true" ref="Y452" ca="true">COUNTIFS('Unit-Level Data'!$L:$L, "&gt;=" &amp; ($X$2 - W$5),
          'Unit-Level Data'!$L:$L, "&lt;" &amp; $X$2,
          'Unit-Level Data'!$D:$D, INDIRECT("C"&amp;ROW()),
          'Unit-Level Data'!$B:$B, INDIRECT("B"&amp;ROW()))</f>
        <v>0</v>
      </c>
      <c r="Z452" s="761"/>
      <c r="AA452" s="735" cm="1">
        <f t="array" aca="true" ref="AA452" ca="true">IFERROR(AVERAGEIFS(
  unit_details[Sqft],
  unit_details[Property Name], INDIRECT("B"&amp;ROW()),
  unit_details[Floorplan Name], INDIRECT("C"&amp;ROW()),
  unit_details[Beds], INDIRECT("D"&amp;ROW()),
  unit_details[Detected Unit Amenities], "*"&amp;$AB$3&amp;"*",
  unit_details[Leased Date], "&gt;=" &amp; ($X$2 - $AD$3)
),0)</f>
        <v>0</v>
      </c>
      <c r="AB452" s="734" cm="1">
        <f t="array" aca="true" ref="AB4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2" s="733" cm="1">
        <f t="array" aca="true" ref="AC452" ca="true">IFERROR(COUNTIFS(
  unit_details[Property Name], INDIRECT("B"&amp;ROW()),
  unit_details[Floorplan Name], INDIRECT("C"&amp;ROW()),
  unit_details[Beds], INDIRECT("D"&amp;ROW()),
  unit_details[Detected Unit Amenities], "*"&amp;$AB$3&amp;"*",
  unit_details[Leased Date], "&gt;=" &amp; ($X$2 - $AD$3)
),0)</f>
        <v>0</v>
      </c>
      <c r="AD452" s="735" cm="1">
        <f t="array" aca="true" ref="AD452" ca="true">IFERROR(AVERAGEIFS(
  unit_details[Sqft],
  unit_details[Property Name], INDIRECT("B"&amp;ROW()),
  unit_details[Floorplan Name], INDIRECT("C"&amp;ROW()),
  unit_details[Beds], INDIRECT("D"&amp;ROW()),
  unit_details[Detected Unit Amenities], "&lt;&gt;*"&amp;$AB$3&amp;"*",
  unit_details[Leased Date], "&gt;=" &amp; ($X$2 - $AD$3)
),0)</f>
        <v>0</v>
      </c>
      <c r="AE452" s="734" cm="1">
        <f t="array" aca="true" ref="AE4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2" s="733" cm="1">
        <f t="array" aca="true" ref="AF452" ca="true">IFERROR(COUNTIFS(
  unit_details[Property Name], INDIRECT("B"&amp;ROW()),
  unit_details[Floorplan Name], INDIRECT("C"&amp;ROW()),
  unit_details[Beds], INDIRECT("D"&amp;ROW()),
  unit_details[Detected Unit Amenities], "&lt;&gt;*"&amp;$AB$3&amp;"*",
  unit_details[Leased Date], "&gt;=" &amp; ($X$2 - $AD$3)
),0)</f>
        <v>0</v>
      </c>
      <c r="AG452" s="735"/>
      <c r="AH452" s="738">
        <f t="shared" ca="true" si="14"/>
        <v>0</v>
      </c>
      <c r="AI452" s="739">
        <f t="shared" ca="true" si="15"/>
        <v>0</v>
      </c>
    </row>
    <row r="453" spans="10:35">
      <c r="J453" s="345"/>
      <c r="N453" s="738" t="str" cm="1">
        <f t="array" aca="true" ref="N453" ca="true">IFERROR(IF($O$3="Chunk Rent",
AVERAGEIFS('Unit-Level Data'!$O:$O,'Unit-Level Data'!$M:$M,TRUE,
          'Unit-Level Data'!$D:$D, INDIRECT("C"&amp;ROW()),
          'Unit-Level Data'!$B:$B, INDIRECT("B"&amp;ROW())),
AVERAGEIFS('Unit-Level Data'!$P:$P,'Unit-Level Data'!$M:$M,TRUE,
          'Unit-Level Data'!$D:$D, INDIRECT("C"&amp;ROW()),
          'Unit-Level Data'!$B:$B, INDIRECT("B"&amp;ROW()))),"")</f>
      </c>
      <c r="O453" s="760" t="str" cm="1">
        <f t="array" aca="true" ref="O453" ca="true">IFERROR(IF($O$3="Chunk Rent",
AVERAGEIFS('Unit-Level Data'!$Q:$Q,'Unit-Level Data'!$M:$M,TRUE,
          'Unit-Level Data'!$D:$D, INDIRECT("C"&amp;ROW()),
          'Unit-Level Data'!$B:$B, INDIRECT("B"&amp;ROW())),
AVERAGEIFS('Unit-Level Data'!$R:$R,'Unit-Level Data'!$M:$M,TRUE,
          'Unit-Level Data'!$D:$D, INDIRECT("C"&amp;ROW()),
          'Unit-Level Data'!$B:$B, INDIRECT("B"&amp;ROW()))),"")</f>
      </c>
      <c r="P453" s="733" cm="1">
        <f t="array" aca="true" ref="P453" ca="true">COUNTIFS('Unit-Level Data'!$M:$M,TRUE,
          'Unit-Level Data'!$D:$D, INDIRECT("C"&amp;ROW()),
          'Unit-Level Data'!$B:$B, INDIRECT("B"&amp;ROW()))</f>
        <v>0</v>
      </c>
      <c r="Q453" s="738" t="str" cm="1">
        <f t="array" aca="true" ref="Q4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3" s="760" t="str" cm="1">
        <f t="array" aca="true" ref="R4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3" s="733" cm="1">
        <f t="array" aca="true" ref="S453" ca="true">COUNTIFS('Unit-Level Data'!$L:$L, "&gt;=" &amp; ($X$2 - Q$5),
          'Unit-Level Data'!$L:$L, "&lt;" &amp; $X$2,
          'Unit-Level Data'!$D:$D, INDIRECT("C"&amp;ROW()),
          'Unit-Level Data'!$B:$B, INDIRECT("B"&amp;ROW()))</f>
        <v>0</v>
      </c>
      <c r="T453" s="738" t="str" cm="1">
        <f t="array" aca="true" ref="T4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3" s="760" t="str" cm="1">
        <f t="array" aca="true" ref="U4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3" s="733" cm="1">
        <f t="array" aca="true" ref="V453" ca="true">COUNTIFS('Unit-Level Data'!$L:$L, "&gt;=" &amp; ($X$2 - T$5),
          'Unit-Level Data'!$L:$L, "&lt;" &amp; $X$2,
          'Unit-Level Data'!$D:$D, INDIRECT("C"&amp;ROW()),
          'Unit-Level Data'!$B:$B, INDIRECT("B"&amp;ROW()))</f>
        <v>0</v>
      </c>
      <c r="W453" s="738" t="str" cm="1">
        <f t="array" aca="true" ref="W4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3" s="760" t="str" cm="1">
        <f t="array" aca="true" ref="X4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3" s="733" cm="1">
        <f t="array" aca="true" ref="Y453" ca="true">COUNTIFS('Unit-Level Data'!$L:$L, "&gt;=" &amp; ($X$2 - W$5),
          'Unit-Level Data'!$L:$L, "&lt;" &amp; $X$2,
          'Unit-Level Data'!$D:$D, INDIRECT("C"&amp;ROW()),
          'Unit-Level Data'!$B:$B, INDIRECT("B"&amp;ROW()))</f>
        <v>0</v>
      </c>
      <c r="Z453" s="761"/>
      <c r="AA453" s="735" cm="1">
        <f t="array" aca="true" ref="AA453" ca="true">IFERROR(AVERAGEIFS(
  unit_details[Sqft],
  unit_details[Property Name], INDIRECT("B"&amp;ROW()),
  unit_details[Floorplan Name], INDIRECT("C"&amp;ROW()),
  unit_details[Beds], INDIRECT("D"&amp;ROW()),
  unit_details[Detected Unit Amenities], "*"&amp;$AB$3&amp;"*",
  unit_details[Leased Date], "&gt;=" &amp; ($X$2 - $AD$3)
),0)</f>
        <v>0</v>
      </c>
      <c r="AB453" s="734" cm="1">
        <f t="array" aca="true" ref="AB4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3" s="733" cm="1">
        <f t="array" aca="true" ref="AC453" ca="true">IFERROR(COUNTIFS(
  unit_details[Property Name], INDIRECT("B"&amp;ROW()),
  unit_details[Floorplan Name], INDIRECT("C"&amp;ROW()),
  unit_details[Beds], INDIRECT("D"&amp;ROW()),
  unit_details[Detected Unit Amenities], "*"&amp;$AB$3&amp;"*",
  unit_details[Leased Date], "&gt;=" &amp; ($X$2 - $AD$3)
),0)</f>
        <v>0</v>
      </c>
      <c r="AD453" s="735" cm="1">
        <f t="array" aca="true" ref="AD453" ca="true">IFERROR(AVERAGEIFS(
  unit_details[Sqft],
  unit_details[Property Name], INDIRECT("B"&amp;ROW()),
  unit_details[Floorplan Name], INDIRECT("C"&amp;ROW()),
  unit_details[Beds], INDIRECT("D"&amp;ROW()),
  unit_details[Detected Unit Amenities], "&lt;&gt;*"&amp;$AB$3&amp;"*",
  unit_details[Leased Date], "&gt;=" &amp; ($X$2 - $AD$3)
),0)</f>
        <v>0</v>
      </c>
      <c r="AE453" s="734" cm="1">
        <f t="array" aca="true" ref="AE4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3" s="733" cm="1">
        <f t="array" aca="true" ref="AF453" ca="true">IFERROR(COUNTIFS(
  unit_details[Property Name], INDIRECT("B"&amp;ROW()),
  unit_details[Floorplan Name], INDIRECT("C"&amp;ROW()),
  unit_details[Beds], INDIRECT("D"&amp;ROW()),
  unit_details[Detected Unit Amenities], "&lt;&gt;*"&amp;$AB$3&amp;"*",
  unit_details[Leased Date], "&gt;=" &amp; ($X$2 - $AD$3)
),0)</f>
        <v>0</v>
      </c>
      <c r="AG453" s="735"/>
      <c r="AH453" s="738">
        <f t="shared" ca="true" si="14"/>
        <v>0</v>
      </c>
      <c r="AI453" s="739">
        <f t="shared" ca="true" si="15"/>
        <v>0</v>
      </c>
    </row>
    <row r="454" spans="10:35">
      <c r="J454" s="345"/>
      <c r="N454" s="738" t="str" cm="1">
        <f t="array" aca="true" ref="N454" ca="true">IFERROR(IF($O$3="Chunk Rent",
AVERAGEIFS('Unit-Level Data'!$O:$O,'Unit-Level Data'!$M:$M,TRUE,
          'Unit-Level Data'!$D:$D, INDIRECT("C"&amp;ROW()),
          'Unit-Level Data'!$B:$B, INDIRECT("B"&amp;ROW())),
AVERAGEIFS('Unit-Level Data'!$P:$P,'Unit-Level Data'!$M:$M,TRUE,
          'Unit-Level Data'!$D:$D, INDIRECT("C"&amp;ROW()),
          'Unit-Level Data'!$B:$B, INDIRECT("B"&amp;ROW()))),"")</f>
      </c>
      <c r="O454" s="760" t="str" cm="1">
        <f t="array" aca="true" ref="O454" ca="true">IFERROR(IF($O$3="Chunk Rent",
AVERAGEIFS('Unit-Level Data'!$Q:$Q,'Unit-Level Data'!$M:$M,TRUE,
          'Unit-Level Data'!$D:$D, INDIRECT("C"&amp;ROW()),
          'Unit-Level Data'!$B:$B, INDIRECT("B"&amp;ROW())),
AVERAGEIFS('Unit-Level Data'!$R:$R,'Unit-Level Data'!$M:$M,TRUE,
          'Unit-Level Data'!$D:$D, INDIRECT("C"&amp;ROW()),
          'Unit-Level Data'!$B:$B, INDIRECT("B"&amp;ROW()))),"")</f>
      </c>
      <c r="P454" s="733" cm="1">
        <f t="array" aca="true" ref="P454" ca="true">COUNTIFS('Unit-Level Data'!$M:$M,TRUE,
          'Unit-Level Data'!$D:$D, INDIRECT("C"&amp;ROW()),
          'Unit-Level Data'!$B:$B, INDIRECT("B"&amp;ROW()))</f>
        <v>0</v>
      </c>
      <c r="Q454" s="738" t="str" cm="1">
        <f t="array" aca="true" ref="Q4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4" s="760" t="str" cm="1">
        <f t="array" aca="true" ref="R4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4" s="733" cm="1">
        <f t="array" aca="true" ref="S454" ca="true">COUNTIFS('Unit-Level Data'!$L:$L, "&gt;=" &amp; ($X$2 - Q$5),
          'Unit-Level Data'!$L:$L, "&lt;" &amp; $X$2,
          'Unit-Level Data'!$D:$D, INDIRECT("C"&amp;ROW()),
          'Unit-Level Data'!$B:$B, INDIRECT("B"&amp;ROW()))</f>
        <v>0</v>
      </c>
      <c r="T454" s="738" t="str" cm="1">
        <f t="array" aca="true" ref="T4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4" s="760" t="str" cm="1">
        <f t="array" aca="true" ref="U4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4" s="733" cm="1">
        <f t="array" aca="true" ref="V454" ca="true">COUNTIFS('Unit-Level Data'!$L:$L, "&gt;=" &amp; ($X$2 - T$5),
          'Unit-Level Data'!$L:$L, "&lt;" &amp; $X$2,
          'Unit-Level Data'!$D:$D, INDIRECT("C"&amp;ROW()),
          'Unit-Level Data'!$B:$B, INDIRECT("B"&amp;ROW()))</f>
        <v>0</v>
      </c>
      <c r="W454" s="738" t="str" cm="1">
        <f t="array" aca="true" ref="W4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4" s="760" t="str" cm="1">
        <f t="array" aca="true" ref="X4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4" s="733" cm="1">
        <f t="array" aca="true" ref="Y454" ca="true">COUNTIFS('Unit-Level Data'!$L:$L, "&gt;=" &amp; ($X$2 - W$5),
          'Unit-Level Data'!$L:$L, "&lt;" &amp; $X$2,
          'Unit-Level Data'!$D:$D, INDIRECT("C"&amp;ROW()),
          'Unit-Level Data'!$B:$B, INDIRECT("B"&amp;ROW()))</f>
        <v>0</v>
      </c>
      <c r="Z454" s="761"/>
      <c r="AA454" s="735" cm="1">
        <f t="array" aca="true" ref="AA454" ca="true">IFERROR(AVERAGEIFS(
  unit_details[Sqft],
  unit_details[Property Name], INDIRECT("B"&amp;ROW()),
  unit_details[Floorplan Name], INDIRECT("C"&amp;ROW()),
  unit_details[Beds], INDIRECT("D"&amp;ROW()),
  unit_details[Detected Unit Amenities], "*"&amp;$AB$3&amp;"*",
  unit_details[Leased Date], "&gt;=" &amp; ($X$2 - $AD$3)
),0)</f>
        <v>0</v>
      </c>
      <c r="AB454" s="734" cm="1">
        <f t="array" aca="true" ref="AB4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4" s="733" cm="1">
        <f t="array" aca="true" ref="AC454" ca="true">IFERROR(COUNTIFS(
  unit_details[Property Name], INDIRECT("B"&amp;ROW()),
  unit_details[Floorplan Name], INDIRECT("C"&amp;ROW()),
  unit_details[Beds], INDIRECT("D"&amp;ROW()),
  unit_details[Detected Unit Amenities], "*"&amp;$AB$3&amp;"*",
  unit_details[Leased Date], "&gt;=" &amp; ($X$2 - $AD$3)
),0)</f>
        <v>0</v>
      </c>
      <c r="AD454" s="735" cm="1">
        <f t="array" aca="true" ref="AD454" ca="true">IFERROR(AVERAGEIFS(
  unit_details[Sqft],
  unit_details[Property Name], INDIRECT("B"&amp;ROW()),
  unit_details[Floorplan Name], INDIRECT("C"&amp;ROW()),
  unit_details[Beds], INDIRECT("D"&amp;ROW()),
  unit_details[Detected Unit Amenities], "&lt;&gt;*"&amp;$AB$3&amp;"*",
  unit_details[Leased Date], "&gt;=" &amp; ($X$2 - $AD$3)
),0)</f>
        <v>0</v>
      </c>
      <c r="AE454" s="734" cm="1">
        <f t="array" aca="true" ref="AE4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4" s="733" cm="1">
        <f t="array" aca="true" ref="AF454" ca="true">IFERROR(COUNTIFS(
  unit_details[Property Name], INDIRECT("B"&amp;ROW()),
  unit_details[Floorplan Name], INDIRECT("C"&amp;ROW()),
  unit_details[Beds], INDIRECT("D"&amp;ROW()),
  unit_details[Detected Unit Amenities], "&lt;&gt;*"&amp;$AB$3&amp;"*",
  unit_details[Leased Date], "&gt;=" &amp; ($X$2 - $AD$3)
),0)</f>
        <v>0</v>
      </c>
      <c r="AG454" s="735"/>
      <c r="AH454" s="738">
        <f t="shared" ca="true" si="14"/>
        <v>0</v>
      </c>
      <c r="AI454" s="739">
        <f t="shared" ca="true" si="15"/>
        <v>0</v>
      </c>
    </row>
    <row r="455" spans="10:35">
      <c r="J455" s="345"/>
      <c r="N455" s="738" t="str" cm="1">
        <f t="array" aca="true" ref="N455" ca="true">IFERROR(IF($O$3="Chunk Rent",
AVERAGEIFS('Unit-Level Data'!$O:$O,'Unit-Level Data'!$M:$M,TRUE,
          'Unit-Level Data'!$D:$D, INDIRECT("C"&amp;ROW()),
          'Unit-Level Data'!$B:$B, INDIRECT("B"&amp;ROW())),
AVERAGEIFS('Unit-Level Data'!$P:$P,'Unit-Level Data'!$M:$M,TRUE,
          'Unit-Level Data'!$D:$D, INDIRECT("C"&amp;ROW()),
          'Unit-Level Data'!$B:$B, INDIRECT("B"&amp;ROW()))),"")</f>
      </c>
      <c r="O455" s="760" t="str" cm="1">
        <f t="array" aca="true" ref="O455" ca="true">IFERROR(IF($O$3="Chunk Rent",
AVERAGEIFS('Unit-Level Data'!$Q:$Q,'Unit-Level Data'!$M:$M,TRUE,
          'Unit-Level Data'!$D:$D, INDIRECT("C"&amp;ROW()),
          'Unit-Level Data'!$B:$B, INDIRECT("B"&amp;ROW())),
AVERAGEIFS('Unit-Level Data'!$R:$R,'Unit-Level Data'!$M:$M,TRUE,
          'Unit-Level Data'!$D:$D, INDIRECT("C"&amp;ROW()),
          'Unit-Level Data'!$B:$B, INDIRECT("B"&amp;ROW()))),"")</f>
      </c>
      <c r="P455" s="733" cm="1">
        <f t="array" aca="true" ref="P455" ca="true">COUNTIFS('Unit-Level Data'!$M:$M,TRUE,
          'Unit-Level Data'!$D:$D, INDIRECT("C"&amp;ROW()),
          'Unit-Level Data'!$B:$B, INDIRECT("B"&amp;ROW()))</f>
        <v>0</v>
      </c>
      <c r="Q455" s="738" t="str" cm="1">
        <f t="array" aca="true" ref="Q4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5" s="760" t="str" cm="1">
        <f t="array" aca="true" ref="R4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5" s="733" cm="1">
        <f t="array" aca="true" ref="S455" ca="true">COUNTIFS('Unit-Level Data'!$L:$L, "&gt;=" &amp; ($X$2 - Q$5),
          'Unit-Level Data'!$L:$L, "&lt;" &amp; $X$2,
          'Unit-Level Data'!$D:$D, INDIRECT("C"&amp;ROW()),
          'Unit-Level Data'!$B:$B, INDIRECT("B"&amp;ROW()))</f>
        <v>0</v>
      </c>
      <c r="T455" s="738" t="str" cm="1">
        <f t="array" aca="true" ref="T4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5" s="760" t="str" cm="1">
        <f t="array" aca="true" ref="U4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5" s="733" cm="1">
        <f t="array" aca="true" ref="V455" ca="true">COUNTIFS('Unit-Level Data'!$L:$L, "&gt;=" &amp; ($X$2 - T$5),
          'Unit-Level Data'!$L:$L, "&lt;" &amp; $X$2,
          'Unit-Level Data'!$D:$D, INDIRECT("C"&amp;ROW()),
          'Unit-Level Data'!$B:$B, INDIRECT("B"&amp;ROW()))</f>
        <v>0</v>
      </c>
      <c r="W455" s="738" t="str" cm="1">
        <f t="array" aca="true" ref="W4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5" s="760" t="str" cm="1">
        <f t="array" aca="true" ref="X4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5" s="733" cm="1">
        <f t="array" aca="true" ref="Y455" ca="true">COUNTIFS('Unit-Level Data'!$L:$L, "&gt;=" &amp; ($X$2 - W$5),
          'Unit-Level Data'!$L:$L, "&lt;" &amp; $X$2,
          'Unit-Level Data'!$D:$D, INDIRECT("C"&amp;ROW()),
          'Unit-Level Data'!$B:$B, INDIRECT("B"&amp;ROW()))</f>
        <v>0</v>
      </c>
      <c r="Z455" s="761"/>
      <c r="AA455" s="735" cm="1">
        <f t="array" aca="true" ref="AA455" ca="true">IFERROR(AVERAGEIFS(
  unit_details[Sqft],
  unit_details[Property Name], INDIRECT("B"&amp;ROW()),
  unit_details[Floorplan Name], INDIRECT("C"&amp;ROW()),
  unit_details[Beds], INDIRECT("D"&amp;ROW()),
  unit_details[Detected Unit Amenities], "*"&amp;$AB$3&amp;"*",
  unit_details[Leased Date], "&gt;=" &amp; ($X$2 - $AD$3)
),0)</f>
        <v>0</v>
      </c>
      <c r="AB455" s="734" cm="1">
        <f t="array" aca="true" ref="AB4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5" s="733" cm="1">
        <f t="array" aca="true" ref="AC455" ca="true">IFERROR(COUNTIFS(
  unit_details[Property Name], INDIRECT("B"&amp;ROW()),
  unit_details[Floorplan Name], INDIRECT("C"&amp;ROW()),
  unit_details[Beds], INDIRECT("D"&amp;ROW()),
  unit_details[Detected Unit Amenities], "*"&amp;$AB$3&amp;"*",
  unit_details[Leased Date], "&gt;=" &amp; ($X$2 - $AD$3)
),0)</f>
        <v>0</v>
      </c>
      <c r="AD455" s="735" cm="1">
        <f t="array" aca="true" ref="AD455" ca="true">IFERROR(AVERAGEIFS(
  unit_details[Sqft],
  unit_details[Property Name], INDIRECT("B"&amp;ROW()),
  unit_details[Floorplan Name], INDIRECT("C"&amp;ROW()),
  unit_details[Beds], INDIRECT("D"&amp;ROW()),
  unit_details[Detected Unit Amenities], "&lt;&gt;*"&amp;$AB$3&amp;"*",
  unit_details[Leased Date], "&gt;=" &amp; ($X$2 - $AD$3)
),0)</f>
        <v>0</v>
      </c>
      <c r="AE455" s="734" cm="1">
        <f t="array" aca="true" ref="AE4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5" s="733" cm="1">
        <f t="array" aca="true" ref="AF455" ca="true">IFERROR(COUNTIFS(
  unit_details[Property Name], INDIRECT("B"&amp;ROW()),
  unit_details[Floorplan Name], INDIRECT("C"&amp;ROW()),
  unit_details[Beds], INDIRECT("D"&amp;ROW()),
  unit_details[Detected Unit Amenities], "&lt;&gt;*"&amp;$AB$3&amp;"*",
  unit_details[Leased Date], "&gt;=" &amp; ($X$2 - $AD$3)
),0)</f>
        <v>0</v>
      </c>
      <c r="AG455" s="735"/>
      <c r="AH455" s="738">
        <f t="shared" ca="true" si="14"/>
        <v>0</v>
      </c>
      <c r="AI455" s="739">
        <f t="shared" ca="true" si="15"/>
        <v>0</v>
      </c>
    </row>
    <row r="456" spans="10:35">
      <c r="J456" s="345"/>
      <c r="N456" s="738" t="str" cm="1">
        <f t="array" aca="true" ref="N456" ca="true">IFERROR(IF($O$3="Chunk Rent",
AVERAGEIFS('Unit-Level Data'!$O:$O,'Unit-Level Data'!$M:$M,TRUE,
          'Unit-Level Data'!$D:$D, INDIRECT("C"&amp;ROW()),
          'Unit-Level Data'!$B:$B, INDIRECT("B"&amp;ROW())),
AVERAGEIFS('Unit-Level Data'!$P:$P,'Unit-Level Data'!$M:$M,TRUE,
          'Unit-Level Data'!$D:$D, INDIRECT("C"&amp;ROW()),
          'Unit-Level Data'!$B:$B, INDIRECT("B"&amp;ROW()))),"")</f>
      </c>
      <c r="O456" s="760" t="str" cm="1">
        <f t="array" aca="true" ref="O456" ca="true">IFERROR(IF($O$3="Chunk Rent",
AVERAGEIFS('Unit-Level Data'!$Q:$Q,'Unit-Level Data'!$M:$M,TRUE,
          'Unit-Level Data'!$D:$D, INDIRECT("C"&amp;ROW()),
          'Unit-Level Data'!$B:$B, INDIRECT("B"&amp;ROW())),
AVERAGEIFS('Unit-Level Data'!$R:$R,'Unit-Level Data'!$M:$M,TRUE,
          'Unit-Level Data'!$D:$D, INDIRECT("C"&amp;ROW()),
          'Unit-Level Data'!$B:$B, INDIRECT("B"&amp;ROW()))),"")</f>
      </c>
      <c r="P456" s="733" cm="1">
        <f t="array" aca="true" ref="P456" ca="true">COUNTIFS('Unit-Level Data'!$M:$M,TRUE,
          'Unit-Level Data'!$D:$D, INDIRECT("C"&amp;ROW()),
          'Unit-Level Data'!$B:$B, INDIRECT("B"&amp;ROW()))</f>
        <v>0</v>
      </c>
      <c r="Q456" s="738" t="str" cm="1">
        <f t="array" aca="true" ref="Q4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6" s="760" t="str" cm="1">
        <f t="array" aca="true" ref="R4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6" s="733" cm="1">
        <f t="array" aca="true" ref="S456" ca="true">COUNTIFS('Unit-Level Data'!$L:$L, "&gt;=" &amp; ($X$2 - Q$5),
          'Unit-Level Data'!$L:$L, "&lt;" &amp; $X$2,
          'Unit-Level Data'!$D:$D, INDIRECT("C"&amp;ROW()),
          'Unit-Level Data'!$B:$B, INDIRECT("B"&amp;ROW()))</f>
        <v>0</v>
      </c>
      <c r="T456" s="738" t="str" cm="1">
        <f t="array" aca="true" ref="T4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6" s="760" t="str" cm="1">
        <f t="array" aca="true" ref="U4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6" s="733" cm="1">
        <f t="array" aca="true" ref="V456" ca="true">COUNTIFS('Unit-Level Data'!$L:$L, "&gt;=" &amp; ($X$2 - T$5),
          'Unit-Level Data'!$L:$L, "&lt;" &amp; $X$2,
          'Unit-Level Data'!$D:$D, INDIRECT("C"&amp;ROW()),
          'Unit-Level Data'!$B:$B, INDIRECT("B"&amp;ROW()))</f>
        <v>0</v>
      </c>
      <c r="W456" s="738" t="str" cm="1">
        <f t="array" aca="true" ref="W4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6" s="760" t="str" cm="1">
        <f t="array" aca="true" ref="X4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6" s="733" cm="1">
        <f t="array" aca="true" ref="Y456" ca="true">COUNTIFS('Unit-Level Data'!$L:$L, "&gt;=" &amp; ($X$2 - W$5),
          'Unit-Level Data'!$L:$L, "&lt;" &amp; $X$2,
          'Unit-Level Data'!$D:$D, INDIRECT("C"&amp;ROW()),
          'Unit-Level Data'!$B:$B, INDIRECT("B"&amp;ROW()))</f>
        <v>0</v>
      </c>
      <c r="Z456" s="761"/>
      <c r="AA456" s="735" cm="1">
        <f t="array" aca="true" ref="AA456" ca="true">IFERROR(AVERAGEIFS(
  unit_details[Sqft],
  unit_details[Property Name], INDIRECT("B"&amp;ROW()),
  unit_details[Floorplan Name], INDIRECT("C"&amp;ROW()),
  unit_details[Beds], INDIRECT("D"&amp;ROW()),
  unit_details[Detected Unit Amenities], "*"&amp;$AB$3&amp;"*",
  unit_details[Leased Date], "&gt;=" &amp; ($X$2 - $AD$3)
),0)</f>
        <v>0</v>
      </c>
      <c r="AB456" s="734" cm="1">
        <f t="array" aca="true" ref="AB4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6" s="733" cm="1">
        <f t="array" aca="true" ref="AC456" ca="true">IFERROR(COUNTIFS(
  unit_details[Property Name], INDIRECT("B"&amp;ROW()),
  unit_details[Floorplan Name], INDIRECT("C"&amp;ROW()),
  unit_details[Beds], INDIRECT("D"&amp;ROW()),
  unit_details[Detected Unit Amenities], "*"&amp;$AB$3&amp;"*",
  unit_details[Leased Date], "&gt;=" &amp; ($X$2 - $AD$3)
),0)</f>
        <v>0</v>
      </c>
      <c r="AD456" s="735" cm="1">
        <f t="array" aca="true" ref="AD456" ca="true">IFERROR(AVERAGEIFS(
  unit_details[Sqft],
  unit_details[Property Name], INDIRECT("B"&amp;ROW()),
  unit_details[Floorplan Name], INDIRECT("C"&amp;ROW()),
  unit_details[Beds], INDIRECT("D"&amp;ROW()),
  unit_details[Detected Unit Amenities], "&lt;&gt;*"&amp;$AB$3&amp;"*",
  unit_details[Leased Date], "&gt;=" &amp; ($X$2 - $AD$3)
),0)</f>
        <v>0</v>
      </c>
      <c r="AE456" s="734" cm="1">
        <f t="array" aca="true" ref="AE4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6" s="733" cm="1">
        <f t="array" aca="true" ref="AF456" ca="true">IFERROR(COUNTIFS(
  unit_details[Property Name], INDIRECT("B"&amp;ROW()),
  unit_details[Floorplan Name], INDIRECT("C"&amp;ROW()),
  unit_details[Beds], INDIRECT("D"&amp;ROW()),
  unit_details[Detected Unit Amenities], "&lt;&gt;*"&amp;$AB$3&amp;"*",
  unit_details[Leased Date], "&gt;=" &amp; ($X$2 - $AD$3)
),0)</f>
        <v>0</v>
      </c>
      <c r="AG456" s="735"/>
      <c r="AH456" s="738">
        <f t="shared" ca="true" si="14"/>
        <v>0</v>
      </c>
      <c r="AI456" s="739">
        <f t="shared" ca="true" si="15"/>
        <v>0</v>
      </c>
    </row>
    <row r="457" spans="10:35">
      <c r="J457" s="345"/>
      <c r="N457" s="738" t="str" cm="1">
        <f t="array" aca="true" ref="N457" ca="true">IFERROR(IF($O$3="Chunk Rent",
AVERAGEIFS('Unit-Level Data'!$O:$O,'Unit-Level Data'!$M:$M,TRUE,
          'Unit-Level Data'!$D:$D, INDIRECT("C"&amp;ROW()),
          'Unit-Level Data'!$B:$B, INDIRECT("B"&amp;ROW())),
AVERAGEIFS('Unit-Level Data'!$P:$P,'Unit-Level Data'!$M:$M,TRUE,
          'Unit-Level Data'!$D:$D, INDIRECT("C"&amp;ROW()),
          'Unit-Level Data'!$B:$B, INDIRECT("B"&amp;ROW()))),"")</f>
      </c>
      <c r="O457" s="760" t="str" cm="1">
        <f t="array" aca="true" ref="O457" ca="true">IFERROR(IF($O$3="Chunk Rent",
AVERAGEIFS('Unit-Level Data'!$Q:$Q,'Unit-Level Data'!$M:$M,TRUE,
          'Unit-Level Data'!$D:$D, INDIRECT("C"&amp;ROW()),
          'Unit-Level Data'!$B:$B, INDIRECT("B"&amp;ROW())),
AVERAGEIFS('Unit-Level Data'!$R:$R,'Unit-Level Data'!$M:$M,TRUE,
          'Unit-Level Data'!$D:$D, INDIRECT("C"&amp;ROW()),
          'Unit-Level Data'!$B:$B, INDIRECT("B"&amp;ROW()))),"")</f>
      </c>
      <c r="P457" s="733" cm="1">
        <f t="array" aca="true" ref="P457" ca="true">COUNTIFS('Unit-Level Data'!$M:$M,TRUE,
          'Unit-Level Data'!$D:$D, INDIRECT("C"&amp;ROW()),
          'Unit-Level Data'!$B:$B, INDIRECT("B"&amp;ROW()))</f>
        <v>0</v>
      </c>
      <c r="Q457" s="738" t="str" cm="1">
        <f t="array" aca="true" ref="Q4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7" s="760" t="str" cm="1">
        <f t="array" aca="true" ref="R4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7" s="733" cm="1">
        <f t="array" aca="true" ref="S457" ca="true">COUNTIFS('Unit-Level Data'!$L:$L, "&gt;=" &amp; ($X$2 - Q$5),
          'Unit-Level Data'!$L:$L, "&lt;" &amp; $X$2,
          'Unit-Level Data'!$D:$D, INDIRECT("C"&amp;ROW()),
          'Unit-Level Data'!$B:$B, INDIRECT("B"&amp;ROW()))</f>
        <v>0</v>
      </c>
      <c r="T457" s="738" t="str" cm="1">
        <f t="array" aca="true" ref="T4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7" s="760" t="str" cm="1">
        <f t="array" aca="true" ref="U4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7" s="733" cm="1">
        <f t="array" aca="true" ref="V457" ca="true">COUNTIFS('Unit-Level Data'!$L:$L, "&gt;=" &amp; ($X$2 - T$5),
          'Unit-Level Data'!$L:$L, "&lt;" &amp; $X$2,
          'Unit-Level Data'!$D:$D, INDIRECT("C"&amp;ROW()),
          'Unit-Level Data'!$B:$B, INDIRECT("B"&amp;ROW()))</f>
        <v>0</v>
      </c>
      <c r="W457" s="738" t="str" cm="1">
        <f t="array" aca="true" ref="W4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7" s="760" t="str" cm="1">
        <f t="array" aca="true" ref="X4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7" s="733" cm="1">
        <f t="array" aca="true" ref="Y457" ca="true">COUNTIFS('Unit-Level Data'!$L:$L, "&gt;=" &amp; ($X$2 - W$5),
          'Unit-Level Data'!$L:$L, "&lt;" &amp; $X$2,
          'Unit-Level Data'!$D:$D, INDIRECT("C"&amp;ROW()),
          'Unit-Level Data'!$B:$B, INDIRECT("B"&amp;ROW()))</f>
        <v>0</v>
      </c>
      <c r="Z457" s="761"/>
      <c r="AA457" s="735" cm="1">
        <f t="array" aca="true" ref="AA457" ca="true">IFERROR(AVERAGEIFS(
  unit_details[Sqft],
  unit_details[Property Name], INDIRECT("B"&amp;ROW()),
  unit_details[Floorplan Name], INDIRECT("C"&amp;ROW()),
  unit_details[Beds], INDIRECT("D"&amp;ROW()),
  unit_details[Detected Unit Amenities], "*"&amp;$AB$3&amp;"*",
  unit_details[Leased Date], "&gt;=" &amp; ($X$2 - $AD$3)
),0)</f>
        <v>0</v>
      </c>
      <c r="AB457" s="734" cm="1">
        <f t="array" aca="true" ref="AB4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7" s="733" cm="1">
        <f t="array" aca="true" ref="AC457" ca="true">IFERROR(COUNTIFS(
  unit_details[Property Name], INDIRECT("B"&amp;ROW()),
  unit_details[Floorplan Name], INDIRECT("C"&amp;ROW()),
  unit_details[Beds], INDIRECT("D"&amp;ROW()),
  unit_details[Detected Unit Amenities], "*"&amp;$AB$3&amp;"*",
  unit_details[Leased Date], "&gt;=" &amp; ($X$2 - $AD$3)
),0)</f>
        <v>0</v>
      </c>
      <c r="AD457" s="735" cm="1">
        <f t="array" aca="true" ref="AD457" ca="true">IFERROR(AVERAGEIFS(
  unit_details[Sqft],
  unit_details[Property Name], INDIRECT("B"&amp;ROW()),
  unit_details[Floorplan Name], INDIRECT("C"&amp;ROW()),
  unit_details[Beds], INDIRECT("D"&amp;ROW()),
  unit_details[Detected Unit Amenities], "&lt;&gt;*"&amp;$AB$3&amp;"*",
  unit_details[Leased Date], "&gt;=" &amp; ($X$2 - $AD$3)
),0)</f>
        <v>0</v>
      </c>
      <c r="AE457" s="734" cm="1">
        <f t="array" aca="true" ref="AE4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7" s="733" cm="1">
        <f t="array" aca="true" ref="AF457" ca="true">IFERROR(COUNTIFS(
  unit_details[Property Name], INDIRECT("B"&amp;ROW()),
  unit_details[Floorplan Name], INDIRECT("C"&amp;ROW()),
  unit_details[Beds], INDIRECT("D"&amp;ROW()),
  unit_details[Detected Unit Amenities], "&lt;&gt;*"&amp;$AB$3&amp;"*",
  unit_details[Leased Date], "&gt;=" &amp; ($X$2 - $AD$3)
),0)</f>
        <v>0</v>
      </c>
      <c r="AG457" s="735"/>
      <c r="AH457" s="738">
        <f t="shared" ref="AH457:AH506" ca="true" si="16">IF(OR(AB457=0,AE457=0),0,IFERROR(AB457-AE457,0))</f>
        <v>0</v>
      </c>
      <c r="AI457" s="739">
        <f t="shared" ref="AI457:AI506" ca="true" si="17">IFERROR(AH457/AE457,0)</f>
        <v>0</v>
      </c>
    </row>
    <row r="458" spans="10:35">
      <c r="J458" s="345"/>
      <c r="N458" s="738" t="str" cm="1">
        <f t="array" aca="true" ref="N458" ca="true">IFERROR(IF($O$3="Chunk Rent",
AVERAGEIFS('Unit-Level Data'!$O:$O,'Unit-Level Data'!$M:$M,TRUE,
          'Unit-Level Data'!$D:$D, INDIRECT("C"&amp;ROW()),
          'Unit-Level Data'!$B:$B, INDIRECT("B"&amp;ROW())),
AVERAGEIFS('Unit-Level Data'!$P:$P,'Unit-Level Data'!$M:$M,TRUE,
          'Unit-Level Data'!$D:$D, INDIRECT("C"&amp;ROW()),
          'Unit-Level Data'!$B:$B, INDIRECT("B"&amp;ROW()))),"")</f>
      </c>
      <c r="O458" s="760" t="str" cm="1">
        <f t="array" aca="true" ref="O458" ca="true">IFERROR(IF($O$3="Chunk Rent",
AVERAGEIFS('Unit-Level Data'!$Q:$Q,'Unit-Level Data'!$M:$M,TRUE,
          'Unit-Level Data'!$D:$D, INDIRECT("C"&amp;ROW()),
          'Unit-Level Data'!$B:$B, INDIRECT("B"&amp;ROW())),
AVERAGEIFS('Unit-Level Data'!$R:$R,'Unit-Level Data'!$M:$M,TRUE,
          'Unit-Level Data'!$D:$D, INDIRECT("C"&amp;ROW()),
          'Unit-Level Data'!$B:$B, INDIRECT("B"&amp;ROW()))),"")</f>
      </c>
      <c r="P458" s="733" cm="1">
        <f t="array" aca="true" ref="P458" ca="true">COUNTIFS('Unit-Level Data'!$M:$M,TRUE,
          'Unit-Level Data'!$D:$D, INDIRECT("C"&amp;ROW()),
          'Unit-Level Data'!$B:$B, INDIRECT("B"&amp;ROW()))</f>
        <v>0</v>
      </c>
      <c r="Q458" s="738" t="str" cm="1">
        <f t="array" aca="true" ref="Q4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8" s="760" t="str" cm="1">
        <f t="array" aca="true" ref="R4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8" s="733" cm="1">
        <f t="array" aca="true" ref="S458" ca="true">COUNTIFS('Unit-Level Data'!$L:$L, "&gt;=" &amp; ($X$2 - Q$5),
          'Unit-Level Data'!$L:$L, "&lt;" &amp; $X$2,
          'Unit-Level Data'!$D:$D, INDIRECT("C"&amp;ROW()),
          'Unit-Level Data'!$B:$B, INDIRECT("B"&amp;ROW()))</f>
        <v>0</v>
      </c>
      <c r="T458" s="738" t="str" cm="1">
        <f t="array" aca="true" ref="T4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8" s="760" t="str" cm="1">
        <f t="array" aca="true" ref="U4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8" s="733" cm="1">
        <f t="array" aca="true" ref="V458" ca="true">COUNTIFS('Unit-Level Data'!$L:$L, "&gt;=" &amp; ($X$2 - T$5),
          'Unit-Level Data'!$L:$L, "&lt;" &amp; $X$2,
          'Unit-Level Data'!$D:$D, INDIRECT("C"&amp;ROW()),
          'Unit-Level Data'!$B:$B, INDIRECT("B"&amp;ROW()))</f>
        <v>0</v>
      </c>
      <c r="W458" s="738" t="str" cm="1">
        <f t="array" aca="true" ref="W4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8" s="760" t="str" cm="1">
        <f t="array" aca="true" ref="X4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8" s="733" cm="1">
        <f t="array" aca="true" ref="Y458" ca="true">COUNTIFS('Unit-Level Data'!$L:$L, "&gt;=" &amp; ($X$2 - W$5),
          'Unit-Level Data'!$L:$L, "&lt;" &amp; $X$2,
          'Unit-Level Data'!$D:$D, INDIRECT("C"&amp;ROW()),
          'Unit-Level Data'!$B:$B, INDIRECT("B"&amp;ROW()))</f>
        <v>0</v>
      </c>
      <c r="Z458" s="761"/>
      <c r="AA458" s="735" cm="1">
        <f t="array" aca="true" ref="AA458" ca="true">IFERROR(AVERAGEIFS(
  unit_details[Sqft],
  unit_details[Property Name], INDIRECT("B"&amp;ROW()),
  unit_details[Floorplan Name], INDIRECT("C"&amp;ROW()),
  unit_details[Beds], INDIRECT("D"&amp;ROW()),
  unit_details[Detected Unit Amenities], "*"&amp;$AB$3&amp;"*",
  unit_details[Leased Date], "&gt;=" &amp; ($X$2 - $AD$3)
),0)</f>
        <v>0</v>
      </c>
      <c r="AB458" s="734" cm="1">
        <f t="array" aca="true" ref="AB4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8" s="733" cm="1">
        <f t="array" aca="true" ref="AC458" ca="true">IFERROR(COUNTIFS(
  unit_details[Property Name], INDIRECT("B"&amp;ROW()),
  unit_details[Floorplan Name], INDIRECT("C"&amp;ROW()),
  unit_details[Beds], INDIRECT("D"&amp;ROW()),
  unit_details[Detected Unit Amenities], "*"&amp;$AB$3&amp;"*",
  unit_details[Leased Date], "&gt;=" &amp; ($X$2 - $AD$3)
),0)</f>
        <v>0</v>
      </c>
      <c r="AD458" s="735" cm="1">
        <f t="array" aca="true" ref="AD458" ca="true">IFERROR(AVERAGEIFS(
  unit_details[Sqft],
  unit_details[Property Name], INDIRECT("B"&amp;ROW()),
  unit_details[Floorplan Name], INDIRECT("C"&amp;ROW()),
  unit_details[Beds], INDIRECT("D"&amp;ROW()),
  unit_details[Detected Unit Amenities], "&lt;&gt;*"&amp;$AB$3&amp;"*",
  unit_details[Leased Date], "&gt;=" &amp; ($X$2 - $AD$3)
),0)</f>
        <v>0</v>
      </c>
      <c r="AE458" s="734" cm="1">
        <f t="array" aca="true" ref="AE4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8" s="733" cm="1">
        <f t="array" aca="true" ref="AF458" ca="true">IFERROR(COUNTIFS(
  unit_details[Property Name], INDIRECT("B"&amp;ROW()),
  unit_details[Floorplan Name], INDIRECT("C"&amp;ROW()),
  unit_details[Beds], INDIRECT("D"&amp;ROW()),
  unit_details[Detected Unit Amenities], "&lt;&gt;*"&amp;$AB$3&amp;"*",
  unit_details[Leased Date], "&gt;=" &amp; ($X$2 - $AD$3)
),0)</f>
        <v>0</v>
      </c>
      <c r="AG458" s="735"/>
      <c r="AH458" s="738">
        <f t="shared" ca="true" si="16"/>
        <v>0</v>
      </c>
      <c r="AI458" s="739">
        <f t="shared" ca="true" si="17"/>
        <v>0</v>
      </c>
    </row>
    <row r="459" spans="10:35">
      <c r="J459" s="345"/>
      <c r="N459" s="738" t="str" cm="1">
        <f t="array" aca="true" ref="N459" ca="true">IFERROR(IF($O$3="Chunk Rent",
AVERAGEIFS('Unit-Level Data'!$O:$O,'Unit-Level Data'!$M:$M,TRUE,
          'Unit-Level Data'!$D:$D, INDIRECT("C"&amp;ROW()),
          'Unit-Level Data'!$B:$B, INDIRECT("B"&amp;ROW())),
AVERAGEIFS('Unit-Level Data'!$P:$P,'Unit-Level Data'!$M:$M,TRUE,
          'Unit-Level Data'!$D:$D, INDIRECT("C"&amp;ROW()),
          'Unit-Level Data'!$B:$B, INDIRECT("B"&amp;ROW()))),"")</f>
      </c>
      <c r="O459" s="760" t="str" cm="1">
        <f t="array" aca="true" ref="O459" ca="true">IFERROR(IF($O$3="Chunk Rent",
AVERAGEIFS('Unit-Level Data'!$Q:$Q,'Unit-Level Data'!$M:$M,TRUE,
          'Unit-Level Data'!$D:$D, INDIRECT("C"&amp;ROW()),
          'Unit-Level Data'!$B:$B, INDIRECT("B"&amp;ROW())),
AVERAGEIFS('Unit-Level Data'!$R:$R,'Unit-Level Data'!$M:$M,TRUE,
          'Unit-Level Data'!$D:$D, INDIRECT("C"&amp;ROW()),
          'Unit-Level Data'!$B:$B, INDIRECT("B"&amp;ROW()))),"")</f>
      </c>
      <c r="P459" s="733" cm="1">
        <f t="array" aca="true" ref="P459" ca="true">COUNTIFS('Unit-Level Data'!$M:$M,TRUE,
          'Unit-Level Data'!$D:$D, INDIRECT("C"&amp;ROW()),
          'Unit-Level Data'!$B:$B, INDIRECT("B"&amp;ROW()))</f>
        <v>0</v>
      </c>
      <c r="Q459" s="738" t="str" cm="1">
        <f t="array" aca="true" ref="Q4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9" s="760" t="str" cm="1">
        <f t="array" aca="true" ref="R4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9" s="733" cm="1">
        <f t="array" aca="true" ref="S459" ca="true">COUNTIFS('Unit-Level Data'!$L:$L, "&gt;=" &amp; ($X$2 - Q$5),
          'Unit-Level Data'!$L:$L, "&lt;" &amp; $X$2,
          'Unit-Level Data'!$D:$D, INDIRECT("C"&amp;ROW()),
          'Unit-Level Data'!$B:$B, INDIRECT("B"&amp;ROW()))</f>
        <v>0</v>
      </c>
      <c r="T459" s="738" t="str" cm="1">
        <f t="array" aca="true" ref="T4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9" s="760" t="str" cm="1">
        <f t="array" aca="true" ref="U4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9" s="733" cm="1">
        <f t="array" aca="true" ref="V459" ca="true">COUNTIFS('Unit-Level Data'!$L:$L, "&gt;=" &amp; ($X$2 - T$5),
          'Unit-Level Data'!$L:$L, "&lt;" &amp; $X$2,
          'Unit-Level Data'!$D:$D, INDIRECT("C"&amp;ROW()),
          'Unit-Level Data'!$B:$B, INDIRECT("B"&amp;ROW()))</f>
        <v>0</v>
      </c>
      <c r="W459" s="738" t="str" cm="1">
        <f t="array" aca="true" ref="W4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9" s="760" t="str" cm="1">
        <f t="array" aca="true" ref="X4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9" s="733" cm="1">
        <f t="array" aca="true" ref="Y459" ca="true">COUNTIFS('Unit-Level Data'!$L:$L, "&gt;=" &amp; ($X$2 - W$5),
          'Unit-Level Data'!$L:$L, "&lt;" &amp; $X$2,
          'Unit-Level Data'!$D:$D, INDIRECT("C"&amp;ROW()),
          'Unit-Level Data'!$B:$B, INDIRECT("B"&amp;ROW()))</f>
        <v>0</v>
      </c>
      <c r="Z459" s="761"/>
      <c r="AA459" s="735" cm="1">
        <f t="array" aca="true" ref="AA459" ca="true">IFERROR(AVERAGEIFS(
  unit_details[Sqft],
  unit_details[Property Name], INDIRECT("B"&amp;ROW()),
  unit_details[Floorplan Name], INDIRECT("C"&amp;ROW()),
  unit_details[Beds], INDIRECT("D"&amp;ROW()),
  unit_details[Detected Unit Amenities], "*"&amp;$AB$3&amp;"*",
  unit_details[Leased Date], "&gt;=" &amp; ($X$2 - $AD$3)
),0)</f>
        <v>0</v>
      </c>
      <c r="AB459" s="734" cm="1">
        <f t="array" aca="true" ref="AB4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9" s="733" cm="1">
        <f t="array" aca="true" ref="AC459" ca="true">IFERROR(COUNTIFS(
  unit_details[Property Name], INDIRECT("B"&amp;ROW()),
  unit_details[Floorplan Name], INDIRECT("C"&amp;ROW()),
  unit_details[Beds], INDIRECT("D"&amp;ROW()),
  unit_details[Detected Unit Amenities], "*"&amp;$AB$3&amp;"*",
  unit_details[Leased Date], "&gt;=" &amp; ($X$2 - $AD$3)
),0)</f>
        <v>0</v>
      </c>
      <c r="AD459" s="735" cm="1">
        <f t="array" aca="true" ref="AD459" ca="true">IFERROR(AVERAGEIFS(
  unit_details[Sqft],
  unit_details[Property Name], INDIRECT("B"&amp;ROW()),
  unit_details[Floorplan Name], INDIRECT("C"&amp;ROW()),
  unit_details[Beds], INDIRECT("D"&amp;ROW()),
  unit_details[Detected Unit Amenities], "&lt;&gt;*"&amp;$AB$3&amp;"*",
  unit_details[Leased Date], "&gt;=" &amp; ($X$2 - $AD$3)
),0)</f>
        <v>0</v>
      </c>
      <c r="AE459" s="734" cm="1">
        <f t="array" aca="true" ref="AE4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9" s="733" cm="1">
        <f t="array" aca="true" ref="AF459" ca="true">IFERROR(COUNTIFS(
  unit_details[Property Name], INDIRECT("B"&amp;ROW()),
  unit_details[Floorplan Name], INDIRECT("C"&amp;ROW()),
  unit_details[Beds], INDIRECT("D"&amp;ROW()),
  unit_details[Detected Unit Amenities], "&lt;&gt;*"&amp;$AB$3&amp;"*",
  unit_details[Leased Date], "&gt;=" &amp; ($X$2 - $AD$3)
),0)</f>
        <v>0</v>
      </c>
      <c r="AG459" s="735"/>
      <c r="AH459" s="738">
        <f t="shared" ca="true" si="16"/>
        <v>0</v>
      </c>
      <c r="AI459" s="739">
        <f t="shared" ca="true" si="17"/>
        <v>0</v>
      </c>
    </row>
    <row r="460" spans="10:35">
      <c r="J460" s="345"/>
      <c r="N460" s="738" t="str" cm="1">
        <f t="array" aca="true" ref="N460" ca="true">IFERROR(IF($O$3="Chunk Rent",
AVERAGEIFS('Unit-Level Data'!$O:$O,'Unit-Level Data'!$M:$M,TRUE,
          'Unit-Level Data'!$D:$D, INDIRECT("C"&amp;ROW()),
          'Unit-Level Data'!$B:$B, INDIRECT("B"&amp;ROW())),
AVERAGEIFS('Unit-Level Data'!$P:$P,'Unit-Level Data'!$M:$M,TRUE,
          'Unit-Level Data'!$D:$D, INDIRECT("C"&amp;ROW()),
          'Unit-Level Data'!$B:$B, INDIRECT("B"&amp;ROW()))),"")</f>
      </c>
      <c r="O460" s="760" t="str" cm="1">
        <f t="array" aca="true" ref="O460" ca="true">IFERROR(IF($O$3="Chunk Rent",
AVERAGEIFS('Unit-Level Data'!$Q:$Q,'Unit-Level Data'!$M:$M,TRUE,
          'Unit-Level Data'!$D:$D, INDIRECT("C"&amp;ROW()),
          'Unit-Level Data'!$B:$B, INDIRECT("B"&amp;ROW())),
AVERAGEIFS('Unit-Level Data'!$R:$R,'Unit-Level Data'!$M:$M,TRUE,
          'Unit-Level Data'!$D:$D, INDIRECT("C"&amp;ROW()),
          'Unit-Level Data'!$B:$B, INDIRECT("B"&amp;ROW()))),"")</f>
      </c>
      <c r="P460" s="733" cm="1">
        <f t="array" aca="true" ref="P460" ca="true">COUNTIFS('Unit-Level Data'!$M:$M,TRUE,
          'Unit-Level Data'!$D:$D, INDIRECT("C"&amp;ROW()),
          'Unit-Level Data'!$B:$B, INDIRECT("B"&amp;ROW()))</f>
        <v>0</v>
      </c>
      <c r="Q460" s="738" t="str" cm="1">
        <f t="array" aca="true" ref="Q4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0" s="760" t="str" cm="1">
        <f t="array" aca="true" ref="R4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0" s="733" cm="1">
        <f t="array" aca="true" ref="S460" ca="true">COUNTIFS('Unit-Level Data'!$L:$L, "&gt;=" &amp; ($X$2 - Q$5),
          'Unit-Level Data'!$L:$L, "&lt;" &amp; $X$2,
          'Unit-Level Data'!$D:$D, INDIRECT("C"&amp;ROW()),
          'Unit-Level Data'!$B:$B, INDIRECT("B"&amp;ROW()))</f>
        <v>0</v>
      </c>
      <c r="T460" s="738" t="str" cm="1">
        <f t="array" aca="true" ref="T4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0" s="760" t="str" cm="1">
        <f t="array" aca="true" ref="U4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0" s="733" cm="1">
        <f t="array" aca="true" ref="V460" ca="true">COUNTIFS('Unit-Level Data'!$L:$L, "&gt;=" &amp; ($X$2 - T$5),
          'Unit-Level Data'!$L:$L, "&lt;" &amp; $X$2,
          'Unit-Level Data'!$D:$D, INDIRECT("C"&amp;ROW()),
          'Unit-Level Data'!$B:$B, INDIRECT("B"&amp;ROW()))</f>
        <v>0</v>
      </c>
      <c r="W460" s="738" t="str" cm="1">
        <f t="array" aca="true" ref="W4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0" s="760" t="str" cm="1">
        <f t="array" aca="true" ref="X4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0" s="733" cm="1">
        <f t="array" aca="true" ref="Y460" ca="true">COUNTIFS('Unit-Level Data'!$L:$L, "&gt;=" &amp; ($X$2 - W$5),
          'Unit-Level Data'!$L:$L, "&lt;" &amp; $X$2,
          'Unit-Level Data'!$D:$D, INDIRECT("C"&amp;ROW()),
          'Unit-Level Data'!$B:$B, INDIRECT("B"&amp;ROW()))</f>
        <v>0</v>
      </c>
      <c r="Z460" s="761"/>
      <c r="AA460" s="735" cm="1">
        <f t="array" aca="true" ref="AA460" ca="true">IFERROR(AVERAGEIFS(
  unit_details[Sqft],
  unit_details[Property Name], INDIRECT("B"&amp;ROW()),
  unit_details[Floorplan Name], INDIRECT("C"&amp;ROW()),
  unit_details[Beds], INDIRECT("D"&amp;ROW()),
  unit_details[Detected Unit Amenities], "*"&amp;$AB$3&amp;"*",
  unit_details[Leased Date], "&gt;=" &amp; ($X$2 - $AD$3)
),0)</f>
        <v>0</v>
      </c>
      <c r="AB460" s="734" cm="1">
        <f t="array" aca="true" ref="AB4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0" s="733" cm="1">
        <f t="array" aca="true" ref="AC460" ca="true">IFERROR(COUNTIFS(
  unit_details[Property Name], INDIRECT("B"&amp;ROW()),
  unit_details[Floorplan Name], INDIRECT("C"&amp;ROW()),
  unit_details[Beds], INDIRECT("D"&amp;ROW()),
  unit_details[Detected Unit Amenities], "*"&amp;$AB$3&amp;"*",
  unit_details[Leased Date], "&gt;=" &amp; ($X$2 - $AD$3)
),0)</f>
        <v>0</v>
      </c>
      <c r="AD460" s="735" cm="1">
        <f t="array" aca="true" ref="AD460" ca="true">IFERROR(AVERAGEIFS(
  unit_details[Sqft],
  unit_details[Property Name], INDIRECT("B"&amp;ROW()),
  unit_details[Floorplan Name], INDIRECT("C"&amp;ROW()),
  unit_details[Beds], INDIRECT("D"&amp;ROW()),
  unit_details[Detected Unit Amenities], "&lt;&gt;*"&amp;$AB$3&amp;"*",
  unit_details[Leased Date], "&gt;=" &amp; ($X$2 - $AD$3)
),0)</f>
        <v>0</v>
      </c>
      <c r="AE460" s="734" cm="1">
        <f t="array" aca="true" ref="AE4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0" s="733" cm="1">
        <f t="array" aca="true" ref="AF460" ca="true">IFERROR(COUNTIFS(
  unit_details[Property Name], INDIRECT("B"&amp;ROW()),
  unit_details[Floorplan Name], INDIRECT("C"&amp;ROW()),
  unit_details[Beds], INDIRECT("D"&amp;ROW()),
  unit_details[Detected Unit Amenities], "&lt;&gt;*"&amp;$AB$3&amp;"*",
  unit_details[Leased Date], "&gt;=" &amp; ($X$2 - $AD$3)
),0)</f>
        <v>0</v>
      </c>
      <c r="AG460" s="735"/>
      <c r="AH460" s="738">
        <f t="shared" ca="true" si="16"/>
        <v>0</v>
      </c>
      <c r="AI460" s="739">
        <f t="shared" ca="true" si="17"/>
        <v>0</v>
      </c>
    </row>
    <row r="461" spans="10:35">
      <c r="J461" s="345"/>
      <c r="N461" s="738" t="str" cm="1">
        <f t="array" aca="true" ref="N461" ca="true">IFERROR(IF($O$3="Chunk Rent",
AVERAGEIFS('Unit-Level Data'!$O:$O,'Unit-Level Data'!$M:$M,TRUE,
          'Unit-Level Data'!$D:$D, INDIRECT("C"&amp;ROW()),
          'Unit-Level Data'!$B:$B, INDIRECT("B"&amp;ROW())),
AVERAGEIFS('Unit-Level Data'!$P:$P,'Unit-Level Data'!$M:$M,TRUE,
          'Unit-Level Data'!$D:$D, INDIRECT("C"&amp;ROW()),
          'Unit-Level Data'!$B:$B, INDIRECT("B"&amp;ROW()))),"")</f>
      </c>
      <c r="O461" s="760" t="str" cm="1">
        <f t="array" aca="true" ref="O461" ca="true">IFERROR(IF($O$3="Chunk Rent",
AVERAGEIFS('Unit-Level Data'!$Q:$Q,'Unit-Level Data'!$M:$M,TRUE,
          'Unit-Level Data'!$D:$D, INDIRECT("C"&amp;ROW()),
          'Unit-Level Data'!$B:$B, INDIRECT("B"&amp;ROW())),
AVERAGEIFS('Unit-Level Data'!$R:$R,'Unit-Level Data'!$M:$M,TRUE,
          'Unit-Level Data'!$D:$D, INDIRECT("C"&amp;ROW()),
          'Unit-Level Data'!$B:$B, INDIRECT("B"&amp;ROW()))),"")</f>
      </c>
      <c r="P461" s="733" cm="1">
        <f t="array" aca="true" ref="P461" ca="true">COUNTIFS('Unit-Level Data'!$M:$M,TRUE,
          'Unit-Level Data'!$D:$D, INDIRECT("C"&amp;ROW()),
          'Unit-Level Data'!$B:$B, INDIRECT("B"&amp;ROW()))</f>
        <v>0</v>
      </c>
      <c r="Q461" s="738" t="str" cm="1">
        <f t="array" aca="true" ref="Q4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1" s="760" t="str" cm="1">
        <f t="array" aca="true" ref="R4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1" s="733" cm="1">
        <f t="array" aca="true" ref="S461" ca="true">COUNTIFS('Unit-Level Data'!$L:$L, "&gt;=" &amp; ($X$2 - Q$5),
          'Unit-Level Data'!$L:$L, "&lt;" &amp; $X$2,
          'Unit-Level Data'!$D:$D, INDIRECT("C"&amp;ROW()),
          'Unit-Level Data'!$B:$B, INDIRECT("B"&amp;ROW()))</f>
        <v>0</v>
      </c>
      <c r="T461" s="738" t="str" cm="1">
        <f t="array" aca="true" ref="T4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1" s="760" t="str" cm="1">
        <f t="array" aca="true" ref="U4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1" s="733" cm="1">
        <f t="array" aca="true" ref="V461" ca="true">COUNTIFS('Unit-Level Data'!$L:$L, "&gt;=" &amp; ($X$2 - T$5),
          'Unit-Level Data'!$L:$L, "&lt;" &amp; $X$2,
          'Unit-Level Data'!$D:$D, INDIRECT("C"&amp;ROW()),
          'Unit-Level Data'!$B:$B, INDIRECT("B"&amp;ROW()))</f>
        <v>0</v>
      </c>
      <c r="W461" s="738" t="str" cm="1">
        <f t="array" aca="true" ref="W4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1" s="760" t="str" cm="1">
        <f t="array" aca="true" ref="X4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1" s="733" cm="1">
        <f t="array" aca="true" ref="Y461" ca="true">COUNTIFS('Unit-Level Data'!$L:$L, "&gt;=" &amp; ($X$2 - W$5),
          'Unit-Level Data'!$L:$L, "&lt;" &amp; $X$2,
          'Unit-Level Data'!$D:$D, INDIRECT("C"&amp;ROW()),
          'Unit-Level Data'!$B:$B, INDIRECT("B"&amp;ROW()))</f>
        <v>0</v>
      </c>
      <c r="Z461" s="761"/>
      <c r="AA461" s="735" cm="1">
        <f t="array" aca="true" ref="AA461" ca="true">IFERROR(AVERAGEIFS(
  unit_details[Sqft],
  unit_details[Property Name], INDIRECT("B"&amp;ROW()),
  unit_details[Floorplan Name], INDIRECT("C"&amp;ROW()),
  unit_details[Beds], INDIRECT("D"&amp;ROW()),
  unit_details[Detected Unit Amenities], "*"&amp;$AB$3&amp;"*",
  unit_details[Leased Date], "&gt;=" &amp; ($X$2 - $AD$3)
),0)</f>
        <v>0</v>
      </c>
      <c r="AB461" s="734" cm="1">
        <f t="array" aca="true" ref="AB4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1" s="733" cm="1">
        <f t="array" aca="true" ref="AC461" ca="true">IFERROR(COUNTIFS(
  unit_details[Property Name], INDIRECT("B"&amp;ROW()),
  unit_details[Floorplan Name], INDIRECT("C"&amp;ROW()),
  unit_details[Beds], INDIRECT("D"&amp;ROW()),
  unit_details[Detected Unit Amenities], "*"&amp;$AB$3&amp;"*",
  unit_details[Leased Date], "&gt;=" &amp; ($X$2 - $AD$3)
),0)</f>
        <v>0</v>
      </c>
      <c r="AD461" s="735" cm="1">
        <f t="array" aca="true" ref="AD461" ca="true">IFERROR(AVERAGEIFS(
  unit_details[Sqft],
  unit_details[Property Name], INDIRECT("B"&amp;ROW()),
  unit_details[Floorplan Name], INDIRECT("C"&amp;ROW()),
  unit_details[Beds], INDIRECT("D"&amp;ROW()),
  unit_details[Detected Unit Amenities], "&lt;&gt;*"&amp;$AB$3&amp;"*",
  unit_details[Leased Date], "&gt;=" &amp; ($X$2 - $AD$3)
),0)</f>
        <v>0</v>
      </c>
      <c r="AE461" s="734" cm="1">
        <f t="array" aca="true" ref="AE4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1" s="733" cm="1">
        <f t="array" aca="true" ref="AF461" ca="true">IFERROR(COUNTIFS(
  unit_details[Property Name], INDIRECT("B"&amp;ROW()),
  unit_details[Floorplan Name], INDIRECT("C"&amp;ROW()),
  unit_details[Beds], INDIRECT("D"&amp;ROW()),
  unit_details[Detected Unit Amenities], "&lt;&gt;*"&amp;$AB$3&amp;"*",
  unit_details[Leased Date], "&gt;=" &amp; ($X$2 - $AD$3)
),0)</f>
        <v>0</v>
      </c>
      <c r="AG461" s="735"/>
      <c r="AH461" s="738">
        <f t="shared" ca="true" si="16"/>
        <v>0</v>
      </c>
      <c r="AI461" s="739">
        <f t="shared" ca="true" si="17"/>
        <v>0</v>
      </c>
    </row>
    <row r="462" spans="10:35">
      <c r="J462" s="345"/>
      <c r="N462" s="738" t="str" cm="1">
        <f t="array" aca="true" ref="N462" ca="true">IFERROR(IF($O$3="Chunk Rent",
AVERAGEIFS('Unit-Level Data'!$O:$O,'Unit-Level Data'!$M:$M,TRUE,
          'Unit-Level Data'!$D:$D, INDIRECT("C"&amp;ROW()),
          'Unit-Level Data'!$B:$B, INDIRECT("B"&amp;ROW())),
AVERAGEIFS('Unit-Level Data'!$P:$P,'Unit-Level Data'!$M:$M,TRUE,
          'Unit-Level Data'!$D:$D, INDIRECT("C"&amp;ROW()),
          'Unit-Level Data'!$B:$B, INDIRECT("B"&amp;ROW()))),"")</f>
      </c>
      <c r="O462" s="760" t="str" cm="1">
        <f t="array" aca="true" ref="O462" ca="true">IFERROR(IF($O$3="Chunk Rent",
AVERAGEIFS('Unit-Level Data'!$Q:$Q,'Unit-Level Data'!$M:$M,TRUE,
          'Unit-Level Data'!$D:$D, INDIRECT("C"&amp;ROW()),
          'Unit-Level Data'!$B:$B, INDIRECT("B"&amp;ROW())),
AVERAGEIFS('Unit-Level Data'!$R:$R,'Unit-Level Data'!$M:$M,TRUE,
          'Unit-Level Data'!$D:$D, INDIRECT("C"&amp;ROW()),
          'Unit-Level Data'!$B:$B, INDIRECT("B"&amp;ROW()))),"")</f>
      </c>
      <c r="P462" s="733" cm="1">
        <f t="array" aca="true" ref="P462" ca="true">COUNTIFS('Unit-Level Data'!$M:$M,TRUE,
          'Unit-Level Data'!$D:$D, INDIRECT("C"&amp;ROW()),
          'Unit-Level Data'!$B:$B, INDIRECT("B"&amp;ROW()))</f>
        <v>0</v>
      </c>
      <c r="Q462" s="738" t="str" cm="1">
        <f t="array" aca="true" ref="Q4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2" s="760" t="str" cm="1">
        <f t="array" aca="true" ref="R4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2" s="733" cm="1">
        <f t="array" aca="true" ref="S462" ca="true">COUNTIFS('Unit-Level Data'!$L:$L, "&gt;=" &amp; ($X$2 - Q$5),
          'Unit-Level Data'!$L:$L, "&lt;" &amp; $X$2,
          'Unit-Level Data'!$D:$D, INDIRECT("C"&amp;ROW()),
          'Unit-Level Data'!$B:$B, INDIRECT("B"&amp;ROW()))</f>
        <v>0</v>
      </c>
      <c r="T462" s="738" t="str" cm="1">
        <f t="array" aca="true" ref="T4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2" s="760" t="str" cm="1">
        <f t="array" aca="true" ref="U4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2" s="733" cm="1">
        <f t="array" aca="true" ref="V462" ca="true">COUNTIFS('Unit-Level Data'!$L:$L, "&gt;=" &amp; ($X$2 - T$5),
          'Unit-Level Data'!$L:$L, "&lt;" &amp; $X$2,
          'Unit-Level Data'!$D:$D, INDIRECT("C"&amp;ROW()),
          'Unit-Level Data'!$B:$B, INDIRECT("B"&amp;ROW()))</f>
        <v>0</v>
      </c>
      <c r="W462" s="738" t="str" cm="1">
        <f t="array" aca="true" ref="W4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2" s="760" t="str" cm="1">
        <f t="array" aca="true" ref="X4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2" s="733" cm="1">
        <f t="array" aca="true" ref="Y462" ca="true">COUNTIFS('Unit-Level Data'!$L:$L, "&gt;=" &amp; ($X$2 - W$5),
          'Unit-Level Data'!$L:$L, "&lt;" &amp; $X$2,
          'Unit-Level Data'!$D:$D, INDIRECT("C"&amp;ROW()),
          'Unit-Level Data'!$B:$B, INDIRECT("B"&amp;ROW()))</f>
        <v>0</v>
      </c>
      <c r="Z462" s="761"/>
      <c r="AA462" s="735" cm="1">
        <f t="array" aca="true" ref="AA462" ca="true">IFERROR(AVERAGEIFS(
  unit_details[Sqft],
  unit_details[Property Name], INDIRECT("B"&amp;ROW()),
  unit_details[Floorplan Name], INDIRECT("C"&amp;ROW()),
  unit_details[Beds], INDIRECT("D"&amp;ROW()),
  unit_details[Detected Unit Amenities], "*"&amp;$AB$3&amp;"*",
  unit_details[Leased Date], "&gt;=" &amp; ($X$2 - $AD$3)
),0)</f>
        <v>0</v>
      </c>
      <c r="AB462" s="734" cm="1">
        <f t="array" aca="true" ref="AB4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2" s="733" cm="1">
        <f t="array" aca="true" ref="AC462" ca="true">IFERROR(COUNTIFS(
  unit_details[Property Name], INDIRECT("B"&amp;ROW()),
  unit_details[Floorplan Name], INDIRECT("C"&amp;ROW()),
  unit_details[Beds], INDIRECT("D"&amp;ROW()),
  unit_details[Detected Unit Amenities], "*"&amp;$AB$3&amp;"*",
  unit_details[Leased Date], "&gt;=" &amp; ($X$2 - $AD$3)
),0)</f>
        <v>0</v>
      </c>
      <c r="AD462" s="735" cm="1">
        <f t="array" aca="true" ref="AD462" ca="true">IFERROR(AVERAGEIFS(
  unit_details[Sqft],
  unit_details[Property Name], INDIRECT("B"&amp;ROW()),
  unit_details[Floorplan Name], INDIRECT("C"&amp;ROW()),
  unit_details[Beds], INDIRECT("D"&amp;ROW()),
  unit_details[Detected Unit Amenities], "&lt;&gt;*"&amp;$AB$3&amp;"*",
  unit_details[Leased Date], "&gt;=" &amp; ($X$2 - $AD$3)
),0)</f>
        <v>0</v>
      </c>
      <c r="AE462" s="734" cm="1">
        <f t="array" aca="true" ref="AE4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2" s="733" cm="1">
        <f t="array" aca="true" ref="AF462" ca="true">IFERROR(COUNTIFS(
  unit_details[Property Name], INDIRECT("B"&amp;ROW()),
  unit_details[Floorplan Name], INDIRECT("C"&amp;ROW()),
  unit_details[Beds], INDIRECT("D"&amp;ROW()),
  unit_details[Detected Unit Amenities], "&lt;&gt;*"&amp;$AB$3&amp;"*",
  unit_details[Leased Date], "&gt;=" &amp; ($X$2 - $AD$3)
),0)</f>
        <v>0</v>
      </c>
      <c r="AG462" s="735"/>
      <c r="AH462" s="738">
        <f t="shared" ca="true" si="16"/>
        <v>0</v>
      </c>
      <c r="AI462" s="739">
        <f t="shared" ca="true" si="17"/>
        <v>0</v>
      </c>
    </row>
    <row r="463" spans="10:35">
      <c r="J463" s="345"/>
      <c r="N463" s="738" t="str" cm="1">
        <f t="array" aca="true" ref="N463" ca="true">IFERROR(IF($O$3="Chunk Rent",
AVERAGEIFS('Unit-Level Data'!$O:$O,'Unit-Level Data'!$M:$M,TRUE,
          'Unit-Level Data'!$D:$D, INDIRECT("C"&amp;ROW()),
          'Unit-Level Data'!$B:$B, INDIRECT("B"&amp;ROW())),
AVERAGEIFS('Unit-Level Data'!$P:$P,'Unit-Level Data'!$M:$M,TRUE,
          'Unit-Level Data'!$D:$D, INDIRECT("C"&amp;ROW()),
          'Unit-Level Data'!$B:$B, INDIRECT("B"&amp;ROW()))),"")</f>
      </c>
      <c r="O463" s="760" t="str" cm="1">
        <f t="array" aca="true" ref="O463" ca="true">IFERROR(IF($O$3="Chunk Rent",
AVERAGEIFS('Unit-Level Data'!$Q:$Q,'Unit-Level Data'!$M:$M,TRUE,
          'Unit-Level Data'!$D:$D, INDIRECT("C"&amp;ROW()),
          'Unit-Level Data'!$B:$B, INDIRECT("B"&amp;ROW())),
AVERAGEIFS('Unit-Level Data'!$R:$R,'Unit-Level Data'!$M:$M,TRUE,
          'Unit-Level Data'!$D:$D, INDIRECT("C"&amp;ROW()),
          'Unit-Level Data'!$B:$B, INDIRECT("B"&amp;ROW()))),"")</f>
      </c>
      <c r="P463" s="733" cm="1">
        <f t="array" aca="true" ref="P463" ca="true">COUNTIFS('Unit-Level Data'!$M:$M,TRUE,
          'Unit-Level Data'!$D:$D, INDIRECT("C"&amp;ROW()),
          'Unit-Level Data'!$B:$B, INDIRECT("B"&amp;ROW()))</f>
        <v>0</v>
      </c>
      <c r="Q463" s="738" t="str" cm="1">
        <f t="array" aca="true" ref="Q4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3" s="760" t="str" cm="1">
        <f t="array" aca="true" ref="R4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3" s="733" cm="1">
        <f t="array" aca="true" ref="S463" ca="true">COUNTIFS('Unit-Level Data'!$L:$L, "&gt;=" &amp; ($X$2 - Q$5),
          'Unit-Level Data'!$L:$L, "&lt;" &amp; $X$2,
          'Unit-Level Data'!$D:$D, INDIRECT("C"&amp;ROW()),
          'Unit-Level Data'!$B:$B, INDIRECT("B"&amp;ROW()))</f>
        <v>0</v>
      </c>
      <c r="T463" s="738" t="str" cm="1">
        <f t="array" aca="true" ref="T4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3" s="760" t="str" cm="1">
        <f t="array" aca="true" ref="U4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3" s="733" cm="1">
        <f t="array" aca="true" ref="V463" ca="true">COUNTIFS('Unit-Level Data'!$L:$L, "&gt;=" &amp; ($X$2 - T$5),
          'Unit-Level Data'!$L:$L, "&lt;" &amp; $X$2,
          'Unit-Level Data'!$D:$D, INDIRECT("C"&amp;ROW()),
          'Unit-Level Data'!$B:$B, INDIRECT("B"&amp;ROW()))</f>
        <v>0</v>
      </c>
      <c r="W463" s="738" t="str" cm="1">
        <f t="array" aca="true" ref="W4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3" s="760" t="str" cm="1">
        <f t="array" aca="true" ref="X4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3" s="733" cm="1">
        <f t="array" aca="true" ref="Y463" ca="true">COUNTIFS('Unit-Level Data'!$L:$L, "&gt;=" &amp; ($X$2 - W$5),
          'Unit-Level Data'!$L:$L, "&lt;" &amp; $X$2,
          'Unit-Level Data'!$D:$D, INDIRECT("C"&amp;ROW()),
          'Unit-Level Data'!$B:$B, INDIRECT("B"&amp;ROW()))</f>
        <v>0</v>
      </c>
      <c r="Z463" s="761"/>
      <c r="AA463" s="735" cm="1">
        <f t="array" aca="true" ref="AA463" ca="true">IFERROR(AVERAGEIFS(
  unit_details[Sqft],
  unit_details[Property Name], INDIRECT("B"&amp;ROW()),
  unit_details[Floorplan Name], INDIRECT("C"&amp;ROW()),
  unit_details[Beds], INDIRECT("D"&amp;ROW()),
  unit_details[Detected Unit Amenities], "*"&amp;$AB$3&amp;"*",
  unit_details[Leased Date], "&gt;=" &amp; ($X$2 - $AD$3)
),0)</f>
        <v>0</v>
      </c>
      <c r="AB463" s="734" cm="1">
        <f t="array" aca="true" ref="AB4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3" s="733" cm="1">
        <f t="array" aca="true" ref="AC463" ca="true">IFERROR(COUNTIFS(
  unit_details[Property Name], INDIRECT("B"&amp;ROW()),
  unit_details[Floorplan Name], INDIRECT("C"&amp;ROW()),
  unit_details[Beds], INDIRECT("D"&amp;ROW()),
  unit_details[Detected Unit Amenities], "*"&amp;$AB$3&amp;"*",
  unit_details[Leased Date], "&gt;=" &amp; ($X$2 - $AD$3)
),0)</f>
        <v>0</v>
      </c>
      <c r="AD463" s="735" cm="1">
        <f t="array" aca="true" ref="AD463" ca="true">IFERROR(AVERAGEIFS(
  unit_details[Sqft],
  unit_details[Property Name], INDIRECT("B"&amp;ROW()),
  unit_details[Floorplan Name], INDIRECT("C"&amp;ROW()),
  unit_details[Beds], INDIRECT("D"&amp;ROW()),
  unit_details[Detected Unit Amenities], "&lt;&gt;*"&amp;$AB$3&amp;"*",
  unit_details[Leased Date], "&gt;=" &amp; ($X$2 - $AD$3)
),0)</f>
        <v>0</v>
      </c>
      <c r="AE463" s="734" cm="1">
        <f t="array" aca="true" ref="AE4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3" s="733" cm="1">
        <f t="array" aca="true" ref="AF463" ca="true">IFERROR(COUNTIFS(
  unit_details[Property Name], INDIRECT("B"&amp;ROW()),
  unit_details[Floorplan Name], INDIRECT("C"&amp;ROW()),
  unit_details[Beds], INDIRECT("D"&amp;ROW()),
  unit_details[Detected Unit Amenities], "&lt;&gt;*"&amp;$AB$3&amp;"*",
  unit_details[Leased Date], "&gt;=" &amp; ($X$2 - $AD$3)
),0)</f>
        <v>0</v>
      </c>
      <c r="AG463" s="735"/>
      <c r="AH463" s="738">
        <f t="shared" ca="true" si="16"/>
        <v>0</v>
      </c>
      <c r="AI463" s="739">
        <f t="shared" ca="true" si="17"/>
        <v>0</v>
      </c>
    </row>
    <row r="464" spans="10:35">
      <c r="J464" s="345"/>
      <c r="N464" s="738" t="str" cm="1">
        <f t="array" aca="true" ref="N464" ca="true">IFERROR(IF($O$3="Chunk Rent",
AVERAGEIFS('Unit-Level Data'!$O:$O,'Unit-Level Data'!$M:$M,TRUE,
          'Unit-Level Data'!$D:$D, INDIRECT("C"&amp;ROW()),
          'Unit-Level Data'!$B:$B, INDIRECT("B"&amp;ROW())),
AVERAGEIFS('Unit-Level Data'!$P:$P,'Unit-Level Data'!$M:$M,TRUE,
          'Unit-Level Data'!$D:$D, INDIRECT("C"&amp;ROW()),
          'Unit-Level Data'!$B:$B, INDIRECT("B"&amp;ROW()))),"")</f>
      </c>
      <c r="O464" s="760" t="str" cm="1">
        <f t="array" aca="true" ref="O464" ca="true">IFERROR(IF($O$3="Chunk Rent",
AVERAGEIFS('Unit-Level Data'!$Q:$Q,'Unit-Level Data'!$M:$M,TRUE,
          'Unit-Level Data'!$D:$D, INDIRECT("C"&amp;ROW()),
          'Unit-Level Data'!$B:$B, INDIRECT("B"&amp;ROW())),
AVERAGEIFS('Unit-Level Data'!$R:$R,'Unit-Level Data'!$M:$M,TRUE,
          'Unit-Level Data'!$D:$D, INDIRECT("C"&amp;ROW()),
          'Unit-Level Data'!$B:$B, INDIRECT("B"&amp;ROW()))),"")</f>
      </c>
      <c r="P464" s="733" cm="1">
        <f t="array" aca="true" ref="P464" ca="true">COUNTIFS('Unit-Level Data'!$M:$M,TRUE,
          'Unit-Level Data'!$D:$D, INDIRECT("C"&amp;ROW()),
          'Unit-Level Data'!$B:$B, INDIRECT("B"&amp;ROW()))</f>
        <v>0</v>
      </c>
      <c r="Q464" s="738" t="str" cm="1">
        <f t="array" aca="true" ref="Q4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4" s="760" t="str" cm="1">
        <f t="array" aca="true" ref="R4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4" s="733" cm="1">
        <f t="array" aca="true" ref="S464" ca="true">COUNTIFS('Unit-Level Data'!$L:$L, "&gt;=" &amp; ($X$2 - Q$5),
          'Unit-Level Data'!$L:$L, "&lt;" &amp; $X$2,
          'Unit-Level Data'!$D:$D, INDIRECT("C"&amp;ROW()),
          'Unit-Level Data'!$B:$B, INDIRECT("B"&amp;ROW()))</f>
        <v>0</v>
      </c>
      <c r="T464" s="738" t="str" cm="1">
        <f t="array" aca="true" ref="T4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4" s="760" t="str" cm="1">
        <f t="array" aca="true" ref="U4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4" s="733" cm="1">
        <f t="array" aca="true" ref="V464" ca="true">COUNTIFS('Unit-Level Data'!$L:$L, "&gt;=" &amp; ($X$2 - T$5),
          'Unit-Level Data'!$L:$L, "&lt;" &amp; $X$2,
          'Unit-Level Data'!$D:$D, INDIRECT("C"&amp;ROW()),
          'Unit-Level Data'!$B:$B, INDIRECT("B"&amp;ROW()))</f>
        <v>0</v>
      </c>
      <c r="W464" s="738" t="str" cm="1">
        <f t="array" aca="true" ref="W4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4" s="760" t="str" cm="1">
        <f t="array" aca="true" ref="X4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4" s="733" cm="1">
        <f t="array" aca="true" ref="Y464" ca="true">COUNTIFS('Unit-Level Data'!$L:$L, "&gt;=" &amp; ($X$2 - W$5),
          'Unit-Level Data'!$L:$L, "&lt;" &amp; $X$2,
          'Unit-Level Data'!$D:$D, INDIRECT("C"&amp;ROW()),
          'Unit-Level Data'!$B:$B, INDIRECT("B"&amp;ROW()))</f>
        <v>0</v>
      </c>
      <c r="Z464" s="761"/>
      <c r="AA464" s="735" cm="1">
        <f t="array" aca="true" ref="AA464" ca="true">IFERROR(AVERAGEIFS(
  unit_details[Sqft],
  unit_details[Property Name], INDIRECT("B"&amp;ROW()),
  unit_details[Floorplan Name], INDIRECT("C"&amp;ROW()),
  unit_details[Beds], INDIRECT("D"&amp;ROW()),
  unit_details[Detected Unit Amenities], "*"&amp;$AB$3&amp;"*",
  unit_details[Leased Date], "&gt;=" &amp; ($X$2 - $AD$3)
),0)</f>
        <v>0</v>
      </c>
      <c r="AB464" s="734" cm="1">
        <f t="array" aca="true" ref="AB4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4" s="733" cm="1">
        <f t="array" aca="true" ref="AC464" ca="true">IFERROR(COUNTIFS(
  unit_details[Property Name], INDIRECT("B"&amp;ROW()),
  unit_details[Floorplan Name], INDIRECT("C"&amp;ROW()),
  unit_details[Beds], INDIRECT("D"&amp;ROW()),
  unit_details[Detected Unit Amenities], "*"&amp;$AB$3&amp;"*",
  unit_details[Leased Date], "&gt;=" &amp; ($X$2 - $AD$3)
),0)</f>
        <v>0</v>
      </c>
      <c r="AD464" s="735" cm="1">
        <f t="array" aca="true" ref="AD464" ca="true">IFERROR(AVERAGEIFS(
  unit_details[Sqft],
  unit_details[Property Name], INDIRECT("B"&amp;ROW()),
  unit_details[Floorplan Name], INDIRECT("C"&amp;ROW()),
  unit_details[Beds], INDIRECT("D"&amp;ROW()),
  unit_details[Detected Unit Amenities], "&lt;&gt;*"&amp;$AB$3&amp;"*",
  unit_details[Leased Date], "&gt;=" &amp; ($X$2 - $AD$3)
),0)</f>
        <v>0</v>
      </c>
      <c r="AE464" s="734" cm="1">
        <f t="array" aca="true" ref="AE4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4" s="733" cm="1">
        <f t="array" aca="true" ref="AF464" ca="true">IFERROR(COUNTIFS(
  unit_details[Property Name], INDIRECT("B"&amp;ROW()),
  unit_details[Floorplan Name], INDIRECT("C"&amp;ROW()),
  unit_details[Beds], INDIRECT("D"&amp;ROW()),
  unit_details[Detected Unit Amenities], "&lt;&gt;*"&amp;$AB$3&amp;"*",
  unit_details[Leased Date], "&gt;=" &amp; ($X$2 - $AD$3)
),0)</f>
        <v>0</v>
      </c>
      <c r="AG464" s="735"/>
      <c r="AH464" s="738">
        <f t="shared" ca="true" si="16"/>
        <v>0</v>
      </c>
      <c r="AI464" s="739">
        <f t="shared" ca="true" si="17"/>
        <v>0</v>
      </c>
    </row>
    <row r="465" spans="10:35">
      <c r="J465" s="345"/>
      <c r="N465" s="738" t="str" cm="1">
        <f t="array" aca="true" ref="N465" ca="true">IFERROR(IF($O$3="Chunk Rent",
AVERAGEIFS('Unit-Level Data'!$O:$O,'Unit-Level Data'!$M:$M,TRUE,
          'Unit-Level Data'!$D:$D, INDIRECT("C"&amp;ROW()),
          'Unit-Level Data'!$B:$B, INDIRECT("B"&amp;ROW())),
AVERAGEIFS('Unit-Level Data'!$P:$P,'Unit-Level Data'!$M:$M,TRUE,
          'Unit-Level Data'!$D:$D, INDIRECT("C"&amp;ROW()),
          'Unit-Level Data'!$B:$B, INDIRECT("B"&amp;ROW()))),"")</f>
      </c>
      <c r="O465" s="760" t="str" cm="1">
        <f t="array" aca="true" ref="O465" ca="true">IFERROR(IF($O$3="Chunk Rent",
AVERAGEIFS('Unit-Level Data'!$Q:$Q,'Unit-Level Data'!$M:$M,TRUE,
          'Unit-Level Data'!$D:$D, INDIRECT("C"&amp;ROW()),
          'Unit-Level Data'!$B:$B, INDIRECT("B"&amp;ROW())),
AVERAGEIFS('Unit-Level Data'!$R:$R,'Unit-Level Data'!$M:$M,TRUE,
          'Unit-Level Data'!$D:$D, INDIRECT("C"&amp;ROW()),
          'Unit-Level Data'!$B:$B, INDIRECT("B"&amp;ROW()))),"")</f>
      </c>
      <c r="P465" s="733" cm="1">
        <f t="array" aca="true" ref="P465" ca="true">COUNTIFS('Unit-Level Data'!$M:$M,TRUE,
          'Unit-Level Data'!$D:$D, INDIRECT("C"&amp;ROW()),
          'Unit-Level Data'!$B:$B, INDIRECT("B"&amp;ROW()))</f>
        <v>0</v>
      </c>
      <c r="Q465" s="738" t="str" cm="1">
        <f t="array" aca="true" ref="Q4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5" s="760" t="str" cm="1">
        <f t="array" aca="true" ref="R4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5" s="733" cm="1">
        <f t="array" aca="true" ref="S465" ca="true">COUNTIFS('Unit-Level Data'!$L:$L, "&gt;=" &amp; ($X$2 - Q$5),
          'Unit-Level Data'!$L:$L, "&lt;" &amp; $X$2,
          'Unit-Level Data'!$D:$D, INDIRECT("C"&amp;ROW()),
          'Unit-Level Data'!$B:$B, INDIRECT("B"&amp;ROW()))</f>
        <v>0</v>
      </c>
      <c r="T465" s="738" t="str" cm="1">
        <f t="array" aca="true" ref="T4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5" s="760" t="str" cm="1">
        <f t="array" aca="true" ref="U4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5" s="733" cm="1">
        <f t="array" aca="true" ref="V465" ca="true">COUNTIFS('Unit-Level Data'!$L:$L, "&gt;=" &amp; ($X$2 - T$5),
          'Unit-Level Data'!$L:$L, "&lt;" &amp; $X$2,
          'Unit-Level Data'!$D:$D, INDIRECT("C"&amp;ROW()),
          'Unit-Level Data'!$B:$B, INDIRECT("B"&amp;ROW()))</f>
        <v>0</v>
      </c>
      <c r="W465" s="738" t="str" cm="1">
        <f t="array" aca="true" ref="W4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5" s="760" t="str" cm="1">
        <f t="array" aca="true" ref="X4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5" s="733" cm="1">
        <f t="array" aca="true" ref="Y465" ca="true">COUNTIFS('Unit-Level Data'!$L:$L, "&gt;=" &amp; ($X$2 - W$5),
          'Unit-Level Data'!$L:$L, "&lt;" &amp; $X$2,
          'Unit-Level Data'!$D:$D, INDIRECT("C"&amp;ROW()),
          'Unit-Level Data'!$B:$B, INDIRECT("B"&amp;ROW()))</f>
        <v>0</v>
      </c>
      <c r="Z465" s="761"/>
      <c r="AA465" s="735" cm="1">
        <f t="array" aca="true" ref="AA465" ca="true">IFERROR(AVERAGEIFS(
  unit_details[Sqft],
  unit_details[Property Name], INDIRECT("B"&amp;ROW()),
  unit_details[Floorplan Name], INDIRECT("C"&amp;ROW()),
  unit_details[Beds], INDIRECT("D"&amp;ROW()),
  unit_details[Detected Unit Amenities], "*"&amp;$AB$3&amp;"*",
  unit_details[Leased Date], "&gt;=" &amp; ($X$2 - $AD$3)
),0)</f>
        <v>0</v>
      </c>
      <c r="AB465" s="734" cm="1">
        <f t="array" aca="true" ref="AB4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5" s="733" cm="1">
        <f t="array" aca="true" ref="AC465" ca="true">IFERROR(COUNTIFS(
  unit_details[Property Name], INDIRECT("B"&amp;ROW()),
  unit_details[Floorplan Name], INDIRECT("C"&amp;ROW()),
  unit_details[Beds], INDIRECT("D"&amp;ROW()),
  unit_details[Detected Unit Amenities], "*"&amp;$AB$3&amp;"*",
  unit_details[Leased Date], "&gt;=" &amp; ($X$2 - $AD$3)
),0)</f>
        <v>0</v>
      </c>
      <c r="AD465" s="735" cm="1">
        <f t="array" aca="true" ref="AD465" ca="true">IFERROR(AVERAGEIFS(
  unit_details[Sqft],
  unit_details[Property Name], INDIRECT("B"&amp;ROW()),
  unit_details[Floorplan Name], INDIRECT("C"&amp;ROW()),
  unit_details[Beds], INDIRECT("D"&amp;ROW()),
  unit_details[Detected Unit Amenities], "&lt;&gt;*"&amp;$AB$3&amp;"*",
  unit_details[Leased Date], "&gt;=" &amp; ($X$2 - $AD$3)
),0)</f>
        <v>0</v>
      </c>
      <c r="AE465" s="734" cm="1">
        <f t="array" aca="true" ref="AE4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5" s="733" cm="1">
        <f t="array" aca="true" ref="AF465" ca="true">IFERROR(COUNTIFS(
  unit_details[Property Name], INDIRECT("B"&amp;ROW()),
  unit_details[Floorplan Name], INDIRECT("C"&amp;ROW()),
  unit_details[Beds], INDIRECT("D"&amp;ROW()),
  unit_details[Detected Unit Amenities], "&lt;&gt;*"&amp;$AB$3&amp;"*",
  unit_details[Leased Date], "&gt;=" &amp; ($X$2 - $AD$3)
),0)</f>
        <v>0</v>
      </c>
      <c r="AG465" s="735"/>
      <c r="AH465" s="738">
        <f t="shared" ca="true" si="16"/>
        <v>0</v>
      </c>
      <c r="AI465" s="739">
        <f t="shared" ca="true" si="17"/>
        <v>0</v>
      </c>
    </row>
    <row r="466" spans="10:35">
      <c r="J466" s="345"/>
      <c r="N466" s="738" t="str" cm="1">
        <f t="array" aca="true" ref="N466" ca="true">IFERROR(IF($O$3="Chunk Rent",
AVERAGEIFS('Unit-Level Data'!$O:$O,'Unit-Level Data'!$M:$M,TRUE,
          'Unit-Level Data'!$D:$D, INDIRECT("C"&amp;ROW()),
          'Unit-Level Data'!$B:$B, INDIRECT("B"&amp;ROW())),
AVERAGEIFS('Unit-Level Data'!$P:$P,'Unit-Level Data'!$M:$M,TRUE,
          'Unit-Level Data'!$D:$D, INDIRECT("C"&amp;ROW()),
          'Unit-Level Data'!$B:$B, INDIRECT("B"&amp;ROW()))),"")</f>
      </c>
      <c r="O466" s="760" t="str" cm="1">
        <f t="array" aca="true" ref="O466" ca="true">IFERROR(IF($O$3="Chunk Rent",
AVERAGEIFS('Unit-Level Data'!$Q:$Q,'Unit-Level Data'!$M:$M,TRUE,
          'Unit-Level Data'!$D:$D, INDIRECT("C"&amp;ROW()),
          'Unit-Level Data'!$B:$B, INDIRECT("B"&amp;ROW())),
AVERAGEIFS('Unit-Level Data'!$R:$R,'Unit-Level Data'!$M:$M,TRUE,
          'Unit-Level Data'!$D:$D, INDIRECT("C"&amp;ROW()),
          'Unit-Level Data'!$B:$B, INDIRECT("B"&amp;ROW()))),"")</f>
      </c>
      <c r="P466" s="733" cm="1">
        <f t="array" aca="true" ref="P466" ca="true">COUNTIFS('Unit-Level Data'!$M:$M,TRUE,
          'Unit-Level Data'!$D:$D, INDIRECT("C"&amp;ROW()),
          'Unit-Level Data'!$B:$B, INDIRECT("B"&amp;ROW()))</f>
        <v>0</v>
      </c>
      <c r="Q466" s="738" t="str" cm="1">
        <f t="array" aca="true" ref="Q4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6" s="760" t="str" cm="1">
        <f t="array" aca="true" ref="R4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6" s="733" cm="1">
        <f t="array" aca="true" ref="S466" ca="true">COUNTIFS('Unit-Level Data'!$L:$L, "&gt;=" &amp; ($X$2 - Q$5),
          'Unit-Level Data'!$L:$L, "&lt;" &amp; $X$2,
          'Unit-Level Data'!$D:$D, INDIRECT("C"&amp;ROW()),
          'Unit-Level Data'!$B:$B, INDIRECT("B"&amp;ROW()))</f>
        <v>0</v>
      </c>
      <c r="T466" s="738" t="str" cm="1">
        <f t="array" aca="true" ref="T4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6" s="760" t="str" cm="1">
        <f t="array" aca="true" ref="U4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6" s="733" cm="1">
        <f t="array" aca="true" ref="V466" ca="true">COUNTIFS('Unit-Level Data'!$L:$L, "&gt;=" &amp; ($X$2 - T$5),
          'Unit-Level Data'!$L:$L, "&lt;" &amp; $X$2,
          'Unit-Level Data'!$D:$D, INDIRECT("C"&amp;ROW()),
          'Unit-Level Data'!$B:$B, INDIRECT("B"&amp;ROW()))</f>
        <v>0</v>
      </c>
      <c r="W466" s="738" t="str" cm="1">
        <f t="array" aca="true" ref="W4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6" s="760" t="str" cm="1">
        <f t="array" aca="true" ref="X4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6" s="733" cm="1">
        <f t="array" aca="true" ref="Y466" ca="true">COUNTIFS('Unit-Level Data'!$L:$L, "&gt;=" &amp; ($X$2 - W$5),
          'Unit-Level Data'!$L:$L, "&lt;" &amp; $X$2,
          'Unit-Level Data'!$D:$D, INDIRECT("C"&amp;ROW()),
          'Unit-Level Data'!$B:$B, INDIRECT("B"&amp;ROW()))</f>
        <v>0</v>
      </c>
      <c r="Z466" s="761"/>
      <c r="AA466" s="735" cm="1">
        <f t="array" aca="true" ref="AA466" ca="true">IFERROR(AVERAGEIFS(
  unit_details[Sqft],
  unit_details[Property Name], INDIRECT("B"&amp;ROW()),
  unit_details[Floorplan Name], INDIRECT("C"&amp;ROW()),
  unit_details[Beds], INDIRECT("D"&amp;ROW()),
  unit_details[Detected Unit Amenities], "*"&amp;$AB$3&amp;"*",
  unit_details[Leased Date], "&gt;=" &amp; ($X$2 - $AD$3)
),0)</f>
        <v>0</v>
      </c>
      <c r="AB466" s="734" cm="1">
        <f t="array" aca="true" ref="AB4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6" s="733" cm="1">
        <f t="array" aca="true" ref="AC466" ca="true">IFERROR(COUNTIFS(
  unit_details[Property Name], INDIRECT("B"&amp;ROW()),
  unit_details[Floorplan Name], INDIRECT("C"&amp;ROW()),
  unit_details[Beds], INDIRECT("D"&amp;ROW()),
  unit_details[Detected Unit Amenities], "*"&amp;$AB$3&amp;"*",
  unit_details[Leased Date], "&gt;=" &amp; ($X$2 - $AD$3)
),0)</f>
        <v>0</v>
      </c>
      <c r="AD466" s="735" cm="1">
        <f t="array" aca="true" ref="AD466" ca="true">IFERROR(AVERAGEIFS(
  unit_details[Sqft],
  unit_details[Property Name], INDIRECT("B"&amp;ROW()),
  unit_details[Floorplan Name], INDIRECT("C"&amp;ROW()),
  unit_details[Beds], INDIRECT("D"&amp;ROW()),
  unit_details[Detected Unit Amenities], "&lt;&gt;*"&amp;$AB$3&amp;"*",
  unit_details[Leased Date], "&gt;=" &amp; ($X$2 - $AD$3)
),0)</f>
        <v>0</v>
      </c>
      <c r="AE466" s="734" cm="1">
        <f t="array" aca="true" ref="AE4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6" s="733" cm="1">
        <f t="array" aca="true" ref="AF466" ca="true">IFERROR(COUNTIFS(
  unit_details[Property Name], INDIRECT("B"&amp;ROW()),
  unit_details[Floorplan Name], INDIRECT("C"&amp;ROW()),
  unit_details[Beds], INDIRECT("D"&amp;ROW()),
  unit_details[Detected Unit Amenities], "&lt;&gt;*"&amp;$AB$3&amp;"*",
  unit_details[Leased Date], "&gt;=" &amp; ($X$2 - $AD$3)
),0)</f>
        <v>0</v>
      </c>
      <c r="AG466" s="735"/>
      <c r="AH466" s="738">
        <f t="shared" ca="true" si="16"/>
        <v>0</v>
      </c>
      <c r="AI466" s="739">
        <f t="shared" ca="true" si="17"/>
        <v>0</v>
      </c>
    </row>
    <row r="467" spans="10:35">
      <c r="J467" s="345"/>
      <c r="N467" s="738" t="str" cm="1">
        <f t="array" aca="true" ref="N467" ca="true">IFERROR(IF($O$3="Chunk Rent",
AVERAGEIFS('Unit-Level Data'!$O:$O,'Unit-Level Data'!$M:$M,TRUE,
          'Unit-Level Data'!$D:$D, INDIRECT("C"&amp;ROW()),
          'Unit-Level Data'!$B:$B, INDIRECT("B"&amp;ROW())),
AVERAGEIFS('Unit-Level Data'!$P:$P,'Unit-Level Data'!$M:$M,TRUE,
          'Unit-Level Data'!$D:$D, INDIRECT("C"&amp;ROW()),
          'Unit-Level Data'!$B:$B, INDIRECT("B"&amp;ROW()))),"")</f>
      </c>
      <c r="O467" s="760" t="str" cm="1">
        <f t="array" aca="true" ref="O467" ca="true">IFERROR(IF($O$3="Chunk Rent",
AVERAGEIFS('Unit-Level Data'!$Q:$Q,'Unit-Level Data'!$M:$M,TRUE,
          'Unit-Level Data'!$D:$D, INDIRECT("C"&amp;ROW()),
          'Unit-Level Data'!$B:$B, INDIRECT("B"&amp;ROW())),
AVERAGEIFS('Unit-Level Data'!$R:$R,'Unit-Level Data'!$M:$M,TRUE,
          'Unit-Level Data'!$D:$D, INDIRECT("C"&amp;ROW()),
          'Unit-Level Data'!$B:$B, INDIRECT("B"&amp;ROW()))),"")</f>
      </c>
      <c r="P467" s="733" cm="1">
        <f t="array" aca="true" ref="P467" ca="true">COUNTIFS('Unit-Level Data'!$M:$M,TRUE,
          'Unit-Level Data'!$D:$D, INDIRECT("C"&amp;ROW()),
          'Unit-Level Data'!$B:$B, INDIRECT("B"&amp;ROW()))</f>
        <v>0</v>
      </c>
      <c r="Q467" s="738" t="str" cm="1">
        <f t="array" aca="true" ref="Q4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7" s="760" t="str" cm="1">
        <f t="array" aca="true" ref="R4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7" s="733" cm="1">
        <f t="array" aca="true" ref="S467" ca="true">COUNTIFS('Unit-Level Data'!$L:$L, "&gt;=" &amp; ($X$2 - Q$5),
          'Unit-Level Data'!$L:$L, "&lt;" &amp; $X$2,
          'Unit-Level Data'!$D:$D, INDIRECT("C"&amp;ROW()),
          'Unit-Level Data'!$B:$B, INDIRECT("B"&amp;ROW()))</f>
        <v>0</v>
      </c>
      <c r="T467" s="738" t="str" cm="1">
        <f t="array" aca="true" ref="T4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7" s="760" t="str" cm="1">
        <f t="array" aca="true" ref="U4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7" s="733" cm="1">
        <f t="array" aca="true" ref="V467" ca="true">COUNTIFS('Unit-Level Data'!$L:$L, "&gt;=" &amp; ($X$2 - T$5),
          'Unit-Level Data'!$L:$L, "&lt;" &amp; $X$2,
          'Unit-Level Data'!$D:$D, INDIRECT("C"&amp;ROW()),
          'Unit-Level Data'!$B:$B, INDIRECT("B"&amp;ROW()))</f>
        <v>0</v>
      </c>
      <c r="W467" s="738" t="str" cm="1">
        <f t="array" aca="true" ref="W4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7" s="760" t="str" cm="1">
        <f t="array" aca="true" ref="X4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7" s="733" cm="1">
        <f t="array" aca="true" ref="Y467" ca="true">COUNTIFS('Unit-Level Data'!$L:$L, "&gt;=" &amp; ($X$2 - W$5),
          'Unit-Level Data'!$L:$L, "&lt;" &amp; $X$2,
          'Unit-Level Data'!$D:$D, INDIRECT("C"&amp;ROW()),
          'Unit-Level Data'!$B:$B, INDIRECT("B"&amp;ROW()))</f>
        <v>0</v>
      </c>
      <c r="Z467" s="761"/>
      <c r="AA467" s="735" cm="1">
        <f t="array" aca="true" ref="AA467" ca="true">IFERROR(AVERAGEIFS(
  unit_details[Sqft],
  unit_details[Property Name], INDIRECT("B"&amp;ROW()),
  unit_details[Floorplan Name], INDIRECT("C"&amp;ROW()),
  unit_details[Beds], INDIRECT("D"&amp;ROW()),
  unit_details[Detected Unit Amenities], "*"&amp;$AB$3&amp;"*",
  unit_details[Leased Date], "&gt;=" &amp; ($X$2 - $AD$3)
),0)</f>
        <v>0</v>
      </c>
      <c r="AB467" s="734" cm="1">
        <f t="array" aca="true" ref="AB4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7" s="733" cm="1">
        <f t="array" aca="true" ref="AC467" ca="true">IFERROR(COUNTIFS(
  unit_details[Property Name], INDIRECT("B"&amp;ROW()),
  unit_details[Floorplan Name], INDIRECT("C"&amp;ROW()),
  unit_details[Beds], INDIRECT("D"&amp;ROW()),
  unit_details[Detected Unit Amenities], "*"&amp;$AB$3&amp;"*",
  unit_details[Leased Date], "&gt;=" &amp; ($X$2 - $AD$3)
),0)</f>
        <v>0</v>
      </c>
      <c r="AD467" s="735" cm="1">
        <f t="array" aca="true" ref="AD467" ca="true">IFERROR(AVERAGEIFS(
  unit_details[Sqft],
  unit_details[Property Name], INDIRECT("B"&amp;ROW()),
  unit_details[Floorplan Name], INDIRECT("C"&amp;ROW()),
  unit_details[Beds], INDIRECT("D"&amp;ROW()),
  unit_details[Detected Unit Amenities], "&lt;&gt;*"&amp;$AB$3&amp;"*",
  unit_details[Leased Date], "&gt;=" &amp; ($X$2 - $AD$3)
),0)</f>
        <v>0</v>
      </c>
      <c r="AE467" s="734" cm="1">
        <f t="array" aca="true" ref="AE4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7" s="733" cm="1">
        <f t="array" aca="true" ref="AF467" ca="true">IFERROR(COUNTIFS(
  unit_details[Property Name], INDIRECT("B"&amp;ROW()),
  unit_details[Floorplan Name], INDIRECT("C"&amp;ROW()),
  unit_details[Beds], INDIRECT("D"&amp;ROW()),
  unit_details[Detected Unit Amenities], "&lt;&gt;*"&amp;$AB$3&amp;"*",
  unit_details[Leased Date], "&gt;=" &amp; ($X$2 - $AD$3)
),0)</f>
        <v>0</v>
      </c>
      <c r="AG467" s="735"/>
      <c r="AH467" s="738">
        <f t="shared" ca="true" si="16"/>
        <v>0</v>
      </c>
      <c r="AI467" s="739">
        <f t="shared" ca="true" si="17"/>
        <v>0</v>
      </c>
    </row>
    <row r="468" spans="10:35">
      <c r="J468" s="345"/>
      <c r="N468" s="738" t="str" cm="1">
        <f t="array" aca="true" ref="N468" ca="true">IFERROR(IF($O$3="Chunk Rent",
AVERAGEIFS('Unit-Level Data'!$O:$O,'Unit-Level Data'!$M:$M,TRUE,
          'Unit-Level Data'!$D:$D, INDIRECT("C"&amp;ROW()),
          'Unit-Level Data'!$B:$B, INDIRECT("B"&amp;ROW())),
AVERAGEIFS('Unit-Level Data'!$P:$P,'Unit-Level Data'!$M:$M,TRUE,
          'Unit-Level Data'!$D:$D, INDIRECT("C"&amp;ROW()),
          'Unit-Level Data'!$B:$B, INDIRECT("B"&amp;ROW()))),"")</f>
      </c>
      <c r="O468" s="760" t="str" cm="1">
        <f t="array" aca="true" ref="O468" ca="true">IFERROR(IF($O$3="Chunk Rent",
AVERAGEIFS('Unit-Level Data'!$Q:$Q,'Unit-Level Data'!$M:$M,TRUE,
          'Unit-Level Data'!$D:$D, INDIRECT("C"&amp;ROW()),
          'Unit-Level Data'!$B:$B, INDIRECT("B"&amp;ROW())),
AVERAGEIFS('Unit-Level Data'!$R:$R,'Unit-Level Data'!$M:$M,TRUE,
          'Unit-Level Data'!$D:$D, INDIRECT("C"&amp;ROW()),
          'Unit-Level Data'!$B:$B, INDIRECT("B"&amp;ROW()))),"")</f>
      </c>
      <c r="P468" s="733" cm="1">
        <f t="array" aca="true" ref="P468" ca="true">COUNTIFS('Unit-Level Data'!$M:$M,TRUE,
          'Unit-Level Data'!$D:$D, INDIRECT("C"&amp;ROW()),
          'Unit-Level Data'!$B:$B, INDIRECT("B"&amp;ROW()))</f>
        <v>0</v>
      </c>
      <c r="Q468" s="738" t="str" cm="1">
        <f t="array" aca="true" ref="Q4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8" s="760" t="str" cm="1">
        <f t="array" aca="true" ref="R4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8" s="733" cm="1">
        <f t="array" aca="true" ref="S468" ca="true">COUNTIFS('Unit-Level Data'!$L:$L, "&gt;=" &amp; ($X$2 - Q$5),
          'Unit-Level Data'!$L:$L, "&lt;" &amp; $X$2,
          'Unit-Level Data'!$D:$D, INDIRECT("C"&amp;ROW()),
          'Unit-Level Data'!$B:$B, INDIRECT("B"&amp;ROW()))</f>
        <v>0</v>
      </c>
      <c r="T468" s="738" t="str" cm="1">
        <f t="array" aca="true" ref="T4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8" s="760" t="str" cm="1">
        <f t="array" aca="true" ref="U4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8" s="733" cm="1">
        <f t="array" aca="true" ref="V468" ca="true">COUNTIFS('Unit-Level Data'!$L:$L, "&gt;=" &amp; ($X$2 - T$5),
          'Unit-Level Data'!$L:$L, "&lt;" &amp; $X$2,
          'Unit-Level Data'!$D:$D, INDIRECT("C"&amp;ROW()),
          'Unit-Level Data'!$B:$B, INDIRECT("B"&amp;ROW()))</f>
        <v>0</v>
      </c>
      <c r="W468" s="738" t="str" cm="1">
        <f t="array" aca="true" ref="W4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8" s="760" t="str" cm="1">
        <f t="array" aca="true" ref="X4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8" s="733" cm="1">
        <f t="array" aca="true" ref="Y468" ca="true">COUNTIFS('Unit-Level Data'!$L:$L, "&gt;=" &amp; ($X$2 - W$5),
          'Unit-Level Data'!$L:$L, "&lt;" &amp; $X$2,
          'Unit-Level Data'!$D:$D, INDIRECT("C"&amp;ROW()),
          'Unit-Level Data'!$B:$B, INDIRECT("B"&amp;ROW()))</f>
        <v>0</v>
      </c>
      <c r="Z468" s="761"/>
      <c r="AA468" s="735" cm="1">
        <f t="array" aca="true" ref="AA468" ca="true">IFERROR(AVERAGEIFS(
  unit_details[Sqft],
  unit_details[Property Name], INDIRECT("B"&amp;ROW()),
  unit_details[Floorplan Name], INDIRECT("C"&amp;ROW()),
  unit_details[Beds], INDIRECT("D"&amp;ROW()),
  unit_details[Detected Unit Amenities], "*"&amp;$AB$3&amp;"*",
  unit_details[Leased Date], "&gt;=" &amp; ($X$2 - $AD$3)
),0)</f>
        <v>0</v>
      </c>
      <c r="AB468" s="734" cm="1">
        <f t="array" aca="true" ref="AB4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8" s="733" cm="1">
        <f t="array" aca="true" ref="AC468" ca="true">IFERROR(COUNTIFS(
  unit_details[Property Name], INDIRECT("B"&amp;ROW()),
  unit_details[Floorplan Name], INDIRECT("C"&amp;ROW()),
  unit_details[Beds], INDIRECT("D"&amp;ROW()),
  unit_details[Detected Unit Amenities], "*"&amp;$AB$3&amp;"*",
  unit_details[Leased Date], "&gt;=" &amp; ($X$2 - $AD$3)
),0)</f>
        <v>0</v>
      </c>
      <c r="AD468" s="735" cm="1">
        <f t="array" aca="true" ref="AD468" ca="true">IFERROR(AVERAGEIFS(
  unit_details[Sqft],
  unit_details[Property Name], INDIRECT("B"&amp;ROW()),
  unit_details[Floorplan Name], INDIRECT("C"&amp;ROW()),
  unit_details[Beds], INDIRECT("D"&amp;ROW()),
  unit_details[Detected Unit Amenities], "&lt;&gt;*"&amp;$AB$3&amp;"*",
  unit_details[Leased Date], "&gt;=" &amp; ($X$2 - $AD$3)
),0)</f>
        <v>0</v>
      </c>
      <c r="AE468" s="734" cm="1">
        <f t="array" aca="true" ref="AE4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8" s="733" cm="1">
        <f t="array" aca="true" ref="AF468" ca="true">IFERROR(COUNTIFS(
  unit_details[Property Name], INDIRECT("B"&amp;ROW()),
  unit_details[Floorplan Name], INDIRECT("C"&amp;ROW()),
  unit_details[Beds], INDIRECT("D"&amp;ROW()),
  unit_details[Detected Unit Amenities], "&lt;&gt;*"&amp;$AB$3&amp;"*",
  unit_details[Leased Date], "&gt;=" &amp; ($X$2 - $AD$3)
),0)</f>
        <v>0</v>
      </c>
      <c r="AG468" s="735"/>
      <c r="AH468" s="738">
        <f t="shared" ca="true" si="16"/>
        <v>0</v>
      </c>
      <c r="AI468" s="739">
        <f t="shared" ca="true" si="17"/>
        <v>0</v>
      </c>
    </row>
    <row r="469" spans="10:35">
      <c r="J469" s="345"/>
      <c r="N469" s="738" t="str" cm="1">
        <f t="array" aca="true" ref="N469" ca="true">IFERROR(IF($O$3="Chunk Rent",
AVERAGEIFS('Unit-Level Data'!$O:$O,'Unit-Level Data'!$M:$M,TRUE,
          'Unit-Level Data'!$D:$D, INDIRECT("C"&amp;ROW()),
          'Unit-Level Data'!$B:$B, INDIRECT("B"&amp;ROW())),
AVERAGEIFS('Unit-Level Data'!$P:$P,'Unit-Level Data'!$M:$M,TRUE,
          'Unit-Level Data'!$D:$D, INDIRECT("C"&amp;ROW()),
          'Unit-Level Data'!$B:$B, INDIRECT("B"&amp;ROW()))),"")</f>
      </c>
      <c r="O469" s="760" t="str" cm="1">
        <f t="array" aca="true" ref="O469" ca="true">IFERROR(IF($O$3="Chunk Rent",
AVERAGEIFS('Unit-Level Data'!$Q:$Q,'Unit-Level Data'!$M:$M,TRUE,
          'Unit-Level Data'!$D:$D, INDIRECT("C"&amp;ROW()),
          'Unit-Level Data'!$B:$B, INDIRECT("B"&amp;ROW())),
AVERAGEIFS('Unit-Level Data'!$R:$R,'Unit-Level Data'!$M:$M,TRUE,
          'Unit-Level Data'!$D:$D, INDIRECT("C"&amp;ROW()),
          'Unit-Level Data'!$B:$B, INDIRECT("B"&amp;ROW()))),"")</f>
      </c>
      <c r="P469" s="733" cm="1">
        <f t="array" aca="true" ref="P469" ca="true">COUNTIFS('Unit-Level Data'!$M:$M,TRUE,
          'Unit-Level Data'!$D:$D, INDIRECT("C"&amp;ROW()),
          'Unit-Level Data'!$B:$B, INDIRECT("B"&amp;ROW()))</f>
        <v>0</v>
      </c>
      <c r="Q469" s="738" t="str" cm="1">
        <f t="array" aca="true" ref="Q4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9" s="760" t="str" cm="1">
        <f t="array" aca="true" ref="R4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9" s="733" cm="1">
        <f t="array" aca="true" ref="S469" ca="true">COUNTIFS('Unit-Level Data'!$L:$L, "&gt;=" &amp; ($X$2 - Q$5),
          'Unit-Level Data'!$L:$L, "&lt;" &amp; $X$2,
          'Unit-Level Data'!$D:$D, INDIRECT("C"&amp;ROW()),
          'Unit-Level Data'!$B:$B, INDIRECT("B"&amp;ROW()))</f>
        <v>0</v>
      </c>
      <c r="T469" s="738" t="str" cm="1">
        <f t="array" aca="true" ref="T4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9" s="760" t="str" cm="1">
        <f t="array" aca="true" ref="U4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9" s="733" cm="1">
        <f t="array" aca="true" ref="V469" ca="true">COUNTIFS('Unit-Level Data'!$L:$L, "&gt;=" &amp; ($X$2 - T$5),
          'Unit-Level Data'!$L:$L, "&lt;" &amp; $X$2,
          'Unit-Level Data'!$D:$D, INDIRECT("C"&amp;ROW()),
          'Unit-Level Data'!$B:$B, INDIRECT("B"&amp;ROW()))</f>
        <v>0</v>
      </c>
      <c r="W469" s="738" t="str" cm="1">
        <f t="array" aca="true" ref="W4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9" s="760" t="str" cm="1">
        <f t="array" aca="true" ref="X4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9" s="733" cm="1">
        <f t="array" aca="true" ref="Y469" ca="true">COUNTIFS('Unit-Level Data'!$L:$L, "&gt;=" &amp; ($X$2 - W$5),
          'Unit-Level Data'!$L:$L, "&lt;" &amp; $X$2,
          'Unit-Level Data'!$D:$D, INDIRECT("C"&amp;ROW()),
          'Unit-Level Data'!$B:$B, INDIRECT("B"&amp;ROW()))</f>
        <v>0</v>
      </c>
      <c r="Z469" s="761"/>
      <c r="AA469" s="735" cm="1">
        <f t="array" aca="true" ref="AA469" ca="true">IFERROR(AVERAGEIFS(
  unit_details[Sqft],
  unit_details[Property Name], INDIRECT("B"&amp;ROW()),
  unit_details[Floorplan Name], INDIRECT("C"&amp;ROW()),
  unit_details[Beds], INDIRECT("D"&amp;ROW()),
  unit_details[Detected Unit Amenities], "*"&amp;$AB$3&amp;"*",
  unit_details[Leased Date], "&gt;=" &amp; ($X$2 - $AD$3)
),0)</f>
        <v>0</v>
      </c>
      <c r="AB469" s="734" cm="1">
        <f t="array" aca="true" ref="AB4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9" s="733" cm="1">
        <f t="array" aca="true" ref="AC469" ca="true">IFERROR(COUNTIFS(
  unit_details[Property Name], INDIRECT("B"&amp;ROW()),
  unit_details[Floorplan Name], INDIRECT("C"&amp;ROW()),
  unit_details[Beds], INDIRECT("D"&amp;ROW()),
  unit_details[Detected Unit Amenities], "*"&amp;$AB$3&amp;"*",
  unit_details[Leased Date], "&gt;=" &amp; ($X$2 - $AD$3)
),0)</f>
        <v>0</v>
      </c>
      <c r="AD469" s="735" cm="1">
        <f t="array" aca="true" ref="AD469" ca="true">IFERROR(AVERAGEIFS(
  unit_details[Sqft],
  unit_details[Property Name], INDIRECT("B"&amp;ROW()),
  unit_details[Floorplan Name], INDIRECT("C"&amp;ROW()),
  unit_details[Beds], INDIRECT("D"&amp;ROW()),
  unit_details[Detected Unit Amenities], "&lt;&gt;*"&amp;$AB$3&amp;"*",
  unit_details[Leased Date], "&gt;=" &amp; ($X$2 - $AD$3)
),0)</f>
        <v>0</v>
      </c>
      <c r="AE469" s="734" cm="1">
        <f t="array" aca="true" ref="AE4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9" s="733" cm="1">
        <f t="array" aca="true" ref="AF469" ca="true">IFERROR(COUNTIFS(
  unit_details[Property Name], INDIRECT("B"&amp;ROW()),
  unit_details[Floorplan Name], INDIRECT("C"&amp;ROW()),
  unit_details[Beds], INDIRECT("D"&amp;ROW()),
  unit_details[Detected Unit Amenities], "&lt;&gt;*"&amp;$AB$3&amp;"*",
  unit_details[Leased Date], "&gt;=" &amp; ($X$2 - $AD$3)
),0)</f>
        <v>0</v>
      </c>
      <c r="AG469" s="735"/>
      <c r="AH469" s="738">
        <f t="shared" ca="true" si="16"/>
        <v>0</v>
      </c>
      <c r="AI469" s="739">
        <f t="shared" ca="true" si="17"/>
        <v>0</v>
      </c>
    </row>
    <row r="470" spans="10:35">
      <c r="J470" s="345"/>
      <c r="N470" s="738" t="str" cm="1">
        <f t="array" aca="true" ref="N470" ca="true">IFERROR(IF($O$3="Chunk Rent",
AVERAGEIFS('Unit-Level Data'!$O:$O,'Unit-Level Data'!$M:$M,TRUE,
          'Unit-Level Data'!$D:$D, INDIRECT("C"&amp;ROW()),
          'Unit-Level Data'!$B:$B, INDIRECT("B"&amp;ROW())),
AVERAGEIFS('Unit-Level Data'!$P:$P,'Unit-Level Data'!$M:$M,TRUE,
          'Unit-Level Data'!$D:$D, INDIRECT("C"&amp;ROW()),
          'Unit-Level Data'!$B:$B, INDIRECT("B"&amp;ROW()))),"")</f>
      </c>
      <c r="O470" s="760" t="str" cm="1">
        <f t="array" aca="true" ref="O470" ca="true">IFERROR(IF($O$3="Chunk Rent",
AVERAGEIFS('Unit-Level Data'!$Q:$Q,'Unit-Level Data'!$M:$M,TRUE,
          'Unit-Level Data'!$D:$D, INDIRECT("C"&amp;ROW()),
          'Unit-Level Data'!$B:$B, INDIRECT("B"&amp;ROW())),
AVERAGEIFS('Unit-Level Data'!$R:$R,'Unit-Level Data'!$M:$M,TRUE,
          'Unit-Level Data'!$D:$D, INDIRECT("C"&amp;ROW()),
          'Unit-Level Data'!$B:$B, INDIRECT("B"&amp;ROW()))),"")</f>
      </c>
      <c r="P470" s="733" cm="1">
        <f t="array" aca="true" ref="P470" ca="true">COUNTIFS('Unit-Level Data'!$M:$M,TRUE,
          'Unit-Level Data'!$D:$D, INDIRECT("C"&amp;ROW()),
          'Unit-Level Data'!$B:$B, INDIRECT("B"&amp;ROW()))</f>
        <v>0</v>
      </c>
      <c r="Q470" s="738" t="str" cm="1">
        <f t="array" aca="true" ref="Q4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0" s="760" t="str" cm="1">
        <f t="array" aca="true" ref="R4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0" s="733" cm="1">
        <f t="array" aca="true" ref="S470" ca="true">COUNTIFS('Unit-Level Data'!$L:$L, "&gt;=" &amp; ($X$2 - Q$5),
          'Unit-Level Data'!$L:$L, "&lt;" &amp; $X$2,
          'Unit-Level Data'!$D:$D, INDIRECT("C"&amp;ROW()),
          'Unit-Level Data'!$B:$B, INDIRECT("B"&amp;ROW()))</f>
        <v>0</v>
      </c>
      <c r="T470" s="738" t="str" cm="1">
        <f t="array" aca="true" ref="T4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0" s="760" t="str" cm="1">
        <f t="array" aca="true" ref="U4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0" s="733" cm="1">
        <f t="array" aca="true" ref="V470" ca="true">COUNTIFS('Unit-Level Data'!$L:$L, "&gt;=" &amp; ($X$2 - T$5),
          'Unit-Level Data'!$L:$L, "&lt;" &amp; $X$2,
          'Unit-Level Data'!$D:$D, INDIRECT("C"&amp;ROW()),
          'Unit-Level Data'!$B:$B, INDIRECT("B"&amp;ROW()))</f>
        <v>0</v>
      </c>
      <c r="W470" s="738" t="str" cm="1">
        <f t="array" aca="true" ref="W4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0" s="760" t="str" cm="1">
        <f t="array" aca="true" ref="X4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0" s="733" cm="1">
        <f t="array" aca="true" ref="Y470" ca="true">COUNTIFS('Unit-Level Data'!$L:$L, "&gt;=" &amp; ($X$2 - W$5),
          'Unit-Level Data'!$L:$L, "&lt;" &amp; $X$2,
          'Unit-Level Data'!$D:$D, INDIRECT("C"&amp;ROW()),
          'Unit-Level Data'!$B:$B, INDIRECT("B"&amp;ROW()))</f>
        <v>0</v>
      </c>
      <c r="Z470" s="761"/>
      <c r="AA470" s="735" cm="1">
        <f t="array" aca="true" ref="AA470" ca="true">IFERROR(AVERAGEIFS(
  unit_details[Sqft],
  unit_details[Property Name], INDIRECT("B"&amp;ROW()),
  unit_details[Floorplan Name], INDIRECT("C"&amp;ROW()),
  unit_details[Beds], INDIRECT("D"&amp;ROW()),
  unit_details[Detected Unit Amenities], "*"&amp;$AB$3&amp;"*",
  unit_details[Leased Date], "&gt;=" &amp; ($X$2 - $AD$3)
),0)</f>
        <v>0</v>
      </c>
      <c r="AB470" s="734" cm="1">
        <f t="array" aca="true" ref="AB4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0" s="733" cm="1">
        <f t="array" aca="true" ref="AC470" ca="true">IFERROR(COUNTIFS(
  unit_details[Property Name], INDIRECT("B"&amp;ROW()),
  unit_details[Floorplan Name], INDIRECT("C"&amp;ROW()),
  unit_details[Beds], INDIRECT("D"&amp;ROW()),
  unit_details[Detected Unit Amenities], "*"&amp;$AB$3&amp;"*",
  unit_details[Leased Date], "&gt;=" &amp; ($X$2 - $AD$3)
),0)</f>
        <v>0</v>
      </c>
      <c r="AD470" s="735" cm="1">
        <f t="array" aca="true" ref="AD470" ca="true">IFERROR(AVERAGEIFS(
  unit_details[Sqft],
  unit_details[Property Name], INDIRECT("B"&amp;ROW()),
  unit_details[Floorplan Name], INDIRECT("C"&amp;ROW()),
  unit_details[Beds], INDIRECT("D"&amp;ROW()),
  unit_details[Detected Unit Amenities], "&lt;&gt;*"&amp;$AB$3&amp;"*",
  unit_details[Leased Date], "&gt;=" &amp; ($X$2 - $AD$3)
),0)</f>
        <v>0</v>
      </c>
      <c r="AE470" s="734" cm="1">
        <f t="array" aca="true" ref="AE4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0" s="733" cm="1">
        <f t="array" aca="true" ref="AF470" ca="true">IFERROR(COUNTIFS(
  unit_details[Property Name], INDIRECT("B"&amp;ROW()),
  unit_details[Floorplan Name], INDIRECT("C"&amp;ROW()),
  unit_details[Beds], INDIRECT("D"&amp;ROW()),
  unit_details[Detected Unit Amenities], "&lt;&gt;*"&amp;$AB$3&amp;"*",
  unit_details[Leased Date], "&gt;=" &amp; ($X$2 - $AD$3)
),0)</f>
        <v>0</v>
      </c>
      <c r="AG470" s="735"/>
      <c r="AH470" s="738">
        <f t="shared" ca="true" si="16"/>
        <v>0</v>
      </c>
      <c r="AI470" s="739">
        <f t="shared" ca="true" si="17"/>
        <v>0</v>
      </c>
    </row>
    <row r="471" spans="10:35">
      <c r="J471" s="345"/>
      <c r="N471" s="738" t="str" cm="1">
        <f t="array" aca="true" ref="N471" ca="true">IFERROR(IF($O$3="Chunk Rent",
AVERAGEIFS('Unit-Level Data'!$O:$O,'Unit-Level Data'!$M:$M,TRUE,
          'Unit-Level Data'!$D:$D, INDIRECT("C"&amp;ROW()),
          'Unit-Level Data'!$B:$B, INDIRECT("B"&amp;ROW())),
AVERAGEIFS('Unit-Level Data'!$P:$P,'Unit-Level Data'!$M:$M,TRUE,
          'Unit-Level Data'!$D:$D, INDIRECT("C"&amp;ROW()),
          'Unit-Level Data'!$B:$B, INDIRECT("B"&amp;ROW()))),"")</f>
      </c>
      <c r="O471" s="760" t="str" cm="1">
        <f t="array" aca="true" ref="O471" ca="true">IFERROR(IF($O$3="Chunk Rent",
AVERAGEIFS('Unit-Level Data'!$Q:$Q,'Unit-Level Data'!$M:$M,TRUE,
          'Unit-Level Data'!$D:$D, INDIRECT("C"&amp;ROW()),
          'Unit-Level Data'!$B:$B, INDIRECT("B"&amp;ROW())),
AVERAGEIFS('Unit-Level Data'!$R:$R,'Unit-Level Data'!$M:$M,TRUE,
          'Unit-Level Data'!$D:$D, INDIRECT("C"&amp;ROW()),
          'Unit-Level Data'!$B:$B, INDIRECT("B"&amp;ROW()))),"")</f>
      </c>
      <c r="P471" s="733" cm="1">
        <f t="array" aca="true" ref="P471" ca="true">COUNTIFS('Unit-Level Data'!$M:$M,TRUE,
          'Unit-Level Data'!$D:$D, INDIRECT("C"&amp;ROW()),
          'Unit-Level Data'!$B:$B, INDIRECT("B"&amp;ROW()))</f>
        <v>0</v>
      </c>
      <c r="Q471" s="738" t="str" cm="1">
        <f t="array" aca="true" ref="Q4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1" s="760" t="str" cm="1">
        <f t="array" aca="true" ref="R4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1" s="733" cm="1">
        <f t="array" aca="true" ref="S471" ca="true">COUNTIFS('Unit-Level Data'!$L:$L, "&gt;=" &amp; ($X$2 - Q$5),
          'Unit-Level Data'!$L:$L, "&lt;" &amp; $X$2,
          'Unit-Level Data'!$D:$D, INDIRECT("C"&amp;ROW()),
          'Unit-Level Data'!$B:$B, INDIRECT("B"&amp;ROW()))</f>
        <v>0</v>
      </c>
      <c r="T471" s="738" t="str" cm="1">
        <f t="array" aca="true" ref="T4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1" s="760" t="str" cm="1">
        <f t="array" aca="true" ref="U4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1" s="733" cm="1">
        <f t="array" aca="true" ref="V471" ca="true">COUNTIFS('Unit-Level Data'!$L:$L, "&gt;=" &amp; ($X$2 - T$5),
          'Unit-Level Data'!$L:$L, "&lt;" &amp; $X$2,
          'Unit-Level Data'!$D:$D, INDIRECT("C"&amp;ROW()),
          'Unit-Level Data'!$B:$B, INDIRECT("B"&amp;ROW()))</f>
        <v>0</v>
      </c>
      <c r="W471" s="738" t="str" cm="1">
        <f t="array" aca="true" ref="W4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1" s="760" t="str" cm="1">
        <f t="array" aca="true" ref="X4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1" s="733" cm="1">
        <f t="array" aca="true" ref="Y471" ca="true">COUNTIFS('Unit-Level Data'!$L:$L, "&gt;=" &amp; ($X$2 - W$5),
          'Unit-Level Data'!$L:$L, "&lt;" &amp; $X$2,
          'Unit-Level Data'!$D:$D, INDIRECT("C"&amp;ROW()),
          'Unit-Level Data'!$B:$B, INDIRECT("B"&amp;ROW()))</f>
        <v>0</v>
      </c>
      <c r="Z471" s="761"/>
      <c r="AA471" s="735" cm="1">
        <f t="array" aca="true" ref="AA471" ca="true">IFERROR(AVERAGEIFS(
  unit_details[Sqft],
  unit_details[Property Name], INDIRECT("B"&amp;ROW()),
  unit_details[Floorplan Name], INDIRECT("C"&amp;ROW()),
  unit_details[Beds], INDIRECT("D"&amp;ROW()),
  unit_details[Detected Unit Amenities], "*"&amp;$AB$3&amp;"*",
  unit_details[Leased Date], "&gt;=" &amp; ($X$2 - $AD$3)
),0)</f>
        <v>0</v>
      </c>
      <c r="AB471" s="734" cm="1">
        <f t="array" aca="true" ref="AB4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1" s="733" cm="1">
        <f t="array" aca="true" ref="AC471" ca="true">IFERROR(COUNTIFS(
  unit_details[Property Name], INDIRECT("B"&amp;ROW()),
  unit_details[Floorplan Name], INDIRECT("C"&amp;ROW()),
  unit_details[Beds], INDIRECT("D"&amp;ROW()),
  unit_details[Detected Unit Amenities], "*"&amp;$AB$3&amp;"*",
  unit_details[Leased Date], "&gt;=" &amp; ($X$2 - $AD$3)
),0)</f>
        <v>0</v>
      </c>
      <c r="AD471" s="735" cm="1">
        <f t="array" aca="true" ref="AD471" ca="true">IFERROR(AVERAGEIFS(
  unit_details[Sqft],
  unit_details[Property Name], INDIRECT("B"&amp;ROW()),
  unit_details[Floorplan Name], INDIRECT("C"&amp;ROW()),
  unit_details[Beds], INDIRECT("D"&amp;ROW()),
  unit_details[Detected Unit Amenities], "&lt;&gt;*"&amp;$AB$3&amp;"*",
  unit_details[Leased Date], "&gt;=" &amp; ($X$2 - $AD$3)
),0)</f>
        <v>0</v>
      </c>
      <c r="AE471" s="734" cm="1">
        <f t="array" aca="true" ref="AE4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1" s="733" cm="1">
        <f t="array" aca="true" ref="AF471" ca="true">IFERROR(COUNTIFS(
  unit_details[Property Name], INDIRECT("B"&amp;ROW()),
  unit_details[Floorplan Name], INDIRECT("C"&amp;ROW()),
  unit_details[Beds], INDIRECT("D"&amp;ROW()),
  unit_details[Detected Unit Amenities], "&lt;&gt;*"&amp;$AB$3&amp;"*",
  unit_details[Leased Date], "&gt;=" &amp; ($X$2 - $AD$3)
),0)</f>
        <v>0</v>
      </c>
      <c r="AG471" s="735"/>
      <c r="AH471" s="738">
        <f t="shared" ca="true" si="16"/>
        <v>0</v>
      </c>
      <c r="AI471" s="739">
        <f t="shared" ca="true" si="17"/>
        <v>0</v>
      </c>
    </row>
    <row r="472" spans="10:35">
      <c r="J472" s="345"/>
      <c r="N472" s="738" t="str" cm="1">
        <f t="array" aca="true" ref="N472" ca="true">IFERROR(IF($O$3="Chunk Rent",
AVERAGEIFS('Unit-Level Data'!$O:$O,'Unit-Level Data'!$M:$M,TRUE,
          'Unit-Level Data'!$D:$D, INDIRECT("C"&amp;ROW()),
          'Unit-Level Data'!$B:$B, INDIRECT("B"&amp;ROW())),
AVERAGEIFS('Unit-Level Data'!$P:$P,'Unit-Level Data'!$M:$M,TRUE,
          'Unit-Level Data'!$D:$D, INDIRECT("C"&amp;ROW()),
          'Unit-Level Data'!$B:$B, INDIRECT("B"&amp;ROW()))),"")</f>
      </c>
      <c r="O472" s="760" t="str" cm="1">
        <f t="array" aca="true" ref="O472" ca="true">IFERROR(IF($O$3="Chunk Rent",
AVERAGEIFS('Unit-Level Data'!$Q:$Q,'Unit-Level Data'!$M:$M,TRUE,
          'Unit-Level Data'!$D:$D, INDIRECT("C"&amp;ROW()),
          'Unit-Level Data'!$B:$B, INDIRECT("B"&amp;ROW())),
AVERAGEIFS('Unit-Level Data'!$R:$R,'Unit-Level Data'!$M:$M,TRUE,
          'Unit-Level Data'!$D:$D, INDIRECT("C"&amp;ROW()),
          'Unit-Level Data'!$B:$B, INDIRECT("B"&amp;ROW()))),"")</f>
      </c>
      <c r="P472" s="733" cm="1">
        <f t="array" aca="true" ref="P472" ca="true">COUNTIFS('Unit-Level Data'!$M:$M,TRUE,
          'Unit-Level Data'!$D:$D, INDIRECT("C"&amp;ROW()),
          'Unit-Level Data'!$B:$B, INDIRECT("B"&amp;ROW()))</f>
        <v>0</v>
      </c>
      <c r="Q472" s="738" t="str" cm="1">
        <f t="array" aca="true" ref="Q4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2" s="760" t="str" cm="1">
        <f t="array" aca="true" ref="R4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2" s="733" cm="1">
        <f t="array" aca="true" ref="S472" ca="true">COUNTIFS('Unit-Level Data'!$L:$L, "&gt;=" &amp; ($X$2 - Q$5),
          'Unit-Level Data'!$L:$L, "&lt;" &amp; $X$2,
          'Unit-Level Data'!$D:$D, INDIRECT("C"&amp;ROW()),
          'Unit-Level Data'!$B:$B, INDIRECT("B"&amp;ROW()))</f>
        <v>0</v>
      </c>
      <c r="T472" s="738" t="str" cm="1">
        <f t="array" aca="true" ref="T4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2" s="760" t="str" cm="1">
        <f t="array" aca="true" ref="U4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2" s="733" cm="1">
        <f t="array" aca="true" ref="V472" ca="true">COUNTIFS('Unit-Level Data'!$L:$L, "&gt;=" &amp; ($X$2 - T$5),
          'Unit-Level Data'!$L:$L, "&lt;" &amp; $X$2,
          'Unit-Level Data'!$D:$D, INDIRECT("C"&amp;ROW()),
          'Unit-Level Data'!$B:$B, INDIRECT("B"&amp;ROW()))</f>
        <v>0</v>
      </c>
      <c r="W472" s="738" t="str" cm="1">
        <f t="array" aca="true" ref="W4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2" s="760" t="str" cm="1">
        <f t="array" aca="true" ref="X4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2" s="733" cm="1">
        <f t="array" aca="true" ref="Y472" ca="true">COUNTIFS('Unit-Level Data'!$L:$L, "&gt;=" &amp; ($X$2 - W$5),
          'Unit-Level Data'!$L:$L, "&lt;" &amp; $X$2,
          'Unit-Level Data'!$D:$D, INDIRECT("C"&amp;ROW()),
          'Unit-Level Data'!$B:$B, INDIRECT("B"&amp;ROW()))</f>
        <v>0</v>
      </c>
      <c r="Z472" s="761"/>
      <c r="AA472" s="735" cm="1">
        <f t="array" aca="true" ref="AA472" ca="true">IFERROR(AVERAGEIFS(
  unit_details[Sqft],
  unit_details[Property Name], INDIRECT("B"&amp;ROW()),
  unit_details[Floorplan Name], INDIRECT("C"&amp;ROW()),
  unit_details[Beds], INDIRECT("D"&amp;ROW()),
  unit_details[Detected Unit Amenities], "*"&amp;$AB$3&amp;"*",
  unit_details[Leased Date], "&gt;=" &amp; ($X$2 - $AD$3)
),0)</f>
        <v>0</v>
      </c>
      <c r="AB472" s="734" cm="1">
        <f t="array" aca="true" ref="AB4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2" s="733" cm="1">
        <f t="array" aca="true" ref="AC472" ca="true">IFERROR(COUNTIFS(
  unit_details[Property Name], INDIRECT("B"&amp;ROW()),
  unit_details[Floorplan Name], INDIRECT("C"&amp;ROW()),
  unit_details[Beds], INDIRECT("D"&amp;ROW()),
  unit_details[Detected Unit Amenities], "*"&amp;$AB$3&amp;"*",
  unit_details[Leased Date], "&gt;=" &amp; ($X$2 - $AD$3)
),0)</f>
        <v>0</v>
      </c>
      <c r="AD472" s="735" cm="1">
        <f t="array" aca="true" ref="AD472" ca="true">IFERROR(AVERAGEIFS(
  unit_details[Sqft],
  unit_details[Property Name], INDIRECT("B"&amp;ROW()),
  unit_details[Floorplan Name], INDIRECT("C"&amp;ROW()),
  unit_details[Beds], INDIRECT("D"&amp;ROW()),
  unit_details[Detected Unit Amenities], "&lt;&gt;*"&amp;$AB$3&amp;"*",
  unit_details[Leased Date], "&gt;=" &amp; ($X$2 - $AD$3)
),0)</f>
        <v>0</v>
      </c>
      <c r="AE472" s="734" cm="1">
        <f t="array" aca="true" ref="AE4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2" s="733" cm="1">
        <f t="array" aca="true" ref="AF472" ca="true">IFERROR(COUNTIFS(
  unit_details[Property Name], INDIRECT("B"&amp;ROW()),
  unit_details[Floorplan Name], INDIRECT("C"&amp;ROW()),
  unit_details[Beds], INDIRECT("D"&amp;ROW()),
  unit_details[Detected Unit Amenities], "&lt;&gt;*"&amp;$AB$3&amp;"*",
  unit_details[Leased Date], "&gt;=" &amp; ($X$2 - $AD$3)
),0)</f>
        <v>0</v>
      </c>
      <c r="AG472" s="735"/>
      <c r="AH472" s="738">
        <f t="shared" ca="true" si="16"/>
        <v>0</v>
      </c>
      <c r="AI472" s="739">
        <f t="shared" ca="true" si="17"/>
        <v>0</v>
      </c>
    </row>
    <row r="473" spans="10:35">
      <c r="J473" s="345"/>
      <c r="N473" s="738" t="str" cm="1">
        <f t="array" aca="true" ref="N473" ca="true">IFERROR(IF($O$3="Chunk Rent",
AVERAGEIFS('Unit-Level Data'!$O:$O,'Unit-Level Data'!$M:$M,TRUE,
          'Unit-Level Data'!$D:$D, INDIRECT("C"&amp;ROW()),
          'Unit-Level Data'!$B:$B, INDIRECT("B"&amp;ROW())),
AVERAGEIFS('Unit-Level Data'!$P:$P,'Unit-Level Data'!$M:$M,TRUE,
          'Unit-Level Data'!$D:$D, INDIRECT("C"&amp;ROW()),
          'Unit-Level Data'!$B:$B, INDIRECT("B"&amp;ROW()))),"")</f>
      </c>
      <c r="O473" s="760" t="str" cm="1">
        <f t="array" aca="true" ref="O473" ca="true">IFERROR(IF($O$3="Chunk Rent",
AVERAGEIFS('Unit-Level Data'!$Q:$Q,'Unit-Level Data'!$M:$M,TRUE,
          'Unit-Level Data'!$D:$D, INDIRECT("C"&amp;ROW()),
          'Unit-Level Data'!$B:$B, INDIRECT("B"&amp;ROW())),
AVERAGEIFS('Unit-Level Data'!$R:$R,'Unit-Level Data'!$M:$M,TRUE,
          'Unit-Level Data'!$D:$D, INDIRECT("C"&amp;ROW()),
          'Unit-Level Data'!$B:$B, INDIRECT("B"&amp;ROW()))),"")</f>
      </c>
      <c r="P473" s="733" cm="1">
        <f t="array" aca="true" ref="P473" ca="true">COUNTIFS('Unit-Level Data'!$M:$M,TRUE,
          'Unit-Level Data'!$D:$D, INDIRECT("C"&amp;ROW()),
          'Unit-Level Data'!$B:$B, INDIRECT("B"&amp;ROW()))</f>
        <v>0</v>
      </c>
      <c r="Q473" s="738" t="str" cm="1">
        <f t="array" aca="true" ref="Q4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3" s="760" t="str" cm="1">
        <f t="array" aca="true" ref="R4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3" s="733" cm="1">
        <f t="array" aca="true" ref="S473" ca="true">COUNTIFS('Unit-Level Data'!$L:$L, "&gt;=" &amp; ($X$2 - Q$5),
          'Unit-Level Data'!$L:$L, "&lt;" &amp; $X$2,
          'Unit-Level Data'!$D:$D, INDIRECT("C"&amp;ROW()),
          'Unit-Level Data'!$B:$B, INDIRECT("B"&amp;ROW()))</f>
        <v>0</v>
      </c>
      <c r="T473" s="738" t="str" cm="1">
        <f t="array" aca="true" ref="T4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3" s="760" t="str" cm="1">
        <f t="array" aca="true" ref="U4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3" s="733" cm="1">
        <f t="array" aca="true" ref="V473" ca="true">COUNTIFS('Unit-Level Data'!$L:$L, "&gt;=" &amp; ($X$2 - T$5),
          'Unit-Level Data'!$L:$L, "&lt;" &amp; $X$2,
          'Unit-Level Data'!$D:$D, INDIRECT("C"&amp;ROW()),
          'Unit-Level Data'!$B:$B, INDIRECT("B"&amp;ROW()))</f>
        <v>0</v>
      </c>
      <c r="W473" s="738" t="str" cm="1">
        <f t="array" aca="true" ref="W4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3" s="760" t="str" cm="1">
        <f t="array" aca="true" ref="X4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3" s="733" cm="1">
        <f t="array" aca="true" ref="Y473" ca="true">COUNTIFS('Unit-Level Data'!$L:$L, "&gt;=" &amp; ($X$2 - W$5),
          'Unit-Level Data'!$L:$L, "&lt;" &amp; $X$2,
          'Unit-Level Data'!$D:$D, INDIRECT("C"&amp;ROW()),
          'Unit-Level Data'!$B:$B, INDIRECT("B"&amp;ROW()))</f>
        <v>0</v>
      </c>
      <c r="Z473" s="761"/>
      <c r="AA473" s="735" cm="1">
        <f t="array" aca="true" ref="AA473" ca="true">IFERROR(AVERAGEIFS(
  unit_details[Sqft],
  unit_details[Property Name], INDIRECT("B"&amp;ROW()),
  unit_details[Floorplan Name], INDIRECT("C"&amp;ROW()),
  unit_details[Beds], INDIRECT("D"&amp;ROW()),
  unit_details[Detected Unit Amenities], "*"&amp;$AB$3&amp;"*",
  unit_details[Leased Date], "&gt;=" &amp; ($X$2 - $AD$3)
),0)</f>
        <v>0</v>
      </c>
      <c r="AB473" s="734" cm="1">
        <f t="array" aca="true" ref="AB4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3" s="733" cm="1">
        <f t="array" aca="true" ref="AC473" ca="true">IFERROR(COUNTIFS(
  unit_details[Property Name], INDIRECT("B"&amp;ROW()),
  unit_details[Floorplan Name], INDIRECT("C"&amp;ROW()),
  unit_details[Beds], INDIRECT("D"&amp;ROW()),
  unit_details[Detected Unit Amenities], "*"&amp;$AB$3&amp;"*",
  unit_details[Leased Date], "&gt;=" &amp; ($X$2 - $AD$3)
),0)</f>
        <v>0</v>
      </c>
      <c r="AD473" s="735" cm="1">
        <f t="array" aca="true" ref="AD473" ca="true">IFERROR(AVERAGEIFS(
  unit_details[Sqft],
  unit_details[Property Name], INDIRECT("B"&amp;ROW()),
  unit_details[Floorplan Name], INDIRECT("C"&amp;ROW()),
  unit_details[Beds], INDIRECT("D"&amp;ROW()),
  unit_details[Detected Unit Amenities], "&lt;&gt;*"&amp;$AB$3&amp;"*",
  unit_details[Leased Date], "&gt;=" &amp; ($X$2 - $AD$3)
),0)</f>
        <v>0</v>
      </c>
      <c r="AE473" s="734" cm="1">
        <f t="array" aca="true" ref="AE4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3" s="733" cm="1">
        <f t="array" aca="true" ref="AF473" ca="true">IFERROR(COUNTIFS(
  unit_details[Property Name], INDIRECT("B"&amp;ROW()),
  unit_details[Floorplan Name], INDIRECT("C"&amp;ROW()),
  unit_details[Beds], INDIRECT("D"&amp;ROW()),
  unit_details[Detected Unit Amenities], "&lt;&gt;*"&amp;$AB$3&amp;"*",
  unit_details[Leased Date], "&gt;=" &amp; ($X$2 - $AD$3)
),0)</f>
        <v>0</v>
      </c>
      <c r="AG473" s="735"/>
      <c r="AH473" s="738">
        <f t="shared" ca="true" si="16"/>
        <v>0</v>
      </c>
      <c r="AI473" s="739">
        <f t="shared" ca="true" si="17"/>
        <v>0</v>
      </c>
    </row>
    <row r="474" spans="10:35">
      <c r="J474" s="345"/>
      <c r="N474" s="738" t="str" cm="1">
        <f t="array" aca="true" ref="N474" ca="true">IFERROR(IF($O$3="Chunk Rent",
AVERAGEIFS('Unit-Level Data'!$O:$O,'Unit-Level Data'!$M:$M,TRUE,
          'Unit-Level Data'!$D:$D, INDIRECT("C"&amp;ROW()),
          'Unit-Level Data'!$B:$B, INDIRECT("B"&amp;ROW())),
AVERAGEIFS('Unit-Level Data'!$P:$P,'Unit-Level Data'!$M:$M,TRUE,
          'Unit-Level Data'!$D:$D, INDIRECT("C"&amp;ROW()),
          'Unit-Level Data'!$B:$B, INDIRECT("B"&amp;ROW()))),"")</f>
      </c>
      <c r="O474" s="760" t="str" cm="1">
        <f t="array" aca="true" ref="O474" ca="true">IFERROR(IF($O$3="Chunk Rent",
AVERAGEIFS('Unit-Level Data'!$Q:$Q,'Unit-Level Data'!$M:$M,TRUE,
          'Unit-Level Data'!$D:$D, INDIRECT("C"&amp;ROW()),
          'Unit-Level Data'!$B:$B, INDIRECT("B"&amp;ROW())),
AVERAGEIFS('Unit-Level Data'!$R:$R,'Unit-Level Data'!$M:$M,TRUE,
          'Unit-Level Data'!$D:$D, INDIRECT("C"&amp;ROW()),
          'Unit-Level Data'!$B:$B, INDIRECT("B"&amp;ROW()))),"")</f>
      </c>
      <c r="P474" s="733" cm="1">
        <f t="array" aca="true" ref="P474" ca="true">COUNTIFS('Unit-Level Data'!$M:$M,TRUE,
          'Unit-Level Data'!$D:$D, INDIRECT("C"&amp;ROW()),
          'Unit-Level Data'!$B:$B, INDIRECT("B"&amp;ROW()))</f>
        <v>0</v>
      </c>
      <c r="Q474" s="738" t="str" cm="1">
        <f t="array" aca="true" ref="Q4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4" s="760" t="str" cm="1">
        <f t="array" aca="true" ref="R4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4" s="733" cm="1">
        <f t="array" aca="true" ref="S474" ca="true">COUNTIFS('Unit-Level Data'!$L:$L, "&gt;=" &amp; ($X$2 - Q$5),
          'Unit-Level Data'!$L:$L, "&lt;" &amp; $X$2,
          'Unit-Level Data'!$D:$D, INDIRECT("C"&amp;ROW()),
          'Unit-Level Data'!$B:$B, INDIRECT("B"&amp;ROW()))</f>
        <v>0</v>
      </c>
      <c r="T474" s="738" t="str" cm="1">
        <f t="array" aca="true" ref="T4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4" s="760" t="str" cm="1">
        <f t="array" aca="true" ref="U4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4" s="733" cm="1">
        <f t="array" aca="true" ref="V474" ca="true">COUNTIFS('Unit-Level Data'!$L:$L, "&gt;=" &amp; ($X$2 - T$5),
          'Unit-Level Data'!$L:$L, "&lt;" &amp; $X$2,
          'Unit-Level Data'!$D:$D, INDIRECT("C"&amp;ROW()),
          'Unit-Level Data'!$B:$B, INDIRECT("B"&amp;ROW()))</f>
        <v>0</v>
      </c>
      <c r="W474" s="738" t="str" cm="1">
        <f t="array" aca="true" ref="W4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4" s="760" t="str" cm="1">
        <f t="array" aca="true" ref="X4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4" s="733" cm="1">
        <f t="array" aca="true" ref="Y474" ca="true">COUNTIFS('Unit-Level Data'!$L:$L, "&gt;=" &amp; ($X$2 - W$5),
          'Unit-Level Data'!$L:$L, "&lt;" &amp; $X$2,
          'Unit-Level Data'!$D:$D, INDIRECT("C"&amp;ROW()),
          'Unit-Level Data'!$B:$B, INDIRECT("B"&amp;ROW()))</f>
        <v>0</v>
      </c>
      <c r="Z474" s="761"/>
      <c r="AA474" s="735" cm="1">
        <f t="array" aca="true" ref="AA474" ca="true">IFERROR(AVERAGEIFS(
  unit_details[Sqft],
  unit_details[Property Name], INDIRECT("B"&amp;ROW()),
  unit_details[Floorplan Name], INDIRECT("C"&amp;ROW()),
  unit_details[Beds], INDIRECT("D"&amp;ROW()),
  unit_details[Detected Unit Amenities], "*"&amp;$AB$3&amp;"*",
  unit_details[Leased Date], "&gt;=" &amp; ($X$2 - $AD$3)
),0)</f>
        <v>0</v>
      </c>
      <c r="AB474" s="734" cm="1">
        <f t="array" aca="true" ref="AB4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4" s="733" cm="1">
        <f t="array" aca="true" ref="AC474" ca="true">IFERROR(COUNTIFS(
  unit_details[Property Name], INDIRECT("B"&amp;ROW()),
  unit_details[Floorplan Name], INDIRECT("C"&amp;ROW()),
  unit_details[Beds], INDIRECT("D"&amp;ROW()),
  unit_details[Detected Unit Amenities], "*"&amp;$AB$3&amp;"*",
  unit_details[Leased Date], "&gt;=" &amp; ($X$2 - $AD$3)
),0)</f>
        <v>0</v>
      </c>
      <c r="AD474" s="735" cm="1">
        <f t="array" aca="true" ref="AD474" ca="true">IFERROR(AVERAGEIFS(
  unit_details[Sqft],
  unit_details[Property Name], INDIRECT("B"&amp;ROW()),
  unit_details[Floorplan Name], INDIRECT("C"&amp;ROW()),
  unit_details[Beds], INDIRECT("D"&amp;ROW()),
  unit_details[Detected Unit Amenities], "&lt;&gt;*"&amp;$AB$3&amp;"*",
  unit_details[Leased Date], "&gt;=" &amp; ($X$2 - $AD$3)
),0)</f>
        <v>0</v>
      </c>
      <c r="AE474" s="734" cm="1">
        <f t="array" aca="true" ref="AE4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4" s="733" cm="1">
        <f t="array" aca="true" ref="AF474" ca="true">IFERROR(COUNTIFS(
  unit_details[Property Name], INDIRECT("B"&amp;ROW()),
  unit_details[Floorplan Name], INDIRECT("C"&amp;ROW()),
  unit_details[Beds], INDIRECT("D"&amp;ROW()),
  unit_details[Detected Unit Amenities], "&lt;&gt;*"&amp;$AB$3&amp;"*",
  unit_details[Leased Date], "&gt;=" &amp; ($X$2 - $AD$3)
),0)</f>
        <v>0</v>
      </c>
      <c r="AG474" s="735"/>
      <c r="AH474" s="738">
        <f t="shared" ca="true" si="16"/>
        <v>0</v>
      </c>
      <c r="AI474" s="739">
        <f t="shared" ca="true" si="17"/>
        <v>0</v>
      </c>
    </row>
    <row r="475" spans="10:35">
      <c r="J475" s="345"/>
      <c r="N475" s="738" t="str" cm="1">
        <f t="array" aca="true" ref="N475" ca="true">IFERROR(IF($O$3="Chunk Rent",
AVERAGEIFS('Unit-Level Data'!$O:$O,'Unit-Level Data'!$M:$M,TRUE,
          'Unit-Level Data'!$D:$D, INDIRECT("C"&amp;ROW()),
          'Unit-Level Data'!$B:$B, INDIRECT("B"&amp;ROW())),
AVERAGEIFS('Unit-Level Data'!$P:$P,'Unit-Level Data'!$M:$M,TRUE,
          'Unit-Level Data'!$D:$D, INDIRECT("C"&amp;ROW()),
          'Unit-Level Data'!$B:$B, INDIRECT("B"&amp;ROW()))),"")</f>
      </c>
      <c r="O475" s="760" t="str" cm="1">
        <f t="array" aca="true" ref="O475" ca="true">IFERROR(IF($O$3="Chunk Rent",
AVERAGEIFS('Unit-Level Data'!$Q:$Q,'Unit-Level Data'!$M:$M,TRUE,
          'Unit-Level Data'!$D:$D, INDIRECT("C"&amp;ROW()),
          'Unit-Level Data'!$B:$B, INDIRECT("B"&amp;ROW())),
AVERAGEIFS('Unit-Level Data'!$R:$R,'Unit-Level Data'!$M:$M,TRUE,
          'Unit-Level Data'!$D:$D, INDIRECT("C"&amp;ROW()),
          'Unit-Level Data'!$B:$B, INDIRECT("B"&amp;ROW()))),"")</f>
      </c>
      <c r="P475" s="733" cm="1">
        <f t="array" aca="true" ref="P475" ca="true">COUNTIFS('Unit-Level Data'!$M:$M,TRUE,
          'Unit-Level Data'!$D:$D, INDIRECT("C"&amp;ROW()),
          'Unit-Level Data'!$B:$B, INDIRECT("B"&amp;ROW()))</f>
        <v>0</v>
      </c>
      <c r="Q475" s="738" t="str" cm="1">
        <f t="array" aca="true" ref="Q4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5" s="760" t="str" cm="1">
        <f t="array" aca="true" ref="R4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5" s="733" cm="1">
        <f t="array" aca="true" ref="S475" ca="true">COUNTIFS('Unit-Level Data'!$L:$L, "&gt;=" &amp; ($X$2 - Q$5),
          'Unit-Level Data'!$L:$L, "&lt;" &amp; $X$2,
          'Unit-Level Data'!$D:$D, INDIRECT("C"&amp;ROW()),
          'Unit-Level Data'!$B:$B, INDIRECT("B"&amp;ROW()))</f>
        <v>0</v>
      </c>
      <c r="T475" s="738" t="str" cm="1">
        <f t="array" aca="true" ref="T4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5" s="760" t="str" cm="1">
        <f t="array" aca="true" ref="U4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5" s="733" cm="1">
        <f t="array" aca="true" ref="V475" ca="true">COUNTIFS('Unit-Level Data'!$L:$L, "&gt;=" &amp; ($X$2 - T$5),
          'Unit-Level Data'!$L:$L, "&lt;" &amp; $X$2,
          'Unit-Level Data'!$D:$D, INDIRECT("C"&amp;ROW()),
          'Unit-Level Data'!$B:$B, INDIRECT("B"&amp;ROW()))</f>
        <v>0</v>
      </c>
      <c r="W475" s="738" t="str" cm="1">
        <f t="array" aca="true" ref="W4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5" s="760" t="str" cm="1">
        <f t="array" aca="true" ref="X4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5" s="733" cm="1">
        <f t="array" aca="true" ref="Y475" ca="true">COUNTIFS('Unit-Level Data'!$L:$L, "&gt;=" &amp; ($X$2 - W$5),
          'Unit-Level Data'!$L:$L, "&lt;" &amp; $X$2,
          'Unit-Level Data'!$D:$D, INDIRECT("C"&amp;ROW()),
          'Unit-Level Data'!$B:$B, INDIRECT("B"&amp;ROW()))</f>
        <v>0</v>
      </c>
      <c r="Z475" s="761"/>
      <c r="AA475" s="735" cm="1">
        <f t="array" aca="true" ref="AA475" ca="true">IFERROR(AVERAGEIFS(
  unit_details[Sqft],
  unit_details[Property Name], INDIRECT("B"&amp;ROW()),
  unit_details[Floorplan Name], INDIRECT("C"&amp;ROW()),
  unit_details[Beds], INDIRECT("D"&amp;ROW()),
  unit_details[Detected Unit Amenities], "*"&amp;$AB$3&amp;"*",
  unit_details[Leased Date], "&gt;=" &amp; ($X$2 - $AD$3)
),0)</f>
        <v>0</v>
      </c>
      <c r="AB475" s="734" cm="1">
        <f t="array" aca="true" ref="AB4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5" s="733" cm="1">
        <f t="array" aca="true" ref="AC475" ca="true">IFERROR(COUNTIFS(
  unit_details[Property Name], INDIRECT("B"&amp;ROW()),
  unit_details[Floorplan Name], INDIRECT("C"&amp;ROW()),
  unit_details[Beds], INDIRECT("D"&amp;ROW()),
  unit_details[Detected Unit Amenities], "*"&amp;$AB$3&amp;"*",
  unit_details[Leased Date], "&gt;=" &amp; ($X$2 - $AD$3)
),0)</f>
        <v>0</v>
      </c>
      <c r="AD475" s="735" cm="1">
        <f t="array" aca="true" ref="AD475" ca="true">IFERROR(AVERAGEIFS(
  unit_details[Sqft],
  unit_details[Property Name], INDIRECT("B"&amp;ROW()),
  unit_details[Floorplan Name], INDIRECT("C"&amp;ROW()),
  unit_details[Beds], INDIRECT("D"&amp;ROW()),
  unit_details[Detected Unit Amenities], "&lt;&gt;*"&amp;$AB$3&amp;"*",
  unit_details[Leased Date], "&gt;=" &amp; ($X$2 - $AD$3)
),0)</f>
        <v>0</v>
      </c>
      <c r="AE475" s="734" cm="1">
        <f t="array" aca="true" ref="AE4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5" s="733" cm="1">
        <f t="array" aca="true" ref="AF475" ca="true">IFERROR(COUNTIFS(
  unit_details[Property Name], INDIRECT("B"&amp;ROW()),
  unit_details[Floorplan Name], INDIRECT("C"&amp;ROW()),
  unit_details[Beds], INDIRECT("D"&amp;ROW()),
  unit_details[Detected Unit Amenities], "&lt;&gt;*"&amp;$AB$3&amp;"*",
  unit_details[Leased Date], "&gt;=" &amp; ($X$2 - $AD$3)
),0)</f>
        <v>0</v>
      </c>
      <c r="AG475" s="735"/>
      <c r="AH475" s="738">
        <f t="shared" ca="true" si="16"/>
        <v>0</v>
      </c>
      <c r="AI475" s="739">
        <f t="shared" ca="true" si="17"/>
        <v>0</v>
      </c>
    </row>
    <row r="476" spans="10:35">
      <c r="J476" s="345"/>
      <c r="N476" s="738" t="str" cm="1">
        <f t="array" aca="true" ref="N476" ca="true">IFERROR(IF($O$3="Chunk Rent",
AVERAGEIFS('Unit-Level Data'!$O:$O,'Unit-Level Data'!$M:$M,TRUE,
          'Unit-Level Data'!$D:$D, INDIRECT("C"&amp;ROW()),
          'Unit-Level Data'!$B:$B, INDIRECT("B"&amp;ROW())),
AVERAGEIFS('Unit-Level Data'!$P:$P,'Unit-Level Data'!$M:$M,TRUE,
          'Unit-Level Data'!$D:$D, INDIRECT("C"&amp;ROW()),
          'Unit-Level Data'!$B:$B, INDIRECT("B"&amp;ROW()))),"")</f>
      </c>
      <c r="O476" s="760" t="str" cm="1">
        <f t="array" aca="true" ref="O476" ca="true">IFERROR(IF($O$3="Chunk Rent",
AVERAGEIFS('Unit-Level Data'!$Q:$Q,'Unit-Level Data'!$M:$M,TRUE,
          'Unit-Level Data'!$D:$D, INDIRECT("C"&amp;ROW()),
          'Unit-Level Data'!$B:$B, INDIRECT("B"&amp;ROW())),
AVERAGEIFS('Unit-Level Data'!$R:$R,'Unit-Level Data'!$M:$M,TRUE,
          'Unit-Level Data'!$D:$D, INDIRECT("C"&amp;ROW()),
          'Unit-Level Data'!$B:$B, INDIRECT("B"&amp;ROW()))),"")</f>
      </c>
      <c r="P476" s="733" cm="1">
        <f t="array" aca="true" ref="P476" ca="true">COUNTIFS('Unit-Level Data'!$M:$M,TRUE,
          'Unit-Level Data'!$D:$D, INDIRECT("C"&amp;ROW()),
          'Unit-Level Data'!$B:$B, INDIRECT("B"&amp;ROW()))</f>
        <v>0</v>
      </c>
      <c r="Q476" s="738" t="str" cm="1">
        <f t="array" aca="true" ref="Q4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6" s="760" t="str" cm="1">
        <f t="array" aca="true" ref="R4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6" s="733" cm="1">
        <f t="array" aca="true" ref="S476" ca="true">COUNTIFS('Unit-Level Data'!$L:$L, "&gt;=" &amp; ($X$2 - Q$5),
          'Unit-Level Data'!$L:$L, "&lt;" &amp; $X$2,
          'Unit-Level Data'!$D:$D, INDIRECT("C"&amp;ROW()),
          'Unit-Level Data'!$B:$B, INDIRECT("B"&amp;ROW()))</f>
        <v>0</v>
      </c>
      <c r="T476" s="738" t="str" cm="1">
        <f t="array" aca="true" ref="T4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6" s="760" t="str" cm="1">
        <f t="array" aca="true" ref="U4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6" s="733" cm="1">
        <f t="array" aca="true" ref="V476" ca="true">COUNTIFS('Unit-Level Data'!$L:$L, "&gt;=" &amp; ($X$2 - T$5),
          'Unit-Level Data'!$L:$L, "&lt;" &amp; $X$2,
          'Unit-Level Data'!$D:$D, INDIRECT("C"&amp;ROW()),
          'Unit-Level Data'!$B:$B, INDIRECT("B"&amp;ROW()))</f>
        <v>0</v>
      </c>
      <c r="W476" s="738" t="str" cm="1">
        <f t="array" aca="true" ref="W4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6" s="760" t="str" cm="1">
        <f t="array" aca="true" ref="X4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6" s="733" cm="1">
        <f t="array" aca="true" ref="Y476" ca="true">COUNTIFS('Unit-Level Data'!$L:$L, "&gt;=" &amp; ($X$2 - W$5),
          'Unit-Level Data'!$L:$L, "&lt;" &amp; $X$2,
          'Unit-Level Data'!$D:$D, INDIRECT("C"&amp;ROW()),
          'Unit-Level Data'!$B:$B, INDIRECT("B"&amp;ROW()))</f>
        <v>0</v>
      </c>
      <c r="Z476" s="761"/>
      <c r="AA476" s="735" cm="1">
        <f t="array" aca="true" ref="AA476" ca="true">IFERROR(AVERAGEIFS(
  unit_details[Sqft],
  unit_details[Property Name], INDIRECT("B"&amp;ROW()),
  unit_details[Floorplan Name], INDIRECT("C"&amp;ROW()),
  unit_details[Beds], INDIRECT("D"&amp;ROW()),
  unit_details[Detected Unit Amenities], "*"&amp;$AB$3&amp;"*",
  unit_details[Leased Date], "&gt;=" &amp; ($X$2 - $AD$3)
),0)</f>
        <v>0</v>
      </c>
      <c r="AB476" s="734" cm="1">
        <f t="array" aca="true" ref="AB4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6" s="733" cm="1">
        <f t="array" aca="true" ref="AC476" ca="true">IFERROR(COUNTIFS(
  unit_details[Property Name], INDIRECT("B"&amp;ROW()),
  unit_details[Floorplan Name], INDIRECT("C"&amp;ROW()),
  unit_details[Beds], INDIRECT("D"&amp;ROW()),
  unit_details[Detected Unit Amenities], "*"&amp;$AB$3&amp;"*",
  unit_details[Leased Date], "&gt;=" &amp; ($X$2 - $AD$3)
),0)</f>
        <v>0</v>
      </c>
      <c r="AD476" s="735" cm="1">
        <f t="array" aca="true" ref="AD476" ca="true">IFERROR(AVERAGEIFS(
  unit_details[Sqft],
  unit_details[Property Name], INDIRECT("B"&amp;ROW()),
  unit_details[Floorplan Name], INDIRECT("C"&amp;ROW()),
  unit_details[Beds], INDIRECT("D"&amp;ROW()),
  unit_details[Detected Unit Amenities], "&lt;&gt;*"&amp;$AB$3&amp;"*",
  unit_details[Leased Date], "&gt;=" &amp; ($X$2 - $AD$3)
),0)</f>
        <v>0</v>
      </c>
      <c r="AE476" s="734" cm="1">
        <f t="array" aca="true" ref="AE4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6" s="733" cm="1">
        <f t="array" aca="true" ref="AF476" ca="true">IFERROR(COUNTIFS(
  unit_details[Property Name], INDIRECT("B"&amp;ROW()),
  unit_details[Floorplan Name], INDIRECT("C"&amp;ROW()),
  unit_details[Beds], INDIRECT("D"&amp;ROW()),
  unit_details[Detected Unit Amenities], "&lt;&gt;*"&amp;$AB$3&amp;"*",
  unit_details[Leased Date], "&gt;=" &amp; ($X$2 - $AD$3)
),0)</f>
        <v>0</v>
      </c>
      <c r="AG476" s="735"/>
      <c r="AH476" s="738">
        <f t="shared" ca="true" si="16"/>
        <v>0</v>
      </c>
      <c r="AI476" s="739">
        <f t="shared" ca="true" si="17"/>
        <v>0</v>
      </c>
    </row>
    <row r="477" spans="10:35">
      <c r="J477" s="345"/>
      <c r="N477" s="738" t="str" cm="1">
        <f t="array" aca="true" ref="N477" ca="true">IFERROR(IF($O$3="Chunk Rent",
AVERAGEIFS('Unit-Level Data'!$O:$O,'Unit-Level Data'!$M:$M,TRUE,
          'Unit-Level Data'!$D:$D, INDIRECT("C"&amp;ROW()),
          'Unit-Level Data'!$B:$B, INDIRECT("B"&amp;ROW())),
AVERAGEIFS('Unit-Level Data'!$P:$P,'Unit-Level Data'!$M:$M,TRUE,
          'Unit-Level Data'!$D:$D, INDIRECT("C"&amp;ROW()),
          'Unit-Level Data'!$B:$B, INDIRECT("B"&amp;ROW()))),"")</f>
      </c>
      <c r="O477" s="760" t="str" cm="1">
        <f t="array" aca="true" ref="O477" ca="true">IFERROR(IF($O$3="Chunk Rent",
AVERAGEIFS('Unit-Level Data'!$Q:$Q,'Unit-Level Data'!$M:$M,TRUE,
          'Unit-Level Data'!$D:$D, INDIRECT("C"&amp;ROW()),
          'Unit-Level Data'!$B:$B, INDIRECT("B"&amp;ROW())),
AVERAGEIFS('Unit-Level Data'!$R:$R,'Unit-Level Data'!$M:$M,TRUE,
          'Unit-Level Data'!$D:$D, INDIRECT("C"&amp;ROW()),
          'Unit-Level Data'!$B:$B, INDIRECT("B"&amp;ROW()))),"")</f>
      </c>
      <c r="P477" s="733" cm="1">
        <f t="array" aca="true" ref="P477" ca="true">COUNTIFS('Unit-Level Data'!$M:$M,TRUE,
          'Unit-Level Data'!$D:$D, INDIRECT("C"&amp;ROW()),
          'Unit-Level Data'!$B:$B, INDIRECT("B"&amp;ROW()))</f>
        <v>0</v>
      </c>
      <c r="Q477" s="738" t="str" cm="1">
        <f t="array" aca="true" ref="Q4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7" s="760" t="str" cm="1">
        <f t="array" aca="true" ref="R4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7" s="733" cm="1">
        <f t="array" aca="true" ref="S477" ca="true">COUNTIFS('Unit-Level Data'!$L:$L, "&gt;=" &amp; ($X$2 - Q$5),
          'Unit-Level Data'!$L:$L, "&lt;" &amp; $X$2,
          'Unit-Level Data'!$D:$D, INDIRECT("C"&amp;ROW()),
          'Unit-Level Data'!$B:$B, INDIRECT("B"&amp;ROW()))</f>
        <v>0</v>
      </c>
      <c r="T477" s="738" t="str" cm="1">
        <f t="array" aca="true" ref="T4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7" s="760" t="str" cm="1">
        <f t="array" aca="true" ref="U4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7" s="733" cm="1">
        <f t="array" aca="true" ref="V477" ca="true">COUNTIFS('Unit-Level Data'!$L:$L, "&gt;=" &amp; ($X$2 - T$5),
          'Unit-Level Data'!$L:$L, "&lt;" &amp; $X$2,
          'Unit-Level Data'!$D:$D, INDIRECT("C"&amp;ROW()),
          'Unit-Level Data'!$B:$B, INDIRECT("B"&amp;ROW()))</f>
        <v>0</v>
      </c>
      <c r="W477" s="738" t="str" cm="1">
        <f t="array" aca="true" ref="W4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7" s="760" t="str" cm="1">
        <f t="array" aca="true" ref="X4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7" s="733" cm="1">
        <f t="array" aca="true" ref="Y477" ca="true">COUNTIFS('Unit-Level Data'!$L:$L, "&gt;=" &amp; ($X$2 - W$5),
          'Unit-Level Data'!$L:$L, "&lt;" &amp; $X$2,
          'Unit-Level Data'!$D:$D, INDIRECT("C"&amp;ROW()),
          'Unit-Level Data'!$B:$B, INDIRECT("B"&amp;ROW()))</f>
        <v>0</v>
      </c>
      <c r="Z477" s="761"/>
      <c r="AA477" s="735" cm="1">
        <f t="array" aca="true" ref="AA477" ca="true">IFERROR(AVERAGEIFS(
  unit_details[Sqft],
  unit_details[Property Name], INDIRECT("B"&amp;ROW()),
  unit_details[Floorplan Name], INDIRECT("C"&amp;ROW()),
  unit_details[Beds], INDIRECT("D"&amp;ROW()),
  unit_details[Detected Unit Amenities], "*"&amp;$AB$3&amp;"*",
  unit_details[Leased Date], "&gt;=" &amp; ($X$2 - $AD$3)
),0)</f>
        <v>0</v>
      </c>
      <c r="AB477" s="734" cm="1">
        <f t="array" aca="true" ref="AB4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7" s="733" cm="1">
        <f t="array" aca="true" ref="AC477" ca="true">IFERROR(COUNTIFS(
  unit_details[Property Name], INDIRECT("B"&amp;ROW()),
  unit_details[Floorplan Name], INDIRECT("C"&amp;ROW()),
  unit_details[Beds], INDIRECT("D"&amp;ROW()),
  unit_details[Detected Unit Amenities], "*"&amp;$AB$3&amp;"*",
  unit_details[Leased Date], "&gt;=" &amp; ($X$2 - $AD$3)
),0)</f>
        <v>0</v>
      </c>
      <c r="AD477" s="735" cm="1">
        <f t="array" aca="true" ref="AD477" ca="true">IFERROR(AVERAGEIFS(
  unit_details[Sqft],
  unit_details[Property Name], INDIRECT("B"&amp;ROW()),
  unit_details[Floorplan Name], INDIRECT("C"&amp;ROW()),
  unit_details[Beds], INDIRECT("D"&amp;ROW()),
  unit_details[Detected Unit Amenities], "&lt;&gt;*"&amp;$AB$3&amp;"*",
  unit_details[Leased Date], "&gt;=" &amp; ($X$2 - $AD$3)
),0)</f>
        <v>0</v>
      </c>
      <c r="AE477" s="734" cm="1">
        <f t="array" aca="true" ref="AE4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7" s="733" cm="1">
        <f t="array" aca="true" ref="AF477" ca="true">IFERROR(COUNTIFS(
  unit_details[Property Name], INDIRECT("B"&amp;ROW()),
  unit_details[Floorplan Name], INDIRECT("C"&amp;ROW()),
  unit_details[Beds], INDIRECT("D"&amp;ROW()),
  unit_details[Detected Unit Amenities], "&lt;&gt;*"&amp;$AB$3&amp;"*",
  unit_details[Leased Date], "&gt;=" &amp; ($X$2 - $AD$3)
),0)</f>
        <v>0</v>
      </c>
      <c r="AG477" s="735"/>
      <c r="AH477" s="738">
        <f t="shared" ca="true" si="16"/>
        <v>0</v>
      </c>
      <c r="AI477" s="739">
        <f t="shared" ca="true" si="17"/>
        <v>0</v>
      </c>
    </row>
    <row r="478" spans="10:35">
      <c r="J478" s="345"/>
      <c r="N478" s="738" t="str" cm="1">
        <f t="array" aca="true" ref="N478" ca="true">IFERROR(IF($O$3="Chunk Rent",
AVERAGEIFS('Unit-Level Data'!$O:$O,'Unit-Level Data'!$M:$M,TRUE,
          'Unit-Level Data'!$D:$D, INDIRECT("C"&amp;ROW()),
          'Unit-Level Data'!$B:$B, INDIRECT("B"&amp;ROW())),
AVERAGEIFS('Unit-Level Data'!$P:$P,'Unit-Level Data'!$M:$M,TRUE,
          'Unit-Level Data'!$D:$D, INDIRECT("C"&amp;ROW()),
          'Unit-Level Data'!$B:$B, INDIRECT("B"&amp;ROW()))),"")</f>
      </c>
      <c r="O478" s="760" t="str" cm="1">
        <f t="array" aca="true" ref="O478" ca="true">IFERROR(IF($O$3="Chunk Rent",
AVERAGEIFS('Unit-Level Data'!$Q:$Q,'Unit-Level Data'!$M:$M,TRUE,
          'Unit-Level Data'!$D:$D, INDIRECT("C"&amp;ROW()),
          'Unit-Level Data'!$B:$B, INDIRECT("B"&amp;ROW())),
AVERAGEIFS('Unit-Level Data'!$R:$R,'Unit-Level Data'!$M:$M,TRUE,
          'Unit-Level Data'!$D:$D, INDIRECT("C"&amp;ROW()),
          'Unit-Level Data'!$B:$B, INDIRECT("B"&amp;ROW()))),"")</f>
      </c>
      <c r="P478" s="733" cm="1">
        <f t="array" aca="true" ref="P478" ca="true">COUNTIFS('Unit-Level Data'!$M:$M,TRUE,
          'Unit-Level Data'!$D:$D, INDIRECT("C"&amp;ROW()),
          'Unit-Level Data'!$B:$B, INDIRECT("B"&amp;ROW()))</f>
        <v>0</v>
      </c>
      <c r="Q478" s="738" t="str" cm="1">
        <f t="array" aca="true" ref="Q4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8" s="760" t="str" cm="1">
        <f t="array" aca="true" ref="R4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8" s="733" cm="1">
        <f t="array" aca="true" ref="S478" ca="true">COUNTIFS('Unit-Level Data'!$L:$L, "&gt;=" &amp; ($X$2 - Q$5),
          'Unit-Level Data'!$L:$L, "&lt;" &amp; $X$2,
          'Unit-Level Data'!$D:$D, INDIRECT("C"&amp;ROW()),
          'Unit-Level Data'!$B:$B, INDIRECT("B"&amp;ROW()))</f>
        <v>0</v>
      </c>
      <c r="T478" s="738" t="str" cm="1">
        <f t="array" aca="true" ref="T4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8" s="760" t="str" cm="1">
        <f t="array" aca="true" ref="U4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8" s="733" cm="1">
        <f t="array" aca="true" ref="V478" ca="true">COUNTIFS('Unit-Level Data'!$L:$L, "&gt;=" &amp; ($X$2 - T$5),
          'Unit-Level Data'!$L:$L, "&lt;" &amp; $X$2,
          'Unit-Level Data'!$D:$D, INDIRECT("C"&amp;ROW()),
          'Unit-Level Data'!$B:$B, INDIRECT("B"&amp;ROW()))</f>
        <v>0</v>
      </c>
      <c r="W478" s="738" t="str" cm="1">
        <f t="array" aca="true" ref="W4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8" s="760" t="str" cm="1">
        <f t="array" aca="true" ref="X4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8" s="733" cm="1">
        <f t="array" aca="true" ref="Y478" ca="true">COUNTIFS('Unit-Level Data'!$L:$L, "&gt;=" &amp; ($X$2 - W$5),
          'Unit-Level Data'!$L:$L, "&lt;" &amp; $X$2,
          'Unit-Level Data'!$D:$D, INDIRECT("C"&amp;ROW()),
          'Unit-Level Data'!$B:$B, INDIRECT("B"&amp;ROW()))</f>
        <v>0</v>
      </c>
      <c r="Z478" s="761"/>
      <c r="AA478" s="735" cm="1">
        <f t="array" aca="true" ref="AA478" ca="true">IFERROR(AVERAGEIFS(
  unit_details[Sqft],
  unit_details[Property Name], INDIRECT("B"&amp;ROW()),
  unit_details[Floorplan Name], INDIRECT("C"&amp;ROW()),
  unit_details[Beds], INDIRECT("D"&amp;ROW()),
  unit_details[Detected Unit Amenities], "*"&amp;$AB$3&amp;"*",
  unit_details[Leased Date], "&gt;=" &amp; ($X$2 - $AD$3)
),0)</f>
        <v>0</v>
      </c>
      <c r="AB478" s="734" cm="1">
        <f t="array" aca="true" ref="AB4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8" s="733" cm="1">
        <f t="array" aca="true" ref="AC478" ca="true">IFERROR(COUNTIFS(
  unit_details[Property Name], INDIRECT("B"&amp;ROW()),
  unit_details[Floorplan Name], INDIRECT("C"&amp;ROW()),
  unit_details[Beds], INDIRECT("D"&amp;ROW()),
  unit_details[Detected Unit Amenities], "*"&amp;$AB$3&amp;"*",
  unit_details[Leased Date], "&gt;=" &amp; ($X$2 - $AD$3)
),0)</f>
        <v>0</v>
      </c>
      <c r="AD478" s="735" cm="1">
        <f t="array" aca="true" ref="AD478" ca="true">IFERROR(AVERAGEIFS(
  unit_details[Sqft],
  unit_details[Property Name], INDIRECT("B"&amp;ROW()),
  unit_details[Floorplan Name], INDIRECT("C"&amp;ROW()),
  unit_details[Beds], INDIRECT("D"&amp;ROW()),
  unit_details[Detected Unit Amenities], "&lt;&gt;*"&amp;$AB$3&amp;"*",
  unit_details[Leased Date], "&gt;=" &amp; ($X$2 - $AD$3)
),0)</f>
        <v>0</v>
      </c>
      <c r="AE478" s="734" cm="1">
        <f t="array" aca="true" ref="AE4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8" s="733" cm="1">
        <f t="array" aca="true" ref="AF478" ca="true">IFERROR(COUNTIFS(
  unit_details[Property Name], INDIRECT("B"&amp;ROW()),
  unit_details[Floorplan Name], INDIRECT("C"&amp;ROW()),
  unit_details[Beds], INDIRECT("D"&amp;ROW()),
  unit_details[Detected Unit Amenities], "&lt;&gt;*"&amp;$AB$3&amp;"*",
  unit_details[Leased Date], "&gt;=" &amp; ($X$2 - $AD$3)
),0)</f>
        <v>0</v>
      </c>
      <c r="AG478" s="735"/>
      <c r="AH478" s="738">
        <f t="shared" ca="true" si="16"/>
        <v>0</v>
      </c>
      <c r="AI478" s="739">
        <f t="shared" ca="true" si="17"/>
        <v>0</v>
      </c>
    </row>
    <row r="479" spans="10:35">
      <c r="J479" s="345"/>
      <c r="N479" s="738" t="str" cm="1">
        <f t="array" aca="true" ref="N479" ca="true">IFERROR(IF($O$3="Chunk Rent",
AVERAGEIFS('Unit-Level Data'!$O:$O,'Unit-Level Data'!$M:$M,TRUE,
          'Unit-Level Data'!$D:$D, INDIRECT("C"&amp;ROW()),
          'Unit-Level Data'!$B:$B, INDIRECT("B"&amp;ROW())),
AVERAGEIFS('Unit-Level Data'!$P:$P,'Unit-Level Data'!$M:$M,TRUE,
          'Unit-Level Data'!$D:$D, INDIRECT("C"&amp;ROW()),
          'Unit-Level Data'!$B:$B, INDIRECT("B"&amp;ROW()))),"")</f>
      </c>
      <c r="O479" s="760" t="str" cm="1">
        <f t="array" aca="true" ref="O479" ca="true">IFERROR(IF($O$3="Chunk Rent",
AVERAGEIFS('Unit-Level Data'!$Q:$Q,'Unit-Level Data'!$M:$M,TRUE,
          'Unit-Level Data'!$D:$D, INDIRECT("C"&amp;ROW()),
          'Unit-Level Data'!$B:$B, INDIRECT("B"&amp;ROW())),
AVERAGEIFS('Unit-Level Data'!$R:$R,'Unit-Level Data'!$M:$M,TRUE,
          'Unit-Level Data'!$D:$D, INDIRECT("C"&amp;ROW()),
          'Unit-Level Data'!$B:$B, INDIRECT("B"&amp;ROW()))),"")</f>
      </c>
      <c r="P479" s="733" cm="1">
        <f t="array" aca="true" ref="P479" ca="true">COUNTIFS('Unit-Level Data'!$M:$M,TRUE,
          'Unit-Level Data'!$D:$D, INDIRECT("C"&amp;ROW()),
          'Unit-Level Data'!$B:$B, INDIRECT("B"&amp;ROW()))</f>
        <v>0</v>
      </c>
      <c r="Q479" s="738" t="str" cm="1">
        <f t="array" aca="true" ref="Q4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9" s="760" t="str" cm="1">
        <f t="array" aca="true" ref="R4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9" s="733" cm="1">
        <f t="array" aca="true" ref="S479" ca="true">COUNTIFS('Unit-Level Data'!$L:$L, "&gt;=" &amp; ($X$2 - Q$5),
          'Unit-Level Data'!$L:$L, "&lt;" &amp; $X$2,
          'Unit-Level Data'!$D:$D, INDIRECT("C"&amp;ROW()),
          'Unit-Level Data'!$B:$B, INDIRECT("B"&amp;ROW()))</f>
        <v>0</v>
      </c>
      <c r="T479" s="738" t="str" cm="1">
        <f t="array" aca="true" ref="T4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9" s="760" t="str" cm="1">
        <f t="array" aca="true" ref="U4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9" s="733" cm="1">
        <f t="array" aca="true" ref="V479" ca="true">COUNTIFS('Unit-Level Data'!$L:$L, "&gt;=" &amp; ($X$2 - T$5),
          'Unit-Level Data'!$L:$L, "&lt;" &amp; $X$2,
          'Unit-Level Data'!$D:$D, INDIRECT("C"&amp;ROW()),
          'Unit-Level Data'!$B:$B, INDIRECT("B"&amp;ROW()))</f>
        <v>0</v>
      </c>
      <c r="W479" s="738" t="str" cm="1">
        <f t="array" aca="true" ref="W4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9" s="760" t="str" cm="1">
        <f t="array" aca="true" ref="X4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9" s="733" cm="1">
        <f t="array" aca="true" ref="Y479" ca="true">COUNTIFS('Unit-Level Data'!$L:$L, "&gt;=" &amp; ($X$2 - W$5),
          'Unit-Level Data'!$L:$L, "&lt;" &amp; $X$2,
          'Unit-Level Data'!$D:$D, INDIRECT("C"&amp;ROW()),
          'Unit-Level Data'!$B:$B, INDIRECT("B"&amp;ROW()))</f>
        <v>0</v>
      </c>
      <c r="Z479" s="761"/>
      <c r="AA479" s="735" cm="1">
        <f t="array" aca="true" ref="AA479" ca="true">IFERROR(AVERAGEIFS(
  unit_details[Sqft],
  unit_details[Property Name], INDIRECT("B"&amp;ROW()),
  unit_details[Floorplan Name], INDIRECT("C"&amp;ROW()),
  unit_details[Beds], INDIRECT("D"&amp;ROW()),
  unit_details[Detected Unit Amenities], "*"&amp;$AB$3&amp;"*",
  unit_details[Leased Date], "&gt;=" &amp; ($X$2 - $AD$3)
),0)</f>
        <v>0</v>
      </c>
      <c r="AB479" s="734" cm="1">
        <f t="array" aca="true" ref="AB4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9" s="733" cm="1">
        <f t="array" aca="true" ref="AC479" ca="true">IFERROR(COUNTIFS(
  unit_details[Property Name], INDIRECT("B"&amp;ROW()),
  unit_details[Floorplan Name], INDIRECT("C"&amp;ROW()),
  unit_details[Beds], INDIRECT("D"&amp;ROW()),
  unit_details[Detected Unit Amenities], "*"&amp;$AB$3&amp;"*",
  unit_details[Leased Date], "&gt;=" &amp; ($X$2 - $AD$3)
),0)</f>
        <v>0</v>
      </c>
      <c r="AD479" s="735" cm="1">
        <f t="array" aca="true" ref="AD479" ca="true">IFERROR(AVERAGEIFS(
  unit_details[Sqft],
  unit_details[Property Name], INDIRECT("B"&amp;ROW()),
  unit_details[Floorplan Name], INDIRECT("C"&amp;ROW()),
  unit_details[Beds], INDIRECT("D"&amp;ROW()),
  unit_details[Detected Unit Amenities], "&lt;&gt;*"&amp;$AB$3&amp;"*",
  unit_details[Leased Date], "&gt;=" &amp; ($X$2 - $AD$3)
),0)</f>
        <v>0</v>
      </c>
      <c r="AE479" s="734" cm="1">
        <f t="array" aca="true" ref="AE4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9" s="733" cm="1">
        <f t="array" aca="true" ref="AF479" ca="true">IFERROR(COUNTIFS(
  unit_details[Property Name], INDIRECT("B"&amp;ROW()),
  unit_details[Floorplan Name], INDIRECT("C"&amp;ROW()),
  unit_details[Beds], INDIRECT("D"&amp;ROW()),
  unit_details[Detected Unit Amenities], "&lt;&gt;*"&amp;$AB$3&amp;"*",
  unit_details[Leased Date], "&gt;=" &amp; ($X$2 - $AD$3)
),0)</f>
        <v>0</v>
      </c>
      <c r="AG479" s="735"/>
      <c r="AH479" s="738">
        <f t="shared" ca="true" si="16"/>
        <v>0</v>
      </c>
      <c r="AI479" s="739">
        <f t="shared" ca="true" si="17"/>
        <v>0</v>
      </c>
    </row>
    <row r="480" spans="10:35">
      <c r="J480" s="345"/>
      <c r="N480" s="738" t="str" cm="1">
        <f t="array" aca="true" ref="N480" ca="true">IFERROR(IF($O$3="Chunk Rent",
AVERAGEIFS('Unit-Level Data'!$O:$O,'Unit-Level Data'!$M:$M,TRUE,
          'Unit-Level Data'!$D:$D, INDIRECT("C"&amp;ROW()),
          'Unit-Level Data'!$B:$B, INDIRECT("B"&amp;ROW())),
AVERAGEIFS('Unit-Level Data'!$P:$P,'Unit-Level Data'!$M:$M,TRUE,
          'Unit-Level Data'!$D:$D, INDIRECT("C"&amp;ROW()),
          'Unit-Level Data'!$B:$B, INDIRECT("B"&amp;ROW()))),"")</f>
      </c>
      <c r="O480" s="760" t="str" cm="1">
        <f t="array" aca="true" ref="O480" ca="true">IFERROR(IF($O$3="Chunk Rent",
AVERAGEIFS('Unit-Level Data'!$Q:$Q,'Unit-Level Data'!$M:$M,TRUE,
          'Unit-Level Data'!$D:$D, INDIRECT("C"&amp;ROW()),
          'Unit-Level Data'!$B:$B, INDIRECT("B"&amp;ROW())),
AVERAGEIFS('Unit-Level Data'!$R:$R,'Unit-Level Data'!$M:$M,TRUE,
          'Unit-Level Data'!$D:$D, INDIRECT("C"&amp;ROW()),
          'Unit-Level Data'!$B:$B, INDIRECT("B"&amp;ROW()))),"")</f>
      </c>
      <c r="P480" s="733" cm="1">
        <f t="array" aca="true" ref="P480" ca="true">COUNTIFS('Unit-Level Data'!$M:$M,TRUE,
          'Unit-Level Data'!$D:$D, INDIRECT("C"&amp;ROW()),
          'Unit-Level Data'!$B:$B, INDIRECT("B"&amp;ROW()))</f>
        <v>0</v>
      </c>
      <c r="Q480" s="738" t="str" cm="1">
        <f t="array" aca="true" ref="Q4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0" s="760" t="str" cm="1">
        <f t="array" aca="true" ref="R4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0" s="733" cm="1">
        <f t="array" aca="true" ref="S480" ca="true">COUNTIFS('Unit-Level Data'!$L:$L, "&gt;=" &amp; ($X$2 - Q$5),
          'Unit-Level Data'!$L:$L, "&lt;" &amp; $X$2,
          'Unit-Level Data'!$D:$D, INDIRECT("C"&amp;ROW()),
          'Unit-Level Data'!$B:$B, INDIRECT("B"&amp;ROW()))</f>
        <v>0</v>
      </c>
      <c r="T480" s="738" t="str" cm="1">
        <f t="array" aca="true" ref="T4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0" s="760" t="str" cm="1">
        <f t="array" aca="true" ref="U4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0" s="733" cm="1">
        <f t="array" aca="true" ref="V480" ca="true">COUNTIFS('Unit-Level Data'!$L:$L, "&gt;=" &amp; ($X$2 - T$5),
          'Unit-Level Data'!$L:$L, "&lt;" &amp; $X$2,
          'Unit-Level Data'!$D:$D, INDIRECT("C"&amp;ROW()),
          'Unit-Level Data'!$B:$B, INDIRECT("B"&amp;ROW()))</f>
        <v>0</v>
      </c>
      <c r="W480" s="738" t="str" cm="1">
        <f t="array" aca="true" ref="W4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0" s="760" t="str" cm="1">
        <f t="array" aca="true" ref="X4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0" s="733" cm="1">
        <f t="array" aca="true" ref="Y480" ca="true">COUNTIFS('Unit-Level Data'!$L:$L, "&gt;=" &amp; ($X$2 - W$5),
          'Unit-Level Data'!$L:$L, "&lt;" &amp; $X$2,
          'Unit-Level Data'!$D:$D, INDIRECT("C"&amp;ROW()),
          'Unit-Level Data'!$B:$B, INDIRECT("B"&amp;ROW()))</f>
        <v>0</v>
      </c>
      <c r="Z480" s="761"/>
      <c r="AA480" s="735" cm="1">
        <f t="array" aca="true" ref="AA480" ca="true">IFERROR(AVERAGEIFS(
  unit_details[Sqft],
  unit_details[Property Name], INDIRECT("B"&amp;ROW()),
  unit_details[Floorplan Name], INDIRECT("C"&amp;ROW()),
  unit_details[Beds], INDIRECT("D"&amp;ROW()),
  unit_details[Detected Unit Amenities], "*"&amp;$AB$3&amp;"*",
  unit_details[Leased Date], "&gt;=" &amp; ($X$2 - $AD$3)
),0)</f>
        <v>0</v>
      </c>
      <c r="AB480" s="734" cm="1">
        <f t="array" aca="true" ref="AB4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0" s="733" cm="1">
        <f t="array" aca="true" ref="AC480" ca="true">IFERROR(COUNTIFS(
  unit_details[Property Name], INDIRECT("B"&amp;ROW()),
  unit_details[Floorplan Name], INDIRECT("C"&amp;ROW()),
  unit_details[Beds], INDIRECT("D"&amp;ROW()),
  unit_details[Detected Unit Amenities], "*"&amp;$AB$3&amp;"*",
  unit_details[Leased Date], "&gt;=" &amp; ($X$2 - $AD$3)
),0)</f>
        <v>0</v>
      </c>
      <c r="AD480" s="735" cm="1">
        <f t="array" aca="true" ref="AD480" ca="true">IFERROR(AVERAGEIFS(
  unit_details[Sqft],
  unit_details[Property Name], INDIRECT("B"&amp;ROW()),
  unit_details[Floorplan Name], INDIRECT("C"&amp;ROW()),
  unit_details[Beds], INDIRECT("D"&amp;ROW()),
  unit_details[Detected Unit Amenities], "&lt;&gt;*"&amp;$AB$3&amp;"*",
  unit_details[Leased Date], "&gt;=" &amp; ($X$2 - $AD$3)
),0)</f>
        <v>0</v>
      </c>
      <c r="AE480" s="734" cm="1">
        <f t="array" aca="true" ref="AE4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0" s="733" cm="1">
        <f t="array" aca="true" ref="AF480" ca="true">IFERROR(COUNTIFS(
  unit_details[Property Name], INDIRECT("B"&amp;ROW()),
  unit_details[Floorplan Name], INDIRECT("C"&amp;ROW()),
  unit_details[Beds], INDIRECT("D"&amp;ROW()),
  unit_details[Detected Unit Amenities], "&lt;&gt;*"&amp;$AB$3&amp;"*",
  unit_details[Leased Date], "&gt;=" &amp; ($X$2 - $AD$3)
),0)</f>
        <v>0</v>
      </c>
      <c r="AG480" s="735"/>
      <c r="AH480" s="738">
        <f t="shared" ca="true" si="16"/>
        <v>0</v>
      </c>
      <c r="AI480" s="739">
        <f t="shared" ca="true" si="17"/>
        <v>0</v>
      </c>
    </row>
    <row r="481" spans="10:35">
      <c r="J481" s="345"/>
      <c r="N481" s="738" t="str" cm="1">
        <f t="array" aca="true" ref="N481" ca="true">IFERROR(IF($O$3="Chunk Rent",
AVERAGEIFS('Unit-Level Data'!$O:$O,'Unit-Level Data'!$M:$M,TRUE,
          'Unit-Level Data'!$D:$D, INDIRECT("C"&amp;ROW()),
          'Unit-Level Data'!$B:$B, INDIRECT("B"&amp;ROW())),
AVERAGEIFS('Unit-Level Data'!$P:$P,'Unit-Level Data'!$M:$M,TRUE,
          'Unit-Level Data'!$D:$D, INDIRECT("C"&amp;ROW()),
          'Unit-Level Data'!$B:$B, INDIRECT("B"&amp;ROW()))),"")</f>
      </c>
      <c r="O481" s="760" t="str" cm="1">
        <f t="array" aca="true" ref="O481" ca="true">IFERROR(IF($O$3="Chunk Rent",
AVERAGEIFS('Unit-Level Data'!$Q:$Q,'Unit-Level Data'!$M:$M,TRUE,
          'Unit-Level Data'!$D:$D, INDIRECT("C"&amp;ROW()),
          'Unit-Level Data'!$B:$B, INDIRECT("B"&amp;ROW())),
AVERAGEIFS('Unit-Level Data'!$R:$R,'Unit-Level Data'!$M:$M,TRUE,
          'Unit-Level Data'!$D:$D, INDIRECT("C"&amp;ROW()),
          'Unit-Level Data'!$B:$B, INDIRECT("B"&amp;ROW()))),"")</f>
      </c>
      <c r="P481" s="733" cm="1">
        <f t="array" aca="true" ref="P481" ca="true">COUNTIFS('Unit-Level Data'!$M:$M,TRUE,
          'Unit-Level Data'!$D:$D, INDIRECT("C"&amp;ROW()),
          'Unit-Level Data'!$B:$B, INDIRECT("B"&amp;ROW()))</f>
        <v>0</v>
      </c>
      <c r="Q481" s="738" t="str" cm="1">
        <f t="array" aca="true" ref="Q4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1" s="760" t="str" cm="1">
        <f t="array" aca="true" ref="R4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1" s="733" cm="1">
        <f t="array" aca="true" ref="S481" ca="true">COUNTIFS('Unit-Level Data'!$L:$L, "&gt;=" &amp; ($X$2 - Q$5),
          'Unit-Level Data'!$L:$L, "&lt;" &amp; $X$2,
          'Unit-Level Data'!$D:$D, INDIRECT("C"&amp;ROW()),
          'Unit-Level Data'!$B:$B, INDIRECT("B"&amp;ROW()))</f>
        <v>0</v>
      </c>
      <c r="T481" s="738" t="str" cm="1">
        <f t="array" aca="true" ref="T4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1" s="760" t="str" cm="1">
        <f t="array" aca="true" ref="U4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1" s="733" cm="1">
        <f t="array" aca="true" ref="V481" ca="true">COUNTIFS('Unit-Level Data'!$L:$L, "&gt;=" &amp; ($X$2 - T$5),
          'Unit-Level Data'!$L:$L, "&lt;" &amp; $X$2,
          'Unit-Level Data'!$D:$D, INDIRECT("C"&amp;ROW()),
          'Unit-Level Data'!$B:$B, INDIRECT("B"&amp;ROW()))</f>
        <v>0</v>
      </c>
      <c r="W481" s="738" t="str" cm="1">
        <f t="array" aca="true" ref="W4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1" s="760" t="str" cm="1">
        <f t="array" aca="true" ref="X4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1" s="733" cm="1">
        <f t="array" aca="true" ref="Y481" ca="true">COUNTIFS('Unit-Level Data'!$L:$L, "&gt;=" &amp; ($X$2 - W$5),
          'Unit-Level Data'!$L:$L, "&lt;" &amp; $X$2,
          'Unit-Level Data'!$D:$D, INDIRECT("C"&amp;ROW()),
          'Unit-Level Data'!$B:$B, INDIRECT("B"&amp;ROW()))</f>
        <v>0</v>
      </c>
      <c r="Z481" s="761"/>
      <c r="AA481" s="735" cm="1">
        <f t="array" aca="true" ref="AA481" ca="true">IFERROR(AVERAGEIFS(
  unit_details[Sqft],
  unit_details[Property Name], INDIRECT("B"&amp;ROW()),
  unit_details[Floorplan Name], INDIRECT("C"&amp;ROW()),
  unit_details[Beds], INDIRECT("D"&amp;ROW()),
  unit_details[Detected Unit Amenities], "*"&amp;$AB$3&amp;"*",
  unit_details[Leased Date], "&gt;=" &amp; ($X$2 - $AD$3)
),0)</f>
        <v>0</v>
      </c>
      <c r="AB481" s="734" cm="1">
        <f t="array" aca="true" ref="AB4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1" s="733" cm="1">
        <f t="array" aca="true" ref="AC481" ca="true">IFERROR(COUNTIFS(
  unit_details[Property Name], INDIRECT("B"&amp;ROW()),
  unit_details[Floorplan Name], INDIRECT("C"&amp;ROW()),
  unit_details[Beds], INDIRECT("D"&amp;ROW()),
  unit_details[Detected Unit Amenities], "*"&amp;$AB$3&amp;"*",
  unit_details[Leased Date], "&gt;=" &amp; ($X$2 - $AD$3)
),0)</f>
        <v>0</v>
      </c>
      <c r="AD481" s="735" cm="1">
        <f t="array" aca="true" ref="AD481" ca="true">IFERROR(AVERAGEIFS(
  unit_details[Sqft],
  unit_details[Property Name], INDIRECT("B"&amp;ROW()),
  unit_details[Floorplan Name], INDIRECT("C"&amp;ROW()),
  unit_details[Beds], INDIRECT("D"&amp;ROW()),
  unit_details[Detected Unit Amenities], "&lt;&gt;*"&amp;$AB$3&amp;"*",
  unit_details[Leased Date], "&gt;=" &amp; ($X$2 - $AD$3)
),0)</f>
        <v>0</v>
      </c>
      <c r="AE481" s="734" cm="1">
        <f t="array" aca="true" ref="AE4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1" s="733" cm="1">
        <f t="array" aca="true" ref="AF481" ca="true">IFERROR(COUNTIFS(
  unit_details[Property Name], INDIRECT("B"&amp;ROW()),
  unit_details[Floorplan Name], INDIRECT("C"&amp;ROW()),
  unit_details[Beds], INDIRECT("D"&amp;ROW()),
  unit_details[Detected Unit Amenities], "&lt;&gt;*"&amp;$AB$3&amp;"*",
  unit_details[Leased Date], "&gt;=" &amp; ($X$2 - $AD$3)
),0)</f>
        <v>0</v>
      </c>
      <c r="AG481" s="735"/>
      <c r="AH481" s="738">
        <f t="shared" ca="true" si="16"/>
        <v>0</v>
      </c>
      <c r="AI481" s="739">
        <f t="shared" ca="true" si="17"/>
        <v>0</v>
      </c>
    </row>
    <row r="482" spans="10:35">
      <c r="J482" s="345"/>
      <c r="N482" s="738" t="str" cm="1">
        <f t="array" aca="true" ref="N482" ca="true">IFERROR(IF($O$3="Chunk Rent",
AVERAGEIFS('Unit-Level Data'!$O:$O,'Unit-Level Data'!$M:$M,TRUE,
          'Unit-Level Data'!$D:$D, INDIRECT("C"&amp;ROW()),
          'Unit-Level Data'!$B:$B, INDIRECT("B"&amp;ROW())),
AVERAGEIFS('Unit-Level Data'!$P:$P,'Unit-Level Data'!$M:$M,TRUE,
          'Unit-Level Data'!$D:$D, INDIRECT("C"&amp;ROW()),
          'Unit-Level Data'!$B:$B, INDIRECT("B"&amp;ROW()))),"")</f>
      </c>
      <c r="O482" s="760" t="str" cm="1">
        <f t="array" aca="true" ref="O482" ca="true">IFERROR(IF($O$3="Chunk Rent",
AVERAGEIFS('Unit-Level Data'!$Q:$Q,'Unit-Level Data'!$M:$M,TRUE,
          'Unit-Level Data'!$D:$D, INDIRECT("C"&amp;ROW()),
          'Unit-Level Data'!$B:$B, INDIRECT("B"&amp;ROW())),
AVERAGEIFS('Unit-Level Data'!$R:$R,'Unit-Level Data'!$M:$M,TRUE,
          'Unit-Level Data'!$D:$D, INDIRECT("C"&amp;ROW()),
          'Unit-Level Data'!$B:$B, INDIRECT("B"&amp;ROW()))),"")</f>
      </c>
      <c r="P482" s="733" cm="1">
        <f t="array" aca="true" ref="P482" ca="true">COUNTIFS('Unit-Level Data'!$M:$M,TRUE,
          'Unit-Level Data'!$D:$D, INDIRECT("C"&amp;ROW()),
          'Unit-Level Data'!$B:$B, INDIRECT("B"&amp;ROW()))</f>
        <v>0</v>
      </c>
      <c r="Q482" s="738" t="str" cm="1">
        <f t="array" aca="true" ref="Q4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2" s="760" t="str" cm="1">
        <f t="array" aca="true" ref="R4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2" s="733" cm="1">
        <f t="array" aca="true" ref="S482" ca="true">COUNTIFS('Unit-Level Data'!$L:$L, "&gt;=" &amp; ($X$2 - Q$5),
          'Unit-Level Data'!$L:$L, "&lt;" &amp; $X$2,
          'Unit-Level Data'!$D:$D, INDIRECT("C"&amp;ROW()),
          'Unit-Level Data'!$B:$B, INDIRECT("B"&amp;ROW()))</f>
        <v>0</v>
      </c>
      <c r="T482" s="738" t="str" cm="1">
        <f t="array" aca="true" ref="T4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2" s="760" t="str" cm="1">
        <f t="array" aca="true" ref="U4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2" s="733" cm="1">
        <f t="array" aca="true" ref="V482" ca="true">COUNTIFS('Unit-Level Data'!$L:$L, "&gt;=" &amp; ($X$2 - T$5),
          'Unit-Level Data'!$L:$L, "&lt;" &amp; $X$2,
          'Unit-Level Data'!$D:$D, INDIRECT("C"&amp;ROW()),
          'Unit-Level Data'!$B:$B, INDIRECT("B"&amp;ROW()))</f>
        <v>0</v>
      </c>
      <c r="W482" s="738" t="str" cm="1">
        <f t="array" aca="true" ref="W4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2" s="760" t="str" cm="1">
        <f t="array" aca="true" ref="X4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2" s="733" cm="1">
        <f t="array" aca="true" ref="Y482" ca="true">COUNTIFS('Unit-Level Data'!$L:$L, "&gt;=" &amp; ($X$2 - W$5),
          'Unit-Level Data'!$L:$L, "&lt;" &amp; $X$2,
          'Unit-Level Data'!$D:$D, INDIRECT("C"&amp;ROW()),
          'Unit-Level Data'!$B:$B, INDIRECT("B"&amp;ROW()))</f>
        <v>0</v>
      </c>
      <c r="Z482" s="761"/>
      <c r="AA482" s="735" cm="1">
        <f t="array" aca="true" ref="AA482" ca="true">IFERROR(AVERAGEIFS(
  unit_details[Sqft],
  unit_details[Property Name], INDIRECT("B"&amp;ROW()),
  unit_details[Floorplan Name], INDIRECT("C"&amp;ROW()),
  unit_details[Beds], INDIRECT("D"&amp;ROW()),
  unit_details[Detected Unit Amenities], "*"&amp;$AB$3&amp;"*",
  unit_details[Leased Date], "&gt;=" &amp; ($X$2 - $AD$3)
),0)</f>
        <v>0</v>
      </c>
      <c r="AB482" s="734" cm="1">
        <f t="array" aca="true" ref="AB4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2" s="733" cm="1">
        <f t="array" aca="true" ref="AC482" ca="true">IFERROR(COUNTIFS(
  unit_details[Property Name], INDIRECT("B"&amp;ROW()),
  unit_details[Floorplan Name], INDIRECT("C"&amp;ROW()),
  unit_details[Beds], INDIRECT("D"&amp;ROW()),
  unit_details[Detected Unit Amenities], "*"&amp;$AB$3&amp;"*",
  unit_details[Leased Date], "&gt;=" &amp; ($X$2 - $AD$3)
),0)</f>
        <v>0</v>
      </c>
      <c r="AD482" s="735" cm="1">
        <f t="array" aca="true" ref="AD482" ca="true">IFERROR(AVERAGEIFS(
  unit_details[Sqft],
  unit_details[Property Name], INDIRECT("B"&amp;ROW()),
  unit_details[Floorplan Name], INDIRECT("C"&amp;ROW()),
  unit_details[Beds], INDIRECT("D"&amp;ROW()),
  unit_details[Detected Unit Amenities], "&lt;&gt;*"&amp;$AB$3&amp;"*",
  unit_details[Leased Date], "&gt;=" &amp; ($X$2 - $AD$3)
),0)</f>
        <v>0</v>
      </c>
      <c r="AE482" s="734" cm="1">
        <f t="array" aca="true" ref="AE4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2" s="733" cm="1">
        <f t="array" aca="true" ref="AF482" ca="true">IFERROR(COUNTIFS(
  unit_details[Property Name], INDIRECT("B"&amp;ROW()),
  unit_details[Floorplan Name], INDIRECT("C"&amp;ROW()),
  unit_details[Beds], INDIRECT("D"&amp;ROW()),
  unit_details[Detected Unit Amenities], "&lt;&gt;*"&amp;$AB$3&amp;"*",
  unit_details[Leased Date], "&gt;=" &amp; ($X$2 - $AD$3)
),0)</f>
        <v>0</v>
      </c>
      <c r="AG482" s="735"/>
      <c r="AH482" s="738">
        <f t="shared" ca="true" si="16"/>
        <v>0</v>
      </c>
      <c r="AI482" s="739">
        <f t="shared" ca="true" si="17"/>
        <v>0</v>
      </c>
    </row>
    <row r="483" spans="10:35">
      <c r="J483" s="345"/>
      <c r="N483" s="738" t="str" cm="1">
        <f t="array" aca="true" ref="N483" ca="true">IFERROR(IF($O$3="Chunk Rent",
AVERAGEIFS('Unit-Level Data'!$O:$O,'Unit-Level Data'!$M:$M,TRUE,
          'Unit-Level Data'!$D:$D, INDIRECT("C"&amp;ROW()),
          'Unit-Level Data'!$B:$B, INDIRECT("B"&amp;ROW())),
AVERAGEIFS('Unit-Level Data'!$P:$P,'Unit-Level Data'!$M:$M,TRUE,
          'Unit-Level Data'!$D:$D, INDIRECT("C"&amp;ROW()),
          'Unit-Level Data'!$B:$B, INDIRECT("B"&amp;ROW()))),"")</f>
      </c>
      <c r="O483" s="760" t="str" cm="1">
        <f t="array" aca="true" ref="O483" ca="true">IFERROR(IF($O$3="Chunk Rent",
AVERAGEIFS('Unit-Level Data'!$Q:$Q,'Unit-Level Data'!$M:$M,TRUE,
          'Unit-Level Data'!$D:$D, INDIRECT("C"&amp;ROW()),
          'Unit-Level Data'!$B:$B, INDIRECT("B"&amp;ROW())),
AVERAGEIFS('Unit-Level Data'!$R:$R,'Unit-Level Data'!$M:$M,TRUE,
          'Unit-Level Data'!$D:$D, INDIRECT("C"&amp;ROW()),
          'Unit-Level Data'!$B:$B, INDIRECT("B"&amp;ROW()))),"")</f>
      </c>
      <c r="P483" s="733" cm="1">
        <f t="array" aca="true" ref="P483" ca="true">COUNTIFS('Unit-Level Data'!$M:$M,TRUE,
          'Unit-Level Data'!$D:$D, INDIRECT("C"&amp;ROW()),
          'Unit-Level Data'!$B:$B, INDIRECT("B"&amp;ROW()))</f>
        <v>0</v>
      </c>
      <c r="Q483" s="738" t="str" cm="1">
        <f t="array" aca="true" ref="Q4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3" s="760" t="str" cm="1">
        <f t="array" aca="true" ref="R4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3" s="733" cm="1">
        <f t="array" aca="true" ref="S483" ca="true">COUNTIFS('Unit-Level Data'!$L:$L, "&gt;=" &amp; ($X$2 - Q$5),
          'Unit-Level Data'!$L:$L, "&lt;" &amp; $X$2,
          'Unit-Level Data'!$D:$D, INDIRECT("C"&amp;ROW()),
          'Unit-Level Data'!$B:$B, INDIRECT("B"&amp;ROW()))</f>
        <v>0</v>
      </c>
      <c r="T483" s="738" t="str" cm="1">
        <f t="array" aca="true" ref="T4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3" s="760" t="str" cm="1">
        <f t="array" aca="true" ref="U4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3" s="733" cm="1">
        <f t="array" aca="true" ref="V483" ca="true">COUNTIFS('Unit-Level Data'!$L:$L, "&gt;=" &amp; ($X$2 - T$5),
          'Unit-Level Data'!$L:$L, "&lt;" &amp; $X$2,
          'Unit-Level Data'!$D:$D, INDIRECT("C"&amp;ROW()),
          'Unit-Level Data'!$B:$B, INDIRECT("B"&amp;ROW()))</f>
        <v>0</v>
      </c>
      <c r="W483" s="738" t="str" cm="1">
        <f t="array" aca="true" ref="W4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3" s="760" t="str" cm="1">
        <f t="array" aca="true" ref="X4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3" s="733" cm="1">
        <f t="array" aca="true" ref="Y483" ca="true">COUNTIFS('Unit-Level Data'!$L:$L, "&gt;=" &amp; ($X$2 - W$5),
          'Unit-Level Data'!$L:$L, "&lt;" &amp; $X$2,
          'Unit-Level Data'!$D:$D, INDIRECT("C"&amp;ROW()),
          'Unit-Level Data'!$B:$B, INDIRECT("B"&amp;ROW()))</f>
        <v>0</v>
      </c>
      <c r="Z483" s="761"/>
      <c r="AA483" s="735" cm="1">
        <f t="array" aca="true" ref="AA483" ca="true">IFERROR(AVERAGEIFS(
  unit_details[Sqft],
  unit_details[Property Name], INDIRECT("B"&amp;ROW()),
  unit_details[Floorplan Name], INDIRECT("C"&amp;ROW()),
  unit_details[Beds], INDIRECT("D"&amp;ROW()),
  unit_details[Detected Unit Amenities], "*"&amp;$AB$3&amp;"*",
  unit_details[Leased Date], "&gt;=" &amp; ($X$2 - $AD$3)
),0)</f>
        <v>0</v>
      </c>
      <c r="AB483" s="734" cm="1">
        <f t="array" aca="true" ref="AB4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3" s="733" cm="1">
        <f t="array" aca="true" ref="AC483" ca="true">IFERROR(COUNTIFS(
  unit_details[Property Name], INDIRECT("B"&amp;ROW()),
  unit_details[Floorplan Name], INDIRECT("C"&amp;ROW()),
  unit_details[Beds], INDIRECT("D"&amp;ROW()),
  unit_details[Detected Unit Amenities], "*"&amp;$AB$3&amp;"*",
  unit_details[Leased Date], "&gt;=" &amp; ($X$2 - $AD$3)
),0)</f>
        <v>0</v>
      </c>
      <c r="AD483" s="735" cm="1">
        <f t="array" aca="true" ref="AD483" ca="true">IFERROR(AVERAGEIFS(
  unit_details[Sqft],
  unit_details[Property Name], INDIRECT("B"&amp;ROW()),
  unit_details[Floorplan Name], INDIRECT("C"&amp;ROW()),
  unit_details[Beds], INDIRECT("D"&amp;ROW()),
  unit_details[Detected Unit Amenities], "&lt;&gt;*"&amp;$AB$3&amp;"*",
  unit_details[Leased Date], "&gt;=" &amp; ($X$2 - $AD$3)
),0)</f>
        <v>0</v>
      </c>
      <c r="AE483" s="734" cm="1">
        <f t="array" aca="true" ref="AE4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3" s="733" cm="1">
        <f t="array" aca="true" ref="AF483" ca="true">IFERROR(COUNTIFS(
  unit_details[Property Name], INDIRECT("B"&amp;ROW()),
  unit_details[Floorplan Name], INDIRECT("C"&amp;ROW()),
  unit_details[Beds], INDIRECT("D"&amp;ROW()),
  unit_details[Detected Unit Amenities], "&lt;&gt;*"&amp;$AB$3&amp;"*",
  unit_details[Leased Date], "&gt;=" &amp; ($X$2 - $AD$3)
),0)</f>
        <v>0</v>
      </c>
      <c r="AG483" s="735"/>
      <c r="AH483" s="738">
        <f t="shared" ca="true" si="16"/>
        <v>0</v>
      </c>
      <c r="AI483" s="739">
        <f t="shared" ca="true" si="17"/>
        <v>0</v>
      </c>
    </row>
    <row r="484" spans="10:35">
      <c r="J484" s="345"/>
      <c r="N484" s="738" t="str" cm="1">
        <f t="array" aca="true" ref="N484" ca="true">IFERROR(IF($O$3="Chunk Rent",
AVERAGEIFS('Unit-Level Data'!$O:$O,'Unit-Level Data'!$M:$M,TRUE,
          'Unit-Level Data'!$D:$D, INDIRECT("C"&amp;ROW()),
          'Unit-Level Data'!$B:$B, INDIRECT("B"&amp;ROW())),
AVERAGEIFS('Unit-Level Data'!$P:$P,'Unit-Level Data'!$M:$M,TRUE,
          'Unit-Level Data'!$D:$D, INDIRECT("C"&amp;ROW()),
          'Unit-Level Data'!$B:$B, INDIRECT("B"&amp;ROW()))),"")</f>
      </c>
      <c r="O484" s="760" t="str" cm="1">
        <f t="array" aca="true" ref="O484" ca="true">IFERROR(IF($O$3="Chunk Rent",
AVERAGEIFS('Unit-Level Data'!$Q:$Q,'Unit-Level Data'!$M:$M,TRUE,
          'Unit-Level Data'!$D:$D, INDIRECT("C"&amp;ROW()),
          'Unit-Level Data'!$B:$B, INDIRECT("B"&amp;ROW())),
AVERAGEIFS('Unit-Level Data'!$R:$R,'Unit-Level Data'!$M:$M,TRUE,
          'Unit-Level Data'!$D:$D, INDIRECT("C"&amp;ROW()),
          'Unit-Level Data'!$B:$B, INDIRECT("B"&amp;ROW()))),"")</f>
      </c>
      <c r="P484" s="733" cm="1">
        <f t="array" aca="true" ref="P484" ca="true">COUNTIFS('Unit-Level Data'!$M:$M,TRUE,
          'Unit-Level Data'!$D:$D, INDIRECT("C"&amp;ROW()),
          'Unit-Level Data'!$B:$B, INDIRECT("B"&amp;ROW()))</f>
        <v>0</v>
      </c>
      <c r="Q484" s="738" t="str" cm="1">
        <f t="array" aca="true" ref="Q4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4" s="760" t="str" cm="1">
        <f t="array" aca="true" ref="R4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4" s="733" cm="1">
        <f t="array" aca="true" ref="S484" ca="true">COUNTIFS('Unit-Level Data'!$L:$L, "&gt;=" &amp; ($X$2 - Q$5),
          'Unit-Level Data'!$L:$L, "&lt;" &amp; $X$2,
          'Unit-Level Data'!$D:$D, INDIRECT("C"&amp;ROW()),
          'Unit-Level Data'!$B:$B, INDIRECT("B"&amp;ROW()))</f>
        <v>0</v>
      </c>
      <c r="T484" s="738" t="str" cm="1">
        <f t="array" aca="true" ref="T4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4" s="760" t="str" cm="1">
        <f t="array" aca="true" ref="U4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4" s="733" cm="1">
        <f t="array" aca="true" ref="V484" ca="true">COUNTIFS('Unit-Level Data'!$L:$L, "&gt;=" &amp; ($X$2 - T$5),
          'Unit-Level Data'!$L:$L, "&lt;" &amp; $X$2,
          'Unit-Level Data'!$D:$D, INDIRECT("C"&amp;ROW()),
          'Unit-Level Data'!$B:$B, INDIRECT("B"&amp;ROW()))</f>
        <v>0</v>
      </c>
      <c r="W484" s="738" t="str" cm="1">
        <f t="array" aca="true" ref="W4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4" s="760" t="str" cm="1">
        <f t="array" aca="true" ref="X4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4" s="733" cm="1">
        <f t="array" aca="true" ref="Y484" ca="true">COUNTIFS('Unit-Level Data'!$L:$L, "&gt;=" &amp; ($X$2 - W$5),
          'Unit-Level Data'!$L:$L, "&lt;" &amp; $X$2,
          'Unit-Level Data'!$D:$D, INDIRECT("C"&amp;ROW()),
          'Unit-Level Data'!$B:$B, INDIRECT("B"&amp;ROW()))</f>
        <v>0</v>
      </c>
      <c r="Z484" s="761"/>
      <c r="AA484" s="735" cm="1">
        <f t="array" aca="true" ref="AA484" ca="true">IFERROR(AVERAGEIFS(
  unit_details[Sqft],
  unit_details[Property Name], INDIRECT("B"&amp;ROW()),
  unit_details[Floorplan Name], INDIRECT("C"&amp;ROW()),
  unit_details[Beds], INDIRECT("D"&amp;ROW()),
  unit_details[Detected Unit Amenities], "*"&amp;$AB$3&amp;"*",
  unit_details[Leased Date], "&gt;=" &amp; ($X$2 - $AD$3)
),0)</f>
        <v>0</v>
      </c>
      <c r="AB484" s="734" cm="1">
        <f t="array" aca="true" ref="AB4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4" s="733" cm="1">
        <f t="array" aca="true" ref="AC484" ca="true">IFERROR(COUNTIFS(
  unit_details[Property Name], INDIRECT("B"&amp;ROW()),
  unit_details[Floorplan Name], INDIRECT("C"&amp;ROW()),
  unit_details[Beds], INDIRECT("D"&amp;ROW()),
  unit_details[Detected Unit Amenities], "*"&amp;$AB$3&amp;"*",
  unit_details[Leased Date], "&gt;=" &amp; ($X$2 - $AD$3)
),0)</f>
        <v>0</v>
      </c>
      <c r="AD484" s="735" cm="1">
        <f t="array" aca="true" ref="AD484" ca="true">IFERROR(AVERAGEIFS(
  unit_details[Sqft],
  unit_details[Property Name], INDIRECT("B"&amp;ROW()),
  unit_details[Floorplan Name], INDIRECT("C"&amp;ROW()),
  unit_details[Beds], INDIRECT("D"&amp;ROW()),
  unit_details[Detected Unit Amenities], "&lt;&gt;*"&amp;$AB$3&amp;"*",
  unit_details[Leased Date], "&gt;=" &amp; ($X$2 - $AD$3)
),0)</f>
        <v>0</v>
      </c>
      <c r="AE484" s="734" cm="1">
        <f t="array" aca="true" ref="AE4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4" s="733" cm="1">
        <f t="array" aca="true" ref="AF484" ca="true">IFERROR(COUNTIFS(
  unit_details[Property Name], INDIRECT("B"&amp;ROW()),
  unit_details[Floorplan Name], INDIRECT("C"&amp;ROW()),
  unit_details[Beds], INDIRECT("D"&amp;ROW()),
  unit_details[Detected Unit Amenities], "&lt;&gt;*"&amp;$AB$3&amp;"*",
  unit_details[Leased Date], "&gt;=" &amp; ($X$2 - $AD$3)
),0)</f>
        <v>0</v>
      </c>
      <c r="AG484" s="735"/>
      <c r="AH484" s="738">
        <f t="shared" ca="true" si="16"/>
        <v>0</v>
      </c>
      <c r="AI484" s="739">
        <f t="shared" ca="true" si="17"/>
        <v>0</v>
      </c>
    </row>
    <row r="485" spans="10:35">
      <c r="J485" s="345"/>
      <c r="N485" s="738" t="str" cm="1">
        <f t="array" aca="true" ref="N485" ca="true">IFERROR(IF($O$3="Chunk Rent",
AVERAGEIFS('Unit-Level Data'!$O:$O,'Unit-Level Data'!$M:$M,TRUE,
          'Unit-Level Data'!$D:$D, INDIRECT("C"&amp;ROW()),
          'Unit-Level Data'!$B:$B, INDIRECT("B"&amp;ROW())),
AVERAGEIFS('Unit-Level Data'!$P:$P,'Unit-Level Data'!$M:$M,TRUE,
          'Unit-Level Data'!$D:$D, INDIRECT("C"&amp;ROW()),
          'Unit-Level Data'!$B:$B, INDIRECT("B"&amp;ROW()))),"")</f>
      </c>
      <c r="O485" s="760" t="str" cm="1">
        <f t="array" aca="true" ref="O485" ca="true">IFERROR(IF($O$3="Chunk Rent",
AVERAGEIFS('Unit-Level Data'!$Q:$Q,'Unit-Level Data'!$M:$M,TRUE,
          'Unit-Level Data'!$D:$D, INDIRECT("C"&amp;ROW()),
          'Unit-Level Data'!$B:$B, INDIRECT("B"&amp;ROW())),
AVERAGEIFS('Unit-Level Data'!$R:$R,'Unit-Level Data'!$M:$M,TRUE,
          'Unit-Level Data'!$D:$D, INDIRECT("C"&amp;ROW()),
          'Unit-Level Data'!$B:$B, INDIRECT("B"&amp;ROW()))),"")</f>
      </c>
      <c r="P485" s="733" cm="1">
        <f t="array" aca="true" ref="P485" ca="true">COUNTIFS('Unit-Level Data'!$M:$M,TRUE,
          'Unit-Level Data'!$D:$D, INDIRECT("C"&amp;ROW()),
          'Unit-Level Data'!$B:$B, INDIRECT("B"&amp;ROW()))</f>
        <v>0</v>
      </c>
      <c r="Q485" s="738" t="str" cm="1">
        <f t="array" aca="true" ref="Q4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5" s="760" t="str" cm="1">
        <f t="array" aca="true" ref="R4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5" s="733" cm="1">
        <f t="array" aca="true" ref="S485" ca="true">COUNTIFS('Unit-Level Data'!$L:$L, "&gt;=" &amp; ($X$2 - Q$5),
          'Unit-Level Data'!$L:$L, "&lt;" &amp; $X$2,
          'Unit-Level Data'!$D:$D, INDIRECT("C"&amp;ROW()),
          'Unit-Level Data'!$B:$B, INDIRECT("B"&amp;ROW()))</f>
        <v>0</v>
      </c>
      <c r="T485" s="738" t="str" cm="1">
        <f t="array" aca="true" ref="T4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5" s="760" t="str" cm="1">
        <f t="array" aca="true" ref="U4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5" s="733" cm="1">
        <f t="array" aca="true" ref="V485" ca="true">COUNTIFS('Unit-Level Data'!$L:$L, "&gt;=" &amp; ($X$2 - T$5),
          'Unit-Level Data'!$L:$L, "&lt;" &amp; $X$2,
          'Unit-Level Data'!$D:$D, INDIRECT("C"&amp;ROW()),
          'Unit-Level Data'!$B:$B, INDIRECT("B"&amp;ROW()))</f>
        <v>0</v>
      </c>
      <c r="W485" s="738" t="str" cm="1">
        <f t="array" aca="true" ref="W4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5" s="760" t="str" cm="1">
        <f t="array" aca="true" ref="X4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5" s="733" cm="1">
        <f t="array" aca="true" ref="Y485" ca="true">COUNTIFS('Unit-Level Data'!$L:$L, "&gt;=" &amp; ($X$2 - W$5),
          'Unit-Level Data'!$L:$L, "&lt;" &amp; $X$2,
          'Unit-Level Data'!$D:$D, INDIRECT("C"&amp;ROW()),
          'Unit-Level Data'!$B:$B, INDIRECT("B"&amp;ROW()))</f>
        <v>0</v>
      </c>
      <c r="Z485" s="761"/>
      <c r="AA485" s="735" cm="1">
        <f t="array" aca="true" ref="AA485" ca="true">IFERROR(AVERAGEIFS(
  unit_details[Sqft],
  unit_details[Property Name], INDIRECT("B"&amp;ROW()),
  unit_details[Floorplan Name], INDIRECT("C"&amp;ROW()),
  unit_details[Beds], INDIRECT("D"&amp;ROW()),
  unit_details[Detected Unit Amenities], "*"&amp;$AB$3&amp;"*",
  unit_details[Leased Date], "&gt;=" &amp; ($X$2 - $AD$3)
),0)</f>
        <v>0</v>
      </c>
      <c r="AB485" s="734" cm="1">
        <f t="array" aca="true" ref="AB4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5" s="733" cm="1">
        <f t="array" aca="true" ref="AC485" ca="true">IFERROR(COUNTIFS(
  unit_details[Property Name], INDIRECT("B"&amp;ROW()),
  unit_details[Floorplan Name], INDIRECT("C"&amp;ROW()),
  unit_details[Beds], INDIRECT("D"&amp;ROW()),
  unit_details[Detected Unit Amenities], "*"&amp;$AB$3&amp;"*",
  unit_details[Leased Date], "&gt;=" &amp; ($X$2 - $AD$3)
),0)</f>
        <v>0</v>
      </c>
      <c r="AD485" s="735" cm="1">
        <f t="array" aca="true" ref="AD485" ca="true">IFERROR(AVERAGEIFS(
  unit_details[Sqft],
  unit_details[Property Name], INDIRECT("B"&amp;ROW()),
  unit_details[Floorplan Name], INDIRECT("C"&amp;ROW()),
  unit_details[Beds], INDIRECT("D"&amp;ROW()),
  unit_details[Detected Unit Amenities], "&lt;&gt;*"&amp;$AB$3&amp;"*",
  unit_details[Leased Date], "&gt;=" &amp; ($X$2 - $AD$3)
),0)</f>
        <v>0</v>
      </c>
      <c r="AE485" s="734" cm="1">
        <f t="array" aca="true" ref="AE4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5" s="733" cm="1">
        <f t="array" aca="true" ref="AF485" ca="true">IFERROR(COUNTIFS(
  unit_details[Property Name], INDIRECT("B"&amp;ROW()),
  unit_details[Floorplan Name], INDIRECT("C"&amp;ROW()),
  unit_details[Beds], INDIRECT("D"&amp;ROW()),
  unit_details[Detected Unit Amenities], "&lt;&gt;*"&amp;$AB$3&amp;"*",
  unit_details[Leased Date], "&gt;=" &amp; ($X$2 - $AD$3)
),0)</f>
        <v>0</v>
      </c>
      <c r="AG485" s="735"/>
      <c r="AH485" s="738">
        <f t="shared" ca="true" si="16"/>
        <v>0</v>
      </c>
      <c r="AI485" s="739">
        <f t="shared" ca="true" si="17"/>
        <v>0</v>
      </c>
    </row>
    <row r="486" spans="10:35">
      <c r="J486" s="345"/>
      <c r="N486" s="738" t="str" cm="1">
        <f t="array" aca="true" ref="N486" ca="true">IFERROR(IF($O$3="Chunk Rent",
AVERAGEIFS('Unit-Level Data'!$O:$O,'Unit-Level Data'!$M:$M,TRUE,
          'Unit-Level Data'!$D:$D, INDIRECT("C"&amp;ROW()),
          'Unit-Level Data'!$B:$B, INDIRECT("B"&amp;ROW())),
AVERAGEIFS('Unit-Level Data'!$P:$P,'Unit-Level Data'!$M:$M,TRUE,
          'Unit-Level Data'!$D:$D, INDIRECT("C"&amp;ROW()),
          'Unit-Level Data'!$B:$B, INDIRECT("B"&amp;ROW()))),"")</f>
      </c>
      <c r="O486" s="760" t="str" cm="1">
        <f t="array" aca="true" ref="O486" ca="true">IFERROR(IF($O$3="Chunk Rent",
AVERAGEIFS('Unit-Level Data'!$Q:$Q,'Unit-Level Data'!$M:$M,TRUE,
          'Unit-Level Data'!$D:$D, INDIRECT("C"&amp;ROW()),
          'Unit-Level Data'!$B:$B, INDIRECT("B"&amp;ROW())),
AVERAGEIFS('Unit-Level Data'!$R:$R,'Unit-Level Data'!$M:$M,TRUE,
          'Unit-Level Data'!$D:$D, INDIRECT("C"&amp;ROW()),
          'Unit-Level Data'!$B:$B, INDIRECT("B"&amp;ROW()))),"")</f>
      </c>
      <c r="P486" s="733" cm="1">
        <f t="array" aca="true" ref="P486" ca="true">COUNTIFS('Unit-Level Data'!$M:$M,TRUE,
          'Unit-Level Data'!$D:$D, INDIRECT("C"&amp;ROW()),
          'Unit-Level Data'!$B:$B, INDIRECT("B"&amp;ROW()))</f>
        <v>0</v>
      </c>
      <c r="Q486" s="738" t="str" cm="1">
        <f t="array" aca="true" ref="Q4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6" s="760" t="str" cm="1">
        <f t="array" aca="true" ref="R4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6" s="733" cm="1">
        <f t="array" aca="true" ref="S486" ca="true">COUNTIFS('Unit-Level Data'!$L:$L, "&gt;=" &amp; ($X$2 - Q$5),
          'Unit-Level Data'!$L:$L, "&lt;" &amp; $X$2,
          'Unit-Level Data'!$D:$D, INDIRECT("C"&amp;ROW()),
          'Unit-Level Data'!$B:$B, INDIRECT("B"&amp;ROW()))</f>
        <v>0</v>
      </c>
      <c r="T486" s="738" t="str" cm="1">
        <f t="array" aca="true" ref="T4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6" s="760" t="str" cm="1">
        <f t="array" aca="true" ref="U4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6" s="733" cm="1">
        <f t="array" aca="true" ref="V486" ca="true">COUNTIFS('Unit-Level Data'!$L:$L, "&gt;=" &amp; ($X$2 - T$5),
          'Unit-Level Data'!$L:$L, "&lt;" &amp; $X$2,
          'Unit-Level Data'!$D:$D, INDIRECT("C"&amp;ROW()),
          'Unit-Level Data'!$B:$B, INDIRECT("B"&amp;ROW()))</f>
        <v>0</v>
      </c>
      <c r="W486" s="738" t="str" cm="1">
        <f t="array" aca="true" ref="W4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6" s="760" t="str" cm="1">
        <f t="array" aca="true" ref="X4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6" s="733" cm="1">
        <f t="array" aca="true" ref="Y486" ca="true">COUNTIFS('Unit-Level Data'!$L:$L, "&gt;=" &amp; ($X$2 - W$5),
          'Unit-Level Data'!$L:$L, "&lt;" &amp; $X$2,
          'Unit-Level Data'!$D:$D, INDIRECT("C"&amp;ROW()),
          'Unit-Level Data'!$B:$B, INDIRECT("B"&amp;ROW()))</f>
        <v>0</v>
      </c>
      <c r="Z486" s="761"/>
      <c r="AA486" s="735" cm="1">
        <f t="array" aca="true" ref="AA486" ca="true">IFERROR(AVERAGEIFS(
  unit_details[Sqft],
  unit_details[Property Name], INDIRECT("B"&amp;ROW()),
  unit_details[Floorplan Name], INDIRECT("C"&amp;ROW()),
  unit_details[Beds], INDIRECT("D"&amp;ROW()),
  unit_details[Detected Unit Amenities], "*"&amp;$AB$3&amp;"*",
  unit_details[Leased Date], "&gt;=" &amp; ($X$2 - $AD$3)
),0)</f>
        <v>0</v>
      </c>
      <c r="AB486" s="734" cm="1">
        <f t="array" aca="true" ref="AB4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6" s="733" cm="1">
        <f t="array" aca="true" ref="AC486" ca="true">IFERROR(COUNTIFS(
  unit_details[Property Name], INDIRECT("B"&amp;ROW()),
  unit_details[Floorplan Name], INDIRECT("C"&amp;ROW()),
  unit_details[Beds], INDIRECT("D"&amp;ROW()),
  unit_details[Detected Unit Amenities], "*"&amp;$AB$3&amp;"*",
  unit_details[Leased Date], "&gt;=" &amp; ($X$2 - $AD$3)
),0)</f>
        <v>0</v>
      </c>
      <c r="AD486" s="735" cm="1">
        <f t="array" aca="true" ref="AD486" ca="true">IFERROR(AVERAGEIFS(
  unit_details[Sqft],
  unit_details[Property Name], INDIRECT("B"&amp;ROW()),
  unit_details[Floorplan Name], INDIRECT("C"&amp;ROW()),
  unit_details[Beds], INDIRECT("D"&amp;ROW()),
  unit_details[Detected Unit Amenities], "&lt;&gt;*"&amp;$AB$3&amp;"*",
  unit_details[Leased Date], "&gt;=" &amp; ($X$2 - $AD$3)
),0)</f>
        <v>0</v>
      </c>
      <c r="AE486" s="734" cm="1">
        <f t="array" aca="true" ref="AE4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6" s="733" cm="1">
        <f t="array" aca="true" ref="AF486" ca="true">IFERROR(COUNTIFS(
  unit_details[Property Name], INDIRECT("B"&amp;ROW()),
  unit_details[Floorplan Name], INDIRECT("C"&amp;ROW()),
  unit_details[Beds], INDIRECT("D"&amp;ROW()),
  unit_details[Detected Unit Amenities], "&lt;&gt;*"&amp;$AB$3&amp;"*",
  unit_details[Leased Date], "&gt;=" &amp; ($X$2 - $AD$3)
),0)</f>
        <v>0</v>
      </c>
      <c r="AG486" s="735"/>
      <c r="AH486" s="738">
        <f t="shared" ca="true" si="16"/>
        <v>0</v>
      </c>
      <c r="AI486" s="739">
        <f t="shared" ca="true" si="17"/>
        <v>0</v>
      </c>
    </row>
    <row r="487" spans="10:35">
      <c r="J487" s="345"/>
      <c r="N487" s="738" t="str" cm="1">
        <f t="array" aca="true" ref="N487" ca="true">IFERROR(IF($O$3="Chunk Rent",
AVERAGEIFS('Unit-Level Data'!$O:$O,'Unit-Level Data'!$M:$M,TRUE,
          'Unit-Level Data'!$D:$D, INDIRECT("C"&amp;ROW()),
          'Unit-Level Data'!$B:$B, INDIRECT("B"&amp;ROW())),
AVERAGEIFS('Unit-Level Data'!$P:$P,'Unit-Level Data'!$M:$M,TRUE,
          'Unit-Level Data'!$D:$D, INDIRECT("C"&amp;ROW()),
          'Unit-Level Data'!$B:$B, INDIRECT("B"&amp;ROW()))),"")</f>
      </c>
      <c r="O487" s="760" t="str" cm="1">
        <f t="array" aca="true" ref="O487" ca="true">IFERROR(IF($O$3="Chunk Rent",
AVERAGEIFS('Unit-Level Data'!$Q:$Q,'Unit-Level Data'!$M:$M,TRUE,
          'Unit-Level Data'!$D:$D, INDIRECT("C"&amp;ROW()),
          'Unit-Level Data'!$B:$B, INDIRECT("B"&amp;ROW())),
AVERAGEIFS('Unit-Level Data'!$R:$R,'Unit-Level Data'!$M:$M,TRUE,
          'Unit-Level Data'!$D:$D, INDIRECT("C"&amp;ROW()),
          'Unit-Level Data'!$B:$B, INDIRECT("B"&amp;ROW()))),"")</f>
      </c>
      <c r="P487" s="733" cm="1">
        <f t="array" aca="true" ref="P487" ca="true">COUNTIFS('Unit-Level Data'!$M:$M,TRUE,
          'Unit-Level Data'!$D:$D, INDIRECT("C"&amp;ROW()),
          'Unit-Level Data'!$B:$B, INDIRECT("B"&amp;ROW()))</f>
        <v>0</v>
      </c>
      <c r="Q487" s="738" t="str" cm="1">
        <f t="array" aca="true" ref="Q4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7" s="760" t="str" cm="1">
        <f t="array" aca="true" ref="R4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7" s="733" cm="1">
        <f t="array" aca="true" ref="S487" ca="true">COUNTIFS('Unit-Level Data'!$L:$L, "&gt;=" &amp; ($X$2 - Q$5),
          'Unit-Level Data'!$L:$L, "&lt;" &amp; $X$2,
          'Unit-Level Data'!$D:$D, INDIRECT("C"&amp;ROW()),
          'Unit-Level Data'!$B:$B, INDIRECT("B"&amp;ROW()))</f>
        <v>0</v>
      </c>
      <c r="T487" s="738" t="str" cm="1">
        <f t="array" aca="true" ref="T4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7" s="760" t="str" cm="1">
        <f t="array" aca="true" ref="U4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7" s="733" cm="1">
        <f t="array" aca="true" ref="V487" ca="true">COUNTIFS('Unit-Level Data'!$L:$L, "&gt;=" &amp; ($X$2 - T$5),
          'Unit-Level Data'!$L:$L, "&lt;" &amp; $X$2,
          'Unit-Level Data'!$D:$D, INDIRECT("C"&amp;ROW()),
          'Unit-Level Data'!$B:$B, INDIRECT("B"&amp;ROW()))</f>
        <v>0</v>
      </c>
      <c r="W487" s="738" t="str" cm="1">
        <f t="array" aca="true" ref="W4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7" s="760" t="str" cm="1">
        <f t="array" aca="true" ref="X4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7" s="733" cm="1">
        <f t="array" aca="true" ref="Y487" ca="true">COUNTIFS('Unit-Level Data'!$L:$L, "&gt;=" &amp; ($X$2 - W$5),
          'Unit-Level Data'!$L:$L, "&lt;" &amp; $X$2,
          'Unit-Level Data'!$D:$D, INDIRECT("C"&amp;ROW()),
          'Unit-Level Data'!$B:$B, INDIRECT("B"&amp;ROW()))</f>
        <v>0</v>
      </c>
      <c r="Z487" s="761"/>
      <c r="AA487" s="735" cm="1">
        <f t="array" aca="true" ref="AA487" ca="true">IFERROR(AVERAGEIFS(
  unit_details[Sqft],
  unit_details[Property Name], INDIRECT("B"&amp;ROW()),
  unit_details[Floorplan Name], INDIRECT("C"&amp;ROW()),
  unit_details[Beds], INDIRECT("D"&amp;ROW()),
  unit_details[Detected Unit Amenities], "*"&amp;$AB$3&amp;"*",
  unit_details[Leased Date], "&gt;=" &amp; ($X$2 - $AD$3)
),0)</f>
        <v>0</v>
      </c>
      <c r="AB487" s="734" cm="1">
        <f t="array" aca="true" ref="AB4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7" s="733" cm="1">
        <f t="array" aca="true" ref="AC487" ca="true">IFERROR(COUNTIFS(
  unit_details[Property Name], INDIRECT("B"&amp;ROW()),
  unit_details[Floorplan Name], INDIRECT("C"&amp;ROW()),
  unit_details[Beds], INDIRECT("D"&amp;ROW()),
  unit_details[Detected Unit Amenities], "*"&amp;$AB$3&amp;"*",
  unit_details[Leased Date], "&gt;=" &amp; ($X$2 - $AD$3)
),0)</f>
        <v>0</v>
      </c>
      <c r="AD487" s="735" cm="1">
        <f t="array" aca="true" ref="AD487" ca="true">IFERROR(AVERAGEIFS(
  unit_details[Sqft],
  unit_details[Property Name], INDIRECT("B"&amp;ROW()),
  unit_details[Floorplan Name], INDIRECT("C"&amp;ROW()),
  unit_details[Beds], INDIRECT("D"&amp;ROW()),
  unit_details[Detected Unit Amenities], "&lt;&gt;*"&amp;$AB$3&amp;"*",
  unit_details[Leased Date], "&gt;=" &amp; ($X$2 - $AD$3)
),0)</f>
        <v>0</v>
      </c>
      <c r="AE487" s="734" cm="1">
        <f t="array" aca="true" ref="AE4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7" s="733" cm="1">
        <f t="array" aca="true" ref="AF487" ca="true">IFERROR(COUNTIFS(
  unit_details[Property Name], INDIRECT("B"&amp;ROW()),
  unit_details[Floorplan Name], INDIRECT("C"&amp;ROW()),
  unit_details[Beds], INDIRECT("D"&amp;ROW()),
  unit_details[Detected Unit Amenities], "&lt;&gt;*"&amp;$AB$3&amp;"*",
  unit_details[Leased Date], "&gt;=" &amp; ($X$2 - $AD$3)
),0)</f>
        <v>0</v>
      </c>
      <c r="AG487" s="735"/>
      <c r="AH487" s="738">
        <f t="shared" ca="true" si="16"/>
        <v>0</v>
      </c>
      <c r="AI487" s="739">
        <f t="shared" ca="true" si="17"/>
        <v>0</v>
      </c>
    </row>
    <row r="488" spans="10:35">
      <c r="J488" s="345"/>
      <c r="N488" s="738" t="str" cm="1">
        <f t="array" aca="true" ref="N488" ca="true">IFERROR(IF($O$3="Chunk Rent",
AVERAGEIFS('Unit-Level Data'!$O:$O,'Unit-Level Data'!$M:$M,TRUE,
          'Unit-Level Data'!$D:$D, INDIRECT("C"&amp;ROW()),
          'Unit-Level Data'!$B:$B, INDIRECT("B"&amp;ROW())),
AVERAGEIFS('Unit-Level Data'!$P:$P,'Unit-Level Data'!$M:$M,TRUE,
          'Unit-Level Data'!$D:$D, INDIRECT("C"&amp;ROW()),
          'Unit-Level Data'!$B:$B, INDIRECT("B"&amp;ROW()))),"")</f>
      </c>
      <c r="O488" s="760" t="str" cm="1">
        <f t="array" aca="true" ref="O488" ca="true">IFERROR(IF($O$3="Chunk Rent",
AVERAGEIFS('Unit-Level Data'!$Q:$Q,'Unit-Level Data'!$M:$M,TRUE,
          'Unit-Level Data'!$D:$D, INDIRECT("C"&amp;ROW()),
          'Unit-Level Data'!$B:$B, INDIRECT("B"&amp;ROW())),
AVERAGEIFS('Unit-Level Data'!$R:$R,'Unit-Level Data'!$M:$M,TRUE,
          'Unit-Level Data'!$D:$D, INDIRECT("C"&amp;ROW()),
          'Unit-Level Data'!$B:$B, INDIRECT("B"&amp;ROW()))),"")</f>
      </c>
      <c r="P488" s="733" cm="1">
        <f t="array" aca="true" ref="P488" ca="true">COUNTIFS('Unit-Level Data'!$M:$M,TRUE,
          'Unit-Level Data'!$D:$D, INDIRECT("C"&amp;ROW()),
          'Unit-Level Data'!$B:$B, INDIRECT("B"&amp;ROW()))</f>
        <v>0</v>
      </c>
      <c r="Q488" s="738" t="str" cm="1">
        <f t="array" aca="true" ref="Q4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8" s="760" t="str" cm="1">
        <f t="array" aca="true" ref="R4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8" s="733" cm="1">
        <f t="array" aca="true" ref="S488" ca="true">COUNTIFS('Unit-Level Data'!$L:$L, "&gt;=" &amp; ($X$2 - Q$5),
          'Unit-Level Data'!$L:$L, "&lt;" &amp; $X$2,
          'Unit-Level Data'!$D:$D, INDIRECT("C"&amp;ROW()),
          'Unit-Level Data'!$B:$B, INDIRECT("B"&amp;ROW()))</f>
        <v>0</v>
      </c>
      <c r="T488" s="738" t="str" cm="1">
        <f t="array" aca="true" ref="T4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8" s="760" t="str" cm="1">
        <f t="array" aca="true" ref="U4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8" s="733" cm="1">
        <f t="array" aca="true" ref="V488" ca="true">COUNTIFS('Unit-Level Data'!$L:$L, "&gt;=" &amp; ($X$2 - T$5),
          'Unit-Level Data'!$L:$L, "&lt;" &amp; $X$2,
          'Unit-Level Data'!$D:$D, INDIRECT("C"&amp;ROW()),
          'Unit-Level Data'!$B:$B, INDIRECT("B"&amp;ROW()))</f>
        <v>0</v>
      </c>
      <c r="W488" s="738" t="str" cm="1">
        <f t="array" aca="true" ref="W4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8" s="760" t="str" cm="1">
        <f t="array" aca="true" ref="X4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8" s="733" cm="1">
        <f t="array" aca="true" ref="Y488" ca="true">COUNTIFS('Unit-Level Data'!$L:$L, "&gt;=" &amp; ($X$2 - W$5),
          'Unit-Level Data'!$L:$L, "&lt;" &amp; $X$2,
          'Unit-Level Data'!$D:$D, INDIRECT("C"&amp;ROW()),
          'Unit-Level Data'!$B:$B, INDIRECT("B"&amp;ROW()))</f>
        <v>0</v>
      </c>
      <c r="Z488" s="761"/>
      <c r="AA488" s="735" cm="1">
        <f t="array" aca="true" ref="AA488" ca="true">IFERROR(AVERAGEIFS(
  unit_details[Sqft],
  unit_details[Property Name], INDIRECT("B"&amp;ROW()),
  unit_details[Floorplan Name], INDIRECT("C"&amp;ROW()),
  unit_details[Beds], INDIRECT("D"&amp;ROW()),
  unit_details[Detected Unit Amenities], "*"&amp;$AB$3&amp;"*",
  unit_details[Leased Date], "&gt;=" &amp; ($X$2 - $AD$3)
),0)</f>
        <v>0</v>
      </c>
      <c r="AB488" s="734" cm="1">
        <f t="array" aca="true" ref="AB4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8" s="733" cm="1">
        <f t="array" aca="true" ref="AC488" ca="true">IFERROR(COUNTIFS(
  unit_details[Property Name], INDIRECT("B"&amp;ROW()),
  unit_details[Floorplan Name], INDIRECT("C"&amp;ROW()),
  unit_details[Beds], INDIRECT("D"&amp;ROW()),
  unit_details[Detected Unit Amenities], "*"&amp;$AB$3&amp;"*",
  unit_details[Leased Date], "&gt;=" &amp; ($X$2 - $AD$3)
),0)</f>
        <v>0</v>
      </c>
      <c r="AD488" s="735" cm="1">
        <f t="array" aca="true" ref="AD488" ca="true">IFERROR(AVERAGEIFS(
  unit_details[Sqft],
  unit_details[Property Name], INDIRECT("B"&amp;ROW()),
  unit_details[Floorplan Name], INDIRECT("C"&amp;ROW()),
  unit_details[Beds], INDIRECT("D"&amp;ROW()),
  unit_details[Detected Unit Amenities], "&lt;&gt;*"&amp;$AB$3&amp;"*",
  unit_details[Leased Date], "&gt;=" &amp; ($X$2 - $AD$3)
),0)</f>
        <v>0</v>
      </c>
      <c r="AE488" s="734" cm="1">
        <f t="array" aca="true" ref="AE4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8" s="733" cm="1">
        <f t="array" aca="true" ref="AF488" ca="true">IFERROR(COUNTIFS(
  unit_details[Property Name], INDIRECT("B"&amp;ROW()),
  unit_details[Floorplan Name], INDIRECT("C"&amp;ROW()),
  unit_details[Beds], INDIRECT("D"&amp;ROW()),
  unit_details[Detected Unit Amenities], "&lt;&gt;*"&amp;$AB$3&amp;"*",
  unit_details[Leased Date], "&gt;=" &amp; ($X$2 - $AD$3)
),0)</f>
        <v>0</v>
      </c>
      <c r="AG488" s="735"/>
      <c r="AH488" s="738">
        <f t="shared" ca="true" si="16"/>
        <v>0</v>
      </c>
      <c r="AI488" s="739">
        <f t="shared" ca="true" si="17"/>
        <v>0</v>
      </c>
    </row>
    <row r="489" spans="10:35">
      <c r="J489" s="345"/>
      <c r="N489" s="738" t="str" cm="1">
        <f t="array" aca="true" ref="N489" ca="true">IFERROR(IF($O$3="Chunk Rent",
AVERAGEIFS('Unit-Level Data'!$O:$O,'Unit-Level Data'!$M:$M,TRUE,
          'Unit-Level Data'!$D:$D, INDIRECT("C"&amp;ROW()),
          'Unit-Level Data'!$B:$B, INDIRECT("B"&amp;ROW())),
AVERAGEIFS('Unit-Level Data'!$P:$P,'Unit-Level Data'!$M:$M,TRUE,
          'Unit-Level Data'!$D:$D, INDIRECT("C"&amp;ROW()),
          'Unit-Level Data'!$B:$B, INDIRECT("B"&amp;ROW()))),"")</f>
      </c>
      <c r="O489" s="760" t="str" cm="1">
        <f t="array" aca="true" ref="O489" ca="true">IFERROR(IF($O$3="Chunk Rent",
AVERAGEIFS('Unit-Level Data'!$Q:$Q,'Unit-Level Data'!$M:$M,TRUE,
          'Unit-Level Data'!$D:$D, INDIRECT("C"&amp;ROW()),
          'Unit-Level Data'!$B:$B, INDIRECT("B"&amp;ROW())),
AVERAGEIFS('Unit-Level Data'!$R:$R,'Unit-Level Data'!$M:$M,TRUE,
          'Unit-Level Data'!$D:$D, INDIRECT("C"&amp;ROW()),
          'Unit-Level Data'!$B:$B, INDIRECT("B"&amp;ROW()))),"")</f>
      </c>
      <c r="P489" s="733" cm="1">
        <f t="array" aca="true" ref="P489" ca="true">COUNTIFS('Unit-Level Data'!$M:$M,TRUE,
          'Unit-Level Data'!$D:$D, INDIRECT("C"&amp;ROW()),
          'Unit-Level Data'!$B:$B, INDIRECT("B"&amp;ROW()))</f>
        <v>0</v>
      </c>
      <c r="Q489" s="738" t="str" cm="1">
        <f t="array" aca="true" ref="Q4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9" s="760" t="str" cm="1">
        <f t="array" aca="true" ref="R4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9" s="733" cm="1">
        <f t="array" aca="true" ref="S489" ca="true">COUNTIFS('Unit-Level Data'!$L:$L, "&gt;=" &amp; ($X$2 - Q$5),
          'Unit-Level Data'!$L:$L, "&lt;" &amp; $X$2,
          'Unit-Level Data'!$D:$D, INDIRECT("C"&amp;ROW()),
          'Unit-Level Data'!$B:$B, INDIRECT("B"&amp;ROW()))</f>
        <v>0</v>
      </c>
      <c r="T489" s="738" t="str" cm="1">
        <f t="array" aca="true" ref="T4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9" s="760" t="str" cm="1">
        <f t="array" aca="true" ref="U4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9" s="733" cm="1">
        <f t="array" aca="true" ref="V489" ca="true">COUNTIFS('Unit-Level Data'!$L:$L, "&gt;=" &amp; ($X$2 - T$5),
          'Unit-Level Data'!$L:$L, "&lt;" &amp; $X$2,
          'Unit-Level Data'!$D:$D, INDIRECT("C"&amp;ROW()),
          'Unit-Level Data'!$B:$B, INDIRECT("B"&amp;ROW()))</f>
        <v>0</v>
      </c>
      <c r="W489" s="738" t="str" cm="1">
        <f t="array" aca="true" ref="W4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9" s="760" t="str" cm="1">
        <f t="array" aca="true" ref="X4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9" s="733" cm="1">
        <f t="array" aca="true" ref="Y489" ca="true">COUNTIFS('Unit-Level Data'!$L:$L, "&gt;=" &amp; ($X$2 - W$5),
          'Unit-Level Data'!$L:$L, "&lt;" &amp; $X$2,
          'Unit-Level Data'!$D:$D, INDIRECT("C"&amp;ROW()),
          'Unit-Level Data'!$B:$B, INDIRECT("B"&amp;ROW()))</f>
        <v>0</v>
      </c>
      <c r="Z489" s="761"/>
      <c r="AA489" s="735" cm="1">
        <f t="array" aca="true" ref="AA489" ca="true">IFERROR(AVERAGEIFS(
  unit_details[Sqft],
  unit_details[Property Name], INDIRECT("B"&amp;ROW()),
  unit_details[Floorplan Name], INDIRECT("C"&amp;ROW()),
  unit_details[Beds], INDIRECT("D"&amp;ROW()),
  unit_details[Detected Unit Amenities], "*"&amp;$AB$3&amp;"*",
  unit_details[Leased Date], "&gt;=" &amp; ($X$2 - $AD$3)
),0)</f>
        <v>0</v>
      </c>
      <c r="AB489" s="734" cm="1">
        <f t="array" aca="true" ref="AB4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9" s="733" cm="1">
        <f t="array" aca="true" ref="AC489" ca="true">IFERROR(COUNTIFS(
  unit_details[Property Name], INDIRECT("B"&amp;ROW()),
  unit_details[Floorplan Name], INDIRECT("C"&amp;ROW()),
  unit_details[Beds], INDIRECT("D"&amp;ROW()),
  unit_details[Detected Unit Amenities], "*"&amp;$AB$3&amp;"*",
  unit_details[Leased Date], "&gt;=" &amp; ($X$2 - $AD$3)
),0)</f>
        <v>0</v>
      </c>
      <c r="AD489" s="735" cm="1">
        <f t="array" aca="true" ref="AD489" ca="true">IFERROR(AVERAGEIFS(
  unit_details[Sqft],
  unit_details[Property Name], INDIRECT("B"&amp;ROW()),
  unit_details[Floorplan Name], INDIRECT("C"&amp;ROW()),
  unit_details[Beds], INDIRECT("D"&amp;ROW()),
  unit_details[Detected Unit Amenities], "&lt;&gt;*"&amp;$AB$3&amp;"*",
  unit_details[Leased Date], "&gt;=" &amp; ($X$2 - $AD$3)
),0)</f>
        <v>0</v>
      </c>
      <c r="AE489" s="734" cm="1">
        <f t="array" aca="true" ref="AE4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9" s="733" cm="1">
        <f t="array" aca="true" ref="AF489" ca="true">IFERROR(COUNTIFS(
  unit_details[Property Name], INDIRECT("B"&amp;ROW()),
  unit_details[Floorplan Name], INDIRECT("C"&amp;ROW()),
  unit_details[Beds], INDIRECT("D"&amp;ROW()),
  unit_details[Detected Unit Amenities], "&lt;&gt;*"&amp;$AB$3&amp;"*",
  unit_details[Leased Date], "&gt;=" &amp; ($X$2 - $AD$3)
),0)</f>
        <v>0</v>
      </c>
      <c r="AG489" s="735"/>
      <c r="AH489" s="738">
        <f t="shared" ca="true" si="16"/>
        <v>0</v>
      </c>
      <c r="AI489" s="739">
        <f t="shared" ca="true" si="17"/>
        <v>0</v>
      </c>
    </row>
    <row r="490" spans="10:35">
      <c r="J490" s="345"/>
      <c r="N490" s="738" t="str" cm="1">
        <f t="array" aca="true" ref="N490" ca="true">IFERROR(IF($O$3="Chunk Rent",
AVERAGEIFS('Unit-Level Data'!$O:$O,'Unit-Level Data'!$M:$M,TRUE,
          'Unit-Level Data'!$D:$D, INDIRECT("C"&amp;ROW()),
          'Unit-Level Data'!$B:$B, INDIRECT("B"&amp;ROW())),
AVERAGEIFS('Unit-Level Data'!$P:$P,'Unit-Level Data'!$M:$M,TRUE,
          'Unit-Level Data'!$D:$D, INDIRECT("C"&amp;ROW()),
          'Unit-Level Data'!$B:$B, INDIRECT("B"&amp;ROW()))),"")</f>
      </c>
      <c r="O490" s="760" t="str" cm="1">
        <f t="array" aca="true" ref="O490" ca="true">IFERROR(IF($O$3="Chunk Rent",
AVERAGEIFS('Unit-Level Data'!$Q:$Q,'Unit-Level Data'!$M:$M,TRUE,
          'Unit-Level Data'!$D:$D, INDIRECT("C"&amp;ROW()),
          'Unit-Level Data'!$B:$B, INDIRECT("B"&amp;ROW())),
AVERAGEIFS('Unit-Level Data'!$R:$R,'Unit-Level Data'!$M:$M,TRUE,
          'Unit-Level Data'!$D:$D, INDIRECT("C"&amp;ROW()),
          'Unit-Level Data'!$B:$B, INDIRECT("B"&amp;ROW()))),"")</f>
      </c>
      <c r="P490" s="733" cm="1">
        <f t="array" aca="true" ref="P490" ca="true">COUNTIFS('Unit-Level Data'!$M:$M,TRUE,
          'Unit-Level Data'!$D:$D, INDIRECT("C"&amp;ROW()),
          'Unit-Level Data'!$B:$B, INDIRECT("B"&amp;ROW()))</f>
        <v>0</v>
      </c>
      <c r="Q490" s="738" t="str" cm="1">
        <f t="array" aca="true" ref="Q4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0" s="760" t="str" cm="1">
        <f t="array" aca="true" ref="R4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0" s="733" cm="1">
        <f t="array" aca="true" ref="S490" ca="true">COUNTIFS('Unit-Level Data'!$L:$L, "&gt;=" &amp; ($X$2 - Q$5),
          'Unit-Level Data'!$L:$L, "&lt;" &amp; $X$2,
          'Unit-Level Data'!$D:$D, INDIRECT("C"&amp;ROW()),
          'Unit-Level Data'!$B:$B, INDIRECT("B"&amp;ROW()))</f>
        <v>0</v>
      </c>
      <c r="T490" s="738" t="str" cm="1">
        <f t="array" aca="true" ref="T4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0" s="760" t="str" cm="1">
        <f t="array" aca="true" ref="U4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0" s="733" cm="1">
        <f t="array" aca="true" ref="V490" ca="true">COUNTIFS('Unit-Level Data'!$L:$L, "&gt;=" &amp; ($X$2 - T$5),
          'Unit-Level Data'!$L:$L, "&lt;" &amp; $X$2,
          'Unit-Level Data'!$D:$D, INDIRECT("C"&amp;ROW()),
          'Unit-Level Data'!$B:$B, INDIRECT("B"&amp;ROW()))</f>
        <v>0</v>
      </c>
      <c r="W490" s="738" t="str" cm="1">
        <f t="array" aca="true" ref="W4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0" s="760" t="str" cm="1">
        <f t="array" aca="true" ref="X4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0" s="733" cm="1">
        <f t="array" aca="true" ref="Y490" ca="true">COUNTIFS('Unit-Level Data'!$L:$L, "&gt;=" &amp; ($X$2 - W$5),
          'Unit-Level Data'!$L:$L, "&lt;" &amp; $X$2,
          'Unit-Level Data'!$D:$D, INDIRECT("C"&amp;ROW()),
          'Unit-Level Data'!$B:$B, INDIRECT("B"&amp;ROW()))</f>
        <v>0</v>
      </c>
      <c r="Z490" s="761"/>
      <c r="AA490" s="735" cm="1">
        <f t="array" aca="true" ref="AA490" ca="true">IFERROR(AVERAGEIFS(
  unit_details[Sqft],
  unit_details[Property Name], INDIRECT("B"&amp;ROW()),
  unit_details[Floorplan Name], INDIRECT("C"&amp;ROW()),
  unit_details[Beds], INDIRECT("D"&amp;ROW()),
  unit_details[Detected Unit Amenities], "*"&amp;$AB$3&amp;"*",
  unit_details[Leased Date], "&gt;=" &amp; ($X$2 - $AD$3)
),0)</f>
        <v>0</v>
      </c>
      <c r="AB490" s="734" cm="1">
        <f t="array" aca="true" ref="AB4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0" s="733" cm="1">
        <f t="array" aca="true" ref="AC490" ca="true">IFERROR(COUNTIFS(
  unit_details[Property Name], INDIRECT("B"&amp;ROW()),
  unit_details[Floorplan Name], INDIRECT("C"&amp;ROW()),
  unit_details[Beds], INDIRECT("D"&amp;ROW()),
  unit_details[Detected Unit Amenities], "*"&amp;$AB$3&amp;"*",
  unit_details[Leased Date], "&gt;=" &amp; ($X$2 - $AD$3)
),0)</f>
        <v>0</v>
      </c>
      <c r="AD490" s="735" cm="1">
        <f t="array" aca="true" ref="AD490" ca="true">IFERROR(AVERAGEIFS(
  unit_details[Sqft],
  unit_details[Property Name], INDIRECT("B"&amp;ROW()),
  unit_details[Floorplan Name], INDIRECT("C"&amp;ROW()),
  unit_details[Beds], INDIRECT("D"&amp;ROW()),
  unit_details[Detected Unit Amenities], "&lt;&gt;*"&amp;$AB$3&amp;"*",
  unit_details[Leased Date], "&gt;=" &amp; ($X$2 - $AD$3)
),0)</f>
        <v>0</v>
      </c>
      <c r="AE490" s="734" cm="1">
        <f t="array" aca="true" ref="AE4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0" s="733" cm="1">
        <f t="array" aca="true" ref="AF490" ca="true">IFERROR(COUNTIFS(
  unit_details[Property Name], INDIRECT("B"&amp;ROW()),
  unit_details[Floorplan Name], INDIRECT("C"&amp;ROW()),
  unit_details[Beds], INDIRECT("D"&amp;ROW()),
  unit_details[Detected Unit Amenities], "&lt;&gt;*"&amp;$AB$3&amp;"*",
  unit_details[Leased Date], "&gt;=" &amp; ($X$2 - $AD$3)
),0)</f>
        <v>0</v>
      </c>
      <c r="AG490" s="735"/>
      <c r="AH490" s="738">
        <f t="shared" ca="true" si="16"/>
        <v>0</v>
      </c>
      <c r="AI490" s="739">
        <f t="shared" ca="true" si="17"/>
        <v>0</v>
      </c>
    </row>
    <row r="491" spans="10:35">
      <c r="J491" s="345"/>
      <c r="N491" s="738" t="str" cm="1">
        <f t="array" aca="true" ref="N491" ca="true">IFERROR(IF($O$3="Chunk Rent",
AVERAGEIFS('Unit-Level Data'!$O:$O,'Unit-Level Data'!$M:$M,TRUE,
          'Unit-Level Data'!$D:$D, INDIRECT("C"&amp;ROW()),
          'Unit-Level Data'!$B:$B, INDIRECT("B"&amp;ROW())),
AVERAGEIFS('Unit-Level Data'!$P:$P,'Unit-Level Data'!$M:$M,TRUE,
          'Unit-Level Data'!$D:$D, INDIRECT("C"&amp;ROW()),
          'Unit-Level Data'!$B:$B, INDIRECT("B"&amp;ROW()))),"")</f>
      </c>
      <c r="O491" s="760" t="str" cm="1">
        <f t="array" aca="true" ref="O491" ca="true">IFERROR(IF($O$3="Chunk Rent",
AVERAGEIFS('Unit-Level Data'!$Q:$Q,'Unit-Level Data'!$M:$M,TRUE,
          'Unit-Level Data'!$D:$D, INDIRECT("C"&amp;ROW()),
          'Unit-Level Data'!$B:$B, INDIRECT("B"&amp;ROW())),
AVERAGEIFS('Unit-Level Data'!$R:$R,'Unit-Level Data'!$M:$M,TRUE,
          'Unit-Level Data'!$D:$D, INDIRECT("C"&amp;ROW()),
          'Unit-Level Data'!$B:$B, INDIRECT("B"&amp;ROW()))),"")</f>
      </c>
      <c r="P491" s="733" cm="1">
        <f t="array" aca="true" ref="P491" ca="true">COUNTIFS('Unit-Level Data'!$M:$M,TRUE,
          'Unit-Level Data'!$D:$D, INDIRECT("C"&amp;ROW()),
          'Unit-Level Data'!$B:$B, INDIRECT("B"&amp;ROW()))</f>
        <v>0</v>
      </c>
      <c r="Q491" s="738" t="str" cm="1">
        <f t="array" aca="true" ref="Q4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1" s="760" t="str" cm="1">
        <f t="array" aca="true" ref="R4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1" s="733" cm="1">
        <f t="array" aca="true" ref="S491" ca="true">COUNTIFS('Unit-Level Data'!$L:$L, "&gt;=" &amp; ($X$2 - Q$5),
          'Unit-Level Data'!$L:$L, "&lt;" &amp; $X$2,
          'Unit-Level Data'!$D:$D, INDIRECT("C"&amp;ROW()),
          'Unit-Level Data'!$B:$B, INDIRECT("B"&amp;ROW()))</f>
        <v>0</v>
      </c>
      <c r="T491" s="738" t="str" cm="1">
        <f t="array" aca="true" ref="T4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1" s="760" t="str" cm="1">
        <f t="array" aca="true" ref="U4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1" s="733" cm="1">
        <f t="array" aca="true" ref="V491" ca="true">COUNTIFS('Unit-Level Data'!$L:$L, "&gt;=" &amp; ($X$2 - T$5),
          'Unit-Level Data'!$L:$L, "&lt;" &amp; $X$2,
          'Unit-Level Data'!$D:$D, INDIRECT("C"&amp;ROW()),
          'Unit-Level Data'!$B:$B, INDIRECT("B"&amp;ROW()))</f>
        <v>0</v>
      </c>
      <c r="W491" s="738" t="str" cm="1">
        <f t="array" aca="true" ref="W4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1" s="760" t="str" cm="1">
        <f t="array" aca="true" ref="X4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1" s="733" cm="1">
        <f t="array" aca="true" ref="Y491" ca="true">COUNTIFS('Unit-Level Data'!$L:$L, "&gt;=" &amp; ($X$2 - W$5),
          'Unit-Level Data'!$L:$L, "&lt;" &amp; $X$2,
          'Unit-Level Data'!$D:$D, INDIRECT("C"&amp;ROW()),
          'Unit-Level Data'!$B:$B, INDIRECT("B"&amp;ROW()))</f>
        <v>0</v>
      </c>
      <c r="Z491" s="761"/>
      <c r="AA491" s="735" cm="1">
        <f t="array" aca="true" ref="AA491" ca="true">IFERROR(AVERAGEIFS(
  unit_details[Sqft],
  unit_details[Property Name], INDIRECT("B"&amp;ROW()),
  unit_details[Floorplan Name], INDIRECT("C"&amp;ROW()),
  unit_details[Beds], INDIRECT("D"&amp;ROW()),
  unit_details[Detected Unit Amenities], "*"&amp;$AB$3&amp;"*",
  unit_details[Leased Date], "&gt;=" &amp; ($X$2 - $AD$3)
),0)</f>
        <v>0</v>
      </c>
      <c r="AB491" s="734" cm="1">
        <f t="array" aca="true" ref="AB4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1" s="733" cm="1">
        <f t="array" aca="true" ref="AC491" ca="true">IFERROR(COUNTIFS(
  unit_details[Property Name], INDIRECT("B"&amp;ROW()),
  unit_details[Floorplan Name], INDIRECT("C"&amp;ROW()),
  unit_details[Beds], INDIRECT("D"&amp;ROW()),
  unit_details[Detected Unit Amenities], "*"&amp;$AB$3&amp;"*",
  unit_details[Leased Date], "&gt;=" &amp; ($X$2 - $AD$3)
),0)</f>
        <v>0</v>
      </c>
      <c r="AD491" s="735" cm="1">
        <f t="array" aca="true" ref="AD491" ca="true">IFERROR(AVERAGEIFS(
  unit_details[Sqft],
  unit_details[Property Name], INDIRECT("B"&amp;ROW()),
  unit_details[Floorplan Name], INDIRECT("C"&amp;ROW()),
  unit_details[Beds], INDIRECT("D"&amp;ROW()),
  unit_details[Detected Unit Amenities], "&lt;&gt;*"&amp;$AB$3&amp;"*",
  unit_details[Leased Date], "&gt;=" &amp; ($X$2 - $AD$3)
),0)</f>
        <v>0</v>
      </c>
      <c r="AE491" s="734" cm="1">
        <f t="array" aca="true" ref="AE4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1" s="733" cm="1">
        <f t="array" aca="true" ref="AF491" ca="true">IFERROR(COUNTIFS(
  unit_details[Property Name], INDIRECT("B"&amp;ROW()),
  unit_details[Floorplan Name], INDIRECT("C"&amp;ROW()),
  unit_details[Beds], INDIRECT("D"&amp;ROW()),
  unit_details[Detected Unit Amenities], "&lt;&gt;*"&amp;$AB$3&amp;"*",
  unit_details[Leased Date], "&gt;=" &amp; ($X$2 - $AD$3)
),0)</f>
        <v>0</v>
      </c>
      <c r="AG491" s="735"/>
      <c r="AH491" s="738">
        <f t="shared" ca="true" si="16"/>
        <v>0</v>
      </c>
      <c r="AI491" s="739">
        <f t="shared" ca="true" si="17"/>
        <v>0</v>
      </c>
    </row>
    <row r="492" spans="10:35">
      <c r="J492" s="345"/>
      <c r="N492" s="738" t="str" cm="1">
        <f t="array" aca="true" ref="N492" ca="true">IFERROR(IF($O$3="Chunk Rent",
AVERAGEIFS('Unit-Level Data'!$O:$O,'Unit-Level Data'!$M:$M,TRUE,
          'Unit-Level Data'!$D:$D, INDIRECT("C"&amp;ROW()),
          'Unit-Level Data'!$B:$B, INDIRECT("B"&amp;ROW())),
AVERAGEIFS('Unit-Level Data'!$P:$P,'Unit-Level Data'!$M:$M,TRUE,
          'Unit-Level Data'!$D:$D, INDIRECT("C"&amp;ROW()),
          'Unit-Level Data'!$B:$B, INDIRECT("B"&amp;ROW()))),"")</f>
      </c>
      <c r="O492" s="760" t="str" cm="1">
        <f t="array" aca="true" ref="O492" ca="true">IFERROR(IF($O$3="Chunk Rent",
AVERAGEIFS('Unit-Level Data'!$Q:$Q,'Unit-Level Data'!$M:$M,TRUE,
          'Unit-Level Data'!$D:$D, INDIRECT("C"&amp;ROW()),
          'Unit-Level Data'!$B:$B, INDIRECT("B"&amp;ROW())),
AVERAGEIFS('Unit-Level Data'!$R:$R,'Unit-Level Data'!$M:$M,TRUE,
          'Unit-Level Data'!$D:$D, INDIRECT("C"&amp;ROW()),
          'Unit-Level Data'!$B:$B, INDIRECT("B"&amp;ROW()))),"")</f>
      </c>
      <c r="P492" s="733" cm="1">
        <f t="array" aca="true" ref="P492" ca="true">COUNTIFS('Unit-Level Data'!$M:$M,TRUE,
          'Unit-Level Data'!$D:$D, INDIRECT("C"&amp;ROW()),
          'Unit-Level Data'!$B:$B, INDIRECT("B"&amp;ROW()))</f>
        <v>0</v>
      </c>
      <c r="Q492" s="738" t="str" cm="1">
        <f t="array" aca="true" ref="Q4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2" s="760" t="str" cm="1">
        <f t="array" aca="true" ref="R4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2" s="733" cm="1">
        <f t="array" aca="true" ref="S492" ca="true">COUNTIFS('Unit-Level Data'!$L:$L, "&gt;=" &amp; ($X$2 - Q$5),
          'Unit-Level Data'!$L:$L, "&lt;" &amp; $X$2,
          'Unit-Level Data'!$D:$D, INDIRECT("C"&amp;ROW()),
          'Unit-Level Data'!$B:$B, INDIRECT("B"&amp;ROW()))</f>
        <v>0</v>
      </c>
      <c r="T492" s="738" t="str" cm="1">
        <f t="array" aca="true" ref="T4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2" s="760" t="str" cm="1">
        <f t="array" aca="true" ref="U4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2" s="733" cm="1">
        <f t="array" aca="true" ref="V492" ca="true">COUNTIFS('Unit-Level Data'!$L:$L, "&gt;=" &amp; ($X$2 - T$5),
          'Unit-Level Data'!$L:$L, "&lt;" &amp; $X$2,
          'Unit-Level Data'!$D:$D, INDIRECT("C"&amp;ROW()),
          'Unit-Level Data'!$B:$B, INDIRECT("B"&amp;ROW()))</f>
        <v>0</v>
      </c>
      <c r="W492" s="738" t="str" cm="1">
        <f t="array" aca="true" ref="W4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2" s="760" t="str" cm="1">
        <f t="array" aca="true" ref="X4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2" s="733" cm="1">
        <f t="array" aca="true" ref="Y492" ca="true">COUNTIFS('Unit-Level Data'!$L:$L, "&gt;=" &amp; ($X$2 - W$5),
          'Unit-Level Data'!$L:$L, "&lt;" &amp; $X$2,
          'Unit-Level Data'!$D:$D, INDIRECT("C"&amp;ROW()),
          'Unit-Level Data'!$B:$B, INDIRECT("B"&amp;ROW()))</f>
        <v>0</v>
      </c>
      <c r="Z492" s="761"/>
      <c r="AA492" s="735" cm="1">
        <f t="array" aca="true" ref="AA492" ca="true">IFERROR(AVERAGEIFS(
  unit_details[Sqft],
  unit_details[Property Name], INDIRECT("B"&amp;ROW()),
  unit_details[Floorplan Name], INDIRECT("C"&amp;ROW()),
  unit_details[Beds], INDIRECT("D"&amp;ROW()),
  unit_details[Detected Unit Amenities], "*"&amp;$AB$3&amp;"*",
  unit_details[Leased Date], "&gt;=" &amp; ($X$2 - $AD$3)
),0)</f>
        <v>0</v>
      </c>
      <c r="AB492" s="734" cm="1">
        <f t="array" aca="true" ref="AB4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2" s="733" cm="1">
        <f t="array" aca="true" ref="AC492" ca="true">IFERROR(COUNTIFS(
  unit_details[Property Name], INDIRECT("B"&amp;ROW()),
  unit_details[Floorplan Name], INDIRECT("C"&amp;ROW()),
  unit_details[Beds], INDIRECT("D"&amp;ROW()),
  unit_details[Detected Unit Amenities], "*"&amp;$AB$3&amp;"*",
  unit_details[Leased Date], "&gt;=" &amp; ($X$2 - $AD$3)
),0)</f>
        <v>0</v>
      </c>
      <c r="AD492" s="735" cm="1">
        <f t="array" aca="true" ref="AD492" ca="true">IFERROR(AVERAGEIFS(
  unit_details[Sqft],
  unit_details[Property Name], INDIRECT("B"&amp;ROW()),
  unit_details[Floorplan Name], INDIRECT("C"&amp;ROW()),
  unit_details[Beds], INDIRECT("D"&amp;ROW()),
  unit_details[Detected Unit Amenities], "&lt;&gt;*"&amp;$AB$3&amp;"*",
  unit_details[Leased Date], "&gt;=" &amp; ($X$2 - $AD$3)
),0)</f>
        <v>0</v>
      </c>
      <c r="AE492" s="734" cm="1">
        <f t="array" aca="true" ref="AE4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2" s="733" cm="1">
        <f t="array" aca="true" ref="AF492" ca="true">IFERROR(COUNTIFS(
  unit_details[Property Name], INDIRECT("B"&amp;ROW()),
  unit_details[Floorplan Name], INDIRECT("C"&amp;ROW()),
  unit_details[Beds], INDIRECT("D"&amp;ROW()),
  unit_details[Detected Unit Amenities], "&lt;&gt;*"&amp;$AB$3&amp;"*",
  unit_details[Leased Date], "&gt;=" &amp; ($X$2 - $AD$3)
),0)</f>
        <v>0</v>
      </c>
      <c r="AG492" s="735"/>
      <c r="AH492" s="738">
        <f t="shared" ca="true" si="16"/>
        <v>0</v>
      </c>
      <c r="AI492" s="739">
        <f t="shared" ca="true" si="17"/>
        <v>0</v>
      </c>
    </row>
    <row r="493" spans="10:35">
      <c r="J493" s="345"/>
      <c r="N493" s="738" t="str" cm="1">
        <f t="array" aca="true" ref="N493" ca="true">IFERROR(IF($O$3="Chunk Rent",
AVERAGEIFS('Unit-Level Data'!$O:$O,'Unit-Level Data'!$M:$M,TRUE,
          'Unit-Level Data'!$D:$D, INDIRECT("C"&amp;ROW()),
          'Unit-Level Data'!$B:$B, INDIRECT("B"&amp;ROW())),
AVERAGEIFS('Unit-Level Data'!$P:$P,'Unit-Level Data'!$M:$M,TRUE,
          'Unit-Level Data'!$D:$D, INDIRECT("C"&amp;ROW()),
          'Unit-Level Data'!$B:$B, INDIRECT("B"&amp;ROW()))),"")</f>
      </c>
      <c r="O493" s="760" t="str" cm="1">
        <f t="array" aca="true" ref="O493" ca="true">IFERROR(IF($O$3="Chunk Rent",
AVERAGEIFS('Unit-Level Data'!$Q:$Q,'Unit-Level Data'!$M:$M,TRUE,
          'Unit-Level Data'!$D:$D, INDIRECT("C"&amp;ROW()),
          'Unit-Level Data'!$B:$B, INDIRECT("B"&amp;ROW())),
AVERAGEIFS('Unit-Level Data'!$R:$R,'Unit-Level Data'!$M:$M,TRUE,
          'Unit-Level Data'!$D:$D, INDIRECT("C"&amp;ROW()),
          'Unit-Level Data'!$B:$B, INDIRECT("B"&amp;ROW()))),"")</f>
      </c>
      <c r="P493" s="733" cm="1">
        <f t="array" aca="true" ref="P493" ca="true">COUNTIFS('Unit-Level Data'!$M:$M,TRUE,
          'Unit-Level Data'!$D:$D, INDIRECT("C"&amp;ROW()),
          'Unit-Level Data'!$B:$B, INDIRECT("B"&amp;ROW()))</f>
        <v>0</v>
      </c>
      <c r="Q493" s="738" t="str" cm="1">
        <f t="array" aca="true" ref="Q4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3" s="760" t="str" cm="1">
        <f t="array" aca="true" ref="R4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3" s="733" cm="1">
        <f t="array" aca="true" ref="S493" ca="true">COUNTIFS('Unit-Level Data'!$L:$L, "&gt;=" &amp; ($X$2 - Q$5),
          'Unit-Level Data'!$L:$L, "&lt;" &amp; $X$2,
          'Unit-Level Data'!$D:$D, INDIRECT("C"&amp;ROW()),
          'Unit-Level Data'!$B:$B, INDIRECT("B"&amp;ROW()))</f>
        <v>0</v>
      </c>
      <c r="T493" s="738" t="str" cm="1">
        <f t="array" aca="true" ref="T4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3" s="760" t="str" cm="1">
        <f t="array" aca="true" ref="U4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3" s="733" cm="1">
        <f t="array" aca="true" ref="V493" ca="true">COUNTIFS('Unit-Level Data'!$L:$L, "&gt;=" &amp; ($X$2 - T$5),
          'Unit-Level Data'!$L:$L, "&lt;" &amp; $X$2,
          'Unit-Level Data'!$D:$D, INDIRECT("C"&amp;ROW()),
          'Unit-Level Data'!$B:$B, INDIRECT("B"&amp;ROW()))</f>
        <v>0</v>
      </c>
      <c r="W493" s="738" t="str" cm="1">
        <f t="array" aca="true" ref="W4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3" s="760" t="str" cm="1">
        <f t="array" aca="true" ref="X4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3" s="733" cm="1">
        <f t="array" aca="true" ref="Y493" ca="true">COUNTIFS('Unit-Level Data'!$L:$L, "&gt;=" &amp; ($X$2 - W$5),
          'Unit-Level Data'!$L:$L, "&lt;" &amp; $X$2,
          'Unit-Level Data'!$D:$D, INDIRECT("C"&amp;ROW()),
          'Unit-Level Data'!$B:$B, INDIRECT("B"&amp;ROW()))</f>
        <v>0</v>
      </c>
      <c r="Z493" s="761"/>
      <c r="AA493" s="735" cm="1">
        <f t="array" aca="true" ref="AA493" ca="true">IFERROR(AVERAGEIFS(
  unit_details[Sqft],
  unit_details[Property Name], INDIRECT("B"&amp;ROW()),
  unit_details[Floorplan Name], INDIRECT("C"&amp;ROW()),
  unit_details[Beds], INDIRECT("D"&amp;ROW()),
  unit_details[Detected Unit Amenities], "*"&amp;$AB$3&amp;"*",
  unit_details[Leased Date], "&gt;=" &amp; ($X$2 - $AD$3)
),0)</f>
        <v>0</v>
      </c>
      <c r="AB493" s="734" cm="1">
        <f t="array" aca="true" ref="AB4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3" s="733" cm="1">
        <f t="array" aca="true" ref="AC493" ca="true">IFERROR(COUNTIFS(
  unit_details[Property Name], INDIRECT("B"&amp;ROW()),
  unit_details[Floorplan Name], INDIRECT("C"&amp;ROW()),
  unit_details[Beds], INDIRECT("D"&amp;ROW()),
  unit_details[Detected Unit Amenities], "*"&amp;$AB$3&amp;"*",
  unit_details[Leased Date], "&gt;=" &amp; ($X$2 - $AD$3)
),0)</f>
        <v>0</v>
      </c>
      <c r="AD493" s="735" cm="1">
        <f t="array" aca="true" ref="AD493" ca="true">IFERROR(AVERAGEIFS(
  unit_details[Sqft],
  unit_details[Property Name], INDIRECT("B"&amp;ROW()),
  unit_details[Floorplan Name], INDIRECT("C"&amp;ROW()),
  unit_details[Beds], INDIRECT("D"&amp;ROW()),
  unit_details[Detected Unit Amenities], "&lt;&gt;*"&amp;$AB$3&amp;"*",
  unit_details[Leased Date], "&gt;=" &amp; ($X$2 - $AD$3)
),0)</f>
        <v>0</v>
      </c>
      <c r="AE493" s="734" cm="1">
        <f t="array" aca="true" ref="AE4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3" s="733" cm="1">
        <f t="array" aca="true" ref="AF493" ca="true">IFERROR(COUNTIFS(
  unit_details[Property Name], INDIRECT("B"&amp;ROW()),
  unit_details[Floorplan Name], INDIRECT("C"&amp;ROW()),
  unit_details[Beds], INDIRECT("D"&amp;ROW()),
  unit_details[Detected Unit Amenities], "&lt;&gt;*"&amp;$AB$3&amp;"*",
  unit_details[Leased Date], "&gt;=" &amp; ($X$2 - $AD$3)
),0)</f>
        <v>0</v>
      </c>
      <c r="AG493" s="735"/>
      <c r="AH493" s="738">
        <f t="shared" ca="true" si="16"/>
        <v>0</v>
      </c>
      <c r="AI493" s="739">
        <f t="shared" ca="true" si="17"/>
        <v>0</v>
      </c>
    </row>
    <row r="494" spans="10:35">
      <c r="J494" s="345"/>
      <c r="N494" s="738" t="str" cm="1">
        <f t="array" aca="true" ref="N494" ca="true">IFERROR(IF($O$3="Chunk Rent",
AVERAGEIFS('Unit-Level Data'!$O:$O,'Unit-Level Data'!$M:$M,TRUE,
          'Unit-Level Data'!$D:$D, INDIRECT("C"&amp;ROW()),
          'Unit-Level Data'!$B:$B, INDIRECT("B"&amp;ROW())),
AVERAGEIFS('Unit-Level Data'!$P:$P,'Unit-Level Data'!$M:$M,TRUE,
          'Unit-Level Data'!$D:$D, INDIRECT("C"&amp;ROW()),
          'Unit-Level Data'!$B:$B, INDIRECT("B"&amp;ROW()))),"")</f>
      </c>
      <c r="O494" s="760" t="str" cm="1">
        <f t="array" aca="true" ref="O494" ca="true">IFERROR(IF($O$3="Chunk Rent",
AVERAGEIFS('Unit-Level Data'!$Q:$Q,'Unit-Level Data'!$M:$M,TRUE,
          'Unit-Level Data'!$D:$D, INDIRECT("C"&amp;ROW()),
          'Unit-Level Data'!$B:$B, INDIRECT("B"&amp;ROW())),
AVERAGEIFS('Unit-Level Data'!$R:$R,'Unit-Level Data'!$M:$M,TRUE,
          'Unit-Level Data'!$D:$D, INDIRECT("C"&amp;ROW()),
          'Unit-Level Data'!$B:$B, INDIRECT("B"&amp;ROW()))),"")</f>
      </c>
      <c r="P494" s="733" cm="1">
        <f t="array" aca="true" ref="P494" ca="true">COUNTIFS('Unit-Level Data'!$M:$M,TRUE,
          'Unit-Level Data'!$D:$D, INDIRECT("C"&amp;ROW()),
          'Unit-Level Data'!$B:$B, INDIRECT("B"&amp;ROW()))</f>
        <v>0</v>
      </c>
      <c r="Q494" s="738" t="str" cm="1">
        <f t="array" aca="true" ref="Q4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4" s="760" t="str" cm="1">
        <f t="array" aca="true" ref="R4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4" s="733" cm="1">
        <f t="array" aca="true" ref="S494" ca="true">COUNTIFS('Unit-Level Data'!$L:$L, "&gt;=" &amp; ($X$2 - Q$5),
          'Unit-Level Data'!$L:$L, "&lt;" &amp; $X$2,
          'Unit-Level Data'!$D:$D, INDIRECT("C"&amp;ROW()),
          'Unit-Level Data'!$B:$B, INDIRECT("B"&amp;ROW()))</f>
        <v>0</v>
      </c>
      <c r="T494" s="738" t="str" cm="1">
        <f t="array" aca="true" ref="T4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4" s="760" t="str" cm="1">
        <f t="array" aca="true" ref="U4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4" s="733" cm="1">
        <f t="array" aca="true" ref="V494" ca="true">COUNTIFS('Unit-Level Data'!$L:$L, "&gt;=" &amp; ($X$2 - T$5),
          'Unit-Level Data'!$L:$L, "&lt;" &amp; $X$2,
          'Unit-Level Data'!$D:$D, INDIRECT("C"&amp;ROW()),
          'Unit-Level Data'!$B:$B, INDIRECT("B"&amp;ROW()))</f>
        <v>0</v>
      </c>
      <c r="W494" s="738" t="str" cm="1">
        <f t="array" aca="true" ref="W4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4" s="760" t="str" cm="1">
        <f t="array" aca="true" ref="X4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4" s="733" cm="1">
        <f t="array" aca="true" ref="Y494" ca="true">COUNTIFS('Unit-Level Data'!$L:$L, "&gt;=" &amp; ($X$2 - W$5),
          'Unit-Level Data'!$L:$L, "&lt;" &amp; $X$2,
          'Unit-Level Data'!$D:$D, INDIRECT("C"&amp;ROW()),
          'Unit-Level Data'!$B:$B, INDIRECT("B"&amp;ROW()))</f>
        <v>0</v>
      </c>
      <c r="Z494" s="761"/>
      <c r="AA494" s="735" cm="1">
        <f t="array" aca="true" ref="AA494" ca="true">IFERROR(AVERAGEIFS(
  unit_details[Sqft],
  unit_details[Property Name], INDIRECT("B"&amp;ROW()),
  unit_details[Floorplan Name], INDIRECT("C"&amp;ROW()),
  unit_details[Beds], INDIRECT("D"&amp;ROW()),
  unit_details[Detected Unit Amenities], "*"&amp;$AB$3&amp;"*",
  unit_details[Leased Date], "&gt;=" &amp; ($X$2 - $AD$3)
),0)</f>
        <v>0</v>
      </c>
      <c r="AB494" s="734" cm="1">
        <f t="array" aca="true" ref="AB4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4" s="733" cm="1">
        <f t="array" aca="true" ref="AC494" ca="true">IFERROR(COUNTIFS(
  unit_details[Property Name], INDIRECT("B"&amp;ROW()),
  unit_details[Floorplan Name], INDIRECT("C"&amp;ROW()),
  unit_details[Beds], INDIRECT("D"&amp;ROW()),
  unit_details[Detected Unit Amenities], "*"&amp;$AB$3&amp;"*",
  unit_details[Leased Date], "&gt;=" &amp; ($X$2 - $AD$3)
),0)</f>
        <v>0</v>
      </c>
      <c r="AD494" s="735" cm="1">
        <f t="array" aca="true" ref="AD494" ca="true">IFERROR(AVERAGEIFS(
  unit_details[Sqft],
  unit_details[Property Name], INDIRECT("B"&amp;ROW()),
  unit_details[Floorplan Name], INDIRECT("C"&amp;ROW()),
  unit_details[Beds], INDIRECT("D"&amp;ROW()),
  unit_details[Detected Unit Amenities], "&lt;&gt;*"&amp;$AB$3&amp;"*",
  unit_details[Leased Date], "&gt;=" &amp; ($X$2 - $AD$3)
),0)</f>
        <v>0</v>
      </c>
      <c r="AE494" s="734" cm="1">
        <f t="array" aca="true" ref="AE4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4" s="733" cm="1">
        <f t="array" aca="true" ref="AF494" ca="true">IFERROR(COUNTIFS(
  unit_details[Property Name], INDIRECT("B"&amp;ROW()),
  unit_details[Floorplan Name], INDIRECT("C"&amp;ROW()),
  unit_details[Beds], INDIRECT("D"&amp;ROW()),
  unit_details[Detected Unit Amenities], "&lt;&gt;*"&amp;$AB$3&amp;"*",
  unit_details[Leased Date], "&gt;=" &amp; ($X$2 - $AD$3)
),0)</f>
        <v>0</v>
      </c>
      <c r="AG494" s="735"/>
      <c r="AH494" s="738">
        <f t="shared" ca="true" si="16"/>
        <v>0</v>
      </c>
      <c r="AI494" s="739">
        <f t="shared" ca="true" si="17"/>
        <v>0</v>
      </c>
    </row>
    <row r="495" spans="10:35">
      <c r="J495" s="345"/>
      <c r="N495" s="738" t="str" cm="1">
        <f t="array" aca="true" ref="N495" ca="true">IFERROR(IF($O$3="Chunk Rent",
AVERAGEIFS('Unit-Level Data'!$O:$O,'Unit-Level Data'!$M:$M,TRUE,
          'Unit-Level Data'!$D:$D, INDIRECT("C"&amp;ROW()),
          'Unit-Level Data'!$B:$B, INDIRECT("B"&amp;ROW())),
AVERAGEIFS('Unit-Level Data'!$P:$P,'Unit-Level Data'!$M:$M,TRUE,
          'Unit-Level Data'!$D:$D, INDIRECT("C"&amp;ROW()),
          'Unit-Level Data'!$B:$B, INDIRECT("B"&amp;ROW()))),"")</f>
      </c>
      <c r="O495" s="760" t="str" cm="1">
        <f t="array" aca="true" ref="O495" ca="true">IFERROR(IF($O$3="Chunk Rent",
AVERAGEIFS('Unit-Level Data'!$Q:$Q,'Unit-Level Data'!$M:$M,TRUE,
          'Unit-Level Data'!$D:$D, INDIRECT("C"&amp;ROW()),
          'Unit-Level Data'!$B:$B, INDIRECT("B"&amp;ROW())),
AVERAGEIFS('Unit-Level Data'!$R:$R,'Unit-Level Data'!$M:$M,TRUE,
          'Unit-Level Data'!$D:$D, INDIRECT("C"&amp;ROW()),
          'Unit-Level Data'!$B:$B, INDIRECT("B"&amp;ROW()))),"")</f>
      </c>
      <c r="P495" s="733" cm="1">
        <f t="array" aca="true" ref="P495" ca="true">COUNTIFS('Unit-Level Data'!$M:$M,TRUE,
          'Unit-Level Data'!$D:$D, INDIRECT("C"&amp;ROW()),
          'Unit-Level Data'!$B:$B, INDIRECT("B"&amp;ROW()))</f>
        <v>0</v>
      </c>
      <c r="Q495" s="738" t="str" cm="1">
        <f t="array" aca="true" ref="Q4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5" s="760" t="str" cm="1">
        <f t="array" aca="true" ref="R4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5" s="733" cm="1">
        <f t="array" aca="true" ref="S495" ca="true">COUNTIFS('Unit-Level Data'!$L:$L, "&gt;=" &amp; ($X$2 - Q$5),
          'Unit-Level Data'!$L:$L, "&lt;" &amp; $X$2,
          'Unit-Level Data'!$D:$D, INDIRECT("C"&amp;ROW()),
          'Unit-Level Data'!$B:$B, INDIRECT("B"&amp;ROW()))</f>
        <v>0</v>
      </c>
      <c r="T495" s="738" t="str" cm="1">
        <f t="array" aca="true" ref="T4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5" s="760" t="str" cm="1">
        <f t="array" aca="true" ref="U4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5" s="733" cm="1">
        <f t="array" aca="true" ref="V495" ca="true">COUNTIFS('Unit-Level Data'!$L:$L, "&gt;=" &amp; ($X$2 - T$5),
          'Unit-Level Data'!$L:$L, "&lt;" &amp; $X$2,
          'Unit-Level Data'!$D:$D, INDIRECT("C"&amp;ROW()),
          'Unit-Level Data'!$B:$B, INDIRECT("B"&amp;ROW()))</f>
        <v>0</v>
      </c>
      <c r="W495" s="738" t="str" cm="1">
        <f t="array" aca="true" ref="W4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5" s="760" t="str" cm="1">
        <f t="array" aca="true" ref="X4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5" s="733" cm="1">
        <f t="array" aca="true" ref="Y495" ca="true">COUNTIFS('Unit-Level Data'!$L:$L, "&gt;=" &amp; ($X$2 - W$5),
          'Unit-Level Data'!$L:$L, "&lt;" &amp; $X$2,
          'Unit-Level Data'!$D:$D, INDIRECT("C"&amp;ROW()),
          'Unit-Level Data'!$B:$B, INDIRECT("B"&amp;ROW()))</f>
        <v>0</v>
      </c>
      <c r="Z495" s="761"/>
      <c r="AA495" s="735" cm="1">
        <f t="array" aca="true" ref="AA495" ca="true">IFERROR(AVERAGEIFS(
  unit_details[Sqft],
  unit_details[Property Name], INDIRECT("B"&amp;ROW()),
  unit_details[Floorplan Name], INDIRECT("C"&amp;ROW()),
  unit_details[Beds], INDIRECT("D"&amp;ROW()),
  unit_details[Detected Unit Amenities], "*"&amp;$AB$3&amp;"*",
  unit_details[Leased Date], "&gt;=" &amp; ($X$2 - $AD$3)
),0)</f>
        <v>0</v>
      </c>
      <c r="AB495" s="734" cm="1">
        <f t="array" aca="true" ref="AB4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5" s="733" cm="1">
        <f t="array" aca="true" ref="AC495" ca="true">IFERROR(COUNTIFS(
  unit_details[Property Name], INDIRECT("B"&amp;ROW()),
  unit_details[Floorplan Name], INDIRECT("C"&amp;ROW()),
  unit_details[Beds], INDIRECT("D"&amp;ROW()),
  unit_details[Detected Unit Amenities], "*"&amp;$AB$3&amp;"*",
  unit_details[Leased Date], "&gt;=" &amp; ($X$2 - $AD$3)
),0)</f>
        <v>0</v>
      </c>
      <c r="AD495" s="735" cm="1">
        <f t="array" aca="true" ref="AD495" ca="true">IFERROR(AVERAGEIFS(
  unit_details[Sqft],
  unit_details[Property Name], INDIRECT("B"&amp;ROW()),
  unit_details[Floorplan Name], INDIRECT("C"&amp;ROW()),
  unit_details[Beds], INDIRECT("D"&amp;ROW()),
  unit_details[Detected Unit Amenities], "&lt;&gt;*"&amp;$AB$3&amp;"*",
  unit_details[Leased Date], "&gt;=" &amp; ($X$2 - $AD$3)
),0)</f>
        <v>0</v>
      </c>
      <c r="AE495" s="734" cm="1">
        <f t="array" aca="true" ref="AE4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5" s="733" cm="1">
        <f t="array" aca="true" ref="AF495" ca="true">IFERROR(COUNTIFS(
  unit_details[Property Name], INDIRECT("B"&amp;ROW()),
  unit_details[Floorplan Name], INDIRECT("C"&amp;ROW()),
  unit_details[Beds], INDIRECT("D"&amp;ROW()),
  unit_details[Detected Unit Amenities], "&lt;&gt;*"&amp;$AB$3&amp;"*",
  unit_details[Leased Date], "&gt;=" &amp; ($X$2 - $AD$3)
),0)</f>
        <v>0</v>
      </c>
      <c r="AG495" s="735"/>
      <c r="AH495" s="738">
        <f t="shared" ca="true" si="16"/>
        <v>0</v>
      </c>
      <c r="AI495" s="739">
        <f t="shared" ca="true" si="17"/>
        <v>0</v>
      </c>
    </row>
    <row r="496" spans="10:35">
      <c r="J496" s="345"/>
      <c r="N496" s="738" t="str" cm="1">
        <f t="array" aca="true" ref="N496" ca="true">IFERROR(IF($O$3="Chunk Rent",
AVERAGEIFS('Unit-Level Data'!$O:$O,'Unit-Level Data'!$M:$M,TRUE,
          'Unit-Level Data'!$D:$D, INDIRECT("C"&amp;ROW()),
          'Unit-Level Data'!$B:$B, INDIRECT("B"&amp;ROW())),
AVERAGEIFS('Unit-Level Data'!$P:$P,'Unit-Level Data'!$M:$M,TRUE,
          'Unit-Level Data'!$D:$D, INDIRECT("C"&amp;ROW()),
          'Unit-Level Data'!$B:$B, INDIRECT("B"&amp;ROW()))),"")</f>
      </c>
      <c r="O496" s="760" t="str" cm="1">
        <f t="array" aca="true" ref="O496" ca="true">IFERROR(IF($O$3="Chunk Rent",
AVERAGEIFS('Unit-Level Data'!$Q:$Q,'Unit-Level Data'!$M:$M,TRUE,
          'Unit-Level Data'!$D:$D, INDIRECT("C"&amp;ROW()),
          'Unit-Level Data'!$B:$B, INDIRECT("B"&amp;ROW())),
AVERAGEIFS('Unit-Level Data'!$R:$R,'Unit-Level Data'!$M:$M,TRUE,
          'Unit-Level Data'!$D:$D, INDIRECT("C"&amp;ROW()),
          'Unit-Level Data'!$B:$B, INDIRECT("B"&amp;ROW()))),"")</f>
      </c>
      <c r="P496" s="733" cm="1">
        <f t="array" aca="true" ref="P496" ca="true">COUNTIFS('Unit-Level Data'!$M:$M,TRUE,
          'Unit-Level Data'!$D:$D, INDIRECT("C"&amp;ROW()),
          'Unit-Level Data'!$B:$B, INDIRECT("B"&amp;ROW()))</f>
        <v>0</v>
      </c>
      <c r="Q496" s="738" t="str" cm="1">
        <f t="array" aca="true" ref="Q4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6" s="760" t="str" cm="1">
        <f t="array" aca="true" ref="R4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6" s="733" cm="1">
        <f t="array" aca="true" ref="S496" ca="true">COUNTIFS('Unit-Level Data'!$L:$L, "&gt;=" &amp; ($X$2 - Q$5),
          'Unit-Level Data'!$L:$L, "&lt;" &amp; $X$2,
          'Unit-Level Data'!$D:$D, INDIRECT("C"&amp;ROW()),
          'Unit-Level Data'!$B:$B, INDIRECT("B"&amp;ROW()))</f>
        <v>0</v>
      </c>
      <c r="T496" s="738" t="str" cm="1">
        <f t="array" aca="true" ref="T4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6" s="760" t="str" cm="1">
        <f t="array" aca="true" ref="U4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6" s="733" cm="1">
        <f t="array" aca="true" ref="V496" ca="true">COUNTIFS('Unit-Level Data'!$L:$L, "&gt;=" &amp; ($X$2 - T$5),
          'Unit-Level Data'!$L:$L, "&lt;" &amp; $X$2,
          'Unit-Level Data'!$D:$D, INDIRECT("C"&amp;ROW()),
          'Unit-Level Data'!$B:$B, INDIRECT("B"&amp;ROW()))</f>
        <v>0</v>
      </c>
      <c r="W496" s="738" t="str" cm="1">
        <f t="array" aca="true" ref="W4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6" s="760" t="str" cm="1">
        <f t="array" aca="true" ref="X4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6" s="733" cm="1">
        <f t="array" aca="true" ref="Y496" ca="true">COUNTIFS('Unit-Level Data'!$L:$L, "&gt;=" &amp; ($X$2 - W$5),
          'Unit-Level Data'!$L:$L, "&lt;" &amp; $X$2,
          'Unit-Level Data'!$D:$D, INDIRECT("C"&amp;ROW()),
          'Unit-Level Data'!$B:$B, INDIRECT("B"&amp;ROW()))</f>
        <v>0</v>
      </c>
      <c r="Z496" s="761"/>
      <c r="AA496" s="735" cm="1">
        <f t="array" aca="true" ref="AA496" ca="true">IFERROR(AVERAGEIFS(
  unit_details[Sqft],
  unit_details[Property Name], INDIRECT("B"&amp;ROW()),
  unit_details[Floorplan Name], INDIRECT("C"&amp;ROW()),
  unit_details[Beds], INDIRECT("D"&amp;ROW()),
  unit_details[Detected Unit Amenities], "*"&amp;$AB$3&amp;"*",
  unit_details[Leased Date], "&gt;=" &amp; ($X$2 - $AD$3)
),0)</f>
        <v>0</v>
      </c>
      <c r="AB496" s="734" cm="1">
        <f t="array" aca="true" ref="AB4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6" s="733" cm="1">
        <f t="array" aca="true" ref="AC496" ca="true">IFERROR(COUNTIFS(
  unit_details[Property Name], INDIRECT("B"&amp;ROW()),
  unit_details[Floorplan Name], INDIRECT("C"&amp;ROW()),
  unit_details[Beds], INDIRECT("D"&amp;ROW()),
  unit_details[Detected Unit Amenities], "*"&amp;$AB$3&amp;"*",
  unit_details[Leased Date], "&gt;=" &amp; ($X$2 - $AD$3)
),0)</f>
        <v>0</v>
      </c>
      <c r="AD496" s="735" cm="1">
        <f t="array" aca="true" ref="AD496" ca="true">IFERROR(AVERAGEIFS(
  unit_details[Sqft],
  unit_details[Property Name], INDIRECT("B"&amp;ROW()),
  unit_details[Floorplan Name], INDIRECT("C"&amp;ROW()),
  unit_details[Beds], INDIRECT("D"&amp;ROW()),
  unit_details[Detected Unit Amenities], "&lt;&gt;*"&amp;$AB$3&amp;"*",
  unit_details[Leased Date], "&gt;=" &amp; ($X$2 - $AD$3)
),0)</f>
        <v>0</v>
      </c>
      <c r="AE496" s="734" cm="1">
        <f t="array" aca="true" ref="AE4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6" s="733" cm="1">
        <f t="array" aca="true" ref="AF496" ca="true">IFERROR(COUNTIFS(
  unit_details[Property Name], INDIRECT("B"&amp;ROW()),
  unit_details[Floorplan Name], INDIRECT("C"&amp;ROW()),
  unit_details[Beds], INDIRECT("D"&amp;ROW()),
  unit_details[Detected Unit Amenities], "&lt;&gt;*"&amp;$AB$3&amp;"*",
  unit_details[Leased Date], "&gt;=" &amp; ($X$2 - $AD$3)
),0)</f>
        <v>0</v>
      </c>
      <c r="AG496" s="735"/>
      <c r="AH496" s="738">
        <f t="shared" ca="true" si="16"/>
        <v>0</v>
      </c>
      <c r="AI496" s="739">
        <f t="shared" ca="true" si="17"/>
        <v>0</v>
      </c>
    </row>
    <row r="497" spans="10:35">
      <c r="J497" s="345"/>
      <c r="N497" s="738" t="str" cm="1">
        <f t="array" aca="true" ref="N497" ca="true">IFERROR(IF($O$3="Chunk Rent",
AVERAGEIFS('Unit-Level Data'!$O:$O,'Unit-Level Data'!$M:$M,TRUE,
          'Unit-Level Data'!$D:$D, INDIRECT("C"&amp;ROW()),
          'Unit-Level Data'!$B:$B, INDIRECT("B"&amp;ROW())),
AVERAGEIFS('Unit-Level Data'!$P:$P,'Unit-Level Data'!$M:$M,TRUE,
          'Unit-Level Data'!$D:$D, INDIRECT("C"&amp;ROW()),
          'Unit-Level Data'!$B:$B, INDIRECT("B"&amp;ROW()))),"")</f>
      </c>
      <c r="O497" s="760" t="str" cm="1">
        <f t="array" aca="true" ref="O497" ca="true">IFERROR(IF($O$3="Chunk Rent",
AVERAGEIFS('Unit-Level Data'!$Q:$Q,'Unit-Level Data'!$M:$M,TRUE,
          'Unit-Level Data'!$D:$D, INDIRECT("C"&amp;ROW()),
          'Unit-Level Data'!$B:$B, INDIRECT("B"&amp;ROW())),
AVERAGEIFS('Unit-Level Data'!$R:$R,'Unit-Level Data'!$M:$M,TRUE,
          'Unit-Level Data'!$D:$D, INDIRECT("C"&amp;ROW()),
          'Unit-Level Data'!$B:$B, INDIRECT("B"&amp;ROW()))),"")</f>
      </c>
      <c r="P497" s="733" cm="1">
        <f t="array" aca="true" ref="P497" ca="true">COUNTIFS('Unit-Level Data'!$M:$M,TRUE,
          'Unit-Level Data'!$D:$D, INDIRECT("C"&amp;ROW()),
          'Unit-Level Data'!$B:$B, INDIRECT("B"&amp;ROW()))</f>
        <v>0</v>
      </c>
      <c r="Q497" s="738" t="str" cm="1">
        <f t="array" aca="true" ref="Q4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7" s="760" t="str" cm="1">
        <f t="array" aca="true" ref="R4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7" s="733" cm="1">
        <f t="array" aca="true" ref="S497" ca="true">COUNTIFS('Unit-Level Data'!$L:$L, "&gt;=" &amp; ($X$2 - Q$5),
          'Unit-Level Data'!$L:$L, "&lt;" &amp; $X$2,
          'Unit-Level Data'!$D:$D, INDIRECT("C"&amp;ROW()),
          'Unit-Level Data'!$B:$B, INDIRECT("B"&amp;ROW()))</f>
        <v>0</v>
      </c>
      <c r="T497" s="738" t="str" cm="1">
        <f t="array" aca="true" ref="T4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7" s="760" t="str" cm="1">
        <f t="array" aca="true" ref="U4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7" s="733" cm="1">
        <f t="array" aca="true" ref="V497" ca="true">COUNTIFS('Unit-Level Data'!$L:$L, "&gt;=" &amp; ($X$2 - T$5),
          'Unit-Level Data'!$L:$L, "&lt;" &amp; $X$2,
          'Unit-Level Data'!$D:$D, INDIRECT("C"&amp;ROW()),
          'Unit-Level Data'!$B:$B, INDIRECT("B"&amp;ROW()))</f>
        <v>0</v>
      </c>
      <c r="W497" s="738" t="str" cm="1">
        <f t="array" aca="true" ref="W4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7" s="760" t="str" cm="1">
        <f t="array" aca="true" ref="X4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7" s="733" cm="1">
        <f t="array" aca="true" ref="Y497" ca="true">COUNTIFS('Unit-Level Data'!$L:$L, "&gt;=" &amp; ($X$2 - W$5),
          'Unit-Level Data'!$L:$L, "&lt;" &amp; $X$2,
          'Unit-Level Data'!$D:$D, INDIRECT("C"&amp;ROW()),
          'Unit-Level Data'!$B:$B, INDIRECT("B"&amp;ROW()))</f>
        <v>0</v>
      </c>
      <c r="Z497" s="761"/>
      <c r="AA497" s="735" cm="1">
        <f t="array" aca="true" ref="AA497" ca="true">IFERROR(AVERAGEIFS(
  unit_details[Sqft],
  unit_details[Property Name], INDIRECT("B"&amp;ROW()),
  unit_details[Floorplan Name], INDIRECT("C"&amp;ROW()),
  unit_details[Beds], INDIRECT("D"&amp;ROW()),
  unit_details[Detected Unit Amenities], "*"&amp;$AB$3&amp;"*",
  unit_details[Leased Date], "&gt;=" &amp; ($X$2 - $AD$3)
),0)</f>
        <v>0</v>
      </c>
      <c r="AB497" s="734" cm="1">
        <f t="array" aca="true" ref="AB4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7" s="733" cm="1">
        <f t="array" aca="true" ref="AC497" ca="true">IFERROR(COUNTIFS(
  unit_details[Property Name], INDIRECT("B"&amp;ROW()),
  unit_details[Floorplan Name], INDIRECT("C"&amp;ROW()),
  unit_details[Beds], INDIRECT("D"&amp;ROW()),
  unit_details[Detected Unit Amenities], "*"&amp;$AB$3&amp;"*",
  unit_details[Leased Date], "&gt;=" &amp; ($X$2 - $AD$3)
),0)</f>
        <v>0</v>
      </c>
      <c r="AD497" s="735" cm="1">
        <f t="array" aca="true" ref="AD497" ca="true">IFERROR(AVERAGEIFS(
  unit_details[Sqft],
  unit_details[Property Name], INDIRECT("B"&amp;ROW()),
  unit_details[Floorplan Name], INDIRECT("C"&amp;ROW()),
  unit_details[Beds], INDIRECT("D"&amp;ROW()),
  unit_details[Detected Unit Amenities], "&lt;&gt;*"&amp;$AB$3&amp;"*",
  unit_details[Leased Date], "&gt;=" &amp; ($X$2 - $AD$3)
),0)</f>
        <v>0</v>
      </c>
      <c r="AE497" s="734" cm="1">
        <f t="array" aca="true" ref="AE4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7" s="733" cm="1">
        <f t="array" aca="true" ref="AF497" ca="true">IFERROR(COUNTIFS(
  unit_details[Property Name], INDIRECT("B"&amp;ROW()),
  unit_details[Floorplan Name], INDIRECT("C"&amp;ROW()),
  unit_details[Beds], INDIRECT("D"&amp;ROW()),
  unit_details[Detected Unit Amenities], "&lt;&gt;*"&amp;$AB$3&amp;"*",
  unit_details[Leased Date], "&gt;=" &amp; ($X$2 - $AD$3)
),0)</f>
        <v>0</v>
      </c>
      <c r="AG497" s="735"/>
      <c r="AH497" s="738">
        <f t="shared" ca="true" si="16"/>
        <v>0</v>
      </c>
      <c r="AI497" s="739">
        <f t="shared" ca="true" si="17"/>
        <v>0</v>
      </c>
    </row>
    <row r="498" spans="10:35">
      <c r="J498" s="345"/>
      <c r="N498" s="738" t="str" cm="1">
        <f t="array" aca="true" ref="N498" ca="true">IFERROR(IF($O$3="Chunk Rent",
AVERAGEIFS('Unit-Level Data'!$O:$O,'Unit-Level Data'!$M:$M,TRUE,
          'Unit-Level Data'!$D:$D, INDIRECT("C"&amp;ROW()),
          'Unit-Level Data'!$B:$B, INDIRECT("B"&amp;ROW())),
AVERAGEIFS('Unit-Level Data'!$P:$P,'Unit-Level Data'!$M:$M,TRUE,
          'Unit-Level Data'!$D:$D, INDIRECT("C"&amp;ROW()),
          'Unit-Level Data'!$B:$B, INDIRECT("B"&amp;ROW()))),"")</f>
      </c>
      <c r="O498" s="760" t="str" cm="1">
        <f t="array" aca="true" ref="O498" ca="true">IFERROR(IF($O$3="Chunk Rent",
AVERAGEIFS('Unit-Level Data'!$Q:$Q,'Unit-Level Data'!$M:$M,TRUE,
          'Unit-Level Data'!$D:$D, INDIRECT("C"&amp;ROW()),
          'Unit-Level Data'!$B:$B, INDIRECT("B"&amp;ROW())),
AVERAGEIFS('Unit-Level Data'!$R:$R,'Unit-Level Data'!$M:$M,TRUE,
          'Unit-Level Data'!$D:$D, INDIRECT("C"&amp;ROW()),
          'Unit-Level Data'!$B:$B, INDIRECT("B"&amp;ROW()))),"")</f>
      </c>
      <c r="P498" s="733" cm="1">
        <f t="array" aca="true" ref="P498" ca="true">COUNTIFS('Unit-Level Data'!$M:$M,TRUE,
          'Unit-Level Data'!$D:$D, INDIRECT("C"&amp;ROW()),
          'Unit-Level Data'!$B:$B, INDIRECT("B"&amp;ROW()))</f>
        <v>0</v>
      </c>
      <c r="Q498" s="738" t="str" cm="1">
        <f t="array" aca="true" ref="Q4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8" s="760" t="str" cm="1">
        <f t="array" aca="true" ref="R4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8" s="733" cm="1">
        <f t="array" aca="true" ref="S498" ca="true">COUNTIFS('Unit-Level Data'!$L:$L, "&gt;=" &amp; ($X$2 - Q$5),
          'Unit-Level Data'!$L:$L, "&lt;" &amp; $X$2,
          'Unit-Level Data'!$D:$D, INDIRECT("C"&amp;ROW()),
          'Unit-Level Data'!$B:$B, INDIRECT("B"&amp;ROW()))</f>
        <v>0</v>
      </c>
      <c r="T498" s="738" t="str" cm="1">
        <f t="array" aca="true" ref="T4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8" s="760" t="str" cm="1">
        <f t="array" aca="true" ref="U4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8" s="733" cm="1">
        <f t="array" aca="true" ref="V498" ca="true">COUNTIFS('Unit-Level Data'!$L:$L, "&gt;=" &amp; ($X$2 - T$5),
          'Unit-Level Data'!$L:$L, "&lt;" &amp; $X$2,
          'Unit-Level Data'!$D:$D, INDIRECT("C"&amp;ROW()),
          'Unit-Level Data'!$B:$B, INDIRECT("B"&amp;ROW()))</f>
        <v>0</v>
      </c>
      <c r="W498" s="738" t="str" cm="1">
        <f t="array" aca="true" ref="W4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8" s="760" t="str" cm="1">
        <f t="array" aca="true" ref="X4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8" s="733" cm="1">
        <f t="array" aca="true" ref="Y498" ca="true">COUNTIFS('Unit-Level Data'!$L:$L, "&gt;=" &amp; ($X$2 - W$5),
          'Unit-Level Data'!$L:$L, "&lt;" &amp; $X$2,
          'Unit-Level Data'!$D:$D, INDIRECT("C"&amp;ROW()),
          'Unit-Level Data'!$B:$B, INDIRECT("B"&amp;ROW()))</f>
        <v>0</v>
      </c>
      <c r="Z498" s="761"/>
      <c r="AA498" s="735" cm="1">
        <f t="array" aca="true" ref="AA498" ca="true">IFERROR(AVERAGEIFS(
  unit_details[Sqft],
  unit_details[Property Name], INDIRECT("B"&amp;ROW()),
  unit_details[Floorplan Name], INDIRECT("C"&amp;ROW()),
  unit_details[Beds], INDIRECT("D"&amp;ROW()),
  unit_details[Detected Unit Amenities], "*"&amp;$AB$3&amp;"*",
  unit_details[Leased Date], "&gt;=" &amp; ($X$2 - $AD$3)
),0)</f>
        <v>0</v>
      </c>
      <c r="AB498" s="734" cm="1">
        <f t="array" aca="true" ref="AB4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8" s="733" cm="1">
        <f t="array" aca="true" ref="AC498" ca="true">IFERROR(COUNTIFS(
  unit_details[Property Name], INDIRECT("B"&amp;ROW()),
  unit_details[Floorplan Name], INDIRECT("C"&amp;ROW()),
  unit_details[Beds], INDIRECT("D"&amp;ROW()),
  unit_details[Detected Unit Amenities], "*"&amp;$AB$3&amp;"*",
  unit_details[Leased Date], "&gt;=" &amp; ($X$2 - $AD$3)
),0)</f>
        <v>0</v>
      </c>
      <c r="AD498" s="735" cm="1">
        <f t="array" aca="true" ref="AD498" ca="true">IFERROR(AVERAGEIFS(
  unit_details[Sqft],
  unit_details[Property Name], INDIRECT("B"&amp;ROW()),
  unit_details[Floorplan Name], INDIRECT("C"&amp;ROW()),
  unit_details[Beds], INDIRECT("D"&amp;ROW()),
  unit_details[Detected Unit Amenities], "&lt;&gt;*"&amp;$AB$3&amp;"*",
  unit_details[Leased Date], "&gt;=" &amp; ($X$2 - $AD$3)
),0)</f>
        <v>0</v>
      </c>
      <c r="AE498" s="734" cm="1">
        <f t="array" aca="true" ref="AE4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8" s="733" cm="1">
        <f t="array" aca="true" ref="AF498" ca="true">IFERROR(COUNTIFS(
  unit_details[Property Name], INDIRECT("B"&amp;ROW()),
  unit_details[Floorplan Name], INDIRECT("C"&amp;ROW()),
  unit_details[Beds], INDIRECT("D"&amp;ROW()),
  unit_details[Detected Unit Amenities], "&lt;&gt;*"&amp;$AB$3&amp;"*",
  unit_details[Leased Date], "&gt;=" &amp; ($X$2 - $AD$3)
),0)</f>
        <v>0</v>
      </c>
      <c r="AG498" s="735"/>
      <c r="AH498" s="738">
        <f t="shared" ca="true" si="16"/>
        <v>0</v>
      </c>
      <c r="AI498" s="739">
        <f t="shared" ca="true" si="17"/>
        <v>0</v>
      </c>
    </row>
    <row r="499" spans="10:35">
      <c r="J499" s="345"/>
      <c r="N499" s="738" t="str" cm="1">
        <f t="array" aca="true" ref="N499" ca="true">IFERROR(IF($O$3="Chunk Rent",
AVERAGEIFS('Unit-Level Data'!$O:$O,'Unit-Level Data'!$M:$M,TRUE,
          'Unit-Level Data'!$D:$D, INDIRECT("C"&amp;ROW()),
          'Unit-Level Data'!$B:$B, INDIRECT("B"&amp;ROW())),
AVERAGEIFS('Unit-Level Data'!$P:$P,'Unit-Level Data'!$M:$M,TRUE,
          'Unit-Level Data'!$D:$D, INDIRECT("C"&amp;ROW()),
          'Unit-Level Data'!$B:$B, INDIRECT("B"&amp;ROW()))),"")</f>
      </c>
      <c r="O499" s="760" t="str" cm="1">
        <f t="array" aca="true" ref="O499" ca="true">IFERROR(IF($O$3="Chunk Rent",
AVERAGEIFS('Unit-Level Data'!$Q:$Q,'Unit-Level Data'!$M:$M,TRUE,
          'Unit-Level Data'!$D:$D, INDIRECT("C"&amp;ROW()),
          'Unit-Level Data'!$B:$B, INDIRECT("B"&amp;ROW())),
AVERAGEIFS('Unit-Level Data'!$R:$R,'Unit-Level Data'!$M:$M,TRUE,
          'Unit-Level Data'!$D:$D, INDIRECT("C"&amp;ROW()),
          'Unit-Level Data'!$B:$B, INDIRECT("B"&amp;ROW()))),"")</f>
      </c>
      <c r="P499" s="733" cm="1">
        <f t="array" aca="true" ref="P499" ca="true">COUNTIFS('Unit-Level Data'!$M:$M,TRUE,
          'Unit-Level Data'!$D:$D, INDIRECT("C"&amp;ROW()),
          'Unit-Level Data'!$B:$B, INDIRECT("B"&amp;ROW()))</f>
        <v>0</v>
      </c>
      <c r="Q499" s="738" t="str" cm="1">
        <f t="array" aca="true" ref="Q4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9" s="760" t="str" cm="1">
        <f t="array" aca="true" ref="R4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9" s="733" cm="1">
        <f t="array" aca="true" ref="S499" ca="true">COUNTIFS('Unit-Level Data'!$L:$L, "&gt;=" &amp; ($X$2 - Q$5),
          'Unit-Level Data'!$L:$L, "&lt;" &amp; $X$2,
          'Unit-Level Data'!$D:$D, INDIRECT("C"&amp;ROW()),
          'Unit-Level Data'!$B:$B, INDIRECT("B"&amp;ROW()))</f>
        <v>0</v>
      </c>
      <c r="T499" s="738" t="str" cm="1">
        <f t="array" aca="true" ref="T4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9" s="760" t="str" cm="1">
        <f t="array" aca="true" ref="U4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9" s="733" cm="1">
        <f t="array" aca="true" ref="V499" ca="true">COUNTIFS('Unit-Level Data'!$L:$L, "&gt;=" &amp; ($X$2 - T$5),
          'Unit-Level Data'!$L:$L, "&lt;" &amp; $X$2,
          'Unit-Level Data'!$D:$D, INDIRECT("C"&amp;ROW()),
          'Unit-Level Data'!$B:$B, INDIRECT("B"&amp;ROW()))</f>
        <v>0</v>
      </c>
      <c r="W499" s="738" t="str" cm="1">
        <f t="array" aca="true" ref="W4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9" s="760" t="str" cm="1">
        <f t="array" aca="true" ref="X4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9" s="733" cm="1">
        <f t="array" aca="true" ref="Y499" ca="true">COUNTIFS('Unit-Level Data'!$L:$L, "&gt;=" &amp; ($X$2 - W$5),
          'Unit-Level Data'!$L:$L, "&lt;" &amp; $X$2,
          'Unit-Level Data'!$D:$D, INDIRECT("C"&amp;ROW()),
          'Unit-Level Data'!$B:$B, INDIRECT("B"&amp;ROW()))</f>
        <v>0</v>
      </c>
      <c r="Z499" s="761"/>
      <c r="AA499" s="735" cm="1">
        <f t="array" aca="true" ref="AA499" ca="true">IFERROR(AVERAGEIFS(
  unit_details[Sqft],
  unit_details[Property Name], INDIRECT("B"&amp;ROW()),
  unit_details[Floorplan Name], INDIRECT("C"&amp;ROW()),
  unit_details[Beds], INDIRECT("D"&amp;ROW()),
  unit_details[Detected Unit Amenities], "*"&amp;$AB$3&amp;"*",
  unit_details[Leased Date], "&gt;=" &amp; ($X$2 - $AD$3)
),0)</f>
        <v>0</v>
      </c>
      <c r="AB499" s="734" cm="1">
        <f t="array" aca="true" ref="AB4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9" s="733" cm="1">
        <f t="array" aca="true" ref="AC499" ca="true">IFERROR(COUNTIFS(
  unit_details[Property Name], INDIRECT("B"&amp;ROW()),
  unit_details[Floorplan Name], INDIRECT("C"&amp;ROW()),
  unit_details[Beds], INDIRECT("D"&amp;ROW()),
  unit_details[Detected Unit Amenities], "*"&amp;$AB$3&amp;"*",
  unit_details[Leased Date], "&gt;=" &amp; ($X$2 - $AD$3)
),0)</f>
        <v>0</v>
      </c>
      <c r="AD499" s="735" cm="1">
        <f t="array" aca="true" ref="AD499" ca="true">IFERROR(AVERAGEIFS(
  unit_details[Sqft],
  unit_details[Property Name], INDIRECT("B"&amp;ROW()),
  unit_details[Floorplan Name], INDIRECT("C"&amp;ROW()),
  unit_details[Beds], INDIRECT("D"&amp;ROW()),
  unit_details[Detected Unit Amenities], "&lt;&gt;*"&amp;$AB$3&amp;"*",
  unit_details[Leased Date], "&gt;=" &amp; ($X$2 - $AD$3)
),0)</f>
        <v>0</v>
      </c>
      <c r="AE499" s="734" cm="1">
        <f t="array" aca="true" ref="AE4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9" s="733" cm="1">
        <f t="array" aca="true" ref="AF499" ca="true">IFERROR(COUNTIFS(
  unit_details[Property Name], INDIRECT("B"&amp;ROW()),
  unit_details[Floorplan Name], INDIRECT("C"&amp;ROW()),
  unit_details[Beds], INDIRECT("D"&amp;ROW()),
  unit_details[Detected Unit Amenities], "&lt;&gt;*"&amp;$AB$3&amp;"*",
  unit_details[Leased Date], "&gt;=" &amp; ($X$2 - $AD$3)
),0)</f>
        <v>0</v>
      </c>
      <c r="AG499" s="735"/>
      <c r="AH499" s="738">
        <f t="shared" ca="true" si="16"/>
        <v>0</v>
      </c>
      <c r="AI499" s="739">
        <f t="shared" ca="true" si="17"/>
        <v>0</v>
      </c>
    </row>
    <row r="500" spans="10:35">
      <c r="J500" s="345"/>
      <c r="N500" s="738" t="str" cm="1">
        <f t="array" aca="true" ref="N500" ca="true">IFERROR(IF($O$3="Chunk Rent",
AVERAGEIFS('Unit-Level Data'!$O:$O,'Unit-Level Data'!$M:$M,TRUE,
          'Unit-Level Data'!$D:$D, INDIRECT("C"&amp;ROW()),
          'Unit-Level Data'!$B:$B, INDIRECT("B"&amp;ROW())),
AVERAGEIFS('Unit-Level Data'!$P:$P,'Unit-Level Data'!$M:$M,TRUE,
          'Unit-Level Data'!$D:$D, INDIRECT("C"&amp;ROW()),
          'Unit-Level Data'!$B:$B, INDIRECT("B"&amp;ROW()))),"")</f>
      </c>
      <c r="O500" s="760" t="str" cm="1">
        <f t="array" aca="true" ref="O500" ca="true">IFERROR(IF($O$3="Chunk Rent",
AVERAGEIFS('Unit-Level Data'!$Q:$Q,'Unit-Level Data'!$M:$M,TRUE,
          'Unit-Level Data'!$D:$D, INDIRECT("C"&amp;ROW()),
          'Unit-Level Data'!$B:$B, INDIRECT("B"&amp;ROW())),
AVERAGEIFS('Unit-Level Data'!$R:$R,'Unit-Level Data'!$M:$M,TRUE,
          'Unit-Level Data'!$D:$D, INDIRECT("C"&amp;ROW()),
          'Unit-Level Data'!$B:$B, INDIRECT("B"&amp;ROW()))),"")</f>
      </c>
      <c r="P500" s="733" cm="1">
        <f t="array" aca="true" ref="P500" ca="true">COUNTIFS('Unit-Level Data'!$M:$M,TRUE,
          'Unit-Level Data'!$D:$D, INDIRECT("C"&amp;ROW()),
          'Unit-Level Data'!$B:$B, INDIRECT("B"&amp;ROW()))</f>
        <v>0</v>
      </c>
      <c r="Q500" s="738" t="str" cm="1">
        <f t="array" aca="true" ref="Q5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0" s="760" t="str" cm="1">
        <f t="array" aca="true" ref="R5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0" s="733" cm="1">
        <f t="array" aca="true" ref="S500" ca="true">COUNTIFS('Unit-Level Data'!$L:$L, "&gt;=" &amp; ($X$2 - Q$5),
          'Unit-Level Data'!$L:$L, "&lt;" &amp; $X$2,
          'Unit-Level Data'!$D:$D, INDIRECT("C"&amp;ROW()),
          'Unit-Level Data'!$B:$B, INDIRECT("B"&amp;ROW()))</f>
        <v>0</v>
      </c>
      <c r="T500" s="738" t="str" cm="1">
        <f t="array" aca="true" ref="T5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0" s="760" t="str" cm="1">
        <f t="array" aca="true" ref="U5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0" s="733" cm="1">
        <f t="array" aca="true" ref="V500" ca="true">COUNTIFS('Unit-Level Data'!$L:$L, "&gt;=" &amp; ($X$2 - T$5),
          'Unit-Level Data'!$L:$L, "&lt;" &amp; $X$2,
          'Unit-Level Data'!$D:$D, INDIRECT("C"&amp;ROW()),
          'Unit-Level Data'!$B:$B, INDIRECT("B"&amp;ROW()))</f>
        <v>0</v>
      </c>
      <c r="W500" s="738" t="str" cm="1">
        <f t="array" aca="true" ref="W5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0" s="760" t="str" cm="1">
        <f t="array" aca="true" ref="X5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0" s="733" cm="1">
        <f t="array" aca="true" ref="Y500" ca="true">COUNTIFS('Unit-Level Data'!$L:$L, "&gt;=" &amp; ($X$2 - W$5),
          'Unit-Level Data'!$L:$L, "&lt;" &amp; $X$2,
          'Unit-Level Data'!$D:$D, INDIRECT("C"&amp;ROW()),
          'Unit-Level Data'!$B:$B, INDIRECT("B"&amp;ROW()))</f>
        <v>0</v>
      </c>
      <c r="Z500" s="761"/>
      <c r="AA500" s="735" cm="1">
        <f t="array" aca="true" ref="AA500" ca="true">IFERROR(AVERAGEIFS(
  unit_details[Sqft],
  unit_details[Property Name], INDIRECT("B"&amp;ROW()),
  unit_details[Floorplan Name], INDIRECT("C"&amp;ROW()),
  unit_details[Beds], INDIRECT("D"&amp;ROW()),
  unit_details[Detected Unit Amenities], "*"&amp;$AB$3&amp;"*",
  unit_details[Leased Date], "&gt;=" &amp; ($X$2 - $AD$3)
),0)</f>
        <v>0</v>
      </c>
      <c r="AB500" s="734" cm="1">
        <f t="array" aca="true" ref="AB5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0" s="733" cm="1">
        <f t="array" aca="true" ref="AC500" ca="true">IFERROR(COUNTIFS(
  unit_details[Property Name], INDIRECT("B"&amp;ROW()),
  unit_details[Floorplan Name], INDIRECT("C"&amp;ROW()),
  unit_details[Beds], INDIRECT("D"&amp;ROW()),
  unit_details[Detected Unit Amenities], "*"&amp;$AB$3&amp;"*",
  unit_details[Leased Date], "&gt;=" &amp; ($X$2 - $AD$3)
),0)</f>
        <v>0</v>
      </c>
      <c r="AD500" s="735" cm="1">
        <f t="array" aca="true" ref="AD500" ca="true">IFERROR(AVERAGEIFS(
  unit_details[Sqft],
  unit_details[Property Name], INDIRECT("B"&amp;ROW()),
  unit_details[Floorplan Name], INDIRECT("C"&amp;ROW()),
  unit_details[Beds], INDIRECT("D"&amp;ROW()),
  unit_details[Detected Unit Amenities], "&lt;&gt;*"&amp;$AB$3&amp;"*",
  unit_details[Leased Date], "&gt;=" &amp; ($X$2 - $AD$3)
),0)</f>
        <v>0</v>
      </c>
      <c r="AE500" s="734" cm="1">
        <f t="array" aca="true" ref="AE5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0" s="733" cm="1">
        <f t="array" aca="true" ref="AF500" ca="true">IFERROR(COUNTIFS(
  unit_details[Property Name], INDIRECT("B"&amp;ROW()),
  unit_details[Floorplan Name], INDIRECT("C"&amp;ROW()),
  unit_details[Beds], INDIRECT("D"&amp;ROW()),
  unit_details[Detected Unit Amenities], "&lt;&gt;*"&amp;$AB$3&amp;"*",
  unit_details[Leased Date], "&gt;=" &amp; ($X$2 - $AD$3)
),0)</f>
        <v>0</v>
      </c>
      <c r="AG500" s="735"/>
      <c r="AH500" s="738">
        <f t="shared" ca="true" si="16"/>
        <v>0</v>
      </c>
      <c r="AI500" s="739">
        <f t="shared" ca="true" si="17"/>
        <v>0</v>
      </c>
    </row>
    <row r="501" spans="10:35">
      <c r="J501" s="345"/>
      <c r="N501" s="738" t="str" cm="1">
        <f t="array" aca="true" ref="N501" ca="true">IFERROR(IF($O$3="Chunk Rent",
AVERAGEIFS('Unit-Level Data'!$O:$O,'Unit-Level Data'!$M:$M,TRUE,
          'Unit-Level Data'!$D:$D, INDIRECT("C"&amp;ROW()),
          'Unit-Level Data'!$B:$B, INDIRECT("B"&amp;ROW())),
AVERAGEIFS('Unit-Level Data'!$P:$P,'Unit-Level Data'!$M:$M,TRUE,
          'Unit-Level Data'!$D:$D, INDIRECT("C"&amp;ROW()),
          'Unit-Level Data'!$B:$B, INDIRECT("B"&amp;ROW()))),"")</f>
      </c>
      <c r="O501" s="760" t="str" cm="1">
        <f t="array" aca="true" ref="O501" ca="true">IFERROR(IF($O$3="Chunk Rent",
AVERAGEIFS('Unit-Level Data'!$Q:$Q,'Unit-Level Data'!$M:$M,TRUE,
          'Unit-Level Data'!$D:$D, INDIRECT("C"&amp;ROW()),
          'Unit-Level Data'!$B:$B, INDIRECT("B"&amp;ROW())),
AVERAGEIFS('Unit-Level Data'!$R:$R,'Unit-Level Data'!$M:$M,TRUE,
          'Unit-Level Data'!$D:$D, INDIRECT("C"&amp;ROW()),
          'Unit-Level Data'!$B:$B, INDIRECT("B"&amp;ROW()))),"")</f>
      </c>
      <c r="P501" s="733" cm="1">
        <f t="array" aca="true" ref="P501" ca="true">COUNTIFS('Unit-Level Data'!$M:$M,TRUE,
          'Unit-Level Data'!$D:$D, INDIRECT("C"&amp;ROW()),
          'Unit-Level Data'!$B:$B, INDIRECT("B"&amp;ROW()))</f>
        <v>0</v>
      </c>
      <c r="Q501" s="738" t="str" cm="1">
        <f t="array" aca="true" ref="Q5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1" s="760" t="str" cm="1">
        <f t="array" aca="true" ref="R5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1" s="733" cm="1">
        <f t="array" aca="true" ref="S501" ca="true">COUNTIFS('Unit-Level Data'!$L:$L, "&gt;=" &amp; ($X$2 - Q$5),
          'Unit-Level Data'!$L:$L, "&lt;" &amp; $X$2,
          'Unit-Level Data'!$D:$D, INDIRECT("C"&amp;ROW()),
          'Unit-Level Data'!$B:$B, INDIRECT("B"&amp;ROW()))</f>
        <v>0</v>
      </c>
      <c r="T501" s="738" t="str" cm="1">
        <f t="array" aca="true" ref="T5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1" s="760" t="str" cm="1">
        <f t="array" aca="true" ref="U5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1" s="733" cm="1">
        <f t="array" aca="true" ref="V501" ca="true">COUNTIFS('Unit-Level Data'!$L:$L, "&gt;=" &amp; ($X$2 - T$5),
          'Unit-Level Data'!$L:$L, "&lt;" &amp; $X$2,
          'Unit-Level Data'!$D:$D, INDIRECT("C"&amp;ROW()),
          'Unit-Level Data'!$B:$B, INDIRECT("B"&amp;ROW()))</f>
        <v>0</v>
      </c>
      <c r="W501" s="738" t="str" cm="1">
        <f t="array" aca="true" ref="W5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1" s="760" t="str" cm="1">
        <f t="array" aca="true" ref="X5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1" s="733" cm="1">
        <f t="array" aca="true" ref="Y501" ca="true">COUNTIFS('Unit-Level Data'!$L:$L, "&gt;=" &amp; ($X$2 - W$5),
          'Unit-Level Data'!$L:$L, "&lt;" &amp; $X$2,
          'Unit-Level Data'!$D:$D, INDIRECT("C"&amp;ROW()),
          'Unit-Level Data'!$B:$B, INDIRECT("B"&amp;ROW()))</f>
        <v>0</v>
      </c>
      <c r="Z501" s="761"/>
      <c r="AA501" s="735" cm="1">
        <f t="array" aca="true" ref="AA501" ca="true">IFERROR(AVERAGEIFS(
  unit_details[Sqft],
  unit_details[Property Name], INDIRECT("B"&amp;ROW()),
  unit_details[Floorplan Name], INDIRECT("C"&amp;ROW()),
  unit_details[Beds], INDIRECT("D"&amp;ROW()),
  unit_details[Detected Unit Amenities], "*"&amp;$AB$3&amp;"*",
  unit_details[Leased Date], "&gt;=" &amp; ($X$2 - $AD$3)
),0)</f>
        <v>0</v>
      </c>
      <c r="AB501" s="734" cm="1">
        <f t="array" aca="true" ref="AB5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1" s="733" cm="1">
        <f t="array" aca="true" ref="AC501" ca="true">IFERROR(COUNTIFS(
  unit_details[Property Name], INDIRECT("B"&amp;ROW()),
  unit_details[Floorplan Name], INDIRECT("C"&amp;ROW()),
  unit_details[Beds], INDIRECT("D"&amp;ROW()),
  unit_details[Detected Unit Amenities], "*"&amp;$AB$3&amp;"*",
  unit_details[Leased Date], "&gt;=" &amp; ($X$2 - $AD$3)
),0)</f>
        <v>0</v>
      </c>
      <c r="AD501" s="735" cm="1">
        <f t="array" aca="true" ref="AD501" ca="true">IFERROR(AVERAGEIFS(
  unit_details[Sqft],
  unit_details[Property Name], INDIRECT("B"&amp;ROW()),
  unit_details[Floorplan Name], INDIRECT("C"&amp;ROW()),
  unit_details[Beds], INDIRECT("D"&amp;ROW()),
  unit_details[Detected Unit Amenities], "&lt;&gt;*"&amp;$AB$3&amp;"*",
  unit_details[Leased Date], "&gt;=" &amp; ($X$2 - $AD$3)
),0)</f>
        <v>0</v>
      </c>
      <c r="AE501" s="734" cm="1">
        <f t="array" aca="true" ref="AE5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1" s="733" cm="1">
        <f t="array" aca="true" ref="AF501" ca="true">IFERROR(COUNTIFS(
  unit_details[Property Name], INDIRECT("B"&amp;ROW()),
  unit_details[Floorplan Name], INDIRECT("C"&amp;ROW()),
  unit_details[Beds], INDIRECT("D"&amp;ROW()),
  unit_details[Detected Unit Amenities], "&lt;&gt;*"&amp;$AB$3&amp;"*",
  unit_details[Leased Date], "&gt;=" &amp; ($X$2 - $AD$3)
),0)</f>
        <v>0</v>
      </c>
      <c r="AG501" s="735"/>
      <c r="AH501" s="738">
        <f t="shared" ca="true" si="16"/>
        <v>0</v>
      </c>
      <c r="AI501" s="739">
        <f t="shared" ca="true" si="17"/>
        <v>0</v>
      </c>
    </row>
    <row r="502" spans="10:35">
      <c r="J502" s="345"/>
      <c r="N502" s="738" t="str" cm="1">
        <f t="array" aca="true" ref="N502" ca="true">IFERROR(IF($O$3="Chunk Rent",
AVERAGEIFS('Unit-Level Data'!$O:$O,'Unit-Level Data'!$M:$M,TRUE,
          'Unit-Level Data'!$D:$D, INDIRECT("C"&amp;ROW()),
          'Unit-Level Data'!$B:$B, INDIRECT("B"&amp;ROW())),
AVERAGEIFS('Unit-Level Data'!$P:$P,'Unit-Level Data'!$M:$M,TRUE,
          'Unit-Level Data'!$D:$D, INDIRECT("C"&amp;ROW()),
          'Unit-Level Data'!$B:$B, INDIRECT("B"&amp;ROW()))),"")</f>
      </c>
      <c r="O502" s="760" t="str" cm="1">
        <f t="array" aca="true" ref="O502" ca="true">IFERROR(IF($O$3="Chunk Rent",
AVERAGEIFS('Unit-Level Data'!$Q:$Q,'Unit-Level Data'!$M:$M,TRUE,
          'Unit-Level Data'!$D:$D, INDIRECT("C"&amp;ROW()),
          'Unit-Level Data'!$B:$B, INDIRECT("B"&amp;ROW())),
AVERAGEIFS('Unit-Level Data'!$R:$R,'Unit-Level Data'!$M:$M,TRUE,
          'Unit-Level Data'!$D:$D, INDIRECT("C"&amp;ROW()),
          'Unit-Level Data'!$B:$B, INDIRECT("B"&amp;ROW()))),"")</f>
      </c>
      <c r="P502" s="733" cm="1">
        <f t="array" aca="true" ref="P502" ca="true">COUNTIFS('Unit-Level Data'!$M:$M,TRUE,
          'Unit-Level Data'!$D:$D, INDIRECT("C"&amp;ROW()),
          'Unit-Level Data'!$B:$B, INDIRECT("B"&amp;ROW()))</f>
        <v>0</v>
      </c>
      <c r="Q502" s="738" t="str" cm="1">
        <f t="array" aca="true" ref="Q5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2" s="760" t="str" cm="1">
        <f t="array" aca="true" ref="R5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2" s="733" cm="1">
        <f t="array" aca="true" ref="S502" ca="true">COUNTIFS('Unit-Level Data'!$L:$L, "&gt;=" &amp; ($X$2 - Q$5),
          'Unit-Level Data'!$L:$L, "&lt;" &amp; $X$2,
          'Unit-Level Data'!$D:$D, INDIRECT("C"&amp;ROW()),
          'Unit-Level Data'!$B:$B, INDIRECT("B"&amp;ROW()))</f>
        <v>0</v>
      </c>
      <c r="T502" s="738" t="str" cm="1">
        <f t="array" aca="true" ref="T5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2" s="760" t="str" cm="1">
        <f t="array" aca="true" ref="U5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2" s="733" cm="1">
        <f t="array" aca="true" ref="V502" ca="true">COUNTIFS('Unit-Level Data'!$L:$L, "&gt;=" &amp; ($X$2 - T$5),
          'Unit-Level Data'!$L:$L, "&lt;" &amp; $X$2,
          'Unit-Level Data'!$D:$D, INDIRECT("C"&amp;ROW()),
          'Unit-Level Data'!$B:$B, INDIRECT("B"&amp;ROW()))</f>
        <v>0</v>
      </c>
      <c r="W502" s="738" t="str" cm="1">
        <f t="array" aca="true" ref="W5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2" s="760" t="str" cm="1">
        <f t="array" aca="true" ref="X5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2" s="733" cm="1">
        <f t="array" aca="true" ref="Y502" ca="true">COUNTIFS('Unit-Level Data'!$L:$L, "&gt;=" &amp; ($X$2 - W$5),
          'Unit-Level Data'!$L:$L, "&lt;" &amp; $X$2,
          'Unit-Level Data'!$D:$D, INDIRECT("C"&amp;ROW()),
          'Unit-Level Data'!$B:$B, INDIRECT("B"&amp;ROW()))</f>
        <v>0</v>
      </c>
      <c r="Z502" s="761"/>
      <c r="AA502" s="735" cm="1">
        <f t="array" aca="true" ref="AA502" ca="true">IFERROR(AVERAGEIFS(
  unit_details[Sqft],
  unit_details[Property Name], INDIRECT("B"&amp;ROW()),
  unit_details[Floorplan Name], INDIRECT("C"&amp;ROW()),
  unit_details[Beds], INDIRECT("D"&amp;ROW()),
  unit_details[Detected Unit Amenities], "*"&amp;$AB$3&amp;"*",
  unit_details[Leased Date], "&gt;=" &amp; ($X$2 - $AD$3)
),0)</f>
        <v>0</v>
      </c>
      <c r="AB502" s="734" cm="1">
        <f t="array" aca="true" ref="AB5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2" s="733" cm="1">
        <f t="array" aca="true" ref="AC502" ca="true">IFERROR(COUNTIFS(
  unit_details[Property Name], INDIRECT("B"&amp;ROW()),
  unit_details[Floorplan Name], INDIRECT("C"&amp;ROW()),
  unit_details[Beds], INDIRECT("D"&amp;ROW()),
  unit_details[Detected Unit Amenities], "*"&amp;$AB$3&amp;"*",
  unit_details[Leased Date], "&gt;=" &amp; ($X$2 - $AD$3)
),0)</f>
        <v>0</v>
      </c>
      <c r="AD502" s="735" cm="1">
        <f t="array" aca="true" ref="AD502" ca="true">IFERROR(AVERAGEIFS(
  unit_details[Sqft],
  unit_details[Property Name], INDIRECT("B"&amp;ROW()),
  unit_details[Floorplan Name], INDIRECT("C"&amp;ROW()),
  unit_details[Beds], INDIRECT("D"&amp;ROW()),
  unit_details[Detected Unit Amenities], "&lt;&gt;*"&amp;$AB$3&amp;"*",
  unit_details[Leased Date], "&gt;=" &amp; ($X$2 - $AD$3)
),0)</f>
        <v>0</v>
      </c>
      <c r="AE502" s="734" cm="1">
        <f t="array" aca="true" ref="AE5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2" s="733" cm="1">
        <f t="array" aca="true" ref="AF502" ca="true">IFERROR(COUNTIFS(
  unit_details[Property Name], INDIRECT("B"&amp;ROW()),
  unit_details[Floorplan Name], INDIRECT("C"&amp;ROW()),
  unit_details[Beds], INDIRECT("D"&amp;ROW()),
  unit_details[Detected Unit Amenities], "&lt;&gt;*"&amp;$AB$3&amp;"*",
  unit_details[Leased Date], "&gt;=" &amp; ($X$2 - $AD$3)
),0)</f>
        <v>0</v>
      </c>
      <c r="AG502" s="735"/>
      <c r="AH502" s="738">
        <f t="shared" ca="true" si="16"/>
        <v>0</v>
      </c>
      <c r="AI502" s="739">
        <f t="shared" ca="true" si="17"/>
        <v>0</v>
      </c>
    </row>
    <row r="503" spans="10:35">
      <c r="J503" s="345"/>
      <c r="N503" s="738" t="str" cm="1">
        <f t="array" aca="true" ref="N503" ca="true">IFERROR(IF($O$3="Chunk Rent",
AVERAGEIFS('Unit-Level Data'!$O:$O,'Unit-Level Data'!$M:$M,TRUE,
          'Unit-Level Data'!$D:$D, INDIRECT("C"&amp;ROW()),
          'Unit-Level Data'!$B:$B, INDIRECT("B"&amp;ROW())),
AVERAGEIFS('Unit-Level Data'!$P:$P,'Unit-Level Data'!$M:$M,TRUE,
          'Unit-Level Data'!$D:$D, INDIRECT("C"&amp;ROW()),
          'Unit-Level Data'!$B:$B, INDIRECT("B"&amp;ROW()))),"")</f>
      </c>
      <c r="O503" s="760" t="str" cm="1">
        <f t="array" aca="true" ref="O503" ca="true">IFERROR(IF($O$3="Chunk Rent",
AVERAGEIFS('Unit-Level Data'!$Q:$Q,'Unit-Level Data'!$M:$M,TRUE,
          'Unit-Level Data'!$D:$D, INDIRECT("C"&amp;ROW()),
          'Unit-Level Data'!$B:$B, INDIRECT("B"&amp;ROW())),
AVERAGEIFS('Unit-Level Data'!$R:$R,'Unit-Level Data'!$M:$M,TRUE,
          'Unit-Level Data'!$D:$D, INDIRECT("C"&amp;ROW()),
          'Unit-Level Data'!$B:$B, INDIRECT("B"&amp;ROW()))),"")</f>
      </c>
      <c r="P503" s="733" cm="1">
        <f t="array" aca="true" ref="P503" ca="true">COUNTIFS('Unit-Level Data'!$M:$M,TRUE,
          'Unit-Level Data'!$D:$D, INDIRECT("C"&amp;ROW()),
          'Unit-Level Data'!$B:$B, INDIRECT("B"&amp;ROW()))</f>
        <v>0</v>
      </c>
      <c r="Q503" s="738" t="str" cm="1">
        <f t="array" aca="true" ref="Q5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3" s="760" t="str" cm="1">
        <f t="array" aca="true" ref="R5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3" s="733" cm="1">
        <f t="array" aca="true" ref="S503" ca="true">COUNTIFS('Unit-Level Data'!$L:$L, "&gt;=" &amp; ($X$2 - Q$5),
          'Unit-Level Data'!$L:$L, "&lt;" &amp; $X$2,
          'Unit-Level Data'!$D:$D, INDIRECT("C"&amp;ROW()),
          'Unit-Level Data'!$B:$B, INDIRECT("B"&amp;ROW()))</f>
        <v>0</v>
      </c>
      <c r="T503" s="738" t="str" cm="1">
        <f t="array" aca="true" ref="T5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3" s="760" t="str" cm="1">
        <f t="array" aca="true" ref="U5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3" s="733" cm="1">
        <f t="array" aca="true" ref="V503" ca="true">COUNTIFS('Unit-Level Data'!$L:$L, "&gt;=" &amp; ($X$2 - T$5),
          'Unit-Level Data'!$L:$L, "&lt;" &amp; $X$2,
          'Unit-Level Data'!$D:$D, INDIRECT("C"&amp;ROW()),
          'Unit-Level Data'!$B:$B, INDIRECT("B"&amp;ROW()))</f>
        <v>0</v>
      </c>
      <c r="W503" s="738" t="str" cm="1">
        <f t="array" aca="true" ref="W5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3" s="760" t="str" cm="1">
        <f t="array" aca="true" ref="X5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3" s="733" cm="1">
        <f t="array" aca="true" ref="Y503" ca="true">COUNTIFS('Unit-Level Data'!$L:$L, "&gt;=" &amp; ($X$2 - W$5),
          'Unit-Level Data'!$L:$L, "&lt;" &amp; $X$2,
          'Unit-Level Data'!$D:$D, INDIRECT("C"&amp;ROW()),
          'Unit-Level Data'!$B:$B, INDIRECT("B"&amp;ROW()))</f>
        <v>0</v>
      </c>
      <c r="Z503" s="761"/>
      <c r="AA503" s="735" cm="1">
        <f t="array" aca="true" ref="AA503" ca="true">IFERROR(AVERAGEIFS(
  unit_details[Sqft],
  unit_details[Property Name], INDIRECT("B"&amp;ROW()),
  unit_details[Floorplan Name], INDIRECT("C"&amp;ROW()),
  unit_details[Beds], INDIRECT("D"&amp;ROW()),
  unit_details[Detected Unit Amenities], "*"&amp;$AB$3&amp;"*",
  unit_details[Leased Date], "&gt;=" &amp; ($X$2 - $AD$3)
),0)</f>
        <v>0</v>
      </c>
      <c r="AB503" s="734" cm="1">
        <f t="array" aca="true" ref="AB5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3" s="733" cm="1">
        <f t="array" aca="true" ref="AC503" ca="true">IFERROR(COUNTIFS(
  unit_details[Property Name], INDIRECT("B"&amp;ROW()),
  unit_details[Floorplan Name], INDIRECT("C"&amp;ROW()),
  unit_details[Beds], INDIRECT("D"&amp;ROW()),
  unit_details[Detected Unit Amenities], "*"&amp;$AB$3&amp;"*",
  unit_details[Leased Date], "&gt;=" &amp; ($X$2 - $AD$3)
),0)</f>
        <v>0</v>
      </c>
      <c r="AD503" s="735" cm="1">
        <f t="array" aca="true" ref="AD503" ca="true">IFERROR(AVERAGEIFS(
  unit_details[Sqft],
  unit_details[Property Name], INDIRECT("B"&amp;ROW()),
  unit_details[Floorplan Name], INDIRECT("C"&amp;ROW()),
  unit_details[Beds], INDIRECT("D"&amp;ROW()),
  unit_details[Detected Unit Amenities], "&lt;&gt;*"&amp;$AB$3&amp;"*",
  unit_details[Leased Date], "&gt;=" &amp; ($X$2 - $AD$3)
),0)</f>
        <v>0</v>
      </c>
      <c r="AE503" s="734" cm="1">
        <f t="array" aca="true" ref="AE5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3" s="733" cm="1">
        <f t="array" aca="true" ref="AF503" ca="true">IFERROR(COUNTIFS(
  unit_details[Property Name], INDIRECT("B"&amp;ROW()),
  unit_details[Floorplan Name], INDIRECT("C"&amp;ROW()),
  unit_details[Beds], INDIRECT("D"&amp;ROW()),
  unit_details[Detected Unit Amenities], "&lt;&gt;*"&amp;$AB$3&amp;"*",
  unit_details[Leased Date], "&gt;=" &amp; ($X$2 - $AD$3)
),0)</f>
        <v>0</v>
      </c>
      <c r="AG503" s="735"/>
      <c r="AH503" s="738">
        <f t="shared" ca="true" si="16"/>
        <v>0</v>
      </c>
      <c r="AI503" s="739">
        <f t="shared" ca="true" si="17"/>
        <v>0</v>
      </c>
    </row>
    <row r="504" spans="10:35">
      <c r="J504" s="345"/>
      <c r="N504" s="738" t="str" cm="1">
        <f t="array" aca="true" ref="N504" ca="true">IFERROR(IF($O$3="Chunk Rent",
AVERAGEIFS('Unit-Level Data'!$O:$O,'Unit-Level Data'!$M:$M,TRUE,
          'Unit-Level Data'!$D:$D, INDIRECT("C"&amp;ROW()),
          'Unit-Level Data'!$B:$B, INDIRECT("B"&amp;ROW())),
AVERAGEIFS('Unit-Level Data'!$P:$P,'Unit-Level Data'!$M:$M,TRUE,
          'Unit-Level Data'!$D:$D, INDIRECT("C"&amp;ROW()),
          'Unit-Level Data'!$B:$B, INDIRECT("B"&amp;ROW()))),"")</f>
      </c>
      <c r="O504" s="760" t="str" cm="1">
        <f t="array" aca="true" ref="O504" ca="true">IFERROR(IF($O$3="Chunk Rent",
AVERAGEIFS('Unit-Level Data'!$Q:$Q,'Unit-Level Data'!$M:$M,TRUE,
          'Unit-Level Data'!$D:$D, INDIRECT("C"&amp;ROW()),
          'Unit-Level Data'!$B:$B, INDIRECT("B"&amp;ROW())),
AVERAGEIFS('Unit-Level Data'!$R:$R,'Unit-Level Data'!$M:$M,TRUE,
          'Unit-Level Data'!$D:$D, INDIRECT("C"&amp;ROW()),
          'Unit-Level Data'!$B:$B, INDIRECT("B"&amp;ROW()))),"")</f>
      </c>
      <c r="P504" s="733" cm="1">
        <f t="array" aca="true" ref="P504" ca="true">COUNTIFS('Unit-Level Data'!$M:$M,TRUE,
          'Unit-Level Data'!$D:$D, INDIRECT("C"&amp;ROW()),
          'Unit-Level Data'!$B:$B, INDIRECT("B"&amp;ROW()))</f>
        <v>0</v>
      </c>
      <c r="Q504" s="738" t="str" cm="1">
        <f t="array" aca="true" ref="Q5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4" s="760" t="str" cm="1">
        <f t="array" aca="true" ref="R5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4" s="733" cm="1">
        <f t="array" aca="true" ref="S504" ca="true">COUNTIFS('Unit-Level Data'!$L:$L, "&gt;=" &amp; ($X$2 - Q$5),
          'Unit-Level Data'!$L:$L, "&lt;" &amp; $X$2,
          'Unit-Level Data'!$D:$D, INDIRECT("C"&amp;ROW()),
          'Unit-Level Data'!$B:$B, INDIRECT("B"&amp;ROW()))</f>
        <v>0</v>
      </c>
      <c r="T504" s="738" t="str" cm="1">
        <f t="array" aca="true" ref="T5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4" s="760" t="str" cm="1">
        <f t="array" aca="true" ref="U5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4" s="733" cm="1">
        <f t="array" aca="true" ref="V504" ca="true">COUNTIFS('Unit-Level Data'!$L:$L, "&gt;=" &amp; ($X$2 - T$5),
          'Unit-Level Data'!$L:$L, "&lt;" &amp; $X$2,
          'Unit-Level Data'!$D:$D, INDIRECT("C"&amp;ROW()),
          'Unit-Level Data'!$B:$B, INDIRECT("B"&amp;ROW()))</f>
        <v>0</v>
      </c>
      <c r="W504" s="738" t="str" cm="1">
        <f t="array" aca="true" ref="W5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4" s="760" t="str" cm="1">
        <f t="array" aca="true" ref="X5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4" s="733" cm="1">
        <f t="array" aca="true" ref="Y504" ca="true">COUNTIFS('Unit-Level Data'!$L:$L, "&gt;=" &amp; ($X$2 - W$5),
          'Unit-Level Data'!$L:$L, "&lt;" &amp; $X$2,
          'Unit-Level Data'!$D:$D, INDIRECT("C"&amp;ROW()),
          'Unit-Level Data'!$B:$B, INDIRECT("B"&amp;ROW()))</f>
        <v>0</v>
      </c>
      <c r="Z504" s="761"/>
      <c r="AA504" s="735" cm="1">
        <f t="array" aca="true" ref="AA504" ca="true">IFERROR(AVERAGEIFS(
  unit_details[Sqft],
  unit_details[Property Name], INDIRECT("B"&amp;ROW()),
  unit_details[Floorplan Name], INDIRECT("C"&amp;ROW()),
  unit_details[Beds], INDIRECT("D"&amp;ROW()),
  unit_details[Detected Unit Amenities], "*"&amp;$AB$3&amp;"*",
  unit_details[Leased Date], "&gt;=" &amp; ($X$2 - $AD$3)
),0)</f>
        <v>0</v>
      </c>
      <c r="AB504" s="734" cm="1">
        <f t="array" aca="true" ref="AB5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4" s="733" cm="1">
        <f t="array" aca="true" ref="AC504" ca="true">IFERROR(COUNTIFS(
  unit_details[Property Name], INDIRECT("B"&amp;ROW()),
  unit_details[Floorplan Name], INDIRECT("C"&amp;ROW()),
  unit_details[Beds], INDIRECT("D"&amp;ROW()),
  unit_details[Detected Unit Amenities], "*"&amp;$AB$3&amp;"*",
  unit_details[Leased Date], "&gt;=" &amp; ($X$2 - $AD$3)
),0)</f>
        <v>0</v>
      </c>
      <c r="AD504" s="735" cm="1">
        <f t="array" aca="true" ref="AD504" ca="true">IFERROR(AVERAGEIFS(
  unit_details[Sqft],
  unit_details[Property Name], INDIRECT("B"&amp;ROW()),
  unit_details[Floorplan Name], INDIRECT("C"&amp;ROW()),
  unit_details[Beds], INDIRECT("D"&amp;ROW()),
  unit_details[Detected Unit Amenities], "&lt;&gt;*"&amp;$AB$3&amp;"*",
  unit_details[Leased Date], "&gt;=" &amp; ($X$2 - $AD$3)
),0)</f>
        <v>0</v>
      </c>
      <c r="AE504" s="734" cm="1">
        <f t="array" aca="true" ref="AE5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4" s="733" cm="1">
        <f t="array" aca="true" ref="AF504" ca="true">IFERROR(COUNTIFS(
  unit_details[Property Name], INDIRECT("B"&amp;ROW()),
  unit_details[Floorplan Name], INDIRECT("C"&amp;ROW()),
  unit_details[Beds], INDIRECT("D"&amp;ROW()),
  unit_details[Detected Unit Amenities], "&lt;&gt;*"&amp;$AB$3&amp;"*",
  unit_details[Leased Date], "&gt;=" &amp; ($X$2 - $AD$3)
),0)</f>
        <v>0</v>
      </c>
      <c r="AG504" s="735"/>
      <c r="AH504" s="738">
        <f t="shared" ca="true" si="16"/>
        <v>0</v>
      </c>
      <c r="AI504" s="739">
        <f t="shared" ca="true" si="17"/>
        <v>0</v>
      </c>
    </row>
    <row r="505" spans="10:35">
      <c r="J505" s="345"/>
      <c r="N505" s="738" t="str" cm="1">
        <f t="array" aca="true" ref="N505" ca="true">IFERROR(IF($O$3="Chunk Rent",
AVERAGEIFS('Unit-Level Data'!$O:$O,'Unit-Level Data'!$M:$M,TRUE,
          'Unit-Level Data'!$D:$D, INDIRECT("C"&amp;ROW()),
          'Unit-Level Data'!$B:$B, INDIRECT("B"&amp;ROW())),
AVERAGEIFS('Unit-Level Data'!$P:$P,'Unit-Level Data'!$M:$M,TRUE,
          'Unit-Level Data'!$D:$D, INDIRECT("C"&amp;ROW()),
          'Unit-Level Data'!$B:$B, INDIRECT("B"&amp;ROW()))),"")</f>
      </c>
      <c r="O505" s="760" t="str" cm="1">
        <f t="array" aca="true" ref="O505" ca="true">IFERROR(IF($O$3="Chunk Rent",
AVERAGEIFS('Unit-Level Data'!$Q:$Q,'Unit-Level Data'!$M:$M,TRUE,
          'Unit-Level Data'!$D:$D, INDIRECT("C"&amp;ROW()),
          'Unit-Level Data'!$B:$B, INDIRECT("B"&amp;ROW())),
AVERAGEIFS('Unit-Level Data'!$R:$R,'Unit-Level Data'!$M:$M,TRUE,
          'Unit-Level Data'!$D:$D, INDIRECT("C"&amp;ROW()),
          'Unit-Level Data'!$B:$B, INDIRECT("B"&amp;ROW()))),"")</f>
      </c>
      <c r="P505" s="733" cm="1">
        <f t="array" aca="true" ref="P505" ca="true">COUNTIFS('Unit-Level Data'!$M:$M,TRUE,
          'Unit-Level Data'!$D:$D, INDIRECT("C"&amp;ROW()),
          'Unit-Level Data'!$B:$B, INDIRECT("B"&amp;ROW()))</f>
        <v>0</v>
      </c>
      <c r="Q505" s="738" t="str" cm="1">
        <f t="array" aca="true" ref="Q5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5" s="760" t="str" cm="1">
        <f t="array" aca="true" ref="R5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5" s="733" cm="1">
        <f t="array" aca="true" ref="S505" ca="true">COUNTIFS('Unit-Level Data'!$L:$L, "&gt;=" &amp; ($X$2 - Q$5),
          'Unit-Level Data'!$L:$L, "&lt;" &amp; $X$2,
          'Unit-Level Data'!$D:$D, INDIRECT("C"&amp;ROW()),
          'Unit-Level Data'!$B:$B, INDIRECT("B"&amp;ROW()))</f>
        <v>0</v>
      </c>
      <c r="T505" s="738" t="str" cm="1">
        <f t="array" aca="true" ref="T5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5" s="760" t="str" cm="1">
        <f t="array" aca="true" ref="U5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5" s="733" cm="1">
        <f t="array" aca="true" ref="V505" ca="true">COUNTIFS('Unit-Level Data'!$L:$L, "&gt;=" &amp; ($X$2 - T$5),
          'Unit-Level Data'!$L:$L, "&lt;" &amp; $X$2,
          'Unit-Level Data'!$D:$D, INDIRECT("C"&amp;ROW()),
          'Unit-Level Data'!$B:$B, INDIRECT("B"&amp;ROW()))</f>
        <v>0</v>
      </c>
      <c r="W505" s="738" t="str" cm="1">
        <f t="array" aca="true" ref="W5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5" s="760" t="str" cm="1">
        <f t="array" aca="true" ref="X5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5" s="733" cm="1">
        <f t="array" aca="true" ref="Y505" ca="true">COUNTIFS('Unit-Level Data'!$L:$L, "&gt;=" &amp; ($X$2 - W$5),
          'Unit-Level Data'!$L:$L, "&lt;" &amp; $X$2,
          'Unit-Level Data'!$D:$D, INDIRECT("C"&amp;ROW()),
          'Unit-Level Data'!$B:$B, INDIRECT("B"&amp;ROW()))</f>
        <v>0</v>
      </c>
      <c r="Z505" s="761"/>
      <c r="AA505" s="735" cm="1">
        <f t="array" aca="true" ref="AA505" ca="true">IFERROR(AVERAGEIFS(
  unit_details[Sqft],
  unit_details[Property Name], INDIRECT("B"&amp;ROW()),
  unit_details[Floorplan Name], INDIRECT("C"&amp;ROW()),
  unit_details[Beds], INDIRECT("D"&amp;ROW()),
  unit_details[Detected Unit Amenities], "*"&amp;$AB$3&amp;"*",
  unit_details[Leased Date], "&gt;=" &amp; ($X$2 - $AD$3)
),0)</f>
        <v>0</v>
      </c>
      <c r="AB505" s="734" cm="1">
        <f t="array" aca="true" ref="AB5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5" s="733" cm="1">
        <f t="array" aca="true" ref="AC505" ca="true">IFERROR(COUNTIFS(
  unit_details[Property Name], INDIRECT("B"&amp;ROW()),
  unit_details[Floorplan Name], INDIRECT("C"&amp;ROW()),
  unit_details[Beds], INDIRECT("D"&amp;ROW()),
  unit_details[Detected Unit Amenities], "*"&amp;$AB$3&amp;"*",
  unit_details[Leased Date], "&gt;=" &amp; ($X$2 - $AD$3)
),0)</f>
        <v>0</v>
      </c>
      <c r="AD505" s="735" cm="1">
        <f t="array" aca="true" ref="AD505" ca="true">IFERROR(AVERAGEIFS(
  unit_details[Sqft],
  unit_details[Property Name], INDIRECT("B"&amp;ROW()),
  unit_details[Floorplan Name], INDIRECT("C"&amp;ROW()),
  unit_details[Beds], INDIRECT("D"&amp;ROW()),
  unit_details[Detected Unit Amenities], "&lt;&gt;*"&amp;$AB$3&amp;"*",
  unit_details[Leased Date], "&gt;=" &amp; ($X$2 - $AD$3)
),0)</f>
        <v>0</v>
      </c>
      <c r="AE505" s="734" cm="1">
        <f t="array" aca="true" ref="AE5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5" s="733" cm="1">
        <f t="array" aca="true" ref="AF505" ca="true">IFERROR(COUNTIFS(
  unit_details[Property Name], INDIRECT("B"&amp;ROW()),
  unit_details[Floorplan Name], INDIRECT("C"&amp;ROW()),
  unit_details[Beds], INDIRECT("D"&amp;ROW()),
  unit_details[Detected Unit Amenities], "&lt;&gt;*"&amp;$AB$3&amp;"*",
  unit_details[Leased Date], "&gt;=" &amp; ($X$2 - $AD$3)
),0)</f>
        <v>0</v>
      </c>
      <c r="AG505" s="735"/>
      <c r="AH505" s="738">
        <f t="shared" ca="true" si="16"/>
        <v>0</v>
      </c>
      <c r="AI505" s="739">
        <f t="shared" ca="true" si="17"/>
        <v>0</v>
      </c>
    </row>
    <row r="506" spans="10:35">
      <c r="J506" s="345"/>
      <c r="N506" s="738" t="str" cm="1">
        <f t="array" aca="true" ref="N506" ca="true">IFERROR(IF($O$3="Chunk Rent",
AVERAGEIFS('Unit-Level Data'!$O:$O,'Unit-Level Data'!$M:$M,TRUE,
          'Unit-Level Data'!$D:$D, INDIRECT("C"&amp;ROW()),
          'Unit-Level Data'!$B:$B, INDIRECT("B"&amp;ROW())),
AVERAGEIFS('Unit-Level Data'!$P:$P,'Unit-Level Data'!$M:$M,TRUE,
          'Unit-Level Data'!$D:$D, INDIRECT("C"&amp;ROW()),
          'Unit-Level Data'!$B:$B, INDIRECT("B"&amp;ROW()))),"")</f>
      </c>
      <c r="O506" s="760" t="str" cm="1">
        <f t="array" aca="true" ref="O506" ca="true">IFERROR(IF($O$3="Chunk Rent",
AVERAGEIFS('Unit-Level Data'!$Q:$Q,'Unit-Level Data'!$M:$M,TRUE,
          'Unit-Level Data'!$D:$D, INDIRECT("C"&amp;ROW()),
          'Unit-Level Data'!$B:$B, INDIRECT("B"&amp;ROW())),
AVERAGEIFS('Unit-Level Data'!$R:$R,'Unit-Level Data'!$M:$M,TRUE,
          'Unit-Level Data'!$D:$D, INDIRECT("C"&amp;ROW()),
          'Unit-Level Data'!$B:$B, INDIRECT("B"&amp;ROW()))),"")</f>
      </c>
      <c r="P506" s="733" cm="1">
        <f t="array" aca="true" ref="P506" ca="true">COUNTIFS('Unit-Level Data'!$M:$M,TRUE,
          'Unit-Level Data'!$D:$D, INDIRECT("C"&amp;ROW()),
          'Unit-Level Data'!$B:$B, INDIRECT("B"&amp;ROW()))</f>
        <v>0</v>
      </c>
      <c r="Q506" s="738" t="str" cm="1">
        <f t="array" aca="true" ref="Q5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6" s="760" t="str" cm="1">
        <f t="array" aca="true" ref="R5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6" s="733" cm="1">
        <f t="array" aca="true" ref="S506" ca="true">COUNTIFS('Unit-Level Data'!$L:$L, "&gt;=" &amp; ($X$2 - Q$5),
          'Unit-Level Data'!$L:$L, "&lt;" &amp; $X$2,
          'Unit-Level Data'!$D:$D, INDIRECT("C"&amp;ROW()),
          'Unit-Level Data'!$B:$B, INDIRECT("B"&amp;ROW()))</f>
        <v>0</v>
      </c>
      <c r="T506" s="738" t="str" cm="1">
        <f t="array" aca="true" ref="T5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6" s="760" t="str" cm="1">
        <f t="array" aca="true" ref="U5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6" s="733" cm="1">
        <f t="array" aca="true" ref="V506" ca="true">COUNTIFS('Unit-Level Data'!$L:$L, "&gt;=" &amp; ($X$2 - T$5),
          'Unit-Level Data'!$L:$L, "&lt;" &amp; $X$2,
          'Unit-Level Data'!$D:$D, INDIRECT("C"&amp;ROW()),
          'Unit-Level Data'!$B:$B, INDIRECT("B"&amp;ROW()))</f>
        <v>0</v>
      </c>
      <c r="W506" s="738" t="str" cm="1">
        <f t="array" aca="true" ref="W5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6" s="760" t="str" cm="1">
        <f t="array" aca="true" ref="X5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6" s="733" cm="1">
        <f t="array" aca="true" ref="Y506" ca="true">COUNTIFS('Unit-Level Data'!$L:$L, "&gt;=" &amp; ($X$2 - W$5),
          'Unit-Level Data'!$L:$L, "&lt;" &amp; $X$2,
          'Unit-Level Data'!$D:$D, INDIRECT("C"&amp;ROW()),
          'Unit-Level Data'!$B:$B, INDIRECT("B"&amp;ROW()))</f>
        <v>0</v>
      </c>
      <c r="Z506" s="761"/>
      <c r="AA506" s="735" cm="1">
        <f t="array" aca="true" ref="AA506" ca="true">IFERROR(AVERAGEIFS(
  unit_details[Sqft],
  unit_details[Property Name], INDIRECT("B"&amp;ROW()),
  unit_details[Floorplan Name], INDIRECT("C"&amp;ROW()),
  unit_details[Beds], INDIRECT("D"&amp;ROW()),
  unit_details[Detected Unit Amenities], "*"&amp;$AB$3&amp;"*",
  unit_details[Leased Date], "&gt;=" &amp; ($X$2 - $AD$3)
),0)</f>
        <v>0</v>
      </c>
      <c r="AB506" s="734" cm="1">
        <f t="array" aca="true" ref="AB5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6" s="733" cm="1">
        <f t="array" aca="true" ref="AC506" ca="true">IFERROR(COUNTIFS(
  unit_details[Property Name], INDIRECT("B"&amp;ROW()),
  unit_details[Floorplan Name], INDIRECT("C"&amp;ROW()),
  unit_details[Beds], INDIRECT("D"&amp;ROW()),
  unit_details[Detected Unit Amenities], "*"&amp;$AB$3&amp;"*",
  unit_details[Leased Date], "&gt;=" &amp; ($X$2 - $AD$3)
),0)</f>
        <v>0</v>
      </c>
      <c r="AD506" s="735" cm="1">
        <f t="array" aca="true" ref="AD506" ca="true">IFERROR(AVERAGEIFS(
  unit_details[Sqft],
  unit_details[Property Name], INDIRECT("B"&amp;ROW()),
  unit_details[Floorplan Name], INDIRECT("C"&amp;ROW()),
  unit_details[Beds], INDIRECT("D"&amp;ROW()),
  unit_details[Detected Unit Amenities], "&lt;&gt;*"&amp;$AB$3&amp;"*",
  unit_details[Leased Date], "&gt;=" &amp; ($X$2 - $AD$3)
),0)</f>
        <v>0</v>
      </c>
      <c r="AE506" s="734" cm="1">
        <f t="array" aca="true" ref="AE5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6" s="733" cm="1">
        <f t="array" aca="true" ref="AF506" ca="true">IFERROR(COUNTIFS(
  unit_details[Property Name], INDIRECT("B"&amp;ROW()),
  unit_details[Floorplan Name], INDIRECT("C"&amp;ROW()),
  unit_details[Beds], INDIRECT("D"&amp;ROW()),
  unit_details[Detected Unit Amenities], "&lt;&gt;*"&amp;$AB$3&amp;"*",
  unit_details[Leased Date], "&gt;=" &amp; ($X$2 - $AD$3)
),0)</f>
        <v>0</v>
      </c>
      <c r="AG506" s="735"/>
      <c r="AH506" s="738">
        <f t="shared" ca="true" si="16"/>
        <v>0</v>
      </c>
      <c r="AI506" s="739">
        <f t="shared" ca="true" si="17"/>
        <v>0</v>
      </c>
    </row>
  </sheetData>
  <mergeCells count="7">
    <mergeCell ref="AD5:AF5"/>
    <mergeCell ref="J5:M5"/>
    <mergeCell ref="X2:Y2"/>
    <mergeCell ref="AA5:AC5"/>
    <mergeCell ref="O3:P3"/>
    <mergeCell ref="O4:P4"/>
    <mergeCell ref="N5:P5"/>
  </mergeCells>
  <conditionalFormatting sqref="N7:O506">
    <cfRule type="cellIs" dxfId="8" priority="4" operator="lessThan">
      <formula>20</formula>
    </cfRule>
  </conditionalFormatting>
  <conditionalFormatting sqref="Q7:R506">
    <cfRule type="cellIs" dxfId="7" priority="3" operator="lessThan">
      <formula>20</formula>
    </cfRule>
  </conditionalFormatting>
  <conditionalFormatting sqref="T7:U506">
    <cfRule type="cellIs" dxfId="6" priority="2" operator="lessThan">
      <formula>20</formula>
    </cfRule>
  </conditionalFormatting>
  <conditionalFormatting sqref="W7:X506">
    <cfRule type="cellIs" dxfId="5" priority="1" operator="lessThan">
      <formula>20</formula>
    </cfRule>
  </conditionalFormatting>
  <conditionalFormatting sqref="AB7:AB506 AE7:AE506">
    <cfRule type="cellIs" dxfId="4" priority="7" operator="lessThan">
      <formula>20</formula>
    </cfRule>
  </conditionalFormatting>
  <conditionalFormatting sqref="AH7:AI506">
    <cfRule type="cellIs" dxfId="3" priority="5" operator="lessThan">
      <formula>0</formula>
    </cfRule>
    <cfRule type="cellIs" dxfId="2" priority="6" operator="greaterThan">
      <formula>0</formula>
    </cfRule>
  </conditionalFormatting>
  <dataValidations count="3">
    <dataValidation allowBlank="true" showErrorMessage="true" showInputMessage="true" sqref="AB3" type="list">
      <formula1>"[Select Amenity],Renovated,Corner_Unit,Balcony,View,Washer_Dryer,Walk_In_Closet"</formula1>
    </dataValidation>
    <dataValidation allowBlank="true" showErrorMessage="true" showInputMessage="true" sqref="AF3" type="list">
      <formula1>"Leased Rent,Effective Rent,Leased Rent PSF,NER PSF"</formula1>
    </dataValidation>
    <dataValidation allowBlank="true" showErrorMessage="true" showInputMessage="true" sqref="O3" type="list">
      <formula1>"Chunk Rent,Rent PSF"</formula1>
    </dataValidation>
  </dataValidations>
  <pageMargins left="0.25" right="0.25" top="0.75" bottom="0.75" header="0.3" footer="0.3"/>
  <pageSetup fitToHeight="0" r:id="rId1" orientation="landscape" scale="67"/>
  <headerFooter>
    <oddHeader>&amp;L&amp;"-,Bold"&amp;K4438CAMarket Analysis Report&amp;R&amp;"-,Bold"&amp;K4438CAAs of: &amp;D</oddHeader>
    <oddFooter>&amp;L&amp;"-,Bold"&amp;K4438CAHelloData.ai</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4723F-29EA-4662-8C1E-4490C8F76819}">
  <sheetPr codeName="Sheet11">
    <pageSetUpPr fitToPage="true"/>
  </sheetPr>
  <dimension ref="A1:W102"/>
  <sheetViews>
    <sheetView showGridLines="false" zoomScaleNormal="100" workbookViewId="0"/>
  </sheetViews>
  <sheetFormatPr defaultColWidth="8.7265625" defaultRowHeight="13"/>
  <cols>
    <col customWidth="true" max="1" min="1" style="7" width="2.6328125"/>
    <col bestFit="true" customWidth="true" max="2" min="2" style="7" width="40.1796875"/>
    <col customWidth="true" max="23" min="3" style="7" width="7.26953125"/>
    <col max="16384" min="24" style="7" width="8.7265625"/>
  </cols>
  <sheetData>
    <row r="1" spans="1:23" ht="8" customHeight="true"/>
    <row r="2" spans="1:23" ht="24" customHeight="true">
      <c r="A2" s="23"/>
      <c r="B2" s="702" t="s">
        <v>245</v>
      </c>
      <c r="C2" s="50"/>
      <c r="D2" s="50"/>
      <c r="E2" s="50"/>
      <c r="F2" s="50"/>
      <c r="G2" s="50"/>
      <c r="H2" s="50"/>
      <c r="I2" s="50"/>
      <c r="J2" s="50"/>
      <c r="K2" s="50"/>
      <c r="L2" s="50"/>
      <c r="M2" s="50"/>
      <c r="N2" s="50"/>
      <c r="O2" s="50"/>
      <c r="P2" s="50"/>
      <c r="Q2" s="50"/>
      <c r="R2" s="50"/>
      <c r="S2" s="50"/>
      <c r="T2" s="50"/>
      <c r="U2" s="50"/>
      <c r="V2" s="50"/>
      <c r="W2" s="50"/>
    </row>
    <row r="3" spans="1:23" ht="4" customHeight="true">
      <c r="A3" s="23"/>
      <c r="B3" s="13"/>
      <c r="C3" s="35"/>
      <c r="D3" s="36"/>
      <c r="E3" s="36"/>
      <c r="F3" s="36"/>
      <c r="G3" s="36"/>
      <c r="H3" s="36"/>
      <c r="I3" s="36"/>
      <c r="J3" s="36"/>
      <c r="K3" s="36"/>
      <c r="L3" s="36"/>
      <c r="M3" s="36"/>
      <c r="N3" s="36"/>
      <c r="O3" s="36"/>
      <c r="P3" s="36"/>
      <c r="Q3" s="36"/>
      <c r="R3" s="36"/>
      <c r="S3" s="36"/>
      <c r="T3" s="36"/>
      <c r="U3" s="36"/>
      <c r="V3" s="36"/>
      <c r="W3" s="36"/>
    </row>
    <row r="4" spans="1:23" ht="144" customHeight="true">
      <c r="A4" s="23"/>
      <c r="B4" s="13" t="s">
        <v>21</v>
      </c>
      <c r="C4" s="35" t="s">
        <v>1214</v>
      </c>
      <c r="D4" s="36" t="s">
        <v>1216</v>
      </c>
      <c r="E4" s="36" t="s">
        <v>1217</v>
      </c>
      <c r="F4" s="36" t="s">
        <v>1218</v>
      </c>
      <c r="G4" s="36" t="s">
        <v>1219</v>
      </c>
      <c r="H4" s="36" t="s">
        <v>1220</v>
      </c>
      <c r="I4" s="36" t="s">
        <v>1221</v>
      </c>
      <c r="J4" s="36" t="s">
        <v>1222</v>
      </c>
      <c r="K4" s="36"/>
      <c r="L4" s="36"/>
      <c r="M4" s="36"/>
      <c r="N4" s="36"/>
      <c r="O4" s="36"/>
      <c r="P4" s="36"/>
      <c r="Q4" s="36"/>
      <c r="R4" s="36"/>
      <c r="S4" s="36"/>
      <c r="T4" s="36"/>
      <c r="U4" s="36"/>
      <c r="V4" s="36"/>
      <c r="W4" s="36"/>
    </row>
    <row r="5" spans="1:23" ht="4" customHeight="true">
      <c r="A5" s="23"/>
      <c r="B5" s="13"/>
      <c r="C5" s="35"/>
      <c r="D5" s="36"/>
      <c r="E5" s="36"/>
      <c r="F5" s="36"/>
      <c r="G5" s="36"/>
      <c r="H5" s="36"/>
      <c r="I5" s="36"/>
      <c r="J5" s="36"/>
      <c r="K5" s="36"/>
      <c r="L5" s="36"/>
      <c r="M5" s="36"/>
      <c r="N5" s="36"/>
      <c r="O5" s="36"/>
      <c r="P5" s="36"/>
      <c r="Q5" s="36"/>
      <c r="R5" s="36"/>
      <c r="S5" s="36"/>
      <c r="T5" s="36"/>
      <c r="U5" s="36"/>
      <c r="V5" s="36"/>
      <c r="W5" s="36"/>
    </row>
    <row r="6" spans="1:23" ht="2.15" customHeight="true">
      <c r="A6" s="23"/>
      <c r="B6" s="25"/>
      <c r="C6" s="37"/>
      <c r="D6" s="37"/>
      <c r="E6" s="37"/>
      <c r="F6" s="37"/>
      <c r="G6" s="37"/>
      <c r="H6" s="37"/>
      <c r="I6" s="37"/>
      <c r="J6" s="37"/>
      <c r="K6" s="37"/>
      <c r="L6" s="37"/>
      <c r="M6" s="37"/>
      <c r="N6" s="37"/>
      <c r="O6" s="37"/>
      <c r="P6" s="37"/>
      <c r="Q6" s="37"/>
      <c r="R6" s="37"/>
      <c r="S6" s="37"/>
      <c r="T6" s="37"/>
      <c r="U6" s="37"/>
      <c r="V6" s="37"/>
      <c r="W6" s="37"/>
    </row>
    <row r="7" spans="1:23" hidden="true">
      <c r="A7" s="23"/>
      <c r="B7" s="28"/>
      <c r="C7" s="38" t="s">
        <v>2811</v>
      </c>
      <c r="D7" s="11" t="s">
        <v>2812</v>
      </c>
      <c r="E7" s="11" t="s">
        <v>2813</v>
      </c>
      <c r="F7" s="11" t="s">
        <v>2814</v>
      </c>
      <c r="G7" s="11" t="s">
        <v>2815</v>
      </c>
      <c r="H7" s="11" t="s">
        <v>2816</v>
      </c>
      <c r="I7" s="11" t="s">
        <v>2817</v>
      </c>
      <c r="J7" s="11" t="s">
        <v>2818</v>
      </c>
      <c r="K7" s="11"/>
      <c r="L7" s="11"/>
      <c r="M7" s="11"/>
      <c r="N7" s="11"/>
      <c r="O7" s="11"/>
      <c r="P7" s="11"/>
      <c r="Q7" s="11"/>
      <c r="R7" s="11"/>
      <c r="S7" s="11"/>
      <c r="T7" s="11"/>
      <c r="U7" s="11"/>
      <c r="V7" s="11"/>
      <c r="W7" s="11"/>
    </row>
    <row r="8" spans="1:23">
      <c r="A8" s="23"/>
      <c r="B8" s="32" t="s">
        <v>246</v>
      </c>
      <c r="C8" s="12">
        <v>25</v>
      </c>
      <c r="D8" s="31">
        <v>25</v>
      </c>
      <c r="E8" s="31">
        <v>25</v>
      </c>
      <c r="F8" s="31">
        <v>25</v>
      </c>
      <c r="G8" s="31">
        <v>30</v>
      </c>
      <c r="H8" s="31">
        <v>50</v>
      </c>
      <c r="I8" s="31">
        <v>25</v>
      </c>
      <c r="J8" s="31">
        <v>25</v>
      </c>
      <c r="K8" s="11"/>
      <c r="L8" s="11"/>
      <c r="M8" s="11"/>
      <c r="N8" s="11"/>
      <c r="O8" s="11"/>
      <c r="P8" s="11"/>
      <c r="Q8" s="11"/>
      <c r="R8" s="11"/>
      <c r="S8" s="11"/>
      <c r="T8" s="11"/>
      <c r="U8" s="11"/>
      <c r="V8" s="11"/>
      <c r="W8" s="11"/>
    </row>
    <row r="9" spans="1:23">
      <c r="A9" s="23"/>
      <c r="B9" s="32" t="s">
        <v>247</v>
      </c>
      <c r="C9" s="12"/>
      <c r="D9" s="31"/>
      <c r="E9" s="31"/>
      <c r="F9" s="31"/>
      <c r="G9" s="31"/>
      <c r="H9" s="31"/>
      <c r="I9" s="31"/>
      <c r="J9" s="31"/>
      <c r="K9" s="11"/>
      <c r="L9" s="11"/>
      <c r="M9" s="11"/>
      <c r="N9" s="11"/>
      <c r="O9" s="11"/>
      <c r="P9" s="11"/>
      <c r="Q9" s="11"/>
      <c r="R9" s="11"/>
      <c r="S9" s="11"/>
      <c r="T9" s="11"/>
      <c r="U9" s="11"/>
      <c r="V9" s="11"/>
      <c r="W9" s="11"/>
    </row>
    <row r="10" spans="1:23">
      <c r="A10" s="23"/>
      <c r="B10" s="32" t="s">
        <v>248</v>
      </c>
      <c r="C10" s="12"/>
      <c r="D10" s="31"/>
      <c r="E10" s="31"/>
      <c r="F10" s="31"/>
      <c r="G10" s="31"/>
      <c r="H10" s="31"/>
      <c r="I10" s="31"/>
      <c r="J10" s="31"/>
      <c r="K10" s="11"/>
      <c r="L10" s="11"/>
      <c r="M10" s="11"/>
      <c r="N10" s="11"/>
      <c r="O10" s="11"/>
      <c r="P10" s="11"/>
      <c r="Q10" s="11"/>
      <c r="R10" s="11"/>
      <c r="S10" s="11"/>
      <c r="T10" s="11"/>
      <c r="U10" s="11"/>
      <c r="V10" s="11"/>
      <c r="W10" s="11"/>
    </row>
    <row r="11" spans="1:23">
      <c r="A11" s="23"/>
      <c r="B11" s="34" t="s">
        <v>252</v>
      </c>
      <c r="C11" s="39"/>
      <c r="D11" s="39"/>
      <c r="E11" s="39"/>
      <c r="F11" s="39"/>
      <c r="G11" s="39"/>
      <c r="H11" s="39"/>
      <c r="I11" s="39"/>
      <c r="J11" s="39"/>
      <c r="K11" s="39"/>
      <c r="L11" s="39"/>
      <c r="M11" s="39"/>
      <c r="N11" s="39"/>
      <c r="O11" s="39"/>
      <c r="P11" s="39"/>
      <c r="Q11" s="39"/>
      <c r="R11" s="39"/>
      <c r="S11" s="39"/>
      <c r="T11" s="39"/>
      <c r="U11" s="39"/>
      <c r="V11" s="39"/>
      <c r="W11" s="39"/>
    </row>
    <row r="12" spans="1:23">
      <c r="A12" s="23"/>
      <c r="B12" s="33" t="s">
        <v>253</v>
      </c>
      <c r="C12" s="12">
        <v>25</v>
      </c>
      <c r="D12" s="31">
        <v>25</v>
      </c>
      <c r="E12" s="31">
        <v>35</v>
      </c>
      <c r="F12" s="31"/>
      <c r="G12" s="31">
        <v>40</v>
      </c>
      <c r="H12" s="31"/>
      <c r="I12" s="31">
        <v>40</v>
      </c>
      <c r="J12" s="31">
        <v>50</v>
      </c>
      <c r="K12" s="11"/>
      <c r="L12" s="11"/>
      <c r="M12" s="11"/>
      <c r="N12" s="11"/>
      <c r="O12" s="11"/>
      <c r="P12" s="11"/>
      <c r="Q12" s="11"/>
      <c r="R12" s="11"/>
      <c r="S12" s="11"/>
      <c r="T12" s="11"/>
      <c r="U12" s="11"/>
      <c r="V12" s="11"/>
      <c r="W12" s="11"/>
    </row>
    <row r="13" spans="1:23">
      <c r="A13" s="23"/>
      <c r="B13" s="33" t="s">
        <v>254</v>
      </c>
      <c r="C13" s="12">
        <v>25</v>
      </c>
      <c r="D13" s="31">
        <v>25</v>
      </c>
      <c r="E13" s="31">
        <v>35</v>
      </c>
      <c r="F13" s="31"/>
      <c r="G13" s="31">
        <v>40</v>
      </c>
      <c r="H13" s="31"/>
      <c r="I13" s="31">
        <v>40</v>
      </c>
      <c r="J13" s="31">
        <v>50</v>
      </c>
      <c r="K13" s="11"/>
      <c r="L13" s="11"/>
      <c r="M13" s="11"/>
      <c r="N13" s="11"/>
      <c r="O13" s="11"/>
      <c r="P13" s="11"/>
      <c r="Q13" s="11"/>
      <c r="R13" s="11"/>
      <c r="S13" s="11"/>
      <c r="T13" s="11"/>
      <c r="U13" s="11"/>
      <c r="V13" s="11"/>
      <c r="W13" s="11"/>
    </row>
    <row r="14" spans="1:23">
      <c r="A14" s="23"/>
      <c r="B14" s="33" t="s">
        <v>255</v>
      </c>
      <c r="C14" s="12">
        <v>250</v>
      </c>
      <c r="D14" s="31">
        <v>250</v>
      </c>
      <c r="E14" s="31">
        <v>350</v>
      </c>
      <c r="F14" s="31"/>
      <c r="G14" s="31">
        <v>300</v>
      </c>
      <c r="H14" s="31"/>
      <c r="I14" s="31">
        <v>375</v>
      </c>
      <c r="J14" s="31">
        <v>250</v>
      </c>
      <c r="K14" s="11"/>
      <c r="L14" s="11"/>
      <c r="M14" s="11"/>
      <c r="N14" s="11"/>
      <c r="O14" s="11"/>
      <c r="P14" s="11"/>
      <c r="Q14" s="11"/>
      <c r="R14" s="11"/>
      <c r="S14" s="11"/>
      <c r="T14" s="11"/>
      <c r="U14" s="11"/>
      <c r="V14" s="11"/>
      <c r="W14" s="11"/>
    </row>
    <row r="15" spans="1:23">
      <c r="A15" s="23"/>
      <c r="B15" s="33" t="s">
        <v>256</v>
      </c>
      <c r="C15" s="12">
        <v>350</v>
      </c>
      <c r="D15" s="31">
        <v>250</v>
      </c>
      <c r="E15" s="31">
        <v>350</v>
      </c>
      <c r="F15" s="31"/>
      <c r="G15" s="31">
        <v>300</v>
      </c>
      <c r="H15" s="31"/>
      <c r="I15" s="31">
        <v>375</v>
      </c>
      <c r="J15" s="31">
        <v>250</v>
      </c>
      <c r="K15" s="11"/>
      <c r="L15" s="11"/>
      <c r="M15" s="11"/>
      <c r="N15" s="11"/>
      <c r="O15" s="11"/>
      <c r="P15" s="11"/>
      <c r="Q15" s="11"/>
      <c r="R15" s="11"/>
      <c r="S15" s="11"/>
      <c r="T15" s="11"/>
      <c r="U15" s="11"/>
      <c r="V15" s="11"/>
      <c r="W15" s="11"/>
    </row>
    <row r="16" spans="1:23">
      <c r="A16" s="23"/>
      <c r="B16" s="33" t="s">
        <v>257</v>
      </c>
      <c r="C16" s="12"/>
      <c r="D16" s="31"/>
      <c r="E16" s="31"/>
      <c r="F16" s="31"/>
      <c r="G16" s="31">
        <v>300</v>
      </c>
      <c r="H16" s="31"/>
      <c r="I16" s="31"/>
      <c r="J16" s="31">
        <v>250</v>
      </c>
      <c r="K16" s="11"/>
      <c r="L16" s="11"/>
      <c r="M16" s="11"/>
      <c r="N16" s="11"/>
      <c r="O16" s="11"/>
      <c r="P16" s="11"/>
      <c r="Q16" s="11"/>
      <c r="R16" s="11"/>
      <c r="S16" s="11"/>
      <c r="T16" s="11"/>
      <c r="U16" s="11"/>
      <c r="V16" s="11"/>
      <c r="W16" s="11"/>
    </row>
    <row r="17" spans="1:23">
      <c r="A17" s="23"/>
      <c r="B17" s="33" t="s">
        <v>258</v>
      </c>
      <c r="C17" s="12">
        <v>200</v>
      </c>
      <c r="D17" s="31"/>
      <c r="E17" s="31"/>
      <c r="F17" s="31"/>
      <c r="G17" s="31">
        <v>300</v>
      </c>
      <c r="H17" s="31"/>
      <c r="I17" s="31"/>
      <c r="J17" s="31">
        <v>250</v>
      </c>
      <c r="K17" s="11"/>
      <c r="L17" s="11"/>
      <c r="M17" s="11"/>
      <c r="N17" s="11"/>
      <c r="O17" s="11"/>
      <c r="P17" s="11"/>
      <c r="Q17" s="11"/>
      <c r="R17" s="11"/>
      <c r="S17" s="11"/>
      <c r="T17" s="11"/>
      <c r="U17" s="11"/>
      <c r="V17" s="11"/>
      <c r="W17" s="11"/>
    </row>
    <row r="18" spans="1:23">
      <c r="A18" s="23"/>
      <c r="B18" s="34" t="s">
        <v>276</v>
      </c>
      <c r="C18" s="39"/>
      <c r="D18" s="39"/>
      <c r="E18" s="39"/>
      <c r="F18" s="39"/>
      <c r="G18" s="39"/>
      <c r="H18" s="39"/>
      <c r="I18" s="39"/>
      <c r="J18" s="39"/>
      <c r="K18" s="39"/>
      <c r="L18" s="39"/>
      <c r="M18" s="39"/>
      <c r="N18" s="39"/>
      <c r="O18" s="39"/>
      <c r="P18" s="39"/>
      <c r="Q18" s="39"/>
      <c r="R18" s="39"/>
      <c r="S18" s="39"/>
      <c r="T18" s="39"/>
      <c r="U18" s="39"/>
      <c r="V18" s="39"/>
      <c r="W18" s="39"/>
    </row>
    <row r="19" spans="1:23">
      <c r="A19" s="23"/>
      <c r="B19" s="33" t="s">
        <v>273</v>
      </c>
      <c r="C19" s="12"/>
      <c r="D19" s="31"/>
      <c r="E19" s="31"/>
      <c r="F19" s="31"/>
      <c r="G19" s="31"/>
      <c r="H19" s="31"/>
      <c r="I19" s="31"/>
      <c r="J19" s="31"/>
      <c r="K19" s="11"/>
      <c r="L19" s="11"/>
      <c r="M19" s="11"/>
      <c r="N19" s="11"/>
      <c r="O19" s="11"/>
      <c r="P19" s="11"/>
      <c r="Q19" s="11"/>
      <c r="R19" s="11"/>
      <c r="S19" s="11"/>
      <c r="T19" s="11"/>
      <c r="U19" s="11"/>
      <c r="V19" s="11"/>
      <c r="W19" s="11"/>
    </row>
    <row r="20" spans="1:23">
      <c r="A20" s="23"/>
      <c r="B20" s="33" t="s">
        <v>274</v>
      </c>
      <c r="C20" s="12"/>
      <c r="D20" s="31"/>
      <c r="E20" s="31"/>
      <c r="F20" s="31"/>
      <c r="G20" s="31"/>
      <c r="H20" s="31"/>
      <c r="I20" s="31"/>
      <c r="J20" s="31"/>
      <c r="K20" s="11"/>
      <c r="L20" s="11"/>
      <c r="M20" s="11"/>
      <c r="N20" s="11"/>
      <c r="O20" s="11"/>
      <c r="P20" s="11"/>
      <c r="Q20" s="11"/>
      <c r="R20" s="11"/>
      <c r="S20" s="11"/>
      <c r="T20" s="11"/>
      <c r="U20" s="11"/>
      <c r="V20" s="11"/>
      <c r="W20" s="11"/>
    </row>
    <row r="21" spans="1:23">
      <c r="A21" s="23"/>
      <c r="B21" s="32" t="s">
        <v>275</v>
      </c>
      <c r="C21" s="12"/>
      <c r="D21" s="31"/>
      <c r="E21" s="31"/>
      <c r="F21" s="31"/>
      <c r="G21" s="31"/>
      <c r="H21" s="31"/>
      <c r="I21" s="31"/>
      <c r="J21" s="31"/>
      <c r="K21" s="11"/>
      <c r="L21" s="11"/>
      <c r="M21" s="11"/>
      <c r="N21" s="11"/>
      <c r="O21" s="11"/>
      <c r="P21" s="11"/>
      <c r="Q21" s="11"/>
      <c r="R21" s="11"/>
      <c r="S21" s="11"/>
      <c r="T21" s="11"/>
      <c r="U21" s="11"/>
      <c r="V21" s="11"/>
      <c r="W21" s="11"/>
    </row>
    <row r="22"/>
    <row r="23" spans="1:23" ht="21">
      <c r="B23" s="702" t="s">
        <v>241</v>
      </c>
      <c r="C23" s="49"/>
      <c r="D23" s="49"/>
      <c r="E23" s="49"/>
      <c r="F23" s="49"/>
      <c r="G23" s="49"/>
      <c r="H23" s="49"/>
      <c r="I23" s="49"/>
      <c r="J23" s="49"/>
      <c r="K23" s="49"/>
      <c r="L23" s="49"/>
      <c r="M23" s="49"/>
      <c r="N23" s="49"/>
      <c r="O23" s="49"/>
      <c r="P23" s="49"/>
      <c r="Q23" s="49"/>
      <c r="R23" s="49"/>
      <c r="S23" s="49"/>
      <c r="T23" s="49"/>
      <c r="U23" s="49"/>
      <c r="V23" s="49"/>
      <c r="W23" s="49"/>
    </row>
    <row r="24" spans="1:23">
      <c r="B24" s="13"/>
      <c r="C24" s="14"/>
      <c r="D24" s="15"/>
      <c r="E24" s="15"/>
      <c r="F24" s="15"/>
      <c r="G24" s="15"/>
      <c r="H24" s="15"/>
      <c r="I24" s="15"/>
      <c r="J24" s="15"/>
      <c r="K24" s="15"/>
      <c r="L24" s="15"/>
      <c r="M24" s="15"/>
      <c r="N24" s="15"/>
      <c r="O24" s="15"/>
      <c r="P24" s="15"/>
      <c r="Q24" s="15"/>
      <c r="R24" s="15"/>
      <c r="S24" s="15"/>
      <c r="T24" s="15"/>
      <c r="U24" s="15"/>
      <c r="V24" s="15"/>
      <c r="W24" s="15"/>
    </row>
    <row r="25" spans="1:23" ht="155">
      <c r="B25" s="13" t="s">
        <v>21</v>
      </c>
      <c r="C25" s="14" t="s">
        <v>1214</v>
      </c>
      <c r="D25" s="15" t="s">
        <v>1216</v>
      </c>
      <c r="E25" s="15" t="s">
        <v>1217</v>
      </c>
      <c r="F25" s="15" t="s">
        <v>1218</v>
      </c>
      <c r="G25" s="15" t="s">
        <v>1219</v>
      </c>
      <c r="H25" s="15" t="s">
        <v>1220</v>
      </c>
      <c r="I25" s="15" t="s">
        <v>1221</v>
      </c>
      <c r="J25" s="15" t="s">
        <v>1222</v>
      </c>
      <c r="K25" s="15"/>
      <c r="L25" s="15"/>
      <c r="M25" s="15"/>
      <c r="N25" s="15"/>
      <c r="O25" s="15"/>
      <c r="P25" s="15"/>
      <c r="Q25" s="15"/>
      <c r="R25" s="15"/>
      <c r="S25" s="15"/>
      <c r="T25" s="15"/>
      <c r="U25" s="15"/>
      <c r="V25" s="15"/>
      <c r="W25" s="15"/>
    </row>
    <row r="26" spans="1:23">
      <c r="B26" s="13"/>
      <c r="C26" s="14"/>
      <c r="D26" s="15"/>
      <c r="E26" s="15"/>
      <c r="F26" s="15"/>
      <c r="G26" s="15"/>
      <c r="H26" s="15"/>
      <c r="I26" s="15"/>
      <c r="J26" s="15"/>
      <c r="K26" s="15"/>
      <c r="L26" s="15"/>
      <c r="M26" s="15"/>
      <c r="N26" s="15"/>
      <c r="O26" s="15"/>
      <c r="P26" s="15"/>
      <c r="Q26" s="15"/>
      <c r="R26" s="15"/>
      <c r="S26" s="15"/>
      <c r="T26" s="15"/>
      <c r="U26" s="15"/>
      <c r="V26" s="15"/>
      <c r="W26" s="15"/>
    </row>
    <row r="27" spans="1:23">
      <c r="B27" s="25"/>
      <c r="C27" s="26"/>
      <c r="D27" s="26"/>
      <c r="E27" s="26"/>
      <c r="F27" s="26"/>
      <c r="G27" s="26"/>
      <c r="H27" s="26"/>
      <c r="I27" s="26"/>
      <c r="J27" s="26"/>
      <c r="K27" s="26"/>
      <c r="L27" s="26"/>
      <c r="M27" s="26"/>
      <c r="N27" s="26"/>
      <c r="O27" s="26"/>
      <c r="P27" s="26"/>
      <c r="Q27" s="26"/>
      <c r="R27" s="26"/>
      <c r="S27" s="26"/>
      <c r="T27" s="26"/>
      <c r="U27" s="26"/>
      <c r="V27" s="26"/>
      <c r="W27" s="26"/>
    </row>
    <row r="28" spans="1:23" ht="12.75" hidden="true" customHeight="true">
      <c r="B28" s="28"/>
      <c r="C28" s="22" t="s">
        <v>2811</v>
      </c>
      <c r="D28" s="10" t="s">
        <v>2812</v>
      </c>
      <c r="E28" s="10" t="s">
        <v>2813</v>
      </c>
      <c r="F28" s="10" t="s">
        <v>2814</v>
      </c>
      <c r="G28" s="10" t="s">
        <v>2815</v>
      </c>
      <c r="H28" s="10" t="s">
        <v>2816</v>
      </c>
      <c r="I28" s="10" t="s">
        <v>2817</v>
      </c>
      <c r="J28" s="10" t="s">
        <v>2818</v>
      </c>
      <c r="K28" s="10"/>
      <c r="L28" s="10"/>
      <c r="M28" s="10"/>
      <c r="N28" s="10"/>
      <c r="O28" s="10"/>
      <c r="P28" s="10"/>
      <c r="Q28" s="10"/>
      <c r="R28" s="10"/>
      <c r="S28" s="10"/>
      <c r="T28" s="10"/>
      <c r="U28" s="10"/>
      <c r="V28" s="10"/>
      <c r="W28" s="10"/>
    </row>
    <row r="29" spans="1:23">
      <c r="B29" s="23" t="s">
        <v>195</v>
      </c>
      <c r="C29" s="22" t="str">
        <f t="shared" ref="C29:W29" si="0">IFERROR(IF(SEARCH("24_hour_maintenance",C$28)&gt;0,"X",""),"")</f>
      </c>
      <c r="D29" s="10" t="str">
        <f t="shared" si="0"/>
      </c>
      <c r="E29" s="10" t="str">
        <f t="shared" si="0"/>
      </c>
      <c r="F29" s="10" t="str">
        <f t="shared" si="0"/>
      </c>
      <c r="G29" s="10" t="str">
        <f t="shared" si="0"/>
      </c>
      <c r="H29" s="10" t="str">
        <f t="shared" si="0"/>
      </c>
      <c r="I29" s="10" t="str">
        <f t="shared" si="0"/>
      </c>
      <c r="J29" s="10" t="str">
        <f t="shared" si="0"/>
      </c>
      <c r="K29" s="10" t="str">
        <f t="shared" si="0"/>
      </c>
      <c r="L29" s="10" t="str">
        <f t="shared" si="0"/>
      </c>
      <c r="M29" s="10" t="str">
        <f t="shared" si="0"/>
      </c>
      <c r="N29" s="10" t="str">
        <f t="shared" si="0"/>
      </c>
      <c r="O29" s="10" t="str">
        <f t="shared" si="0"/>
      </c>
      <c r="P29" s="10" t="str">
        <f t="shared" si="0"/>
      </c>
      <c r="Q29" s="10" t="str">
        <f t="shared" si="0"/>
      </c>
      <c r="R29" s="10" t="str">
        <f t="shared" si="0"/>
      </c>
      <c r="S29" s="10" t="str">
        <f t="shared" si="0"/>
      </c>
      <c r="T29" s="10" t="str">
        <f t="shared" si="0"/>
      </c>
      <c r="U29" s="10" t="str">
        <f t="shared" si="0"/>
      </c>
      <c r="V29" s="10" t="str">
        <f t="shared" si="0"/>
      </c>
      <c r="W29" s="10" t="str">
        <f t="shared" si="0"/>
      </c>
    </row>
    <row r="30" spans="1:23">
      <c r="B30" s="23" t="s">
        <v>196</v>
      </c>
      <c r="C30" s="22" t="str">
        <f t="shared" ref="C30:W30" si="1">IFERROR(IF(SEARCH("grill",C$28)&gt;0,"X",""),"")</f>
      </c>
      <c r="D30" s="10" t="str">
        <f t="shared" si="1"/>
      </c>
      <c r="E30" s="10" t="str">
        <f t="shared" si="1"/>
      </c>
      <c r="F30" s="10" t="str">
        <f t="shared" si="1"/>
      </c>
      <c r="G30" s="10" t="str">
        <f t="shared" si="1"/>
      </c>
      <c r="H30" s="10" t="str">
        <f t="shared" si="1"/>
      </c>
      <c r="I30" s="10" t="str">
        <f t="shared" si="1"/>
      </c>
      <c r="J30" s="10" t="str">
        <f t="shared" si="1"/>
      </c>
      <c r="K30" s="10" t="str">
        <f t="shared" si="1"/>
      </c>
      <c r="L30" s="10" t="str">
        <f t="shared" si="1"/>
      </c>
      <c r="M30" s="10" t="str">
        <f t="shared" si="1"/>
      </c>
      <c r="N30" s="10" t="str">
        <f t="shared" si="1"/>
      </c>
      <c r="O30" s="10" t="str">
        <f t="shared" si="1"/>
      </c>
      <c r="P30" s="10" t="str">
        <f t="shared" si="1"/>
      </c>
      <c r="Q30" s="10" t="str">
        <f t="shared" si="1"/>
      </c>
      <c r="R30" s="10" t="str">
        <f t="shared" si="1"/>
      </c>
      <c r="S30" s="10" t="str">
        <f t="shared" si="1"/>
      </c>
      <c r="T30" s="10" t="str">
        <f t="shared" si="1"/>
      </c>
      <c r="U30" s="10" t="str">
        <f t="shared" si="1"/>
      </c>
      <c r="V30" s="10" t="str">
        <f t="shared" si="1"/>
      </c>
      <c r="W30" s="10" t="str">
        <f t="shared" si="1"/>
      </c>
    </row>
    <row r="31" spans="1:23">
      <c r="B31" s="23" t="s">
        <v>197</v>
      </c>
      <c r="C31" s="22" t="str">
        <f t="shared" ref="C31:W31" si="2">IFERROR(IF(SEARCH("bike",C$28)&gt;0,"X",""),"")</f>
      </c>
      <c r="D31" s="10" t="str">
        <f t="shared" si="2"/>
      </c>
      <c r="E31" s="10" t="str">
        <f t="shared" si="2"/>
      </c>
      <c r="F31" s="10" t="str">
        <f t="shared" si="2"/>
      </c>
      <c r="G31" s="10" t="str">
        <f t="shared" si="2"/>
      </c>
      <c r="H31" s="10" t="str">
        <f t="shared" si="2"/>
      </c>
      <c r="I31" s="10" t="str">
        <f t="shared" si="2"/>
      </c>
      <c r="J31" s="10" t="str">
        <f t="shared" si="2"/>
      </c>
      <c r="K31" s="10" t="str">
        <f t="shared" si="2"/>
      </c>
      <c r="L31" s="10" t="str">
        <f t="shared" si="2"/>
      </c>
      <c r="M31" s="10" t="str">
        <f t="shared" si="2"/>
      </c>
      <c r="N31" s="10" t="str">
        <f t="shared" si="2"/>
      </c>
      <c r="O31" s="10" t="str">
        <f t="shared" si="2"/>
      </c>
      <c r="P31" s="10" t="str">
        <f t="shared" si="2"/>
      </c>
      <c r="Q31" s="10" t="str">
        <f t="shared" si="2"/>
      </c>
      <c r="R31" s="10" t="str">
        <f t="shared" si="2"/>
      </c>
      <c r="S31" s="10" t="str">
        <f t="shared" si="2"/>
      </c>
      <c r="T31" s="10" t="str">
        <f t="shared" si="2"/>
      </c>
      <c r="U31" s="10" t="str">
        <f t="shared" si="2"/>
      </c>
      <c r="V31" s="10" t="str">
        <f t="shared" si="2"/>
      </c>
      <c r="W31" s="10" t="str">
        <f t="shared" si="2"/>
      </c>
    </row>
    <row r="32" spans="1:23">
      <c r="B32" s="23" t="s">
        <v>198</v>
      </c>
      <c r="C32" s="22" t="str">
        <f t="shared" ref="C32:W32" si="3">IFERROR(IF(SEARCH("business",C$28)&gt;0,"X",""),"")</f>
      </c>
      <c r="D32" s="10" t="str">
        <f t="shared" si="3"/>
      </c>
      <c r="E32" s="10" t="str">
        <f t="shared" si="3"/>
      </c>
      <c r="F32" s="10" t="str">
        <f t="shared" si="3"/>
      </c>
      <c r="G32" s="10" t="str">
        <f t="shared" si="3"/>
      </c>
      <c r="H32" s="10" t="str">
        <f t="shared" si="3"/>
      </c>
      <c r="I32" s="10" t="str">
        <f t="shared" si="3"/>
      </c>
      <c r="J32" s="10" t="str">
        <f t="shared" si="3"/>
      </c>
      <c r="K32" s="10" t="str">
        <f t="shared" si="3"/>
      </c>
      <c r="L32" s="10" t="str">
        <f t="shared" si="3"/>
      </c>
      <c r="M32" s="10" t="str">
        <f t="shared" si="3"/>
      </c>
      <c r="N32" s="10" t="str">
        <f t="shared" si="3"/>
      </c>
      <c r="O32" s="10" t="str">
        <f t="shared" si="3"/>
      </c>
      <c r="P32" s="10" t="str">
        <f t="shared" si="3"/>
      </c>
      <c r="Q32" s="10" t="str">
        <f t="shared" si="3"/>
      </c>
      <c r="R32" s="10" t="str">
        <f t="shared" si="3"/>
      </c>
      <c r="S32" s="10" t="str">
        <f t="shared" si="3"/>
      </c>
      <c r="T32" s="10" t="str">
        <f t="shared" si="3"/>
      </c>
      <c r="U32" s="10" t="str">
        <f t="shared" si="3"/>
      </c>
      <c r="V32" s="10" t="str">
        <f t="shared" si="3"/>
      </c>
      <c r="W32" s="10" t="str">
        <f t="shared" si="3"/>
      </c>
    </row>
    <row r="33" spans="2:23">
      <c r="B33" s="23" t="s">
        <v>199</v>
      </c>
      <c r="C33" s="22" t="str">
        <f t="shared" ref="C33:W33" si="4">IFERROR(IF(SEARCH("wifi",C$28)&gt;0,"X",""),"")</f>
      </c>
      <c r="D33" s="10" t="str">
        <f t="shared" si="4"/>
      </c>
      <c r="E33" s="10" t="str">
        <f t="shared" si="4"/>
      </c>
      <c r="F33" s="10" t="str">
        <f t="shared" si="4"/>
      </c>
      <c r="G33" s="10" t="str">
        <f t="shared" si="4"/>
      </c>
      <c r="H33" s="10" t="str">
        <f t="shared" si="4"/>
      </c>
      <c r="I33" s="10" t="str">
        <f t="shared" si="4"/>
      </c>
      <c r="J33" s="10" t="str">
        <f t="shared" si="4"/>
      </c>
      <c r="K33" s="10" t="str">
        <f t="shared" si="4"/>
      </c>
      <c r="L33" s="10" t="str">
        <f t="shared" si="4"/>
      </c>
      <c r="M33" s="10" t="str">
        <f t="shared" si="4"/>
      </c>
      <c r="N33" s="10" t="str">
        <f t="shared" si="4"/>
      </c>
      <c r="O33" s="10" t="str">
        <f t="shared" si="4"/>
      </c>
      <c r="P33" s="10" t="str">
        <f t="shared" si="4"/>
      </c>
      <c r="Q33" s="10" t="str">
        <f t="shared" si="4"/>
      </c>
      <c r="R33" s="10" t="str">
        <f t="shared" si="4"/>
      </c>
      <c r="S33" s="10" t="str">
        <f t="shared" si="4"/>
      </c>
      <c r="T33" s="10" t="str">
        <f t="shared" si="4"/>
      </c>
      <c r="U33" s="10" t="str">
        <f t="shared" si="4"/>
      </c>
      <c r="V33" s="10" t="str">
        <f t="shared" si="4"/>
      </c>
      <c r="W33" s="10" t="str">
        <f t="shared" si="4"/>
      </c>
    </row>
    <row r="34" spans="2:23">
      <c r="B34" s="23" t="s">
        <v>200</v>
      </c>
      <c r="C34" s="22" t="str">
        <f t="shared" ref="C34:W34" si="5">IFERROR(IF(SEARCH("concierge",C$28)&gt;0,"X",""),"")</f>
      </c>
      <c r="D34" s="10" t="str">
        <f t="shared" si="5"/>
      </c>
      <c r="E34" s="10" t="str">
        <f t="shared" si="5"/>
      </c>
      <c r="F34" s="10" t="str">
        <f t="shared" si="5"/>
      </c>
      <c r="G34" s="10" t="str">
        <f t="shared" si="5"/>
      </c>
      <c r="H34" s="10" t="str">
        <f t="shared" si="5"/>
      </c>
      <c r="I34" s="10" t="str">
        <f t="shared" si="5"/>
      </c>
      <c r="J34" s="10" t="str">
        <f t="shared" si="5"/>
      </c>
      <c r="K34" s="10" t="str">
        <f t="shared" si="5"/>
      </c>
      <c r="L34" s="10" t="str">
        <f t="shared" si="5"/>
      </c>
      <c r="M34" s="10" t="str">
        <f t="shared" si="5"/>
      </c>
      <c r="N34" s="10" t="str">
        <f t="shared" si="5"/>
      </c>
      <c r="O34" s="10" t="str">
        <f t="shared" si="5"/>
      </c>
      <c r="P34" s="10" t="str">
        <f t="shared" si="5"/>
      </c>
      <c r="Q34" s="10" t="str">
        <f t="shared" si="5"/>
      </c>
      <c r="R34" s="10" t="str">
        <f t="shared" si="5"/>
      </c>
      <c r="S34" s="10" t="str">
        <f t="shared" si="5"/>
      </c>
      <c r="T34" s="10" t="str">
        <f t="shared" si="5"/>
      </c>
      <c r="U34" s="10" t="str">
        <f t="shared" si="5"/>
      </c>
      <c r="V34" s="10" t="str">
        <f t="shared" si="5"/>
      </c>
      <c r="W34" s="10" t="str">
        <f t="shared" si="5"/>
      </c>
    </row>
    <row r="35" spans="2:23">
      <c r="B35" s="23" t="s">
        <v>201</v>
      </c>
      <c r="C35" s="22" t="str">
        <f t="shared" ref="C35:W35" si="6">IFERROR(IF(SEARCH("controlled",C$28)&gt;0,"X",""),"")</f>
      </c>
      <c r="D35" s="10" t="str">
        <f t="shared" si="6"/>
      </c>
      <c r="E35" s="10" t="str">
        <f t="shared" si="6"/>
      </c>
      <c r="F35" s="10" t="str">
        <f t="shared" si="6"/>
      </c>
      <c r="G35" s="10" t="str">
        <f t="shared" si="6"/>
      </c>
      <c r="H35" s="10" t="str">
        <f t="shared" si="6"/>
      </c>
      <c r="I35" s="10" t="str">
        <f t="shared" si="6"/>
      </c>
      <c r="J35" s="10" t="str">
        <f t="shared" si="6"/>
      </c>
      <c r="K35" s="10" t="str">
        <f t="shared" si="6"/>
      </c>
      <c r="L35" s="10" t="str">
        <f t="shared" si="6"/>
      </c>
      <c r="M35" s="10" t="str">
        <f t="shared" si="6"/>
      </c>
      <c r="N35" s="10" t="str">
        <f t="shared" si="6"/>
      </c>
      <c r="O35" s="10" t="str">
        <f t="shared" si="6"/>
      </c>
      <c r="P35" s="10" t="str">
        <f t="shared" si="6"/>
      </c>
      <c r="Q35" s="10" t="str">
        <f t="shared" si="6"/>
      </c>
      <c r="R35" s="10" t="str">
        <f t="shared" si="6"/>
      </c>
      <c r="S35" s="10" t="str">
        <f t="shared" si="6"/>
      </c>
      <c r="T35" s="10" t="str">
        <f t="shared" si="6"/>
      </c>
      <c r="U35" s="10" t="str">
        <f t="shared" si="6"/>
      </c>
      <c r="V35" s="10" t="str">
        <f t="shared" si="6"/>
      </c>
      <c r="W35" s="10" t="str">
        <f t="shared" si="6"/>
      </c>
    </row>
    <row r="36" spans="2:23">
      <c r="B36" s="23" t="s">
        <v>202</v>
      </c>
      <c r="C36" s="22" t="str">
        <f t="shared" ref="C36:W36" si="7">IFERROR(IF(SEARCH("charging",C$28)&gt;0,"X",""),"")</f>
      </c>
      <c r="D36" s="10" t="str">
        <f t="shared" si="7"/>
      </c>
      <c r="E36" s="10" t="str">
        <f t="shared" si="7"/>
      </c>
      <c r="F36" s="10" t="str">
        <f t="shared" si="7"/>
      </c>
      <c r="G36" s="10" t="str">
        <f t="shared" si="7"/>
      </c>
      <c r="H36" s="10" t="str">
        <f t="shared" si="7"/>
      </c>
      <c r="I36" s="10" t="str">
        <f t="shared" si="7"/>
      </c>
      <c r="J36" s="10" t="str">
        <f t="shared" si="7"/>
      </c>
      <c r="K36" s="10" t="str">
        <f t="shared" si="7"/>
      </c>
      <c r="L36" s="10" t="str">
        <f t="shared" si="7"/>
      </c>
      <c r="M36" s="10" t="str">
        <f t="shared" si="7"/>
      </c>
      <c r="N36" s="10" t="str">
        <f t="shared" si="7"/>
      </c>
      <c r="O36" s="10" t="str">
        <f t="shared" si="7"/>
      </c>
      <c r="P36" s="10" t="str">
        <f t="shared" si="7"/>
      </c>
      <c r="Q36" s="10" t="str">
        <f t="shared" si="7"/>
      </c>
      <c r="R36" s="10" t="str">
        <f t="shared" si="7"/>
      </c>
      <c r="S36" s="10" t="str">
        <f t="shared" si="7"/>
      </c>
      <c r="T36" s="10" t="str">
        <f t="shared" si="7"/>
      </c>
      <c r="U36" s="10" t="str">
        <f t="shared" si="7"/>
      </c>
      <c r="V36" s="10" t="str">
        <f t="shared" si="7"/>
      </c>
      <c r="W36" s="10" t="str">
        <f t="shared" si="7"/>
      </c>
    </row>
    <row r="37" spans="2:23">
      <c r="B37" s="23" t="s">
        <v>203</v>
      </c>
      <c r="C37" s="22" t="str">
        <f t="shared" ref="C37:W37" si="8">IFERROR(IF(SEARCH("additional_storage_space",C$28)&gt;0,"X",""),"")</f>
      </c>
      <c r="D37" s="10" t="str">
        <f t="shared" si="8"/>
      </c>
      <c r="E37" s="10" t="str">
        <f t="shared" si="8"/>
      </c>
      <c r="F37" s="10" t="str">
        <f t="shared" si="8"/>
      </c>
      <c r="G37" s="10" t="str">
        <f t="shared" si="8"/>
      </c>
      <c r="H37" s="10" t="str">
        <f t="shared" si="8"/>
      </c>
      <c r="I37" s="10" t="str">
        <f t="shared" si="8"/>
      </c>
      <c r="J37" s="10" t="str">
        <f t="shared" si="8"/>
      </c>
      <c r="K37" s="10" t="str">
        <f t="shared" si="8"/>
      </c>
      <c r="L37" s="10" t="str">
        <f t="shared" si="8"/>
      </c>
      <c r="M37" s="10" t="str">
        <f t="shared" si="8"/>
      </c>
      <c r="N37" s="10" t="str">
        <f t="shared" si="8"/>
      </c>
      <c r="O37" s="10" t="str">
        <f t="shared" si="8"/>
      </c>
      <c r="P37" s="10" t="str">
        <f t="shared" si="8"/>
      </c>
      <c r="Q37" s="10" t="str">
        <f t="shared" si="8"/>
      </c>
      <c r="R37" s="10" t="str">
        <f t="shared" si="8"/>
      </c>
      <c r="S37" s="10" t="str">
        <f t="shared" si="8"/>
      </c>
      <c r="T37" s="10" t="str">
        <f t="shared" si="8"/>
      </c>
      <c r="U37" s="10" t="str">
        <f t="shared" si="8"/>
      </c>
      <c r="V37" s="10" t="str">
        <f t="shared" si="8"/>
      </c>
      <c r="W37" s="10" t="str">
        <f t="shared" si="8"/>
      </c>
    </row>
    <row r="38" spans="2:23">
      <c r="B38" s="23" t="s">
        <v>204</v>
      </c>
      <c r="C38" s="22" t="str">
        <f t="shared" ref="C38:W38" si="9">IFERROR(IF(SEARCH("firepit",C$28)&gt;0,"X",""),"")</f>
      </c>
      <c r="D38" s="10" t="str">
        <f t="shared" si="9"/>
      </c>
      <c r="E38" s="10" t="str">
        <f t="shared" si="9"/>
      </c>
      <c r="F38" s="10" t="str">
        <f t="shared" si="9"/>
      </c>
      <c r="G38" s="10" t="str">
        <f t="shared" si="9"/>
      </c>
      <c r="H38" s="10" t="str">
        <f t="shared" si="9"/>
      </c>
      <c r="I38" s="10" t="str">
        <f t="shared" si="9"/>
      </c>
      <c r="J38" s="10" t="str">
        <f t="shared" si="9"/>
      </c>
      <c r="K38" s="10" t="str">
        <f t="shared" si="9"/>
      </c>
      <c r="L38" s="10" t="str">
        <f t="shared" si="9"/>
      </c>
      <c r="M38" s="10" t="str">
        <f t="shared" si="9"/>
      </c>
      <c r="N38" s="10" t="str">
        <f t="shared" si="9"/>
      </c>
      <c r="O38" s="10" t="str">
        <f t="shared" si="9"/>
      </c>
      <c r="P38" s="10" t="str">
        <f t="shared" si="9"/>
      </c>
      <c r="Q38" s="10" t="str">
        <f t="shared" si="9"/>
      </c>
      <c r="R38" s="10" t="str">
        <f t="shared" si="9"/>
      </c>
      <c r="S38" s="10" t="str">
        <f t="shared" si="9"/>
      </c>
      <c r="T38" s="10" t="str">
        <f t="shared" si="9"/>
      </c>
      <c r="U38" s="10" t="str">
        <f t="shared" si="9"/>
      </c>
      <c r="V38" s="10" t="str">
        <f t="shared" si="9"/>
      </c>
      <c r="W38" s="10" t="str">
        <f t="shared" si="9"/>
      </c>
    </row>
    <row r="39" spans="2:23">
      <c r="B39" s="23" t="s">
        <v>185</v>
      </c>
      <c r="C39" s="22" t="str">
        <f t="shared" ref="C39:W39" si="10">IFERROR(IF(SEARCH("fitness_center",C$28)&gt;0,"X",""),"")</f>
      </c>
      <c r="D39" s="10" t="str">
        <f t="shared" si="10"/>
      </c>
      <c r="E39" s="10" t="str">
        <f t="shared" si="10"/>
      </c>
      <c r="F39" s="10" t="str">
        <f t="shared" si="10"/>
      </c>
      <c r="G39" s="10" t="str">
        <f t="shared" si="10"/>
      </c>
      <c r="H39" s="10" t="str">
        <f t="shared" si="10"/>
      </c>
      <c r="I39" s="10" t="str">
        <f t="shared" si="10"/>
      </c>
      <c r="J39" s="10" t="str">
        <f t="shared" si="10"/>
      </c>
      <c r="K39" s="10" t="str">
        <f t="shared" si="10"/>
      </c>
      <c r="L39" s="10" t="str">
        <f t="shared" si="10"/>
      </c>
      <c r="M39" s="10" t="str">
        <f t="shared" si="10"/>
      </c>
      <c r="N39" s="10" t="str">
        <f t="shared" si="10"/>
      </c>
      <c r="O39" s="10" t="str">
        <f t="shared" si="10"/>
      </c>
      <c r="P39" s="10" t="str">
        <f t="shared" si="10"/>
      </c>
      <c r="Q39" s="10" t="str">
        <f t="shared" si="10"/>
      </c>
      <c r="R39" s="10" t="str">
        <f t="shared" si="10"/>
      </c>
      <c r="S39" s="10" t="str">
        <f t="shared" si="10"/>
      </c>
      <c r="T39" s="10" t="str">
        <f t="shared" si="10"/>
      </c>
      <c r="U39" s="10" t="str">
        <f t="shared" si="10"/>
      </c>
      <c r="V39" s="10" t="str">
        <f t="shared" si="10"/>
      </c>
      <c r="W39" s="10" t="str">
        <f t="shared" si="10"/>
      </c>
    </row>
    <row r="40" spans="2:23">
      <c r="B40" s="23" t="s">
        <v>205</v>
      </c>
      <c r="C40" s="22" t="str">
        <f t="shared" ref="C40:W40" si="11">IFERROR(IF(SEARCH("laundry_room",C$28)&gt;0,"X",""),"")</f>
      </c>
      <c r="D40" s="10" t="str">
        <f t="shared" si="11"/>
      </c>
      <c r="E40" s="10" t="str">
        <f t="shared" si="11"/>
      </c>
      <c r="F40" s="10" t="str">
        <f t="shared" si="11"/>
      </c>
      <c r="G40" s="10" t="str">
        <f t="shared" si="11"/>
      </c>
      <c r="H40" s="10" t="str">
        <f t="shared" si="11"/>
      </c>
      <c r="I40" s="10" t="str">
        <f t="shared" si="11"/>
      </c>
      <c r="J40" s="10" t="str">
        <f t="shared" si="11"/>
      </c>
      <c r="K40" s="10" t="str">
        <f t="shared" si="11"/>
      </c>
      <c r="L40" s="10" t="str">
        <f t="shared" si="11"/>
      </c>
      <c r="M40" s="10" t="str">
        <f t="shared" si="11"/>
      </c>
      <c r="N40" s="10" t="str">
        <f t="shared" si="11"/>
      </c>
      <c r="O40" s="10" t="str">
        <f t="shared" si="11"/>
      </c>
      <c r="P40" s="10" t="str">
        <f t="shared" si="11"/>
      </c>
      <c r="Q40" s="10" t="str">
        <f t="shared" si="11"/>
      </c>
      <c r="R40" s="10" t="str">
        <f t="shared" si="11"/>
      </c>
      <c r="S40" s="10" t="str">
        <f t="shared" si="11"/>
      </c>
      <c r="T40" s="10" t="str">
        <f t="shared" si="11"/>
      </c>
      <c r="U40" s="10" t="str">
        <f t="shared" si="11"/>
      </c>
      <c r="V40" s="10" t="str">
        <f t="shared" si="11"/>
      </c>
      <c r="W40" s="10" t="str">
        <f t="shared" si="11"/>
      </c>
    </row>
    <row r="41" spans="2:23">
      <c r="B41" s="23" t="s">
        <v>206</v>
      </c>
      <c r="C41" s="22" t="str">
        <f t="shared" ref="C41:W41" si="12">IFERROR(IF(SEARCH("laundry_service",C$28)&gt;0,"X",""),"")</f>
      </c>
      <c r="D41" s="10" t="str">
        <f t="shared" si="12"/>
      </c>
      <c r="E41" s="10" t="str">
        <f t="shared" si="12"/>
      </c>
      <c r="F41" s="10" t="str">
        <f t="shared" si="12"/>
      </c>
      <c r="G41" s="10" t="str">
        <f t="shared" si="12"/>
      </c>
      <c r="H41" s="10" t="str">
        <f t="shared" si="12"/>
      </c>
      <c r="I41" s="10" t="str">
        <f t="shared" si="12"/>
      </c>
      <c r="J41" s="10" t="str">
        <f t="shared" si="12"/>
      </c>
      <c r="K41" s="10" t="str">
        <f t="shared" si="12"/>
      </c>
      <c r="L41" s="10" t="str">
        <f t="shared" si="12"/>
      </c>
      <c r="M41" s="10" t="str">
        <f t="shared" si="12"/>
      </c>
      <c r="N41" s="10" t="str">
        <f t="shared" si="12"/>
      </c>
      <c r="O41" s="10" t="str">
        <f t="shared" si="12"/>
      </c>
      <c r="P41" s="10" t="str">
        <f t="shared" si="12"/>
      </c>
      <c r="Q41" s="10" t="str">
        <f t="shared" si="12"/>
      </c>
      <c r="R41" s="10" t="str">
        <f t="shared" si="12"/>
      </c>
      <c r="S41" s="10" t="str">
        <f t="shared" si="12"/>
      </c>
      <c r="T41" s="10" t="str">
        <f t="shared" si="12"/>
      </c>
      <c r="U41" s="10" t="str">
        <f t="shared" si="12"/>
      </c>
      <c r="V41" s="10" t="str">
        <f t="shared" si="12"/>
      </c>
      <c r="W41" s="10" t="str">
        <f t="shared" si="12"/>
      </c>
    </row>
    <row r="42" spans="2:23">
      <c r="B42" s="23" t="s">
        <v>207</v>
      </c>
      <c r="C42" s="22" t="str">
        <f t="shared" ref="C42:W42" si="13">IFERROR(IF(SEARCH("online_payment",C$28)&gt;0,"X",""),"")</f>
      </c>
      <c r="D42" s="10" t="str">
        <f t="shared" si="13"/>
      </c>
      <c r="E42" s="10" t="str">
        <f t="shared" si="13"/>
      </c>
      <c r="F42" s="10" t="str">
        <f t="shared" si="13"/>
      </c>
      <c r="G42" s="10" t="str">
        <f t="shared" si="13"/>
      </c>
      <c r="H42" s="10" t="str">
        <f t="shared" si="13"/>
      </c>
      <c r="I42" s="10" t="str">
        <f t="shared" si="13"/>
      </c>
      <c r="J42" s="10" t="str">
        <f t="shared" si="13"/>
      </c>
      <c r="K42" s="10" t="str">
        <f t="shared" si="13"/>
      </c>
      <c r="L42" s="10" t="str">
        <f t="shared" si="13"/>
      </c>
      <c r="M42" s="10" t="str">
        <f t="shared" si="13"/>
      </c>
      <c r="N42" s="10" t="str">
        <f t="shared" si="13"/>
      </c>
      <c r="O42" s="10" t="str">
        <f t="shared" si="13"/>
      </c>
      <c r="P42" s="10" t="str">
        <f t="shared" si="13"/>
      </c>
      <c r="Q42" s="10" t="str">
        <f t="shared" si="13"/>
      </c>
      <c r="R42" s="10" t="str">
        <f t="shared" si="13"/>
      </c>
      <c r="S42" s="10" t="str">
        <f t="shared" si="13"/>
      </c>
      <c r="T42" s="10" t="str">
        <f t="shared" si="13"/>
      </c>
      <c r="U42" s="10" t="str">
        <f t="shared" si="13"/>
      </c>
      <c r="V42" s="10" t="str">
        <f t="shared" si="13"/>
      </c>
      <c r="W42" s="10" t="str">
        <f t="shared" si="13"/>
      </c>
    </row>
    <row r="43" spans="2:23">
      <c r="B43" s="23" t="s">
        <v>208</v>
      </c>
      <c r="C43" s="22" t="str">
        <f t="shared" ref="C43:W43" si="14">IFERROR(IF(SEARCH("party",C$28)&gt;0,"X",""),"")</f>
      </c>
      <c r="D43" s="10" t="str">
        <f t="shared" si="14"/>
      </c>
      <c r="E43" s="10" t="str">
        <f t="shared" si="14"/>
      </c>
      <c r="F43" s="10" t="str">
        <f t="shared" si="14"/>
      </c>
      <c r="G43" s="10" t="str">
        <f t="shared" si="14"/>
      </c>
      <c r="H43" s="10" t="str">
        <f t="shared" si="14"/>
      </c>
      <c r="I43" s="10" t="str">
        <f t="shared" si="14"/>
      </c>
      <c r="J43" s="10" t="str">
        <f t="shared" si="14"/>
      </c>
      <c r="K43" s="10" t="str">
        <f t="shared" si="14"/>
      </c>
      <c r="L43" s="10" t="str">
        <f t="shared" si="14"/>
      </c>
      <c r="M43" s="10" t="str">
        <f t="shared" si="14"/>
      </c>
      <c r="N43" s="10" t="str">
        <f t="shared" si="14"/>
      </c>
      <c r="O43" s="10" t="str">
        <f t="shared" si="14"/>
      </c>
      <c r="P43" s="10" t="str">
        <f t="shared" si="14"/>
      </c>
      <c r="Q43" s="10" t="str">
        <f t="shared" si="14"/>
      </c>
      <c r="R43" s="10" t="str">
        <f t="shared" si="14"/>
      </c>
      <c r="S43" s="10" t="str">
        <f t="shared" si="14"/>
      </c>
      <c r="T43" s="10" t="str">
        <f t="shared" si="14"/>
      </c>
      <c r="U43" s="10" t="str">
        <f t="shared" si="14"/>
      </c>
      <c r="V43" s="10" t="str">
        <f t="shared" si="14"/>
      </c>
      <c r="W43" s="10" t="str">
        <f t="shared" si="14"/>
      </c>
    </row>
    <row r="44" spans="2:23">
      <c r="B44" s="23" t="s">
        <v>209</v>
      </c>
      <c r="C44" s="22" t="str">
        <f t="shared" ref="C44:W44" si="15">IFERROR(IF(SEARCH("package_receiving",C$28)&gt;0,"X",""),"")</f>
      </c>
      <c r="D44" s="10" t="str">
        <f t="shared" si="15"/>
      </c>
      <c r="E44" s="10" t="str">
        <f t="shared" si="15"/>
      </c>
      <c r="F44" s="10" t="str">
        <f t="shared" si="15"/>
      </c>
      <c r="G44" s="10" t="str">
        <f t="shared" si="15"/>
      </c>
      <c r="H44" s="10" t="str">
        <f t="shared" si="15"/>
      </c>
      <c r="I44" s="10" t="str">
        <f t="shared" si="15"/>
      </c>
      <c r="J44" s="10" t="str">
        <f t="shared" si="15"/>
      </c>
      <c r="K44" s="10" t="str">
        <f t="shared" si="15"/>
      </c>
      <c r="L44" s="10" t="str">
        <f t="shared" si="15"/>
      </c>
      <c r="M44" s="10" t="str">
        <f t="shared" si="15"/>
      </c>
      <c r="N44" s="10" t="str">
        <f t="shared" si="15"/>
      </c>
      <c r="O44" s="10" t="str">
        <f t="shared" si="15"/>
      </c>
      <c r="P44" s="10" t="str">
        <f t="shared" si="15"/>
      </c>
      <c r="Q44" s="10" t="str">
        <f t="shared" si="15"/>
      </c>
      <c r="R44" s="10" t="str">
        <f t="shared" si="15"/>
      </c>
      <c r="S44" s="10" t="str">
        <f t="shared" si="15"/>
      </c>
      <c r="T44" s="10" t="str">
        <f t="shared" si="15"/>
      </c>
      <c r="U44" s="10" t="str">
        <f t="shared" si="15"/>
      </c>
      <c r="V44" s="10" t="str">
        <f t="shared" si="15"/>
      </c>
      <c r="W44" s="10" t="str">
        <f t="shared" si="15"/>
      </c>
    </row>
    <row r="45" spans="2:23">
      <c r="B45" s="23" t="s">
        <v>210</v>
      </c>
      <c r="C45" s="22" t="str">
        <f t="shared" ref="C45:W45" si="16">IFERROR(IF(SEARCH("playground",C$28)&gt;0,"X",""),"")</f>
      </c>
      <c r="D45" s="10" t="str">
        <f t="shared" si="16"/>
      </c>
      <c r="E45" s="10" t="str">
        <f t="shared" si="16"/>
      </c>
      <c r="F45" s="10" t="str">
        <f t="shared" si="16"/>
      </c>
      <c r="G45" s="10" t="str">
        <f t="shared" si="16"/>
      </c>
      <c r="H45" s="10" t="str">
        <f t="shared" si="16"/>
      </c>
      <c r="I45" s="10" t="str">
        <f t="shared" si="16"/>
      </c>
      <c r="J45" s="10" t="str">
        <f t="shared" si="16"/>
      </c>
      <c r="K45" s="10" t="str">
        <f t="shared" si="16"/>
      </c>
      <c r="L45" s="10" t="str">
        <f t="shared" si="16"/>
      </c>
      <c r="M45" s="10" t="str">
        <f t="shared" si="16"/>
      </c>
      <c r="N45" s="10" t="str">
        <f t="shared" si="16"/>
      </c>
      <c r="O45" s="10" t="str">
        <f t="shared" si="16"/>
      </c>
      <c r="P45" s="10" t="str">
        <f t="shared" si="16"/>
      </c>
      <c r="Q45" s="10" t="str">
        <f t="shared" si="16"/>
      </c>
      <c r="R45" s="10" t="str">
        <f t="shared" si="16"/>
      </c>
      <c r="S45" s="10" t="str">
        <f t="shared" si="16"/>
      </c>
      <c r="T45" s="10" t="str">
        <f t="shared" si="16"/>
      </c>
      <c r="U45" s="10" t="str">
        <f t="shared" si="16"/>
      </c>
      <c r="V45" s="10" t="str">
        <f t="shared" si="16"/>
      </c>
      <c r="W45" s="10" t="str">
        <f t="shared" si="16"/>
      </c>
    </row>
    <row r="46" spans="2:23">
      <c r="B46" s="23" t="s">
        <v>211</v>
      </c>
      <c r="C46" s="22" t="str">
        <f t="shared" ref="C46:W46" si="17">IFERROR(IF(SEARCH("swimming_pool",C$28)&gt;0,"X",""),"")</f>
      </c>
      <c r="D46" s="10" t="str">
        <f t="shared" si="17"/>
      </c>
      <c r="E46" s="10" t="str">
        <f t="shared" si="17"/>
      </c>
      <c r="F46" s="10" t="str">
        <f t="shared" si="17"/>
      </c>
      <c r="G46" s="10" t="str">
        <f t="shared" si="17"/>
      </c>
      <c r="H46" s="10" t="str">
        <f t="shared" si="17"/>
      </c>
      <c r="I46" s="10" t="str">
        <f t="shared" si="17"/>
      </c>
      <c r="J46" s="10" t="str">
        <f t="shared" si="17"/>
      </c>
      <c r="K46" s="10" t="str">
        <f t="shared" si="17"/>
      </c>
      <c r="L46" s="10" t="str">
        <f t="shared" si="17"/>
      </c>
      <c r="M46" s="10" t="str">
        <f t="shared" si="17"/>
      </c>
      <c r="N46" s="10" t="str">
        <f t="shared" si="17"/>
      </c>
      <c r="O46" s="10" t="str">
        <f t="shared" si="17"/>
      </c>
      <c r="P46" s="10" t="str">
        <f t="shared" si="17"/>
      </c>
      <c r="Q46" s="10" t="str">
        <f t="shared" si="17"/>
      </c>
      <c r="R46" s="10" t="str">
        <f t="shared" si="17"/>
      </c>
      <c r="S46" s="10" t="str">
        <f t="shared" si="17"/>
      </c>
      <c r="T46" s="10" t="str">
        <f t="shared" si="17"/>
      </c>
      <c r="U46" s="10" t="str">
        <f t="shared" si="17"/>
      </c>
      <c r="V46" s="10" t="str">
        <f t="shared" si="17"/>
      </c>
      <c r="W46" s="10" t="str">
        <f t="shared" si="17"/>
      </c>
    </row>
    <row r="47" spans="2:23">
      <c r="B47" s="23" t="s">
        <v>212</v>
      </c>
      <c r="C47" s="22" t="str">
        <f t="shared" ref="C47:W47" si="18">IFERROR(IF(SEARCH("reserved_parking",C$28)&gt;0,"X",""),"")</f>
      </c>
      <c r="D47" s="10" t="str">
        <f t="shared" si="18"/>
      </c>
      <c r="E47" s="10" t="str">
        <f t="shared" si="18"/>
      </c>
      <c r="F47" s="10" t="str">
        <f t="shared" si="18"/>
      </c>
      <c r="G47" s="10" t="str">
        <f t="shared" si="18"/>
      </c>
      <c r="H47" s="10" t="str">
        <f t="shared" si="18"/>
      </c>
      <c r="I47" s="10" t="str">
        <f t="shared" si="18"/>
      </c>
      <c r="J47" s="10" t="str">
        <f t="shared" si="18"/>
      </c>
      <c r="K47" s="10" t="str">
        <f t="shared" si="18"/>
      </c>
      <c r="L47" s="10" t="str">
        <f t="shared" si="18"/>
      </c>
      <c r="M47" s="10" t="str">
        <f t="shared" si="18"/>
      </c>
      <c r="N47" s="10" t="str">
        <f t="shared" si="18"/>
      </c>
      <c r="O47" s="10" t="str">
        <f t="shared" si="18"/>
      </c>
      <c r="P47" s="10" t="str">
        <f t="shared" si="18"/>
      </c>
      <c r="Q47" s="10" t="str">
        <f t="shared" si="18"/>
      </c>
      <c r="R47" s="10" t="str">
        <f t="shared" si="18"/>
      </c>
      <c r="S47" s="10" t="str">
        <f t="shared" si="18"/>
      </c>
      <c r="T47" s="10" t="str">
        <f t="shared" si="18"/>
      </c>
      <c r="U47" s="10" t="str">
        <f t="shared" si="18"/>
      </c>
      <c r="V47" s="10" t="str">
        <f t="shared" si="18"/>
      </c>
      <c r="W47" s="10" t="str">
        <f t="shared" si="18"/>
      </c>
    </row>
    <row r="48" spans="2:23">
      <c r="B48" s="23" t="s">
        <v>213</v>
      </c>
      <c r="C48" s="22" t="str">
        <f t="shared" ref="C48:W48" si="19">IFERROR(IF(SEARCH("rooftop",C$28)&gt;0,"X",""),"")</f>
      </c>
      <c r="D48" s="10" t="str">
        <f t="shared" si="19"/>
      </c>
      <c r="E48" s="10" t="str">
        <f t="shared" si="19"/>
      </c>
      <c r="F48" s="10" t="str">
        <f t="shared" si="19"/>
      </c>
      <c r="G48" s="10" t="str">
        <f t="shared" si="19"/>
      </c>
      <c r="H48" s="10" t="str">
        <f t="shared" si="19"/>
      </c>
      <c r="I48" s="10" t="str">
        <f t="shared" si="19"/>
      </c>
      <c r="J48" s="10" t="str">
        <f t="shared" si="19"/>
      </c>
      <c r="K48" s="10" t="str">
        <f t="shared" si="19"/>
      </c>
      <c r="L48" s="10" t="str">
        <f t="shared" si="19"/>
      </c>
      <c r="M48" s="10" t="str">
        <f t="shared" si="19"/>
      </c>
      <c r="N48" s="10" t="str">
        <f t="shared" si="19"/>
      </c>
      <c r="O48" s="10" t="str">
        <f t="shared" si="19"/>
      </c>
      <c r="P48" s="10" t="str">
        <f t="shared" si="19"/>
      </c>
      <c r="Q48" s="10" t="str">
        <f t="shared" si="19"/>
      </c>
      <c r="R48" s="10" t="str">
        <f t="shared" si="19"/>
      </c>
      <c r="S48" s="10" t="str">
        <f t="shared" si="19"/>
      </c>
      <c r="T48" s="10" t="str">
        <f t="shared" si="19"/>
      </c>
      <c r="U48" s="10" t="str">
        <f t="shared" si="19"/>
      </c>
      <c r="V48" s="10" t="str">
        <f t="shared" si="19"/>
      </c>
      <c r="W48" s="10" t="str">
        <f t="shared" si="19"/>
      </c>
    </row>
    <row r="49" spans="2:23">
      <c r="B49" s="47" t="s">
        <v>240</v>
      </c>
      <c r="C49" s="48"/>
      <c r="D49" s="48"/>
      <c r="E49" s="48"/>
      <c r="F49" s="48"/>
      <c r="G49" s="48"/>
      <c r="H49" s="48"/>
      <c r="I49" s="48"/>
      <c r="J49" s="48"/>
      <c r="K49" s="48"/>
      <c r="L49" s="48"/>
      <c r="M49" s="48"/>
      <c r="N49" s="48"/>
      <c r="O49" s="48"/>
      <c r="P49" s="48"/>
      <c r="Q49" s="48"/>
      <c r="R49" s="48"/>
      <c r="S49" s="48"/>
      <c r="T49" s="48"/>
      <c r="U49" s="48"/>
      <c r="V49" s="48"/>
      <c r="W49" s="48"/>
    </row>
    <row r="50" spans="2:23">
      <c r="B50" s="23" t="s">
        <v>242</v>
      </c>
      <c r="C50" s="22" t="str">
        <f t="shared" ref="C50:W50" si="20">IFERROR(IF(SEARCH("pets_allowed",C$28)&gt;0,"X",""),"")</f>
      </c>
      <c r="D50" s="10" t="str">
        <f t="shared" si="20"/>
      </c>
      <c r="E50" s="10" t="str">
        <f t="shared" si="20"/>
      </c>
      <c r="F50" s="10" t="str">
        <f t="shared" si="20"/>
      </c>
      <c r="G50" s="10" t="str">
        <f t="shared" si="20"/>
      </c>
      <c r="H50" s="10" t="str">
        <f t="shared" si="20"/>
      </c>
      <c r="I50" s="10" t="str">
        <f t="shared" si="20"/>
      </c>
      <c r="J50" s="10" t="str">
        <f t="shared" si="20"/>
      </c>
      <c r="K50" s="10" t="str">
        <f t="shared" si="20"/>
      </c>
      <c r="L50" s="10" t="str">
        <f t="shared" si="20"/>
      </c>
      <c r="M50" s="10" t="str">
        <f t="shared" si="20"/>
      </c>
      <c r="N50" s="10" t="str">
        <f t="shared" si="20"/>
      </c>
      <c r="O50" s="10" t="str">
        <f t="shared" si="20"/>
      </c>
      <c r="P50" s="10" t="str">
        <f t="shared" si="20"/>
      </c>
      <c r="Q50" s="10" t="str">
        <f t="shared" si="20"/>
      </c>
      <c r="R50" s="10" t="str">
        <f t="shared" si="20"/>
      </c>
      <c r="S50" s="10" t="str">
        <f t="shared" si="20"/>
      </c>
      <c r="T50" s="10" t="str">
        <f t="shared" si="20"/>
      </c>
      <c r="U50" s="10" t="str">
        <f t="shared" si="20"/>
      </c>
      <c r="V50" s="10" t="str">
        <f t="shared" si="20"/>
      </c>
      <c r="W50" s="10" t="str">
        <f t="shared" si="20"/>
      </c>
    </row>
    <row r="51" spans="2:23">
      <c r="B51" s="8" t="s">
        <v>237</v>
      </c>
      <c r="C51" s="22" t="str">
        <f t="shared" ref="C51:W51" si="21">IFERROR(IF(SEARCH("short_term",C$28)&gt;0,"X",""),"")</f>
      </c>
      <c r="D51" s="10" t="str">
        <f t="shared" si="21"/>
      </c>
      <c r="E51" s="10" t="str">
        <f t="shared" si="21"/>
      </c>
      <c r="F51" s="10" t="str">
        <f t="shared" si="21"/>
      </c>
      <c r="G51" s="10" t="str">
        <f t="shared" si="21"/>
      </c>
      <c r="H51" s="10" t="str">
        <f t="shared" si="21"/>
      </c>
      <c r="I51" s="10" t="str">
        <f t="shared" si="21"/>
      </c>
      <c r="J51" s="10" t="str">
        <f t="shared" si="21"/>
      </c>
      <c r="K51" s="10" t="str">
        <f t="shared" si="21"/>
      </c>
      <c r="L51" s="10" t="str">
        <f t="shared" si="21"/>
      </c>
      <c r="M51" s="10" t="str">
        <f t="shared" si="21"/>
      </c>
      <c r="N51" s="10" t="str">
        <f t="shared" si="21"/>
      </c>
      <c r="O51" s="10" t="str">
        <f t="shared" si="21"/>
      </c>
      <c r="P51" s="10" t="str">
        <f t="shared" si="21"/>
      </c>
      <c r="Q51" s="10" t="str">
        <f t="shared" si="21"/>
      </c>
      <c r="R51" s="10" t="str">
        <f t="shared" si="21"/>
      </c>
      <c r="S51" s="10" t="str">
        <f t="shared" si="21"/>
      </c>
      <c r="T51" s="10" t="str">
        <f t="shared" si="21"/>
      </c>
      <c r="U51" s="10" t="str">
        <f t="shared" si="21"/>
      </c>
      <c r="V51" s="10" t="str">
        <f t="shared" si="21"/>
      </c>
      <c r="W51" s="10" t="str">
        <f t="shared" si="21"/>
      </c>
    </row>
    <row r="52" spans="2:23">
      <c r="B52" s="23" t="s">
        <v>238</v>
      </c>
      <c r="C52" s="22" t="str">
        <f t="shared" ref="C52:W52" si="22">IFERROR(IF(SEARCH("voucher",C$28)&gt;0,"X",""),"")</f>
      </c>
      <c r="D52" s="10" t="str">
        <f t="shared" si="22"/>
      </c>
      <c r="E52" s="10" t="str">
        <f t="shared" si="22"/>
      </c>
      <c r="F52" s="10" t="str">
        <f t="shared" si="22"/>
      </c>
      <c r="G52" s="10" t="str">
        <f t="shared" si="22"/>
      </c>
      <c r="H52" s="10" t="str">
        <f t="shared" si="22"/>
      </c>
      <c r="I52" s="10" t="str">
        <f t="shared" si="22"/>
      </c>
      <c r="J52" s="10" t="str">
        <f t="shared" si="22"/>
      </c>
      <c r="K52" s="10" t="str">
        <f t="shared" si="22"/>
      </c>
      <c r="L52" s="10" t="str">
        <f t="shared" si="22"/>
      </c>
      <c r="M52" s="10" t="str">
        <f t="shared" si="22"/>
      </c>
      <c r="N52" s="10" t="str">
        <f t="shared" si="22"/>
      </c>
      <c r="O52" s="10" t="str">
        <f t="shared" si="22"/>
      </c>
      <c r="P52" s="10" t="str">
        <f t="shared" si="22"/>
      </c>
      <c r="Q52" s="10" t="str">
        <f t="shared" si="22"/>
      </c>
      <c r="R52" s="10" t="str">
        <f t="shared" si="22"/>
      </c>
      <c r="S52" s="10" t="str">
        <f t="shared" si="22"/>
      </c>
      <c r="T52" s="10" t="str">
        <f t="shared" si="22"/>
      </c>
      <c r="U52" s="10" t="str">
        <f t="shared" si="22"/>
      </c>
      <c r="V52" s="10" t="str">
        <f t="shared" si="22"/>
      </c>
      <c r="W52" s="10" t="str">
        <f t="shared" si="22"/>
      </c>
    </row>
    <row r="53" spans="2:23">
      <c r="B53" s="25"/>
      <c r="C53" s="26"/>
      <c r="D53" s="26"/>
      <c r="E53" s="26"/>
      <c r="F53" s="26"/>
      <c r="G53" s="26"/>
      <c r="H53" s="26"/>
      <c r="I53" s="26"/>
      <c r="J53" s="26"/>
      <c r="K53" s="26"/>
      <c r="L53" s="26"/>
      <c r="M53" s="26"/>
      <c r="N53" s="26"/>
      <c r="O53" s="26"/>
      <c r="P53" s="26"/>
      <c r="Q53" s="26"/>
      <c r="R53" s="26"/>
      <c r="S53" s="26"/>
      <c r="T53" s="26"/>
      <c r="U53" s="26"/>
      <c r="V53" s="26"/>
      <c r="W53" s="26"/>
    </row>
    <row r="54" spans="2:23">
      <c r="B54" s="13"/>
      <c r="C54" s="15"/>
      <c r="D54" s="15"/>
      <c r="E54" s="15"/>
      <c r="F54" s="15"/>
      <c r="G54" s="15"/>
      <c r="H54" s="15"/>
      <c r="I54" s="15"/>
      <c r="J54" s="15"/>
      <c r="K54" s="15"/>
      <c r="L54" s="15"/>
      <c r="M54" s="15"/>
      <c r="N54" s="15"/>
      <c r="O54" s="15"/>
      <c r="P54" s="15"/>
      <c r="Q54" s="15"/>
      <c r="R54" s="15"/>
      <c r="S54" s="15"/>
      <c r="T54" s="15"/>
      <c r="U54" s="15"/>
      <c r="V54" s="15"/>
      <c r="W54" s="15"/>
    </row>
    <row r="55" spans="2:23">
      <c r="B55" s="13"/>
      <c r="C55" s="15"/>
      <c r="D55" s="15"/>
      <c r="E55" s="15"/>
      <c r="F55" s="15"/>
      <c r="G55" s="15"/>
      <c r="H55" s="15"/>
      <c r="I55" s="15"/>
      <c r="J55" s="15"/>
      <c r="K55" s="15"/>
      <c r="L55" s="15"/>
      <c r="M55" s="15"/>
      <c r="N55" s="15"/>
      <c r="O55" s="15"/>
      <c r="P55" s="15"/>
      <c r="Q55" s="15"/>
      <c r="R55" s="15"/>
      <c r="S55" s="15"/>
      <c r="T55" s="15"/>
      <c r="U55" s="15"/>
      <c r="V55" s="15"/>
      <c r="W55" s="15"/>
    </row>
    <row r="56" spans="2:23" ht="21">
      <c r="B56" s="702" t="s">
        <v>214</v>
      </c>
      <c r="C56" s="49"/>
      <c r="D56" s="49"/>
      <c r="E56" s="49"/>
      <c r="F56" s="49"/>
      <c r="G56" s="49"/>
      <c r="H56" s="49"/>
      <c r="I56" s="49"/>
      <c r="J56" s="49"/>
      <c r="K56" s="49"/>
      <c r="L56" s="49"/>
      <c r="M56" s="49"/>
      <c r="N56" s="49"/>
      <c r="O56" s="49"/>
      <c r="P56" s="49"/>
      <c r="Q56" s="49"/>
      <c r="R56" s="49"/>
      <c r="S56" s="49"/>
      <c r="T56" s="49"/>
      <c r="U56" s="49"/>
      <c r="V56" s="49"/>
      <c r="W56" s="49"/>
    </row>
    <row r="57" spans="2:23">
      <c r="B57" s="13"/>
      <c r="C57" s="14"/>
      <c r="D57" s="15"/>
      <c r="E57" s="15"/>
      <c r="F57" s="15"/>
      <c r="G57" s="15"/>
      <c r="H57" s="15"/>
      <c r="I57" s="15"/>
      <c r="J57" s="15"/>
      <c r="K57" s="15"/>
      <c r="L57" s="15"/>
      <c r="M57" s="15"/>
      <c r="N57" s="15"/>
      <c r="O57" s="15"/>
      <c r="P57" s="15"/>
      <c r="Q57" s="15"/>
      <c r="R57" s="15"/>
      <c r="S57" s="15"/>
      <c r="T57" s="15"/>
      <c r="U57" s="15"/>
      <c r="V57" s="15"/>
      <c r="W57" s="15"/>
    </row>
    <row r="58" spans="2:23" ht="155">
      <c r="B58" s="13" t="s">
        <v>21</v>
      </c>
      <c r="C58" s="14" t="s">
        <v>1214</v>
      </c>
      <c r="D58" s="15" t="s">
        <v>1216</v>
      </c>
      <c r="E58" s="15" t="s">
        <v>1217</v>
      </c>
      <c r="F58" s="15" t="s">
        <v>1218</v>
      </c>
      <c r="G58" s="15" t="s">
        <v>1219</v>
      </c>
      <c r="H58" s="15" t="s">
        <v>1220</v>
      </c>
      <c r="I58" s="15" t="s">
        <v>1221</v>
      </c>
      <c r="J58" s="15" t="s">
        <v>1222</v>
      </c>
      <c r="K58" s="15"/>
      <c r="L58" s="15"/>
      <c r="M58" s="15"/>
      <c r="N58" s="15"/>
      <c r="O58" s="15"/>
      <c r="P58" s="15"/>
      <c r="Q58" s="15"/>
      <c r="R58" s="15"/>
      <c r="S58" s="15"/>
      <c r="T58" s="15"/>
      <c r="U58" s="15"/>
      <c r="V58" s="15"/>
      <c r="W58" s="15"/>
    </row>
    <row r="59" spans="2:23">
      <c r="B59" s="13"/>
      <c r="C59" s="14"/>
      <c r="D59" s="15"/>
      <c r="E59" s="15"/>
      <c r="F59" s="15"/>
      <c r="G59" s="15"/>
      <c r="H59" s="15"/>
      <c r="I59" s="15"/>
      <c r="J59" s="15"/>
      <c r="K59" s="15"/>
      <c r="L59" s="15"/>
      <c r="M59" s="15"/>
      <c r="N59" s="15"/>
      <c r="O59" s="15"/>
      <c r="P59" s="15"/>
      <c r="Q59" s="15"/>
      <c r="R59" s="15"/>
      <c r="S59" s="15"/>
      <c r="T59" s="15"/>
      <c r="U59" s="15"/>
      <c r="V59" s="15"/>
      <c r="W59" s="15"/>
    </row>
    <row r="60" spans="2:23">
      <c r="B60" s="25"/>
      <c r="C60" s="26"/>
      <c r="D60" s="26"/>
      <c r="E60" s="26"/>
      <c r="F60" s="26"/>
      <c r="G60" s="26"/>
      <c r="H60" s="26"/>
      <c r="I60" s="26"/>
      <c r="J60" s="26"/>
      <c r="K60" s="26"/>
      <c r="L60" s="26"/>
      <c r="M60" s="26"/>
      <c r="N60" s="26"/>
      <c r="O60" s="26"/>
      <c r="P60" s="26"/>
      <c r="Q60" s="26"/>
      <c r="R60" s="26"/>
      <c r="S60" s="26"/>
      <c r="T60" s="26"/>
      <c r="U60" s="26"/>
      <c r="V60" s="26"/>
      <c r="W60" s="26"/>
    </row>
    <row r="61" spans="2:23" hidden="true">
      <c r="B61" s="27"/>
      <c r="C61" s="3" t="s">
        <v>2819</v>
      </c>
      <c r="D61" s="3" t="s">
        <v>2820</v>
      </c>
      <c r="E61" s="3" t="s">
        <v>2821</v>
      </c>
      <c r="F61" s="3" t="s">
        <v>2822</v>
      </c>
      <c r="G61" s="3" t="s">
        <v>2823</v>
      </c>
      <c r="H61" s="3" t="s">
        <v>2824</v>
      </c>
      <c r="I61" s="3" t="s">
        <v>2825</v>
      </c>
      <c r="J61" s="3" t="s">
        <v>2826</v>
      </c>
      <c r="K61" s="3"/>
      <c r="L61" s="3"/>
      <c r="M61" s="3"/>
      <c r="N61" s="3"/>
      <c r="O61" s="3"/>
      <c r="P61" s="3"/>
      <c r="Q61" s="3"/>
      <c r="R61" s="3"/>
      <c r="S61" s="3"/>
      <c r="T61" s="3"/>
      <c r="U61" s="3"/>
      <c r="V61" s="3"/>
      <c r="W61" s="3"/>
    </row>
    <row r="62" spans="2:23">
      <c r="B62" s="23" t="s">
        <v>217</v>
      </c>
      <c r="C62" s="22" t="str">
        <f t="shared" ref="C62:W62" si="23">IFERROR(IF(SEARCH("air_conditioning",C$61)&gt;0,"X",""),"")</f>
      </c>
      <c r="D62" s="10" t="str">
        <f t="shared" si="23"/>
      </c>
      <c r="E62" s="10" t="str">
        <f t="shared" si="23"/>
      </c>
      <c r="F62" s="10" t="str">
        <f t="shared" si="23"/>
      </c>
      <c r="G62" s="10" t="str">
        <f t="shared" si="23"/>
      </c>
      <c r="H62" s="10" t="str">
        <f t="shared" si="23"/>
      </c>
      <c r="I62" s="10" t="str">
        <f t="shared" si="23"/>
      </c>
      <c r="J62" s="10" t="str">
        <f t="shared" si="23"/>
      </c>
      <c r="K62" s="10" t="str">
        <f t="shared" si="23"/>
      </c>
      <c r="L62" s="10" t="str">
        <f t="shared" si="23"/>
      </c>
      <c r="M62" s="10" t="str">
        <f t="shared" si="23"/>
      </c>
      <c r="N62" s="10" t="str">
        <f t="shared" si="23"/>
      </c>
      <c r="O62" s="10" t="str">
        <f t="shared" si="23"/>
      </c>
      <c r="P62" s="10" t="str">
        <f t="shared" si="23"/>
      </c>
      <c r="Q62" s="10" t="str">
        <f t="shared" si="23"/>
      </c>
      <c r="R62" s="10" t="str">
        <f t="shared" si="23"/>
      </c>
      <c r="S62" s="10" t="str">
        <f t="shared" si="23"/>
      </c>
      <c r="T62" s="10" t="str">
        <f t="shared" si="23"/>
      </c>
      <c r="U62" s="10" t="str">
        <f t="shared" si="23"/>
      </c>
      <c r="V62" s="10" t="str">
        <f t="shared" si="23"/>
      </c>
      <c r="W62" s="10" t="str">
        <f t="shared" si="23"/>
      </c>
    </row>
    <row r="63" spans="2:23">
      <c r="B63" s="8" t="s">
        <v>218</v>
      </c>
      <c r="C63" s="22" t="str">
        <f t="shared" ref="C63:W63" si="24">IFERROR(IF(SEARCH("appliances",C$61)&gt;0,"X",""),"")</f>
      </c>
      <c r="D63" s="10" t="str">
        <f t="shared" si="24"/>
      </c>
      <c r="E63" s="10" t="str">
        <f t="shared" si="24"/>
      </c>
      <c r="F63" s="10" t="str">
        <f t="shared" si="24"/>
      </c>
      <c r="G63" s="10" t="str">
        <f t="shared" si="24"/>
      </c>
      <c r="H63" s="10" t="str">
        <f t="shared" si="24"/>
      </c>
      <c r="I63" s="10" t="str">
        <f t="shared" si="24"/>
      </c>
      <c r="J63" s="10" t="str">
        <f t="shared" si="24"/>
      </c>
      <c r="K63" s="10" t="str">
        <f t="shared" si="24"/>
      </c>
      <c r="L63" s="10" t="str">
        <f t="shared" si="24"/>
      </c>
      <c r="M63" s="10" t="str">
        <f t="shared" si="24"/>
      </c>
      <c r="N63" s="10" t="str">
        <f t="shared" si="24"/>
      </c>
      <c r="O63" s="10" t="str">
        <f t="shared" si="24"/>
      </c>
      <c r="P63" s="10" t="str">
        <f t="shared" si="24"/>
      </c>
      <c r="Q63" s="10" t="str">
        <f t="shared" si="24"/>
      </c>
      <c r="R63" s="10" t="str">
        <f t="shared" si="24"/>
      </c>
      <c r="S63" s="10" t="str">
        <f t="shared" si="24"/>
      </c>
      <c r="T63" s="10" t="str">
        <f t="shared" si="24"/>
      </c>
      <c r="U63" s="10" t="str">
        <f t="shared" si="24"/>
      </c>
      <c r="V63" s="10" t="str">
        <f t="shared" si="24"/>
      </c>
      <c r="W63" s="10" t="str">
        <f t="shared" si="24"/>
      </c>
    </row>
    <row r="64" spans="2:23">
      <c r="B64" s="23" t="s">
        <v>219</v>
      </c>
      <c r="C64" s="22" t="str">
        <f t="shared" ref="C64:W64" si="25">IFERROR(IF(SEARCH("utilities_included",C$61)&gt;0,"X",""),"")</f>
      </c>
      <c r="D64" s="10" t="str">
        <f t="shared" si="25"/>
      </c>
      <c r="E64" s="10" t="str">
        <f t="shared" si="25"/>
      </c>
      <c r="F64" s="10" t="str">
        <f t="shared" si="25"/>
      </c>
      <c r="G64" s="10" t="str">
        <f t="shared" si="25"/>
      </c>
      <c r="H64" s="10" t="str">
        <f t="shared" si="25"/>
      </c>
      <c r="I64" s="10" t="str">
        <f t="shared" si="25"/>
      </c>
      <c r="J64" s="10" t="str">
        <f t="shared" si="25"/>
      </c>
      <c r="K64" s="10" t="str">
        <f t="shared" si="25"/>
      </c>
      <c r="L64" s="10" t="str">
        <f t="shared" si="25"/>
      </c>
      <c r="M64" s="10" t="str">
        <f t="shared" si="25"/>
      </c>
      <c r="N64" s="10" t="str">
        <f t="shared" si="25"/>
      </c>
      <c r="O64" s="10" t="str">
        <f t="shared" si="25"/>
      </c>
      <c r="P64" s="10" t="str">
        <f t="shared" si="25"/>
      </c>
      <c r="Q64" s="10" t="str">
        <f t="shared" si="25"/>
      </c>
      <c r="R64" s="10" t="str">
        <f t="shared" si="25"/>
      </c>
      <c r="S64" s="10" t="str">
        <f t="shared" si="25"/>
      </c>
      <c r="T64" s="10" t="str">
        <f t="shared" si="25"/>
      </c>
      <c r="U64" s="10" t="str">
        <f t="shared" si="25"/>
      </c>
      <c r="V64" s="10" t="str">
        <f t="shared" si="25"/>
      </c>
      <c r="W64" s="10" t="str">
        <f t="shared" si="25"/>
      </c>
    </row>
    <row r="65" spans="2:23">
      <c r="B65" s="23" t="s">
        <v>220</v>
      </c>
      <c r="C65" s="22" t="str">
        <f t="shared" ref="C65:W65" si="26">IFERROR(IF(SEARCH("breakfast",C$61)&gt;0,"X",""),"")</f>
      </c>
      <c r="D65" s="10" t="str">
        <f t="shared" si="26"/>
      </c>
      <c r="E65" s="10" t="str">
        <f t="shared" si="26"/>
      </c>
      <c r="F65" s="10" t="str">
        <f t="shared" si="26"/>
      </c>
      <c r="G65" s="10" t="str">
        <f t="shared" si="26"/>
      </c>
      <c r="H65" s="10" t="str">
        <f t="shared" si="26"/>
      </c>
      <c r="I65" s="10" t="str">
        <f t="shared" si="26"/>
      </c>
      <c r="J65" s="10" t="str">
        <f t="shared" si="26"/>
      </c>
      <c r="K65" s="10" t="str">
        <f t="shared" si="26"/>
      </c>
      <c r="L65" s="10" t="str">
        <f t="shared" si="26"/>
      </c>
      <c r="M65" s="10" t="str">
        <f t="shared" si="26"/>
      </c>
      <c r="N65" s="10" t="str">
        <f t="shared" si="26"/>
      </c>
      <c r="O65" s="10" t="str">
        <f t="shared" si="26"/>
      </c>
      <c r="P65" s="10" t="str">
        <f t="shared" si="26"/>
      </c>
      <c r="Q65" s="10" t="str">
        <f t="shared" si="26"/>
      </c>
      <c r="R65" s="10" t="str">
        <f t="shared" si="26"/>
      </c>
      <c r="S65" s="10" t="str">
        <f t="shared" si="26"/>
      </c>
      <c r="T65" s="10" t="str">
        <f t="shared" si="26"/>
      </c>
      <c r="U65" s="10" t="str">
        <f t="shared" si="26"/>
      </c>
      <c r="V65" s="10" t="str">
        <f t="shared" si="26"/>
      </c>
      <c r="W65" s="10" t="str">
        <f t="shared" si="26"/>
      </c>
    </row>
    <row r="66" spans="2:23">
      <c r="B66" s="23" t="s">
        <v>221</v>
      </c>
      <c r="C66" s="22" t="str">
        <f t="shared" ref="C66:W66" si="27">IFERROR(IF(SEARCH("ceiling_fan",C$61)&gt;0,"X",""),"")</f>
      </c>
      <c r="D66" s="10" t="str">
        <f t="shared" si="27"/>
      </c>
      <c r="E66" s="10" t="str">
        <f t="shared" si="27"/>
      </c>
      <c r="F66" s="10" t="str">
        <f t="shared" si="27"/>
      </c>
      <c r="G66" s="10" t="str">
        <f t="shared" si="27"/>
      </c>
      <c r="H66" s="10" t="str">
        <f t="shared" si="27"/>
      </c>
      <c r="I66" s="10" t="str">
        <f t="shared" si="27"/>
      </c>
      <c r="J66" s="10" t="str">
        <f t="shared" si="27"/>
      </c>
      <c r="K66" s="10" t="str">
        <f t="shared" si="27"/>
      </c>
      <c r="L66" s="10" t="str">
        <f t="shared" si="27"/>
      </c>
      <c r="M66" s="10" t="str">
        <f t="shared" si="27"/>
      </c>
      <c r="N66" s="10" t="str">
        <f t="shared" si="27"/>
      </c>
      <c r="O66" s="10" t="str">
        <f t="shared" si="27"/>
      </c>
      <c r="P66" s="10" t="str">
        <f t="shared" si="27"/>
      </c>
      <c r="Q66" s="10" t="str">
        <f t="shared" si="27"/>
      </c>
      <c r="R66" s="10" t="str">
        <f t="shared" si="27"/>
      </c>
      <c r="S66" s="10" t="str">
        <f t="shared" si="27"/>
      </c>
      <c r="T66" s="10" t="str">
        <f t="shared" si="27"/>
      </c>
      <c r="U66" s="10" t="str">
        <f t="shared" si="27"/>
      </c>
      <c r="V66" s="10" t="str">
        <f t="shared" si="27"/>
      </c>
      <c r="W66" s="10" t="str">
        <f t="shared" si="27"/>
      </c>
    </row>
    <row r="67" spans="2:23">
      <c r="B67" s="23" t="s">
        <v>222</v>
      </c>
      <c r="C67" s="22" t="str">
        <f t="shared" ref="C67:W67" si="28">IFERROR(IF(SEARCH("dishwasher",C$61)&gt;0,"X",""),"")</f>
      </c>
      <c r="D67" s="10" t="str">
        <f t="shared" si="28"/>
      </c>
      <c r="E67" s="10" t="str">
        <f t="shared" si="28"/>
      </c>
      <c r="F67" s="10" t="str">
        <f t="shared" si="28"/>
      </c>
      <c r="G67" s="10" t="str">
        <f t="shared" si="28"/>
      </c>
      <c r="H67" s="10" t="str">
        <f t="shared" si="28"/>
      </c>
      <c r="I67" s="10" t="str">
        <f t="shared" si="28"/>
      </c>
      <c r="J67" s="10" t="str">
        <f t="shared" si="28"/>
      </c>
      <c r="K67" s="10" t="str">
        <f t="shared" si="28"/>
      </c>
      <c r="L67" s="10" t="str">
        <f t="shared" si="28"/>
      </c>
      <c r="M67" s="10" t="str">
        <f t="shared" si="28"/>
      </c>
      <c r="N67" s="10" t="str">
        <f t="shared" si="28"/>
      </c>
      <c r="O67" s="10" t="str">
        <f t="shared" si="28"/>
      </c>
      <c r="P67" s="10" t="str">
        <f t="shared" si="28"/>
      </c>
      <c r="Q67" s="10" t="str">
        <f t="shared" si="28"/>
      </c>
      <c r="R67" s="10" t="str">
        <f t="shared" si="28"/>
      </c>
      <c r="S67" s="10" t="str">
        <f t="shared" si="28"/>
      </c>
      <c r="T67" s="10" t="str">
        <f t="shared" si="28"/>
      </c>
      <c r="U67" s="10" t="str">
        <f t="shared" si="28"/>
      </c>
      <c r="V67" s="10" t="str">
        <f t="shared" si="28"/>
      </c>
      <c r="W67" s="10" t="str">
        <f t="shared" si="28"/>
      </c>
    </row>
    <row r="68" spans="2:23">
      <c r="B68" s="23" t="s">
        <v>223</v>
      </c>
      <c r="C68" s="22" t="str">
        <f t="shared" ref="C68:W68" si="29">IFERROR(IF(SEARCH("efficient_appliances",C$61)&gt;0,"X",""),"")</f>
      </c>
      <c r="D68" s="10" t="str">
        <f t="shared" si="29"/>
      </c>
      <c r="E68" s="10" t="str">
        <f t="shared" si="29"/>
      </c>
      <c r="F68" s="10" t="str">
        <f t="shared" si="29"/>
      </c>
      <c r="G68" s="10" t="str">
        <f t="shared" si="29"/>
      </c>
      <c r="H68" s="10" t="str">
        <f t="shared" si="29"/>
      </c>
      <c r="I68" s="10" t="str">
        <f t="shared" si="29"/>
      </c>
      <c r="J68" s="10" t="str">
        <f t="shared" si="29"/>
      </c>
      <c r="K68" s="10" t="str">
        <f t="shared" si="29"/>
      </c>
      <c r="L68" s="10" t="str">
        <f t="shared" si="29"/>
      </c>
      <c r="M68" s="10" t="str">
        <f t="shared" si="29"/>
      </c>
      <c r="N68" s="10" t="str">
        <f t="shared" si="29"/>
      </c>
      <c r="O68" s="10" t="str">
        <f t="shared" si="29"/>
      </c>
      <c r="P68" s="10" t="str">
        <f t="shared" si="29"/>
      </c>
      <c r="Q68" s="10" t="str">
        <f t="shared" si="29"/>
      </c>
      <c r="R68" s="10" t="str">
        <f t="shared" si="29"/>
      </c>
      <c r="S68" s="10" t="str">
        <f t="shared" si="29"/>
      </c>
      <c r="T68" s="10" t="str">
        <f t="shared" si="29"/>
      </c>
      <c r="U68" s="10" t="str">
        <f t="shared" si="29"/>
      </c>
      <c r="V68" s="10" t="str">
        <f t="shared" si="29"/>
      </c>
      <c r="W68" s="10" t="str">
        <f t="shared" si="29"/>
      </c>
    </row>
    <row r="69" spans="2:23">
      <c r="B69" s="23" t="s">
        <v>224</v>
      </c>
      <c r="C69" s="22" t="str">
        <f t="shared" ref="C69:W69" si="30">IFERROR(IF(SEARCH("fireplace",C$61)&gt;0,"X",""),"")</f>
      </c>
      <c r="D69" s="10" t="str">
        <f t="shared" si="30"/>
      </c>
      <c r="E69" s="10" t="str">
        <f t="shared" si="30"/>
      </c>
      <c r="F69" s="10" t="str">
        <f t="shared" si="30"/>
      </c>
      <c r="G69" s="10" t="str">
        <f t="shared" si="30"/>
      </c>
      <c r="H69" s="10" t="str">
        <f t="shared" si="30"/>
      </c>
      <c r="I69" s="10" t="str">
        <f t="shared" si="30"/>
      </c>
      <c r="J69" s="10" t="str">
        <f t="shared" si="30"/>
      </c>
      <c r="K69" s="10" t="str">
        <f t="shared" si="30"/>
      </c>
      <c r="L69" s="10" t="str">
        <f t="shared" si="30"/>
      </c>
      <c r="M69" s="10" t="str">
        <f t="shared" si="30"/>
      </c>
      <c r="N69" s="10" t="str">
        <f t="shared" si="30"/>
      </c>
      <c r="O69" s="10" t="str">
        <f t="shared" si="30"/>
      </c>
      <c r="P69" s="10" t="str">
        <f t="shared" si="30"/>
      </c>
      <c r="Q69" s="10" t="str">
        <f t="shared" si="30"/>
      </c>
      <c r="R69" s="10" t="str">
        <f t="shared" si="30"/>
      </c>
      <c r="S69" s="10" t="str">
        <f t="shared" si="30"/>
      </c>
      <c r="T69" s="10" t="str">
        <f t="shared" si="30"/>
      </c>
      <c r="U69" s="10" t="str">
        <f t="shared" si="30"/>
      </c>
      <c r="V69" s="10" t="str">
        <f t="shared" si="30"/>
      </c>
      <c r="W69" s="10" t="str">
        <f t="shared" si="30"/>
      </c>
    </row>
    <row r="70" spans="2:23">
      <c r="B70" s="23" t="s">
        <v>225</v>
      </c>
      <c r="C70" s="22" t="str">
        <f t="shared" ref="C70:W70" si="31">IFERROR(IF(SEARCH("floor_to_ceiling",C$61)&gt;0,"X",""),"")</f>
      </c>
      <c r="D70" s="10" t="str">
        <f t="shared" si="31"/>
      </c>
      <c r="E70" s="10" t="str">
        <f t="shared" si="31"/>
      </c>
      <c r="F70" s="10" t="str">
        <f t="shared" si="31"/>
      </c>
      <c r="G70" s="10" t="str">
        <f t="shared" si="31"/>
      </c>
      <c r="H70" s="10" t="str">
        <f t="shared" si="31"/>
      </c>
      <c r="I70" s="10" t="str">
        <f t="shared" si="31"/>
      </c>
      <c r="J70" s="10" t="str">
        <f t="shared" si="31"/>
      </c>
      <c r="K70" s="10" t="str">
        <f t="shared" si="31"/>
      </c>
      <c r="L70" s="10" t="str">
        <f t="shared" si="31"/>
      </c>
      <c r="M70" s="10" t="str">
        <f t="shared" si="31"/>
      </c>
      <c r="N70" s="10" t="str">
        <f t="shared" si="31"/>
      </c>
      <c r="O70" s="10" t="str">
        <f t="shared" si="31"/>
      </c>
      <c r="P70" s="10" t="str">
        <f t="shared" si="31"/>
      </c>
      <c r="Q70" s="10" t="str">
        <f t="shared" si="31"/>
      </c>
      <c r="R70" s="10" t="str">
        <f t="shared" si="31"/>
      </c>
      <c r="S70" s="10" t="str">
        <f t="shared" si="31"/>
      </c>
      <c r="T70" s="10" t="str">
        <f t="shared" si="31"/>
      </c>
      <c r="U70" s="10" t="str">
        <f t="shared" si="31"/>
      </c>
      <c r="V70" s="10" t="str">
        <f t="shared" si="31"/>
      </c>
      <c r="W70" s="10" t="str">
        <f t="shared" si="31"/>
      </c>
    </row>
    <row r="71" spans="2:23">
      <c r="B71" s="23" t="s">
        <v>226</v>
      </c>
      <c r="C71" s="22" t="str">
        <f t="shared" ref="C71:W71" si="32">IFERROR(IF(SEARCH("hardwood",C$61)&gt;0,"X",""),"")</f>
      </c>
      <c r="D71" s="10" t="str">
        <f t="shared" si="32"/>
      </c>
      <c r="E71" s="10" t="str">
        <f t="shared" si="32"/>
      </c>
      <c r="F71" s="10" t="str">
        <f t="shared" si="32"/>
      </c>
      <c r="G71" s="10" t="str">
        <f t="shared" si="32"/>
      </c>
      <c r="H71" s="10" t="str">
        <f t="shared" si="32"/>
      </c>
      <c r="I71" s="10" t="str">
        <f t="shared" si="32"/>
      </c>
      <c r="J71" s="10" t="str">
        <f t="shared" si="32"/>
      </c>
      <c r="K71" s="10" t="str">
        <f t="shared" si="32"/>
      </c>
      <c r="L71" s="10" t="str">
        <f t="shared" si="32"/>
      </c>
      <c r="M71" s="10" t="str">
        <f t="shared" si="32"/>
      </c>
      <c r="N71" s="10" t="str">
        <f t="shared" si="32"/>
      </c>
      <c r="O71" s="10" t="str">
        <f t="shared" si="32"/>
      </c>
      <c r="P71" s="10" t="str">
        <f t="shared" si="32"/>
      </c>
      <c r="Q71" s="10" t="str">
        <f t="shared" si="32"/>
      </c>
      <c r="R71" s="10" t="str">
        <f t="shared" si="32"/>
      </c>
      <c r="S71" s="10" t="str">
        <f t="shared" si="32"/>
      </c>
      <c r="T71" s="10" t="str">
        <f t="shared" si="32"/>
      </c>
      <c r="U71" s="10" t="str">
        <f t="shared" si="32"/>
      </c>
      <c r="V71" s="10" t="str">
        <f t="shared" si="32"/>
      </c>
      <c r="W71" s="10" t="str">
        <f t="shared" si="32"/>
      </c>
    </row>
    <row r="72" spans="2:23">
      <c r="B72" s="23" t="s">
        <v>227</v>
      </c>
      <c r="C72" s="22" t="str">
        <f t="shared" ref="C72:W72" si="33">IFERROR(IF(SEARCH("high_ceiling",C$61)&gt;0,"X",""),"")</f>
      </c>
      <c r="D72" s="10" t="str">
        <f t="shared" si="33"/>
      </c>
      <c r="E72" s="10" t="str">
        <f t="shared" si="33"/>
      </c>
      <c r="F72" s="10" t="str">
        <f t="shared" si="33"/>
      </c>
      <c r="G72" s="10" t="str">
        <f t="shared" si="33"/>
      </c>
      <c r="H72" s="10" t="str">
        <f t="shared" si="33"/>
      </c>
      <c r="I72" s="10" t="str">
        <f t="shared" si="33"/>
      </c>
      <c r="J72" s="10" t="str">
        <f t="shared" si="33"/>
      </c>
      <c r="K72" s="10" t="str">
        <f t="shared" si="33"/>
      </c>
      <c r="L72" s="10" t="str">
        <f t="shared" si="33"/>
      </c>
      <c r="M72" s="10" t="str">
        <f t="shared" si="33"/>
      </c>
      <c r="N72" s="10" t="str">
        <f t="shared" si="33"/>
      </c>
      <c r="O72" s="10" t="str">
        <f t="shared" si="33"/>
      </c>
      <c r="P72" s="10" t="str">
        <f t="shared" si="33"/>
      </c>
      <c r="Q72" s="10" t="str">
        <f t="shared" si="33"/>
      </c>
      <c r="R72" s="10" t="str">
        <f t="shared" si="33"/>
      </c>
      <c r="S72" s="10" t="str">
        <f t="shared" si="33"/>
      </c>
      <c r="T72" s="10" t="str">
        <f t="shared" si="33"/>
      </c>
      <c r="U72" s="10" t="str">
        <f t="shared" si="33"/>
      </c>
      <c r="V72" s="10" t="str">
        <f t="shared" si="33"/>
      </c>
      <c r="W72" s="10" t="str">
        <f t="shared" si="33"/>
      </c>
    </row>
    <row r="73" spans="2:23">
      <c r="B73" s="23" t="s">
        <v>228</v>
      </c>
      <c r="C73" s="22" t="str">
        <f t="shared" ref="C73:W73" si="34">IFERROR(IF(SEARCH("internet_included",C$61)&gt;0,"X",""),"")</f>
      </c>
      <c r="D73" s="10" t="str">
        <f t="shared" si="34"/>
      </c>
      <c r="E73" s="10" t="str">
        <f t="shared" si="34"/>
      </c>
      <c r="F73" s="10" t="str">
        <f t="shared" si="34"/>
      </c>
      <c r="G73" s="10" t="str">
        <f t="shared" si="34"/>
      </c>
      <c r="H73" s="10" t="str">
        <f t="shared" si="34"/>
      </c>
      <c r="I73" s="10" t="str">
        <f t="shared" si="34"/>
      </c>
      <c r="J73" s="10" t="str">
        <f t="shared" si="34"/>
      </c>
      <c r="K73" s="10" t="str">
        <f t="shared" si="34"/>
      </c>
      <c r="L73" s="10" t="str">
        <f t="shared" si="34"/>
      </c>
      <c r="M73" s="10" t="str">
        <f t="shared" si="34"/>
      </c>
      <c r="N73" s="10" t="str">
        <f t="shared" si="34"/>
      </c>
      <c r="O73" s="10" t="str">
        <f t="shared" si="34"/>
      </c>
      <c r="P73" s="10" t="str">
        <f t="shared" si="34"/>
      </c>
      <c r="Q73" s="10" t="str">
        <f t="shared" si="34"/>
      </c>
      <c r="R73" s="10" t="str">
        <f t="shared" si="34"/>
      </c>
      <c r="S73" s="10" t="str">
        <f t="shared" si="34"/>
      </c>
      <c r="T73" s="10" t="str">
        <f t="shared" si="34"/>
      </c>
      <c r="U73" s="10" t="str">
        <f t="shared" si="34"/>
      </c>
      <c r="V73" s="10" t="str">
        <f t="shared" si="34"/>
      </c>
      <c r="W73" s="10" t="str">
        <f t="shared" si="34"/>
      </c>
    </row>
    <row r="74" spans="2:23">
      <c r="B74" s="23" t="s">
        <v>229</v>
      </c>
      <c r="C74" s="22" t="str">
        <f>IFERROR(IF(SEARCH("kitchen_island",C$61)&gt;0,"X",""),"")</f>
      </c>
      <c r="D74" s="10"/>
      <c r="E74" s="10"/>
      <c r="F74" s="10"/>
      <c r="G74" s="10"/>
      <c r="H74" s="10"/>
      <c r="I74" s="10"/>
      <c r="J74" s="10"/>
      <c r="K74" s="10"/>
      <c r="L74" s="10"/>
      <c r="M74" s="10"/>
      <c r="N74" s="10"/>
      <c r="O74" s="10"/>
      <c r="P74" s="10"/>
      <c r="Q74" s="10"/>
      <c r="R74" s="10"/>
      <c r="S74" s="10"/>
      <c r="T74" s="10"/>
      <c r="U74" s="10"/>
      <c r="V74" s="10"/>
      <c r="W74" s="10"/>
    </row>
    <row r="75" spans="2:23">
      <c r="B75" s="23" t="s">
        <v>230</v>
      </c>
      <c r="C75" s="22" t="str">
        <f t="shared" ref="C75:W75" si="35">IFERROR(IF(SEARCH("balcony",C$61)&gt;0,"X",""),"")</f>
      </c>
      <c r="D75" s="10" t="str">
        <f t="shared" si="35"/>
      </c>
      <c r="E75" s="10" t="str">
        <f t="shared" si="35"/>
      </c>
      <c r="F75" s="10" t="str">
        <f t="shared" si="35"/>
      </c>
      <c r="G75" s="10" t="str">
        <f t="shared" si="35"/>
      </c>
      <c r="H75" s="10" t="str">
        <f t="shared" si="35"/>
      </c>
      <c r="I75" s="10" t="str">
        <f t="shared" si="35"/>
      </c>
      <c r="J75" s="10" t="str">
        <f t="shared" si="35"/>
      </c>
      <c r="K75" s="10" t="str">
        <f t="shared" si="35"/>
      </c>
      <c r="L75" s="10" t="str">
        <f t="shared" si="35"/>
      </c>
      <c r="M75" s="10" t="str">
        <f t="shared" si="35"/>
      </c>
      <c r="N75" s="10" t="str">
        <f t="shared" si="35"/>
      </c>
      <c r="O75" s="10" t="str">
        <f t="shared" si="35"/>
      </c>
      <c r="P75" s="10" t="str">
        <f t="shared" si="35"/>
      </c>
      <c r="Q75" s="10" t="str">
        <f t="shared" si="35"/>
      </c>
      <c r="R75" s="10" t="str">
        <f t="shared" si="35"/>
      </c>
      <c r="S75" s="10" t="str">
        <f t="shared" si="35"/>
      </c>
      <c r="T75" s="10" t="str">
        <f t="shared" si="35"/>
      </c>
      <c r="U75" s="10" t="str">
        <f t="shared" si="35"/>
      </c>
      <c r="V75" s="10" t="str">
        <f t="shared" si="35"/>
      </c>
      <c r="W75" s="10" t="str">
        <f t="shared" si="35"/>
      </c>
    </row>
    <row r="76" spans="2:23">
      <c r="B76" s="23" t="s">
        <v>231</v>
      </c>
      <c r="C76" s="22" t="str">
        <f t="shared" ref="C76:W76" si="36">IFERROR(IF(OR(SEARCH("renovated",C$61)&gt;0,SEARCH("upgraded",C$61)&gt;0),"X",""),"")</f>
      </c>
      <c r="D76" s="10" t="str">
        <f t="shared" si="36"/>
      </c>
      <c r="E76" s="10" t="str">
        <f t="shared" si="36"/>
      </c>
      <c r="F76" s="10" t="str">
        <f t="shared" si="36"/>
      </c>
      <c r="G76" s="10" t="str">
        <f t="shared" si="36"/>
      </c>
      <c r="H76" s="10" t="str">
        <f t="shared" si="36"/>
      </c>
      <c r="I76" s="10" t="str">
        <f t="shared" si="36"/>
      </c>
      <c r="J76" s="10" t="str">
        <f t="shared" si="36"/>
      </c>
      <c r="K76" s="10" t="str">
        <f t="shared" si="36"/>
      </c>
      <c r="L76" s="10" t="str">
        <f t="shared" si="36"/>
      </c>
      <c r="M76" s="10" t="str">
        <f t="shared" si="36"/>
      </c>
      <c r="N76" s="10" t="str">
        <f t="shared" si="36"/>
      </c>
      <c r="O76" s="10" t="str">
        <f t="shared" si="36"/>
      </c>
      <c r="P76" s="10" t="str">
        <f t="shared" si="36"/>
      </c>
      <c r="Q76" s="10" t="str">
        <f t="shared" si="36"/>
      </c>
      <c r="R76" s="10" t="str">
        <f t="shared" si="36"/>
      </c>
      <c r="S76" s="10" t="str">
        <f t="shared" si="36"/>
      </c>
      <c r="T76" s="10" t="str">
        <f t="shared" si="36"/>
      </c>
      <c r="U76" s="10" t="str">
        <f t="shared" si="36"/>
      </c>
      <c r="V76" s="10" t="str">
        <f t="shared" si="36"/>
      </c>
      <c r="W76" s="10" t="str">
        <f t="shared" si="36"/>
      </c>
    </row>
    <row r="77" spans="2:23">
      <c r="B77" s="23" t="s">
        <v>232</v>
      </c>
      <c r="C77" s="22" t="str">
        <f t="shared" ref="C77:W77" si="37">IFERROR(IF(SEARCH("stainless_steel_appliances",C$61)&gt;0,"X",""),"")</f>
      </c>
      <c r="D77" s="10" t="str">
        <f t="shared" si="37"/>
      </c>
      <c r="E77" s="10" t="str">
        <f t="shared" si="37"/>
      </c>
      <c r="F77" s="10" t="str">
        <f t="shared" si="37"/>
      </c>
      <c r="G77" s="10" t="str">
        <f t="shared" si="37"/>
      </c>
      <c r="H77" s="10" t="str">
        <f t="shared" si="37"/>
      </c>
      <c r="I77" s="10" t="str">
        <f t="shared" si="37"/>
      </c>
      <c r="J77" s="10" t="str">
        <f t="shared" si="37"/>
      </c>
      <c r="K77" s="10" t="str">
        <f t="shared" si="37"/>
      </c>
      <c r="L77" s="10" t="str">
        <f t="shared" si="37"/>
      </c>
      <c r="M77" s="10" t="str">
        <f t="shared" si="37"/>
      </c>
      <c r="N77" s="10" t="str">
        <f t="shared" si="37"/>
      </c>
      <c r="O77" s="10" t="str">
        <f t="shared" si="37"/>
      </c>
      <c r="P77" s="10" t="str">
        <f t="shared" si="37"/>
      </c>
      <c r="Q77" s="10" t="str">
        <f t="shared" si="37"/>
      </c>
      <c r="R77" s="10" t="str">
        <f t="shared" si="37"/>
      </c>
      <c r="S77" s="10" t="str">
        <f t="shared" si="37"/>
      </c>
      <c r="T77" s="10" t="str">
        <f t="shared" si="37"/>
      </c>
      <c r="U77" s="10" t="str">
        <f t="shared" si="37"/>
      </c>
      <c r="V77" s="10" t="str">
        <f t="shared" si="37"/>
      </c>
      <c r="W77" s="10" t="str">
        <f t="shared" si="37"/>
      </c>
    </row>
    <row r="78" spans="2:23">
      <c r="B78" s="23" t="s">
        <v>233</v>
      </c>
      <c r="C78" s="22" t="str">
        <f t="shared" ref="C78:W78" si="38">IFERROR(IF(OR(SEARCH("quartz",C$61)&gt;0,SEARCH("granite",C$61)&gt;0,SEARCH("marble",C$61)&gt;0),"X",""),"")</f>
      </c>
      <c r="D78" s="10" t="str">
        <f t="shared" si="38"/>
      </c>
      <c r="E78" s="10" t="str">
        <f t="shared" si="38"/>
      </c>
      <c r="F78" s="10" t="str">
        <f t="shared" si="38"/>
      </c>
      <c r="G78" s="10" t="str">
        <f t="shared" si="38"/>
      </c>
      <c r="H78" s="10" t="str">
        <f t="shared" si="38"/>
      </c>
      <c r="I78" s="10" t="str">
        <f t="shared" si="38"/>
      </c>
      <c r="J78" s="10" t="str">
        <f t="shared" si="38"/>
      </c>
      <c r="K78" s="10" t="str">
        <f t="shared" si="38"/>
      </c>
      <c r="L78" s="10" t="str">
        <f t="shared" si="38"/>
      </c>
      <c r="M78" s="10" t="str">
        <f t="shared" si="38"/>
      </c>
      <c r="N78" s="10" t="str">
        <f t="shared" si="38"/>
      </c>
      <c r="O78" s="10" t="str">
        <f t="shared" si="38"/>
      </c>
      <c r="P78" s="10" t="str">
        <f t="shared" si="38"/>
      </c>
      <c r="Q78" s="10" t="str">
        <f t="shared" si="38"/>
      </c>
      <c r="R78" s="10" t="str">
        <f t="shared" si="38"/>
      </c>
      <c r="S78" s="10" t="str">
        <f t="shared" si="38"/>
      </c>
      <c r="T78" s="10" t="str">
        <f t="shared" si="38"/>
      </c>
      <c r="U78" s="10" t="str">
        <f t="shared" si="38"/>
      </c>
      <c r="V78" s="10" t="str">
        <f t="shared" si="38"/>
      </c>
      <c r="W78" s="10" t="str">
        <f t="shared" si="38"/>
      </c>
    </row>
    <row r="79" spans="2:23">
      <c r="B79" s="23" t="s">
        <v>234</v>
      </c>
      <c r="C79" s="22" t="str">
        <f t="shared" ref="C79:W79" si="39">IFERROR(IF(SEARCH("view",C$61)&gt;0,"X",""),"")</f>
      </c>
      <c r="D79" s="10" t="str">
        <f t="shared" si="39"/>
      </c>
      <c r="E79" s="10" t="str">
        <f t="shared" si="39"/>
      </c>
      <c r="F79" s="10" t="str">
        <f t="shared" si="39"/>
      </c>
      <c r="G79" s="10" t="str">
        <f t="shared" si="39"/>
      </c>
      <c r="H79" s="10" t="str">
        <f t="shared" si="39"/>
      </c>
      <c r="I79" s="10" t="str">
        <f t="shared" si="39"/>
      </c>
      <c r="J79" s="10" t="str">
        <f t="shared" si="39"/>
      </c>
      <c r="K79" s="10" t="str">
        <f t="shared" si="39"/>
      </c>
      <c r="L79" s="10" t="str">
        <f t="shared" si="39"/>
      </c>
      <c r="M79" s="10" t="str">
        <f t="shared" si="39"/>
      </c>
      <c r="N79" s="10" t="str">
        <f t="shared" si="39"/>
      </c>
      <c r="O79" s="10" t="str">
        <f t="shared" si="39"/>
      </c>
      <c r="P79" s="10" t="str">
        <f t="shared" si="39"/>
      </c>
      <c r="Q79" s="10" t="str">
        <f t="shared" si="39"/>
      </c>
      <c r="R79" s="10" t="str">
        <f t="shared" si="39"/>
      </c>
      <c r="S79" s="10" t="str">
        <f t="shared" si="39"/>
      </c>
      <c r="T79" s="10" t="str">
        <f t="shared" si="39"/>
      </c>
      <c r="U79" s="10" t="str">
        <f t="shared" si="39"/>
      </c>
      <c r="V79" s="10" t="str">
        <f t="shared" si="39"/>
      </c>
      <c r="W79" s="10" t="str">
        <f t="shared" si="39"/>
      </c>
    </row>
    <row r="80" spans="2:23">
      <c r="B80" s="23" t="s">
        <v>235</v>
      </c>
      <c r="C80" s="22" t="str">
        <f t="shared" ref="C80:W80" si="40">IFERROR(IF(SEARCH("walk_in_closet",C$61)&gt;0,"X",""),"")</f>
      </c>
      <c r="D80" s="10" t="str">
        <f t="shared" si="40"/>
      </c>
      <c r="E80" s="10" t="str">
        <f t="shared" si="40"/>
      </c>
      <c r="F80" s="10" t="str">
        <f t="shared" si="40"/>
      </c>
      <c r="G80" s="10" t="str">
        <f t="shared" si="40"/>
      </c>
      <c r="H80" s="10" t="str">
        <f t="shared" si="40"/>
      </c>
      <c r="I80" s="10" t="str">
        <f t="shared" si="40"/>
      </c>
      <c r="J80" s="10" t="str">
        <f t="shared" si="40"/>
      </c>
      <c r="K80" s="10" t="str">
        <f t="shared" si="40"/>
      </c>
      <c r="L80" s="10" t="str">
        <f t="shared" si="40"/>
      </c>
      <c r="M80" s="10" t="str">
        <f t="shared" si="40"/>
      </c>
      <c r="N80" s="10" t="str">
        <f t="shared" si="40"/>
      </c>
      <c r="O80" s="10" t="str">
        <f t="shared" si="40"/>
      </c>
      <c r="P80" s="10" t="str">
        <f t="shared" si="40"/>
      </c>
      <c r="Q80" s="10" t="str">
        <f t="shared" si="40"/>
      </c>
      <c r="R80" s="10" t="str">
        <f t="shared" si="40"/>
      </c>
      <c r="S80" s="10" t="str">
        <f t="shared" si="40"/>
      </c>
      <c r="T80" s="10" t="str">
        <f t="shared" si="40"/>
      </c>
      <c r="U80" s="10" t="str">
        <f t="shared" si="40"/>
      </c>
      <c r="V80" s="10" t="str">
        <f t="shared" si="40"/>
      </c>
      <c r="W80" s="10" t="str">
        <f t="shared" si="40"/>
      </c>
    </row>
    <row r="81" spans="2:23">
      <c r="B81" s="23" t="s">
        <v>236</v>
      </c>
      <c r="C81" s="22" t="str">
        <f t="shared" ref="C81:W81" si="41">IFERROR(IF(SEARCH("washer_dryer_in_unit",C$61)&gt;0,"X",""),"")</f>
      </c>
      <c r="D81" s="10" t="str">
        <f t="shared" si="41"/>
      </c>
      <c r="E81" s="10" t="str">
        <f t="shared" si="41"/>
      </c>
      <c r="F81" s="10" t="str">
        <f t="shared" si="41"/>
      </c>
      <c r="G81" s="10" t="str">
        <f t="shared" si="41"/>
      </c>
      <c r="H81" s="10" t="str">
        <f t="shared" si="41"/>
      </c>
      <c r="I81" s="10" t="str">
        <f t="shared" si="41"/>
      </c>
      <c r="J81" s="10" t="str">
        <f t="shared" si="41"/>
      </c>
      <c r="K81" s="10" t="str">
        <f t="shared" si="41"/>
      </c>
      <c r="L81" s="10" t="str">
        <f t="shared" si="41"/>
      </c>
      <c r="M81" s="10" t="str">
        <f t="shared" si="41"/>
      </c>
      <c r="N81" s="10" t="str">
        <f t="shared" si="41"/>
      </c>
      <c r="O81" s="10" t="str">
        <f t="shared" si="41"/>
      </c>
      <c r="P81" s="10" t="str">
        <f t="shared" si="41"/>
      </c>
      <c r="Q81" s="10" t="str">
        <f t="shared" si="41"/>
      </c>
      <c r="R81" s="10" t="str">
        <f t="shared" si="41"/>
      </c>
      <c r="S81" s="10" t="str">
        <f t="shared" si="41"/>
      </c>
      <c r="T81" s="10" t="str">
        <f t="shared" si="41"/>
      </c>
      <c r="U81" s="10" t="str">
        <f t="shared" si="41"/>
      </c>
      <c r="V81" s="10" t="str">
        <f t="shared" si="41"/>
      </c>
      <c r="W81" s="10" t="str">
        <f t="shared" si="41"/>
      </c>
    </row>
    <row r="82"/>
    <row r="83" spans="2:23">
      <c r="B83" s="23"/>
      <c r="C83" s="23"/>
      <c r="D83" s="23"/>
      <c r="E83" s="23"/>
      <c r="F83" s="23"/>
      <c r="G83" s="23"/>
      <c r="H83" s="23"/>
      <c r="I83" s="23"/>
      <c r="J83" s="23"/>
      <c r="K83" s="23"/>
      <c r="L83" s="23"/>
      <c r="M83" s="23"/>
      <c r="N83" s="23"/>
    </row>
    <row r="84" spans="2:23" ht="21">
      <c r="B84" s="702" t="s">
        <v>167</v>
      </c>
      <c r="C84" s="46"/>
      <c r="D84" s="46"/>
      <c r="E84" s="46"/>
      <c r="F84" s="46"/>
      <c r="G84" s="46"/>
      <c r="H84" s="46"/>
      <c r="I84" s="46"/>
      <c r="J84" s="46"/>
      <c r="K84" s="46"/>
      <c r="L84" s="46"/>
      <c r="M84" s="46"/>
      <c r="N84" s="46"/>
      <c r="O84" s="46"/>
      <c r="P84" s="46"/>
      <c r="Q84" s="46"/>
      <c r="R84" s="46"/>
      <c r="S84" s="46"/>
      <c r="T84" s="46"/>
      <c r="U84" s="46"/>
      <c r="V84" s="46"/>
      <c r="W84" s="46"/>
    </row>
    <row r="85" spans="2:23">
      <c r="B85" s="13"/>
      <c r="C85" s="14"/>
      <c r="D85" s="15"/>
      <c r="E85" s="15"/>
      <c r="F85" s="15"/>
      <c r="G85" s="15"/>
      <c r="H85" s="15"/>
      <c r="I85" s="15"/>
      <c r="J85" s="15"/>
      <c r="K85" s="15"/>
      <c r="L85" s="15"/>
      <c r="M85" s="15"/>
      <c r="N85" s="15"/>
      <c r="O85" s="15"/>
      <c r="P85" s="15"/>
      <c r="Q85" s="15"/>
      <c r="R85" s="15"/>
      <c r="S85" s="15"/>
      <c r="T85" s="15"/>
      <c r="U85" s="15"/>
      <c r="V85" s="15"/>
      <c r="W85" s="15"/>
    </row>
    <row r="86" spans="2:23" ht="155">
      <c r="B86" s="13" t="s">
        <v>21</v>
      </c>
      <c r="C86" s="14" t="s">
        <v>1214</v>
      </c>
      <c r="D86" s="15" t="s">
        <v>1216</v>
      </c>
      <c r="E86" s="15" t="s">
        <v>1217</v>
      </c>
      <c r="F86" s="15" t="s">
        <v>1218</v>
      </c>
      <c r="G86" s="15" t="s">
        <v>1219</v>
      </c>
      <c r="H86" s="15" t="s">
        <v>1220</v>
      </c>
      <c r="I86" s="15" t="s">
        <v>1221</v>
      </c>
      <c r="J86" s="15" t="s">
        <v>1222</v>
      </c>
      <c r="K86" s="15"/>
      <c r="L86" s="15"/>
      <c r="M86" s="15"/>
      <c r="N86" s="15"/>
      <c r="O86" s="15"/>
      <c r="P86" s="15"/>
      <c r="Q86" s="15"/>
      <c r="R86" s="15"/>
      <c r="S86" s="15"/>
      <c r="T86" s="15"/>
      <c r="U86" s="15"/>
      <c r="V86" s="15"/>
      <c r="W86" s="15"/>
    </row>
    <row r="87" spans="2:23">
      <c r="B87" s="13"/>
      <c r="C87" s="14"/>
      <c r="D87" s="15"/>
      <c r="E87" s="15"/>
      <c r="F87" s="15"/>
      <c r="G87" s="15"/>
      <c r="H87" s="15"/>
      <c r="I87" s="15"/>
      <c r="J87" s="15"/>
      <c r="K87" s="15"/>
      <c r="L87" s="15"/>
      <c r="M87" s="15"/>
      <c r="N87" s="15"/>
      <c r="O87" s="15"/>
      <c r="P87" s="15"/>
      <c r="Q87" s="15"/>
      <c r="R87" s="15"/>
      <c r="S87" s="15"/>
      <c r="T87" s="15"/>
      <c r="U87" s="15"/>
      <c r="V87" s="15"/>
      <c r="W87" s="15"/>
    </row>
    <row r="88" spans="2:23">
      <c r="B88" s="47" t="s">
        <v>169</v>
      </c>
      <c r="C88" s="48"/>
      <c r="D88" s="48"/>
      <c r="E88" s="48"/>
      <c r="F88" s="48"/>
      <c r="G88" s="48"/>
      <c r="H88" s="48"/>
      <c r="I88" s="48"/>
      <c r="J88" s="48"/>
      <c r="K88" s="48"/>
      <c r="L88" s="48"/>
      <c r="M88" s="48"/>
      <c r="N88" s="48"/>
      <c r="O88" s="48"/>
      <c r="P88" s="48"/>
      <c r="Q88" s="48"/>
      <c r="R88" s="48"/>
      <c r="S88" s="48"/>
      <c r="T88" s="48"/>
      <c r="U88" s="48"/>
      <c r="V88" s="48"/>
      <c r="W88" s="48"/>
    </row>
    <row r="89" spans="2:23">
      <c r="B89" s="16" t="s">
        <v>23</v>
      </c>
      <c r="C89" s="17">
        <v>0.4653164787335438</v>
      </c>
      <c r="D89" s="18">
        <v>0.4940851264947577</v>
      </c>
      <c r="E89" s="18">
        <v>0.6082442072270371</v>
      </c>
      <c r="F89" s="18">
        <v>0.3655716050500687</v>
      </c>
      <c r="G89" s="18">
        <v>0.5479294928557187</v>
      </c>
      <c r="H89" s="18">
        <v>0.5803640102253235</v>
      </c>
      <c r="I89" s="18">
        <v>0.596881851890144</v>
      </c>
      <c r="J89" s="18">
        <v>0.5504325770970546</v>
      </c>
      <c r="K89" s="9"/>
      <c r="L89" s="9"/>
      <c r="M89" s="9"/>
      <c r="N89" s="9"/>
      <c r="O89" s="9"/>
      <c r="P89" s="9"/>
      <c r="Q89" s="9"/>
      <c r="R89" s="9"/>
      <c r="S89" s="9"/>
      <c r="T89" s="9"/>
      <c r="U89" s="9"/>
      <c r="V89" s="9"/>
      <c r="W89" s="9"/>
    </row>
    <row r="90" spans="2:23">
      <c r="B90" s="47" t="s">
        <v>171</v>
      </c>
      <c r="C90" s="48"/>
      <c r="D90" s="48"/>
      <c r="E90" s="48"/>
      <c r="F90" s="48"/>
      <c r="G90" s="48"/>
      <c r="H90" s="48"/>
      <c r="I90" s="48"/>
      <c r="J90" s="48"/>
      <c r="K90" s="48"/>
      <c r="L90" s="48"/>
      <c r="M90" s="48"/>
      <c r="N90" s="48"/>
      <c r="O90" s="48"/>
      <c r="P90" s="48"/>
      <c r="Q90" s="48"/>
      <c r="R90" s="48"/>
      <c r="S90" s="48"/>
      <c r="T90" s="48"/>
      <c r="U90" s="48"/>
      <c r="V90" s="48"/>
      <c r="W90" s="48"/>
    </row>
    <row r="91" spans="2:23">
      <c r="B91" s="16" t="s">
        <v>172</v>
      </c>
      <c r="C91" s="19" t="s">
        <v>2827</v>
      </c>
      <c r="D91" s="20" t="s">
        <v>2827</v>
      </c>
      <c r="E91" s="20" t="s">
        <v>2828</v>
      </c>
      <c r="F91" s="20" t="s">
        <v>2829</v>
      </c>
      <c r="G91" s="20" t="s">
        <v>2828</v>
      </c>
      <c r="H91" s="20" t="s">
        <v>2828</v>
      </c>
      <c r="I91" s="20" t="s">
        <v>2828</v>
      </c>
      <c r="J91" s="20" t="s">
        <v>2828</v>
      </c>
      <c r="K91" s="10"/>
      <c r="L91" s="10"/>
      <c r="M91" s="10"/>
      <c r="N91" s="10"/>
      <c r="O91" s="10"/>
      <c r="P91" s="10"/>
      <c r="Q91" s="10"/>
      <c r="R91" s="10"/>
      <c r="S91" s="10"/>
      <c r="T91" s="10"/>
      <c r="U91" s="10"/>
      <c r="V91" s="10"/>
      <c r="W91" s="10"/>
    </row>
    <row r="92" spans="2:23">
      <c r="B92" s="16" t="s">
        <v>174</v>
      </c>
      <c r="C92" s="19" t="s">
        <v>2828</v>
      </c>
      <c r="D92" s="20" t="s">
        <v>2830</v>
      </c>
      <c r="E92" s="20" t="s">
        <v>2831</v>
      </c>
      <c r="F92" s="20" t="s">
        <v>2827</v>
      </c>
      <c r="G92" s="20" t="s">
        <v>2828</v>
      </c>
      <c r="H92" s="20" t="s">
        <v>2830</v>
      </c>
      <c r="I92" s="20" t="s">
        <v>2831</v>
      </c>
      <c r="J92" s="20" t="s">
        <v>2831</v>
      </c>
      <c r="K92" s="10"/>
      <c r="L92" s="10"/>
      <c r="M92" s="10"/>
      <c r="N92" s="10"/>
      <c r="O92" s="10"/>
      <c r="P92" s="10"/>
      <c r="Q92" s="10"/>
      <c r="R92" s="10"/>
      <c r="S92" s="10"/>
      <c r="T92" s="10"/>
      <c r="U92" s="10"/>
      <c r="V92" s="10"/>
      <c r="W92" s="10"/>
    </row>
    <row r="93" spans="2:23">
      <c r="B93" s="16" t="s">
        <v>176</v>
      </c>
      <c r="C93" s="19" t="s">
        <v>2827</v>
      </c>
      <c r="D93" s="20" t="s">
        <v>2828</v>
      </c>
      <c r="E93" s="20" t="s">
        <v>2832</v>
      </c>
      <c r="F93" s="20" t="s">
        <v>2828</v>
      </c>
      <c r="G93" s="20" t="s">
        <v>2832</v>
      </c>
      <c r="H93" s="20" t="s">
        <v>2832</v>
      </c>
      <c r="I93" s="20" t="s">
        <v>2831</v>
      </c>
      <c r="J93" s="20" t="s">
        <v>2831</v>
      </c>
      <c r="K93" s="10"/>
      <c r="L93" s="10"/>
      <c r="M93" s="10"/>
      <c r="N93" s="10"/>
      <c r="O93" s="10"/>
      <c r="P93" s="10"/>
      <c r="Q93" s="10"/>
      <c r="R93" s="10"/>
      <c r="S93" s="10"/>
      <c r="T93" s="10"/>
      <c r="U93" s="10"/>
      <c r="V93" s="10"/>
      <c r="W93" s="10"/>
    </row>
    <row r="94" spans="2:23">
      <c r="B94" s="16" t="s">
        <v>178</v>
      </c>
      <c r="C94" s="19" t="s">
        <v>2828</v>
      </c>
      <c r="D94" s="20" t="s">
        <v>2832</v>
      </c>
      <c r="E94" s="20" t="s">
        <v>2832</v>
      </c>
      <c r="F94" s="20" t="s">
        <v>2830</v>
      </c>
      <c r="G94" s="20" t="s">
        <v>2831</v>
      </c>
      <c r="H94" s="20" t="s">
        <v>2830</v>
      </c>
      <c r="I94" s="20" t="s">
        <v>2832</v>
      </c>
      <c r="J94" s="20" t="s">
        <v>2832</v>
      </c>
      <c r="K94" s="10"/>
      <c r="L94" s="10"/>
      <c r="M94" s="10"/>
      <c r="N94" s="10"/>
      <c r="O94" s="10"/>
      <c r="P94" s="10"/>
      <c r="Q94" s="10"/>
      <c r="R94" s="10"/>
      <c r="S94" s="10"/>
      <c r="T94" s="10"/>
      <c r="U94" s="10"/>
      <c r="V94" s="10"/>
      <c r="W94" s="10"/>
    </row>
    <row r="95" spans="2:23">
      <c r="B95" s="16" t="s">
        <v>180</v>
      </c>
      <c r="C95" s="19" t="s">
        <v>2828</v>
      </c>
      <c r="D95" s="20" t="s">
        <v>2828</v>
      </c>
      <c r="E95" s="20" t="s">
        <v>2831</v>
      </c>
      <c r="F95" s="20" t="s">
        <v>2829</v>
      </c>
      <c r="G95" s="20" t="s">
        <v>2828</v>
      </c>
      <c r="H95" s="20" t="s">
        <v>2828</v>
      </c>
      <c r="I95" s="20" t="s">
        <v>2831</v>
      </c>
      <c r="J95" s="20" t="s">
        <v>2828</v>
      </c>
      <c r="K95" s="10"/>
      <c r="L95" s="10"/>
      <c r="M95" s="10"/>
      <c r="N95" s="10"/>
      <c r="O95" s="10"/>
      <c r="P95" s="10"/>
      <c r="Q95" s="10"/>
      <c r="R95" s="10"/>
      <c r="S95" s="10"/>
      <c r="T95" s="10"/>
      <c r="U95" s="10"/>
      <c r="V95" s="10"/>
      <c r="W95" s="10"/>
    </row>
    <row r="96" spans="2:23">
      <c r="B96" s="16" t="s">
        <v>182</v>
      </c>
      <c r="C96" s="19" t="s">
        <v>2830</v>
      </c>
      <c r="D96" s="20" t="s">
        <v>2830</v>
      </c>
      <c r="E96" s="20" t="s">
        <v>2830</v>
      </c>
      <c r="F96" s="20" t="s">
        <v>2830</v>
      </c>
      <c r="G96" s="20" t="s">
        <v>2830</v>
      </c>
      <c r="H96" s="20" t="s">
        <v>2830</v>
      </c>
      <c r="I96" s="20" t="s">
        <v>2830</v>
      </c>
      <c r="J96" s="20" t="s">
        <v>2830</v>
      </c>
      <c r="K96" s="10"/>
      <c r="L96" s="10"/>
      <c r="M96" s="10"/>
      <c r="N96" s="10"/>
      <c r="O96" s="10"/>
      <c r="P96" s="10"/>
      <c r="Q96" s="10"/>
      <c r="R96" s="10"/>
      <c r="S96" s="10"/>
      <c r="T96" s="10"/>
      <c r="U96" s="10"/>
      <c r="V96" s="10"/>
      <c r="W96" s="10"/>
    </row>
    <row r="97" spans="2:23">
      <c r="B97" s="47" t="s">
        <v>184</v>
      </c>
      <c r="C97" s="48"/>
      <c r="D97" s="48"/>
      <c r="E97" s="48"/>
      <c r="F97" s="48"/>
      <c r="G97" s="48"/>
      <c r="H97" s="48"/>
      <c r="I97" s="48"/>
      <c r="J97" s="48"/>
      <c r="K97" s="48"/>
      <c r="L97" s="48"/>
      <c r="M97" s="48"/>
      <c r="N97" s="48"/>
      <c r="O97" s="48"/>
      <c r="P97" s="48"/>
      <c r="Q97" s="48"/>
      <c r="R97" s="48"/>
      <c r="S97" s="48"/>
      <c r="T97" s="48"/>
      <c r="U97" s="48"/>
      <c r="V97" s="48"/>
      <c r="W97" s="48"/>
    </row>
    <row r="98" spans="2:23">
      <c r="B98" s="16" t="s">
        <v>185</v>
      </c>
      <c r="C98" s="19" t="s">
        <v>2827</v>
      </c>
      <c r="D98" s="20" t="s">
        <v>2830</v>
      </c>
      <c r="E98" s="20" t="s">
        <v>2831</v>
      </c>
      <c r="F98" s="20" t="s">
        <v>2830</v>
      </c>
      <c r="G98" s="20" t="s">
        <v>2831</v>
      </c>
      <c r="H98" s="20" t="s">
        <v>2830</v>
      </c>
      <c r="I98" s="20" t="s">
        <v>2831</v>
      </c>
      <c r="J98" s="20" t="s">
        <v>2830</v>
      </c>
      <c r="K98" s="21"/>
      <c r="L98" s="21"/>
      <c r="M98" s="21"/>
      <c r="N98" s="21"/>
      <c r="O98" s="21"/>
      <c r="P98" s="21"/>
      <c r="Q98" s="21"/>
      <c r="R98" s="21"/>
      <c r="S98" s="21"/>
      <c r="T98" s="21"/>
      <c r="U98" s="21"/>
      <c r="V98" s="21"/>
      <c r="W98" s="21"/>
    </row>
    <row r="99" spans="2:23">
      <c r="B99" s="16" t="s">
        <v>187</v>
      </c>
      <c r="C99" s="19" t="s">
        <v>2830</v>
      </c>
      <c r="D99" s="20" t="s">
        <v>2830</v>
      </c>
      <c r="E99" s="20" t="s">
        <v>2830</v>
      </c>
      <c r="F99" s="20" t="s">
        <v>2830</v>
      </c>
      <c r="G99" s="20" t="s">
        <v>2830</v>
      </c>
      <c r="H99" s="20" t="s">
        <v>2833</v>
      </c>
      <c r="I99" s="20" t="s">
        <v>2829</v>
      </c>
      <c r="J99" s="20" t="s">
        <v>2830</v>
      </c>
      <c r="K99" s="10"/>
      <c r="L99" s="10"/>
      <c r="M99" s="10"/>
      <c r="N99" s="10"/>
      <c r="O99" s="10"/>
      <c r="P99" s="10"/>
      <c r="Q99" s="10"/>
      <c r="R99" s="10"/>
      <c r="S99" s="10"/>
      <c r="T99" s="10"/>
      <c r="U99" s="10"/>
      <c r="V99" s="10"/>
      <c r="W99" s="10"/>
    </row>
    <row r="100" spans="2:23">
      <c r="B100" s="16" t="s">
        <v>189</v>
      </c>
      <c r="C100" s="19" t="s">
        <v>2830</v>
      </c>
      <c r="D100" s="20" t="s">
        <v>2830</v>
      </c>
      <c r="E100" s="20" t="s">
        <v>2832</v>
      </c>
      <c r="F100" s="20" t="s">
        <v>2830</v>
      </c>
      <c r="G100" s="20" t="s">
        <v>2830</v>
      </c>
      <c r="H100" s="20" t="s">
        <v>2828</v>
      </c>
      <c r="I100" s="20" t="s">
        <v>2828</v>
      </c>
      <c r="J100" s="20" t="s">
        <v>2830</v>
      </c>
      <c r="K100" s="10"/>
      <c r="L100" s="10"/>
      <c r="M100" s="10"/>
      <c r="N100" s="10"/>
      <c r="O100" s="10"/>
      <c r="P100" s="10"/>
      <c r="Q100" s="10"/>
      <c r="R100" s="10"/>
      <c r="S100" s="10"/>
      <c r="T100" s="10"/>
      <c r="U100" s="10"/>
      <c r="V100" s="10"/>
      <c r="W100" s="10"/>
    </row>
    <row r="101" spans="2:23">
      <c r="B101" s="16" t="s">
        <v>191</v>
      </c>
      <c r="C101" s="19" t="s">
        <v>2827</v>
      </c>
      <c r="D101" s="20" t="s">
        <v>2830</v>
      </c>
      <c r="E101" s="20" t="s">
        <v>2834</v>
      </c>
      <c r="F101" s="20" t="s">
        <v>2830</v>
      </c>
      <c r="G101" s="20" t="s">
        <v>2830</v>
      </c>
      <c r="H101" s="20" t="s">
        <v>2834</v>
      </c>
      <c r="I101" s="20" t="s">
        <v>2834</v>
      </c>
      <c r="J101" s="20" t="s">
        <v>2830</v>
      </c>
      <c r="K101" s="10"/>
      <c r="L101" s="10"/>
      <c r="M101" s="10"/>
      <c r="N101" s="10"/>
      <c r="O101" s="10"/>
      <c r="P101" s="10"/>
      <c r="Q101" s="10"/>
      <c r="R101" s="10"/>
      <c r="S101" s="10"/>
      <c r="T101" s="10"/>
      <c r="U101" s="10"/>
      <c r="V101" s="10"/>
      <c r="W101" s="10"/>
    </row>
    <row r="102" spans="2:23">
      <c r="B102" s="25"/>
      <c r="C102" s="26"/>
      <c r="D102" s="26"/>
      <c r="E102" s="26"/>
      <c r="F102" s="26"/>
      <c r="G102" s="26"/>
      <c r="H102" s="26"/>
      <c r="I102" s="26"/>
      <c r="J102" s="26"/>
      <c r="K102" s="26"/>
      <c r="L102" s="26"/>
      <c r="M102" s="26"/>
      <c r="N102" s="26"/>
      <c r="O102" s="26"/>
      <c r="P102" s="26"/>
      <c r="Q102" s="26"/>
      <c r="R102" s="26"/>
      <c r="S102" s="26"/>
      <c r="T102" s="26"/>
      <c r="U102" s="26"/>
      <c r="V102" s="26"/>
      <c r="W102" s="26"/>
    </row>
  </sheetData>
  <pageMargins left="0.25" right="0.25" top="0.75" bottom="0.75" header="0.3" footer="0.3"/>
  <pageSetup fitToHeight="0" r:id="rId1" orientation="landscape" scale="55"/>
  <headerFooter>
    <oddHeader>&amp;L&amp;"-,Bold"&amp;K4438CAMarket Analysis Report&amp;R&amp;"-,Bold"&amp;K4438CAAs of: &amp;D</oddHeader>
    <oddFooter>&amp;L&amp;"-,Bold"&amp;K4438CAHelloData.ai</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190D3-6A43-41A0-A9D3-BB48E414D8C6}">
  <sheetPr codeName="Sheet12"/>
  <dimension ref="B1:J500"/>
  <sheetViews>
    <sheetView showGridLines="false" zoomScaleNormal="100" workbookViewId="0"/>
  </sheetViews>
  <sheetFormatPr defaultRowHeight="14.5"/>
  <cols>
    <col customWidth="true" max="1" min="1" style="55" width="2.6328125"/>
    <col customWidth="true" max="2" min="2" style="55" width="34.7265625"/>
    <col customWidth="true" max="3" min="3" style="299" width="79.08984375"/>
    <col customWidth="true" max="5" min="4" style="301" width="14.81640625"/>
    <col customWidth="true" max="7" min="6" style="55" width="14.81640625"/>
    <col customWidth="true" hidden="true" max="8" min="8" style="55" width="12.54296875"/>
    <col customWidth="true" hidden="true" max="9" min="9" style="55" width="15"/>
    <col customWidth="true" max="10" min="10" style="55" width="14"/>
    <col max="16384" min="11" style="55" width="8.7265625"/>
  </cols>
  <sheetData>
    <row r="1" spans="2:10" ht="8" customHeight="true"/>
    <row r="2" spans="2:10" ht="21">
      <c r="B2" s="698" t="s">
        <v>771</v>
      </c>
    </row>
    <row r="3" spans="2:10">
      <c r="B3" s="47" t="s">
        <v>11</v>
      </c>
      <c r="C3" s="501" t="s">
        <v>753</v>
      </c>
      <c r="D3" s="502" t="s">
        <v>754</v>
      </c>
      <c r="E3" s="502" t="s">
        <v>755</v>
      </c>
      <c r="F3" s="502" t="s">
        <v>849</v>
      </c>
      <c r="G3" s="502" t="s">
        <v>852</v>
      </c>
      <c r="H3" s="502" t="s">
        <v>850</v>
      </c>
      <c r="I3" s="502" t="s">
        <v>854</v>
      </c>
      <c r="J3" s="502" t="s">
        <v>853</v>
      </c>
    </row>
    <row r="4" spans="2:10">
      <c r="B4" s="24" t="s">
        <v>1214</v>
      </c>
      <c r="C4" s="24" t="s">
        <v>2835</v>
      </c>
      <c r="D4" s="59" t="s">
        <v>2900</v>
      </c>
      <c r="E4" s="59" t="s">
        <v>2983</v>
      </c>
      <c r="F4" s="59" t="s">
        <v>1191</v>
      </c>
      <c r="G4" s="59"/>
      <c r="H4" s="59" t="s">
        <v>2911</v>
      </c>
      <c r="I4" s="59" t="str" cm="1">
        <f t="array" aca="true" ref="I4" ca="true">IF(INDIRECT("B"&amp;ROW())="{{v:[subject.[{building_name},concessions_history.#.{concessions}].@fill|@flatten.#.building_name,comparables.#.[{building_name},concessions_history.#.{concessions}].@fill|@flatten.#.building_name].@flatten}}","",IF(ISBLANK(INDIRECT("B"&amp;ROW())), "", INDIRECT("B"&amp;ROW()) &amp; " - " &amp; INDIRECT("J"&amp;ROW())))</f>
      </c>
      <c r="J4" s="59" t="str" cm="1">
        <f t="array" aca="true" ref="J4" ca="true">IF(INDIRECT("E"&amp;ROW())=0,"",IF(INDIRECT("H"&amp;ROW())=INDIRECT("E"&amp;ROW()),"Active","Expired"))</f>
        <v>Expired</v>
      </c>
    </row>
    <row r="5" spans="2:10">
      <c r="B5" s="24" t="s">
        <v>1214</v>
      </c>
      <c r="C5" s="24" t="s">
        <v>2836</v>
      </c>
      <c r="D5" s="59" t="s">
        <v>2901</v>
      </c>
      <c r="E5" s="59" t="s">
        <v>2984</v>
      </c>
      <c r="G5" s="59"/>
      <c r="H5" s="59" t="s">
        <v>2911</v>
      </c>
      <c r="I5" s="59" t="str" cm="1">
        <f t="array" aca="true" ref="I5" ca="true">IF(ISBLANK(INDIRECT("B"&amp;ROW())), "", INDIRECT("B"&amp;ROW()) &amp; " - " &amp; INDIRECT("J"&amp;ROW()))</f>
      </c>
      <c r="J5" s="59" t="str" cm="1">
        <f t="array" aca="true" ref="J5" ca="true">IF(INDIRECT("E"&amp;ROW())=0,"",IF(INDIRECT("H"&amp;ROW())=INDIRECT("E"&amp;ROW()),"Active","Expired"))</f>
      </c>
    </row>
    <row r="6" spans="2:10">
      <c r="B6" s="24" t="s">
        <v>1214</v>
      </c>
      <c r="C6" s="24" t="s">
        <v>2837</v>
      </c>
      <c r="D6" s="59" t="s">
        <v>2902</v>
      </c>
      <c r="E6" s="59" t="s">
        <v>2902</v>
      </c>
      <c r="G6" s="59"/>
      <c r="H6" s="59" t="s">
        <v>2911</v>
      </c>
      <c r="I6" s="59" t="str" cm="1">
        <f t="array" aca="true" ref="I6" ca="true">IF(ISBLANK(INDIRECT("B"&amp;ROW())), "", INDIRECT("B"&amp;ROW()) &amp; " - " &amp; INDIRECT("J"&amp;ROW()))</f>
      </c>
      <c r="J6" s="59" t="str" cm="1">
        <f t="array" aca="true" ref="J6" ca="true">IF(INDIRECT("E"&amp;ROW())=0,"",IF(INDIRECT("H"&amp;ROW())=INDIRECT("E"&amp;ROW()),"Active","Expired"))</f>
      </c>
    </row>
    <row r="7" spans="2:10">
      <c r="B7" s="24" t="s">
        <v>1214</v>
      </c>
      <c r="C7" s="24" t="s">
        <v>2838</v>
      </c>
      <c r="D7" s="59" t="s">
        <v>2903</v>
      </c>
      <c r="E7" s="59" t="s">
        <v>2985</v>
      </c>
      <c r="G7" s="59"/>
      <c r="H7" s="59" t="s">
        <v>2911</v>
      </c>
      <c r="I7" s="59" t="str" cm="1">
        <f t="array" aca="true" ref="I7" ca="true">IF(ISBLANK(INDIRECT("B"&amp;ROW())), "", INDIRECT("B"&amp;ROW()) &amp; " - " &amp; INDIRECT("J"&amp;ROW()))</f>
      </c>
      <c r="J7" s="59" t="str" cm="1">
        <f t="array" aca="true" ref="J7" ca="true">IF(INDIRECT("E"&amp;ROW())=0,"",IF(INDIRECT("H"&amp;ROW())=INDIRECT("E"&amp;ROW()),"Active","Expired"))</f>
      </c>
    </row>
    <row r="8" spans="2:10">
      <c r="B8" s="24" t="s">
        <v>1214</v>
      </c>
      <c r="C8" s="24" t="s">
        <v>2839</v>
      </c>
      <c r="D8" s="59" t="s">
        <v>2904</v>
      </c>
      <c r="E8" s="59" t="s">
        <v>2904</v>
      </c>
      <c r="G8" s="59"/>
      <c r="H8" s="59" t="s">
        <v>2911</v>
      </c>
      <c r="I8" s="59" t="str" cm="1">
        <f t="array" aca="true" ref="I8" ca="true">IF(ISBLANK(INDIRECT("B"&amp;ROW())), "", INDIRECT("B"&amp;ROW()) &amp; " - " &amp; INDIRECT("J"&amp;ROW()))</f>
      </c>
      <c r="J8" s="59" t="str" cm="1">
        <f t="array" aca="true" ref="J8" ca="true">IF(INDIRECT("E"&amp;ROW())=0,"",IF(INDIRECT("H"&amp;ROW())=INDIRECT("E"&amp;ROW()),"Active","Expired"))</f>
      </c>
    </row>
    <row r="9" spans="2:10">
      <c r="B9" s="24" t="s">
        <v>1214</v>
      </c>
      <c r="C9" s="24" t="s">
        <v>2840</v>
      </c>
      <c r="D9" s="59" t="s">
        <v>2905</v>
      </c>
      <c r="E9" s="59" t="s">
        <v>2986</v>
      </c>
      <c r="G9" s="59"/>
      <c r="H9" s="59" t="s">
        <v>2911</v>
      </c>
      <c r="I9" s="59" t="str" cm="1">
        <f t="array" aca="true" ref="I9" ca="true">IF(ISBLANK(INDIRECT("B"&amp;ROW())), "", INDIRECT("B"&amp;ROW()) &amp; " - " &amp; INDIRECT("J"&amp;ROW()))</f>
      </c>
      <c r="J9" s="59" t="str" cm="1">
        <f t="array" aca="true" ref="J9" ca="true">IF(INDIRECT("E"&amp;ROW())=0,"",IF(INDIRECT("H"&amp;ROW())=INDIRECT("E"&amp;ROW()),"Active","Expired"))</f>
      </c>
    </row>
    <row r="10" spans="2:10">
      <c r="B10" s="24" t="s">
        <v>1214</v>
      </c>
      <c r="C10" s="24" t="s">
        <v>2841</v>
      </c>
      <c r="D10" s="59" t="s">
        <v>2906</v>
      </c>
      <c r="E10" s="59" t="s">
        <v>2987</v>
      </c>
      <c r="G10" s="59"/>
      <c r="H10" s="59" t="s">
        <v>2911</v>
      </c>
      <c r="I10" s="59" t="str" cm="1">
        <f t="array" aca="true" ref="I10" ca="true">IF(ISBLANK(INDIRECT("B"&amp;ROW())), "", INDIRECT("B"&amp;ROW()) &amp; " - " &amp; INDIRECT("J"&amp;ROW()))</f>
      </c>
      <c r="J10" s="59" t="str" cm="1">
        <f t="array" aca="true" ref="J10" ca="true">IF(INDIRECT("E"&amp;ROW())=0,"",IF(INDIRECT("H"&amp;ROW())=INDIRECT("E"&amp;ROW()),"Active","Expired"))</f>
      </c>
    </row>
    <row r="11" spans="2:10">
      <c r="B11" s="24" t="s">
        <v>1214</v>
      </c>
      <c r="C11" s="24" t="s">
        <v>2842</v>
      </c>
      <c r="D11" s="59" t="s">
        <v>2907</v>
      </c>
      <c r="E11" s="59" t="s">
        <v>2907</v>
      </c>
      <c r="G11" s="59"/>
      <c r="H11" s="59" t="s">
        <v>2911</v>
      </c>
      <c r="I11" s="59" t="str" cm="1">
        <f t="array" aca="true" ref="I11" ca="true">IF(ISBLANK(INDIRECT("B"&amp;ROW())), "", INDIRECT("B"&amp;ROW()) &amp; " - " &amp; INDIRECT("J"&amp;ROW()))</f>
      </c>
      <c r="J11" s="59" t="str" cm="1">
        <f t="array" aca="true" ref="J11" ca="true">IF(INDIRECT("E"&amp;ROW())=0,"",IF(INDIRECT("H"&amp;ROW())=INDIRECT("E"&amp;ROW()),"Active","Expired"))</f>
      </c>
    </row>
    <row r="12" spans="2:10">
      <c r="B12" s="24" t="s">
        <v>1214</v>
      </c>
      <c r="C12" s="24" t="s">
        <v>2843</v>
      </c>
      <c r="D12" s="59" t="s">
        <v>2908</v>
      </c>
      <c r="E12" s="59" t="s">
        <v>2908</v>
      </c>
      <c r="G12" s="59" t="s">
        <v>3042</v>
      </c>
      <c r="H12" s="59" t="s">
        <v>2911</v>
      </c>
      <c r="I12" s="59" t="str" cm="1">
        <f t="array" aca="true" ref="I12" ca="true">IF(ISBLANK(INDIRECT("B"&amp;ROW())), "", INDIRECT("B"&amp;ROW()) &amp; " - " &amp; INDIRECT("J"&amp;ROW()))</f>
      </c>
      <c r="J12" s="59" t="str" cm="1">
        <f t="array" aca="true" ref="J12" ca="true">IF(INDIRECT("E"&amp;ROW())=0,"",IF(INDIRECT("H"&amp;ROW())=INDIRECT("E"&amp;ROW()),"Active","Expired"))</f>
      </c>
    </row>
    <row r="13" spans="2:10">
      <c r="B13" s="24" t="s">
        <v>1214</v>
      </c>
      <c r="C13" s="24" t="s">
        <v>2844</v>
      </c>
      <c r="D13" s="59" t="s">
        <v>2909</v>
      </c>
      <c r="E13" s="59" t="s">
        <v>2988</v>
      </c>
      <c r="G13" s="59" t="s">
        <v>2994</v>
      </c>
      <c r="H13" s="59" t="s">
        <v>2911</v>
      </c>
      <c r="I13" s="59" t="str" cm="1">
        <f t="array" aca="true" ref="I13" ca="true">IF(ISBLANK(INDIRECT("B"&amp;ROW())), "", INDIRECT("B"&amp;ROW()) &amp; " - " &amp; INDIRECT("J"&amp;ROW()))</f>
      </c>
      <c r="J13" s="59" t="str" cm="1">
        <f t="array" aca="true" ref="J13" ca="true">IF(INDIRECT("E"&amp;ROW())=0,"",IF(INDIRECT("H"&amp;ROW())=INDIRECT("E"&amp;ROW()),"Active","Expired"))</f>
      </c>
    </row>
    <row r="14" spans="2:10">
      <c r="B14" s="24" t="s">
        <v>1214</v>
      </c>
      <c r="C14" s="24" t="s">
        <v>2844</v>
      </c>
      <c r="D14" s="59" t="s">
        <v>2910</v>
      </c>
      <c r="E14" s="59" t="s">
        <v>2989</v>
      </c>
      <c r="G14" s="59" t="s">
        <v>2993</v>
      </c>
      <c r="H14" s="59" t="s">
        <v>2911</v>
      </c>
      <c r="I14" s="59" t="str" cm="1">
        <f t="array" aca="true" ref="I14" ca="true">IF(ISBLANK(INDIRECT("B"&amp;ROW())), "", INDIRECT("B"&amp;ROW()) &amp; " - " &amp; INDIRECT("J"&amp;ROW()))</f>
      </c>
      <c r="J14" s="59" t="str" cm="1">
        <f t="array" aca="true" ref="J14" ca="true">IF(INDIRECT("E"&amp;ROW())=0,"",IF(INDIRECT("H"&amp;ROW())=INDIRECT("E"&amp;ROW()),"Active","Expired"))</f>
      </c>
    </row>
    <row r="15" spans="2:10">
      <c r="B15" s="24" t="s">
        <v>1214</v>
      </c>
      <c r="C15" s="24" t="s">
        <v>2844</v>
      </c>
      <c r="D15" s="59" t="s">
        <v>2911</v>
      </c>
      <c r="E15" s="59" t="s">
        <v>2911</v>
      </c>
      <c r="G15" s="59" t="s">
        <v>3043</v>
      </c>
      <c r="H15" s="59" t="s">
        <v>2911</v>
      </c>
      <c r="I15" s="59" t="str" cm="1">
        <f t="array" aca="true" ref="I15" ca="true">IF(ISBLANK(INDIRECT("B"&amp;ROW())), "", INDIRECT("B"&amp;ROW()) &amp; " - " &amp; INDIRECT("J"&amp;ROW()))</f>
      </c>
      <c r="J15" s="59" t="str" cm="1">
        <f t="array" aca="true" ref="J15" ca="true">IF(INDIRECT("E"&amp;ROW())=0,"",IF(INDIRECT("H"&amp;ROW())=INDIRECT("E"&amp;ROW()),"Active","Expired"))</f>
      </c>
    </row>
    <row r="16" spans="2:10">
      <c r="B16" s="24" t="s">
        <v>1217</v>
      </c>
      <c r="C16" s="24" t="s">
        <v>2845</v>
      </c>
      <c r="D16" s="59" t="s">
        <v>2912</v>
      </c>
      <c r="E16" s="59" t="s">
        <v>2990</v>
      </c>
      <c r="G16" s="59" t="s">
        <v>3043</v>
      </c>
      <c r="H16" s="59" t="s">
        <v>2911</v>
      </c>
      <c r="I16" s="59" t="str" cm="1">
        <f t="array" aca="true" ref="I16" ca="true">IF(ISBLANK(INDIRECT("B"&amp;ROW())), "", INDIRECT("B"&amp;ROW()) &amp; " - " &amp; INDIRECT("J"&amp;ROW()))</f>
      </c>
      <c r="J16" s="59" t="str" cm="1">
        <f t="array" aca="true" ref="J16" ca="true">IF(INDIRECT("E"&amp;ROW())=0,"",IF(INDIRECT("H"&amp;ROW())=INDIRECT("E"&amp;ROW()),"Active","Expired"))</f>
      </c>
    </row>
    <row r="17" spans="2:10">
      <c r="B17" s="24" t="s">
        <v>1217</v>
      </c>
      <c r="C17" s="24" t="s">
        <v>2846</v>
      </c>
      <c r="D17" s="59" t="s">
        <v>2913</v>
      </c>
      <c r="E17" s="59" t="s">
        <v>2991</v>
      </c>
      <c r="G17" s="59" t="s">
        <v>3044</v>
      </c>
      <c r="H17" s="59" t="s">
        <v>2911</v>
      </c>
      <c r="I17" s="59" t="str" cm="1">
        <f t="array" aca="true" ref="I17" ca="true">IF(ISBLANK(INDIRECT("B"&amp;ROW())), "", INDIRECT("B"&amp;ROW()) &amp; " - " &amp; INDIRECT("J"&amp;ROW()))</f>
      </c>
      <c r="J17" s="59" t="str" cm="1">
        <f t="array" aca="true" ref="J17" ca="true">IF(INDIRECT("E"&amp;ROW())=0,"",IF(INDIRECT("H"&amp;ROW())=INDIRECT("E"&amp;ROW()),"Active","Expired"))</f>
      </c>
    </row>
    <row r="18" spans="2:10">
      <c r="B18" s="24" t="s">
        <v>1217</v>
      </c>
      <c r="C18" s="24" t="s">
        <v>2847</v>
      </c>
      <c r="D18" s="59" t="s">
        <v>2914</v>
      </c>
      <c r="E18" s="59" t="s">
        <v>2992</v>
      </c>
      <c r="G18" s="59" t="s">
        <v>3045</v>
      </c>
      <c r="H18" s="59" t="s">
        <v>2911</v>
      </c>
      <c r="I18" s="59" t="str" cm="1">
        <f t="array" aca="true" ref="I18" ca="true">IF(ISBLANK(INDIRECT("B"&amp;ROW())), "", INDIRECT("B"&amp;ROW()) &amp; " - " &amp; INDIRECT("J"&amp;ROW()))</f>
      </c>
      <c r="J18" s="59" t="str" cm="1">
        <f t="array" aca="true" ref="J18" ca="true">IF(INDIRECT("E"&amp;ROW())=0,"",IF(INDIRECT("H"&amp;ROW())=INDIRECT("E"&amp;ROW()),"Active","Expired"))</f>
      </c>
    </row>
    <row r="19" spans="2:10">
      <c r="B19" s="24" t="s">
        <v>1217</v>
      </c>
      <c r="C19" s="24" t="s">
        <v>2848</v>
      </c>
      <c r="D19" s="59" t="s">
        <v>2915</v>
      </c>
      <c r="E19" s="59" t="s">
        <v>2993</v>
      </c>
      <c r="G19" s="59" t="s">
        <v>3046</v>
      </c>
      <c r="H19" s="59" t="s">
        <v>2911</v>
      </c>
      <c r="I19" s="59" t="str" cm="1">
        <f t="array" aca="true" ref="I19" ca="true">IF(ISBLANK(INDIRECT("B"&amp;ROW())), "", INDIRECT("B"&amp;ROW()) &amp; " - " &amp; INDIRECT("J"&amp;ROW()))</f>
      </c>
      <c r="J19" s="59" t="str" cm="1">
        <f t="array" aca="true" ref="J19" ca="true">IF(INDIRECT("E"&amp;ROW())=0,"",IF(INDIRECT("H"&amp;ROW())=INDIRECT("E"&amp;ROW()),"Active","Expired"))</f>
      </c>
    </row>
    <row r="20" spans="2:10">
      <c r="B20" s="24" t="s">
        <v>1217</v>
      </c>
      <c r="C20" s="24" t="s">
        <v>2845</v>
      </c>
      <c r="D20" s="59" t="s">
        <v>2916</v>
      </c>
      <c r="E20" s="59" t="s">
        <v>2994</v>
      </c>
      <c r="G20" s="59" t="s">
        <v>2999</v>
      </c>
      <c r="H20" s="59" t="s">
        <v>2911</v>
      </c>
      <c r="I20" s="59" t="str" cm="1">
        <f t="array" aca="true" ref="I20" ca="true">IF(ISBLANK(INDIRECT("B"&amp;ROW())), "", INDIRECT("B"&amp;ROW()) &amp; " - " &amp; INDIRECT("J"&amp;ROW()))</f>
      </c>
      <c r="J20" s="59" t="str" cm="1">
        <f t="array" aca="true" ref="J20" ca="true">IF(INDIRECT("E"&amp;ROW())=0,"",IF(INDIRECT("H"&amp;ROW())=INDIRECT("E"&amp;ROW()),"Active","Expired"))</f>
      </c>
    </row>
    <row r="21" spans="2:10">
      <c r="B21" s="24" t="s">
        <v>1217</v>
      </c>
      <c r="C21" s="24" t="s">
        <v>2849</v>
      </c>
      <c r="D21" s="59" t="s">
        <v>2917</v>
      </c>
      <c r="E21" s="59" t="s">
        <v>2917</v>
      </c>
      <c r="G21" s="59" t="s">
        <v>3001</v>
      </c>
      <c r="H21" s="59" t="s">
        <v>2911</v>
      </c>
      <c r="I21" s="59" t="str" cm="1">
        <f t="array" aca="true" ref="I21" ca="true">IF(ISBLANK(INDIRECT("B"&amp;ROW())), "", INDIRECT("B"&amp;ROW()) &amp; " - " &amp; INDIRECT("J"&amp;ROW()))</f>
      </c>
      <c r="J21" s="59" t="str" cm="1">
        <f t="array" aca="true" ref="J21" ca="true">IF(INDIRECT("E"&amp;ROW())=0,"",IF(INDIRECT("H"&amp;ROW())=INDIRECT("E"&amp;ROW()),"Active","Expired"))</f>
      </c>
    </row>
    <row r="22" spans="2:10">
      <c r="B22" s="24" t="s">
        <v>1217</v>
      </c>
      <c r="C22" s="24" t="s">
        <v>2850</v>
      </c>
      <c r="D22" s="59" t="s">
        <v>2918</v>
      </c>
      <c r="E22" s="59" t="s">
        <v>2995</v>
      </c>
      <c r="G22" s="59" t="s">
        <v>3003</v>
      </c>
      <c r="H22" s="59" t="s">
        <v>2911</v>
      </c>
      <c r="I22" s="59" t="str" cm="1">
        <f t="array" aca="true" ref="I22" ca="true">IF(ISBLANK(INDIRECT("B"&amp;ROW())), "", INDIRECT("B"&amp;ROW()) &amp; " - " &amp; INDIRECT("J"&amp;ROW()))</f>
      </c>
      <c r="J22" s="59" t="str" cm="1">
        <f t="array" aca="true" ref="J22" ca="true">IF(INDIRECT("E"&amp;ROW())=0,"",IF(INDIRECT("H"&amp;ROW())=INDIRECT("E"&amp;ROW()),"Active","Expired"))</f>
      </c>
    </row>
    <row r="23" spans="2:10">
      <c r="B23" s="24" t="s">
        <v>1217</v>
      </c>
      <c r="C23" s="24" t="s">
        <v>2851</v>
      </c>
      <c r="D23" s="59" t="s">
        <v>2919</v>
      </c>
      <c r="E23" s="59" t="s">
        <v>2996</v>
      </c>
      <c r="G23" s="59" t="s">
        <v>3006</v>
      </c>
      <c r="H23" s="59" t="s">
        <v>2911</v>
      </c>
      <c r="I23" s="59" t="str" cm="1">
        <f t="array" aca="true" ref="I23" ca="true">IF(ISBLANK(INDIRECT("B"&amp;ROW())), "", INDIRECT("B"&amp;ROW()) &amp; " - " &amp; INDIRECT("J"&amp;ROW()))</f>
      </c>
      <c r="J23" s="59" t="str" cm="1">
        <f t="array" aca="true" ref="J23" ca="true">IF(INDIRECT("E"&amp;ROW())=0,"",IF(INDIRECT("H"&amp;ROW())=INDIRECT("E"&amp;ROW()),"Active","Expired"))</f>
      </c>
    </row>
    <row r="24" spans="2:10">
      <c r="B24" s="24" t="s">
        <v>1217</v>
      </c>
      <c r="C24" s="24" t="s">
        <v>2852</v>
      </c>
      <c r="D24" s="59" t="s">
        <v>2920</v>
      </c>
      <c r="E24" s="59" t="s">
        <v>2997</v>
      </c>
      <c r="G24" s="59" t="s">
        <v>3047</v>
      </c>
      <c r="H24" s="59" t="s">
        <v>2911</v>
      </c>
      <c r="I24" s="59" t="str" cm="1">
        <f t="array" aca="true" ref="I24" ca="true">IF(ISBLANK(INDIRECT("B"&amp;ROW())), "", INDIRECT("B"&amp;ROW()) &amp; " - " &amp; INDIRECT("J"&amp;ROW()))</f>
      </c>
      <c r="J24" s="59" t="str" cm="1">
        <f t="array" aca="true" ref="J24" ca="true">IF(INDIRECT("E"&amp;ROW())=0,"",IF(INDIRECT("H"&amp;ROW())=INDIRECT("E"&amp;ROW()),"Active","Expired"))</f>
      </c>
    </row>
    <row r="25" spans="2:10">
      <c r="B25" s="24" t="s">
        <v>1217</v>
      </c>
      <c r="C25" s="24" t="s">
        <v>2853</v>
      </c>
      <c r="D25" s="59" t="s">
        <v>2921</v>
      </c>
      <c r="E25" s="59" t="s">
        <v>2998</v>
      </c>
      <c r="G25" s="59" t="s">
        <v>3048</v>
      </c>
      <c r="H25" s="59" t="s">
        <v>2911</v>
      </c>
      <c r="I25" s="59" t="str" cm="1">
        <f t="array" aca="true" ref="I25" ca="true">IF(ISBLANK(INDIRECT("B"&amp;ROW())), "", INDIRECT("B"&amp;ROW()) &amp; " - " &amp; INDIRECT("J"&amp;ROW()))</f>
      </c>
      <c r="J25" s="59" t="str" cm="1">
        <f t="array" aca="true" ref="J25" ca="true">IF(INDIRECT("E"&amp;ROW())=0,"",IF(INDIRECT("H"&amp;ROW())=INDIRECT("E"&amp;ROW()),"Active","Expired"))</f>
      </c>
    </row>
    <row r="26" spans="2:10">
      <c r="B26" s="24" t="s">
        <v>1217</v>
      </c>
      <c r="C26" s="24" t="s">
        <v>2845</v>
      </c>
      <c r="D26" s="59" t="s">
        <v>2922</v>
      </c>
      <c r="E26" s="59" t="s">
        <v>2922</v>
      </c>
      <c r="G26" s="59"/>
      <c r="H26" s="59" t="s">
        <v>2911</v>
      </c>
      <c r="I26" s="59" t="str" cm="1">
        <f t="array" aca="true" ref="I26" ca="true">IF(ISBLANK(INDIRECT("B"&amp;ROW())), "", INDIRECT("B"&amp;ROW()) &amp; " - " &amp; INDIRECT("J"&amp;ROW()))</f>
      </c>
      <c r="J26" s="59" t="str" cm="1">
        <f t="array" aca="true" ref="J26" ca="true">IF(INDIRECT("E"&amp;ROW())=0,"",IF(INDIRECT("H"&amp;ROW())=INDIRECT("E"&amp;ROW()),"Active","Expired"))</f>
      </c>
    </row>
    <row r="27" spans="2:10">
      <c r="B27" s="24" t="s">
        <v>1217</v>
      </c>
      <c r="C27" s="24" t="s">
        <v>2854</v>
      </c>
      <c r="D27" s="59" t="s">
        <v>2923</v>
      </c>
      <c r="E27" s="59" t="s">
        <v>2999</v>
      </c>
      <c r="G27" s="59" t="s">
        <v>3049</v>
      </c>
      <c r="H27" s="59" t="s">
        <v>2911</v>
      </c>
      <c r="I27" s="59" t="str" cm="1">
        <f t="array" aca="true" ref="I27" ca="true">IF(ISBLANK(INDIRECT("B"&amp;ROW())), "", INDIRECT("B"&amp;ROW()) &amp; " - " &amp; INDIRECT("J"&amp;ROW()))</f>
      </c>
      <c r="J27" s="59" t="str" cm="1">
        <f t="array" aca="true" ref="J27" ca="true">IF(INDIRECT("E"&amp;ROW())=0,"",IF(INDIRECT("H"&amp;ROW())=INDIRECT("E"&amp;ROW()),"Active","Expired"))</f>
      </c>
    </row>
    <row r="28" spans="2:10">
      <c r="B28" s="24" t="s">
        <v>1217</v>
      </c>
      <c r="C28" s="24" t="s">
        <v>2845</v>
      </c>
      <c r="D28" s="59" t="s">
        <v>2924</v>
      </c>
      <c r="E28" s="59" t="s">
        <v>3000</v>
      </c>
      <c r="G28" s="59" t="s">
        <v>3049</v>
      </c>
      <c r="H28" s="59" t="s">
        <v>2911</v>
      </c>
      <c r="I28" s="59" t="str" cm="1">
        <f t="array" aca="true" ref="I28" ca="true">IF(ISBLANK(INDIRECT("B"&amp;ROW())), "", INDIRECT("B"&amp;ROW()) &amp; " - " &amp; INDIRECT("J"&amp;ROW()))</f>
      </c>
      <c r="J28" s="59" t="str" cm="1">
        <f t="array" aca="true" ref="J28" ca="true">IF(INDIRECT("E"&amp;ROW())=0,"",IF(INDIRECT("H"&amp;ROW())=INDIRECT("E"&amp;ROW()),"Active","Expired"))</f>
      </c>
    </row>
    <row r="29" spans="2:10">
      <c r="B29" s="24" t="s">
        <v>1217</v>
      </c>
      <c r="C29" s="24" t="s">
        <v>2855</v>
      </c>
      <c r="D29" s="59" t="s">
        <v>2925</v>
      </c>
      <c r="E29" s="59" t="s">
        <v>3001</v>
      </c>
      <c r="G29" s="59" t="s">
        <v>3050</v>
      </c>
      <c r="H29" s="59" t="s">
        <v>2911</v>
      </c>
      <c r="I29" s="59" t="str" cm="1">
        <f t="array" aca="true" ref="I29" ca="true">IF(ISBLANK(INDIRECT("B"&amp;ROW())), "", INDIRECT("B"&amp;ROW()) &amp; " - " &amp; INDIRECT("J"&amp;ROW()))</f>
      </c>
      <c r="J29" s="59" t="str" cm="1">
        <f t="array" aca="true" ref="J29" ca="true">IF(INDIRECT("E"&amp;ROW())=0,"",IF(INDIRECT("H"&amp;ROW())=INDIRECT("E"&amp;ROW()),"Active","Expired"))</f>
      </c>
    </row>
    <row r="30" spans="2:10">
      <c r="B30" s="24" t="s">
        <v>1217</v>
      </c>
      <c r="C30" s="24" t="s">
        <v>2845</v>
      </c>
      <c r="D30" s="59" t="s">
        <v>2926</v>
      </c>
      <c r="E30" s="59" t="s">
        <v>3002</v>
      </c>
      <c r="G30" s="59" t="s">
        <v>3050</v>
      </c>
      <c r="H30" s="59" t="s">
        <v>2911</v>
      </c>
      <c r="I30" s="59" t="str" cm="1">
        <f t="array" aca="true" ref="I30" ca="true">IF(ISBLANK(INDIRECT("B"&amp;ROW())), "", INDIRECT("B"&amp;ROW()) &amp; " - " &amp; INDIRECT("J"&amp;ROW()))</f>
      </c>
      <c r="J30" s="59" t="str" cm="1">
        <f t="array" aca="true" ref="J30" ca="true">IF(INDIRECT("E"&amp;ROW())=0,"",IF(INDIRECT("H"&amp;ROW())=INDIRECT("E"&amp;ROW()),"Active","Expired"))</f>
      </c>
    </row>
    <row r="31" spans="2:10">
      <c r="B31" s="24" t="s">
        <v>1217</v>
      </c>
      <c r="C31" s="24" t="s">
        <v>2856</v>
      </c>
      <c r="D31" s="59" t="s">
        <v>2927</v>
      </c>
      <c r="E31" s="59" t="s">
        <v>3003</v>
      </c>
      <c r="G31" s="59" t="s">
        <v>3051</v>
      </c>
      <c r="H31" s="59" t="s">
        <v>2911</v>
      </c>
      <c r="I31" s="59" t="str" cm="1">
        <f t="array" aca="true" ref="I31" ca="true">IF(ISBLANK(INDIRECT("B"&amp;ROW())), "", INDIRECT("B"&amp;ROW()) &amp; " - " &amp; INDIRECT("J"&amp;ROW()))</f>
      </c>
      <c r="J31" s="59" t="str" cm="1">
        <f t="array" aca="true" ref="J31" ca="true">IF(INDIRECT("E"&amp;ROW())=0,"",IF(INDIRECT("H"&amp;ROW())=INDIRECT("E"&amp;ROW()),"Active","Expired"))</f>
      </c>
    </row>
    <row r="32" spans="2:10">
      <c r="B32" s="24" t="s">
        <v>1217</v>
      </c>
      <c r="C32" s="24" t="s">
        <v>2845</v>
      </c>
      <c r="D32" s="59" t="s">
        <v>2928</v>
      </c>
      <c r="E32" s="59" t="s">
        <v>3004</v>
      </c>
      <c r="G32" s="59"/>
      <c r="H32" s="59" t="s">
        <v>2911</v>
      </c>
      <c r="I32" s="59" t="str" cm="1">
        <f t="array" aca="true" ref="I32" ca="true">IF(ISBLANK(INDIRECT("B"&amp;ROW())), "", INDIRECT("B"&amp;ROW()) &amp; " - " &amp; INDIRECT("J"&amp;ROW()))</f>
      </c>
      <c r="J32" s="59" t="str" cm="1">
        <f t="array" aca="true" ref="J32" ca="true">IF(INDIRECT("E"&amp;ROW())=0,"",IF(INDIRECT("H"&amp;ROW())=INDIRECT("E"&amp;ROW()),"Active","Expired"))</f>
      </c>
    </row>
    <row r="33" spans="9:10">
      <c r="B33" s="24" t="s">
        <v>1217</v>
      </c>
      <c r="C33" s="24" t="s">
        <v>2857</v>
      </c>
      <c r="D33" s="59" t="s">
        <v>2929</v>
      </c>
      <c r="E33" s="59" t="s">
        <v>3005</v>
      </c>
      <c r="G33" s="59"/>
      <c r="H33" s="59" t="s">
        <v>2911</v>
      </c>
      <c r="I33" s="59" t="str" cm="1">
        <f t="array" aca="true" ref="I33" ca="true">IF(ISBLANK(INDIRECT("B"&amp;ROW())), "", INDIRECT("B"&amp;ROW()) &amp; " - " &amp; INDIRECT("J"&amp;ROW()))</f>
      </c>
      <c r="J33" s="59" t="str" cm="1">
        <f t="array" aca="true" ref="J33" ca="true">IF(INDIRECT("E"&amp;ROW())=0,"",IF(INDIRECT("H"&amp;ROW())=INDIRECT("E"&amp;ROW()),"Active","Expired"))</f>
      </c>
    </row>
    <row r="34" spans="9:10">
      <c r="B34" s="24" t="s">
        <v>1217</v>
      </c>
      <c r="C34" s="24" t="s">
        <v>2858</v>
      </c>
      <c r="D34" s="59" t="s">
        <v>2930</v>
      </c>
      <c r="E34" s="59" t="s">
        <v>3006</v>
      </c>
      <c r="G34" s="59"/>
      <c r="H34" s="59" t="s">
        <v>2911</v>
      </c>
      <c r="I34" s="59" t="str" cm="1">
        <f t="array" aca="true" ref="I34" ca="true">IF(ISBLANK(INDIRECT("B"&amp;ROW())), "", INDIRECT("B"&amp;ROW()) &amp; " - " &amp; INDIRECT("J"&amp;ROW()))</f>
      </c>
      <c r="J34" s="59" t="str" cm="1">
        <f t="array" aca="true" ref="J34" ca="true">IF(INDIRECT("E"&amp;ROW())=0,"",IF(INDIRECT("H"&amp;ROW())=INDIRECT("E"&amp;ROW()),"Active","Expired"))</f>
      </c>
    </row>
    <row r="35" spans="9:10">
      <c r="B35" s="24" t="s">
        <v>1217</v>
      </c>
      <c r="C35" s="24" t="s">
        <v>2859</v>
      </c>
      <c r="D35" s="59" t="s">
        <v>2931</v>
      </c>
      <c r="E35" s="59" t="s">
        <v>3007</v>
      </c>
      <c r="G35" s="59"/>
      <c r="H35" s="59" t="s">
        <v>2911</v>
      </c>
      <c r="I35" s="59" t="str" cm="1">
        <f t="array" aca="true" ref="I35" ca="true">IF(ISBLANK(INDIRECT("B"&amp;ROW())), "", INDIRECT("B"&amp;ROW()) &amp; " - " &amp; INDIRECT("J"&amp;ROW()))</f>
      </c>
      <c r="J35" s="59" t="str" cm="1">
        <f t="array" aca="true" ref="J35" ca="true">IF(INDIRECT("E"&amp;ROW())=0,"",IF(INDIRECT("H"&amp;ROW())=INDIRECT("E"&amp;ROW()),"Active","Expired"))</f>
      </c>
    </row>
    <row r="36" spans="9:10">
      <c r="B36" s="24" t="s">
        <v>1217</v>
      </c>
      <c r="C36" s="24" t="s">
        <v>2860</v>
      </c>
      <c r="D36" s="59" t="s">
        <v>2932</v>
      </c>
      <c r="E36" s="59" t="s">
        <v>3008</v>
      </c>
      <c r="G36" s="59" t="s">
        <v>3017</v>
      </c>
      <c r="H36" s="59" t="s">
        <v>2911</v>
      </c>
      <c r="I36" s="59" t="str" cm="1">
        <f t="array" aca="true" ref="I36" ca="true">IF(ISBLANK(INDIRECT("B"&amp;ROW())), "", INDIRECT("B"&amp;ROW()) &amp; " - " &amp; INDIRECT("J"&amp;ROW()))</f>
      </c>
      <c r="J36" s="59" t="str" cm="1">
        <f t="array" aca="true" ref="J36" ca="true">IF(INDIRECT("E"&amp;ROW())=0,"",IF(INDIRECT("H"&amp;ROW())=INDIRECT("E"&amp;ROW()),"Active","Expired"))</f>
      </c>
    </row>
    <row r="37" spans="9:10">
      <c r="B37" s="24" t="s">
        <v>1217</v>
      </c>
      <c r="C37" s="24" t="s">
        <v>2861</v>
      </c>
      <c r="D37" s="59" t="s">
        <v>2933</v>
      </c>
      <c r="E37" s="59" t="s">
        <v>3009</v>
      </c>
      <c r="G37" s="59" t="s">
        <v>3017</v>
      </c>
      <c r="H37" s="59" t="s">
        <v>2911</v>
      </c>
      <c r="I37" s="59" t="str" cm="1">
        <f t="array" aca="true" ref="I37" ca="true">IF(ISBLANK(INDIRECT("B"&amp;ROW())), "", INDIRECT("B"&amp;ROW()) &amp; " - " &amp; INDIRECT("J"&amp;ROW()))</f>
      </c>
      <c r="J37" s="59" t="str" cm="1">
        <f t="array" aca="true" ref="J37" ca="true">IF(INDIRECT("E"&amp;ROW())=0,"",IF(INDIRECT("H"&amp;ROW())=INDIRECT("E"&amp;ROW()),"Active","Expired"))</f>
      </c>
    </row>
    <row r="38" spans="9:10">
      <c r="B38" s="24" t="s">
        <v>1217</v>
      </c>
      <c r="C38" s="24" t="s">
        <v>2862</v>
      </c>
      <c r="D38" s="59" t="s">
        <v>2934</v>
      </c>
      <c r="E38" s="59" t="s">
        <v>2934</v>
      </c>
      <c r="G38" s="59" t="s">
        <v>3017</v>
      </c>
      <c r="H38" s="59" t="s">
        <v>2911</v>
      </c>
      <c r="I38" s="59" t="str" cm="1">
        <f t="array" aca="true" ref="I38" ca="true">IF(ISBLANK(INDIRECT("B"&amp;ROW())), "", INDIRECT("B"&amp;ROW()) &amp; " - " &amp; INDIRECT("J"&amp;ROW()))</f>
      </c>
      <c r="J38" s="59" t="str" cm="1">
        <f t="array" aca="true" ref="J38" ca="true">IF(INDIRECT("E"&amp;ROW())=0,"",IF(INDIRECT("H"&amp;ROW())=INDIRECT("E"&amp;ROW()),"Active","Expired"))</f>
      </c>
    </row>
    <row r="39" spans="9:10">
      <c r="B39" s="24" t="s">
        <v>1217</v>
      </c>
      <c r="C39" s="24" t="s">
        <v>2863</v>
      </c>
      <c r="D39" s="59" t="s">
        <v>2935</v>
      </c>
      <c r="E39" s="59" t="s">
        <v>2966</v>
      </c>
      <c r="G39" s="59" t="s">
        <v>3017</v>
      </c>
      <c r="H39" s="59" t="s">
        <v>2911</v>
      </c>
      <c r="I39" s="59" t="str" cm="1">
        <f t="array" aca="true" ref="I39" ca="true">IF(ISBLANK(INDIRECT("B"&amp;ROW())), "", INDIRECT("B"&amp;ROW()) &amp; " - " &amp; INDIRECT("J"&amp;ROW()))</f>
      </c>
      <c r="J39" s="59" t="str" cm="1">
        <f t="array" aca="true" ref="J39" ca="true">IF(INDIRECT("E"&amp;ROW())=0,"",IF(INDIRECT("H"&amp;ROW())=INDIRECT("E"&amp;ROW()),"Active","Expired"))</f>
      </c>
    </row>
    <row r="40" spans="9:10">
      <c r="B40" s="24" t="s">
        <v>1217</v>
      </c>
      <c r="C40" s="24" t="s">
        <v>2863</v>
      </c>
      <c r="D40" s="59" t="s">
        <v>2906</v>
      </c>
      <c r="E40" s="59" t="s">
        <v>3010</v>
      </c>
      <c r="G40" s="59" t="s">
        <v>3017</v>
      </c>
      <c r="H40" s="59" t="s">
        <v>2911</v>
      </c>
      <c r="I40" s="59" t="str" cm="1">
        <f t="array" aca="true" ref="I40" ca="true">IF(ISBLANK(INDIRECT("B"&amp;ROW())), "", INDIRECT("B"&amp;ROW()) &amp; " - " &amp; INDIRECT("J"&amp;ROW()))</f>
      </c>
      <c r="J40" s="59" t="str" cm="1">
        <f t="array" aca="true" ref="J40" ca="true">IF(INDIRECT("E"&amp;ROW())=0,"",IF(INDIRECT("H"&amp;ROW())=INDIRECT("E"&amp;ROW()),"Active","Expired"))</f>
      </c>
    </row>
    <row r="41" spans="9:10">
      <c r="B41" s="24" t="s">
        <v>1217</v>
      </c>
      <c r="C41" s="24" t="s">
        <v>2864</v>
      </c>
      <c r="D41" s="59" t="s">
        <v>2936</v>
      </c>
      <c r="E41" s="59" t="s">
        <v>2911</v>
      </c>
      <c r="G41" s="59" t="s">
        <v>3017</v>
      </c>
      <c r="H41" s="59" t="s">
        <v>2911</v>
      </c>
      <c r="I41" s="59" t="str" cm="1">
        <f t="array" aca="true" ref="I41" ca="true">IF(ISBLANK(INDIRECT("B"&amp;ROW())), "", INDIRECT("B"&amp;ROW()) &amp; " - " &amp; INDIRECT("J"&amp;ROW()))</f>
      </c>
      <c r="J41" s="59" t="str" cm="1">
        <f t="array" aca="true" ref="J41" ca="true">IF(INDIRECT("E"&amp;ROW())=0,"",IF(INDIRECT("H"&amp;ROW())=INDIRECT("E"&amp;ROW()),"Active","Expired"))</f>
      </c>
    </row>
    <row r="42" spans="9:10">
      <c r="B42" s="24" t="s">
        <v>1218</v>
      </c>
      <c r="C42" s="24" t="s">
        <v>2865</v>
      </c>
      <c r="D42" s="59" t="s">
        <v>2937</v>
      </c>
      <c r="E42" s="59" t="s">
        <v>3011</v>
      </c>
      <c r="G42" s="59" t="s">
        <v>3017</v>
      </c>
      <c r="H42" s="59" t="s">
        <v>2911</v>
      </c>
      <c r="I42" s="59" t="str" cm="1">
        <f t="array" aca="true" ref="I42" ca="true">IF(ISBLANK(INDIRECT("B"&amp;ROW())), "", INDIRECT("B"&amp;ROW()) &amp; " - " &amp; INDIRECT("J"&amp;ROW()))</f>
      </c>
      <c r="J42" s="59" t="str" cm="1">
        <f t="array" aca="true" ref="J42" ca="true">IF(INDIRECT("E"&amp;ROW())=0,"",IF(INDIRECT("H"&amp;ROW())=INDIRECT("E"&amp;ROW()),"Active","Expired"))</f>
      </c>
    </row>
    <row r="43" spans="9:10">
      <c r="B43" s="24" t="s">
        <v>1218</v>
      </c>
      <c r="C43" s="24" t="s">
        <v>2866</v>
      </c>
      <c r="D43" s="59" t="s">
        <v>2938</v>
      </c>
      <c r="E43" s="59" t="s">
        <v>3012</v>
      </c>
      <c r="G43" s="59" t="s">
        <v>3017</v>
      </c>
      <c r="H43" s="59" t="s">
        <v>2911</v>
      </c>
      <c r="I43" s="59" t="str" cm="1">
        <f t="array" aca="true" ref="I43" ca="true">IF(ISBLANK(INDIRECT("B"&amp;ROW())), "", INDIRECT("B"&amp;ROW()) &amp; " - " &amp; INDIRECT("J"&amp;ROW()))</f>
      </c>
      <c r="J43" s="59" t="str" cm="1">
        <f t="array" aca="true" ref="J43" ca="true">IF(INDIRECT("E"&amp;ROW())=0,"",IF(INDIRECT("H"&amp;ROW())=INDIRECT("E"&amp;ROW()),"Active","Expired"))</f>
      </c>
    </row>
    <row r="44" spans="9:10">
      <c r="B44" s="24" t="s">
        <v>1218</v>
      </c>
      <c r="C44" s="24" t="s">
        <v>2866</v>
      </c>
      <c r="D44" s="59" t="s">
        <v>2939</v>
      </c>
      <c r="E44" s="59" t="s">
        <v>3013</v>
      </c>
      <c r="G44" s="59" t="s">
        <v>3017</v>
      </c>
      <c r="H44" s="59" t="s">
        <v>2911</v>
      </c>
      <c r="I44" s="59" t="str" cm="1">
        <f t="array" aca="true" ref="I44" ca="true">IF(ISBLANK(INDIRECT("B"&amp;ROW())), "", INDIRECT("B"&amp;ROW()) &amp; " - " &amp; INDIRECT("J"&amp;ROW()))</f>
      </c>
      <c r="J44" s="59" t="str" cm="1">
        <f t="array" aca="true" ref="J44" ca="true">IF(INDIRECT("E"&amp;ROW())=0,"",IF(INDIRECT("H"&amp;ROW())=INDIRECT("E"&amp;ROW()),"Active","Expired"))</f>
      </c>
    </row>
    <row r="45" spans="9:10">
      <c r="B45" s="24" t="s">
        <v>1218</v>
      </c>
      <c r="C45" s="24" t="s">
        <v>2866</v>
      </c>
      <c r="D45" s="59" t="s">
        <v>2940</v>
      </c>
      <c r="E45" s="59" t="s">
        <v>3014</v>
      </c>
      <c r="G45" s="59" t="s">
        <v>3034</v>
      </c>
      <c r="H45" s="59" t="s">
        <v>2911</v>
      </c>
      <c r="I45" s="59" t="str" cm="1">
        <f t="array" aca="true" ref="I45" ca="true">IF(ISBLANK(INDIRECT("B"&amp;ROW())), "", INDIRECT("B"&amp;ROW()) &amp; " - " &amp; INDIRECT("J"&amp;ROW()))</f>
      </c>
      <c r="J45" s="59" t="str" cm="1">
        <f t="array" aca="true" ref="J45" ca="true">IF(INDIRECT("E"&amp;ROW())=0,"",IF(INDIRECT("H"&amp;ROW())=INDIRECT("E"&amp;ROW()),"Active","Expired"))</f>
      </c>
    </row>
    <row r="46" spans="9:10">
      <c r="B46" s="24" t="s">
        <v>1218</v>
      </c>
      <c r="C46" s="24" t="s">
        <v>2867</v>
      </c>
      <c r="D46" s="59" t="s">
        <v>2941</v>
      </c>
      <c r="E46" s="59" t="s">
        <v>2941</v>
      </c>
      <c r="G46" s="59" t="s">
        <v>3052</v>
      </c>
      <c r="H46" s="59" t="s">
        <v>2911</v>
      </c>
      <c r="I46" s="59" t="str" cm="1">
        <f t="array" aca="true" ref="I46" ca="true">IF(ISBLANK(INDIRECT("B"&amp;ROW())), "", INDIRECT("B"&amp;ROW()) &amp; " - " &amp; INDIRECT("J"&amp;ROW()))</f>
      </c>
      <c r="J46" s="59" t="str" cm="1">
        <f t="array" aca="true" ref="J46" ca="true">IF(INDIRECT("E"&amp;ROW())=0,"",IF(INDIRECT("H"&amp;ROW())=INDIRECT("E"&amp;ROW()),"Active","Expired"))</f>
      </c>
    </row>
    <row r="47" spans="9:10">
      <c r="B47" s="24" t="s">
        <v>1218</v>
      </c>
      <c r="C47" s="24" t="s">
        <v>2868</v>
      </c>
      <c r="D47" s="59" t="s">
        <v>2942</v>
      </c>
      <c r="E47" s="59" t="s">
        <v>2942</v>
      </c>
      <c r="G47" s="59"/>
      <c r="H47" s="59" t="s">
        <v>2911</v>
      </c>
      <c r="I47" s="59" t="str" cm="1">
        <f t="array" aca="true" ref="I47" ca="true">IF(ISBLANK(INDIRECT("B"&amp;ROW())), "", INDIRECT("B"&amp;ROW()) &amp; " - " &amp; INDIRECT("J"&amp;ROW()))</f>
      </c>
      <c r="J47" s="59" t="str" cm="1">
        <f t="array" aca="true" ref="J47" ca="true">IF(INDIRECT("E"&amp;ROW())=0,"",IF(INDIRECT("H"&amp;ROW())=INDIRECT("E"&amp;ROW()),"Active","Expired"))</f>
      </c>
    </row>
    <row r="48" spans="9:10">
      <c r="B48" s="24" t="s">
        <v>1218</v>
      </c>
      <c r="C48" s="24" t="s">
        <v>2869</v>
      </c>
      <c r="D48" s="59" t="s">
        <v>2943</v>
      </c>
      <c r="E48" s="59" t="s">
        <v>2943</v>
      </c>
      <c r="G48" s="59"/>
      <c r="H48" s="59" t="s">
        <v>2911</v>
      </c>
      <c r="I48" s="59" t="str" cm="1">
        <f t="array" aca="true" ref="I48" ca="true">IF(ISBLANK(INDIRECT("B"&amp;ROW())), "", INDIRECT("B"&amp;ROW()) &amp; " - " &amp; INDIRECT("J"&amp;ROW()))</f>
      </c>
      <c r="J48" s="59" t="str" cm="1">
        <f t="array" aca="true" ref="J48" ca="true">IF(INDIRECT("E"&amp;ROW())=0,"",IF(INDIRECT("H"&amp;ROW())=INDIRECT("E"&amp;ROW()),"Active","Expired"))</f>
      </c>
    </row>
    <row r="49" spans="9:10">
      <c r="B49" s="24" t="s">
        <v>1218</v>
      </c>
      <c r="C49" s="24" t="s">
        <v>2868</v>
      </c>
      <c r="D49" s="59" t="s">
        <v>2944</v>
      </c>
      <c r="E49" s="59" t="s">
        <v>3015</v>
      </c>
      <c r="G49" s="59"/>
      <c r="H49" s="59" t="s">
        <v>2911</v>
      </c>
      <c r="I49" s="59" t="str" cm="1">
        <f t="array" aca="true" ref="I49" ca="true">IF(ISBLANK(INDIRECT("B"&amp;ROW())), "", INDIRECT("B"&amp;ROW()) &amp; " - " &amp; INDIRECT("J"&amp;ROW()))</f>
      </c>
      <c r="J49" s="59" t="str" cm="1">
        <f t="array" aca="true" ref="J49" ca="true">IF(INDIRECT("E"&amp;ROW())=0,"",IF(INDIRECT("H"&amp;ROW())=INDIRECT("E"&amp;ROW()),"Active","Expired"))</f>
      </c>
    </row>
    <row r="50" spans="9:10">
      <c r="B50" s="24" t="s">
        <v>1218</v>
      </c>
      <c r="C50" s="24" t="s">
        <v>2869</v>
      </c>
      <c r="D50" s="59" t="s">
        <v>2945</v>
      </c>
      <c r="E50" s="59" t="s">
        <v>2945</v>
      </c>
      <c r="G50" s="59"/>
      <c r="H50" s="59" t="s">
        <v>2911</v>
      </c>
      <c r="I50" s="59" t="str" cm="1">
        <f t="array" aca="true" ref="I50" ca="true">IF(ISBLANK(INDIRECT("B"&amp;ROW())), "", INDIRECT("B"&amp;ROW()) &amp; " - " &amp; INDIRECT("J"&amp;ROW()))</f>
      </c>
      <c r="J50" s="59" t="str" cm="1">
        <f t="array" aca="true" ref="J50" ca="true">IF(INDIRECT("E"&amp;ROW())=0,"",IF(INDIRECT("H"&amp;ROW())=INDIRECT("E"&amp;ROW()),"Active","Expired"))</f>
      </c>
    </row>
    <row r="51" spans="9:10">
      <c r="B51" s="24" t="s">
        <v>1218</v>
      </c>
      <c r="C51" s="24" t="s">
        <v>2868</v>
      </c>
      <c r="D51" s="59" t="s">
        <v>2946</v>
      </c>
      <c r="E51" s="59" t="s">
        <v>2946</v>
      </c>
      <c r="G51" s="59"/>
      <c r="H51" s="59" t="s">
        <v>2911</v>
      </c>
      <c r="I51" s="59" t="str" cm="1">
        <f t="array" aca="true" ref="I51" ca="true">IF(ISBLANK(INDIRECT("B"&amp;ROW())), "", INDIRECT("B"&amp;ROW()) &amp; " - " &amp; INDIRECT("J"&amp;ROW()))</f>
      </c>
      <c r="J51" s="59" t="str" cm="1">
        <f t="array" aca="true" ref="J51" ca="true">IF(INDIRECT("E"&amp;ROW())=0,"",IF(INDIRECT("H"&amp;ROW())=INDIRECT("E"&amp;ROW()),"Active","Expired"))</f>
      </c>
    </row>
    <row r="52" spans="9:10">
      <c r="B52" s="24" t="s">
        <v>1218</v>
      </c>
      <c r="C52" s="24" t="s">
        <v>2869</v>
      </c>
      <c r="D52" s="59" t="s">
        <v>2947</v>
      </c>
      <c r="E52" s="59" t="s">
        <v>3016</v>
      </c>
      <c r="G52" s="59"/>
      <c r="H52" s="59" t="s">
        <v>2911</v>
      </c>
      <c r="I52" s="59" t="str" cm="1">
        <f t="array" aca="true" ref="I52" ca="true">IF(ISBLANK(INDIRECT("B"&amp;ROW())), "", INDIRECT("B"&amp;ROW()) &amp; " - " &amp; INDIRECT("J"&amp;ROW()))</f>
      </c>
      <c r="J52" s="59" t="str" cm="1">
        <f t="array" aca="true" ref="J52" ca="true">IF(INDIRECT("E"&amp;ROW())=0,"",IF(INDIRECT("H"&amp;ROW())=INDIRECT("E"&amp;ROW()),"Active","Expired"))</f>
      </c>
    </row>
    <row r="53" spans="9:10">
      <c r="B53" s="24" t="s">
        <v>1218</v>
      </c>
      <c r="C53" s="24" t="s">
        <v>2870</v>
      </c>
      <c r="D53" s="59" t="s">
        <v>2948</v>
      </c>
      <c r="E53" s="59" t="s">
        <v>2948</v>
      </c>
      <c r="G53" s="59"/>
      <c r="H53" s="59" t="s">
        <v>2911</v>
      </c>
      <c r="I53" s="59" t="str" cm="1">
        <f t="array" aca="true" ref="I53" ca="true">IF(ISBLANK(INDIRECT("B"&amp;ROW())), "", INDIRECT("B"&amp;ROW()) &amp; " - " &amp; INDIRECT("J"&amp;ROW()))</f>
      </c>
      <c r="J53" s="59" t="str" cm="1">
        <f t="array" aca="true" ref="J53" ca="true">IF(INDIRECT("E"&amp;ROW())=0,"",IF(INDIRECT("H"&amp;ROW())=INDIRECT("E"&amp;ROW()),"Active","Expired"))</f>
      </c>
    </row>
    <row r="54" spans="9:10">
      <c r="B54" s="24" t="s">
        <v>1218</v>
      </c>
      <c r="C54" s="24" t="s">
        <v>2869</v>
      </c>
      <c r="D54" s="59" t="s">
        <v>2949</v>
      </c>
      <c r="E54" s="59" t="s">
        <v>3017</v>
      </c>
      <c r="G54" s="59"/>
      <c r="H54" s="59" t="s">
        <v>2911</v>
      </c>
      <c r="I54" s="59" t="str" cm="1">
        <f t="array" aca="true" ref="I54" ca="true">IF(ISBLANK(INDIRECT("B"&amp;ROW())), "", INDIRECT("B"&amp;ROW()) &amp; " - " &amp; INDIRECT("J"&amp;ROW()))</f>
      </c>
      <c r="J54" s="59" t="str" cm="1">
        <f t="array" aca="true" ref="J54" ca="true">IF(INDIRECT("E"&amp;ROW())=0,"",IF(INDIRECT("H"&amp;ROW())=INDIRECT("E"&amp;ROW()),"Active","Expired"))</f>
      </c>
    </row>
    <row r="55" spans="9:10">
      <c r="B55" s="24" t="s">
        <v>1219</v>
      </c>
      <c r="C55" s="24" t="s">
        <v>2871</v>
      </c>
      <c r="D55" s="59" t="s">
        <v>2950</v>
      </c>
      <c r="E55" s="59" t="s">
        <v>3018</v>
      </c>
      <c r="G55" s="59" t="s">
        <v>3053</v>
      </c>
      <c r="H55" s="59" t="s">
        <v>2911</v>
      </c>
      <c r="I55" s="59" t="str" cm="1">
        <f t="array" aca="true" ref="I55" ca="true">IF(ISBLANK(INDIRECT("B"&amp;ROW())), "", INDIRECT("B"&amp;ROW()) &amp; " - " &amp; INDIRECT("J"&amp;ROW()))</f>
      </c>
      <c r="J55" s="59" t="str" cm="1">
        <f t="array" aca="true" ref="J55" ca="true">IF(INDIRECT("E"&amp;ROW())=0,"",IF(INDIRECT("H"&amp;ROW())=INDIRECT("E"&amp;ROW()),"Active","Expired"))</f>
      </c>
    </row>
    <row r="56" spans="9:10">
      <c r="B56" s="24" t="s">
        <v>1219</v>
      </c>
      <c r="C56" s="24" t="s">
        <v>2872</v>
      </c>
      <c r="D56" s="59" t="s">
        <v>2951</v>
      </c>
      <c r="E56" s="59" t="s">
        <v>2951</v>
      </c>
      <c r="G56" s="59"/>
      <c r="H56" s="59" t="s">
        <v>2911</v>
      </c>
      <c r="I56" s="59" t="str" cm="1">
        <f t="array" aca="true" ref="I56" ca="true">IF(ISBLANK(INDIRECT("B"&amp;ROW())), "", INDIRECT("B"&amp;ROW()) &amp; " - " &amp; INDIRECT("J"&amp;ROW()))</f>
      </c>
      <c r="J56" s="59" t="str" cm="1">
        <f t="array" aca="true" ref="J56" ca="true">IF(INDIRECT("E"&amp;ROW())=0,"",IF(INDIRECT("H"&amp;ROW())=INDIRECT("E"&amp;ROW()),"Active","Expired"))</f>
      </c>
    </row>
    <row r="57" spans="9:10">
      <c r="B57" s="24" t="s">
        <v>1219</v>
      </c>
      <c r="C57" s="24" t="s">
        <v>2873</v>
      </c>
      <c r="D57" s="59" t="s">
        <v>2952</v>
      </c>
      <c r="E57" s="59" t="s">
        <v>3019</v>
      </c>
      <c r="G57" s="59"/>
      <c r="H57" s="59" t="s">
        <v>2911</v>
      </c>
      <c r="I57" s="59" t="str" cm="1">
        <f t="array" aca="true" ref="I57" ca="true">IF(ISBLANK(INDIRECT("B"&amp;ROW())), "", INDIRECT("B"&amp;ROW()) &amp; " - " &amp; INDIRECT("J"&amp;ROW()))</f>
      </c>
      <c r="J57" s="59" t="str" cm="1">
        <f t="array" aca="true" ref="J57" ca="true">IF(INDIRECT("E"&amp;ROW())=0,"",IF(INDIRECT("H"&amp;ROW())=INDIRECT("E"&amp;ROW()),"Active","Expired"))</f>
      </c>
    </row>
    <row r="58" spans="9:10">
      <c r="B58" s="24" t="s">
        <v>1219</v>
      </c>
      <c r="C58" s="24" t="s">
        <v>2874</v>
      </c>
      <c r="D58" s="59" t="s">
        <v>2953</v>
      </c>
      <c r="E58" s="59" t="s">
        <v>3020</v>
      </c>
      <c r="G58" s="59"/>
      <c r="H58" s="59" t="s">
        <v>2911</v>
      </c>
      <c r="I58" s="59" t="str" cm="1">
        <f t="array" aca="true" ref="I58" ca="true">IF(ISBLANK(INDIRECT("B"&amp;ROW())), "", INDIRECT("B"&amp;ROW()) &amp; " - " &amp; INDIRECT("J"&amp;ROW()))</f>
      </c>
      <c r="J58" s="59" t="str" cm="1">
        <f t="array" aca="true" ref="J58" ca="true">IF(INDIRECT("E"&amp;ROW())=0,"",IF(INDIRECT("H"&amp;ROW())=INDIRECT("E"&amp;ROW()),"Active","Expired"))</f>
      </c>
    </row>
    <row r="59" spans="9:10">
      <c r="B59" s="24" t="s">
        <v>1219</v>
      </c>
      <c r="C59" s="24" t="s">
        <v>2875</v>
      </c>
      <c r="D59" s="59" t="s">
        <v>2954</v>
      </c>
      <c r="E59" s="59" t="s">
        <v>3021</v>
      </c>
      <c r="G59" s="59"/>
      <c r="H59" s="59" t="s">
        <v>2911</v>
      </c>
      <c r="I59" s="59" t="str" cm="1">
        <f t="array" aca="true" ref="I59" ca="true">IF(ISBLANK(INDIRECT("B"&amp;ROW())), "", INDIRECT("B"&amp;ROW()) &amp; " - " &amp; INDIRECT("J"&amp;ROW()))</f>
      </c>
      <c r="J59" s="59" t="str" cm="1">
        <f t="array" aca="true" ref="J59" ca="true">IF(INDIRECT("E"&amp;ROW())=0,"",IF(INDIRECT("H"&amp;ROW())=INDIRECT("E"&amp;ROW()),"Active","Expired"))</f>
      </c>
    </row>
    <row r="60" spans="9:10">
      <c r="B60" s="24" t="s">
        <v>1219</v>
      </c>
      <c r="C60" s="24" t="s">
        <v>2876</v>
      </c>
      <c r="D60" s="59" t="s">
        <v>2955</v>
      </c>
      <c r="E60" s="59" t="s">
        <v>3022</v>
      </c>
      <c r="G60" s="59"/>
      <c r="H60" s="59" t="s">
        <v>2911</v>
      </c>
      <c r="I60" s="59" t="str" cm="1">
        <f t="array" aca="true" ref="I60" ca="true">IF(ISBLANK(INDIRECT("B"&amp;ROW())), "", INDIRECT("B"&amp;ROW()) &amp; " - " &amp; INDIRECT("J"&amp;ROW()))</f>
      </c>
      <c r="J60" s="59" t="str" cm="1">
        <f t="array" aca="true" ref="J60" ca="true">IF(INDIRECT("E"&amp;ROW())=0,"",IF(INDIRECT("H"&amp;ROW())=INDIRECT("E"&amp;ROW()),"Active","Expired"))</f>
      </c>
    </row>
    <row r="61" spans="9:10">
      <c r="B61" s="24" t="s">
        <v>1219</v>
      </c>
      <c r="C61" s="24" t="s">
        <v>2877</v>
      </c>
      <c r="D61" s="59" t="s">
        <v>2956</v>
      </c>
      <c r="E61" s="59" t="s">
        <v>2910</v>
      </c>
      <c r="G61" s="59"/>
      <c r="H61" s="59" t="s">
        <v>2911</v>
      </c>
      <c r="I61" s="59" t="str" cm="1">
        <f t="array" aca="true" ref="I61" ca="true">IF(ISBLANK(INDIRECT("B"&amp;ROW())), "", INDIRECT("B"&amp;ROW()) &amp; " - " &amp; INDIRECT("J"&amp;ROW()))</f>
      </c>
      <c r="J61" s="59" t="str" cm="1">
        <f t="array" aca="true" ref="J61" ca="true">IF(INDIRECT("E"&amp;ROW())=0,"",IF(INDIRECT("H"&amp;ROW())=INDIRECT("E"&amp;ROW()),"Active","Expired"))</f>
      </c>
    </row>
    <row r="62" spans="9:10">
      <c r="B62" s="24" t="s">
        <v>1220</v>
      </c>
      <c r="C62" s="24" t="s">
        <v>2878</v>
      </c>
      <c r="D62" s="59" t="s">
        <v>2912</v>
      </c>
      <c r="E62" s="59" t="s">
        <v>3023</v>
      </c>
      <c r="G62" s="59"/>
      <c r="H62" s="59" t="s">
        <v>2911</v>
      </c>
      <c r="I62" s="59" t="str" cm="1">
        <f t="array" aca="true" ref="I62" ca="true">IF(ISBLANK(INDIRECT("B"&amp;ROW())), "", INDIRECT("B"&amp;ROW()) &amp; " - " &amp; INDIRECT("J"&amp;ROW()))</f>
      </c>
      <c r="J62" s="59" t="str" cm="1">
        <f t="array" aca="true" ref="J62" ca="true">IF(INDIRECT("E"&amp;ROW())=0,"",IF(INDIRECT("H"&amp;ROW())=INDIRECT("E"&amp;ROW()),"Active","Expired"))</f>
      </c>
    </row>
    <row r="63" spans="9:10">
      <c r="B63" s="24" t="s">
        <v>1221</v>
      </c>
      <c r="C63" s="24" t="s">
        <v>2879</v>
      </c>
      <c r="D63" s="59" t="s">
        <v>2912</v>
      </c>
      <c r="E63" s="59" t="s">
        <v>3024</v>
      </c>
      <c r="G63" s="59"/>
      <c r="H63" s="59" t="s">
        <v>2911</v>
      </c>
      <c r="I63" s="59" t="str" cm="1">
        <f t="array" aca="true" ref="I63" ca="true">IF(ISBLANK(INDIRECT("B"&amp;ROW())), "", INDIRECT("B"&amp;ROW()) &amp; " - " &amp; INDIRECT("J"&amp;ROW()))</f>
      </c>
      <c r="J63" s="59" t="str" cm="1">
        <f t="array" aca="true" ref="J63" ca="true">IF(INDIRECT("E"&amp;ROW())=0,"",IF(INDIRECT("H"&amp;ROW())=INDIRECT("E"&amp;ROW()),"Active","Expired"))</f>
      </c>
    </row>
    <row r="64" spans="9:10">
      <c r="B64" s="24" t="s">
        <v>1221</v>
      </c>
      <c r="C64" s="24" t="s">
        <v>2880</v>
      </c>
      <c r="D64" s="59" t="s">
        <v>2957</v>
      </c>
      <c r="E64" s="59" t="s">
        <v>2957</v>
      </c>
      <c r="H64" s="59" t="s">
        <v>2911</v>
      </c>
      <c r="I64" s="59" t="str" cm="1">
        <f t="array" aca="true" ref="I64" ca="true">IF(ISBLANK(INDIRECT("B"&amp;ROW())), "", INDIRECT("B"&amp;ROW()) &amp; " - " &amp; INDIRECT("J"&amp;ROW()))</f>
      </c>
      <c r="J64" s="59" t="str" cm="1">
        <f t="array" aca="true" ref="J64" ca="true">IF(INDIRECT("E"&amp;ROW())=0,"",IF(INDIRECT("H"&amp;ROW())=INDIRECT("E"&amp;ROW()),"Active","Expired"))</f>
      </c>
    </row>
    <row r="65" spans="9:10">
      <c r="B65" s="24" t="s">
        <v>1221</v>
      </c>
      <c r="C65" s="24" t="s">
        <v>2881</v>
      </c>
      <c r="D65" s="59" t="s">
        <v>2958</v>
      </c>
      <c r="E65" s="59" t="s">
        <v>3025</v>
      </c>
      <c r="H65" s="59" t="s">
        <v>2911</v>
      </c>
      <c r="I65" s="59" t="str" cm="1">
        <f t="array" aca="true" ref="I65" ca="true">IF(ISBLANK(INDIRECT("B"&amp;ROW())), "", INDIRECT("B"&amp;ROW()) &amp; " - " &amp; INDIRECT("J"&amp;ROW()))</f>
      </c>
      <c r="J65" s="59" t="str" cm="1">
        <f t="array" aca="true" ref="J65" ca="true">IF(INDIRECT("E"&amp;ROW())=0,"",IF(INDIRECT("H"&amp;ROW())=INDIRECT("E"&amp;ROW()),"Active","Expired"))</f>
      </c>
    </row>
    <row r="66" spans="9:10">
      <c r="B66" s="24" t="s">
        <v>1221</v>
      </c>
      <c r="C66" s="24" t="s">
        <v>2882</v>
      </c>
      <c r="D66" s="59" t="s">
        <v>2959</v>
      </c>
      <c r="E66" s="59" t="s">
        <v>3026</v>
      </c>
      <c r="H66" s="59" t="s">
        <v>2911</v>
      </c>
      <c r="I66" s="59" t="str" cm="1">
        <f t="array" aca="true" ref="I66" ca="true">IF(ISBLANK(INDIRECT("B"&amp;ROW())), "", INDIRECT("B"&amp;ROW()) &amp; " - " &amp; INDIRECT("J"&amp;ROW()))</f>
      </c>
      <c r="J66" s="59" t="str" cm="1">
        <f t="array" aca="true" ref="J66" ca="true">IF(INDIRECT("E"&amp;ROW())=0,"",IF(INDIRECT("H"&amp;ROW())=INDIRECT("E"&amp;ROW()),"Active","Expired"))</f>
      </c>
    </row>
    <row r="67" spans="9:10">
      <c r="B67" s="24" t="s">
        <v>1221</v>
      </c>
      <c r="C67" s="24" t="s">
        <v>2883</v>
      </c>
      <c r="D67" s="59" t="s">
        <v>2949</v>
      </c>
      <c r="E67" s="59" t="s">
        <v>2949</v>
      </c>
      <c r="H67" s="59" t="s">
        <v>2911</v>
      </c>
      <c r="I67" s="59" t="str" cm="1">
        <f t="array" aca="true" ref="I67" ca="true">IF(ISBLANK(INDIRECT("B"&amp;ROW())), "", INDIRECT("B"&amp;ROW()) &amp; " - " &amp; INDIRECT("J"&amp;ROW()))</f>
      </c>
      <c r="J67" s="59" t="str" cm="1">
        <f t="array" aca="true" ref="J67" ca="true">IF(INDIRECT("E"&amp;ROW())=0,"",IF(INDIRECT("H"&amp;ROW())=INDIRECT("E"&amp;ROW()),"Active","Expired"))</f>
      </c>
    </row>
    <row r="68" spans="9:10">
      <c r="B68" s="24" t="s">
        <v>1221</v>
      </c>
      <c r="C68" s="24" t="s">
        <v>2884</v>
      </c>
      <c r="D68" s="59" t="s">
        <v>2904</v>
      </c>
      <c r="E68" s="59" t="s">
        <v>3027</v>
      </c>
      <c r="H68" s="59" t="s">
        <v>2911</v>
      </c>
      <c r="I68" s="59" t="str" cm="1">
        <f t="array" aca="true" ref="I68" ca="true">IF(ISBLANK(INDIRECT("B"&amp;ROW())), "", INDIRECT("B"&amp;ROW()) &amp; " - " &amp; INDIRECT("J"&amp;ROW()))</f>
      </c>
      <c r="J68" s="59" t="str" cm="1">
        <f t="array" aca="true" ref="J68" ca="true">IF(INDIRECT("E"&amp;ROW())=0,"",IF(INDIRECT("H"&amp;ROW())=INDIRECT("E"&amp;ROW()),"Active","Expired"))</f>
      </c>
    </row>
    <row r="69" spans="9:10">
      <c r="B69" s="24" t="s">
        <v>1221</v>
      </c>
      <c r="C69" s="24" t="s">
        <v>2885</v>
      </c>
      <c r="D69" s="59" t="s">
        <v>2960</v>
      </c>
      <c r="E69" s="59" t="s">
        <v>2960</v>
      </c>
      <c r="H69" s="59" t="s">
        <v>2911</v>
      </c>
      <c r="I69" s="59" t="str" cm="1">
        <f t="array" aca="true" ref="I69" ca="true">IF(ISBLANK(INDIRECT("B"&amp;ROW())), "", INDIRECT("B"&amp;ROW()) &amp; " - " &amp; INDIRECT("J"&amp;ROW()))</f>
      </c>
      <c r="J69" s="59" t="str" cm="1">
        <f t="array" aca="true" ref="J69" ca="true">IF(INDIRECT("E"&amp;ROW())=0,"",IF(INDIRECT("H"&amp;ROW())=INDIRECT("E"&amp;ROW()),"Active","Expired"))</f>
      </c>
    </row>
    <row r="70" spans="9:10">
      <c r="B70" s="24" t="s">
        <v>1221</v>
      </c>
      <c r="C70" s="24" t="s">
        <v>2886</v>
      </c>
      <c r="D70" s="59" t="s">
        <v>2961</v>
      </c>
      <c r="E70" s="59" t="s">
        <v>2961</v>
      </c>
      <c r="H70" s="59" t="s">
        <v>2911</v>
      </c>
      <c r="I70" s="59" t="str" cm="1">
        <f t="array" aca="true" ref="I70" ca="true">IF(ISBLANK(INDIRECT("B"&amp;ROW())), "", INDIRECT("B"&amp;ROW()) &amp; " - " &amp; INDIRECT("J"&amp;ROW()))</f>
      </c>
      <c r="J70" s="59" t="str" cm="1">
        <f t="array" aca="true" ref="J70" ca="true">IF(INDIRECT("E"&amp;ROW())=0,"",IF(INDIRECT("H"&amp;ROW())=INDIRECT("E"&amp;ROW()),"Active","Expired"))</f>
      </c>
    </row>
    <row r="71" spans="9:10">
      <c r="B71" s="24" t="s">
        <v>1221</v>
      </c>
      <c r="C71" s="24" t="s">
        <v>2886</v>
      </c>
      <c r="D71" s="59" t="s">
        <v>2962</v>
      </c>
      <c r="E71" s="59" t="s">
        <v>3017</v>
      </c>
      <c r="H71" s="59" t="s">
        <v>2911</v>
      </c>
      <c r="I71" s="59" t="str" cm="1">
        <f t="array" aca="true" ref="I71" ca="true">IF(ISBLANK(INDIRECT("B"&amp;ROW())), "", INDIRECT("B"&amp;ROW()) &amp; " - " &amp; INDIRECT("J"&amp;ROW()))</f>
      </c>
      <c r="J71" s="59" t="str" cm="1">
        <f t="array" aca="true" ref="J71" ca="true">IF(INDIRECT("E"&amp;ROW())=0,"",IF(INDIRECT("H"&amp;ROW())=INDIRECT("E"&amp;ROW()),"Active","Expired"))</f>
      </c>
    </row>
    <row r="72" spans="9:10">
      <c r="B72" s="24" t="s">
        <v>1221</v>
      </c>
      <c r="C72" s="24" t="s">
        <v>2887</v>
      </c>
      <c r="D72" s="59" t="s">
        <v>2963</v>
      </c>
      <c r="E72" s="59" t="s">
        <v>3028</v>
      </c>
      <c r="H72" s="59" t="s">
        <v>2911</v>
      </c>
      <c r="I72" s="59" t="str" cm="1">
        <f t="array" aca="true" ref="I72" ca="true">IF(ISBLANK(INDIRECT("B"&amp;ROW())), "", INDIRECT("B"&amp;ROW()) &amp; " - " &amp; INDIRECT("J"&amp;ROW()))</f>
      </c>
      <c r="J72" s="59" t="str" cm="1">
        <f t="array" aca="true" ref="J72" ca="true">IF(INDIRECT("E"&amp;ROW())=0,"",IF(INDIRECT("H"&amp;ROW())=INDIRECT("E"&amp;ROW()),"Active","Expired"))</f>
      </c>
    </row>
    <row r="73" spans="9:10">
      <c r="B73" s="24" t="s">
        <v>1221</v>
      </c>
      <c r="C73" s="24" t="s">
        <v>2888</v>
      </c>
      <c r="D73" s="59" t="s">
        <v>2964</v>
      </c>
      <c r="E73" s="59" t="s">
        <v>3029</v>
      </c>
      <c r="H73" s="59" t="s">
        <v>2911</v>
      </c>
      <c r="I73" s="59" t="str" cm="1">
        <f t="array" aca="true" ref="I73" ca="true">IF(ISBLANK(INDIRECT("B"&amp;ROW())), "", INDIRECT("B"&amp;ROW()) &amp; " - " &amp; INDIRECT("J"&amp;ROW()))</f>
      </c>
      <c r="J73" s="59" t="str" cm="1">
        <f t="array" aca="true" ref="J73" ca="true">IF(INDIRECT("E"&amp;ROW())=0,"",IF(INDIRECT("H"&amp;ROW())=INDIRECT("E"&amp;ROW()),"Active","Expired"))</f>
      </c>
    </row>
    <row r="74" spans="9:10">
      <c r="B74" s="24" t="s">
        <v>1221</v>
      </c>
      <c r="C74" s="24" t="s">
        <v>2886</v>
      </c>
      <c r="D74" s="59" t="s">
        <v>2965</v>
      </c>
      <c r="E74" s="59" t="s">
        <v>2965</v>
      </c>
      <c r="H74" s="59" t="s">
        <v>2911</v>
      </c>
      <c r="I74" s="59" t="str" cm="1">
        <f t="array" aca="true" ref="I74" ca="true">IF(ISBLANK(INDIRECT("B"&amp;ROW())), "", INDIRECT("B"&amp;ROW()) &amp; " - " &amp; INDIRECT("J"&amp;ROW()))</f>
      </c>
      <c r="J74" s="59" t="str" cm="1">
        <f t="array" aca="true" ref="J74" ca="true">IF(INDIRECT("E"&amp;ROW())=0,"",IF(INDIRECT("H"&amp;ROW())=INDIRECT("E"&amp;ROW()),"Active","Expired"))</f>
      </c>
    </row>
    <row r="75" spans="9:10">
      <c r="B75" s="24" t="s">
        <v>1221</v>
      </c>
      <c r="C75" s="24" t="s">
        <v>2889</v>
      </c>
      <c r="D75" s="59" t="s">
        <v>2966</v>
      </c>
      <c r="E75" s="59" t="s">
        <v>3030</v>
      </c>
      <c r="H75" s="59" t="s">
        <v>2911</v>
      </c>
      <c r="I75" s="59" t="str" cm="1">
        <f t="array" aca="true" ref="I75" ca="true">IF(ISBLANK(INDIRECT("B"&amp;ROW())), "", INDIRECT("B"&amp;ROW()) &amp; " - " &amp; INDIRECT("J"&amp;ROW()))</f>
      </c>
      <c r="J75" s="59" t="str" cm="1">
        <f t="array" aca="true" ref="J75" ca="true">IF(INDIRECT("E"&amp;ROW())=0,"",IF(INDIRECT("H"&amp;ROW())=INDIRECT("E"&amp;ROW()),"Active","Expired"))</f>
      </c>
    </row>
    <row r="76" spans="9:10">
      <c r="B76" s="24" t="s">
        <v>1221</v>
      </c>
      <c r="C76" s="24" t="s">
        <v>2890</v>
      </c>
      <c r="D76" s="59" t="s">
        <v>2967</v>
      </c>
      <c r="E76" s="59" t="s">
        <v>3031</v>
      </c>
      <c r="H76" s="59" t="s">
        <v>2911</v>
      </c>
      <c r="I76" s="59" t="str" cm="1">
        <f t="array" aca="true" ref="I76" ca="true">IF(ISBLANK(INDIRECT("B"&amp;ROW())), "", INDIRECT("B"&amp;ROW()) &amp; " - " &amp; INDIRECT("J"&amp;ROW()))</f>
      </c>
      <c r="J76" s="59" t="str" cm="1">
        <f t="array" aca="true" ref="J76" ca="true">IF(INDIRECT("E"&amp;ROW())=0,"",IF(INDIRECT("H"&amp;ROW())=INDIRECT("E"&amp;ROW()),"Active","Expired"))</f>
      </c>
    </row>
    <row r="77" spans="9:10">
      <c r="B77" s="24" t="s">
        <v>1221</v>
      </c>
      <c r="C77" s="24" t="s">
        <v>2891</v>
      </c>
      <c r="D77" s="59" t="s">
        <v>2968</v>
      </c>
      <c r="E77" s="59" t="s">
        <v>3032</v>
      </c>
      <c r="H77" s="59" t="s">
        <v>2911</v>
      </c>
      <c r="I77" s="59" t="str" cm="1">
        <f t="array" aca="true" ref="I77" ca="true">IF(ISBLANK(INDIRECT("B"&amp;ROW())), "", INDIRECT("B"&amp;ROW()) &amp; " - " &amp; INDIRECT("J"&amp;ROW()))</f>
      </c>
      <c r="J77" s="59" t="str" cm="1">
        <f t="array" aca="true" ref="J77" ca="true">IF(INDIRECT("E"&amp;ROW())=0,"",IF(INDIRECT("H"&amp;ROW())=INDIRECT("E"&amp;ROW()),"Active","Expired"))</f>
      </c>
    </row>
    <row r="78" spans="9:10">
      <c r="B78" s="24" t="s">
        <v>1221</v>
      </c>
      <c r="C78" s="24" t="s">
        <v>2892</v>
      </c>
      <c r="D78" s="59" t="s">
        <v>2969</v>
      </c>
      <c r="E78" s="59" t="s">
        <v>2969</v>
      </c>
      <c r="H78" s="59" t="s">
        <v>2911</v>
      </c>
      <c r="I78" s="59" t="str" cm="1">
        <f t="array" aca="true" ref="I78" ca="true">IF(ISBLANK(INDIRECT("B"&amp;ROW())), "", INDIRECT("B"&amp;ROW()) &amp; " - " &amp; INDIRECT("J"&amp;ROW()))</f>
      </c>
      <c r="J78" s="59" t="str" cm="1">
        <f t="array" aca="true" ref="J78" ca="true">IF(INDIRECT("E"&amp;ROW())=0,"",IF(INDIRECT("H"&amp;ROW())=INDIRECT("E"&amp;ROW()),"Active","Expired"))</f>
      </c>
    </row>
    <row r="79" spans="9:10">
      <c r="B79" s="24" t="s">
        <v>1221</v>
      </c>
      <c r="C79" s="24" t="s">
        <v>2893</v>
      </c>
      <c r="D79" s="59" t="s">
        <v>2970</v>
      </c>
      <c r="E79" s="59" t="s">
        <v>3033</v>
      </c>
      <c r="H79" s="59" t="s">
        <v>2911</v>
      </c>
      <c r="I79" s="59" t="str" cm="1">
        <f t="array" aca="true" ref="I79" ca="true">IF(ISBLANK(INDIRECT("B"&amp;ROW())), "", INDIRECT("B"&amp;ROW()) &amp; " - " &amp; INDIRECT("J"&amp;ROW()))</f>
      </c>
      <c r="J79" s="59" t="str" cm="1">
        <f t="array" aca="true" ref="J79" ca="true">IF(INDIRECT("E"&amp;ROW())=0,"",IF(INDIRECT("H"&amp;ROW())=INDIRECT("E"&amp;ROW()),"Active","Expired"))</f>
      </c>
    </row>
    <row r="80" spans="9:10">
      <c r="B80" s="24" t="s">
        <v>1221</v>
      </c>
      <c r="C80" s="24" t="s">
        <v>2894</v>
      </c>
      <c r="D80" s="59" t="s">
        <v>2971</v>
      </c>
      <c r="E80" s="59" t="s">
        <v>2971</v>
      </c>
      <c r="H80" s="59" t="s">
        <v>2911</v>
      </c>
      <c r="I80" s="59" t="str" cm="1">
        <f t="array" aca="true" ref="I80" ca="true">IF(ISBLANK(INDIRECT("B"&amp;ROW())), "", INDIRECT("B"&amp;ROW()) &amp; " - " &amp; INDIRECT("J"&amp;ROW()))</f>
      </c>
      <c r="J80" s="59" t="str" cm="1">
        <f t="array" aca="true" ref="J80" ca="true">IF(INDIRECT("E"&amp;ROW())=0,"",IF(INDIRECT("H"&amp;ROW())=INDIRECT("E"&amp;ROW()),"Active","Expired"))</f>
      </c>
    </row>
    <row r="81" spans="9:10">
      <c r="B81" s="24" t="s">
        <v>1222</v>
      </c>
      <c r="C81" s="24" t="s">
        <v>2895</v>
      </c>
      <c r="D81" s="59" t="s">
        <v>2972</v>
      </c>
      <c r="E81" s="59" t="s">
        <v>3034</v>
      </c>
      <c r="H81" s="59" t="s">
        <v>2911</v>
      </c>
      <c r="I81" s="59" t="str" cm="1">
        <f t="array" aca="true" ref="I81" ca="true">IF(ISBLANK(INDIRECT("B"&amp;ROW())), "", INDIRECT("B"&amp;ROW()) &amp; " - " &amp; INDIRECT("J"&amp;ROW()))</f>
      </c>
      <c r="J81" s="59" t="str" cm="1">
        <f t="array" aca="true" ref="J81" ca="true">IF(INDIRECT("E"&amp;ROW())=0,"",IF(INDIRECT("H"&amp;ROW())=INDIRECT("E"&amp;ROW()),"Active","Expired"))</f>
      </c>
    </row>
    <row r="82" spans="9:10">
      <c r="B82" s="24" t="s">
        <v>1222</v>
      </c>
      <c r="C82" s="24" t="s">
        <v>2896</v>
      </c>
      <c r="D82" s="59" t="s">
        <v>2973</v>
      </c>
      <c r="E82" s="59" t="s">
        <v>3035</v>
      </c>
      <c r="H82" s="59" t="s">
        <v>2911</v>
      </c>
      <c r="I82" s="59" t="str" cm="1">
        <f t="array" aca="true" ref="I82" ca="true">IF(ISBLANK(INDIRECT("B"&amp;ROW())), "", INDIRECT("B"&amp;ROW()) &amp; " - " &amp; INDIRECT("J"&amp;ROW()))</f>
      </c>
      <c r="J82" s="59" t="str" cm="1">
        <f t="array" aca="true" ref="J82" ca="true">IF(INDIRECT("E"&amp;ROW())=0,"",IF(INDIRECT("H"&amp;ROW())=INDIRECT("E"&amp;ROW()),"Active","Expired"))</f>
      </c>
    </row>
    <row r="83" spans="9:10">
      <c r="B83" s="24" t="s">
        <v>1222</v>
      </c>
      <c r="C83" s="24" t="s">
        <v>2897</v>
      </c>
      <c r="D83" s="59" t="s">
        <v>2974</v>
      </c>
      <c r="E83" s="59" t="s">
        <v>3036</v>
      </c>
      <c r="H83" s="59" t="s">
        <v>2911</v>
      </c>
      <c r="I83" s="59" t="str" cm="1">
        <f t="array" aca="true" ref="I83" ca="true">IF(ISBLANK(INDIRECT("B"&amp;ROW())), "", INDIRECT("B"&amp;ROW()) &amp; " - " &amp; INDIRECT("J"&amp;ROW()))</f>
      </c>
      <c r="J83" s="59" t="str" cm="1">
        <f t="array" aca="true" ref="J83" ca="true">IF(INDIRECT("E"&amp;ROW())=0,"",IF(INDIRECT("H"&amp;ROW())=INDIRECT("E"&amp;ROW()),"Active","Expired"))</f>
      </c>
    </row>
    <row r="84" spans="9:10">
      <c r="B84" s="24" t="s">
        <v>1222</v>
      </c>
      <c r="C84" s="24" t="s">
        <v>2897</v>
      </c>
      <c r="D84" s="59" t="s">
        <v>2975</v>
      </c>
      <c r="E84" s="59" t="s">
        <v>2975</v>
      </c>
      <c r="H84" s="59" t="s">
        <v>2911</v>
      </c>
      <c r="I84" s="59" t="str" cm="1">
        <f t="array" aca="true" ref="I84" ca="true">IF(ISBLANK(INDIRECT("B"&amp;ROW())), "", INDIRECT("B"&amp;ROW()) &amp; " - " &amp; INDIRECT("J"&amp;ROW()))</f>
      </c>
      <c r="J84" s="59" t="str" cm="1">
        <f t="array" aca="true" ref="J84" ca="true">IF(INDIRECT("E"&amp;ROW())=0,"",IF(INDIRECT("H"&amp;ROW())=INDIRECT("E"&amp;ROW()),"Active","Expired"))</f>
      </c>
    </row>
    <row r="85" spans="9:10">
      <c r="B85" s="24" t="s">
        <v>1222</v>
      </c>
      <c r="C85" s="24" t="s">
        <v>2897</v>
      </c>
      <c r="D85" s="59" t="s">
        <v>2976</v>
      </c>
      <c r="E85" s="59" t="s">
        <v>3037</v>
      </c>
      <c r="H85" s="59" t="s">
        <v>2911</v>
      </c>
      <c r="I85" s="59" t="str" cm="1">
        <f t="array" aca="true" ref="I85" ca="true">IF(ISBLANK(INDIRECT("B"&amp;ROW())), "", INDIRECT("B"&amp;ROW()) &amp; " - " &amp; INDIRECT("J"&amp;ROW()))</f>
      </c>
      <c r="J85" s="59" t="str" cm="1">
        <f t="array" aca="true" ref="J85" ca="true">IF(INDIRECT("E"&amp;ROW())=0,"",IF(INDIRECT("H"&amp;ROW())=INDIRECT("E"&amp;ROW()),"Active","Expired"))</f>
      </c>
    </row>
    <row r="86" spans="9:10">
      <c r="B86" s="24" t="s">
        <v>1222</v>
      </c>
      <c r="C86" s="24" t="s">
        <v>2898</v>
      </c>
      <c r="D86" s="59" t="s">
        <v>2977</v>
      </c>
      <c r="E86" s="59" t="s">
        <v>3038</v>
      </c>
      <c r="H86" s="59" t="s">
        <v>2911</v>
      </c>
      <c r="I86" s="59" t="str" cm="1">
        <f t="array" aca="true" ref="I86" ca="true">IF(ISBLANK(INDIRECT("B"&amp;ROW())), "", INDIRECT("B"&amp;ROW()) &amp; " - " &amp; INDIRECT("J"&amp;ROW()))</f>
      </c>
      <c r="J86" s="59" t="str" cm="1">
        <f t="array" aca="true" ref="J86" ca="true">IF(INDIRECT("E"&amp;ROW())=0,"",IF(INDIRECT("H"&amp;ROW())=INDIRECT("E"&amp;ROW()),"Active","Expired"))</f>
      </c>
    </row>
    <row r="87" spans="9:10">
      <c r="B87" s="24" t="s">
        <v>1222</v>
      </c>
      <c r="C87" s="24" t="s">
        <v>2899</v>
      </c>
      <c r="D87" s="59" t="s">
        <v>2978</v>
      </c>
      <c r="E87" s="59" t="s">
        <v>2956</v>
      </c>
      <c r="H87" s="59" t="s">
        <v>2911</v>
      </c>
      <c r="I87" s="59" t="str" cm="1">
        <f t="array" aca="true" ref="I87" ca="true">IF(ISBLANK(INDIRECT("B"&amp;ROW())), "", INDIRECT("B"&amp;ROW()) &amp; " - " &amp; INDIRECT("J"&amp;ROW()))</f>
      </c>
      <c r="J87" s="59" t="str" cm="1">
        <f t="array" aca="true" ref="J87" ca="true">IF(INDIRECT("E"&amp;ROW())=0,"",IF(INDIRECT("H"&amp;ROW())=INDIRECT("E"&amp;ROW()),"Active","Expired"))</f>
      </c>
    </row>
    <row r="88" spans="9:10">
      <c r="B88" s="24" t="s">
        <v>1222</v>
      </c>
      <c r="C88" s="24" t="s">
        <v>2899</v>
      </c>
      <c r="D88" s="59" t="s">
        <v>2979</v>
      </c>
      <c r="E88" s="59" t="s">
        <v>3039</v>
      </c>
      <c r="H88" s="59" t="s">
        <v>2911</v>
      </c>
      <c r="I88" s="59" t="str" cm="1">
        <f t="array" aca="true" ref="I88" ca="true">IF(ISBLANK(INDIRECT("B"&amp;ROW())), "", INDIRECT("B"&amp;ROW()) &amp; " - " &amp; INDIRECT("J"&amp;ROW()))</f>
      </c>
      <c r="J88" s="59" t="str" cm="1">
        <f t="array" aca="true" ref="J88" ca="true">IF(INDIRECT("E"&amp;ROW())=0,"",IF(INDIRECT("H"&amp;ROW())=INDIRECT("E"&amp;ROW()),"Active","Expired"))</f>
      </c>
    </row>
    <row r="89" spans="9:10">
      <c r="B89" s="24" t="s">
        <v>1222</v>
      </c>
      <c r="C89" s="24" t="s">
        <v>2899</v>
      </c>
      <c r="D89" s="59" t="s">
        <v>2980</v>
      </c>
      <c r="E89" s="59" t="s">
        <v>2980</v>
      </c>
      <c r="H89" s="59" t="s">
        <v>2911</v>
      </c>
      <c r="I89" s="59" t="str" cm="1">
        <f t="array" aca="true" ref="I89" ca="true">IF(ISBLANK(INDIRECT("B"&amp;ROW())), "", INDIRECT("B"&amp;ROW()) &amp; " - " &amp; INDIRECT("J"&amp;ROW()))</f>
      </c>
      <c r="J89" s="59" t="str" cm="1">
        <f t="array" aca="true" ref="J89" ca="true">IF(INDIRECT("E"&amp;ROW())=0,"",IF(INDIRECT("H"&amp;ROW())=INDIRECT("E"&amp;ROW()),"Active","Expired"))</f>
      </c>
    </row>
    <row r="90" spans="9:10">
      <c r="B90" s="24" t="s">
        <v>1222</v>
      </c>
      <c r="C90" s="24" t="s">
        <v>2898</v>
      </c>
      <c r="D90" s="59" t="s">
        <v>2981</v>
      </c>
      <c r="E90" s="59" t="s">
        <v>3040</v>
      </c>
      <c r="H90" s="59" t="s">
        <v>2911</v>
      </c>
      <c r="I90" s="59" t="str" cm="1">
        <f t="array" aca="true" ref="I90" ca="true">IF(ISBLANK(INDIRECT("B"&amp;ROW())), "", INDIRECT("B"&amp;ROW()) &amp; " - " &amp; INDIRECT("J"&amp;ROW()))</f>
      </c>
      <c r="J90" s="59" t="str" cm="1">
        <f t="array" aca="true" ref="J90" ca="true">IF(INDIRECT("E"&amp;ROW())=0,"",IF(INDIRECT("H"&amp;ROW())=INDIRECT("E"&amp;ROW()),"Active","Expired"))</f>
      </c>
    </row>
    <row r="91" spans="9:10">
      <c r="B91" s="24" t="s">
        <v>1222</v>
      </c>
      <c r="C91" s="24" t="s">
        <v>2898</v>
      </c>
      <c r="D91" s="59" t="s">
        <v>2936</v>
      </c>
      <c r="E91" s="59" t="s">
        <v>3041</v>
      </c>
      <c r="H91" s="59" t="s">
        <v>2911</v>
      </c>
      <c r="I91" s="59" t="str" cm="1">
        <f t="array" aca="true" ref="I91" ca="true">IF(ISBLANK(INDIRECT("B"&amp;ROW())), "", INDIRECT("B"&amp;ROW()) &amp; " - " &amp; INDIRECT("J"&amp;ROW()))</f>
      </c>
      <c r="J91" s="59" t="str" cm="1">
        <f t="array" aca="true" ref="J91" ca="true">IF(INDIRECT("E"&amp;ROW())=0,"",IF(INDIRECT("H"&amp;ROW())=INDIRECT("E"&amp;ROW()),"Active","Expired"))</f>
      </c>
    </row>
    <row r="92" spans="9:10">
      <c r="B92" s="24" t="s">
        <v>1222</v>
      </c>
      <c r="C92" s="24" t="s">
        <v>2898</v>
      </c>
      <c r="D92" s="59" t="s">
        <v>2982</v>
      </c>
      <c r="E92" s="59" t="s">
        <v>2911</v>
      </c>
      <c r="H92" s="59" t="s">
        <v>2911</v>
      </c>
      <c r="I92" s="59" t="str" cm="1">
        <f t="array" aca="true" ref="I92" ca="true">IF(ISBLANK(INDIRECT("B"&amp;ROW())), "", INDIRECT("B"&amp;ROW()) &amp; " - " &amp; INDIRECT("J"&amp;ROW()))</f>
      </c>
      <c r="J92" s="59" t="str" cm="1">
        <f t="array" aca="true" ref="J92" ca="true">IF(INDIRECT("E"&amp;ROW())=0,"",IF(INDIRECT("H"&amp;ROW())=INDIRECT("E"&amp;ROW()),"Active","Expired"))</f>
      </c>
    </row>
    <row r="93" spans="9:10">
      <c r="I93" s="59" t="str" cm="1">
        <f t="array" aca="true" ref="I93" ca="true">IF(ISBLANK(INDIRECT("B"&amp;ROW())), "", INDIRECT("B"&amp;ROW()) &amp; " - " &amp; INDIRECT("J"&amp;ROW()))</f>
      </c>
      <c r="J93" s="59" t="str" cm="1">
        <f t="array" aca="true" ref="J93" ca="true">IF(INDIRECT("E"&amp;ROW())=0,"",IF(INDIRECT("H"&amp;ROW())=INDIRECT("E"&amp;ROW()),"Active","Expired"))</f>
      </c>
    </row>
    <row r="94" spans="9:10">
      <c r="I94" s="59" t="str" cm="1">
        <f t="array" aca="true" ref="I94" ca="true">IF(ISBLANK(INDIRECT("B"&amp;ROW())), "", INDIRECT("B"&amp;ROW()) &amp; " - " &amp; INDIRECT("J"&amp;ROW()))</f>
      </c>
      <c r="J94" s="59" t="str" cm="1">
        <f t="array" aca="true" ref="J94" ca="true">IF(INDIRECT("E"&amp;ROW())=0,"",IF(INDIRECT("H"&amp;ROW())=INDIRECT("E"&amp;ROW()),"Active","Expired"))</f>
      </c>
    </row>
    <row r="95" spans="9:10">
      <c r="I95" s="59" t="str" cm="1">
        <f t="array" aca="true" ref="I95" ca="true">IF(ISBLANK(INDIRECT("B"&amp;ROW())), "", INDIRECT("B"&amp;ROW()) &amp; " - " &amp; INDIRECT("J"&amp;ROW()))</f>
      </c>
      <c r="J95" s="59" t="str" cm="1">
        <f t="array" aca="true" ref="J95" ca="true">IF(INDIRECT("E"&amp;ROW())=0,"",IF(INDIRECT("H"&amp;ROW())=INDIRECT("E"&amp;ROW()),"Active","Expired"))</f>
      </c>
    </row>
    <row r="96" spans="9:10">
      <c r="I96" s="59" t="str" cm="1">
        <f t="array" aca="true" ref="I96" ca="true">IF(ISBLANK(INDIRECT("B"&amp;ROW())), "", INDIRECT("B"&amp;ROW()) &amp; " - " &amp; INDIRECT("J"&amp;ROW()))</f>
      </c>
      <c r="J96" s="59" t="str" cm="1">
        <f t="array" aca="true" ref="J96" ca="true">IF(INDIRECT("E"&amp;ROW())=0,"",IF(INDIRECT("H"&amp;ROW())=INDIRECT("E"&amp;ROW()),"Active","Expired"))</f>
      </c>
    </row>
    <row r="97" spans="9:10">
      <c r="I97" s="59" t="str" cm="1">
        <f t="array" aca="true" ref="I97" ca="true">IF(ISBLANK(INDIRECT("B"&amp;ROW())), "", INDIRECT("B"&amp;ROW()) &amp; " - " &amp; INDIRECT("J"&amp;ROW()))</f>
      </c>
      <c r="J97" s="59" t="str" cm="1">
        <f t="array" aca="true" ref="J97" ca="true">IF(INDIRECT("E"&amp;ROW())=0,"",IF(INDIRECT("H"&amp;ROW())=INDIRECT("E"&amp;ROW()),"Active","Expired"))</f>
      </c>
    </row>
    <row r="98" spans="9:10">
      <c r="I98" s="59" t="str" cm="1">
        <f t="array" aca="true" ref="I98" ca="true">IF(ISBLANK(INDIRECT("B"&amp;ROW())), "", INDIRECT("B"&amp;ROW()) &amp; " - " &amp; INDIRECT("J"&amp;ROW()))</f>
      </c>
      <c r="J98" s="59" t="str" cm="1">
        <f t="array" aca="true" ref="J98" ca="true">IF(INDIRECT("E"&amp;ROW())=0,"",IF(INDIRECT("H"&amp;ROW())=INDIRECT("E"&amp;ROW()),"Active","Expired"))</f>
      </c>
    </row>
    <row r="99" spans="9:10">
      <c r="I99" s="59" t="str" cm="1">
        <f t="array" aca="true" ref="I99" ca="true">IF(ISBLANK(INDIRECT("B"&amp;ROW())), "", INDIRECT("B"&amp;ROW()) &amp; " - " &amp; INDIRECT("J"&amp;ROW()))</f>
      </c>
      <c r="J99" s="59" t="str" cm="1">
        <f t="array" aca="true" ref="J99" ca="true">IF(INDIRECT("E"&amp;ROW())=0,"",IF(INDIRECT("H"&amp;ROW())=INDIRECT("E"&amp;ROW()),"Active","Expired"))</f>
      </c>
    </row>
    <row r="100" spans="9:10">
      <c r="I100" s="59" t="str" cm="1">
        <f t="array" aca="true" ref="I100" ca="true">IF(ISBLANK(INDIRECT("B"&amp;ROW())), "", INDIRECT("B"&amp;ROW()) &amp; " - " &amp; INDIRECT("J"&amp;ROW()))</f>
      </c>
      <c r="J100" s="59" t="str" cm="1">
        <f t="array" aca="true" ref="J100" ca="true">IF(INDIRECT("E"&amp;ROW())=0,"",IF(INDIRECT("H"&amp;ROW())=INDIRECT("E"&amp;ROW()),"Active","Expired"))</f>
      </c>
    </row>
    <row r="101" spans="9:10">
      <c r="I101" s="59" t="str" cm="1">
        <f t="array" aca="true" ref="I101" ca="true">IF(ISBLANK(INDIRECT("B"&amp;ROW())), "", INDIRECT("B"&amp;ROW()) &amp; " - " &amp; INDIRECT("J"&amp;ROW()))</f>
      </c>
      <c r="J101" s="59" t="str" cm="1">
        <f t="array" aca="true" ref="J101" ca="true">IF(INDIRECT("E"&amp;ROW())=0,"",IF(INDIRECT("H"&amp;ROW())=INDIRECT("E"&amp;ROW()),"Active","Expired"))</f>
      </c>
    </row>
    <row r="102" spans="9:10">
      <c r="I102" s="59" t="str" cm="1">
        <f t="array" aca="true" ref="I102" ca="true">IF(ISBLANK(INDIRECT("B"&amp;ROW())), "", INDIRECT("B"&amp;ROW()) &amp; " - " &amp; INDIRECT("J"&amp;ROW()))</f>
      </c>
      <c r="J102" s="59" t="str" cm="1">
        <f t="array" aca="true" ref="J102" ca="true">IF(INDIRECT("E"&amp;ROW())=0,"",IF(INDIRECT("H"&amp;ROW())=INDIRECT("E"&amp;ROW()),"Active","Expired"))</f>
      </c>
    </row>
    <row r="103" spans="9:10">
      <c r="I103" s="59" t="str" cm="1">
        <f t="array" aca="true" ref="I103" ca="true">IF(ISBLANK(INDIRECT("B"&amp;ROW())), "", INDIRECT("B"&amp;ROW()) &amp; " - " &amp; INDIRECT("J"&amp;ROW()))</f>
      </c>
      <c r="J103" s="59" t="str" cm="1">
        <f t="array" aca="true" ref="J103" ca="true">IF(INDIRECT("E"&amp;ROW())=0,"",IF(INDIRECT("H"&amp;ROW())=INDIRECT("E"&amp;ROW()),"Active","Expired"))</f>
      </c>
    </row>
    <row r="104" spans="9:10">
      <c r="I104" s="59" t="str" cm="1">
        <f t="array" aca="true" ref="I104" ca="true">IF(ISBLANK(INDIRECT("B"&amp;ROW())), "", INDIRECT("B"&amp;ROW()) &amp; " - " &amp; INDIRECT("J"&amp;ROW()))</f>
      </c>
      <c r="J104" s="59" t="str" cm="1">
        <f t="array" aca="true" ref="J104" ca="true">IF(INDIRECT("E"&amp;ROW())=0,"",IF(INDIRECT("H"&amp;ROW())=INDIRECT("E"&amp;ROW()),"Active","Expired"))</f>
      </c>
    </row>
    <row r="105" spans="9:10">
      <c r="I105" s="59" t="str" cm="1">
        <f t="array" aca="true" ref="I105" ca="true">IF(ISBLANK(INDIRECT("B"&amp;ROW())), "", INDIRECT("B"&amp;ROW()) &amp; " - " &amp; INDIRECT("J"&amp;ROW()))</f>
      </c>
      <c r="J105" s="59" t="str" cm="1">
        <f t="array" aca="true" ref="J105" ca="true">IF(INDIRECT("E"&amp;ROW())=0,"",IF(INDIRECT("H"&amp;ROW())=INDIRECT("E"&amp;ROW()),"Active","Expired"))</f>
      </c>
    </row>
    <row r="106" spans="9:10">
      <c r="I106" s="59" t="str" cm="1">
        <f t="array" aca="true" ref="I106" ca="true">IF(ISBLANK(INDIRECT("B"&amp;ROW())), "", INDIRECT("B"&amp;ROW()) &amp; " - " &amp; INDIRECT("J"&amp;ROW()))</f>
      </c>
      <c r="J106" s="59" t="str" cm="1">
        <f t="array" aca="true" ref="J106" ca="true">IF(INDIRECT("E"&amp;ROW())=0,"",IF(INDIRECT("H"&amp;ROW())=INDIRECT("E"&amp;ROW()),"Active","Expired"))</f>
      </c>
    </row>
    <row r="107" spans="9:10">
      <c r="I107" s="59" t="str" cm="1">
        <f t="array" aca="true" ref="I107" ca="true">IF(ISBLANK(INDIRECT("B"&amp;ROW())), "", INDIRECT("B"&amp;ROW()) &amp; " - " &amp; INDIRECT("J"&amp;ROW()))</f>
      </c>
      <c r="J107" s="59" t="str" cm="1">
        <f t="array" aca="true" ref="J107" ca="true">IF(INDIRECT("E"&amp;ROW())=0,"",IF(INDIRECT("H"&amp;ROW())=INDIRECT("E"&amp;ROW()),"Active","Expired"))</f>
      </c>
    </row>
    <row r="108" spans="9:10">
      <c r="I108" s="59" t="str" cm="1">
        <f t="array" aca="true" ref="I108" ca="true">IF(ISBLANK(INDIRECT("B"&amp;ROW())), "", INDIRECT("B"&amp;ROW()) &amp; " - " &amp; INDIRECT("J"&amp;ROW()))</f>
      </c>
      <c r="J108" s="59" t="str" cm="1">
        <f t="array" aca="true" ref="J108" ca="true">IF(INDIRECT("E"&amp;ROW())=0,"",IF(INDIRECT("H"&amp;ROW())=INDIRECT("E"&amp;ROW()),"Active","Expired"))</f>
      </c>
    </row>
    <row r="109" spans="9:10">
      <c r="I109" s="59" t="str" cm="1">
        <f t="array" aca="true" ref="I109" ca="true">IF(ISBLANK(INDIRECT("B"&amp;ROW())), "", INDIRECT("B"&amp;ROW()) &amp; " - " &amp; INDIRECT("J"&amp;ROW()))</f>
      </c>
      <c r="J109" s="59" t="str" cm="1">
        <f t="array" aca="true" ref="J109" ca="true">IF(INDIRECT("E"&amp;ROW())=0,"",IF(INDIRECT("H"&amp;ROW())=INDIRECT("E"&amp;ROW()),"Active","Expired"))</f>
      </c>
    </row>
    <row r="110" spans="9:10">
      <c r="I110" s="59" t="str" cm="1">
        <f t="array" aca="true" ref="I110" ca="true">IF(ISBLANK(INDIRECT("B"&amp;ROW())), "", INDIRECT("B"&amp;ROW()) &amp; " - " &amp; INDIRECT("J"&amp;ROW()))</f>
      </c>
      <c r="J110" s="59" t="str" cm="1">
        <f t="array" aca="true" ref="J110" ca="true">IF(INDIRECT("E"&amp;ROW())=0,"",IF(INDIRECT("H"&amp;ROW())=INDIRECT("E"&amp;ROW()),"Active","Expired"))</f>
      </c>
    </row>
    <row r="111" spans="9:10">
      <c r="I111" s="59" t="str" cm="1">
        <f t="array" aca="true" ref="I111" ca="true">IF(ISBLANK(INDIRECT("B"&amp;ROW())), "", INDIRECT("B"&amp;ROW()) &amp; " - " &amp; INDIRECT("J"&amp;ROW()))</f>
      </c>
      <c r="J111" s="59" t="str" cm="1">
        <f t="array" aca="true" ref="J111" ca="true">IF(INDIRECT("E"&amp;ROW())=0,"",IF(INDIRECT("H"&amp;ROW())=INDIRECT("E"&amp;ROW()),"Active","Expired"))</f>
      </c>
    </row>
    <row r="112" spans="9:10">
      <c r="I112" s="59" t="str" cm="1">
        <f t="array" aca="true" ref="I112" ca="true">IF(ISBLANK(INDIRECT("B"&amp;ROW())), "", INDIRECT("B"&amp;ROW()) &amp; " - " &amp; INDIRECT("J"&amp;ROW()))</f>
      </c>
      <c r="J112" s="59" t="str" cm="1">
        <f t="array" aca="true" ref="J112" ca="true">IF(INDIRECT("E"&amp;ROW())=0,"",IF(INDIRECT("H"&amp;ROW())=INDIRECT("E"&amp;ROW()),"Active","Expired"))</f>
      </c>
    </row>
    <row r="113" spans="9:10">
      <c r="I113" s="59" t="str" cm="1">
        <f t="array" aca="true" ref="I113" ca="true">IF(ISBLANK(INDIRECT("B"&amp;ROW())), "", INDIRECT("B"&amp;ROW()) &amp; " - " &amp; INDIRECT("J"&amp;ROW()))</f>
      </c>
      <c r="J113" s="59" t="str" cm="1">
        <f t="array" aca="true" ref="J113" ca="true">IF(INDIRECT("E"&amp;ROW())=0,"",IF(INDIRECT("H"&amp;ROW())=INDIRECT("E"&amp;ROW()),"Active","Expired"))</f>
      </c>
    </row>
    <row r="114" spans="9:10">
      <c r="I114" s="59" t="str" cm="1">
        <f t="array" aca="true" ref="I114" ca="true">IF(ISBLANK(INDIRECT("B"&amp;ROW())), "", INDIRECT("B"&amp;ROW()) &amp; " - " &amp; INDIRECT("J"&amp;ROW()))</f>
      </c>
      <c r="J114" s="59" t="str" cm="1">
        <f t="array" aca="true" ref="J114" ca="true">IF(INDIRECT("E"&amp;ROW())=0,"",IF(INDIRECT("H"&amp;ROW())=INDIRECT("E"&amp;ROW()),"Active","Expired"))</f>
      </c>
    </row>
    <row r="115" spans="9:10">
      <c r="I115" s="59" t="str" cm="1">
        <f t="array" aca="true" ref="I115" ca="true">IF(ISBLANK(INDIRECT("B"&amp;ROW())), "", INDIRECT("B"&amp;ROW()) &amp; " - " &amp; INDIRECT("J"&amp;ROW()))</f>
      </c>
      <c r="J115" s="59" t="str" cm="1">
        <f t="array" aca="true" ref="J115" ca="true">IF(INDIRECT("E"&amp;ROW())=0,"",IF(INDIRECT("H"&amp;ROW())=INDIRECT("E"&amp;ROW()),"Active","Expired"))</f>
      </c>
    </row>
    <row r="116" spans="9:10">
      <c r="I116" s="59" t="str" cm="1">
        <f t="array" aca="true" ref="I116" ca="true">IF(ISBLANK(INDIRECT("B"&amp;ROW())), "", INDIRECT("B"&amp;ROW()) &amp; " - " &amp; INDIRECT("J"&amp;ROW()))</f>
      </c>
      <c r="J116" s="59" t="str" cm="1">
        <f t="array" aca="true" ref="J116" ca="true">IF(INDIRECT("E"&amp;ROW())=0,"",IF(INDIRECT("H"&amp;ROW())=INDIRECT("E"&amp;ROW()),"Active","Expired"))</f>
      </c>
    </row>
    <row r="117" spans="9:10">
      <c r="I117" s="59" t="str" cm="1">
        <f t="array" aca="true" ref="I117" ca="true">IF(ISBLANK(INDIRECT("B"&amp;ROW())), "", INDIRECT("B"&amp;ROW()) &amp; " - " &amp; INDIRECT("J"&amp;ROW()))</f>
      </c>
      <c r="J117" s="59" t="str" cm="1">
        <f t="array" aca="true" ref="J117" ca="true">IF(INDIRECT("E"&amp;ROW())=0,"",IF(INDIRECT("H"&amp;ROW())=INDIRECT("E"&amp;ROW()),"Active","Expired"))</f>
      </c>
    </row>
    <row r="118" spans="9:10">
      <c r="I118" s="59" t="str" cm="1">
        <f t="array" aca="true" ref="I118" ca="true">IF(ISBLANK(INDIRECT("B"&amp;ROW())), "", INDIRECT("B"&amp;ROW()) &amp; " - " &amp; INDIRECT("J"&amp;ROW()))</f>
      </c>
      <c r="J118" s="59" t="str" cm="1">
        <f t="array" aca="true" ref="J118" ca="true">IF(INDIRECT("E"&amp;ROW())=0,"",IF(INDIRECT("H"&amp;ROW())=INDIRECT("E"&amp;ROW()),"Active","Expired"))</f>
      </c>
    </row>
    <row r="119" spans="9:10">
      <c r="I119" s="59" t="str" cm="1">
        <f t="array" aca="true" ref="I119" ca="true">IF(ISBLANK(INDIRECT("B"&amp;ROW())), "", INDIRECT("B"&amp;ROW()) &amp; " - " &amp; INDIRECT("J"&amp;ROW()))</f>
      </c>
      <c r="J119" s="59" t="str" cm="1">
        <f t="array" aca="true" ref="J119" ca="true">IF(INDIRECT("E"&amp;ROW())=0,"",IF(INDIRECT("H"&amp;ROW())=INDIRECT("E"&amp;ROW()),"Active","Expired"))</f>
      </c>
    </row>
    <row r="120" spans="9:10">
      <c r="I120" s="59" t="str" cm="1">
        <f t="array" aca="true" ref="I120" ca="true">IF(ISBLANK(INDIRECT("B"&amp;ROW())), "", INDIRECT("B"&amp;ROW()) &amp; " - " &amp; INDIRECT("J"&amp;ROW()))</f>
      </c>
      <c r="J120" s="59" t="str" cm="1">
        <f t="array" aca="true" ref="J120" ca="true">IF(INDIRECT("E"&amp;ROW())=0,"",IF(INDIRECT("H"&amp;ROW())=INDIRECT("E"&amp;ROW()),"Active","Expired"))</f>
      </c>
    </row>
    <row r="121" spans="9:10">
      <c r="I121" s="59" t="str" cm="1">
        <f t="array" aca="true" ref="I121" ca="true">IF(ISBLANK(INDIRECT("B"&amp;ROW())), "", INDIRECT("B"&amp;ROW()) &amp; " - " &amp; INDIRECT("J"&amp;ROW()))</f>
      </c>
      <c r="J121" s="59" t="str" cm="1">
        <f t="array" aca="true" ref="J121" ca="true">IF(INDIRECT("E"&amp;ROW())=0,"",IF(INDIRECT("H"&amp;ROW())=INDIRECT("E"&amp;ROW()),"Active","Expired"))</f>
      </c>
    </row>
    <row r="122" spans="9:10">
      <c r="I122" s="59" t="str" cm="1">
        <f t="array" aca="true" ref="I122" ca="true">IF(ISBLANK(INDIRECT("B"&amp;ROW())), "", INDIRECT("B"&amp;ROW()) &amp; " - " &amp; INDIRECT("J"&amp;ROW()))</f>
      </c>
      <c r="J122" s="59" t="str" cm="1">
        <f t="array" aca="true" ref="J122" ca="true">IF(INDIRECT("E"&amp;ROW())=0,"",IF(INDIRECT("H"&amp;ROW())=INDIRECT("E"&amp;ROW()),"Active","Expired"))</f>
      </c>
    </row>
    <row r="123" spans="9:10">
      <c r="I123" s="59" t="str" cm="1">
        <f t="array" aca="true" ref="I123" ca="true">IF(ISBLANK(INDIRECT("B"&amp;ROW())), "", INDIRECT("B"&amp;ROW()) &amp; " - " &amp; INDIRECT("J"&amp;ROW()))</f>
      </c>
      <c r="J123" s="59" t="str" cm="1">
        <f t="array" aca="true" ref="J123" ca="true">IF(INDIRECT("E"&amp;ROW())=0,"",IF(INDIRECT("H"&amp;ROW())=INDIRECT("E"&amp;ROW()),"Active","Expired"))</f>
      </c>
    </row>
    <row r="124" spans="9:10">
      <c r="I124" s="59" t="str" cm="1">
        <f t="array" aca="true" ref="I124" ca="true">IF(ISBLANK(INDIRECT("B"&amp;ROW())), "", INDIRECT("B"&amp;ROW()) &amp; " - " &amp; INDIRECT("J"&amp;ROW()))</f>
      </c>
      <c r="J124" s="59" t="str" cm="1">
        <f t="array" aca="true" ref="J124" ca="true">IF(INDIRECT("E"&amp;ROW())=0,"",IF(INDIRECT("H"&amp;ROW())=INDIRECT("E"&amp;ROW()),"Active","Expired"))</f>
      </c>
    </row>
    <row r="125" spans="9:10">
      <c r="I125" s="59" t="str" cm="1">
        <f t="array" aca="true" ref="I125" ca="true">IF(ISBLANK(INDIRECT("B"&amp;ROW())), "", INDIRECT("B"&amp;ROW()) &amp; " - " &amp; INDIRECT("J"&amp;ROW()))</f>
      </c>
      <c r="J125" s="59" t="str" cm="1">
        <f t="array" aca="true" ref="J125" ca="true">IF(INDIRECT("E"&amp;ROW())=0,"",IF(INDIRECT("H"&amp;ROW())=INDIRECT("E"&amp;ROW()),"Active","Expired"))</f>
      </c>
    </row>
    <row r="126" spans="9:10">
      <c r="I126" s="59" t="str" cm="1">
        <f t="array" aca="true" ref="I126" ca="true">IF(ISBLANK(INDIRECT("B"&amp;ROW())), "", INDIRECT("B"&amp;ROW()) &amp; " - " &amp; INDIRECT("J"&amp;ROW()))</f>
      </c>
      <c r="J126" s="59" t="str" cm="1">
        <f t="array" aca="true" ref="J126" ca="true">IF(INDIRECT("E"&amp;ROW())=0,"",IF(INDIRECT("H"&amp;ROW())=INDIRECT("E"&amp;ROW()),"Active","Expired"))</f>
      </c>
    </row>
    <row r="127" spans="9:10">
      <c r="I127" s="59" t="str" cm="1">
        <f t="array" aca="true" ref="I127" ca="true">IF(ISBLANK(INDIRECT("B"&amp;ROW())), "", INDIRECT("B"&amp;ROW()) &amp; " - " &amp; INDIRECT("J"&amp;ROW()))</f>
      </c>
      <c r="J127" s="59" t="str" cm="1">
        <f t="array" aca="true" ref="J127" ca="true">IF(INDIRECT("E"&amp;ROW())=0,"",IF(INDIRECT("H"&amp;ROW())=INDIRECT("E"&amp;ROW()),"Active","Expired"))</f>
      </c>
    </row>
    <row r="128" spans="9:10">
      <c r="I128" s="59" t="str" cm="1">
        <f t="array" aca="true" ref="I128" ca="true">IF(ISBLANK(INDIRECT("B"&amp;ROW())), "", INDIRECT("B"&amp;ROW()) &amp; " - " &amp; INDIRECT("J"&amp;ROW()))</f>
      </c>
      <c r="J128" s="59" t="str" cm="1">
        <f t="array" aca="true" ref="J128" ca="true">IF(INDIRECT("E"&amp;ROW())=0,"",IF(INDIRECT("H"&amp;ROW())=INDIRECT("E"&amp;ROW()),"Active","Expired"))</f>
      </c>
    </row>
    <row r="129" spans="9:10">
      <c r="I129" s="59" t="str" cm="1">
        <f t="array" aca="true" ref="I129" ca="true">IF(ISBLANK(INDIRECT("B"&amp;ROW())), "", INDIRECT("B"&amp;ROW()) &amp; " - " &amp; INDIRECT("J"&amp;ROW()))</f>
      </c>
      <c r="J129" s="59" t="str" cm="1">
        <f t="array" aca="true" ref="J129" ca="true">IF(INDIRECT("E"&amp;ROW())=0,"",IF(INDIRECT("H"&amp;ROW())=INDIRECT("E"&amp;ROW()),"Active","Expired"))</f>
      </c>
    </row>
    <row r="130" spans="9:10">
      <c r="I130" s="59" t="str" cm="1">
        <f t="array" aca="true" ref="I130" ca="true">IF(ISBLANK(INDIRECT("B"&amp;ROW())), "", INDIRECT("B"&amp;ROW()) &amp; " - " &amp; INDIRECT("J"&amp;ROW()))</f>
      </c>
      <c r="J130" s="59" t="str" cm="1">
        <f t="array" aca="true" ref="J130" ca="true">IF(INDIRECT("E"&amp;ROW())=0,"",IF(INDIRECT("H"&amp;ROW())=INDIRECT("E"&amp;ROW()),"Active","Expired"))</f>
      </c>
    </row>
    <row r="131" spans="9:10">
      <c r="I131" s="59" t="str" cm="1">
        <f t="array" aca="true" ref="I131" ca="true">IF(ISBLANK(INDIRECT("B"&amp;ROW())), "", INDIRECT("B"&amp;ROW()) &amp; " - " &amp; INDIRECT("J"&amp;ROW()))</f>
      </c>
      <c r="J131" s="59" t="str" cm="1">
        <f t="array" aca="true" ref="J131" ca="true">IF(INDIRECT("E"&amp;ROW())=0,"",IF(INDIRECT("H"&amp;ROW())=INDIRECT("E"&amp;ROW()),"Active","Expired"))</f>
      </c>
    </row>
    <row r="132" spans="9:10">
      <c r="I132" s="59" t="str" cm="1">
        <f t="array" aca="true" ref="I132" ca="true">IF(ISBLANK(INDIRECT("B"&amp;ROW())), "", INDIRECT("B"&amp;ROW()) &amp; " - " &amp; INDIRECT("J"&amp;ROW()))</f>
      </c>
      <c r="J132" s="59" t="str" cm="1">
        <f t="array" aca="true" ref="J132" ca="true">IF(INDIRECT("E"&amp;ROW())=0,"",IF(INDIRECT("H"&amp;ROW())=INDIRECT("E"&amp;ROW()),"Active","Expired"))</f>
      </c>
    </row>
    <row r="133" spans="9:10">
      <c r="I133" s="59" t="str" cm="1">
        <f t="array" aca="true" ref="I133" ca="true">IF(ISBLANK(INDIRECT("B"&amp;ROW())), "", INDIRECT("B"&amp;ROW()) &amp; " - " &amp; INDIRECT("J"&amp;ROW()))</f>
      </c>
      <c r="J133" s="59" t="str" cm="1">
        <f t="array" aca="true" ref="J133" ca="true">IF(INDIRECT("E"&amp;ROW())=0,"",IF(INDIRECT("H"&amp;ROW())=INDIRECT("E"&amp;ROW()),"Active","Expired"))</f>
      </c>
    </row>
    <row r="134" spans="9:10">
      <c r="I134" s="59" t="str" cm="1">
        <f t="array" aca="true" ref="I134" ca="true">IF(ISBLANK(INDIRECT("B"&amp;ROW())), "", INDIRECT("B"&amp;ROW()) &amp; " - " &amp; INDIRECT("J"&amp;ROW()))</f>
      </c>
      <c r="J134" s="59" t="str" cm="1">
        <f t="array" aca="true" ref="J134" ca="true">IF(INDIRECT("E"&amp;ROW())=0,"",IF(INDIRECT("H"&amp;ROW())=INDIRECT("E"&amp;ROW()),"Active","Expired"))</f>
      </c>
    </row>
    <row r="135" spans="9:10">
      <c r="I135" s="59" t="str" cm="1">
        <f t="array" aca="true" ref="I135" ca="true">IF(ISBLANK(INDIRECT("B"&amp;ROW())), "", INDIRECT("B"&amp;ROW()) &amp; " - " &amp; INDIRECT("J"&amp;ROW()))</f>
      </c>
      <c r="J135" s="59" t="str" cm="1">
        <f t="array" aca="true" ref="J135" ca="true">IF(INDIRECT("E"&amp;ROW())=0,"",IF(INDIRECT("H"&amp;ROW())=INDIRECT("E"&amp;ROW()),"Active","Expired"))</f>
      </c>
    </row>
    <row r="136" spans="9:10">
      <c r="I136" s="59" t="str" cm="1">
        <f t="array" aca="true" ref="I136" ca="true">IF(ISBLANK(INDIRECT("B"&amp;ROW())), "", INDIRECT("B"&amp;ROW()) &amp; " - " &amp; INDIRECT("J"&amp;ROW()))</f>
      </c>
      <c r="J136" s="59" t="str" cm="1">
        <f t="array" aca="true" ref="J136" ca="true">IF(INDIRECT("E"&amp;ROW())=0,"",IF(INDIRECT("H"&amp;ROW())=INDIRECT("E"&amp;ROW()),"Active","Expired"))</f>
      </c>
    </row>
    <row r="137" spans="9:10">
      <c r="I137" s="59" t="str" cm="1">
        <f t="array" aca="true" ref="I137" ca="true">IF(ISBLANK(INDIRECT("B"&amp;ROW())), "", INDIRECT("B"&amp;ROW()) &amp; " - " &amp; INDIRECT("J"&amp;ROW()))</f>
      </c>
      <c r="J137" s="59" t="str" cm="1">
        <f t="array" aca="true" ref="J137" ca="true">IF(INDIRECT("E"&amp;ROW())=0,"",IF(INDIRECT("H"&amp;ROW())=INDIRECT("E"&amp;ROW()),"Active","Expired"))</f>
      </c>
    </row>
    <row r="138" spans="9:10">
      <c r="I138" s="59" t="str" cm="1">
        <f t="array" aca="true" ref="I138" ca="true">IF(ISBLANK(INDIRECT("B"&amp;ROW())), "", INDIRECT("B"&amp;ROW()) &amp; " - " &amp; INDIRECT("J"&amp;ROW()))</f>
      </c>
      <c r="J138" s="59" t="str" cm="1">
        <f t="array" aca="true" ref="J138" ca="true">IF(INDIRECT("E"&amp;ROW())=0,"",IF(INDIRECT("H"&amp;ROW())=INDIRECT("E"&amp;ROW()),"Active","Expired"))</f>
      </c>
    </row>
    <row r="139" spans="9:10">
      <c r="I139" s="59" t="str" cm="1">
        <f t="array" aca="true" ref="I139" ca="true">IF(ISBLANK(INDIRECT("B"&amp;ROW())), "", INDIRECT("B"&amp;ROW()) &amp; " - " &amp; INDIRECT("J"&amp;ROW()))</f>
      </c>
      <c r="J139" s="59" t="str" cm="1">
        <f t="array" aca="true" ref="J139" ca="true">IF(INDIRECT("E"&amp;ROW())=0,"",IF(INDIRECT("H"&amp;ROW())=INDIRECT("E"&amp;ROW()),"Active","Expired"))</f>
      </c>
    </row>
    <row r="140" spans="9:10">
      <c r="I140" s="59" t="str" cm="1">
        <f t="array" aca="true" ref="I140" ca="true">IF(ISBLANK(INDIRECT("B"&amp;ROW())), "", INDIRECT("B"&amp;ROW()) &amp; " - " &amp; INDIRECT("J"&amp;ROW()))</f>
      </c>
      <c r="J140" s="59" t="str" cm="1">
        <f t="array" aca="true" ref="J140" ca="true">IF(INDIRECT("E"&amp;ROW())=0,"",IF(INDIRECT("H"&amp;ROW())=INDIRECT("E"&amp;ROW()),"Active","Expired"))</f>
      </c>
    </row>
    <row r="141" spans="9:10">
      <c r="I141" s="59" t="str" cm="1">
        <f t="array" aca="true" ref="I141" ca="true">IF(ISBLANK(INDIRECT("B"&amp;ROW())), "", INDIRECT("B"&amp;ROW()) &amp; " - " &amp; INDIRECT("J"&amp;ROW()))</f>
      </c>
      <c r="J141" s="59" t="str" cm="1">
        <f t="array" aca="true" ref="J141" ca="true">IF(INDIRECT("E"&amp;ROW())=0,"",IF(INDIRECT("H"&amp;ROW())=INDIRECT("E"&amp;ROW()),"Active","Expired"))</f>
      </c>
    </row>
    <row r="142" spans="9:10">
      <c r="I142" s="59" t="str" cm="1">
        <f t="array" aca="true" ref="I142" ca="true">IF(ISBLANK(INDIRECT("B"&amp;ROW())), "", INDIRECT("B"&amp;ROW()) &amp; " - " &amp; INDIRECT("J"&amp;ROW()))</f>
      </c>
      <c r="J142" s="59" t="str" cm="1">
        <f t="array" aca="true" ref="J142" ca="true">IF(INDIRECT("E"&amp;ROW())=0,"",IF(INDIRECT("H"&amp;ROW())=INDIRECT("E"&amp;ROW()),"Active","Expired"))</f>
      </c>
    </row>
    <row r="143" spans="9:10">
      <c r="I143" s="59" t="str" cm="1">
        <f t="array" aca="true" ref="I143" ca="true">IF(ISBLANK(INDIRECT("B"&amp;ROW())), "", INDIRECT("B"&amp;ROW()) &amp; " - " &amp; INDIRECT("J"&amp;ROW()))</f>
      </c>
      <c r="J143" s="59" t="str" cm="1">
        <f t="array" aca="true" ref="J143" ca="true">IF(INDIRECT("E"&amp;ROW())=0,"",IF(INDIRECT("H"&amp;ROW())=INDIRECT("E"&amp;ROW()),"Active","Expired"))</f>
      </c>
    </row>
    <row r="144" spans="9:10">
      <c r="I144" s="59" t="str" cm="1">
        <f t="array" aca="true" ref="I144" ca="true">IF(ISBLANK(INDIRECT("B"&amp;ROW())), "", INDIRECT("B"&amp;ROW()) &amp; " - " &amp; INDIRECT("J"&amp;ROW()))</f>
      </c>
      <c r="J144" s="59" t="str" cm="1">
        <f t="array" aca="true" ref="J144" ca="true">IF(INDIRECT("E"&amp;ROW())=0,"",IF(INDIRECT("H"&amp;ROW())=INDIRECT("E"&amp;ROW()),"Active","Expired"))</f>
      </c>
    </row>
    <row r="145" spans="9:10">
      <c r="I145" s="59" t="str" cm="1">
        <f t="array" aca="true" ref="I145" ca="true">IF(ISBLANK(INDIRECT("B"&amp;ROW())), "", INDIRECT("B"&amp;ROW()) &amp; " - " &amp; INDIRECT("J"&amp;ROW()))</f>
      </c>
      <c r="J145" s="59" t="str" cm="1">
        <f t="array" aca="true" ref="J145" ca="true">IF(INDIRECT("E"&amp;ROW())=0,"",IF(INDIRECT("H"&amp;ROW())=INDIRECT("E"&amp;ROW()),"Active","Expired"))</f>
      </c>
    </row>
    <row r="146" spans="9:10">
      <c r="I146" s="59" t="str" cm="1">
        <f t="array" aca="true" ref="I146" ca="true">IF(ISBLANK(INDIRECT("B"&amp;ROW())), "", INDIRECT("B"&amp;ROW()) &amp; " - " &amp; INDIRECT("J"&amp;ROW()))</f>
      </c>
      <c r="J146" s="59" t="str" cm="1">
        <f t="array" aca="true" ref="J146" ca="true">IF(INDIRECT("E"&amp;ROW())=0,"",IF(INDIRECT("H"&amp;ROW())=INDIRECT("E"&amp;ROW()),"Active","Expired"))</f>
      </c>
    </row>
    <row r="147" spans="9:10">
      <c r="I147" s="59" t="str" cm="1">
        <f t="array" aca="true" ref="I147" ca="true">IF(ISBLANK(INDIRECT("B"&amp;ROW())), "", INDIRECT("B"&amp;ROW()) &amp; " - " &amp; INDIRECT("J"&amp;ROW()))</f>
      </c>
      <c r="J147" s="59" t="str" cm="1">
        <f t="array" aca="true" ref="J147" ca="true">IF(INDIRECT("E"&amp;ROW())=0,"",IF(INDIRECT("H"&amp;ROW())=INDIRECT("E"&amp;ROW()),"Active","Expired"))</f>
      </c>
    </row>
    <row r="148" spans="9:10">
      <c r="I148" s="59" t="str" cm="1">
        <f t="array" aca="true" ref="I148" ca="true">IF(ISBLANK(INDIRECT("B"&amp;ROW())), "", INDIRECT("B"&amp;ROW()) &amp; " - " &amp; INDIRECT("J"&amp;ROW()))</f>
      </c>
      <c r="J148" s="59" t="str" cm="1">
        <f t="array" aca="true" ref="J148" ca="true">IF(INDIRECT("E"&amp;ROW())=0,"",IF(INDIRECT("H"&amp;ROW())=INDIRECT("E"&amp;ROW()),"Active","Expired"))</f>
      </c>
    </row>
    <row r="149" spans="9:10">
      <c r="I149" s="59" t="str" cm="1">
        <f t="array" aca="true" ref="I149" ca="true">IF(ISBLANK(INDIRECT("B"&amp;ROW())), "", INDIRECT("B"&amp;ROW()) &amp; " - " &amp; INDIRECT("J"&amp;ROW()))</f>
      </c>
      <c r="J149" s="59" t="str" cm="1">
        <f t="array" aca="true" ref="J149" ca="true">IF(INDIRECT("E"&amp;ROW())=0,"",IF(INDIRECT("H"&amp;ROW())=INDIRECT("E"&amp;ROW()),"Active","Expired"))</f>
      </c>
    </row>
    <row r="150" spans="9:10">
      <c r="I150" s="59" t="str" cm="1">
        <f t="array" aca="true" ref="I150" ca="true">IF(ISBLANK(INDIRECT("B"&amp;ROW())), "", INDIRECT("B"&amp;ROW()) &amp; " - " &amp; INDIRECT("J"&amp;ROW()))</f>
      </c>
      <c r="J150" s="59" t="str" cm="1">
        <f t="array" aca="true" ref="J150" ca="true">IF(INDIRECT("E"&amp;ROW())=0,"",IF(INDIRECT("H"&amp;ROW())=INDIRECT("E"&amp;ROW()),"Active","Expired"))</f>
      </c>
    </row>
    <row r="151" spans="9:10">
      <c r="I151" s="59" t="str" cm="1">
        <f t="array" aca="true" ref="I151" ca="true">IF(ISBLANK(INDIRECT("B"&amp;ROW())), "", INDIRECT("B"&amp;ROW()) &amp; " - " &amp; INDIRECT("J"&amp;ROW()))</f>
      </c>
      <c r="J151" s="59" t="str" cm="1">
        <f t="array" aca="true" ref="J151" ca="true">IF(INDIRECT("E"&amp;ROW())=0,"",IF(INDIRECT("H"&amp;ROW())=INDIRECT("E"&amp;ROW()),"Active","Expired"))</f>
      </c>
    </row>
    <row r="152" spans="9:10">
      <c r="I152" s="59" t="str" cm="1">
        <f t="array" aca="true" ref="I152" ca="true">IF(ISBLANK(INDIRECT("B"&amp;ROW())), "", INDIRECT("B"&amp;ROW()) &amp; " - " &amp; INDIRECT("J"&amp;ROW()))</f>
      </c>
      <c r="J152" s="59" t="str" cm="1">
        <f t="array" aca="true" ref="J152" ca="true">IF(INDIRECT("E"&amp;ROW())=0,"",IF(INDIRECT("H"&amp;ROW())=INDIRECT("E"&amp;ROW()),"Active","Expired"))</f>
      </c>
    </row>
    <row r="153" spans="9:10">
      <c r="I153" s="59" t="str" cm="1">
        <f t="array" aca="true" ref="I153" ca="true">IF(ISBLANK(INDIRECT("B"&amp;ROW())), "", INDIRECT("B"&amp;ROW()) &amp; " - " &amp; INDIRECT("J"&amp;ROW()))</f>
      </c>
      <c r="J153" s="59" t="str" cm="1">
        <f t="array" aca="true" ref="J153" ca="true">IF(INDIRECT("E"&amp;ROW())=0,"",IF(INDIRECT("H"&amp;ROW())=INDIRECT("E"&amp;ROW()),"Active","Expired"))</f>
      </c>
    </row>
    <row r="154" spans="9:10">
      <c r="I154" s="59" t="str" cm="1">
        <f t="array" aca="true" ref="I154" ca="true">IF(ISBLANK(INDIRECT("B"&amp;ROW())), "", INDIRECT("B"&amp;ROW()) &amp; " - " &amp; INDIRECT("J"&amp;ROW()))</f>
      </c>
      <c r="J154" s="59" t="str" cm="1">
        <f t="array" aca="true" ref="J154" ca="true">IF(INDIRECT("E"&amp;ROW())=0,"",IF(INDIRECT("H"&amp;ROW())=INDIRECT("E"&amp;ROW()),"Active","Expired"))</f>
      </c>
    </row>
    <row r="155" spans="9:10">
      <c r="I155" s="59" t="str" cm="1">
        <f t="array" aca="true" ref="I155" ca="true">IF(ISBLANK(INDIRECT("B"&amp;ROW())), "", INDIRECT("B"&amp;ROW()) &amp; " - " &amp; INDIRECT("J"&amp;ROW()))</f>
      </c>
      <c r="J155" s="59" t="str" cm="1">
        <f t="array" aca="true" ref="J155" ca="true">IF(INDIRECT("E"&amp;ROW())=0,"",IF(INDIRECT("H"&amp;ROW())=INDIRECT("E"&amp;ROW()),"Active","Expired"))</f>
      </c>
    </row>
    <row r="156" spans="9:10">
      <c r="I156" s="59" t="str" cm="1">
        <f t="array" aca="true" ref="I156" ca="true">IF(ISBLANK(INDIRECT("B"&amp;ROW())), "", INDIRECT("B"&amp;ROW()) &amp; " - " &amp; INDIRECT("J"&amp;ROW()))</f>
      </c>
      <c r="J156" s="59" t="str" cm="1">
        <f t="array" aca="true" ref="J156" ca="true">IF(INDIRECT("E"&amp;ROW())=0,"",IF(INDIRECT("H"&amp;ROW())=INDIRECT("E"&amp;ROW()),"Active","Expired"))</f>
      </c>
    </row>
    <row r="157" spans="9:10">
      <c r="I157" s="59" t="str" cm="1">
        <f t="array" aca="true" ref="I157" ca="true">IF(ISBLANK(INDIRECT("B"&amp;ROW())), "", INDIRECT("B"&amp;ROW()) &amp; " - " &amp; INDIRECT("J"&amp;ROW()))</f>
      </c>
      <c r="J157" s="59" t="str" cm="1">
        <f t="array" aca="true" ref="J157" ca="true">IF(INDIRECT("E"&amp;ROW())=0,"",IF(INDIRECT("H"&amp;ROW())=INDIRECT("E"&amp;ROW()),"Active","Expired"))</f>
      </c>
    </row>
    <row r="158" spans="9:10">
      <c r="I158" s="59" t="str" cm="1">
        <f t="array" aca="true" ref="I158" ca="true">IF(ISBLANK(INDIRECT("B"&amp;ROW())), "", INDIRECT("B"&amp;ROW()) &amp; " - " &amp; INDIRECT("J"&amp;ROW()))</f>
      </c>
      <c r="J158" s="59" t="str" cm="1">
        <f t="array" aca="true" ref="J158" ca="true">IF(INDIRECT("E"&amp;ROW())=0,"",IF(INDIRECT("H"&amp;ROW())=INDIRECT("E"&amp;ROW()),"Active","Expired"))</f>
      </c>
    </row>
    <row r="159" spans="9:10">
      <c r="I159" s="59" t="str" cm="1">
        <f t="array" aca="true" ref="I159" ca="true">IF(ISBLANK(INDIRECT("B"&amp;ROW())), "", INDIRECT("B"&amp;ROW()) &amp; " - " &amp; INDIRECT("J"&amp;ROW()))</f>
      </c>
      <c r="J159" s="59" t="str" cm="1">
        <f t="array" aca="true" ref="J159" ca="true">IF(INDIRECT("E"&amp;ROW())=0,"",IF(INDIRECT("H"&amp;ROW())=INDIRECT("E"&amp;ROW()),"Active","Expired"))</f>
      </c>
    </row>
    <row r="160" spans="9:10">
      <c r="I160" s="59" t="str" cm="1">
        <f t="array" aca="true" ref="I160" ca="true">IF(ISBLANK(INDIRECT("B"&amp;ROW())), "", INDIRECT("B"&amp;ROW()) &amp; " - " &amp; INDIRECT("J"&amp;ROW()))</f>
      </c>
      <c r="J160" s="59" t="str" cm="1">
        <f t="array" aca="true" ref="J160" ca="true">IF(INDIRECT("E"&amp;ROW())=0,"",IF(INDIRECT("H"&amp;ROW())=INDIRECT("E"&amp;ROW()),"Active","Expired"))</f>
      </c>
    </row>
    <row r="161" spans="9:10">
      <c r="I161" s="59" t="str" cm="1">
        <f t="array" aca="true" ref="I161" ca="true">IF(ISBLANK(INDIRECT("B"&amp;ROW())), "", INDIRECT("B"&amp;ROW()) &amp; " - " &amp; INDIRECT("J"&amp;ROW()))</f>
      </c>
      <c r="J161" s="59" t="str" cm="1">
        <f t="array" aca="true" ref="J161" ca="true">IF(INDIRECT("E"&amp;ROW())=0,"",IF(INDIRECT("H"&amp;ROW())=INDIRECT("E"&amp;ROW()),"Active","Expired"))</f>
      </c>
    </row>
    <row r="162" spans="9:10">
      <c r="I162" s="59" t="str" cm="1">
        <f t="array" aca="true" ref="I162" ca="true">IF(ISBLANK(INDIRECT("B"&amp;ROW())), "", INDIRECT("B"&amp;ROW()) &amp; " - " &amp; INDIRECT("J"&amp;ROW()))</f>
      </c>
      <c r="J162" s="59" t="str" cm="1">
        <f t="array" aca="true" ref="J162" ca="true">IF(INDIRECT("E"&amp;ROW())=0,"",IF(INDIRECT("H"&amp;ROW())=INDIRECT("E"&amp;ROW()),"Active","Expired"))</f>
      </c>
    </row>
    <row r="163" spans="9:10">
      <c r="I163" s="59" t="str" cm="1">
        <f t="array" aca="true" ref="I163" ca="true">IF(ISBLANK(INDIRECT("B"&amp;ROW())), "", INDIRECT("B"&amp;ROW()) &amp; " - " &amp; INDIRECT("J"&amp;ROW()))</f>
      </c>
      <c r="J163" s="59" t="str" cm="1">
        <f t="array" aca="true" ref="J163" ca="true">IF(INDIRECT("E"&amp;ROW())=0,"",IF(INDIRECT("H"&amp;ROW())=INDIRECT("E"&amp;ROW()),"Active","Expired"))</f>
      </c>
    </row>
    <row r="164" spans="9:10">
      <c r="I164" s="59" t="str" cm="1">
        <f t="array" aca="true" ref="I164" ca="true">IF(ISBLANK(INDIRECT("B"&amp;ROW())), "", INDIRECT("B"&amp;ROW()) &amp; " - " &amp; INDIRECT("J"&amp;ROW()))</f>
      </c>
      <c r="J164" s="59" t="str" cm="1">
        <f t="array" aca="true" ref="J164" ca="true">IF(INDIRECT("E"&amp;ROW())=0,"",IF(INDIRECT("H"&amp;ROW())=INDIRECT("E"&amp;ROW()),"Active","Expired"))</f>
      </c>
    </row>
    <row r="165" spans="9:10">
      <c r="I165" s="59" t="str" cm="1">
        <f t="array" aca="true" ref="I165" ca="true">IF(ISBLANK(INDIRECT("B"&amp;ROW())), "", INDIRECT("B"&amp;ROW()) &amp; " - " &amp; INDIRECT("J"&amp;ROW()))</f>
      </c>
      <c r="J165" s="59" t="str" cm="1">
        <f t="array" aca="true" ref="J165" ca="true">IF(INDIRECT("E"&amp;ROW())=0,"",IF(INDIRECT("H"&amp;ROW())=INDIRECT("E"&amp;ROW()),"Active","Expired"))</f>
      </c>
    </row>
    <row r="166" spans="9:10">
      <c r="I166" s="59" t="str" cm="1">
        <f t="array" aca="true" ref="I166" ca="true">IF(ISBLANK(INDIRECT("B"&amp;ROW())), "", INDIRECT("B"&amp;ROW()) &amp; " - " &amp; INDIRECT("J"&amp;ROW()))</f>
      </c>
      <c r="J166" s="59" t="str" cm="1">
        <f t="array" aca="true" ref="J166" ca="true">IF(INDIRECT("E"&amp;ROW())=0,"",IF(INDIRECT("H"&amp;ROW())=INDIRECT("E"&amp;ROW()),"Active","Expired"))</f>
      </c>
    </row>
    <row r="167" spans="9:10">
      <c r="I167" s="59" t="str" cm="1">
        <f t="array" aca="true" ref="I167" ca="true">IF(ISBLANK(INDIRECT("B"&amp;ROW())), "", INDIRECT("B"&amp;ROW()) &amp; " - " &amp; INDIRECT("J"&amp;ROW()))</f>
      </c>
      <c r="J167" s="59" t="str" cm="1">
        <f t="array" aca="true" ref="J167" ca="true">IF(INDIRECT("E"&amp;ROW())=0,"",IF(INDIRECT("H"&amp;ROW())=INDIRECT("E"&amp;ROW()),"Active","Expired"))</f>
      </c>
    </row>
    <row r="168" spans="9:10">
      <c r="I168" s="59" t="str" cm="1">
        <f t="array" aca="true" ref="I168" ca="true">IF(ISBLANK(INDIRECT("B"&amp;ROW())), "", INDIRECT("B"&amp;ROW()) &amp; " - " &amp; INDIRECT("J"&amp;ROW()))</f>
      </c>
      <c r="J168" s="59" t="str" cm="1">
        <f t="array" aca="true" ref="J168" ca="true">IF(INDIRECT("E"&amp;ROW())=0,"",IF(INDIRECT("H"&amp;ROW())=INDIRECT("E"&amp;ROW()),"Active","Expired"))</f>
      </c>
    </row>
    <row r="169" spans="9:10">
      <c r="I169" s="59" t="str" cm="1">
        <f t="array" aca="true" ref="I169" ca="true">IF(ISBLANK(INDIRECT("B"&amp;ROW())), "", INDIRECT("B"&amp;ROW()) &amp; " - " &amp; INDIRECT("J"&amp;ROW()))</f>
      </c>
      <c r="J169" s="59" t="str" cm="1">
        <f t="array" aca="true" ref="J169" ca="true">IF(INDIRECT("E"&amp;ROW())=0,"",IF(INDIRECT("H"&amp;ROW())=INDIRECT("E"&amp;ROW()),"Active","Expired"))</f>
      </c>
    </row>
    <row r="170" spans="9:10">
      <c r="I170" s="59" t="str" cm="1">
        <f t="array" aca="true" ref="I170" ca="true">IF(ISBLANK(INDIRECT("B"&amp;ROW())), "", INDIRECT("B"&amp;ROW()) &amp; " - " &amp; INDIRECT("J"&amp;ROW()))</f>
      </c>
      <c r="J170" s="59" t="str" cm="1">
        <f t="array" aca="true" ref="J170" ca="true">IF(INDIRECT("E"&amp;ROW())=0,"",IF(INDIRECT("H"&amp;ROW())=INDIRECT("E"&amp;ROW()),"Active","Expired"))</f>
      </c>
    </row>
    <row r="171" spans="9:10">
      <c r="I171" s="59" t="str" cm="1">
        <f t="array" aca="true" ref="I171" ca="true">IF(ISBLANK(INDIRECT("B"&amp;ROW())), "", INDIRECT("B"&amp;ROW()) &amp; " - " &amp; INDIRECT("J"&amp;ROW()))</f>
      </c>
      <c r="J171" s="59" t="str" cm="1">
        <f t="array" aca="true" ref="J171" ca="true">IF(INDIRECT("E"&amp;ROW())=0,"",IF(INDIRECT("H"&amp;ROW())=INDIRECT("E"&amp;ROW()),"Active","Expired"))</f>
      </c>
    </row>
    <row r="172" spans="9:10">
      <c r="I172" s="59" t="str" cm="1">
        <f t="array" aca="true" ref="I172" ca="true">IF(ISBLANK(INDIRECT("B"&amp;ROW())), "", INDIRECT("B"&amp;ROW()) &amp; " - " &amp; INDIRECT("J"&amp;ROW()))</f>
      </c>
      <c r="J172" s="59" t="str" cm="1">
        <f t="array" aca="true" ref="J172" ca="true">IF(INDIRECT("E"&amp;ROW())=0,"",IF(INDIRECT("H"&amp;ROW())=INDIRECT("E"&amp;ROW()),"Active","Expired"))</f>
      </c>
    </row>
    <row r="173" spans="9:10">
      <c r="I173" s="59" t="str" cm="1">
        <f t="array" aca="true" ref="I173" ca="true">IF(ISBLANK(INDIRECT("B"&amp;ROW())), "", INDIRECT("B"&amp;ROW()) &amp; " - " &amp; INDIRECT("J"&amp;ROW()))</f>
      </c>
      <c r="J173" s="59" t="str" cm="1">
        <f t="array" aca="true" ref="J173" ca="true">IF(INDIRECT("E"&amp;ROW())=0,"",IF(INDIRECT("H"&amp;ROW())=INDIRECT("E"&amp;ROW()),"Active","Expired"))</f>
      </c>
    </row>
    <row r="174" spans="9:10">
      <c r="I174" s="59" t="str" cm="1">
        <f t="array" aca="true" ref="I174" ca="true">IF(ISBLANK(INDIRECT("B"&amp;ROW())), "", INDIRECT("B"&amp;ROW()) &amp; " - " &amp; INDIRECT("J"&amp;ROW()))</f>
      </c>
      <c r="J174" s="59" t="str" cm="1">
        <f t="array" aca="true" ref="J174" ca="true">IF(INDIRECT("E"&amp;ROW())=0,"",IF(INDIRECT("H"&amp;ROW())=INDIRECT("E"&amp;ROW()),"Active","Expired"))</f>
      </c>
    </row>
    <row r="175" spans="9:10">
      <c r="I175" s="59" t="str" cm="1">
        <f t="array" aca="true" ref="I175" ca="true">IF(ISBLANK(INDIRECT("B"&amp;ROW())), "", INDIRECT("B"&amp;ROW()) &amp; " - " &amp; INDIRECT("J"&amp;ROW()))</f>
      </c>
      <c r="J175" s="59" t="str" cm="1">
        <f t="array" aca="true" ref="J175" ca="true">IF(INDIRECT("E"&amp;ROW())=0,"",IF(INDIRECT("H"&amp;ROW())=INDIRECT("E"&amp;ROW()),"Active","Expired"))</f>
      </c>
    </row>
    <row r="176" spans="9:10">
      <c r="I176" s="59" t="str" cm="1">
        <f t="array" aca="true" ref="I176" ca="true">IF(ISBLANK(INDIRECT("B"&amp;ROW())), "", INDIRECT("B"&amp;ROW()) &amp; " - " &amp; INDIRECT("J"&amp;ROW()))</f>
      </c>
      <c r="J176" s="59" t="str" cm="1">
        <f t="array" aca="true" ref="J176" ca="true">IF(INDIRECT("E"&amp;ROW())=0,"",IF(INDIRECT("H"&amp;ROW())=INDIRECT("E"&amp;ROW()),"Active","Expired"))</f>
      </c>
    </row>
    <row r="177" spans="9:10">
      <c r="I177" s="59" t="str" cm="1">
        <f t="array" aca="true" ref="I177" ca="true">IF(ISBLANK(INDIRECT("B"&amp;ROW())), "", INDIRECT("B"&amp;ROW()) &amp; " - " &amp; INDIRECT("J"&amp;ROW()))</f>
      </c>
      <c r="J177" s="59" t="str" cm="1">
        <f t="array" aca="true" ref="J177" ca="true">IF(INDIRECT("E"&amp;ROW())=0,"",IF(INDIRECT("H"&amp;ROW())=INDIRECT("E"&amp;ROW()),"Active","Expired"))</f>
      </c>
    </row>
    <row r="178" spans="9:10">
      <c r="I178" s="59" t="str" cm="1">
        <f t="array" aca="true" ref="I178" ca="true">IF(ISBLANK(INDIRECT("B"&amp;ROW())), "", INDIRECT("B"&amp;ROW()) &amp; " - " &amp; INDIRECT("J"&amp;ROW()))</f>
      </c>
      <c r="J178" s="59" t="str" cm="1">
        <f t="array" aca="true" ref="J178" ca="true">IF(INDIRECT("E"&amp;ROW())=0,"",IF(INDIRECT("H"&amp;ROW())=INDIRECT("E"&amp;ROW()),"Active","Expired"))</f>
      </c>
    </row>
    <row r="179" spans="9:10">
      <c r="I179" s="59" t="str" cm="1">
        <f t="array" aca="true" ref="I179" ca="true">IF(ISBLANK(INDIRECT("B"&amp;ROW())), "", INDIRECT("B"&amp;ROW()) &amp; " - " &amp; INDIRECT("J"&amp;ROW()))</f>
      </c>
      <c r="J179" s="59" t="str" cm="1">
        <f t="array" aca="true" ref="J179" ca="true">IF(INDIRECT("E"&amp;ROW())=0,"",IF(INDIRECT("H"&amp;ROW())=INDIRECT("E"&amp;ROW()),"Active","Expired"))</f>
      </c>
    </row>
    <row r="180" spans="9:10">
      <c r="I180" s="59" t="str" cm="1">
        <f t="array" aca="true" ref="I180" ca="true">IF(ISBLANK(INDIRECT("B"&amp;ROW())), "", INDIRECT("B"&amp;ROW()) &amp; " - " &amp; INDIRECT("J"&amp;ROW()))</f>
      </c>
      <c r="J180" s="59" t="str" cm="1">
        <f t="array" aca="true" ref="J180" ca="true">IF(INDIRECT("E"&amp;ROW())=0,"",IF(INDIRECT("H"&amp;ROW())=INDIRECT("E"&amp;ROW()),"Active","Expired"))</f>
      </c>
    </row>
    <row r="181" spans="9:10">
      <c r="I181" s="59" t="str" cm="1">
        <f t="array" aca="true" ref="I181" ca="true">IF(ISBLANK(INDIRECT("B"&amp;ROW())), "", INDIRECT("B"&amp;ROW()) &amp; " - " &amp; INDIRECT("J"&amp;ROW()))</f>
      </c>
      <c r="J181" s="59" t="str" cm="1">
        <f t="array" aca="true" ref="J181" ca="true">IF(INDIRECT("E"&amp;ROW())=0,"",IF(INDIRECT("H"&amp;ROW())=INDIRECT("E"&amp;ROW()),"Active","Expired"))</f>
      </c>
    </row>
    <row r="182" spans="9:10">
      <c r="I182" s="59" t="str" cm="1">
        <f t="array" aca="true" ref="I182" ca="true">IF(ISBLANK(INDIRECT("B"&amp;ROW())), "", INDIRECT("B"&amp;ROW()) &amp; " - " &amp; INDIRECT("J"&amp;ROW()))</f>
      </c>
      <c r="J182" s="59" t="str" cm="1">
        <f t="array" aca="true" ref="J182" ca="true">IF(INDIRECT("E"&amp;ROW())=0,"",IF(INDIRECT("H"&amp;ROW())=INDIRECT("E"&amp;ROW()),"Active","Expired"))</f>
      </c>
    </row>
    <row r="183" spans="9:10">
      <c r="I183" s="59" t="str" cm="1">
        <f t="array" aca="true" ref="I183" ca="true">IF(ISBLANK(INDIRECT("B"&amp;ROW())), "", INDIRECT("B"&amp;ROW()) &amp; " - " &amp; INDIRECT("J"&amp;ROW()))</f>
      </c>
      <c r="J183" s="59" t="str" cm="1">
        <f t="array" aca="true" ref="J183" ca="true">IF(INDIRECT("E"&amp;ROW())=0,"",IF(INDIRECT("H"&amp;ROW())=INDIRECT("E"&amp;ROW()),"Active","Expired"))</f>
      </c>
    </row>
    <row r="184" spans="9:10">
      <c r="I184" s="59" t="str" cm="1">
        <f t="array" aca="true" ref="I184" ca="true">IF(ISBLANK(INDIRECT("B"&amp;ROW())), "", INDIRECT("B"&amp;ROW()) &amp; " - " &amp; INDIRECT("J"&amp;ROW()))</f>
      </c>
      <c r="J184" s="59" t="str" cm="1">
        <f t="array" aca="true" ref="J184" ca="true">IF(INDIRECT("E"&amp;ROW())=0,"",IF(INDIRECT("H"&amp;ROW())=INDIRECT("E"&amp;ROW()),"Active","Expired"))</f>
      </c>
    </row>
    <row r="185" spans="9:10">
      <c r="I185" s="59" t="str" cm="1">
        <f t="array" aca="true" ref="I185" ca="true">IF(ISBLANK(INDIRECT("B"&amp;ROW())), "", INDIRECT("B"&amp;ROW()) &amp; " - " &amp; INDIRECT("J"&amp;ROW()))</f>
      </c>
      <c r="J185" s="59" t="str" cm="1">
        <f t="array" aca="true" ref="J185" ca="true">IF(INDIRECT("E"&amp;ROW())=0,"",IF(INDIRECT("H"&amp;ROW())=INDIRECT("E"&amp;ROW()),"Active","Expired"))</f>
      </c>
    </row>
    <row r="186" spans="9:10">
      <c r="I186" s="59" t="str" cm="1">
        <f t="array" aca="true" ref="I186" ca="true">IF(ISBLANK(INDIRECT("B"&amp;ROW())), "", INDIRECT("B"&amp;ROW()) &amp; " - " &amp; INDIRECT("J"&amp;ROW()))</f>
      </c>
      <c r="J186" s="59" t="str" cm="1">
        <f t="array" aca="true" ref="J186" ca="true">IF(INDIRECT("E"&amp;ROW())=0,"",IF(INDIRECT("H"&amp;ROW())=INDIRECT("E"&amp;ROW()),"Active","Expired"))</f>
      </c>
    </row>
    <row r="187" spans="9:10">
      <c r="I187" s="59" t="str" cm="1">
        <f t="array" aca="true" ref="I187" ca="true">IF(ISBLANK(INDIRECT("B"&amp;ROW())), "", INDIRECT("B"&amp;ROW()) &amp; " - " &amp; INDIRECT("J"&amp;ROW()))</f>
      </c>
      <c r="J187" s="59" t="str" cm="1">
        <f t="array" aca="true" ref="J187" ca="true">IF(INDIRECT("E"&amp;ROW())=0,"",IF(INDIRECT("H"&amp;ROW())=INDIRECT("E"&amp;ROW()),"Active","Expired"))</f>
      </c>
    </row>
    <row r="188" spans="9:10">
      <c r="I188" s="59" t="str" cm="1">
        <f t="array" aca="true" ref="I188" ca="true">IF(ISBLANK(INDIRECT("B"&amp;ROW())), "", INDIRECT("B"&amp;ROW()) &amp; " - " &amp; INDIRECT("J"&amp;ROW()))</f>
      </c>
      <c r="J188" s="59" t="str" cm="1">
        <f t="array" aca="true" ref="J188" ca="true">IF(INDIRECT("E"&amp;ROW())=0,"",IF(INDIRECT("H"&amp;ROW())=INDIRECT("E"&amp;ROW()),"Active","Expired"))</f>
      </c>
    </row>
    <row r="189" spans="9:10">
      <c r="I189" s="59" t="str" cm="1">
        <f t="array" aca="true" ref="I189" ca="true">IF(ISBLANK(INDIRECT("B"&amp;ROW())), "", INDIRECT("B"&amp;ROW()) &amp; " - " &amp; INDIRECT("J"&amp;ROW()))</f>
      </c>
      <c r="J189" s="59" t="str" cm="1">
        <f t="array" aca="true" ref="J189" ca="true">IF(INDIRECT("E"&amp;ROW())=0,"",IF(INDIRECT("H"&amp;ROW())=INDIRECT("E"&amp;ROW()),"Active","Expired"))</f>
      </c>
    </row>
    <row r="190" spans="9:10">
      <c r="I190" s="59" t="str" cm="1">
        <f t="array" aca="true" ref="I190" ca="true">IF(ISBLANK(INDIRECT("B"&amp;ROW())), "", INDIRECT("B"&amp;ROW()) &amp; " - " &amp; INDIRECT("J"&amp;ROW()))</f>
      </c>
      <c r="J190" s="59" t="str" cm="1">
        <f t="array" aca="true" ref="J190" ca="true">IF(INDIRECT("E"&amp;ROW())=0,"",IF(INDIRECT("H"&amp;ROW())=INDIRECT("E"&amp;ROW()),"Active","Expired"))</f>
      </c>
    </row>
    <row r="191" spans="9:10">
      <c r="I191" s="59" t="str" cm="1">
        <f t="array" aca="true" ref="I191" ca="true">IF(ISBLANK(INDIRECT("B"&amp;ROW())), "", INDIRECT("B"&amp;ROW()) &amp; " - " &amp; INDIRECT("J"&amp;ROW()))</f>
      </c>
      <c r="J191" s="59" t="str" cm="1">
        <f t="array" aca="true" ref="J191" ca="true">IF(INDIRECT("E"&amp;ROW())=0,"",IF(INDIRECT("H"&amp;ROW())=INDIRECT("E"&amp;ROW()),"Active","Expired"))</f>
      </c>
    </row>
    <row r="192" spans="9:10">
      <c r="I192" s="59" t="str" cm="1">
        <f t="array" aca="true" ref="I192" ca="true">IF(ISBLANK(INDIRECT("B"&amp;ROW())), "", INDIRECT("B"&amp;ROW()) &amp; " - " &amp; INDIRECT("J"&amp;ROW()))</f>
      </c>
      <c r="J192" s="59" t="str" cm="1">
        <f t="array" aca="true" ref="J192" ca="true">IF(INDIRECT("E"&amp;ROW())=0,"",IF(INDIRECT("H"&amp;ROW())=INDIRECT("E"&amp;ROW()),"Active","Expired"))</f>
      </c>
    </row>
    <row r="193" spans="9:10">
      <c r="I193" s="59" t="str" cm="1">
        <f t="array" aca="true" ref="I193" ca="true">IF(ISBLANK(INDIRECT("B"&amp;ROW())), "", INDIRECT("B"&amp;ROW()) &amp; " - " &amp; INDIRECT("J"&amp;ROW()))</f>
      </c>
      <c r="J193" s="59" t="str" cm="1">
        <f t="array" aca="true" ref="J193" ca="true">IF(INDIRECT("E"&amp;ROW())=0,"",IF(INDIRECT("H"&amp;ROW())=INDIRECT("E"&amp;ROW()),"Active","Expired"))</f>
      </c>
    </row>
    <row r="194" spans="9:10">
      <c r="I194" s="59" t="str" cm="1">
        <f t="array" aca="true" ref="I194" ca="true">IF(ISBLANK(INDIRECT("B"&amp;ROW())), "", INDIRECT("B"&amp;ROW()) &amp; " - " &amp; INDIRECT("J"&amp;ROW()))</f>
      </c>
      <c r="J194" s="59" t="str" cm="1">
        <f t="array" aca="true" ref="J194" ca="true">IF(INDIRECT("E"&amp;ROW())=0,"",IF(INDIRECT("H"&amp;ROW())=INDIRECT("E"&amp;ROW()),"Active","Expired"))</f>
      </c>
    </row>
    <row r="195" spans="9:10">
      <c r="I195" s="59" t="str" cm="1">
        <f t="array" aca="true" ref="I195" ca="true">IF(ISBLANK(INDIRECT("B"&amp;ROW())), "", INDIRECT("B"&amp;ROW()) &amp; " - " &amp; INDIRECT("J"&amp;ROW()))</f>
      </c>
      <c r="J195" s="59" t="str" cm="1">
        <f t="array" aca="true" ref="J195" ca="true">IF(INDIRECT("E"&amp;ROW())=0,"",IF(INDIRECT("H"&amp;ROW())=INDIRECT("E"&amp;ROW()),"Active","Expired"))</f>
      </c>
    </row>
    <row r="196" spans="9:10">
      <c r="I196" s="59" t="str" cm="1">
        <f t="array" aca="true" ref="I196" ca="true">IF(ISBLANK(INDIRECT("B"&amp;ROW())), "", INDIRECT("B"&amp;ROW()) &amp; " - " &amp; INDIRECT("J"&amp;ROW()))</f>
      </c>
      <c r="J196" s="59" t="str" cm="1">
        <f t="array" aca="true" ref="J196" ca="true">IF(INDIRECT("E"&amp;ROW())=0,"",IF(INDIRECT("H"&amp;ROW())=INDIRECT("E"&amp;ROW()),"Active","Expired"))</f>
      </c>
    </row>
    <row r="197" spans="9:10">
      <c r="I197" s="59" t="str" cm="1">
        <f t="array" aca="true" ref="I197" ca="true">IF(ISBLANK(INDIRECT("B"&amp;ROW())), "", INDIRECT("B"&amp;ROW()) &amp; " - " &amp; INDIRECT("J"&amp;ROW()))</f>
      </c>
      <c r="J197" s="59" t="str" cm="1">
        <f t="array" aca="true" ref="J197" ca="true">IF(INDIRECT("E"&amp;ROW())=0,"",IF(INDIRECT("H"&amp;ROW())=INDIRECT("E"&amp;ROW()),"Active","Expired"))</f>
      </c>
    </row>
    <row r="198" spans="9:10">
      <c r="I198" s="59" t="str" cm="1">
        <f t="array" aca="true" ref="I198" ca="true">IF(ISBLANK(INDIRECT("B"&amp;ROW())), "", INDIRECT("B"&amp;ROW()) &amp; " - " &amp; INDIRECT("J"&amp;ROW()))</f>
      </c>
      <c r="J198" s="59" t="str" cm="1">
        <f t="array" aca="true" ref="J198" ca="true">IF(INDIRECT("E"&amp;ROW())=0,"",IF(INDIRECT("H"&amp;ROW())=INDIRECT("E"&amp;ROW()),"Active","Expired"))</f>
      </c>
    </row>
    <row r="199" spans="9:10">
      <c r="I199" s="59" t="str" cm="1">
        <f t="array" aca="true" ref="I199" ca="true">IF(ISBLANK(INDIRECT("B"&amp;ROW())), "", INDIRECT("B"&amp;ROW()) &amp; " - " &amp; INDIRECT("J"&amp;ROW()))</f>
      </c>
      <c r="J199" s="59" t="str" cm="1">
        <f t="array" aca="true" ref="J199" ca="true">IF(INDIRECT("E"&amp;ROW())=0,"",IF(INDIRECT("H"&amp;ROW())=INDIRECT("E"&amp;ROW()),"Active","Expired"))</f>
      </c>
    </row>
    <row r="200" spans="9:10">
      <c r="I200" s="59" t="str" cm="1">
        <f t="array" aca="true" ref="I200" ca="true">IF(ISBLANK(INDIRECT("B"&amp;ROW())), "", INDIRECT("B"&amp;ROW()) &amp; " - " &amp; INDIRECT("J"&amp;ROW()))</f>
      </c>
      <c r="J200" s="59" t="str" cm="1">
        <f t="array" aca="true" ref="J200" ca="true">IF(INDIRECT("E"&amp;ROW())=0,"",IF(INDIRECT("H"&amp;ROW())=INDIRECT("E"&amp;ROW()),"Active","Expired"))</f>
      </c>
    </row>
    <row r="201" spans="9:10">
      <c r="I201" s="59" t="str" cm="1">
        <f t="array" aca="true" ref="I201" ca="true">IF(ISBLANK(INDIRECT("B"&amp;ROW())), "", INDIRECT("B"&amp;ROW()) &amp; " - " &amp; INDIRECT("J"&amp;ROW()))</f>
      </c>
      <c r="J201" s="59" t="str" cm="1">
        <f t="array" aca="true" ref="J201" ca="true">IF(INDIRECT("E"&amp;ROW())=0,"",IF(INDIRECT("H"&amp;ROW())=INDIRECT("E"&amp;ROW()),"Active","Expired"))</f>
      </c>
    </row>
    <row r="202" spans="9:10">
      <c r="I202" s="59" t="str" cm="1">
        <f t="array" aca="true" ref="I202" ca="true">IF(ISBLANK(INDIRECT("B"&amp;ROW())), "", INDIRECT("B"&amp;ROW()) &amp; " - " &amp; INDIRECT("J"&amp;ROW()))</f>
      </c>
      <c r="J202" s="59" t="str" cm="1">
        <f t="array" aca="true" ref="J202" ca="true">IF(INDIRECT("E"&amp;ROW())=0,"",IF(INDIRECT("H"&amp;ROW())=INDIRECT("E"&amp;ROW()),"Active","Expired"))</f>
      </c>
    </row>
    <row r="203" spans="9:10">
      <c r="I203" s="59" t="str" cm="1">
        <f t="array" aca="true" ref="I203" ca="true">IF(ISBLANK(INDIRECT("B"&amp;ROW())), "", INDIRECT("B"&amp;ROW()) &amp; " - " &amp; INDIRECT("J"&amp;ROW()))</f>
      </c>
      <c r="J203" s="59" t="str" cm="1">
        <f t="array" aca="true" ref="J203" ca="true">IF(INDIRECT("E"&amp;ROW())=0,"",IF(INDIRECT("H"&amp;ROW())=INDIRECT("E"&amp;ROW()),"Active","Expired"))</f>
      </c>
    </row>
    <row r="204" spans="9:10">
      <c r="I204" s="59" t="str" cm="1">
        <f t="array" aca="true" ref="I204" ca="true">IF(ISBLANK(INDIRECT("B"&amp;ROW())), "", INDIRECT("B"&amp;ROW()) &amp; " - " &amp; INDIRECT("J"&amp;ROW()))</f>
      </c>
      <c r="J204" s="59" t="str" cm="1">
        <f t="array" aca="true" ref="J204" ca="true">IF(INDIRECT("E"&amp;ROW())=0,"",IF(INDIRECT("H"&amp;ROW())=INDIRECT("E"&amp;ROW()),"Active","Expired"))</f>
      </c>
    </row>
    <row r="205" spans="9:10">
      <c r="I205" s="59" t="str" cm="1">
        <f t="array" aca="true" ref="I205" ca="true">IF(ISBLANK(INDIRECT("B"&amp;ROW())), "", INDIRECT("B"&amp;ROW()) &amp; " - " &amp; INDIRECT("J"&amp;ROW()))</f>
      </c>
      <c r="J205" s="59" t="str" cm="1">
        <f t="array" aca="true" ref="J205" ca="true">IF(INDIRECT("E"&amp;ROW())=0,"",IF(INDIRECT("H"&amp;ROW())=INDIRECT("E"&amp;ROW()),"Active","Expired"))</f>
      </c>
    </row>
    <row r="206" spans="9:10">
      <c r="I206" s="59" t="str" cm="1">
        <f t="array" aca="true" ref="I206" ca="true">IF(ISBLANK(INDIRECT("B"&amp;ROW())), "", INDIRECT("B"&amp;ROW()) &amp; " - " &amp; INDIRECT("J"&amp;ROW()))</f>
      </c>
      <c r="J206" s="59" t="str" cm="1">
        <f t="array" aca="true" ref="J206" ca="true">IF(INDIRECT("E"&amp;ROW())=0,"",IF(INDIRECT("H"&amp;ROW())=INDIRECT("E"&amp;ROW()),"Active","Expired"))</f>
      </c>
    </row>
    <row r="207" spans="9:10">
      <c r="I207" s="59" t="str" cm="1">
        <f t="array" aca="true" ref="I207" ca="true">IF(ISBLANK(INDIRECT("B"&amp;ROW())), "", INDIRECT("B"&amp;ROW()) &amp; " - " &amp; INDIRECT("J"&amp;ROW()))</f>
      </c>
      <c r="J207" s="59" t="str" cm="1">
        <f t="array" aca="true" ref="J207" ca="true">IF(INDIRECT("E"&amp;ROW())=0,"",IF(INDIRECT("H"&amp;ROW())=INDIRECT("E"&amp;ROW()),"Active","Expired"))</f>
      </c>
    </row>
    <row r="208" spans="9:10">
      <c r="I208" s="59" t="str" cm="1">
        <f t="array" aca="true" ref="I208" ca="true">IF(ISBLANK(INDIRECT("B"&amp;ROW())), "", INDIRECT("B"&amp;ROW()) &amp; " - " &amp; INDIRECT("J"&amp;ROW()))</f>
      </c>
      <c r="J208" s="59" t="str" cm="1">
        <f t="array" aca="true" ref="J208" ca="true">IF(INDIRECT("E"&amp;ROW())=0,"",IF(INDIRECT("H"&amp;ROW())=INDIRECT("E"&amp;ROW()),"Active","Expired"))</f>
      </c>
    </row>
    <row r="209" spans="9:10">
      <c r="I209" s="59" t="str" cm="1">
        <f t="array" aca="true" ref="I209" ca="true">IF(ISBLANK(INDIRECT("B"&amp;ROW())), "", INDIRECT("B"&amp;ROW()) &amp; " - " &amp; INDIRECT("J"&amp;ROW()))</f>
      </c>
      <c r="J209" s="59" t="str" cm="1">
        <f t="array" aca="true" ref="J209" ca="true">IF(INDIRECT("E"&amp;ROW())=0,"",IF(INDIRECT("H"&amp;ROW())=INDIRECT("E"&amp;ROW()),"Active","Expired"))</f>
      </c>
    </row>
    <row r="210" spans="9:10">
      <c r="I210" s="59" t="str" cm="1">
        <f t="array" aca="true" ref="I210" ca="true">IF(ISBLANK(INDIRECT("B"&amp;ROW())), "", INDIRECT("B"&amp;ROW()) &amp; " - " &amp; INDIRECT("J"&amp;ROW()))</f>
      </c>
      <c r="J210" s="59" t="str" cm="1">
        <f t="array" aca="true" ref="J210" ca="true">IF(INDIRECT("E"&amp;ROW())=0,"",IF(INDIRECT("H"&amp;ROW())=INDIRECT("E"&amp;ROW()),"Active","Expired"))</f>
      </c>
    </row>
    <row r="211" spans="9:10">
      <c r="I211" s="59" t="str" cm="1">
        <f t="array" aca="true" ref="I211" ca="true">IF(ISBLANK(INDIRECT("B"&amp;ROW())), "", INDIRECT("B"&amp;ROW()) &amp; " - " &amp; INDIRECT("J"&amp;ROW()))</f>
      </c>
      <c r="J211" s="59" t="str" cm="1">
        <f t="array" aca="true" ref="J211" ca="true">IF(INDIRECT("E"&amp;ROW())=0,"",IF(INDIRECT("H"&amp;ROW())=INDIRECT("E"&amp;ROW()),"Active","Expired"))</f>
      </c>
    </row>
    <row r="212" spans="9:10">
      <c r="I212" s="59" t="str" cm="1">
        <f t="array" aca="true" ref="I212" ca="true">IF(ISBLANK(INDIRECT("B"&amp;ROW())), "", INDIRECT("B"&amp;ROW()) &amp; " - " &amp; INDIRECT("J"&amp;ROW()))</f>
      </c>
      <c r="J212" s="59" t="str" cm="1">
        <f t="array" aca="true" ref="J212" ca="true">IF(INDIRECT("E"&amp;ROW())=0,"",IF(INDIRECT("H"&amp;ROW())=INDIRECT("E"&amp;ROW()),"Active","Expired"))</f>
      </c>
    </row>
    <row r="213" spans="9:10">
      <c r="I213" s="59" t="str" cm="1">
        <f t="array" aca="true" ref="I213" ca="true">IF(ISBLANK(INDIRECT("B"&amp;ROW())), "", INDIRECT("B"&amp;ROW()) &amp; " - " &amp; INDIRECT("J"&amp;ROW()))</f>
      </c>
      <c r="J213" s="59" t="str" cm="1">
        <f t="array" aca="true" ref="J213" ca="true">IF(INDIRECT("E"&amp;ROW())=0,"",IF(INDIRECT("H"&amp;ROW())=INDIRECT("E"&amp;ROW()),"Active","Expired"))</f>
      </c>
    </row>
    <row r="214" spans="9:10">
      <c r="I214" s="59" t="str" cm="1">
        <f t="array" aca="true" ref="I214" ca="true">IF(ISBLANK(INDIRECT("B"&amp;ROW())), "", INDIRECT("B"&amp;ROW()) &amp; " - " &amp; INDIRECT("J"&amp;ROW()))</f>
      </c>
      <c r="J214" s="59" t="str" cm="1">
        <f t="array" aca="true" ref="J214" ca="true">IF(INDIRECT("E"&amp;ROW())=0,"",IF(INDIRECT("H"&amp;ROW())=INDIRECT("E"&amp;ROW()),"Active","Expired"))</f>
      </c>
    </row>
    <row r="215" spans="9:10">
      <c r="I215" s="59" t="str" cm="1">
        <f t="array" aca="true" ref="I215" ca="true">IF(ISBLANK(INDIRECT("B"&amp;ROW())), "", INDIRECT("B"&amp;ROW()) &amp; " - " &amp; INDIRECT("J"&amp;ROW()))</f>
      </c>
      <c r="J215" s="59" t="str" cm="1">
        <f t="array" aca="true" ref="J215" ca="true">IF(INDIRECT("E"&amp;ROW())=0,"",IF(INDIRECT("H"&amp;ROW())=INDIRECT("E"&amp;ROW()),"Active","Expired"))</f>
      </c>
    </row>
    <row r="216" spans="9:10">
      <c r="I216" s="59" t="str" cm="1">
        <f t="array" aca="true" ref="I216" ca="true">IF(ISBLANK(INDIRECT("B"&amp;ROW())), "", INDIRECT("B"&amp;ROW()) &amp; " - " &amp; INDIRECT("J"&amp;ROW()))</f>
      </c>
      <c r="J216" s="59" t="str" cm="1">
        <f t="array" aca="true" ref="J216" ca="true">IF(INDIRECT("E"&amp;ROW())=0,"",IF(INDIRECT("H"&amp;ROW())=INDIRECT("E"&amp;ROW()),"Active","Expired"))</f>
      </c>
    </row>
    <row r="217" spans="9:10">
      <c r="I217" s="59" t="str" cm="1">
        <f t="array" aca="true" ref="I217" ca="true">IF(ISBLANK(INDIRECT("B"&amp;ROW())), "", INDIRECT("B"&amp;ROW()) &amp; " - " &amp; INDIRECT("J"&amp;ROW()))</f>
      </c>
      <c r="J217" s="59" t="str" cm="1">
        <f t="array" aca="true" ref="J217" ca="true">IF(INDIRECT("E"&amp;ROW())=0,"",IF(INDIRECT("H"&amp;ROW())=INDIRECT("E"&amp;ROW()),"Active","Expired"))</f>
      </c>
    </row>
    <row r="218" spans="9:10">
      <c r="I218" s="59" t="str" cm="1">
        <f t="array" aca="true" ref="I218" ca="true">IF(ISBLANK(INDIRECT("B"&amp;ROW())), "", INDIRECT("B"&amp;ROW()) &amp; " - " &amp; INDIRECT("J"&amp;ROW()))</f>
      </c>
      <c r="J218" s="59" t="str" cm="1">
        <f t="array" aca="true" ref="J218" ca="true">IF(INDIRECT("E"&amp;ROW())=0,"",IF(INDIRECT("H"&amp;ROW())=INDIRECT("E"&amp;ROW()),"Active","Expired"))</f>
      </c>
    </row>
    <row r="219" spans="9:10">
      <c r="I219" s="59" t="str" cm="1">
        <f t="array" aca="true" ref="I219" ca="true">IF(ISBLANK(INDIRECT("B"&amp;ROW())), "", INDIRECT("B"&amp;ROW()) &amp; " - " &amp; INDIRECT("J"&amp;ROW()))</f>
      </c>
      <c r="J219" s="59" t="str" cm="1">
        <f t="array" aca="true" ref="J219" ca="true">IF(INDIRECT("E"&amp;ROW())=0,"",IF(INDIRECT("H"&amp;ROW())=INDIRECT("E"&amp;ROW()),"Active","Expired"))</f>
      </c>
    </row>
    <row r="220" spans="9:10">
      <c r="I220" s="59" t="str" cm="1">
        <f t="array" aca="true" ref="I220" ca="true">IF(ISBLANK(INDIRECT("B"&amp;ROW())), "", INDIRECT("B"&amp;ROW()) &amp; " - " &amp; INDIRECT("J"&amp;ROW()))</f>
      </c>
      <c r="J220" s="59" t="str" cm="1">
        <f t="array" aca="true" ref="J220" ca="true">IF(INDIRECT("E"&amp;ROW())=0,"",IF(INDIRECT("H"&amp;ROW())=INDIRECT("E"&amp;ROW()),"Active","Expired"))</f>
      </c>
    </row>
    <row r="221" spans="9:10">
      <c r="I221" s="59" t="str" cm="1">
        <f t="array" aca="true" ref="I221" ca="true">IF(ISBLANK(INDIRECT("B"&amp;ROW())), "", INDIRECT("B"&amp;ROW()) &amp; " - " &amp; INDIRECT("J"&amp;ROW()))</f>
      </c>
      <c r="J221" s="59" t="str" cm="1">
        <f t="array" aca="true" ref="J221" ca="true">IF(INDIRECT("E"&amp;ROW())=0,"",IF(INDIRECT("H"&amp;ROW())=INDIRECT("E"&amp;ROW()),"Active","Expired"))</f>
      </c>
    </row>
    <row r="222" spans="9:10">
      <c r="I222" s="59" t="str" cm="1">
        <f t="array" aca="true" ref="I222" ca="true">IF(ISBLANK(INDIRECT("B"&amp;ROW())), "", INDIRECT("B"&amp;ROW()) &amp; " - " &amp; INDIRECT("J"&amp;ROW()))</f>
      </c>
      <c r="J222" s="59" t="str" cm="1">
        <f t="array" aca="true" ref="J222" ca="true">IF(INDIRECT("E"&amp;ROW())=0,"",IF(INDIRECT("H"&amp;ROW())=INDIRECT("E"&amp;ROW()),"Active","Expired"))</f>
      </c>
    </row>
    <row r="223" spans="9:10">
      <c r="I223" s="59" t="str" cm="1">
        <f t="array" aca="true" ref="I223" ca="true">IF(ISBLANK(INDIRECT("B"&amp;ROW())), "", INDIRECT("B"&amp;ROW()) &amp; " - " &amp; INDIRECT("J"&amp;ROW()))</f>
      </c>
      <c r="J223" s="59" t="str" cm="1">
        <f t="array" aca="true" ref="J223" ca="true">IF(INDIRECT("E"&amp;ROW())=0,"",IF(INDIRECT("H"&amp;ROW())=INDIRECT("E"&amp;ROW()),"Active","Expired"))</f>
      </c>
    </row>
    <row r="224" spans="9:10">
      <c r="I224" s="59" t="str" cm="1">
        <f t="array" aca="true" ref="I224" ca="true">IF(ISBLANK(INDIRECT("B"&amp;ROW())), "", INDIRECT("B"&amp;ROW()) &amp; " - " &amp; INDIRECT("J"&amp;ROW()))</f>
      </c>
      <c r="J224" s="59" t="str" cm="1">
        <f t="array" aca="true" ref="J224" ca="true">IF(INDIRECT("E"&amp;ROW())=0,"",IF(INDIRECT("H"&amp;ROW())=INDIRECT("E"&amp;ROW()),"Active","Expired"))</f>
      </c>
    </row>
    <row r="225" spans="9:10">
      <c r="I225" s="59" t="str" cm="1">
        <f t="array" aca="true" ref="I225" ca="true">IF(ISBLANK(INDIRECT("B"&amp;ROW())), "", INDIRECT("B"&amp;ROW()) &amp; " - " &amp; INDIRECT("J"&amp;ROW()))</f>
      </c>
      <c r="J225" s="59" t="str" cm="1">
        <f t="array" aca="true" ref="J225" ca="true">IF(INDIRECT("E"&amp;ROW())=0,"",IF(INDIRECT("H"&amp;ROW())=INDIRECT("E"&amp;ROW()),"Active","Expired"))</f>
      </c>
    </row>
    <row r="226" spans="9:10">
      <c r="I226" s="59" t="str" cm="1">
        <f t="array" aca="true" ref="I226" ca="true">IF(ISBLANK(INDIRECT("B"&amp;ROW())), "", INDIRECT("B"&amp;ROW()) &amp; " - " &amp; INDIRECT("J"&amp;ROW()))</f>
      </c>
      <c r="J226" s="59" t="str" cm="1">
        <f t="array" aca="true" ref="J226" ca="true">IF(INDIRECT("E"&amp;ROW())=0,"",IF(INDIRECT("H"&amp;ROW())=INDIRECT("E"&amp;ROW()),"Active","Expired"))</f>
      </c>
    </row>
    <row r="227" spans="9:10">
      <c r="I227" s="59" t="str" cm="1">
        <f t="array" aca="true" ref="I227" ca="true">IF(ISBLANK(INDIRECT("B"&amp;ROW())), "", INDIRECT("B"&amp;ROW()) &amp; " - " &amp; INDIRECT("J"&amp;ROW()))</f>
      </c>
      <c r="J227" s="59" t="str" cm="1">
        <f t="array" aca="true" ref="J227" ca="true">IF(INDIRECT("E"&amp;ROW())=0,"",IF(INDIRECT("H"&amp;ROW())=INDIRECT("E"&amp;ROW()),"Active","Expired"))</f>
      </c>
    </row>
    <row r="228" spans="9:10">
      <c r="I228" s="59" t="str" cm="1">
        <f t="array" aca="true" ref="I228" ca="true">IF(ISBLANK(INDIRECT("B"&amp;ROW())), "", INDIRECT("B"&amp;ROW()) &amp; " - " &amp; INDIRECT("J"&amp;ROW()))</f>
      </c>
      <c r="J228" s="59" t="str" cm="1">
        <f t="array" aca="true" ref="J228" ca="true">IF(INDIRECT("E"&amp;ROW())=0,"",IF(INDIRECT("H"&amp;ROW())=INDIRECT("E"&amp;ROW()),"Active","Expired"))</f>
      </c>
    </row>
    <row r="229" spans="9:10">
      <c r="I229" s="59" t="str" cm="1">
        <f t="array" aca="true" ref="I229" ca="true">IF(ISBLANK(INDIRECT("B"&amp;ROW())), "", INDIRECT("B"&amp;ROW()) &amp; " - " &amp; INDIRECT("J"&amp;ROW()))</f>
      </c>
      <c r="J229" s="59" t="str" cm="1">
        <f t="array" aca="true" ref="J229" ca="true">IF(INDIRECT("E"&amp;ROW())=0,"",IF(INDIRECT("H"&amp;ROW())=INDIRECT("E"&amp;ROW()),"Active","Expired"))</f>
      </c>
    </row>
    <row r="230" spans="9:10">
      <c r="I230" s="59" t="str" cm="1">
        <f t="array" aca="true" ref="I230" ca="true">IF(ISBLANK(INDIRECT("B"&amp;ROW())), "", INDIRECT("B"&amp;ROW()) &amp; " - " &amp; INDIRECT("J"&amp;ROW()))</f>
      </c>
      <c r="J230" s="59" t="str" cm="1">
        <f t="array" aca="true" ref="J230" ca="true">IF(INDIRECT("E"&amp;ROW())=0,"",IF(INDIRECT("H"&amp;ROW())=INDIRECT("E"&amp;ROW()),"Active","Expired"))</f>
      </c>
    </row>
    <row r="231" spans="9:10">
      <c r="I231" s="59" t="str" cm="1">
        <f t="array" aca="true" ref="I231" ca="true">IF(ISBLANK(INDIRECT("B"&amp;ROW())), "", INDIRECT("B"&amp;ROW()) &amp; " - " &amp; INDIRECT("J"&amp;ROW()))</f>
      </c>
      <c r="J231" s="59" t="str" cm="1">
        <f t="array" aca="true" ref="J231" ca="true">IF(INDIRECT("E"&amp;ROW())=0,"",IF(INDIRECT("H"&amp;ROW())=INDIRECT("E"&amp;ROW()),"Active","Expired"))</f>
      </c>
    </row>
    <row r="232" spans="9:10">
      <c r="I232" s="59" t="str" cm="1">
        <f t="array" aca="true" ref="I232" ca="true">IF(ISBLANK(INDIRECT("B"&amp;ROW())), "", INDIRECT("B"&amp;ROW()) &amp; " - " &amp; INDIRECT("J"&amp;ROW()))</f>
      </c>
      <c r="J232" s="59" t="str" cm="1">
        <f t="array" aca="true" ref="J232" ca="true">IF(INDIRECT("E"&amp;ROW())=0,"",IF(INDIRECT("H"&amp;ROW())=INDIRECT("E"&amp;ROW()),"Active","Expired"))</f>
      </c>
    </row>
    <row r="233" spans="9:10">
      <c r="I233" s="59" t="str" cm="1">
        <f t="array" aca="true" ref="I233" ca="true">IF(ISBLANK(INDIRECT("B"&amp;ROW())), "", INDIRECT("B"&amp;ROW()) &amp; " - " &amp; INDIRECT("J"&amp;ROW()))</f>
      </c>
      <c r="J233" s="59" t="str" cm="1">
        <f t="array" aca="true" ref="J233" ca="true">IF(INDIRECT("E"&amp;ROW())=0,"",IF(INDIRECT("H"&amp;ROW())=INDIRECT("E"&amp;ROW()),"Active","Expired"))</f>
      </c>
    </row>
    <row r="234" spans="9:10">
      <c r="I234" s="59" t="str" cm="1">
        <f t="array" aca="true" ref="I234" ca="true">IF(ISBLANK(INDIRECT("B"&amp;ROW())), "", INDIRECT("B"&amp;ROW()) &amp; " - " &amp; INDIRECT("J"&amp;ROW()))</f>
      </c>
      <c r="J234" s="59" t="str" cm="1">
        <f t="array" aca="true" ref="J234" ca="true">IF(INDIRECT("E"&amp;ROW())=0,"",IF(INDIRECT("H"&amp;ROW())=INDIRECT("E"&amp;ROW()),"Active","Expired"))</f>
      </c>
    </row>
    <row r="235" spans="9:10">
      <c r="I235" s="59" t="str" cm="1">
        <f t="array" aca="true" ref="I235" ca="true">IF(ISBLANK(INDIRECT("B"&amp;ROW())), "", INDIRECT("B"&amp;ROW()) &amp; " - " &amp; INDIRECT("J"&amp;ROW()))</f>
      </c>
      <c r="J235" s="59" t="str" cm="1">
        <f t="array" aca="true" ref="J235" ca="true">IF(INDIRECT("E"&amp;ROW())=0,"",IF(INDIRECT("H"&amp;ROW())=INDIRECT("E"&amp;ROW()),"Active","Expired"))</f>
      </c>
    </row>
    <row r="236" spans="9:10">
      <c r="I236" s="59" t="str" cm="1">
        <f t="array" aca="true" ref="I236" ca="true">IF(ISBLANK(INDIRECT("B"&amp;ROW())), "", INDIRECT("B"&amp;ROW()) &amp; " - " &amp; INDIRECT("J"&amp;ROW()))</f>
      </c>
      <c r="J236" s="59" t="str" cm="1">
        <f t="array" aca="true" ref="J236" ca="true">IF(INDIRECT("E"&amp;ROW())=0,"",IF(INDIRECT("H"&amp;ROW())=INDIRECT("E"&amp;ROW()),"Active","Expired"))</f>
      </c>
    </row>
    <row r="237" spans="9:10">
      <c r="I237" s="59" t="str" cm="1">
        <f t="array" aca="true" ref="I237" ca="true">IF(ISBLANK(INDIRECT("B"&amp;ROW())), "", INDIRECT("B"&amp;ROW()) &amp; " - " &amp; INDIRECT("J"&amp;ROW()))</f>
      </c>
      <c r="J237" s="59" t="str" cm="1">
        <f t="array" aca="true" ref="J237" ca="true">IF(INDIRECT("E"&amp;ROW())=0,"",IF(INDIRECT("H"&amp;ROW())=INDIRECT("E"&amp;ROW()),"Active","Expired"))</f>
      </c>
    </row>
    <row r="238" spans="9:10">
      <c r="I238" s="59" t="str" cm="1">
        <f t="array" aca="true" ref="I238" ca="true">IF(ISBLANK(INDIRECT("B"&amp;ROW())), "", INDIRECT("B"&amp;ROW()) &amp; " - " &amp; INDIRECT("J"&amp;ROW()))</f>
      </c>
      <c r="J238" s="59" t="str" cm="1">
        <f t="array" aca="true" ref="J238" ca="true">IF(INDIRECT("E"&amp;ROW())=0,"",IF(INDIRECT("H"&amp;ROW())=INDIRECT("E"&amp;ROW()),"Active","Expired"))</f>
      </c>
    </row>
    <row r="239" spans="9:10">
      <c r="I239" s="59" t="str" cm="1">
        <f t="array" aca="true" ref="I239" ca="true">IF(ISBLANK(INDIRECT("B"&amp;ROW())), "", INDIRECT("B"&amp;ROW()) &amp; " - " &amp; INDIRECT("J"&amp;ROW()))</f>
      </c>
      <c r="J239" s="59" t="str" cm="1">
        <f t="array" aca="true" ref="J239" ca="true">IF(INDIRECT("E"&amp;ROW())=0,"",IF(INDIRECT("H"&amp;ROW())=INDIRECT("E"&amp;ROW()),"Active","Expired"))</f>
      </c>
    </row>
    <row r="240" spans="9:10">
      <c r="I240" s="59" t="str" cm="1">
        <f t="array" aca="true" ref="I240" ca="true">IF(ISBLANK(INDIRECT("B"&amp;ROW())), "", INDIRECT("B"&amp;ROW()) &amp; " - " &amp; INDIRECT("J"&amp;ROW()))</f>
      </c>
      <c r="J240" s="59" t="str" cm="1">
        <f t="array" aca="true" ref="J240" ca="true">IF(INDIRECT("E"&amp;ROW())=0,"",IF(INDIRECT("H"&amp;ROW())=INDIRECT("E"&amp;ROW()),"Active","Expired"))</f>
      </c>
    </row>
    <row r="241" spans="9:10">
      <c r="I241" s="59" t="str" cm="1">
        <f t="array" aca="true" ref="I241" ca="true">IF(ISBLANK(INDIRECT("B"&amp;ROW())), "", INDIRECT("B"&amp;ROW()) &amp; " - " &amp; INDIRECT("J"&amp;ROW()))</f>
      </c>
      <c r="J241" s="59" t="str" cm="1">
        <f t="array" aca="true" ref="J241" ca="true">IF(INDIRECT("E"&amp;ROW())=0,"",IF(INDIRECT("H"&amp;ROW())=INDIRECT("E"&amp;ROW()),"Active","Expired"))</f>
      </c>
    </row>
    <row r="242" spans="9:10">
      <c r="I242" s="59" t="str" cm="1">
        <f t="array" aca="true" ref="I242" ca="true">IF(ISBLANK(INDIRECT("B"&amp;ROW())), "", INDIRECT("B"&amp;ROW()) &amp; " - " &amp; INDIRECT("J"&amp;ROW()))</f>
      </c>
      <c r="J242" s="59" t="str" cm="1">
        <f t="array" aca="true" ref="J242" ca="true">IF(INDIRECT("E"&amp;ROW())=0,"",IF(INDIRECT("H"&amp;ROW())=INDIRECT("E"&amp;ROW()),"Active","Expired"))</f>
      </c>
    </row>
    <row r="243" spans="9:10">
      <c r="I243" s="59" t="str" cm="1">
        <f t="array" aca="true" ref="I243" ca="true">IF(ISBLANK(INDIRECT("B"&amp;ROW())), "", INDIRECT("B"&amp;ROW()) &amp; " - " &amp; INDIRECT("J"&amp;ROW()))</f>
      </c>
      <c r="J243" s="59" t="str" cm="1">
        <f t="array" aca="true" ref="J243" ca="true">IF(INDIRECT("E"&amp;ROW())=0,"",IF(INDIRECT("H"&amp;ROW())=INDIRECT("E"&amp;ROW()),"Active","Expired"))</f>
      </c>
    </row>
    <row r="244" spans="9:10">
      <c r="I244" s="59" t="str" cm="1">
        <f t="array" aca="true" ref="I244" ca="true">IF(ISBLANK(INDIRECT("B"&amp;ROW())), "", INDIRECT("B"&amp;ROW()) &amp; " - " &amp; INDIRECT("J"&amp;ROW()))</f>
      </c>
      <c r="J244" s="59" t="str" cm="1">
        <f t="array" aca="true" ref="J244" ca="true">IF(INDIRECT("E"&amp;ROW())=0,"",IF(INDIRECT("H"&amp;ROW())=INDIRECT("E"&amp;ROW()),"Active","Expired"))</f>
      </c>
    </row>
    <row r="245" spans="9:10">
      <c r="I245" s="59" t="str" cm="1">
        <f t="array" aca="true" ref="I245" ca="true">IF(ISBLANK(INDIRECT("B"&amp;ROW())), "", INDIRECT("B"&amp;ROW()) &amp; " - " &amp; INDIRECT("J"&amp;ROW()))</f>
      </c>
      <c r="J245" s="59" t="str" cm="1">
        <f t="array" aca="true" ref="J245" ca="true">IF(INDIRECT("E"&amp;ROW())=0,"",IF(INDIRECT("H"&amp;ROW())=INDIRECT("E"&amp;ROW()),"Active","Expired"))</f>
      </c>
    </row>
    <row r="246" spans="9:10">
      <c r="I246" s="59" t="str" cm="1">
        <f t="array" aca="true" ref="I246" ca="true">IF(ISBLANK(INDIRECT("B"&amp;ROW())), "", INDIRECT("B"&amp;ROW()) &amp; " - " &amp; INDIRECT("J"&amp;ROW()))</f>
      </c>
      <c r="J246" s="59" t="str" cm="1">
        <f t="array" aca="true" ref="J246" ca="true">IF(INDIRECT("E"&amp;ROW())=0,"",IF(INDIRECT("H"&amp;ROW())=INDIRECT("E"&amp;ROW()),"Active","Expired"))</f>
      </c>
    </row>
    <row r="247" spans="9:10">
      <c r="I247" s="59" t="str" cm="1">
        <f t="array" aca="true" ref="I247" ca="true">IF(ISBLANK(INDIRECT("B"&amp;ROW())), "", INDIRECT("B"&amp;ROW()) &amp; " - " &amp; INDIRECT("J"&amp;ROW()))</f>
      </c>
      <c r="J247" s="59" t="str" cm="1">
        <f t="array" aca="true" ref="J247" ca="true">IF(INDIRECT("E"&amp;ROW())=0,"",IF(INDIRECT("H"&amp;ROW())=INDIRECT("E"&amp;ROW()),"Active","Expired"))</f>
      </c>
    </row>
    <row r="248" spans="9:10">
      <c r="I248" s="59" t="str" cm="1">
        <f t="array" aca="true" ref="I248" ca="true">IF(ISBLANK(INDIRECT("B"&amp;ROW())), "", INDIRECT("B"&amp;ROW()) &amp; " - " &amp; INDIRECT("J"&amp;ROW()))</f>
      </c>
      <c r="J248" s="59" t="str" cm="1">
        <f t="array" aca="true" ref="J248" ca="true">IF(INDIRECT("E"&amp;ROW())=0,"",IF(INDIRECT("H"&amp;ROW())=INDIRECT("E"&amp;ROW()),"Active","Expired"))</f>
      </c>
    </row>
    <row r="249" spans="9:10">
      <c r="I249" s="59" t="str" cm="1">
        <f t="array" aca="true" ref="I249" ca="true">IF(ISBLANK(INDIRECT("B"&amp;ROW())), "", INDIRECT("B"&amp;ROW()) &amp; " - " &amp; INDIRECT("J"&amp;ROW()))</f>
      </c>
      <c r="J249" s="59" t="str" cm="1">
        <f t="array" aca="true" ref="J249" ca="true">IF(INDIRECT("E"&amp;ROW())=0,"",IF(INDIRECT("H"&amp;ROW())=INDIRECT("E"&amp;ROW()),"Active","Expired"))</f>
      </c>
    </row>
    <row r="250" spans="9:10">
      <c r="I250" s="59" t="str" cm="1">
        <f t="array" aca="true" ref="I250" ca="true">IF(ISBLANK(INDIRECT("B"&amp;ROW())), "", INDIRECT("B"&amp;ROW()) &amp; " - " &amp; INDIRECT("J"&amp;ROW()))</f>
      </c>
      <c r="J250" s="59" t="str" cm="1">
        <f t="array" aca="true" ref="J250" ca="true">IF(INDIRECT("E"&amp;ROW())=0,"",IF(INDIRECT("H"&amp;ROW())=INDIRECT("E"&amp;ROW()),"Active","Expired"))</f>
      </c>
    </row>
    <row r="251" spans="9:10">
      <c r="I251" s="59" t="str" cm="1">
        <f t="array" aca="true" ref="I251" ca="true">IF(ISBLANK(INDIRECT("B"&amp;ROW())), "", INDIRECT("B"&amp;ROW()) &amp; " - " &amp; INDIRECT("J"&amp;ROW()))</f>
      </c>
      <c r="J251" s="59" t="str" cm="1">
        <f t="array" aca="true" ref="J251" ca="true">IF(INDIRECT("E"&amp;ROW())=0,"",IF(INDIRECT("H"&amp;ROW())=INDIRECT("E"&amp;ROW()),"Active","Expired"))</f>
      </c>
    </row>
    <row r="252" spans="9:10">
      <c r="I252" s="59" t="str" cm="1">
        <f t="array" aca="true" ref="I252" ca="true">IF(ISBLANK(INDIRECT("B"&amp;ROW())), "", INDIRECT("B"&amp;ROW()) &amp; " - " &amp; INDIRECT("J"&amp;ROW()))</f>
      </c>
      <c r="J252" s="59" t="str" cm="1">
        <f t="array" aca="true" ref="J252" ca="true">IF(INDIRECT("E"&amp;ROW())=0,"",IF(INDIRECT("H"&amp;ROW())=INDIRECT("E"&amp;ROW()),"Active","Expired"))</f>
      </c>
    </row>
    <row r="253" spans="9:10">
      <c r="I253" s="59" t="str" cm="1">
        <f t="array" aca="true" ref="I253" ca="true">IF(ISBLANK(INDIRECT("B"&amp;ROW())), "", INDIRECT("B"&amp;ROW()) &amp; " - " &amp; INDIRECT("J"&amp;ROW()))</f>
      </c>
      <c r="J253" s="59" t="str" cm="1">
        <f t="array" aca="true" ref="J253" ca="true">IF(INDIRECT("E"&amp;ROW())=0,"",IF(INDIRECT("H"&amp;ROW())=INDIRECT("E"&amp;ROW()),"Active","Expired"))</f>
      </c>
    </row>
    <row r="254" spans="9:10">
      <c r="I254" s="59" t="str" cm="1">
        <f t="array" aca="true" ref="I254" ca="true">IF(ISBLANK(INDIRECT("B"&amp;ROW())), "", INDIRECT("B"&amp;ROW()) &amp; " - " &amp; INDIRECT("J"&amp;ROW()))</f>
      </c>
      <c r="J254" s="59" t="str" cm="1">
        <f t="array" aca="true" ref="J254" ca="true">IF(INDIRECT("E"&amp;ROW())=0,"",IF(INDIRECT("H"&amp;ROW())=INDIRECT("E"&amp;ROW()),"Active","Expired"))</f>
      </c>
    </row>
    <row r="255" spans="9:10">
      <c r="I255" s="59" t="str" cm="1">
        <f t="array" aca="true" ref="I255" ca="true">IF(ISBLANK(INDIRECT("B"&amp;ROW())), "", INDIRECT("B"&amp;ROW()) &amp; " - " &amp; INDIRECT("J"&amp;ROW()))</f>
      </c>
      <c r="J255" s="59" t="str" cm="1">
        <f t="array" aca="true" ref="J255" ca="true">IF(INDIRECT("E"&amp;ROW())=0,"",IF(INDIRECT("H"&amp;ROW())=INDIRECT("E"&amp;ROW()),"Active","Expired"))</f>
      </c>
    </row>
    <row r="256" spans="9:10">
      <c r="I256" s="59" t="str" cm="1">
        <f t="array" aca="true" ref="I256" ca="true">IF(ISBLANK(INDIRECT("B"&amp;ROW())), "", INDIRECT("B"&amp;ROW()) &amp; " - " &amp; INDIRECT("J"&amp;ROW()))</f>
      </c>
      <c r="J256" s="59" t="str" cm="1">
        <f t="array" aca="true" ref="J256" ca="true">IF(INDIRECT("E"&amp;ROW())=0,"",IF(INDIRECT("H"&amp;ROW())=INDIRECT("E"&amp;ROW()),"Active","Expired"))</f>
      </c>
    </row>
    <row r="257" spans="9:10">
      <c r="I257" s="59" t="str" cm="1">
        <f t="array" aca="true" ref="I257" ca="true">IF(ISBLANK(INDIRECT("B"&amp;ROW())), "", INDIRECT("B"&amp;ROW()) &amp; " - " &amp; INDIRECT("J"&amp;ROW()))</f>
      </c>
      <c r="J257" s="59" t="str" cm="1">
        <f t="array" aca="true" ref="J257" ca="true">IF(INDIRECT("E"&amp;ROW())=0,"",IF(INDIRECT("H"&amp;ROW())=INDIRECT("E"&amp;ROW()),"Active","Expired"))</f>
      </c>
    </row>
    <row r="258" spans="9:10">
      <c r="I258" s="59" t="str" cm="1">
        <f t="array" aca="true" ref="I258" ca="true">IF(ISBLANK(INDIRECT("B"&amp;ROW())), "", INDIRECT("B"&amp;ROW()) &amp; " - " &amp; INDIRECT("J"&amp;ROW()))</f>
      </c>
      <c r="J258" s="59" t="str" cm="1">
        <f t="array" aca="true" ref="J258" ca="true">IF(INDIRECT("E"&amp;ROW())=0,"",IF(INDIRECT("H"&amp;ROW())=INDIRECT("E"&amp;ROW()),"Active","Expired"))</f>
      </c>
    </row>
    <row r="259" spans="9:10">
      <c r="I259" s="59" t="str" cm="1">
        <f t="array" aca="true" ref="I259" ca="true">IF(ISBLANK(INDIRECT("B"&amp;ROW())), "", INDIRECT("B"&amp;ROW()) &amp; " - " &amp; INDIRECT("J"&amp;ROW()))</f>
      </c>
      <c r="J259" s="59" t="str" cm="1">
        <f t="array" aca="true" ref="J259" ca="true">IF(INDIRECT("E"&amp;ROW())=0,"",IF(INDIRECT("H"&amp;ROW())=INDIRECT("E"&amp;ROW()),"Active","Expired"))</f>
      </c>
    </row>
    <row r="260" spans="9:10">
      <c r="I260" s="59" t="str" cm="1">
        <f t="array" aca="true" ref="I260" ca="true">IF(ISBLANK(INDIRECT("B"&amp;ROW())), "", INDIRECT("B"&amp;ROW()) &amp; " - " &amp; INDIRECT("J"&amp;ROW()))</f>
      </c>
      <c r="J260" s="59" t="str" cm="1">
        <f t="array" aca="true" ref="J260" ca="true">IF(INDIRECT("E"&amp;ROW())=0,"",IF(INDIRECT("H"&amp;ROW())=INDIRECT("E"&amp;ROW()),"Active","Expired"))</f>
      </c>
    </row>
    <row r="261" spans="9:10">
      <c r="I261" s="59" t="str" cm="1">
        <f t="array" aca="true" ref="I261" ca="true">IF(ISBLANK(INDIRECT("B"&amp;ROW())), "", INDIRECT("B"&amp;ROW()) &amp; " - " &amp; INDIRECT("J"&amp;ROW()))</f>
      </c>
      <c r="J261" s="59" t="str" cm="1">
        <f t="array" aca="true" ref="J261" ca="true">IF(INDIRECT("E"&amp;ROW())=0,"",IF(INDIRECT("H"&amp;ROW())=INDIRECT("E"&amp;ROW()),"Active","Expired"))</f>
      </c>
    </row>
    <row r="262" spans="9:10">
      <c r="I262" s="59" t="str" cm="1">
        <f t="array" aca="true" ref="I262" ca="true">IF(ISBLANK(INDIRECT("B"&amp;ROW())), "", INDIRECT("B"&amp;ROW()) &amp; " - " &amp; INDIRECT("J"&amp;ROW()))</f>
      </c>
      <c r="J262" s="59" t="str" cm="1">
        <f t="array" aca="true" ref="J262" ca="true">IF(INDIRECT("E"&amp;ROW())=0,"",IF(INDIRECT("H"&amp;ROW())=INDIRECT("E"&amp;ROW()),"Active","Expired"))</f>
      </c>
    </row>
    <row r="263" spans="9:10">
      <c r="I263" s="59" t="str" cm="1">
        <f t="array" aca="true" ref="I263" ca="true">IF(ISBLANK(INDIRECT("B"&amp;ROW())), "", INDIRECT("B"&amp;ROW()) &amp; " - " &amp; INDIRECT("J"&amp;ROW()))</f>
      </c>
      <c r="J263" s="59" t="str" cm="1">
        <f t="array" aca="true" ref="J263" ca="true">IF(INDIRECT("E"&amp;ROW())=0,"",IF(INDIRECT("H"&amp;ROW())=INDIRECT("E"&amp;ROW()),"Active","Expired"))</f>
      </c>
    </row>
    <row r="264" spans="9:10">
      <c r="I264" s="59" t="str" cm="1">
        <f t="array" aca="true" ref="I264" ca="true">IF(ISBLANK(INDIRECT("B"&amp;ROW())), "", INDIRECT("B"&amp;ROW()) &amp; " - " &amp; INDIRECT("J"&amp;ROW()))</f>
      </c>
      <c r="J264" s="59" t="str" cm="1">
        <f t="array" aca="true" ref="J264" ca="true">IF(INDIRECT("E"&amp;ROW())=0,"",IF(INDIRECT("H"&amp;ROW())=INDIRECT("E"&amp;ROW()),"Active","Expired"))</f>
      </c>
    </row>
    <row r="265" spans="9:10">
      <c r="I265" s="59" t="str" cm="1">
        <f t="array" aca="true" ref="I265" ca="true">IF(ISBLANK(INDIRECT("B"&amp;ROW())), "", INDIRECT("B"&amp;ROW()) &amp; " - " &amp; INDIRECT("J"&amp;ROW()))</f>
      </c>
      <c r="J265" s="59" t="str" cm="1">
        <f t="array" aca="true" ref="J265" ca="true">IF(INDIRECT("E"&amp;ROW())=0,"",IF(INDIRECT("H"&amp;ROW())=INDIRECT("E"&amp;ROW()),"Active","Expired"))</f>
      </c>
    </row>
    <row r="266" spans="9:10">
      <c r="I266" s="59" t="str" cm="1">
        <f t="array" aca="true" ref="I266" ca="true">IF(ISBLANK(INDIRECT("B"&amp;ROW())), "", INDIRECT("B"&amp;ROW()) &amp; " - " &amp; INDIRECT("J"&amp;ROW()))</f>
      </c>
      <c r="J266" s="59" t="str" cm="1">
        <f t="array" aca="true" ref="J266" ca="true">IF(INDIRECT("E"&amp;ROW())=0,"",IF(INDIRECT("H"&amp;ROW())=INDIRECT("E"&amp;ROW()),"Active","Expired"))</f>
      </c>
    </row>
    <row r="267" spans="9:10">
      <c r="I267" s="59" t="str" cm="1">
        <f t="array" aca="true" ref="I267" ca="true">IF(ISBLANK(INDIRECT("B"&amp;ROW())), "", INDIRECT("B"&amp;ROW()) &amp; " - " &amp; INDIRECT("J"&amp;ROW()))</f>
      </c>
      <c r="J267" s="59" t="str" cm="1">
        <f t="array" aca="true" ref="J267" ca="true">IF(INDIRECT("E"&amp;ROW())=0,"",IF(INDIRECT("H"&amp;ROW())=INDIRECT("E"&amp;ROW()),"Active","Expired"))</f>
      </c>
    </row>
    <row r="268" spans="9:10">
      <c r="I268" s="59" t="str" cm="1">
        <f t="array" aca="true" ref="I268" ca="true">IF(ISBLANK(INDIRECT("B"&amp;ROW())), "", INDIRECT("B"&amp;ROW()) &amp; " - " &amp; INDIRECT("J"&amp;ROW()))</f>
      </c>
      <c r="J268" s="59" t="str" cm="1">
        <f t="array" aca="true" ref="J268" ca="true">IF(INDIRECT("E"&amp;ROW())=0,"",IF(INDIRECT("H"&amp;ROW())=INDIRECT("E"&amp;ROW()),"Active","Expired"))</f>
      </c>
    </row>
    <row r="269" spans="9:10">
      <c r="I269" s="59" t="str" cm="1">
        <f t="array" aca="true" ref="I269" ca="true">IF(ISBLANK(INDIRECT("B"&amp;ROW())), "", INDIRECT("B"&amp;ROW()) &amp; " - " &amp; INDIRECT("J"&amp;ROW()))</f>
      </c>
      <c r="J269" s="59" t="str" cm="1">
        <f t="array" aca="true" ref="J269" ca="true">IF(INDIRECT("E"&amp;ROW())=0,"",IF(INDIRECT("H"&amp;ROW())=INDIRECT("E"&amp;ROW()),"Active","Expired"))</f>
      </c>
    </row>
    <row r="270" spans="9:10">
      <c r="I270" s="59" t="str" cm="1">
        <f t="array" aca="true" ref="I270" ca="true">IF(ISBLANK(INDIRECT("B"&amp;ROW())), "", INDIRECT("B"&amp;ROW()) &amp; " - " &amp; INDIRECT("J"&amp;ROW()))</f>
      </c>
      <c r="J270" s="59" t="str" cm="1">
        <f t="array" aca="true" ref="J270" ca="true">IF(INDIRECT("E"&amp;ROW())=0,"",IF(INDIRECT("H"&amp;ROW())=INDIRECT("E"&amp;ROW()),"Active","Expired"))</f>
      </c>
    </row>
    <row r="271" spans="9:10">
      <c r="I271" s="59" t="str" cm="1">
        <f t="array" aca="true" ref="I271" ca="true">IF(ISBLANK(INDIRECT("B"&amp;ROW())), "", INDIRECT("B"&amp;ROW()) &amp; " - " &amp; INDIRECT("J"&amp;ROW()))</f>
      </c>
      <c r="J271" s="59" t="str" cm="1">
        <f t="array" aca="true" ref="J271" ca="true">IF(INDIRECT("E"&amp;ROW())=0,"",IF(INDIRECT("H"&amp;ROW())=INDIRECT("E"&amp;ROW()),"Active","Expired"))</f>
      </c>
    </row>
    <row r="272" spans="9:10">
      <c r="I272" s="59" t="str" cm="1">
        <f t="array" aca="true" ref="I272" ca="true">IF(ISBLANK(INDIRECT("B"&amp;ROW())), "", INDIRECT("B"&amp;ROW()) &amp; " - " &amp; INDIRECT("J"&amp;ROW()))</f>
      </c>
      <c r="J272" s="59" t="str" cm="1">
        <f t="array" aca="true" ref="J272" ca="true">IF(INDIRECT("E"&amp;ROW())=0,"",IF(INDIRECT("H"&amp;ROW())=INDIRECT("E"&amp;ROW()),"Active","Expired"))</f>
      </c>
    </row>
    <row r="273" spans="9:10">
      <c r="I273" s="59" t="str" cm="1">
        <f t="array" aca="true" ref="I273" ca="true">IF(ISBLANK(INDIRECT("B"&amp;ROW())), "", INDIRECT("B"&amp;ROW()) &amp; " - " &amp; INDIRECT("J"&amp;ROW()))</f>
      </c>
      <c r="J273" s="59" t="str" cm="1">
        <f t="array" aca="true" ref="J273" ca="true">IF(INDIRECT("E"&amp;ROW())=0,"",IF(INDIRECT("H"&amp;ROW())=INDIRECT("E"&amp;ROW()),"Active","Expired"))</f>
      </c>
    </row>
    <row r="274" spans="9:10">
      <c r="I274" s="59" t="str" cm="1">
        <f t="array" aca="true" ref="I274" ca="true">IF(ISBLANK(INDIRECT("B"&amp;ROW())), "", INDIRECT("B"&amp;ROW()) &amp; " - " &amp; INDIRECT("J"&amp;ROW()))</f>
      </c>
      <c r="J274" s="59" t="str" cm="1">
        <f t="array" aca="true" ref="J274" ca="true">IF(INDIRECT("E"&amp;ROW())=0,"",IF(INDIRECT("H"&amp;ROW())=INDIRECT("E"&amp;ROW()),"Active","Expired"))</f>
      </c>
    </row>
    <row r="275" spans="9:10">
      <c r="I275" s="59" t="str" cm="1">
        <f t="array" aca="true" ref="I275" ca="true">IF(ISBLANK(INDIRECT("B"&amp;ROW())), "", INDIRECT("B"&amp;ROW()) &amp; " - " &amp; INDIRECT("J"&amp;ROW()))</f>
      </c>
      <c r="J275" s="59" t="str" cm="1">
        <f t="array" aca="true" ref="J275" ca="true">IF(INDIRECT("E"&amp;ROW())=0,"",IF(INDIRECT("H"&amp;ROW())=INDIRECT("E"&amp;ROW()),"Active","Expired"))</f>
      </c>
    </row>
    <row r="276" spans="9:10">
      <c r="I276" s="59" t="str" cm="1">
        <f t="array" aca="true" ref="I276" ca="true">IF(ISBLANK(INDIRECT("B"&amp;ROW())), "", INDIRECT("B"&amp;ROW()) &amp; " - " &amp; INDIRECT("J"&amp;ROW()))</f>
      </c>
      <c r="J276" s="59" t="str" cm="1">
        <f t="array" aca="true" ref="J276" ca="true">IF(INDIRECT("E"&amp;ROW())=0,"",IF(INDIRECT("H"&amp;ROW())=INDIRECT("E"&amp;ROW()),"Active","Expired"))</f>
      </c>
    </row>
    <row r="277" spans="9:10">
      <c r="I277" s="59" t="str" cm="1">
        <f t="array" aca="true" ref="I277" ca="true">IF(ISBLANK(INDIRECT("B"&amp;ROW())), "", INDIRECT("B"&amp;ROW()) &amp; " - " &amp; INDIRECT("J"&amp;ROW()))</f>
      </c>
      <c r="J277" s="59" t="str" cm="1">
        <f t="array" aca="true" ref="J277" ca="true">IF(INDIRECT("E"&amp;ROW())=0,"",IF(INDIRECT("H"&amp;ROW())=INDIRECT("E"&amp;ROW()),"Active","Expired"))</f>
      </c>
    </row>
    <row r="278" spans="9:10">
      <c r="I278" s="59" t="str" cm="1">
        <f t="array" aca="true" ref="I278" ca="true">IF(ISBLANK(INDIRECT("B"&amp;ROW())), "", INDIRECT("B"&amp;ROW()) &amp; " - " &amp; INDIRECT("J"&amp;ROW()))</f>
      </c>
      <c r="J278" s="59" t="str" cm="1">
        <f t="array" aca="true" ref="J278" ca="true">IF(INDIRECT("E"&amp;ROW())=0,"",IF(INDIRECT("H"&amp;ROW())=INDIRECT("E"&amp;ROW()),"Active","Expired"))</f>
      </c>
    </row>
    <row r="279" spans="9:10">
      <c r="I279" s="59" t="str" cm="1">
        <f t="array" aca="true" ref="I279" ca="true">IF(ISBLANK(INDIRECT("B"&amp;ROW())), "", INDIRECT("B"&amp;ROW()) &amp; " - " &amp; INDIRECT("J"&amp;ROW()))</f>
      </c>
      <c r="J279" s="59" t="str" cm="1">
        <f t="array" aca="true" ref="J279" ca="true">IF(INDIRECT("E"&amp;ROW())=0,"",IF(INDIRECT("H"&amp;ROW())=INDIRECT("E"&amp;ROW()),"Active","Expired"))</f>
      </c>
    </row>
    <row r="280" spans="9:10">
      <c r="I280" s="59" t="str" cm="1">
        <f t="array" aca="true" ref="I280" ca="true">IF(ISBLANK(INDIRECT("B"&amp;ROW())), "", INDIRECT("B"&amp;ROW()) &amp; " - " &amp; INDIRECT("J"&amp;ROW()))</f>
      </c>
      <c r="J280" s="59" t="str" cm="1">
        <f t="array" aca="true" ref="J280" ca="true">IF(INDIRECT("E"&amp;ROW())=0,"",IF(INDIRECT("H"&amp;ROW())=INDIRECT("E"&amp;ROW()),"Active","Expired"))</f>
      </c>
    </row>
    <row r="281" spans="9:10">
      <c r="I281" s="59" t="str" cm="1">
        <f t="array" aca="true" ref="I281" ca="true">IF(ISBLANK(INDIRECT("B"&amp;ROW())), "", INDIRECT("B"&amp;ROW()) &amp; " - " &amp; INDIRECT("J"&amp;ROW()))</f>
      </c>
      <c r="J281" s="59" t="str" cm="1">
        <f t="array" aca="true" ref="J281" ca="true">IF(INDIRECT("E"&amp;ROW())=0,"",IF(INDIRECT("H"&amp;ROW())=INDIRECT("E"&amp;ROW()),"Active","Expired"))</f>
      </c>
    </row>
    <row r="282" spans="9:10">
      <c r="I282" s="59" t="str" cm="1">
        <f t="array" aca="true" ref="I282" ca="true">IF(ISBLANK(INDIRECT("B"&amp;ROW())), "", INDIRECT("B"&amp;ROW()) &amp; " - " &amp; INDIRECT("J"&amp;ROW()))</f>
      </c>
      <c r="J282" s="59" t="str" cm="1">
        <f t="array" aca="true" ref="J282" ca="true">IF(INDIRECT("E"&amp;ROW())=0,"",IF(INDIRECT("H"&amp;ROW())=INDIRECT("E"&amp;ROW()),"Active","Expired"))</f>
      </c>
    </row>
    <row r="283" spans="9:10">
      <c r="I283" s="59" t="str" cm="1">
        <f t="array" aca="true" ref="I283" ca="true">IF(ISBLANK(INDIRECT("B"&amp;ROW())), "", INDIRECT("B"&amp;ROW()) &amp; " - " &amp; INDIRECT("J"&amp;ROW()))</f>
      </c>
      <c r="J283" s="59" t="str" cm="1">
        <f t="array" aca="true" ref="J283" ca="true">IF(INDIRECT("E"&amp;ROW())=0,"",IF(INDIRECT("H"&amp;ROW())=INDIRECT("E"&amp;ROW()),"Active","Expired"))</f>
      </c>
    </row>
    <row r="284" spans="9:10">
      <c r="I284" s="59" t="str" cm="1">
        <f t="array" aca="true" ref="I284" ca="true">IF(ISBLANK(INDIRECT("B"&amp;ROW())), "", INDIRECT("B"&amp;ROW()) &amp; " - " &amp; INDIRECT("J"&amp;ROW()))</f>
      </c>
      <c r="J284" s="59" t="str" cm="1">
        <f t="array" aca="true" ref="J284" ca="true">IF(INDIRECT("E"&amp;ROW())=0,"",IF(INDIRECT("H"&amp;ROW())=INDIRECT("E"&amp;ROW()),"Active","Expired"))</f>
      </c>
    </row>
    <row r="285" spans="9:10">
      <c r="I285" s="59" t="str" cm="1">
        <f t="array" aca="true" ref="I285" ca="true">IF(ISBLANK(INDIRECT("B"&amp;ROW())), "", INDIRECT("B"&amp;ROW()) &amp; " - " &amp; INDIRECT("J"&amp;ROW()))</f>
      </c>
      <c r="J285" s="59" t="str" cm="1">
        <f t="array" aca="true" ref="J285" ca="true">IF(INDIRECT("E"&amp;ROW())=0,"",IF(INDIRECT("H"&amp;ROW())=INDIRECT("E"&amp;ROW()),"Active","Expired"))</f>
      </c>
    </row>
    <row r="286" spans="9:10">
      <c r="I286" s="59" t="str" cm="1">
        <f t="array" aca="true" ref="I286" ca="true">IF(ISBLANK(INDIRECT("B"&amp;ROW())), "", INDIRECT("B"&amp;ROW()) &amp; " - " &amp; INDIRECT("J"&amp;ROW()))</f>
      </c>
      <c r="J286" s="59" t="str" cm="1">
        <f t="array" aca="true" ref="J286" ca="true">IF(INDIRECT("E"&amp;ROW())=0,"",IF(INDIRECT("H"&amp;ROW())=INDIRECT("E"&amp;ROW()),"Active","Expired"))</f>
      </c>
    </row>
    <row r="287" spans="9:10">
      <c r="I287" s="59" t="str" cm="1">
        <f t="array" aca="true" ref="I287" ca="true">IF(ISBLANK(INDIRECT("B"&amp;ROW())), "", INDIRECT("B"&amp;ROW()) &amp; " - " &amp; INDIRECT("J"&amp;ROW()))</f>
      </c>
      <c r="J287" s="59" t="str" cm="1">
        <f t="array" aca="true" ref="J287" ca="true">IF(INDIRECT("E"&amp;ROW())=0,"",IF(INDIRECT("H"&amp;ROW())=INDIRECT("E"&amp;ROW()),"Active","Expired"))</f>
      </c>
    </row>
    <row r="288" spans="9:10">
      <c r="I288" s="59" t="str" cm="1">
        <f t="array" aca="true" ref="I288" ca="true">IF(ISBLANK(INDIRECT("B"&amp;ROW())), "", INDIRECT("B"&amp;ROW()) &amp; " - " &amp; INDIRECT("J"&amp;ROW()))</f>
      </c>
      <c r="J288" s="59" t="str" cm="1">
        <f t="array" aca="true" ref="J288" ca="true">IF(INDIRECT("E"&amp;ROW())=0,"",IF(INDIRECT("H"&amp;ROW())=INDIRECT("E"&amp;ROW()),"Active","Expired"))</f>
      </c>
    </row>
    <row r="289" spans="9:10">
      <c r="I289" s="59" t="str" cm="1">
        <f t="array" aca="true" ref="I289" ca="true">IF(ISBLANK(INDIRECT("B"&amp;ROW())), "", INDIRECT("B"&amp;ROW()) &amp; " - " &amp; INDIRECT("J"&amp;ROW()))</f>
      </c>
      <c r="J289" s="59" t="str" cm="1">
        <f t="array" aca="true" ref="J289" ca="true">IF(INDIRECT("E"&amp;ROW())=0,"",IF(INDIRECT("H"&amp;ROW())=INDIRECT("E"&amp;ROW()),"Active","Expired"))</f>
      </c>
    </row>
    <row r="290" spans="9:10">
      <c r="I290" s="59" t="str" cm="1">
        <f t="array" aca="true" ref="I290" ca="true">IF(ISBLANK(INDIRECT("B"&amp;ROW())), "", INDIRECT("B"&amp;ROW()) &amp; " - " &amp; INDIRECT("J"&amp;ROW()))</f>
      </c>
      <c r="J290" s="59" t="str" cm="1">
        <f t="array" aca="true" ref="J290" ca="true">IF(INDIRECT("E"&amp;ROW())=0,"",IF(INDIRECT("H"&amp;ROW())=INDIRECT("E"&amp;ROW()),"Active","Expired"))</f>
      </c>
    </row>
    <row r="291" spans="9:10">
      <c r="I291" s="59" t="str" cm="1">
        <f t="array" aca="true" ref="I291" ca="true">IF(ISBLANK(INDIRECT("B"&amp;ROW())), "", INDIRECT("B"&amp;ROW()) &amp; " - " &amp; INDIRECT("J"&amp;ROW()))</f>
      </c>
      <c r="J291" s="59" t="str" cm="1">
        <f t="array" aca="true" ref="J291" ca="true">IF(INDIRECT("E"&amp;ROW())=0,"",IF(INDIRECT("H"&amp;ROW())=INDIRECT("E"&amp;ROW()),"Active","Expired"))</f>
      </c>
    </row>
    <row r="292" spans="9:10">
      <c r="I292" s="59" t="str" cm="1">
        <f t="array" aca="true" ref="I292" ca="true">IF(ISBLANK(INDIRECT("B"&amp;ROW())), "", INDIRECT("B"&amp;ROW()) &amp; " - " &amp; INDIRECT("J"&amp;ROW()))</f>
      </c>
      <c r="J292" s="59" t="str" cm="1">
        <f t="array" aca="true" ref="J292" ca="true">IF(INDIRECT("E"&amp;ROW())=0,"",IF(INDIRECT("H"&amp;ROW())=INDIRECT("E"&amp;ROW()),"Active","Expired"))</f>
      </c>
    </row>
    <row r="293" spans="9:10">
      <c r="I293" s="59" t="str" cm="1">
        <f t="array" aca="true" ref="I293" ca="true">IF(ISBLANK(INDIRECT("B"&amp;ROW())), "", INDIRECT("B"&amp;ROW()) &amp; " - " &amp; INDIRECT("J"&amp;ROW()))</f>
      </c>
      <c r="J293" s="59" t="str" cm="1">
        <f t="array" aca="true" ref="J293" ca="true">IF(INDIRECT("E"&amp;ROW())=0,"",IF(INDIRECT("H"&amp;ROW())=INDIRECT("E"&amp;ROW()),"Active","Expired"))</f>
      </c>
    </row>
    <row r="294" spans="9:10">
      <c r="I294" s="59" t="str" cm="1">
        <f t="array" aca="true" ref="I294" ca="true">IF(ISBLANK(INDIRECT("B"&amp;ROW())), "", INDIRECT("B"&amp;ROW()) &amp; " - " &amp; INDIRECT("J"&amp;ROW()))</f>
      </c>
      <c r="J294" s="59" t="str" cm="1">
        <f t="array" aca="true" ref="J294" ca="true">IF(INDIRECT("E"&amp;ROW())=0,"",IF(INDIRECT("H"&amp;ROW())=INDIRECT("E"&amp;ROW()),"Active","Expired"))</f>
      </c>
    </row>
    <row r="295" spans="9:10">
      <c r="I295" s="59" t="str" cm="1">
        <f t="array" aca="true" ref="I295" ca="true">IF(ISBLANK(INDIRECT("B"&amp;ROW())), "", INDIRECT("B"&amp;ROW()) &amp; " - " &amp; INDIRECT("J"&amp;ROW()))</f>
      </c>
      <c r="J295" s="59" t="str" cm="1">
        <f t="array" aca="true" ref="J295" ca="true">IF(INDIRECT("E"&amp;ROW())=0,"",IF(INDIRECT("H"&amp;ROW())=INDIRECT("E"&amp;ROW()),"Active","Expired"))</f>
      </c>
    </row>
    <row r="296" spans="9:10">
      <c r="I296" s="59" t="str" cm="1">
        <f t="array" aca="true" ref="I296" ca="true">IF(ISBLANK(INDIRECT("B"&amp;ROW())), "", INDIRECT("B"&amp;ROW()) &amp; " - " &amp; INDIRECT("J"&amp;ROW()))</f>
      </c>
      <c r="J296" s="59" t="str" cm="1">
        <f t="array" aca="true" ref="J296" ca="true">IF(INDIRECT("E"&amp;ROW())=0,"",IF(INDIRECT("H"&amp;ROW())=INDIRECT("E"&amp;ROW()),"Active","Expired"))</f>
      </c>
    </row>
    <row r="297" spans="9:10">
      <c r="I297" s="59" t="str" cm="1">
        <f t="array" aca="true" ref="I297" ca="true">IF(ISBLANK(INDIRECT("B"&amp;ROW())), "", INDIRECT("B"&amp;ROW()) &amp; " - " &amp; INDIRECT("J"&amp;ROW()))</f>
      </c>
      <c r="J297" s="59" t="str" cm="1">
        <f t="array" aca="true" ref="J297" ca="true">IF(INDIRECT("E"&amp;ROW())=0,"",IF(INDIRECT("H"&amp;ROW())=INDIRECT("E"&amp;ROW()),"Active","Expired"))</f>
      </c>
    </row>
    <row r="298" spans="9:10">
      <c r="I298" s="59" t="str" cm="1">
        <f t="array" aca="true" ref="I298" ca="true">IF(ISBLANK(INDIRECT("B"&amp;ROW())), "", INDIRECT("B"&amp;ROW()) &amp; " - " &amp; INDIRECT("J"&amp;ROW()))</f>
      </c>
      <c r="J298" s="59" t="str" cm="1">
        <f t="array" aca="true" ref="J298" ca="true">IF(INDIRECT("E"&amp;ROW())=0,"",IF(INDIRECT("H"&amp;ROW())=INDIRECT("E"&amp;ROW()),"Active","Expired"))</f>
      </c>
    </row>
    <row r="299" spans="9:10">
      <c r="I299" s="59" t="str" cm="1">
        <f t="array" aca="true" ref="I299" ca="true">IF(ISBLANK(INDIRECT("B"&amp;ROW())), "", INDIRECT("B"&amp;ROW()) &amp; " - " &amp; INDIRECT("J"&amp;ROW()))</f>
      </c>
      <c r="J299" s="59" t="str" cm="1">
        <f t="array" aca="true" ref="J299" ca="true">IF(INDIRECT("E"&amp;ROW())=0,"",IF(INDIRECT("H"&amp;ROW())=INDIRECT("E"&amp;ROW()),"Active","Expired"))</f>
      </c>
    </row>
    <row r="300" spans="9:10">
      <c r="I300" s="59" t="str" cm="1">
        <f t="array" aca="true" ref="I300" ca="true">IF(ISBLANK(INDIRECT("B"&amp;ROW())), "", INDIRECT("B"&amp;ROW()) &amp; " - " &amp; INDIRECT("J"&amp;ROW()))</f>
      </c>
      <c r="J300" s="59" t="str" cm="1">
        <f t="array" aca="true" ref="J300" ca="true">IF(INDIRECT("E"&amp;ROW())=0,"",IF(INDIRECT("H"&amp;ROW())=INDIRECT("E"&amp;ROW()),"Active","Expired"))</f>
      </c>
    </row>
    <row r="301" spans="9:10">
      <c r="I301" s="59" t="str" cm="1">
        <f t="array" aca="true" ref="I301" ca="true">IF(ISBLANK(INDIRECT("B"&amp;ROW())), "", INDIRECT("B"&amp;ROW()) &amp; " - " &amp; INDIRECT("J"&amp;ROW()))</f>
      </c>
      <c r="J301" s="59" t="str" cm="1">
        <f t="array" aca="true" ref="J301" ca="true">IF(INDIRECT("E"&amp;ROW())=0,"",IF(INDIRECT("H"&amp;ROW())=INDIRECT("E"&amp;ROW()),"Active","Expired"))</f>
      </c>
    </row>
    <row r="302" spans="9:10">
      <c r="I302" s="59" t="str" cm="1">
        <f t="array" aca="true" ref="I302" ca="true">IF(ISBLANK(INDIRECT("B"&amp;ROW())), "", INDIRECT("B"&amp;ROW()) &amp; " - " &amp; INDIRECT("J"&amp;ROW()))</f>
      </c>
      <c r="J302" s="59" t="str" cm="1">
        <f t="array" aca="true" ref="J302" ca="true">IF(INDIRECT("E"&amp;ROW())=0,"",IF(INDIRECT("H"&amp;ROW())=INDIRECT("E"&amp;ROW()),"Active","Expired"))</f>
      </c>
    </row>
    <row r="303" spans="9:10">
      <c r="I303" s="59" t="str" cm="1">
        <f t="array" aca="true" ref="I303" ca="true">IF(ISBLANK(INDIRECT("B"&amp;ROW())), "", INDIRECT("B"&amp;ROW()) &amp; " - " &amp; INDIRECT("J"&amp;ROW()))</f>
      </c>
      <c r="J303" s="59" t="str" cm="1">
        <f t="array" aca="true" ref="J303" ca="true">IF(INDIRECT("E"&amp;ROW())=0,"",IF(INDIRECT("H"&amp;ROW())=INDIRECT("E"&amp;ROW()),"Active","Expired"))</f>
      </c>
    </row>
    <row r="304" spans="9:10">
      <c r="I304" s="59" t="str" cm="1">
        <f t="array" aca="true" ref="I304" ca="true">IF(ISBLANK(INDIRECT("B"&amp;ROW())), "", INDIRECT("B"&amp;ROW()) &amp; " - " &amp; INDIRECT("J"&amp;ROW()))</f>
      </c>
      <c r="J304" s="59" t="str" cm="1">
        <f t="array" aca="true" ref="J304" ca="true">IF(INDIRECT("E"&amp;ROW())=0,"",IF(INDIRECT("H"&amp;ROW())=INDIRECT("E"&amp;ROW()),"Active","Expired"))</f>
      </c>
    </row>
    <row r="305" spans="9:10">
      <c r="I305" s="59" t="str" cm="1">
        <f t="array" aca="true" ref="I305" ca="true">IF(ISBLANK(INDIRECT("B"&amp;ROW())), "", INDIRECT("B"&amp;ROW()) &amp; " - " &amp; INDIRECT("J"&amp;ROW()))</f>
      </c>
      <c r="J305" s="59" t="str" cm="1">
        <f t="array" aca="true" ref="J305" ca="true">IF(INDIRECT("E"&amp;ROW())=0,"",IF(INDIRECT("H"&amp;ROW())=INDIRECT("E"&amp;ROW()),"Active","Expired"))</f>
      </c>
    </row>
    <row r="306" spans="9:10">
      <c r="I306" s="59" t="str" cm="1">
        <f t="array" aca="true" ref="I306" ca="true">IF(ISBLANK(INDIRECT("B"&amp;ROW())), "", INDIRECT("B"&amp;ROW()) &amp; " - " &amp; INDIRECT("J"&amp;ROW()))</f>
      </c>
      <c r="J306" s="59" t="str" cm="1">
        <f t="array" aca="true" ref="J306" ca="true">IF(INDIRECT("E"&amp;ROW())=0,"",IF(INDIRECT("H"&amp;ROW())=INDIRECT("E"&amp;ROW()),"Active","Expired"))</f>
      </c>
    </row>
    <row r="307" spans="9:10">
      <c r="I307" s="59" t="str" cm="1">
        <f t="array" aca="true" ref="I307" ca="true">IF(ISBLANK(INDIRECT("B"&amp;ROW())), "", INDIRECT("B"&amp;ROW()) &amp; " - " &amp; INDIRECT("J"&amp;ROW()))</f>
      </c>
      <c r="J307" s="59" t="str" cm="1">
        <f t="array" aca="true" ref="J307" ca="true">IF(INDIRECT("E"&amp;ROW())=0,"",IF(INDIRECT("H"&amp;ROW())=INDIRECT("E"&amp;ROW()),"Active","Expired"))</f>
      </c>
    </row>
    <row r="308" spans="9:10">
      <c r="I308" s="59" t="str" cm="1">
        <f t="array" aca="true" ref="I308" ca="true">IF(ISBLANK(INDIRECT("B"&amp;ROW())), "", INDIRECT("B"&amp;ROW()) &amp; " - " &amp; INDIRECT("J"&amp;ROW()))</f>
      </c>
      <c r="J308" s="59" t="str" cm="1">
        <f t="array" aca="true" ref="J308" ca="true">IF(INDIRECT("E"&amp;ROW())=0,"",IF(INDIRECT("H"&amp;ROW())=INDIRECT("E"&amp;ROW()),"Active","Expired"))</f>
      </c>
    </row>
    <row r="309" spans="9:10">
      <c r="I309" s="59" t="str" cm="1">
        <f t="array" aca="true" ref="I309" ca="true">IF(ISBLANK(INDIRECT("B"&amp;ROW())), "", INDIRECT("B"&amp;ROW()) &amp; " - " &amp; INDIRECT("J"&amp;ROW()))</f>
      </c>
      <c r="J309" s="59" t="str" cm="1">
        <f t="array" aca="true" ref="J309" ca="true">IF(INDIRECT("E"&amp;ROW())=0,"",IF(INDIRECT("H"&amp;ROW())=INDIRECT("E"&amp;ROW()),"Active","Expired"))</f>
      </c>
    </row>
    <row r="310" spans="9:10">
      <c r="I310" s="59" t="str" cm="1">
        <f t="array" aca="true" ref="I310" ca="true">IF(ISBLANK(INDIRECT("B"&amp;ROW())), "", INDIRECT("B"&amp;ROW()) &amp; " - " &amp; INDIRECT("J"&amp;ROW()))</f>
      </c>
      <c r="J310" s="59" t="str" cm="1">
        <f t="array" aca="true" ref="J310" ca="true">IF(INDIRECT("E"&amp;ROW())=0,"",IF(INDIRECT("H"&amp;ROW())=INDIRECT("E"&amp;ROW()),"Active","Expired"))</f>
      </c>
    </row>
    <row r="311" spans="9:10">
      <c r="I311" s="59" t="str" cm="1">
        <f t="array" aca="true" ref="I311" ca="true">IF(ISBLANK(INDIRECT("B"&amp;ROW())), "", INDIRECT("B"&amp;ROW()) &amp; " - " &amp; INDIRECT("J"&amp;ROW()))</f>
      </c>
      <c r="J311" s="59" t="str" cm="1">
        <f t="array" aca="true" ref="J311" ca="true">IF(INDIRECT("E"&amp;ROW())=0,"",IF(INDIRECT("H"&amp;ROW())=INDIRECT("E"&amp;ROW()),"Active","Expired"))</f>
      </c>
    </row>
    <row r="312" spans="9:10">
      <c r="I312" s="59" t="str" cm="1">
        <f t="array" aca="true" ref="I312" ca="true">IF(ISBLANK(INDIRECT("B"&amp;ROW())), "", INDIRECT("B"&amp;ROW()) &amp; " - " &amp; INDIRECT("J"&amp;ROW()))</f>
      </c>
      <c r="J312" s="59" t="str" cm="1">
        <f t="array" aca="true" ref="J312" ca="true">IF(INDIRECT("E"&amp;ROW())=0,"",IF(INDIRECT("H"&amp;ROW())=INDIRECT("E"&amp;ROW()),"Active","Expired"))</f>
      </c>
    </row>
    <row r="313" spans="9:10">
      <c r="I313" s="59" t="str" cm="1">
        <f t="array" aca="true" ref="I313" ca="true">IF(ISBLANK(INDIRECT("B"&amp;ROW())), "", INDIRECT("B"&amp;ROW()) &amp; " - " &amp; INDIRECT("J"&amp;ROW()))</f>
      </c>
      <c r="J313" s="59" t="str" cm="1">
        <f t="array" aca="true" ref="J313" ca="true">IF(INDIRECT("E"&amp;ROW())=0,"",IF(INDIRECT("H"&amp;ROW())=INDIRECT("E"&amp;ROW()),"Active","Expired"))</f>
      </c>
    </row>
    <row r="314" spans="9:10">
      <c r="I314" s="59" t="str" cm="1">
        <f t="array" aca="true" ref="I314" ca="true">IF(ISBLANK(INDIRECT("B"&amp;ROW())), "", INDIRECT("B"&amp;ROW()) &amp; " - " &amp; INDIRECT("J"&amp;ROW()))</f>
      </c>
      <c r="J314" s="59" t="str" cm="1">
        <f t="array" aca="true" ref="J314" ca="true">IF(INDIRECT("E"&amp;ROW())=0,"",IF(INDIRECT("H"&amp;ROW())=INDIRECT("E"&amp;ROW()),"Active","Expired"))</f>
      </c>
    </row>
    <row r="315" spans="9:10">
      <c r="I315" s="59" t="str" cm="1">
        <f t="array" aca="true" ref="I315" ca="true">IF(ISBLANK(INDIRECT("B"&amp;ROW())), "", INDIRECT("B"&amp;ROW()) &amp; " - " &amp; INDIRECT("J"&amp;ROW()))</f>
      </c>
      <c r="J315" s="59" t="str" cm="1">
        <f t="array" aca="true" ref="J315" ca="true">IF(INDIRECT("E"&amp;ROW())=0,"",IF(INDIRECT("H"&amp;ROW())=INDIRECT("E"&amp;ROW()),"Active","Expired"))</f>
      </c>
    </row>
    <row r="316" spans="9:10">
      <c r="I316" s="59" t="str" cm="1">
        <f t="array" aca="true" ref="I316" ca="true">IF(ISBLANK(INDIRECT("B"&amp;ROW())), "", INDIRECT("B"&amp;ROW()) &amp; " - " &amp; INDIRECT("J"&amp;ROW()))</f>
      </c>
      <c r="J316" s="59" t="str" cm="1">
        <f t="array" aca="true" ref="J316" ca="true">IF(INDIRECT("E"&amp;ROW())=0,"",IF(INDIRECT("H"&amp;ROW())=INDIRECT("E"&amp;ROW()),"Active","Expired"))</f>
      </c>
    </row>
    <row r="317" spans="9:10">
      <c r="I317" s="59" t="str" cm="1">
        <f t="array" aca="true" ref="I317" ca="true">IF(ISBLANK(INDIRECT("B"&amp;ROW())), "", INDIRECT("B"&amp;ROW()) &amp; " - " &amp; INDIRECT("J"&amp;ROW()))</f>
      </c>
      <c r="J317" s="59" t="str" cm="1">
        <f t="array" aca="true" ref="J317" ca="true">IF(INDIRECT("E"&amp;ROW())=0,"",IF(INDIRECT("H"&amp;ROW())=INDIRECT("E"&amp;ROW()),"Active","Expired"))</f>
      </c>
    </row>
    <row r="318" spans="9:10">
      <c r="I318" s="59" t="str" cm="1">
        <f t="array" aca="true" ref="I318" ca="true">IF(ISBLANK(INDIRECT("B"&amp;ROW())), "", INDIRECT("B"&amp;ROW()) &amp; " - " &amp; INDIRECT("J"&amp;ROW()))</f>
      </c>
      <c r="J318" s="59" t="str" cm="1">
        <f t="array" aca="true" ref="J318" ca="true">IF(INDIRECT("E"&amp;ROW())=0,"",IF(INDIRECT("H"&amp;ROW())=INDIRECT("E"&amp;ROW()),"Active","Expired"))</f>
      </c>
    </row>
    <row r="319" spans="9:10">
      <c r="I319" s="59" t="str" cm="1">
        <f t="array" aca="true" ref="I319" ca="true">IF(ISBLANK(INDIRECT("B"&amp;ROW())), "", INDIRECT("B"&amp;ROW()) &amp; " - " &amp; INDIRECT("J"&amp;ROW()))</f>
      </c>
      <c r="J319" s="59" t="str" cm="1">
        <f t="array" aca="true" ref="J319" ca="true">IF(INDIRECT("E"&amp;ROW())=0,"",IF(INDIRECT("H"&amp;ROW())=INDIRECT("E"&amp;ROW()),"Active","Expired"))</f>
      </c>
    </row>
    <row r="320" spans="9:10">
      <c r="I320" s="59" t="str" cm="1">
        <f t="array" aca="true" ref="I320" ca="true">IF(ISBLANK(INDIRECT("B"&amp;ROW())), "", INDIRECT("B"&amp;ROW()) &amp; " - " &amp; INDIRECT("J"&amp;ROW()))</f>
      </c>
      <c r="J320" s="59" t="str" cm="1">
        <f t="array" aca="true" ref="J320" ca="true">IF(INDIRECT("E"&amp;ROW())=0,"",IF(INDIRECT("H"&amp;ROW())=INDIRECT("E"&amp;ROW()),"Active","Expired"))</f>
      </c>
    </row>
    <row r="321" spans="9:10">
      <c r="I321" s="59" t="str" cm="1">
        <f t="array" aca="true" ref="I321" ca="true">IF(ISBLANK(INDIRECT("B"&amp;ROW())), "", INDIRECT("B"&amp;ROW()) &amp; " - " &amp; INDIRECT("J"&amp;ROW()))</f>
      </c>
      <c r="J321" s="59" t="str" cm="1">
        <f t="array" aca="true" ref="J321" ca="true">IF(INDIRECT("E"&amp;ROW())=0,"",IF(INDIRECT("H"&amp;ROW())=INDIRECT("E"&amp;ROW()),"Active","Expired"))</f>
      </c>
    </row>
    <row r="322" spans="9:10">
      <c r="I322" s="59" t="str" cm="1">
        <f t="array" aca="true" ref="I322" ca="true">IF(ISBLANK(INDIRECT("B"&amp;ROW())), "", INDIRECT("B"&amp;ROW()) &amp; " - " &amp; INDIRECT("J"&amp;ROW()))</f>
      </c>
      <c r="J322" s="59" t="str" cm="1">
        <f t="array" aca="true" ref="J322" ca="true">IF(INDIRECT("E"&amp;ROW())=0,"",IF(INDIRECT("H"&amp;ROW())=INDIRECT("E"&amp;ROW()),"Active","Expired"))</f>
      </c>
    </row>
    <row r="323" spans="9:10">
      <c r="I323" s="59" t="str" cm="1">
        <f t="array" aca="true" ref="I323" ca="true">IF(ISBLANK(INDIRECT("B"&amp;ROW())), "", INDIRECT("B"&amp;ROW()) &amp; " - " &amp; INDIRECT("J"&amp;ROW()))</f>
      </c>
      <c r="J323" s="59" t="str" cm="1">
        <f t="array" aca="true" ref="J323" ca="true">IF(INDIRECT("E"&amp;ROW())=0,"",IF(INDIRECT("H"&amp;ROW())=INDIRECT("E"&amp;ROW()),"Active","Expired"))</f>
      </c>
    </row>
    <row r="324" spans="9:10">
      <c r="I324" s="59" t="str" cm="1">
        <f t="array" aca="true" ref="I324" ca="true">IF(ISBLANK(INDIRECT("B"&amp;ROW())), "", INDIRECT("B"&amp;ROW()) &amp; " - " &amp; INDIRECT("J"&amp;ROW()))</f>
      </c>
      <c r="J324" s="59" t="str" cm="1">
        <f t="array" aca="true" ref="J324" ca="true">IF(INDIRECT("E"&amp;ROW())=0,"",IF(INDIRECT("H"&amp;ROW())=INDIRECT("E"&amp;ROW()),"Active","Expired"))</f>
      </c>
    </row>
    <row r="325" spans="9:10">
      <c r="I325" s="59" t="str" cm="1">
        <f t="array" aca="true" ref="I325" ca="true">IF(ISBLANK(INDIRECT("B"&amp;ROW())), "", INDIRECT("B"&amp;ROW()) &amp; " - " &amp; INDIRECT("J"&amp;ROW()))</f>
      </c>
      <c r="J325" s="59" t="str" cm="1">
        <f t="array" aca="true" ref="J325" ca="true">IF(INDIRECT("E"&amp;ROW())=0,"",IF(INDIRECT("H"&amp;ROW())=INDIRECT("E"&amp;ROW()),"Active","Expired"))</f>
      </c>
    </row>
    <row r="326" spans="9:10">
      <c r="I326" s="59" t="str" cm="1">
        <f t="array" aca="true" ref="I326" ca="true">IF(ISBLANK(INDIRECT("B"&amp;ROW())), "", INDIRECT("B"&amp;ROW()) &amp; " - " &amp; INDIRECT("J"&amp;ROW()))</f>
      </c>
      <c r="J326" s="59" t="str" cm="1">
        <f t="array" aca="true" ref="J326" ca="true">IF(INDIRECT("E"&amp;ROW())=0,"",IF(INDIRECT("H"&amp;ROW())=INDIRECT("E"&amp;ROW()),"Active","Expired"))</f>
      </c>
    </row>
    <row r="327" spans="9:10">
      <c r="I327" s="59" t="str" cm="1">
        <f t="array" aca="true" ref="I327" ca="true">IF(ISBLANK(INDIRECT("B"&amp;ROW())), "", INDIRECT("B"&amp;ROW()) &amp; " - " &amp; INDIRECT("J"&amp;ROW()))</f>
      </c>
      <c r="J327" s="59" t="str" cm="1">
        <f t="array" aca="true" ref="J327" ca="true">IF(INDIRECT("E"&amp;ROW())=0,"",IF(INDIRECT("H"&amp;ROW())=INDIRECT("E"&amp;ROW()),"Active","Expired"))</f>
      </c>
    </row>
    <row r="328" spans="9:10">
      <c r="I328" s="59" t="str" cm="1">
        <f t="array" aca="true" ref="I328" ca="true">IF(ISBLANK(INDIRECT("B"&amp;ROW())), "", INDIRECT("B"&amp;ROW()) &amp; " - " &amp; INDIRECT("J"&amp;ROW()))</f>
      </c>
      <c r="J328" s="59" t="str" cm="1">
        <f t="array" aca="true" ref="J328" ca="true">IF(INDIRECT("E"&amp;ROW())=0,"",IF(INDIRECT("H"&amp;ROW())=INDIRECT("E"&amp;ROW()),"Active","Expired"))</f>
      </c>
    </row>
    <row r="329" spans="9:10">
      <c r="I329" s="59" t="str" cm="1">
        <f t="array" aca="true" ref="I329" ca="true">IF(ISBLANK(INDIRECT("B"&amp;ROW())), "", INDIRECT("B"&amp;ROW()) &amp; " - " &amp; INDIRECT("J"&amp;ROW()))</f>
      </c>
      <c r="J329" s="59" t="str" cm="1">
        <f t="array" aca="true" ref="J329" ca="true">IF(INDIRECT("E"&amp;ROW())=0,"",IF(INDIRECT("H"&amp;ROW())=INDIRECT("E"&amp;ROW()),"Active","Expired"))</f>
      </c>
    </row>
    <row r="330" spans="9:10">
      <c r="I330" s="59" t="str" cm="1">
        <f t="array" aca="true" ref="I330" ca="true">IF(ISBLANK(INDIRECT("B"&amp;ROW())), "", INDIRECT("B"&amp;ROW()) &amp; " - " &amp; INDIRECT("J"&amp;ROW()))</f>
      </c>
      <c r="J330" s="59" t="str" cm="1">
        <f t="array" aca="true" ref="J330" ca="true">IF(INDIRECT("E"&amp;ROW())=0,"",IF(INDIRECT("H"&amp;ROW())=INDIRECT("E"&amp;ROW()),"Active","Expired"))</f>
      </c>
    </row>
    <row r="331" spans="9:10">
      <c r="I331" s="59" t="str" cm="1">
        <f t="array" aca="true" ref="I331" ca="true">IF(ISBLANK(INDIRECT("B"&amp;ROW())), "", INDIRECT("B"&amp;ROW()) &amp; " - " &amp; INDIRECT("J"&amp;ROW()))</f>
      </c>
      <c r="J331" s="59" t="str" cm="1">
        <f t="array" aca="true" ref="J331" ca="true">IF(INDIRECT("E"&amp;ROW())=0,"",IF(INDIRECT("H"&amp;ROW())=INDIRECT("E"&amp;ROW()),"Active","Expired"))</f>
      </c>
    </row>
    <row r="332" spans="9:10">
      <c r="I332" s="59" t="str" cm="1">
        <f t="array" aca="true" ref="I332" ca="true">IF(ISBLANK(INDIRECT("B"&amp;ROW())), "", INDIRECT("B"&amp;ROW()) &amp; " - " &amp; INDIRECT("J"&amp;ROW()))</f>
      </c>
      <c r="J332" s="59" t="str" cm="1">
        <f t="array" aca="true" ref="J332" ca="true">IF(INDIRECT("E"&amp;ROW())=0,"",IF(INDIRECT("H"&amp;ROW())=INDIRECT("E"&amp;ROW()),"Active","Expired"))</f>
      </c>
    </row>
    <row r="333" spans="9:10">
      <c r="I333" s="59" t="str" cm="1">
        <f t="array" aca="true" ref="I333" ca="true">IF(ISBLANK(INDIRECT("B"&amp;ROW())), "", INDIRECT("B"&amp;ROW()) &amp; " - " &amp; INDIRECT("J"&amp;ROW()))</f>
      </c>
      <c r="J333" s="59" t="str" cm="1">
        <f t="array" aca="true" ref="J333" ca="true">IF(INDIRECT("E"&amp;ROW())=0,"",IF(INDIRECT("H"&amp;ROW())=INDIRECT("E"&amp;ROW()),"Active","Expired"))</f>
      </c>
    </row>
    <row r="334" spans="9:10">
      <c r="I334" s="59" t="str" cm="1">
        <f t="array" aca="true" ref="I334" ca="true">IF(ISBLANK(INDIRECT("B"&amp;ROW())), "", INDIRECT("B"&amp;ROW()) &amp; " - " &amp; INDIRECT("J"&amp;ROW()))</f>
      </c>
      <c r="J334" s="59" t="str" cm="1">
        <f t="array" aca="true" ref="J334" ca="true">IF(INDIRECT("E"&amp;ROW())=0,"",IF(INDIRECT("H"&amp;ROW())=INDIRECT("E"&amp;ROW()),"Active","Expired"))</f>
      </c>
    </row>
    <row r="335" spans="9:10">
      <c r="I335" s="59" t="str" cm="1">
        <f t="array" aca="true" ref="I335" ca="true">IF(ISBLANK(INDIRECT("B"&amp;ROW())), "", INDIRECT("B"&amp;ROW()) &amp; " - " &amp; INDIRECT("J"&amp;ROW()))</f>
      </c>
      <c r="J335" s="59" t="str" cm="1">
        <f t="array" aca="true" ref="J335" ca="true">IF(INDIRECT("E"&amp;ROW())=0,"",IF(INDIRECT("H"&amp;ROW())=INDIRECT("E"&amp;ROW()),"Active","Expired"))</f>
      </c>
    </row>
    <row r="336" spans="9:10">
      <c r="I336" s="59" t="str" cm="1">
        <f t="array" aca="true" ref="I336" ca="true">IF(ISBLANK(INDIRECT("B"&amp;ROW())), "", INDIRECT("B"&amp;ROW()) &amp; " - " &amp; INDIRECT("J"&amp;ROW()))</f>
      </c>
      <c r="J336" s="59" t="str" cm="1">
        <f t="array" aca="true" ref="J336" ca="true">IF(INDIRECT("E"&amp;ROW())=0,"",IF(INDIRECT("H"&amp;ROW())=INDIRECT("E"&amp;ROW()),"Active","Expired"))</f>
      </c>
    </row>
    <row r="337" spans="9:10">
      <c r="I337" s="59" t="str" cm="1">
        <f t="array" aca="true" ref="I337" ca="true">IF(ISBLANK(INDIRECT("B"&amp;ROW())), "", INDIRECT("B"&amp;ROW()) &amp; " - " &amp; INDIRECT("J"&amp;ROW()))</f>
      </c>
      <c r="J337" s="59" t="str" cm="1">
        <f t="array" aca="true" ref="J337" ca="true">IF(INDIRECT("E"&amp;ROW())=0,"",IF(INDIRECT("H"&amp;ROW())=INDIRECT("E"&amp;ROW()),"Active","Expired"))</f>
      </c>
    </row>
    <row r="338" spans="9:10">
      <c r="I338" s="59" t="str" cm="1">
        <f t="array" aca="true" ref="I338" ca="true">IF(ISBLANK(INDIRECT("B"&amp;ROW())), "", INDIRECT("B"&amp;ROW()) &amp; " - " &amp; INDIRECT("J"&amp;ROW()))</f>
      </c>
      <c r="J338" s="59" t="str" cm="1">
        <f t="array" aca="true" ref="J338" ca="true">IF(INDIRECT("E"&amp;ROW())=0,"",IF(INDIRECT("H"&amp;ROW())=INDIRECT("E"&amp;ROW()),"Active","Expired"))</f>
      </c>
    </row>
    <row r="339" spans="9:10">
      <c r="I339" s="59" t="str" cm="1">
        <f t="array" aca="true" ref="I339" ca="true">IF(ISBLANK(INDIRECT("B"&amp;ROW())), "", INDIRECT("B"&amp;ROW()) &amp; " - " &amp; INDIRECT("J"&amp;ROW()))</f>
      </c>
      <c r="J339" s="59" t="str" cm="1">
        <f t="array" aca="true" ref="J339" ca="true">IF(INDIRECT("E"&amp;ROW())=0,"",IF(INDIRECT("H"&amp;ROW())=INDIRECT("E"&amp;ROW()),"Active","Expired"))</f>
      </c>
    </row>
    <row r="340" spans="9:10">
      <c r="I340" s="59" t="str" cm="1">
        <f t="array" aca="true" ref="I340" ca="true">IF(ISBLANK(INDIRECT("B"&amp;ROW())), "", INDIRECT("B"&amp;ROW()) &amp; " - " &amp; INDIRECT("J"&amp;ROW()))</f>
      </c>
      <c r="J340" s="59" t="str" cm="1">
        <f t="array" aca="true" ref="J340" ca="true">IF(INDIRECT("E"&amp;ROW())=0,"",IF(INDIRECT("H"&amp;ROW())=INDIRECT("E"&amp;ROW()),"Active","Expired"))</f>
      </c>
    </row>
    <row r="341" spans="9:10">
      <c r="I341" s="59" t="str" cm="1">
        <f t="array" aca="true" ref="I341" ca="true">IF(ISBLANK(INDIRECT("B"&amp;ROW())), "", INDIRECT("B"&amp;ROW()) &amp; " - " &amp; INDIRECT("J"&amp;ROW()))</f>
      </c>
      <c r="J341" s="59" t="str" cm="1">
        <f t="array" aca="true" ref="J341" ca="true">IF(INDIRECT("E"&amp;ROW())=0,"",IF(INDIRECT("H"&amp;ROW())=INDIRECT("E"&amp;ROW()),"Active","Expired"))</f>
      </c>
    </row>
    <row r="342" spans="9:10">
      <c r="I342" s="59" t="str" cm="1">
        <f t="array" aca="true" ref="I342" ca="true">IF(ISBLANK(INDIRECT("B"&amp;ROW())), "", INDIRECT("B"&amp;ROW()) &amp; " - " &amp; INDIRECT("J"&amp;ROW()))</f>
      </c>
      <c r="J342" s="59" t="str" cm="1">
        <f t="array" aca="true" ref="J342" ca="true">IF(INDIRECT("E"&amp;ROW())=0,"",IF(INDIRECT("H"&amp;ROW())=INDIRECT("E"&amp;ROW()),"Active","Expired"))</f>
      </c>
    </row>
    <row r="343" spans="9:10">
      <c r="I343" s="59" t="str" cm="1">
        <f t="array" aca="true" ref="I343" ca="true">IF(ISBLANK(INDIRECT("B"&amp;ROW())), "", INDIRECT("B"&amp;ROW()) &amp; " - " &amp; INDIRECT("J"&amp;ROW()))</f>
      </c>
      <c r="J343" s="59" t="str" cm="1">
        <f t="array" aca="true" ref="J343" ca="true">IF(INDIRECT("E"&amp;ROW())=0,"",IF(INDIRECT("H"&amp;ROW())=INDIRECT("E"&amp;ROW()),"Active","Expired"))</f>
      </c>
    </row>
    <row r="344" spans="9:10">
      <c r="I344" s="59" t="str" cm="1">
        <f t="array" aca="true" ref="I344" ca="true">IF(ISBLANK(INDIRECT("B"&amp;ROW())), "", INDIRECT("B"&amp;ROW()) &amp; " - " &amp; INDIRECT("J"&amp;ROW()))</f>
      </c>
      <c r="J344" s="59" t="str" cm="1">
        <f t="array" aca="true" ref="J344" ca="true">IF(INDIRECT("E"&amp;ROW())=0,"",IF(INDIRECT("H"&amp;ROW())=INDIRECT("E"&amp;ROW()),"Active","Expired"))</f>
      </c>
    </row>
    <row r="345" spans="9:10">
      <c r="I345" s="59" t="str" cm="1">
        <f t="array" aca="true" ref="I345" ca="true">IF(ISBLANK(INDIRECT("B"&amp;ROW())), "", INDIRECT("B"&amp;ROW()) &amp; " - " &amp; INDIRECT("J"&amp;ROW()))</f>
      </c>
      <c r="J345" s="59" t="str" cm="1">
        <f t="array" aca="true" ref="J345" ca="true">IF(INDIRECT("E"&amp;ROW())=0,"",IF(INDIRECT("H"&amp;ROW())=INDIRECT("E"&amp;ROW()),"Active","Expired"))</f>
      </c>
    </row>
    <row r="346" spans="9:10">
      <c r="I346" s="59" t="str" cm="1">
        <f t="array" aca="true" ref="I346" ca="true">IF(ISBLANK(INDIRECT("B"&amp;ROW())), "", INDIRECT("B"&amp;ROW()) &amp; " - " &amp; INDIRECT("J"&amp;ROW()))</f>
      </c>
      <c r="J346" s="59" t="str" cm="1">
        <f t="array" aca="true" ref="J346" ca="true">IF(INDIRECT("E"&amp;ROW())=0,"",IF(INDIRECT("H"&amp;ROW())=INDIRECT("E"&amp;ROW()),"Active","Expired"))</f>
      </c>
    </row>
    <row r="347" spans="9:10">
      <c r="I347" s="59" t="str" cm="1">
        <f t="array" aca="true" ref="I347" ca="true">IF(ISBLANK(INDIRECT("B"&amp;ROW())), "", INDIRECT("B"&amp;ROW()) &amp; " - " &amp; INDIRECT("J"&amp;ROW()))</f>
      </c>
      <c r="J347" s="59" t="str" cm="1">
        <f t="array" aca="true" ref="J347" ca="true">IF(INDIRECT("E"&amp;ROW())=0,"",IF(INDIRECT("H"&amp;ROW())=INDIRECT("E"&amp;ROW()),"Active","Expired"))</f>
      </c>
    </row>
    <row r="348" spans="9:10">
      <c r="I348" s="59" t="str" cm="1">
        <f t="array" aca="true" ref="I348" ca="true">IF(ISBLANK(INDIRECT("B"&amp;ROW())), "", INDIRECT("B"&amp;ROW()) &amp; " - " &amp; INDIRECT("J"&amp;ROW()))</f>
      </c>
      <c r="J348" s="59" t="str" cm="1">
        <f t="array" aca="true" ref="J348" ca="true">IF(INDIRECT("E"&amp;ROW())=0,"",IF(INDIRECT("H"&amp;ROW())=INDIRECT("E"&amp;ROW()),"Active","Expired"))</f>
      </c>
    </row>
    <row r="349" spans="9:10">
      <c r="I349" s="59" t="str" cm="1">
        <f t="array" aca="true" ref="I349" ca="true">IF(ISBLANK(INDIRECT("B"&amp;ROW())), "", INDIRECT("B"&amp;ROW()) &amp; " - " &amp; INDIRECT("J"&amp;ROW()))</f>
      </c>
      <c r="J349" s="59" t="str" cm="1">
        <f t="array" aca="true" ref="J349" ca="true">IF(INDIRECT("E"&amp;ROW())=0,"",IF(INDIRECT("H"&amp;ROW())=INDIRECT("E"&amp;ROW()),"Active","Expired"))</f>
      </c>
    </row>
    <row r="350" spans="9:10">
      <c r="I350" s="59" t="str" cm="1">
        <f t="array" aca="true" ref="I350" ca="true">IF(ISBLANK(INDIRECT("B"&amp;ROW())), "", INDIRECT("B"&amp;ROW()) &amp; " - " &amp; INDIRECT("J"&amp;ROW()))</f>
      </c>
      <c r="J350" s="59" t="str" cm="1">
        <f t="array" aca="true" ref="J350" ca="true">IF(INDIRECT("E"&amp;ROW())=0,"",IF(INDIRECT("H"&amp;ROW())=INDIRECT("E"&amp;ROW()),"Active","Expired"))</f>
      </c>
    </row>
    <row r="351" spans="9:10">
      <c r="I351" s="59" t="str" cm="1">
        <f t="array" aca="true" ref="I351" ca="true">IF(ISBLANK(INDIRECT("B"&amp;ROW())), "", INDIRECT("B"&amp;ROW()) &amp; " - " &amp; INDIRECT("J"&amp;ROW()))</f>
      </c>
      <c r="J351" s="59" t="str" cm="1">
        <f t="array" aca="true" ref="J351" ca="true">IF(INDIRECT("E"&amp;ROW())=0,"",IF(INDIRECT("H"&amp;ROW())=INDIRECT("E"&amp;ROW()),"Active","Expired"))</f>
      </c>
    </row>
    <row r="352" spans="9:10">
      <c r="I352" s="59" t="str" cm="1">
        <f t="array" aca="true" ref="I352" ca="true">IF(ISBLANK(INDIRECT("B"&amp;ROW())), "", INDIRECT("B"&amp;ROW()) &amp; " - " &amp; INDIRECT("J"&amp;ROW()))</f>
      </c>
      <c r="J352" s="59" t="str" cm="1">
        <f t="array" aca="true" ref="J352" ca="true">IF(INDIRECT("E"&amp;ROW())=0,"",IF(INDIRECT("H"&amp;ROW())=INDIRECT("E"&amp;ROW()),"Active","Expired"))</f>
      </c>
    </row>
    <row r="353" spans="9:10">
      <c r="I353" s="59" t="str" cm="1">
        <f t="array" aca="true" ref="I353" ca="true">IF(ISBLANK(INDIRECT("B"&amp;ROW())), "", INDIRECT("B"&amp;ROW()) &amp; " - " &amp; INDIRECT("J"&amp;ROW()))</f>
      </c>
      <c r="J353" s="59" t="str" cm="1">
        <f t="array" aca="true" ref="J353" ca="true">IF(INDIRECT("E"&amp;ROW())=0,"",IF(INDIRECT("H"&amp;ROW())=INDIRECT("E"&amp;ROW()),"Active","Expired"))</f>
      </c>
    </row>
    <row r="354" spans="9:10">
      <c r="I354" s="59" t="str" cm="1">
        <f t="array" aca="true" ref="I354" ca="true">IF(ISBLANK(INDIRECT("B"&amp;ROW())), "", INDIRECT("B"&amp;ROW()) &amp; " - " &amp; INDIRECT("J"&amp;ROW()))</f>
      </c>
      <c r="J354" s="59" t="str" cm="1">
        <f t="array" aca="true" ref="J354" ca="true">IF(INDIRECT("E"&amp;ROW())=0,"",IF(INDIRECT("H"&amp;ROW())=INDIRECT("E"&amp;ROW()),"Active","Expired"))</f>
      </c>
    </row>
    <row r="355" spans="9:10">
      <c r="I355" s="59" t="str" cm="1">
        <f t="array" aca="true" ref="I355" ca="true">IF(ISBLANK(INDIRECT("B"&amp;ROW())), "", INDIRECT("B"&amp;ROW()) &amp; " - " &amp; INDIRECT("J"&amp;ROW()))</f>
      </c>
      <c r="J355" s="59" t="str" cm="1">
        <f t="array" aca="true" ref="J355" ca="true">IF(INDIRECT("E"&amp;ROW())=0,"",IF(INDIRECT("H"&amp;ROW())=INDIRECT("E"&amp;ROW()),"Active","Expired"))</f>
      </c>
    </row>
    <row r="356" spans="9:10">
      <c r="I356" s="59" t="str" cm="1">
        <f t="array" aca="true" ref="I356" ca="true">IF(ISBLANK(INDIRECT("B"&amp;ROW())), "", INDIRECT("B"&amp;ROW()) &amp; " - " &amp; INDIRECT("J"&amp;ROW()))</f>
      </c>
      <c r="J356" s="59" t="str" cm="1">
        <f t="array" aca="true" ref="J356" ca="true">IF(INDIRECT("E"&amp;ROW())=0,"",IF(INDIRECT("H"&amp;ROW())=INDIRECT("E"&amp;ROW()),"Active","Expired"))</f>
      </c>
    </row>
    <row r="357" spans="9:10">
      <c r="I357" s="59" t="str" cm="1">
        <f t="array" aca="true" ref="I357" ca="true">IF(ISBLANK(INDIRECT("B"&amp;ROW())), "", INDIRECT("B"&amp;ROW()) &amp; " - " &amp; INDIRECT("J"&amp;ROW()))</f>
      </c>
      <c r="J357" s="59" t="str" cm="1">
        <f t="array" aca="true" ref="J357" ca="true">IF(INDIRECT("E"&amp;ROW())=0,"",IF(INDIRECT("H"&amp;ROW())=INDIRECT("E"&amp;ROW()),"Active","Expired"))</f>
      </c>
    </row>
    <row r="358" spans="9:10">
      <c r="I358" s="59" t="str" cm="1">
        <f t="array" aca="true" ref="I358" ca="true">IF(ISBLANK(INDIRECT("B"&amp;ROW())), "", INDIRECT("B"&amp;ROW()) &amp; " - " &amp; INDIRECT("J"&amp;ROW()))</f>
      </c>
      <c r="J358" s="59" t="str" cm="1">
        <f t="array" aca="true" ref="J358" ca="true">IF(INDIRECT("E"&amp;ROW())=0,"",IF(INDIRECT("H"&amp;ROW())=INDIRECT("E"&amp;ROW()),"Active","Expired"))</f>
      </c>
    </row>
    <row r="359" spans="9:10">
      <c r="I359" s="59" t="str" cm="1">
        <f t="array" aca="true" ref="I359" ca="true">IF(ISBLANK(INDIRECT("B"&amp;ROW())), "", INDIRECT("B"&amp;ROW()) &amp; " - " &amp; INDIRECT("J"&amp;ROW()))</f>
      </c>
      <c r="J359" s="59" t="str" cm="1">
        <f t="array" aca="true" ref="J359" ca="true">IF(INDIRECT("E"&amp;ROW())=0,"",IF(INDIRECT("H"&amp;ROW())=INDIRECT("E"&amp;ROW()),"Active","Expired"))</f>
      </c>
    </row>
    <row r="360" spans="9:10">
      <c r="I360" s="59" t="str" cm="1">
        <f t="array" aca="true" ref="I360" ca="true">IF(ISBLANK(INDIRECT("B"&amp;ROW())), "", INDIRECT("B"&amp;ROW()) &amp; " - " &amp; INDIRECT("J"&amp;ROW()))</f>
      </c>
      <c r="J360" s="59" t="str" cm="1">
        <f t="array" aca="true" ref="J360" ca="true">IF(INDIRECT("E"&amp;ROW())=0,"",IF(INDIRECT("H"&amp;ROW())=INDIRECT("E"&amp;ROW()),"Active","Expired"))</f>
      </c>
    </row>
    <row r="361" spans="9:10">
      <c r="I361" s="59" t="str" cm="1">
        <f t="array" aca="true" ref="I361" ca="true">IF(ISBLANK(INDIRECT("B"&amp;ROW())), "", INDIRECT("B"&amp;ROW()) &amp; " - " &amp; INDIRECT("J"&amp;ROW()))</f>
      </c>
      <c r="J361" s="59" t="str" cm="1">
        <f t="array" aca="true" ref="J361" ca="true">IF(INDIRECT("E"&amp;ROW())=0,"",IF(INDIRECT("H"&amp;ROW())=INDIRECT("E"&amp;ROW()),"Active","Expired"))</f>
      </c>
    </row>
    <row r="362" spans="9:10">
      <c r="I362" s="59" t="str" cm="1">
        <f t="array" aca="true" ref="I362" ca="true">IF(ISBLANK(INDIRECT("B"&amp;ROW())), "", INDIRECT("B"&amp;ROW()) &amp; " - " &amp; INDIRECT("J"&amp;ROW()))</f>
      </c>
      <c r="J362" s="59" t="str" cm="1">
        <f t="array" aca="true" ref="J362" ca="true">IF(INDIRECT("E"&amp;ROW())=0,"",IF(INDIRECT("H"&amp;ROW())=INDIRECT("E"&amp;ROW()),"Active","Expired"))</f>
      </c>
    </row>
    <row r="363" spans="9:10">
      <c r="I363" s="59" t="str" cm="1">
        <f t="array" aca="true" ref="I363" ca="true">IF(ISBLANK(INDIRECT("B"&amp;ROW())), "", INDIRECT("B"&amp;ROW()) &amp; " - " &amp; INDIRECT("J"&amp;ROW()))</f>
      </c>
      <c r="J363" s="59" t="str" cm="1">
        <f t="array" aca="true" ref="J363" ca="true">IF(INDIRECT("E"&amp;ROW())=0,"",IF(INDIRECT("H"&amp;ROW())=INDIRECT("E"&amp;ROW()),"Active","Expired"))</f>
      </c>
    </row>
    <row r="364" spans="9:10">
      <c r="I364" s="59" t="str" cm="1">
        <f t="array" aca="true" ref="I364" ca="true">IF(ISBLANK(INDIRECT("B"&amp;ROW())), "", INDIRECT("B"&amp;ROW()) &amp; " - " &amp; INDIRECT("J"&amp;ROW()))</f>
      </c>
      <c r="J364" s="59" t="str" cm="1">
        <f t="array" aca="true" ref="J364" ca="true">IF(INDIRECT("E"&amp;ROW())=0,"",IF(INDIRECT("H"&amp;ROW())=INDIRECT("E"&amp;ROW()),"Active","Expired"))</f>
      </c>
    </row>
    <row r="365" spans="9:10">
      <c r="I365" s="59" t="str" cm="1">
        <f t="array" aca="true" ref="I365" ca="true">IF(ISBLANK(INDIRECT("B"&amp;ROW())), "", INDIRECT("B"&amp;ROW()) &amp; " - " &amp; INDIRECT("J"&amp;ROW()))</f>
      </c>
      <c r="J365" s="59" t="str" cm="1">
        <f t="array" aca="true" ref="J365" ca="true">IF(INDIRECT("E"&amp;ROW())=0,"",IF(INDIRECT("H"&amp;ROW())=INDIRECT("E"&amp;ROW()),"Active","Expired"))</f>
      </c>
    </row>
    <row r="366" spans="9:10">
      <c r="I366" s="59" t="str" cm="1">
        <f t="array" aca="true" ref="I366" ca="true">IF(ISBLANK(INDIRECT("B"&amp;ROW())), "", INDIRECT("B"&amp;ROW()) &amp; " - " &amp; INDIRECT("J"&amp;ROW()))</f>
      </c>
      <c r="J366" s="59" t="str" cm="1">
        <f t="array" aca="true" ref="J366" ca="true">IF(INDIRECT("E"&amp;ROW())=0,"",IF(INDIRECT("H"&amp;ROW())=INDIRECT("E"&amp;ROW()),"Active","Expired"))</f>
      </c>
    </row>
    <row r="367" spans="9:10">
      <c r="I367" s="59" t="str" cm="1">
        <f t="array" aca="true" ref="I367" ca="true">IF(ISBLANK(INDIRECT("B"&amp;ROW())), "", INDIRECT("B"&amp;ROW()) &amp; " - " &amp; INDIRECT("J"&amp;ROW()))</f>
      </c>
      <c r="J367" s="59" t="str" cm="1">
        <f t="array" aca="true" ref="J367" ca="true">IF(INDIRECT("E"&amp;ROW())=0,"",IF(INDIRECT("H"&amp;ROW())=INDIRECT("E"&amp;ROW()),"Active","Expired"))</f>
      </c>
    </row>
    <row r="368" spans="9:10">
      <c r="I368" s="59" t="str" cm="1">
        <f t="array" aca="true" ref="I368" ca="true">IF(ISBLANK(INDIRECT("B"&amp;ROW())), "", INDIRECT("B"&amp;ROW()) &amp; " - " &amp; INDIRECT("J"&amp;ROW()))</f>
      </c>
      <c r="J368" s="59" t="str" cm="1">
        <f t="array" aca="true" ref="J368" ca="true">IF(INDIRECT("E"&amp;ROW())=0,"",IF(INDIRECT("H"&amp;ROW())=INDIRECT("E"&amp;ROW()),"Active","Expired"))</f>
      </c>
    </row>
    <row r="369" spans="9:10">
      <c r="I369" s="59" t="str" cm="1">
        <f t="array" aca="true" ref="I369" ca="true">IF(ISBLANK(INDIRECT("B"&amp;ROW())), "", INDIRECT("B"&amp;ROW()) &amp; " - " &amp; INDIRECT("J"&amp;ROW()))</f>
      </c>
      <c r="J369" s="59" t="str" cm="1">
        <f t="array" aca="true" ref="J369" ca="true">IF(INDIRECT("E"&amp;ROW())=0,"",IF(INDIRECT("H"&amp;ROW())=INDIRECT("E"&amp;ROW()),"Active","Expired"))</f>
      </c>
    </row>
    <row r="370" spans="9:10">
      <c r="I370" s="59" t="str" cm="1">
        <f t="array" aca="true" ref="I370" ca="true">IF(ISBLANK(INDIRECT("B"&amp;ROW())), "", INDIRECT("B"&amp;ROW()) &amp; " - " &amp; INDIRECT("J"&amp;ROW()))</f>
      </c>
      <c r="J370" s="59" t="str" cm="1">
        <f t="array" aca="true" ref="J370" ca="true">IF(INDIRECT("E"&amp;ROW())=0,"",IF(INDIRECT("H"&amp;ROW())=INDIRECT("E"&amp;ROW()),"Active","Expired"))</f>
      </c>
    </row>
    <row r="371" spans="9:10">
      <c r="I371" s="59" t="str" cm="1">
        <f t="array" aca="true" ref="I371" ca="true">IF(ISBLANK(INDIRECT("B"&amp;ROW())), "", INDIRECT("B"&amp;ROW()) &amp; " - " &amp; INDIRECT("J"&amp;ROW()))</f>
      </c>
      <c r="J371" s="59" t="str" cm="1">
        <f t="array" aca="true" ref="J371" ca="true">IF(INDIRECT("E"&amp;ROW())=0,"",IF(INDIRECT("H"&amp;ROW())=INDIRECT("E"&amp;ROW()),"Active","Expired"))</f>
      </c>
    </row>
    <row r="372" spans="9:10">
      <c r="I372" s="59" t="str" cm="1">
        <f t="array" aca="true" ref="I372" ca="true">IF(ISBLANK(INDIRECT("B"&amp;ROW())), "", INDIRECT("B"&amp;ROW()) &amp; " - " &amp; INDIRECT("J"&amp;ROW()))</f>
      </c>
      <c r="J372" s="59" t="str" cm="1">
        <f t="array" aca="true" ref="J372" ca="true">IF(INDIRECT("E"&amp;ROW())=0,"",IF(INDIRECT("H"&amp;ROW())=INDIRECT("E"&amp;ROW()),"Active","Expired"))</f>
      </c>
    </row>
    <row r="373" spans="9:10">
      <c r="I373" s="59" t="str" cm="1">
        <f t="array" aca="true" ref="I373" ca="true">IF(ISBLANK(INDIRECT("B"&amp;ROW())), "", INDIRECT("B"&amp;ROW()) &amp; " - " &amp; INDIRECT("J"&amp;ROW()))</f>
      </c>
      <c r="J373" s="59" t="str" cm="1">
        <f t="array" aca="true" ref="J373" ca="true">IF(INDIRECT("E"&amp;ROW())=0,"",IF(INDIRECT("H"&amp;ROW())=INDIRECT("E"&amp;ROW()),"Active","Expired"))</f>
      </c>
    </row>
    <row r="374" spans="9:10">
      <c r="I374" s="59" t="str" cm="1">
        <f t="array" aca="true" ref="I374" ca="true">IF(ISBLANK(INDIRECT("B"&amp;ROW())), "", INDIRECT("B"&amp;ROW()) &amp; " - " &amp; INDIRECT("J"&amp;ROW()))</f>
      </c>
      <c r="J374" s="59" t="str" cm="1">
        <f t="array" aca="true" ref="J374" ca="true">IF(INDIRECT("E"&amp;ROW())=0,"",IF(INDIRECT("H"&amp;ROW())=INDIRECT("E"&amp;ROW()),"Active","Expired"))</f>
      </c>
    </row>
    <row r="375" spans="9:10">
      <c r="I375" s="59" t="str" cm="1">
        <f t="array" aca="true" ref="I375" ca="true">IF(ISBLANK(INDIRECT("B"&amp;ROW())), "", INDIRECT("B"&amp;ROW()) &amp; " - " &amp; INDIRECT("J"&amp;ROW()))</f>
      </c>
      <c r="J375" s="59" t="str" cm="1">
        <f t="array" aca="true" ref="J375" ca="true">IF(INDIRECT("E"&amp;ROW())=0,"",IF(INDIRECT("H"&amp;ROW())=INDIRECT("E"&amp;ROW()),"Active","Expired"))</f>
      </c>
    </row>
    <row r="376" spans="9:10">
      <c r="I376" s="59" t="str" cm="1">
        <f t="array" aca="true" ref="I376" ca="true">IF(ISBLANK(INDIRECT("B"&amp;ROW())), "", INDIRECT("B"&amp;ROW()) &amp; " - " &amp; INDIRECT("J"&amp;ROW()))</f>
      </c>
      <c r="J376" s="59" t="str" cm="1">
        <f t="array" aca="true" ref="J376" ca="true">IF(INDIRECT("E"&amp;ROW())=0,"",IF(INDIRECT("H"&amp;ROW())=INDIRECT("E"&amp;ROW()),"Active","Expired"))</f>
      </c>
    </row>
    <row r="377" spans="9:10">
      <c r="I377" s="59" t="str" cm="1">
        <f t="array" aca="true" ref="I377" ca="true">IF(ISBLANK(INDIRECT("B"&amp;ROW())), "", INDIRECT("B"&amp;ROW()) &amp; " - " &amp; INDIRECT("J"&amp;ROW()))</f>
      </c>
      <c r="J377" s="59" t="str" cm="1">
        <f t="array" aca="true" ref="J377" ca="true">IF(INDIRECT("E"&amp;ROW())=0,"",IF(INDIRECT("H"&amp;ROW())=INDIRECT("E"&amp;ROW()),"Active","Expired"))</f>
      </c>
    </row>
    <row r="378" spans="9:10">
      <c r="I378" s="59" t="str" cm="1">
        <f t="array" aca="true" ref="I378" ca="true">IF(ISBLANK(INDIRECT("B"&amp;ROW())), "", INDIRECT("B"&amp;ROW()) &amp; " - " &amp; INDIRECT("J"&amp;ROW()))</f>
      </c>
      <c r="J378" s="59" t="str" cm="1">
        <f t="array" aca="true" ref="J378" ca="true">IF(INDIRECT("E"&amp;ROW())=0,"",IF(INDIRECT("H"&amp;ROW())=INDIRECT("E"&amp;ROW()),"Active","Expired"))</f>
      </c>
    </row>
    <row r="379" spans="9:10">
      <c r="I379" s="59" t="str" cm="1">
        <f t="array" aca="true" ref="I379" ca="true">IF(ISBLANK(INDIRECT("B"&amp;ROW())), "", INDIRECT("B"&amp;ROW()) &amp; " - " &amp; INDIRECT("J"&amp;ROW()))</f>
      </c>
      <c r="J379" s="59" t="str" cm="1">
        <f t="array" aca="true" ref="J379" ca="true">IF(INDIRECT("E"&amp;ROW())=0,"",IF(INDIRECT("H"&amp;ROW())=INDIRECT("E"&amp;ROW()),"Active","Expired"))</f>
      </c>
    </row>
    <row r="380" spans="9:10">
      <c r="I380" s="59" t="str" cm="1">
        <f t="array" aca="true" ref="I380" ca="true">IF(ISBLANK(INDIRECT("B"&amp;ROW())), "", INDIRECT("B"&amp;ROW()) &amp; " - " &amp; INDIRECT("J"&amp;ROW()))</f>
      </c>
      <c r="J380" s="59" t="str" cm="1">
        <f t="array" aca="true" ref="J380" ca="true">IF(INDIRECT("E"&amp;ROW())=0,"",IF(INDIRECT("H"&amp;ROW())=INDIRECT("E"&amp;ROW()),"Active","Expired"))</f>
      </c>
    </row>
    <row r="381" spans="9:10">
      <c r="I381" s="59" t="str" cm="1">
        <f t="array" aca="true" ref="I381" ca="true">IF(ISBLANK(INDIRECT("B"&amp;ROW())), "", INDIRECT("B"&amp;ROW()) &amp; " - " &amp; INDIRECT("J"&amp;ROW()))</f>
      </c>
      <c r="J381" s="59" t="str" cm="1">
        <f t="array" aca="true" ref="J381" ca="true">IF(INDIRECT("E"&amp;ROW())=0,"",IF(INDIRECT("H"&amp;ROW())=INDIRECT("E"&amp;ROW()),"Active","Expired"))</f>
      </c>
    </row>
    <row r="382" spans="9:10">
      <c r="I382" s="59" t="str" cm="1">
        <f t="array" aca="true" ref="I382" ca="true">IF(ISBLANK(INDIRECT("B"&amp;ROW())), "", INDIRECT("B"&amp;ROW()) &amp; " - " &amp; INDIRECT("J"&amp;ROW()))</f>
      </c>
      <c r="J382" s="59" t="str" cm="1">
        <f t="array" aca="true" ref="J382" ca="true">IF(INDIRECT("E"&amp;ROW())=0,"",IF(INDIRECT("H"&amp;ROW())=INDIRECT("E"&amp;ROW()),"Active","Expired"))</f>
      </c>
    </row>
    <row r="383" spans="9:10">
      <c r="I383" s="59" t="str" cm="1">
        <f t="array" aca="true" ref="I383" ca="true">IF(ISBLANK(INDIRECT("B"&amp;ROW())), "", INDIRECT("B"&amp;ROW()) &amp; " - " &amp; INDIRECT("J"&amp;ROW()))</f>
      </c>
      <c r="J383" s="59" t="str" cm="1">
        <f t="array" aca="true" ref="J383" ca="true">IF(INDIRECT("E"&amp;ROW())=0,"",IF(INDIRECT("H"&amp;ROW())=INDIRECT("E"&amp;ROW()),"Active","Expired"))</f>
      </c>
    </row>
    <row r="384" spans="9:10">
      <c r="I384" s="59" t="str" cm="1">
        <f t="array" aca="true" ref="I384" ca="true">IF(ISBLANK(INDIRECT("B"&amp;ROW())), "", INDIRECT("B"&amp;ROW()) &amp; " - " &amp; INDIRECT("J"&amp;ROW()))</f>
      </c>
      <c r="J384" s="59" t="str" cm="1">
        <f t="array" aca="true" ref="J384" ca="true">IF(INDIRECT("E"&amp;ROW())=0,"",IF(INDIRECT("H"&amp;ROW())=INDIRECT("E"&amp;ROW()),"Active","Expired"))</f>
      </c>
    </row>
    <row r="385" spans="9:10">
      <c r="I385" s="59" t="str" cm="1">
        <f t="array" aca="true" ref="I385" ca="true">IF(ISBLANK(INDIRECT("B"&amp;ROW())), "", INDIRECT("B"&amp;ROW()) &amp; " - " &amp; INDIRECT("J"&amp;ROW()))</f>
      </c>
      <c r="J385" s="59" t="str" cm="1">
        <f t="array" aca="true" ref="J385" ca="true">IF(INDIRECT("E"&amp;ROW())=0,"",IF(INDIRECT("H"&amp;ROW())=INDIRECT("E"&amp;ROW()),"Active","Expired"))</f>
      </c>
    </row>
    <row r="386" spans="9:10">
      <c r="I386" s="59" t="str" cm="1">
        <f t="array" aca="true" ref="I386" ca="true">IF(ISBLANK(INDIRECT("B"&amp;ROW())), "", INDIRECT("B"&amp;ROW()) &amp; " - " &amp; INDIRECT("J"&amp;ROW()))</f>
      </c>
      <c r="J386" s="59" t="str" cm="1">
        <f t="array" aca="true" ref="J386" ca="true">IF(INDIRECT("E"&amp;ROW())=0,"",IF(INDIRECT("H"&amp;ROW())=INDIRECT("E"&amp;ROW()),"Active","Expired"))</f>
      </c>
    </row>
    <row r="387" spans="9:10">
      <c r="I387" s="59" t="str" cm="1">
        <f t="array" aca="true" ref="I387" ca="true">IF(ISBLANK(INDIRECT("B"&amp;ROW())), "", INDIRECT("B"&amp;ROW()) &amp; " - " &amp; INDIRECT("J"&amp;ROW()))</f>
      </c>
      <c r="J387" s="59" t="str" cm="1">
        <f t="array" aca="true" ref="J387" ca="true">IF(INDIRECT("E"&amp;ROW())=0,"",IF(INDIRECT("H"&amp;ROW())=INDIRECT("E"&amp;ROW()),"Active","Expired"))</f>
      </c>
    </row>
    <row r="388" spans="9:10">
      <c r="I388" s="59" t="str" cm="1">
        <f t="array" aca="true" ref="I388" ca="true">IF(ISBLANK(INDIRECT("B"&amp;ROW())), "", INDIRECT("B"&amp;ROW()) &amp; " - " &amp; INDIRECT("J"&amp;ROW()))</f>
      </c>
      <c r="J388" s="59" t="str" cm="1">
        <f t="array" aca="true" ref="J388" ca="true">IF(INDIRECT("E"&amp;ROW())=0,"",IF(INDIRECT("H"&amp;ROW())=INDIRECT("E"&amp;ROW()),"Active","Expired"))</f>
      </c>
    </row>
    <row r="389" spans="9:10">
      <c r="I389" s="59" t="str" cm="1">
        <f t="array" aca="true" ref="I389" ca="true">IF(ISBLANK(INDIRECT("B"&amp;ROW())), "", INDIRECT("B"&amp;ROW()) &amp; " - " &amp; INDIRECT("J"&amp;ROW()))</f>
      </c>
      <c r="J389" s="59" t="str" cm="1">
        <f t="array" aca="true" ref="J389" ca="true">IF(INDIRECT("E"&amp;ROW())=0,"",IF(INDIRECT("H"&amp;ROW())=INDIRECT("E"&amp;ROW()),"Active","Expired"))</f>
      </c>
    </row>
    <row r="390" spans="9:10">
      <c r="I390" s="59" t="str" cm="1">
        <f t="array" aca="true" ref="I390" ca="true">IF(ISBLANK(INDIRECT("B"&amp;ROW())), "", INDIRECT("B"&amp;ROW()) &amp; " - " &amp; INDIRECT("J"&amp;ROW()))</f>
      </c>
      <c r="J390" s="59" t="str" cm="1">
        <f t="array" aca="true" ref="J390" ca="true">IF(INDIRECT("E"&amp;ROW())=0,"",IF(INDIRECT("H"&amp;ROW())=INDIRECT("E"&amp;ROW()),"Active","Expired"))</f>
      </c>
    </row>
    <row r="391" spans="9:10">
      <c r="I391" s="59" t="str" cm="1">
        <f t="array" aca="true" ref="I391" ca="true">IF(ISBLANK(INDIRECT("B"&amp;ROW())), "", INDIRECT("B"&amp;ROW()) &amp; " - " &amp; INDIRECT("J"&amp;ROW()))</f>
      </c>
      <c r="J391" s="59" t="str" cm="1">
        <f t="array" aca="true" ref="J391" ca="true">IF(INDIRECT("E"&amp;ROW())=0,"",IF(INDIRECT("H"&amp;ROW())=INDIRECT("E"&amp;ROW()),"Active","Expired"))</f>
      </c>
    </row>
    <row r="392" spans="9:10">
      <c r="I392" s="59" t="str" cm="1">
        <f t="array" aca="true" ref="I392" ca="true">IF(ISBLANK(INDIRECT("B"&amp;ROW())), "", INDIRECT("B"&amp;ROW()) &amp; " - " &amp; INDIRECT("J"&amp;ROW()))</f>
      </c>
      <c r="J392" s="59" t="str" cm="1">
        <f t="array" aca="true" ref="J392" ca="true">IF(INDIRECT("E"&amp;ROW())=0,"",IF(INDIRECT("H"&amp;ROW())=INDIRECT("E"&amp;ROW()),"Active","Expired"))</f>
      </c>
    </row>
    <row r="393" spans="9:10">
      <c r="I393" s="59" t="str" cm="1">
        <f t="array" aca="true" ref="I393" ca="true">IF(ISBLANK(INDIRECT("B"&amp;ROW())), "", INDIRECT("B"&amp;ROW()) &amp; " - " &amp; INDIRECT("J"&amp;ROW()))</f>
      </c>
      <c r="J393" s="59" t="str" cm="1">
        <f t="array" aca="true" ref="J393" ca="true">IF(INDIRECT("E"&amp;ROW())=0,"",IF(INDIRECT("H"&amp;ROW())=INDIRECT("E"&amp;ROW()),"Active","Expired"))</f>
      </c>
    </row>
    <row r="394" spans="9:10">
      <c r="I394" s="59" t="str" cm="1">
        <f t="array" aca="true" ref="I394" ca="true">IF(ISBLANK(INDIRECT("B"&amp;ROW())), "", INDIRECT("B"&amp;ROW()) &amp; " - " &amp; INDIRECT("J"&amp;ROW()))</f>
      </c>
      <c r="J394" s="59" t="str" cm="1">
        <f t="array" aca="true" ref="J394" ca="true">IF(INDIRECT("E"&amp;ROW())=0,"",IF(INDIRECT("H"&amp;ROW())=INDIRECT("E"&amp;ROW()),"Active","Expired"))</f>
      </c>
    </row>
    <row r="395" spans="9:10">
      <c r="I395" s="59" t="str" cm="1">
        <f t="array" aca="true" ref="I395" ca="true">IF(ISBLANK(INDIRECT("B"&amp;ROW())), "", INDIRECT("B"&amp;ROW()) &amp; " - " &amp; INDIRECT("J"&amp;ROW()))</f>
      </c>
      <c r="J395" s="59" t="str" cm="1">
        <f t="array" aca="true" ref="J395" ca="true">IF(INDIRECT("E"&amp;ROW())=0,"",IF(INDIRECT("H"&amp;ROW())=INDIRECT("E"&amp;ROW()),"Active","Expired"))</f>
      </c>
    </row>
    <row r="396" spans="9:10">
      <c r="I396" s="59" t="str" cm="1">
        <f t="array" aca="true" ref="I396" ca="true">IF(ISBLANK(INDIRECT("B"&amp;ROW())), "", INDIRECT("B"&amp;ROW()) &amp; " - " &amp; INDIRECT("J"&amp;ROW()))</f>
      </c>
      <c r="J396" s="59" t="str" cm="1">
        <f t="array" aca="true" ref="J396" ca="true">IF(INDIRECT("E"&amp;ROW())=0,"",IF(INDIRECT("H"&amp;ROW())=INDIRECT("E"&amp;ROW()),"Active","Expired"))</f>
      </c>
    </row>
    <row r="397" spans="9:10">
      <c r="I397" s="59" t="str" cm="1">
        <f t="array" aca="true" ref="I397" ca="true">IF(ISBLANK(INDIRECT("B"&amp;ROW())), "", INDIRECT("B"&amp;ROW()) &amp; " - " &amp; INDIRECT("J"&amp;ROW()))</f>
      </c>
      <c r="J397" s="59" t="str" cm="1">
        <f t="array" aca="true" ref="J397" ca="true">IF(INDIRECT("E"&amp;ROW())=0,"",IF(INDIRECT("H"&amp;ROW())=INDIRECT("E"&amp;ROW()),"Active","Expired"))</f>
      </c>
    </row>
    <row r="398" spans="9:10">
      <c r="I398" s="59" t="str" cm="1">
        <f t="array" aca="true" ref="I398" ca="true">IF(ISBLANK(INDIRECT("B"&amp;ROW())), "", INDIRECT("B"&amp;ROW()) &amp; " - " &amp; INDIRECT("J"&amp;ROW()))</f>
      </c>
      <c r="J398" s="59" t="str" cm="1">
        <f t="array" aca="true" ref="J398" ca="true">IF(INDIRECT("E"&amp;ROW())=0,"",IF(INDIRECT("H"&amp;ROW())=INDIRECT("E"&amp;ROW()),"Active","Expired"))</f>
      </c>
    </row>
    <row r="399" spans="9:10">
      <c r="I399" s="59" t="str" cm="1">
        <f t="array" aca="true" ref="I399" ca="true">IF(ISBLANK(INDIRECT("B"&amp;ROW())), "", INDIRECT("B"&amp;ROW()) &amp; " - " &amp; INDIRECT("J"&amp;ROW()))</f>
      </c>
      <c r="J399" s="59" t="str" cm="1">
        <f t="array" aca="true" ref="J399" ca="true">IF(INDIRECT("E"&amp;ROW())=0,"",IF(INDIRECT("H"&amp;ROW())=INDIRECT("E"&amp;ROW()),"Active","Expired"))</f>
      </c>
    </row>
    <row r="400" spans="9:10">
      <c r="I400" s="59" t="str" cm="1">
        <f t="array" aca="true" ref="I400" ca="true">IF(ISBLANK(INDIRECT("B"&amp;ROW())), "", INDIRECT("B"&amp;ROW()) &amp; " - " &amp; INDIRECT("J"&amp;ROW()))</f>
      </c>
      <c r="J400" s="59" t="str" cm="1">
        <f t="array" aca="true" ref="J400" ca="true">IF(INDIRECT("E"&amp;ROW())=0,"",IF(INDIRECT("H"&amp;ROW())=INDIRECT("E"&amp;ROW()),"Active","Expired"))</f>
      </c>
    </row>
    <row r="401" spans="9:10">
      <c r="I401" s="59" t="str" cm="1">
        <f t="array" aca="true" ref="I401" ca="true">IF(ISBLANK(INDIRECT("B"&amp;ROW())), "", INDIRECT("B"&amp;ROW()) &amp; " - " &amp; INDIRECT("J"&amp;ROW()))</f>
      </c>
      <c r="J401" s="59" t="str" cm="1">
        <f t="array" aca="true" ref="J401" ca="true">IF(INDIRECT("E"&amp;ROW())=0,"",IF(INDIRECT("H"&amp;ROW())=INDIRECT("E"&amp;ROW()),"Active","Expired"))</f>
      </c>
    </row>
    <row r="402" spans="9:10">
      <c r="I402" s="59" t="str" cm="1">
        <f t="array" aca="true" ref="I402" ca="true">IF(ISBLANK(INDIRECT("B"&amp;ROW())), "", INDIRECT("B"&amp;ROW()) &amp; " - " &amp; INDIRECT("J"&amp;ROW()))</f>
      </c>
      <c r="J402" s="59" t="str" cm="1">
        <f t="array" aca="true" ref="J402" ca="true">IF(INDIRECT("E"&amp;ROW())=0,"",IF(INDIRECT("H"&amp;ROW())=INDIRECT("E"&amp;ROW()),"Active","Expired"))</f>
      </c>
    </row>
    <row r="403" spans="9:10">
      <c r="I403" s="59" t="str" cm="1">
        <f t="array" aca="true" ref="I403" ca="true">IF(ISBLANK(INDIRECT("B"&amp;ROW())), "", INDIRECT("B"&amp;ROW()) &amp; " - " &amp; INDIRECT("J"&amp;ROW()))</f>
      </c>
      <c r="J403" s="59" t="str" cm="1">
        <f t="array" aca="true" ref="J403" ca="true">IF(INDIRECT("E"&amp;ROW())=0,"",IF(INDIRECT("H"&amp;ROW())=INDIRECT("E"&amp;ROW()),"Active","Expired"))</f>
      </c>
    </row>
    <row r="404" spans="9:10">
      <c r="I404" s="59" t="str" cm="1">
        <f t="array" aca="true" ref="I404" ca="true">IF(ISBLANK(INDIRECT("B"&amp;ROW())), "", INDIRECT("B"&amp;ROW()) &amp; " - " &amp; INDIRECT("J"&amp;ROW()))</f>
      </c>
      <c r="J404" s="59" t="str" cm="1">
        <f t="array" aca="true" ref="J404" ca="true">IF(INDIRECT("E"&amp;ROW())=0,"",IF(INDIRECT("H"&amp;ROW())=INDIRECT("E"&amp;ROW()),"Active","Expired"))</f>
      </c>
    </row>
    <row r="405" spans="9:10">
      <c r="I405" s="59" t="str" cm="1">
        <f t="array" aca="true" ref="I405" ca="true">IF(ISBLANK(INDIRECT("B"&amp;ROW())), "", INDIRECT("B"&amp;ROW()) &amp; " - " &amp; INDIRECT("J"&amp;ROW()))</f>
      </c>
      <c r="J405" s="59" t="str" cm="1">
        <f t="array" aca="true" ref="J405" ca="true">IF(INDIRECT("E"&amp;ROW())=0,"",IF(INDIRECT("H"&amp;ROW())=INDIRECT("E"&amp;ROW()),"Active","Expired"))</f>
      </c>
    </row>
    <row r="406" spans="9:10">
      <c r="I406" s="59" t="str" cm="1">
        <f t="array" aca="true" ref="I406" ca="true">IF(ISBLANK(INDIRECT("B"&amp;ROW())), "", INDIRECT("B"&amp;ROW()) &amp; " - " &amp; INDIRECT("J"&amp;ROW()))</f>
      </c>
      <c r="J406" s="59" t="str" cm="1">
        <f t="array" aca="true" ref="J406" ca="true">IF(INDIRECT("E"&amp;ROW())=0,"",IF(INDIRECT("H"&amp;ROW())=INDIRECT("E"&amp;ROW()),"Active","Expired"))</f>
      </c>
    </row>
    <row r="407" spans="9:10">
      <c r="I407" s="59" t="str" cm="1">
        <f t="array" aca="true" ref="I407" ca="true">IF(ISBLANK(INDIRECT("B"&amp;ROW())), "", INDIRECT("B"&amp;ROW()) &amp; " - " &amp; INDIRECT("J"&amp;ROW()))</f>
      </c>
      <c r="J407" s="59" t="str" cm="1">
        <f t="array" aca="true" ref="J407" ca="true">IF(INDIRECT("E"&amp;ROW())=0,"",IF(INDIRECT("H"&amp;ROW())=INDIRECT("E"&amp;ROW()),"Active","Expired"))</f>
      </c>
    </row>
    <row r="408" spans="9:10">
      <c r="I408" s="59" t="str" cm="1">
        <f t="array" aca="true" ref="I408" ca="true">IF(ISBLANK(INDIRECT("B"&amp;ROW())), "", INDIRECT("B"&amp;ROW()) &amp; " - " &amp; INDIRECT("J"&amp;ROW()))</f>
      </c>
      <c r="J408" s="59" t="str" cm="1">
        <f t="array" aca="true" ref="J408" ca="true">IF(INDIRECT("E"&amp;ROW())=0,"",IF(INDIRECT("H"&amp;ROW())=INDIRECT("E"&amp;ROW()),"Active","Expired"))</f>
      </c>
    </row>
    <row r="409" spans="9:10">
      <c r="I409" s="59" t="str" cm="1">
        <f t="array" aca="true" ref="I409" ca="true">IF(ISBLANK(INDIRECT("B"&amp;ROW())), "", INDIRECT("B"&amp;ROW()) &amp; " - " &amp; INDIRECT("J"&amp;ROW()))</f>
      </c>
      <c r="J409" s="59" t="str" cm="1">
        <f t="array" aca="true" ref="J409" ca="true">IF(INDIRECT("E"&amp;ROW())=0,"",IF(INDIRECT("H"&amp;ROW())=INDIRECT("E"&amp;ROW()),"Active","Expired"))</f>
      </c>
    </row>
    <row r="410" spans="9:10">
      <c r="I410" s="59" t="str" cm="1">
        <f t="array" aca="true" ref="I410" ca="true">IF(ISBLANK(INDIRECT("B"&amp;ROW())), "", INDIRECT("B"&amp;ROW()) &amp; " - " &amp; INDIRECT("J"&amp;ROW()))</f>
      </c>
      <c r="J410" s="59" t="str" cm="1">
        <f t="array" aca="true" ref="J410" ca="true">IF(INDIRECT("E"&amp;ROW())=0,"",IF(INDIRECT("H"&amp;ROW())=INDIRECT("E"&amp;ROW()),"Active","Expired"))</f>
      </c>
    </row>
    <row r="411" spans="9:10">
      <c r="I411" s="59" t="str" cm="1">
        <f t="array" aca="true" ref="I411" ca="true">IF(ISBLANK(INDIRECT("B"&amp;ROW())), "", INDIRECT("B"&amp;ROW()) &amp; " - " &amp; INDIRECT("J"&amp;ROW()))</f>
      </c>
      <c r="J411" s="59" t="str" cm="1">
        <f t="array" aca="true" ref="J411" ca="true">IF(INDIRECT("E"&amp;ROW())=0,"",IF(INDIRECT("H"&amp;ROW())=INDIRECT("E"&amp;ROW()),"Active","Expired"))</f>
      </c>
    </row>
    <row r="412" spans="9:10">
      <c r="I412" s="59" t="str" cm="1">
        <f t="array" aca="true" ref="I412" ca="true">IF(ISBLANK(INDIRECT("B"&amp;ROW())), "", INDIRECT("B"&amp;ROW()) &amp; " - " &amp; INDIRECT("J"&amp;ROW()))</f>
      </c>
      <c r="J412" s="59" t="str" cm="1">
        <f t="array" aca="true" ref="J412" ca="true">IF(INDIRECT("E"&amp;ROW())=0,"",IF(INDIRECT("H"&amp;ROW())=INDIRECT("E"&amp;ROW()),"Active","Expired"))</f>
      </c>
    </row>
    <row r="413" spans="9:10">
      <c r="I413" s="59" t="str" cm="1">
        <f t="array" aca="true" ref="I413" ca="true">IF(ISBLANK(INDIRECT("B"&amp;ROW())), "", INDIRECT("B"&amp;ROW()) &amp; " - " &amp; INDIRECT("J"&amp;ROW()))</f>
      </c>
      <c r="J413" s="59" t="str" cm="1">
        <f t="array" aca="true" ref="J413" ca="true">IF(INDIRECT("E"&amp;ROW())=0,"",IF(INDIRECT("H"&amp;ROW())=INDIRECT("E"&amp;ROW()),"Active","Expired"))</f>
      </c>
    </row>
    <row r="414" spans="9:10">
      <c r="I414" s="59" t="str" cm="1">
        <f t="array" aca="true" ref="I414" ca="true">IF(ISBLANK(INDIRECT("B"&amp;ROW())), "", INDIRECT("B"&amp;ROW()) &amp; " - " &amp; INDIRECT("J"&amp;ROW()))</f>
      </c>
      <c r="J414" s="59" t="str" cm="1">
        <f t="array" aca="true" ref="J414" ca="true">IF(INDIRECT("E"&amp;ROW())=0,"",IF(INDIRECT("H"&amp;ROW())=INDIRECT("E"&amp;ROW()),"Active","Expired"))</f>
      </c>
    </row>
    <row r="415" spans="9:10">
      <c r="I415" s="59" t="str" cm="1">
        <f t="array" aca="true" ref="I415" ca="true">IF(ISBLANK(INDIRECT("B"&amp;ROW())), "", INDIRECT("B"&amp;ROW()) &amp; " - " &amp; INDIRECT("J"&amp;ROW()))</f>
      </c>
      <c r="J415" s="59" t="str" cm="1">
        <f t="array" aca="true" ref="J415" ca="true">IF(INDIRECT("E"&amp;ROW())=0,"",IF(INDIRECT("H"&amp;ROW())=INDIRECT("E"&amp;ROW()),"Active","Expired"))</f>
      </c>
    </row>
    <row r="416" spans="9:10">
      <c r="I416" s="59" t="str" cm="1">
        <f t="array" aca="true" ref="I416" ca="true">IF(ISBLANK(INDIRECT("B"&amp;ROW())), "", INDIRECT("B"&amp;ROW()) &amp; " - " &amp; INDIRECT("J"&amp;ROW()))</f>
      </c>
      <c r="J416" s="59" t="str" cm="1">
        <f t="array" aca="true" ref="J416" ca="true">IF(INDIRECT("E"&amp;ROW())=0,"",IF(INDIRECT("H"&amp;ROW())=INDIRECT("E"&amp;ROW()),"Active","Expired"))</f>
      </c>
    </row>
    <row r="417" spans="9:10">
      <c r="I417" s="59" t="str" cm="1">
        <f t="array" aca="true" ref="I417" ca="true">IF(ISBLANK(INDIRECT("B"&amp;ROW())), "", INDIRECT("B"&amp;ROW()) &amp; " - " &amp; INDIRECT("J"&amp;ROW()))</f>
      </c>
      <c r="J417" s="59" t="str" cm="1">
        <f t="array" aca="true" ref="J417" ca="true">IF(INDIRECT("E"&amp;ROW())=0,"",IF(INDIRECT("H"&amp;ROW())=INDIRECT("E"&amp;ROW()),"Active","Expired"))</f>
      </c>
    </row>
    <row r="418" spans="9:10">
      <c r="I418" s="59" t="str" cm="1">
        <f t="array" aca="true" ref="I418" ca="true">IF(ISBLANK(INDIRECT("B"&amp;ROW())), "", INDIRECT("B"&amp;ROW()) &amp; " - " &amp; INDIRECT("J"&amp;ROW()))</f>
      </c>
      <c r="J418" s="59" t="str" cm="1">
        <f t="array" aca="true" ref="J418" ca="true">IF(INDIRECT("E"&amp;ROW())=0,"",IF(INDIRECT("H"&amp;ROW())=INDIRECT("E"&amp;ROW()),"Active","Expired"))</f>
      </c>
    </row>
    <row r="419" spans="9:10">
      <c r="I419" s="59" t="str" cm="1">
        <f t="array" aca="true" ref="I419" ca="true">IF(ISBLANK(INDIRECT("B"&amp;ROW())), "", INDIRECT("B"&amp;ROW()) &amp; " - " &amp; INDIRECT("J"&amp;ROW()))</f>
      </c>
      <c r="J419" s="59" t="str" cm="1">
        <f t="array" aca="true" ref="J419" ca="true">IF(INDIRECT("E"&amp;ROW())=0,"",IF(INDIRECT("H"&amp;ROW())=INDIRECT("E"&amp;ROW()),"Active","Expired"))</f>
      </c>
    </row>
    <row r="420" spans="9:10">
      <c r="I420" s="59" t="str" cm="1">
        <f t="array" aca="true" ref="I420" ca="true">IF(ISBLANK(INDIRECT("B"&amp;ROW())), "", INDIRECT("B"&amp;ROW()) &amp; " - " &amp; INDIRECT("J"&amp;ROW()))</f>
      </c>
      <c r="J420" s="59" t="str" cm="1">
        <f t="array" aca="true" ref="J420" ca="true">IF(INDIRECT("E"&amp;ROW())=0,"",IF(INDIRECT("H"&amp;ROW())=INDIRECT("E"&amp;ROW()),"Active","Expired"))</f>
      </c>
    </row>
    <row r="421" spans="9:10">
      <c r="I421" s="59" t="str" cm="1">
        <f t="array" aca="true" ref="I421" ca="true">IF(ISBLANK(INDIRECT("B"&amp;ROW())), "", INDIRECT("B"&amp;ROW()) &amp; " - " &amp; INDIRECT("J"&amp;ROW()))</f>
      </c>
      <c r="J421" s="59" t="str" cm="1">
        <f t="array" aca="true" ref="J421" ca="true">IF(INDIRECT("E"&amp;ROW())=0,"",IF(INDIRECT("H"&amp;ROW())=INDIRECT("E"&amp;ROW()),"Active","Expired"))</f>
      </c>
    </row>
    <row r="422" spans="9:10">
      <c r="I422" s="59" t="str" cm="1">
        <f t="array" aca="true" ref="I422" ca="true">IF(ISBLANK(INDIRECT("B"&amp;ROW())), "", INDIRECT("B"&amp;ROW()) &amp; " - " &amp; INDIRECT("J"&amp;ROW()))</f>
      </c>
      <c r="J422" s="59" t="str" cm="1">
        <f t="array" aca="true" ref="J422" ca="true">IF(INDIRECT("E"&amp;ROW())=0,"",IF(INDIRECT("H"&amp;ROW())=INDIRECT("E"&amp;ROW()),"Active","Expired"))</f>
      </c>
    </row>
    <row r="423" spans="9:10">
      <c r="I423" s="59" t="str" cm="1">
        <f t="array" aca="true" ref="I423" ca="true">IF(ISBLANK(INDIRECT("B"&amp;ROW())), "", INDIRECT("B"&amp;ROW()) &amp; " - " &amp; INDIRECT("J"&amp;ROW()))</f>
      </c>
      <c r="J423" s="59" t="str" cm="1">
        <f t="array" aca="true" ref="J423" ca="true">IF(INDIRECT("E"&amp;ROW())=0,"",IF(INDIRECT("H"&amp;ROW())=INDIRECT("E"&amp;ROW()),"Active","Expired"))</f>
      </c>
    </row>
    <row r="424" spans="9:10">
      <c r="I424" s="59" t="str" cm="1">
        <f t="array" aca="true" ref="I424" ca="true">IF(ISBLANK(INDIRECT("B"&amp;ROW())), "", INDIRECT("B"&amp;ROW()) &amp; " - " &amp; INDIRECT("J"&amp;ROW()))</f>
      </c>
      <c r="J424" s="59" t="str" cm="1">
        <f t="array" aca="true" ref="J424" ca="true">IF(INDIRECT("E"&amp;ROW())=0,"",IF(INDIRECT("H"&amp;ROW())=INDIRECT("E"&amp;ROW()),"Active","Expired"))</f>
      </c>
    </row>
    <row r="425" spans="9:10">
      <c r="I425" s="59" t="str" cm="1">
        <f t="array" aca="true" ref="I425" ca="true">IF(ISBLANK(INDIRECT("B"&amp;ROW())), "", INDIRECT("B"&amp;ROW()) &amp; " - " &amp; INDIRECT("J"&amp;ROW()))</f>
      </c>
      <c r="J425" s="59" t="str" cm="1">
        <f t="array" aca="true" ref="J425" ca="true">IF(INDIRECT("E"&amp;ROW())=0,"",IF(INDIRECT("H"&amp;ROW())=INDIRECT("E"&amp;ROW()),"Active","Expired"))</f>
      </c>
    </row>
    <row r="426" spans="9:10">
      <c r="I426" s="59" t="str" cm="1">
        <f t="array" aca="true" ref="I426" ca="true">IF(ISBLANK(INDIRECT("B"&amp;ROW())), "", INDIRECT("B"&amp;ROW()) &amp; " - " &amp; INDIRECT("J"&amp;ROW()))</f>
      </c>
      <c r="J426" s="59" t="str" cm="1">
        <f t="array" aca="true" ref="J426" ca="true">IF(INDIRECT("E"&amp;ROW())=0,"",IF(INDIRECT("H"&amp;ROW())=INDIRECT("E"&amp;ROW()),"Active","Expired"))</f>
      </c>
    </row>
    <row r="427" spans="9:10">
      <c r="I427" s="59" t="str" cm="1">
        <f t="array" aca="true" ref="I427" ca="true">IF(ISBLANK(INDIRECT("B"&amp;ROW())), "", INDIRECT("B"&amp;ROW()) &amp; " - " &amp; INDIRECT("J"&amp;ROW()))</f>
      </c>
      <c r="J427" s="59" t="str" cm="1">
        <f t="array" aca="true" ref="J427" ca="true">IF(INDIRECT("E"&amp;ROW())=0,"",IF(INDIRECT("H"&amp;ROW())=INDIRECT("E"&amp;ROW()),"Active","Expired"))</f>
      </c>
    </row>
    <row r="428" spans="9:10">
      <c r="I428" s="59" t="str" cm="1">
        <f t="array" aca="true" ref="I428" ca="true">IF(ISBLANK(INDIRECT("B"&amp;ROW())), "", INDIRECT("B"&amp;ROW()) &amp; " - " &amp; INDIRECT("J"&amp;ROW()))</f>
      </c>
      <c r="J428" s="59" t="str" cm="1">
        <f t="array" aca="true" ref="J428" ca="true">IF(INDIRECT("E"&amp;ROW())=0,"",IF(INDIRECT("H"&amp;ROW())=INDIRECT("E"&amp;ROW()),"Active","Expired"))</f>
      </c>
    </row>
    <row r="429" spans="9:10">
      <c r="I429" s="59" t="str" cm="1">
        <f t="array" aca="true" ref="I429" ca="true">IF(ISBLANK(INDIRECT("B"&amp;ROW())), "", INDIRECT("B"&amp;ROW()) &amp; " - " &amp; INDIRECT("J"&amp;ROW()))</f>
      </c>
      <c r="J429" s="59" t="str" cm="1">
        <f t="array" aca="true" ref="J429" ca="true">IF(INDIRECT("E"&amp;ROW())=0,"",IF(INDIRECT("H"&amp;ROW())=INDIRECT("E"&amp;ROW()),"Active","Expired"))</f>
      </c>
    </row>
    <row r="430" spans="9:10">
      <c r="I430" s="59" t="str" cm="1">
        <f t="array" aca="true" ref="I430" ca="true">IF(ISBLANK(INDIRECT("B"&amp;ROW())), "", INDIRECT("B"&amp;ROW()) &amp; " - " &amp; INDIRECT("J"&amp;ROW()))</f>
      </c>
      <c r="J430" s="59" t="str" cm="1">
        <f t="array" aca="true" ref="J430" ca="true">IF(INDIRECT("E"&amp;ROW())=0,"",IF(INDIRECT("H"&amp;ROW())=INDIRECT("E"&amp;ROW()),"Active","Expired"))</f>
      </c>
    </row>
    <row r="431" spans="9:10">
      <c r="I431" s="59" t="str" cm="1">
        <f t="array" aca="true" ref="I431" ca="true">IF(ISBLANK(INDIRECT("B"&amp;ROW())), "", INDIRECT("B"&amp;ROW()) &amp; " - " &amp; INDIRECT("J"&amp;ROW()))</f>
      </c>
      <c r="J431" s="59" t="str" cm="1">
        <f t="array" aca="true" ref="J431" ca="true">IF(INDIRECT("E"&amp;ROW())=0,"",IF(INDIRECT("H"&amp;ROW())=INDIRECT("E"&amp;ROW()),"Active","Expired"))</f>
      </c>
    </row>
    <row r="432" spans="9:10">
      <c r="I432" s="59" t="str" cm="1">
        <f t="array" aca="true" ref="I432" ca="true">IF(ISBLANK(INDIRECT("B"&amp;ROW())), "", INDIRECT("B"&amp;ROW()) &amp; " - " &amp; INDIRECT("J"&amp;ROW()))</f>
      </c>
      <c r="J432" s="59" t="str" cm="1">
        <f t="array" aca="true" ref="J432" ca="true">IF(INDIRECT("E"&amp;ROW())=0,"",IF(INDIRECT("H"&amp;ROW())=INDIRECT("E"&amp;ROW()),"Active","Expired"))</f>
      </c>
    </row>
    <row r="433" spans="9:10">
      <c r="I433" s="59" t="str" cm="1">
        <f t="array" aca="true" ref="I433" ca="true">IF(ISBLANK(INDIRECT("B"&amp;ROW())), "", INDIRECT("B"&amp;ROW()) &amp; " - " &amp; INDIRECT("J"&amp;ROW()))</f>
      </c>
      <c r="J433" s="59" t="str" cm="1">
        <f t="array" aca="true" ref="J433" ca="true">IF(INDIRECT("E"&amp;ROW())=0,"",IF(INDIRECT("H"&amp;ROW())=INDIRECT("E"&amp;ROW()),"Active","Expired"))</f>
      </c>
    </row>
    <row r="434" spans="9:10">
      <c r="I434" s="59" t="str" cm="1">
        <f t="array" aca="true" ref="I434" ca="true">IF(ISBLANK(INDIRECT("B"&amp;ROW())), "", INDIRECT("B"&amp;ROW()) &amp; " - " &amp; INDIRECT("J"&amp;ROW()))</f>
      </c>
      <c r="J434" s="59" t="str" cm="1">
        <f t="array" aca="true" ref="J434" ca="true">IF(INDIRECT("E"&amp;ROW())=0,"",IF(INDIRECT("H"&amp;ROW())=INDIRECT("E"&amp;ROW()),"Active","Expired"))</f>
      </c>
    </row>
    <row r="435" spans="9:10">
      <c r="I435" s="59" t="str" cm="1">
        <f t="array" aca="true" ref="I435" ca="true">IF(ISBLANK(INDIRECT("B"&amp;ROW())), "", INDIRECT("B"&amp;ROW()) &amp; " - " &amp; INDIRECT("J"&amp;ROW()))</f>
      </c>
      <c r="J435" s="59" t="str" cm="1">
        <f t="array" aca="true" ref="J435" ca="true">IF(INDIRECT("E"&amp;ROW())=0,"",IF(INDIRECT("H"&amp;ROW())=INDIRECT("E"&amp;ROW()),"Active","Expired"))</f>
      </c>
    </row>
    <row r="436" spans="9:10">
      <c r="I436" s="59" t="str" cm="1">
        <f t="array" aca="true" ref="I436" ca="true">IF(ISBLANK(INDIRECT("B"&amp;ROW())), "", INDIRECT("B"&amp;ROW()) &amp; " - " &amp; INDIRECT("J"&amp;ROW()))</f>
      </c>
      <c r="J436" s="59" t="str" cm="1">
        <f t="array" aca="true" ref="J436" ca="true">IF(INDIRECT("E"&amp;ROW())=0,"",IF(INDIRECT("H"&amp;ROW())=INDIRECT("E"&amp;ROW()),"Active","Expired"))</f>
      </c>
    </row>
    <row r="437" spans="9:10">
      <c r="I437" s="59" t="str" cm="1">
        <f t="array" aca="true" ref="I437" ca="true">IF(ISBLANK(INDIRECT("B"&amp;ROW())), "", INDIRECT("B"&amp;ROW()) &amp; " - " &amp; INDIRECT("J"&amp;ROW()))</f>
      </c>
      <c r="J437" s="59" t="str" cm="1">
        <f t="array" aca="true" ref="J437" ca="true">IF(INDIRECT("E"&amp;ROW())=0,"",IF(INDIRECT("H"&amp;ROW())=INDIRECT("E"&amp;ROW()),"Active","Expired"))</f>
      </c>
    </row>
    <row r="438" spans="9:10">
      <c r="I438" s="59" t="str" cm="1">
        <f t="array" aca="true" ref="I438" ca="true">IF(ISBLANK(INDIRECT("B"&amp;ROW())), "", INDIRECT("B"&amp;ROW()) &amp; " - " &amp; INDIRECT("J"&amp;ROW()))</f>
      </c>
      <c r="J438" s="59" t="str" cm="1">
        <f t="array" aca="true" ref="J438" ca="true">IF(INDIRECT("E"&amp;ROW())=0,"",IF(INDIRECT("H"&amp;ROW())=INDIRECT("E"&amp;ROW()),"Active","Expired"))</f>
      </c>
    </row>
    <row r="439" spans="9:10">
      <c r="I439" s="59" t="str" cm="1">
        <f t="array" aca="true" ref="I439" ca="true">IF(ISBLANK(INDIRECT("B"&amp;ROW())), "", INDIRECT("B"&amp;ROW()) &amp; " - " &amp; INDIRECT("J"&amp;ROW()))</f>
      </c>
      <c r="J439" s="59" t="str" cm="1">
        <f t="array" aca="true" ref="J439" ca="true">IF(INDIRECT("E"&amp;ROW())=0,"",IF(INDIRECT("H"&amp;ROW())=INDIRECT("E"&amp;ROW()),"Active","Expired"))</f>
      </c>
    </row>
    <row r="440" spans="9:10">
      <c r="I440" s="59" t="str" cm="1">
        <f t="array" aca="true" ref="I440" ca="true">IF(ISBLANK(INDIRECT("B"&amp;ROW())), "", INDIRECT("B"&amp;ROW()) &amp; " - " &amp; INDIRECT("J"&amp;ROW()))</f>
      </c>
      <c r="J440" s="59" t="str" cm="1">
        <f t="array" aca="true" ref="J440" ca="true">IF(INDIRECT("E"&amp;ROW())=0,"",IF(INDIRECT("H"&amp;ROW())=INDIRECT("E"&amp;ROW()),"Active","Expired"))</f>
      </c>
    </row>
    <row r="441" spans="9:10">
      <c r="I441" s="59" t="str" cm="1">
        <f t="array" aca="true" ref="I441" ca="true">IF(ISBLANK(INDIRECT("B"&amp;ROW())), "", INDIRECT("B"&amp;ROW()) &amp; " - " &amp; INDIRECT("J"&amp;ROW()))</f>
      </c>
      <c r="J441" s="59" t="str" cm="1">
        <f t="array" aca="true" ref="J441" ca="true">IF(INDIRECT("E"&amp;ROW())=0,"",IF(INDIRECT("H"&amp;ROW())=INDIRECT("E"&amp;ROW()),"Active","Expired"))</f>
      </c>
    </row>
    <row r="442" spans="9:10">
      <c r="I442" s="59" t="str" cm="1">
        <f t="array" aca="true" ref="I442" ca="true">IF(ISBLANK(INDIRECT("B"&amp;ROW())), "", INDIRECT("B"&amp;ROW()) &amp; " - " &amp; INDIRECT("J"&amp;ROW()))</f>
      </c>
      <c r="J442" s="59" t="str" cm="1">
        <f t="array" aca="true" ref="J442" ca="true">IF(INDIRECT("E"&amp;ROW())=0,"",IF(INDIRECT("H"&amp;ROW())=INDIRECT("E"&amp;ROW()),"Active","Expired"))</f>
      </c>
    </row>
    <row r="443" spans="9:10">
      <c r="I443" s="59" t="str" cm="1">
        <f t="array" aca="true" ref="I443" ca="true">IF(ISBLANK(INDIRECT("B"&amp;ROW())), "", INDIRECT("B"&amp;ROW()) &amp; " - " &amp; INDIRECT("J"&amp;ROW()))</f>
      </c>
      <c r="J443" s="59" t="str" cm="1">
        <f t="array" aca="true" ref="J443" ca="true">IF(INDIRECT("E"&amp;ROW())=0,"",IF(INDIRECT("H"&amp;ROW())=INDIRECT("E"&amp;ROW()),"Active","Expired"))</f>
      </c>
    </row>
    <row r="444" spans="9:10">
      <c r="I444" s="59" t="str" cm="1">
        <f t="array" aca="true" ref="I444" ca="true">IF(ISBLANK(INDIRECT("B"&amp;ROW())), "", INDIRECT("B"&amp;ROW()) &amp; " - " &amp; INDIRECT("J"&amp;ROW()))</f>
      </c>
      <c r="J444" s="59" t="str" cm="1">
        <f t="array" aca="true" ref="J444" ca="true">IF(INDIRECT("E"&amp;ROW())=0,"",IF(INDIRECT("H"&amp;ROW())=INDIRECT("E"&amp;ROW()),"Active","Expired"))</f>
      </c>
    </row>
    <row r="445" spans="9:10">
      <c r="I445" s="59" t="str" cm="1">
        <f t="array" aca="true" ref="I445" ca="true">IF(ISBLANK(INDIRECT("B"&amp;ROW())), "", INDIRECT("B"&amp;ROW()) &amp; " - " &amp; INDIRECT("J"&amp;ROW()))</f>
      </c>
      <c r="J445" s="59" t="str" cm="1">
        <f t="array" aca="true" ref="J445" ca="true">IF(INDIRECT("E"&amp;ROW())=0,"",IF(INDIRECT("H"&amp;ROW())=INDIRECT("E"&amp;ROW()),"Active","Expired"))</f>
      </c>
    </row>
    <row r="446" spans="9:10">
      <c r="I446" s="59" t="str" cm="1">
        <f t="array" aca="true" ref="I446" ca="true">IF(ISBLANK(INDIRECT("B"&amp;ROW())), "", INDIRECT("B"&amp;ROW()) &amp; " - " &amp; INDIRECT("J"&amp;ROW()))</f>
      </c>
      <c r="J446" s="59" t="str" cm="1">
        <f t="array" aca="true" ref="J446" ca="true">IF(INDIRECT("E"&amp;ROW())=0,"",IF(INDIRECT("H"&amp;ROW())=INDIRECT("E"&amp;ROW()),"Active","Expired"))</f>
      </c>
    </row>
    <row r="447" spans="9:10">
      <c r="I447" s="59" t="str" cm="1">
        <f t="array" aca="true" ref="I447" ca="true">IF(ISBLANK(INDIRECT("B"&amp;ROW())), "", INDIRECT("B"&amp;ROW()) &amp; " - " &amp; INDIRECT("J"&amp;ROW()))</f>
      </c>
      <c r="J447" s="59" t="str" cm="1">
        <f t="array" aca="true" ref="J447" ca="true">IF(INDIRECT("E"&amp;ROW())=0,"",IF(INDIRECT("H"&amp;ROW())=INDIRECT("E"&amp;ROW()),"Active","Expired"))</f>
      </c>
    </row>
    <row r="448" spans="9:10">
      <c r="I448" s="59" t="str" cm="1">
        <f t="array" aca="true" ref="I448" ca="true">IF(ISBLANK(INDIRECT("B"&amp;ROW())), "", INDIRECT("B"&amp;ROW()) &amp; " - " &amp; INDIRECT("J"&amp;ROW()))</f>
      </c>
      <c r="J448" s="59" t="str" cm="1">
        <f t="array" aca="true" ref="J448" ca="true">IF(INDIRECT("E"&amp;ROW())=0,"",IF(INDIRECT("H"&amp;ROW())=INDIRECT("E"&amp;ROW()),"Active","Expired"))</f>
      </c>
    </row>
    <row r="449" spans="9:10">
      <c r="I449" s="59" t="str" cm="1">
        <f t="array" aca="true" ref="I449" ca="true">IF(ISBLANK(INDIRECT("B"&amp;ROW())), "", INDIRECT("B"&amp;ROW()) &amp; " - " &amp; INDIRECT("J"&amp;ROW()))</f>
      </c>
      <c r="J449" s="59" t="str" cm="1">
        <f t="array" aca="true" ref="J449" ca="true">IF(INDIRECT("E"&amp;ROW())=0,"",IF(INDIRECT("H"&amp;ROW())=INDIRECT("E"&amp;ROW()),"Active","Expired"))</f>
      </c>
    </row>
    <row r="450" spans="9:10">
      <c r="I450" s="59" t="str" cm="1">
        <f t="array" aca="true" ref="I450" ca="true">IF(ISBLANK(INDIRECT("B"&amp;ROW())), "", INDIRECT("B"&amp;ROW()) &amp; " - " &amp; INDIRECT("J"&amp;ROW()))</f>
      </c>
      <c r="J450" s="59" t="str" cm="1">
        <f t="array" aca="true" ref="J450" ca="true">IF(INDIRECT("E"&amp;ROW())=0,"",IF(INDIRECT("H"&amp;ROW())=INDIRECT("E"&amp;ROW()),"Active","Expired"))</f>
      </c>
    </row>
    <row r="451" spans="9:10">
      <c r="I451" s="59" t="str" cm="1">
        <f t="array" aca="true" ref="I451" ca="true">IF(ISBLANK(INDIRECT("B"&amp;ROW())), "", INDIRECT("B"&amp;ROW()) &amp; " - " &amp; INDIRECT("J"&amp;ROW()))</f>
      </c>
      <c r="J451" s="59" t="str" cm="1">
        <f t="array" aca="true" ref="J451" ca="true">IF(INDIRECT("E"&amp;ROW())=0,"",IF(INDIRECT("H"&amp;ROW())=INDIRECT("E"&amp;ROW()),"Active","Expired"))</f>
      </c>
    </row>
    <row r="452" spans="9:10">
      <c r="I452" s="59" t="str" cm="1">
        <f t="array" aca="true" ref="I452" ca="true">IF(ISBLANK(INDIRECT("B"&amp;ROW())), "", INDIRECT("B"&amp;ROW()) &amp; " - " &amp; INDIRECT("J"&amp;ROW()))</f>
      </c>
      <c r="J452" s="59" t="str" cm="1">
        <f t="array" aca="true" ref="J452" ca="true">IF(INDIRECT("E"&amp;ROW())=0,"",IF(INDIRECT("H"&amp;ROW())=INDIRECT("E"&amp;ROW()),"Active","Expired"))</f>
      </c>
    </row>
    <row r="453" spans="9:10">
      <c r="I453" s="59" t="str" cm="1">
        <f t="array" aca="true" ref="I453" ca="true">IF(ISBLANK(INDIRECT("B"&amp;ROW())), "", INDIRECT("B"&amp;ROW()) &amp; " - " &amp; INDIRECT("J"&amp;ROW()))</f>
      </c>
      <c r="J453" s="59" t="str" cm="1">
        <f t="array" aca="true" ref="J453" ca="true">IF(INDIRECT("E"&amp;ROW())=0,"",IF(INDIRECT("H"&amp;ROW())=INDIRECT("E"&amp;ROW()),"Active","Expired"))</f>
      </c>
    </row>
    <row r="454" spans="9:10">
      <c r="I454" s="59" t="str" cm="1">
        <f t="array" aca="true" ref="I454" ca="true">IF(ISBLANK(INDIRECT("B"&amp;ROW())), "", INDIRECT("B"&amp;ROW()) &amp; " - " &amp; INDIRECT("J"&amp;ROW()))</f>
      </c>
      <c r="J454" s="59" t="str" cm="1">
        <f t="array" aca="true" ref="J454" ca="true">IF(INDIRECT("E"&amp;ROW())=0,"",IF(INDIRECT("H"&amp;ROW())=INDIRECT("E"&amp;ROW()),"Active","Expired"))</f>
      </c>
    </row>
    <row r="455" spans="9:10">
      <c r="I455" s="59" t="str" cm="1">
        <f t="array" aca="true" ref="I455" ca="true">IF(ISBLANK(INDIRECT("B"&amp;ROW())), "", INDIRECT("B"&amp;ROW()) &amp; " - " &amp; INDIRECT("J"&amp;ROW()))</f>
      </c>
      <c r="J455" s="59" t="str" cm="1">
        <f t="array" aca="true" ref="J455" ca="true">IF(INDIRECT("E"&amp;ROW())=0,"",IF(INDIRECT("H"&amp;ROW())=INDIRECT("E"&amp;ROW()),"Active","Expired"))</f>
      </c>
    </row>
    <row r="456" spans="9:10">
      <c r="I456" s="59" t="str" cm="1">
        <f t="array" aca="true" ref="I456" ca="true">IF(ISBLANK(INDIRECT("B"&amp;ROW())), "", INDIRECT("B"&amp;ROW()) &amp; " - " &amp; INDIRECT("J"&amp;ROW()))</f>
      </c>
      <c r="J456" s="59" t="str" cm="1">
        <f t="array" aca="true" ref="J456" ca="true">IF(INDIRECT("E"&amp;ROW())=0,"",IF(INDIRECT("H"&amp;ROW())=INDIRECT("E"&amp;ROW()),"Active","Expired"))</f>
      </c>
    </row>
    <row r="457" spans="9:10">
      <c r="I457" s="59" t="str" cm="1">
        <f t="array" aca="true" ref="I457" ca="true">IF(ISBLANK(INDIRECT("B"&amp;ROW())), "", INDIRECT("B"&amp;ROW()) &amp; " - " &amp; INDIRECT("J"&amp;ROW()))</f>
      </c>
      <c r="J457" s="59" t="str" cm="1">
        <f t="array" aca="true" ref="J457" ca="true">IF(INDIRECT("E"&amp;ROW())=0,"",IF(INDIRECT("H"&amp;ROW())=INDIRECT("E"&amp;ROW()),"Active","Expired"))</f>
      </c>
    </row>
    <row r="458" spans="9:10">
      <c r="I458" s="59" t="str" cm="1">
        <f t="array" aca="true" ref="I458" ca="true">IF(ISBLANK(INDIRECT("B"&amp;ROW())), "", INDIRECT("B"&amp;ROW()) &amp; " - " &amp; INDIRECT("J"&amp;ROW()))</f>
      </c>
      <c r="J458" s="59" t="str" cm="1">
        <f t="array" aca="true" ref="J458" ca="true">IF(INDIRECT("E"&amp;ROW())=0,"",IF(INDIRECT("H"&amp;ROW())=INDIRECT("E"&amp;ROW()),"Active","Expired"))</f>
      </c>
    </row>
    <row r="459" spans="9:10">
      <c r="I459" s="59" t="str" cm="1">
        <f t="array" aca="true" ref="I459" ca="true">IF(ISBLANK(INDIRECT("B"&amp;ROW())), "", INDIRECT("B"&amp;ROW()) &amp; " - " &amp; INDIRECT("J"&amp;ROW()))</f>
      </c>
      <c r="J459" s="59" t="str" cm="1">
        <f t="array" aca="true" ref="J459" ca="true">IF(INDIRECT("E"&amp;ROW())=0,"",IF(INDIRECT("H"&amp;ROW())=INDIRECT("E"&amp;ROW()),"Active","Expired"))</f>
      </c>
    </row>
    <row r="460" spans="9:10">
      <c r="I460" s="59" t="str" cm="1">
        <f t="array" aca="true" ref="I460" ca="true">IF(ISBLANK(INDIRECT("B"&amp;ROW())), "", INDIRECT("B"&amp;ROW()) &amp; " - " &amp; INDIRECT("J"&amp;ROW()))</f>
      </c>
      <c r="J460" s="59" t="str" cm="1">
        <f t="array" aca="true" ref="J460" ca="true">IF(INDIRECT("E"&amp;ROW())=0,"",IF(INDIRECT("H"&amp;ROW())=INDIRECT("E"&amp;ROW()),"Active","Expired"))</f>
      </c>
    </row>
    <row r="461" spans="9:10">
      <c r="I461" s="59" t="str" cm="1">
        <f t="array" aca="true" ref="I461" ca="true">IF(ISBLANK(INDIRECT("B"&amp;ROW())), "", INDIRECT("B"&amp;ROW()) &amp; " - " &amp; INDIRECT("J"&amp;ROW()))</f>
      </c>
      <c r="J461" s="59" t="str" cm="1">
        <f t="array" aca="true" ref="J461" ca="true">IF(INDIRECT("E"&amp;ROW())=0,"",IF(INDIRECT("H"&amp;ROW())=INDIRECT("E"&amp;ROW()),"Active","Expired"))</f>
      </c>
    </row>
    <row r="462" spans="9:10">
      <c r="I462" s="59" t="str" cm="1">
        <f t="array" aca="true" ref="I462" ca="true">IF(ISBLANK(INDIRECT("B"&amp;ROW())), "", INDIRECT("B"&amp;ROW()) &amp; " - " &amp; INDIRECT("J"&amp;ROW()))</f>
      </c>
      <c r="J462" s="59" t="str" cm="1">
        <f t="array" aca="true" ref="J462" ca="true">IF(INDIRECT("E"&amp;ROW())=0,"",IF(INDIRECT("H"&amp;ROW())=INDIRECT("E"&amp;ROW()),"Active","Expired"))</f>
      </c>
    </row>
    <row r="463" spans="9:10">
      <c r="I463" s="59" t="str" cm="1">
        <f t="array" aca="true" ref="I463" ca="true">IF(ISBLANK(INDIRECT("B"&amp;ROW())), "", INDIRECT("B"&amp;ROW()) &amp; " - " &amp; INDIRECT("J"&amp;ROW()))</f>
      </c>
      <c r="J463" s="59" t="str" cm="1">
        <f t="array" aca="true" ref="J463" ca="true">IF(INDIRECT("E"&amp;ROW())=0,"",IF(INDIRECT("H"&amp;ROW())=INDIRECT("E"&amp;ROW()),"Active","Expired"))</f>
      </c>
    </row>
    <row r="464" spans="9:10">
      <c r="I464" s="59" t="str" cm="1">
        <f t="array" aca="true" ref="I464" ca="true">IF(ISBLANK(INDIRECT("B"&amp;ROW())), "", INDIRECT("B"&amp;ROW()) &amp; " - " &amp; INDIRECT("J"&amp;ROW()))</f>
      </c>
      <c r="J464" s="59" t="str" cm="1">
        <f t="array" aca="true" ref="J464" ca="true">IF(INDIRECT("E"&amp;ROW())=0,"",IF(INDIRECT("H"&amp;ROW())=INDIRECT("E"&amp;ROW()),"Active","Expired"))</f>
      </c>
    </row>
    <row r="465" spans="9:10">
      <c r="I465" s="59" t="str" cm="1">
        <f t="array" aca="true" ref="I465" ca="true">IF(ISBLANK(INDIRECT("B"&amp;ROW())), "", INDIRECT("B"&amp;ROW()) &amp; " - " &amp; INDIRECT("J"&amp;ROW()))</f>
      </c>
      <c r="J465" s="59" t="str" cm="1">
        <f t="array" aca="true" ref="J465" ca="true">IF(INDIRECT("E"&amp;ROW())=0,"",IF(INDIRECT("H"&amp;ROW())=INDIRECT("E"&amp;ROW()),"Active","Expired"))</f>
      </c>
    </row>
    <row r="466" spans="9:10">
      <c r="I466" s="59" t="str" cm="1">
        <f t="array" aca="true" ref="I466" ca="true">IF(ISBLANK(INDIRECT("B"&amp;ROW())), "", INDIRECT("B"&amp;ROW()) &amp; " - " &amp; INDIRECT("J"&amp;ROW()))</f>
      </c>
      <c r="J466" s="59" t="str" cm="1">
        <f t="array" aca="true" ref="J466" ca="true">IF(INDIRECT("E"&amp;ROW())=0,"",IF(INDIRECT("H"&amp;ROW())=INDIRECT("E"&amp;ROW()),"Active","Expired"))</f>
      </c>
    </row>
    <row r="467" spans="9:10">
      <c r="I467" s="59" t="str" cm="1">
        <f t="array" aca="true" ref="I467" ca="true">IF(ISBLANK(INDIRECT("B"&amp;ROW())), "", INDIRECT("B"&amp;ROW()) &amp; " - " &amp; INDIRECT("J"&amp;ROW()))</f>
      </c>
      <c r="J467" s="59" t="str" cm="1">
        <f t="array" aca="true" ref="J467" ca="true">IF(INDIRECT("E"&amp;ROW())=0,"",IF(INDIRECT("H"&amp;ROW())=INDIRECT("E"&amp;ROW()),"Active","Expired"))</f>
      </c>
    </row>
    <row r="468" spans="9:10">
      <c r="I468" s="59" t="str" cm="1">
        <f t="array" aca="true" ref="I468" ca="true">IF(ISBLANK(INDIRECT("B"&amp;ROW())), "", INDIRECT("B"&amp;ROW()) &amp; " - " &amp; INDIRECT("J"&amp;ROW()))</f>
      </c>
      <c r="J468" s="59" t="str" cm="1">
        <f t="array" aca="true" ref="J468" ca="true">IF(INDIRECT("E"&amp;ROW())=0,"",IF(INDIRECT("H"&amp;ROW())=INDIRECT("E"&amp;ROW()),"Active","Expired"))</f>
      </c>
    </row>
    <row r="469" spans="9:10">
      <c r="I469" s="59" t="str" cm="1">
        <f t="array" aca="true" ref="I469" ca="true">IF(ISBLANK(INDIRECT("B"&amp;ROW())), "", INDIRECT("B"&amp;ROW()) &amp; " - " &amp; INDIRECT("J"&amp;ROW()))</f>
      </c>
      <c r="J469" s="59" t="str" cm="1">
        <f t="array" aca="true" ref="J469" ca="true">IF(INDIRECT("E"&amp;ROW())=0,"",IF(INDIRECT("H"&amp;ROW())=INDIRECT("E"&amp;ROW()),"Active","Expired"))</f>
      </c>
    </row>
    <row r="470" spans="9:10">
      <c r="I470" s="59" t="str" cm="1">
        <f t="array" aca="true" ref="I470" ca="true">IF(ISBLANK(INDIRECT("B"&amp;ROW())), "", INDIRECT("B"&amp;ROW()) &amp; " - " &amp; INDIRECT("J"&amp;ROW()))</f>
      </c>
      <c r="J470" s="59" t="str" cm="1">
        <f t="array" aca="true" ref="J470" ca="true">IF(INDIRECT("E"&amp;ROW())=0,"",IF(INDIRECT("H"&amp;ROW())=INDIRECT("E"&amp;ROW()),"Active","Expired"))</f>
      </c>
    </row>
    <row r="471" spans="9:10">
      <c r="I471" s="59" t="str" cm="1">
        <f t="array" aca="true" ref="I471" ca="true">IF(ISBLANK(INDIRECT("B"&amp;ROW())), "", INDIRECT("B"&amp;ROW()) &amp; " - " &amp; INDIRECT("J"&amp;ROW()))</f>
      </c>
      <c r="J471" s="59" t="str" cm="1">
        <f t="array" aca="true" ref="J471" ca="true">IF(INDIRECT("E"&amp;ROW())=0,"",IF(INDIRECT("H"&amp;ROW())=INDIRECT("E"&amp;ROW()),"Active","Expired"))</f>
      </c>
    </row>
    <row r="472" spans="9:10">
      <c r="I472" s="59" t="str" cm="1">
        <f t="array" aca="true" ref="I472" ca="true">IF(ISBLANK(INDIRECT("B"&amp;ROW())), "", INDIRECT("B"&amp;ROW()) &amp; " - " &amp; INDIRECT("J"&amp;ROW()))</f>
      </c>
      <c r="J472" s="59" t="str" cm="1">
        <f t="array" aca="true" ref="J472" ca="true">IF(INDIRECT("E"&amp;ROW())=0,"",IF(INDIRECT("H"&amp;ROW())=INDIRECT("E"&amp;ROW()),"Active","Expired"))</f>
      </c>
    </row>
    <row r="473" spans="9:10">
      <c r="I473" s="59" t="str" cm="1">
        <f t="array" aca="true" ref="I473" ca="true">IF(ISBLANK(INDIRECT("B"&amp;ROW())), "", INDIRECT("B"&amp;ROW()) &amp; " - " &amp; INDIRECT("J"&amp;ROW()))</f>
      </c>
      <c r="J473" s="59" t="str" cm="1">
        <f t="array" aca="true" ref="J473" ca="true">IF(INDIRECT("E"&amp;ROW())=0,"",IF(INDIRECT("H"&amp;ROW())=INDIRECT("E"&amp;ROW()),"Active","Expired"))</f>
      </c>
    </row>
    <row r="474" spans="9:10">
      <c r="I474" s="59" t="str" cm="1">
        <f t="array" aca="true" ref="I474" ca="true">IF(ISBLANK(INDIRECT("B"&amp;ROW())), "", INDIRECT("B"&amp;ROW()) &amp; " - " &amp; INDIRECT("J"&amp;ROW()))</f>
      </c>
      <c r="J474" s="59" t="str" cm="1">
        <f t="array" aca="true" ref="J474" ca="true">IF(INDIRECT("E"&amp;ROW())=0,"",IF(INDIRECT("H"&amp;ROW())=INDIRECT("E"&amp;ROW()),"Active","Expired"))</f>
      </c>
    </row>
    <row r="475" spans="9:10">
      <c r="I475" s="59" t="str" cm="1">
        <f t="array" aca="true" ref="I475" ca="true">IF(ISBLANK(INDIRECT("B"&amp;ROW())), "", INDIRECT("B"&amp;ROW()) &amp; " - " &amp; INDIRECT("J"&amp;ROW()))</f>
      </c>
      <c r="J475" s="59" t="str" cm="1">
        <f t="array" aca="true" ref="J475" ca="true">IF(INDIRECT("E"&amp;ROW())=0,"",IF(INDIRECT("H"&amp;ROW())=INDIRECT("E"&amp;ROW()),"Active","Expired"))</f>
      </c>
    </row>
    <row r="476" spans="9:10">
      <c r="I476" s="59" t="str" cm="1">
        <f t="array" aca="true" ref="I476" ca="true">IF(ISBLANK(INDIRECT("B"&amp;ROW())), "", INDIRECT("B"&amp;ROW()) &amp; " - " &amp; INDIRECT("J"&amp;ROW()))</f>
      </c>
      <c r="J476" s="59" t="str" cm="1">
        <f t="array" aca="true" ref="J476" ca="true">IF(INDIRECT("E"&amp;ROW())=0,"",IF(INDIRECT("H"&amp;ROW())=INDIRECT("E"&amp;ROW()),"Active","Expired"))</f>
      </c>
    </row>
    <row r="477" spans="9:10">
      <c r="I477" s="59" t="str" cm="1">
        <f t="array" aca="true" ref="I477" ca="true">IF(ISBLANK(INDIRECT("B"&amp;ROW())), "", INDIRECT("B"&amp;ROW()) &amp; " - " &amp; INDIRECT("J"&amp;ROW()))</f>
      </c>
      <c r="J477" s="59" t="str" cm="1">
        <f t="array" aca="true" ref="J477" ca="true">IF(INDIRECT("E"&amp;ROW())=0,"",IF(INDIRECT("H"&amp;ROW())=INDIRECT("E"&amp;ROW()),"Active","Expired"))</f>
      </c>
    </row>
    <row r="478" spans="9:10">
      <c r="I478" s="59" t="str" cm="1">
        <f t="array" aca="true" ref="I478" ca="true">IF(ISBLANK(INDIRECT("B"&amp;ROW())), "", INDIRECT("B"&amp;ROW()) &amp; " - " &amp; INDIRECT("J"&amp;ROW()))</f>
      </c>
      <c r="J478" s="59" t="str" cm="1">
        <f t="array" aca="true" ref="J478" ca="true">IF(INDIRECT("E"&amp;ROW())=0,"",IF(INDIRECT("H"&amp;ROW())=INDIRECT("E"&amp;ROW()),"Active","Expired"))</f>
      </c>
    </row>
    <row r="479" spans="9:10">
      <c r="I479" s="59" t="str" cm="1">
        <f t="array" aca="true" ref="I479" ca="true">IF(ISBLANK(INDIRECT("B"&amp;ROW())), "", INDIRECT("B"&amp;ROW()) &amp; " - " &amp; INDIRECT("J"&amp;ROW()))</f>
      </c>
      <c r="J479" s="59" t="str" cm="1">
        <f t="array" aca="true" ref="J479" ca="true">IF(INDIRECT("E"&amp;ROW())=0,"",IF(INDIRECT("H"&amp;ROW())=INDIRECT("E"&amp;ROW()),"Active","Expired"))</f>
      </c>
    </row>
    <row r="480" spans="9:10">
      <c r="I480" s="59" t="str" cm="1">
        <f t="array" aca="true" ref="I480" ca="true">IF(ISBLANK(INDIRECT("B"&amp;ROW())), "", INDIRECT("B"&amp;ROW()) &amp; " - " &amp; INDIRECT("J"&amp;ROW()))</f>
      </c>
      <c r="J480" s="59" t="str" cm="1">
        <f t="array" aca="true" ref="J480" ca="true">IF(INDIRECT("E"&amp;ROW())=0,"",IF(INDIRECT("H"&amp;ROW())=INDIRECT("E"&amp;ROW()),"Active","Expired"))</f>
      </c>
    </row>
    <row r="481" spans="9:10">
      <c r="I481" s="59" t="str" cm="1">
        <f t="array" aca="true" ref="I481" ca="true">IF(ISBLANK(INDIRECT("B"&amp;ROW())), "", INDIRECT("B"&amp;ROW()) &amp; " - " &amp; INDIRECT("J"&amp;ROW()))</f>
      </c>
      <c r="J481" s="59" t="str" cm="1">
        <f t="array" aca="true" ref="J481" ca="true">IF(INDIRECT("E"&amp;ROW())=0,"",IF(INDIRECT("H"&amp;ROW())=INDIRECT("E"&amp;ROW()),"Active","Expired"))</f>
      </c>
    </row>
    <row r="482" spans="9:10">
      <c r="I482" s="59" t="str" cm="1">
        <f t="array" aca="true" ref="I482" ca="true">IF(ISBLANK(INDIRECT("B"&amp;ROW())), "", INDIRECT("B"&amp;ROW()) &amp; " - " &amp; INDIRECT("J"&amp;ROW()))</f>
      </c>
      <c r="J482" s="59" t="str" cm="1">
        <f t="array" aca="true" ref="J482" ca="true">IF(INDIRECT("E"&amp;ROW())=0,"",IF(INDIRECT("H"&amp;ROW())=INDIRECT("E"&amp;ROW()),"Active","Expired"))</f>
      </c>
    </row>
    <row r="483" spans="9:10">
      <c r="I483" s="59" t="str" cm="1">
        <f t="array" aca="true" ref="I483" ca="true">IF(ISBLANK(INDIRECT("B"&amp;ROW())), "", INDIRECT("B"&amp;ROW()) &amp; " - " &amp; INDIRECT("J"&amp;ROW()))</f>
      </c>
      <c r="J483" s="59" t="str" cm="1">
        <f t="array" aca="true" ref="J483" ca="true">IF(INDIRECT("E"&amp;ROW())=0,"",IF(INDIRECT("H"&amp;ROW())=INDIRECT("E"&amp;ROW()),"Active","Expired"))</f>
      </c>
    </row>
    <row r="484" spans="9:10">
      <c r="I484" s="59" t="str" cm="1">
        <f t="array" aca="true" ref="I484" ca="true">IF(ISBLANK(INDIRECT("B"&amp;ROW())), "", INDIRECT("B"&amp;ROW()) &amp; " - " &amp; INDIRECT("J"&amp;ROW()))</f>
      </c>
      <c r="J484" s="59" t="str" cm="1">
        <f t="array" aca="true" ref="J484" ca="true">IF(INDIRECT("E"&amp;ROW())=0,"",IF(INDIRECT("H"&amp;ROW())=INDIRECT("E"&amp;ROW()),"Active","Expired"))</f>
      </c>
    </row>
    <row r="485" spans="9:10">
      <c r="I485" s="59" t="str" cm="1">
        <f t="array" aca="true" ref="I485" ca="true">IF(ISBLANK(INDIRECT("B"&amp;ROW())), "", INDIRECT("B"&amp;ROW()) &amp; " - " &amp; INDIRECT("J"&amp;ROW()))</f>
      </c>
      <c r="J485" s="59" t="str" cm="1">
        <f t="array" aca="true" ref="J485" ca="true">IF(INDIRECT("E"&amp;ROW())=0,"",IF(INDIRECT("H"&amp;ROW())=INDIRECT("E"&amp;ROW()),"Active","Expired"))</f>
      </c>
    </row>
    <row r="486" spans="9:10">
      <c r="I486" s="59" t="str" cm="1">
        <f t="array" aca="true" ref="I486" ca="true">IF(ISBLANK(INDIRECT("B"&amp;ROW())), "", INDIRECT("B"&amp;ROW()) &amp; " - " &amp; INDIRECT("J"&amp;ROW()))</f>
      </c>
      <c r="J486" s="59" t="str" cm="1">
        <f t="array" aca="true" ref="J486" ca="true">IF(INDIRECT("E"&amp;ROW())=0,"",IF(INDIRECT("H"&amp;ROW())=INDIRECT("E"&amp;ROW()),"Active","Expired"))</f>
      </c>
    </row>
    <row r="487" spans="9:10">
      <c r="I487" s="59" t="str" cm="1">
        <f t="array" aca="true" ref="I487" ca="true">IF(ISBLANK(INDIRECT("B"&amp;ROW())), "", INDIRECT("B"&amp;ROW()) &amp; " - " &amp; INDIRECT("J"&amp;ROW()))</f>
      </c>
      <c r="J487" s="59" t="str" cm="1">
        <f t="array" aca="true" ref="J487" ca="true">IF(INDIRECT("E"&amp;ROW())=0,"",IF(INDIRECT("H"&amp;ROW())=INDIRECT("E"&amp;ROW()),"Active","Expired"))</f>
      </c>
    </row>
    <row r="488" spans="9:10">
      <c r="I488" s="59" t="str" cm="1">
        <f t="array" aca="true" ref="I488" ca="true">IF(ISBLANK(INDIRECT("B"&amp;ROW())), "", INDIRECT("B"&amp;ROW()) &amp; " - " &amp; INDIRECT("J"&amp;ROW()))</f>
      </c>
      <c r="J488" s="59" t="str" cm="1">
        <f t="array" aca="true" ref="J488" ca="true">IF(INDIRECT("E"&amp;ROW())=0,"",IF(INDIRECT("H"&amp;ROW())=INDIRECT("E"&amp;ROW()),"Active","Expired"))</f>
      </c>
    </row>
    <row r="489" spans="9:10">
      <c r="I489" s="59" t="str" cm="1">
        <f t="array" aca="true" ref="I489" ca="true">IF(ISBLANK(INDIRECT("B"&amp;ROW())), "", INDIRECT("B"&amp;ROW()) &amp; " - " &amp; INDIRECT("J"&amp;ROW()))</f>
      </c>
      <c r="J489" s="59" t="str" cm="1">
        <f t="array" aca="true" ref="J489" ca="true">IF(INDIRECT("E"&amp;ROW())=0,"",IF(INDIRECT("H"&amp;ROW())=INDIRECT("E"&amp;ROW()),"Active","Expired"))</f>
      </c>
    </row>
    <row r="490" spans="9:10">
      <c r="I490" s="59" t="str" cm="1">
        <f t="array" aca="true" ref="I490" ca="true">IF(ISBLANK(INDIRECT("B"&amp;ROW())), "", INDIRECT("B"&amp;ROW()) &amp; " - " &amp; INDIRECT("J"&amp;ROW()))</f>
      </c>
      <c r="J490" s="59" t="str" cm="1">
        <f t="array" aca="true" ref="J490" ca="true">IF(INDIRECT("E"&amp;ROW())=0,"",IF(INDIRECT("H"&amp;ROW())=INDIRECT("E"&amp;ROW()),"Active","Expired"))</f>
      </c>
    </row>
    <row r="491" spans="9:10">
      <c r="I491" s="59" t="str" cm="1">
        <f t="array" aca="true" ref="I491" ca="true">IF(ISBLANK(INDIRECT("B"&amp;ROW())), "", INDIRECT("B"&amp;ROW()) &amp; " - " &amp; INDIRECT("J"&amp;ROW()))</f>
      </c>
      <c r="J491" s="59" t="str" cm="1">
        <f t="array" aca="true" ref="J491" ca="true">IF(INDIRECT("E"&amp;ROW())=0,"",IF(INDIRECT("H"&amp;ROW())=INDIRECT("E"&amp;ROW()),"Active","Expired"))</f>
      </c>
    </row>
    <row r="492" spans="9:10">
      <c r="I492" s="59" t="str" cm="1">
        <f t="array" aca="true" ref="I492" ca="true">IF(ISBLANK(INDIRECT("B"&amp;ROW())), "", INDIRECT("B"&amp;ROW()) &amp; " - " &amp; INDIRECT("J"&amp;ROW()))</f>
      </c>
      <c r="J492" s="59" t="str" cm="1">
        <f t="array" aca="true" ref="J492" ca="true">IF(INDIRECT("E"&amp;ROW())=0,"",IF(INDIRECT("H"&amp;ROW())=INDIRECT("E"&amp;ROW()),"Active","Expired"))</f>
      </c>
    </row>
    <row r="493" spans="9:10">
      <c r="I493" s="59" t="str" cm="1">
        <f t="array" aca="true" ref="I493" ca="true">IF(ISBLANK(INDIRECT("B"&amp;ROW())), "", INDIRECT("B"&amp;ROW()) &amp; " - " &amp; INDIRECT("J"&amp;ROW()))</f>
      </c>
      <c r="J493" s="59" t="str" cm="1">
        <f t="array" aca="true" ref="J493" ca="true">IF(INDIRECT("E"&amp;ROW())=0,"",IF(INDIRECT("H"&amp;ROW())=INDIRECT("E"&amp;ROW()),"Active","Expired"))</f>
      </c>
    </row>
    <row r="494" spans="9:10">
      <c r="I494" s="59" t="str" cm="1">
        <f t="array" aca="true" ref="I494" ca="true">IF(ISBLANK(INDIRECT("B"&amp;ROW())), "", INDIRECT("B"&amp;ROW()) &amp; " - " &amp; INDIRECT("J"&amp;ROW()))</f>
      </c>
      <c r="J494" s="59" t="str" cm="1">
        <f t="array" aca="true" ref="J494" ca="true">IF(INDIRECT("E"&amp;ROW())=0,"",IF(INDIRECT("H"&amp;ROW())=INDIRECT("E"&amp;ROW()),"Active","Expired"))</f>
      </c>
    </row>
    <row r="495" spans="9:10">
      <c r="I495" s="59" t="str" cm="1">
        <f t="array" aca="true" ref="I495" ca="true">IF(ISBLANK(INDIRECT("B"&amp;ROW())), "", INDIRECT("B"&amp;ROW()) &amp; " - " &amp; INDIRECT("J"&amp;ROW()))</f>
      </c>
      <c r="J495" s="59" t="str" cm="1">
        <f t="array" aca="true" ref="J495" ca="true">IF(INDIRECT("E"&amp;ROW())=0,"",IF(INDIRECT("H"&amp;ROW())=INDIRECT("E"&amp;ROW()),"Active","Expired"))</f>
      </c>
    </row>
    <row r="496" spans="9:10">
      <c r="I496" s="59" t="str" cm="1">
        <f t="array" aca="true" ref="I496" ca="true">IF(ISBLANK(INDIRECT("B"&amp;ROW())), "", INDIRECT("B"&amp;ROW()) &amp; " - " &amp; INDIRECT("J"&amp;ROW()))</f>
      </c>
      <c r="J496" s="59" t="str" cm="1">
        <f t="array" aca="true" ref="J496" ca="true">IF(INDIRECT("E"&amp;ROW())=0,"",IF(INDIRECT("H"&amp;ROW())=INDIRECT("E"&amp;ROW()),"Active","Expired"))</f>
      </c>
    </row>
    <row r="497" spans="9:10">
      <c r="I497" s="59" t="str" cm="1">
        <f t="array" aca="true" ref="I497" ca="true">IF(ISBLANK(INDIRECT("B"&amp;ROW())), "", INDIRECT("B"&amp;ROW()) &amp; " - " &amp; INDIRECT("J"&amp;ROW()))</f>
      </c>
      <c r="J497" s="59" t="str" cm="1">
        <f t="array" aca="true" ref="J497" ca="true">IF(INDIRECT("E"&amp;ROW())=0,"",IF(INDIRECT("H"&amp;ROW())=INDIRECT("E"&amp;ROW()),"Active","Expired"))</f>
      </c>
    </row>
    <row r="498" spans="9:10">
      <c r="I498" s="59" t="str" cm="1">
        <f t="array" aca="true" ref="I498" ca="true">IF(ISBLANK(INDIRECT("B"&amp;ROW())), "", INDIRECT("B"&amp;ROW()) &amp; " - " &amp; INDIRECT("J"&amp;ROW()))</f>
      </c>
      <c r="J498" s="59" t="str" cm="1">
        <f t="array" aca="true" ref="J498" ca="true">IF(INDIRECT("E"&amp;ROW())=0,"",IF(INDIRECT("H"&amp;ROW())=INDIRECT("E"&amp;ROW()),"Active","Expired"))</f>
      </c>
    </row>
    <row r="499" spans="9:10">
      <c r="I499" s="59" t="str" cm="1">
        <f t="array" aca="true" ref="I499" ca="true">IF(ISBLANK(INDIRECT("B"&amp;ROW())), "", INDIRECT("B"&amp;ROW()) &amp; " - " &amp; INDIRECT("J"&amp;ROW()))</f>
      </c>
      <c r="J499" s="59" t="str" cm="1">
        <f t="array" aca="true" ref="J499" ca="true">IF(INDIRECT("E"&amp;ROW())=0,"",IF(INDIRECT("H"&amp;ROW())=INDIRECT("E"&amp;ROW()),"Active","Expired"))</f>
      </c>
    </row>
    <row r="500" spans="9:10">
      <c r="I500" s="59" t="str" cm="1">
        <f t="array" aca="true" ref="I500" ca="true">IF(ISBLANK(INDIRECT("B"&amp;ROW())), "", INDIRECT("B"&amp;ROW()) &amp; " - " &amp; INDIRECT("J"&amp;ROW()))</f>
      </c>
      <c r="J500" s="59" t="str" cm="1">
        <f t="array" aca="true" ref="J500" ca="true">IF(INDIRECT("E"&amp;ROW())=0,"",IF(INDIRECT("H"&amp;ROW())=INDIRECT("E"&amp;ROW()),"Active","Expired"))</f>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FB8C3-7B34-4D1B-921E-39861FFF4C80}">
  <sheetPr codeName="Sheet14">
    <pageSetUpPr fitToPage="true"/>
  </sheetPr>
  <dimension ref="B1:K23"/>
  <sheetViews>
    <sheetView showGridLines="false" zoomScaleNormal="100" workbookViewId="0"/>
  </sheetViews>
  <sheetFormatPr defaultColWidth="8.7265625" defaultRowHeight="13"/>
  <cols>
    <col customWidth="true" max="1" min="1" style="7" width="2.54296875"/>
    <col customWidth="true" max="2" min="2" style="7" width="29"/>
    <col customWidth="true" max="5" min="3" style="88" width="14.81640625"/>
    <col customWidth="true" max="8" min="6" style="88" width="10.7265625"/>
    <col customWidth="true" max="11" min="9" style="89" width="10.7265625"/>
    <col max="16384" min="12" style="7" width="8.7265625"/>
  </cols>
  <sheetData>
    <row r="1" spans="2:11" ht="8" customHeight="true"/>
    <row r="2" spans="2:11" ht="21">
      <c r="B2" s="703" t="s">
        <v>38</v>
      </c>
      <c r="C2" s="804" t="s">
        <v>1214</v>
      </c>
      <c r="D2" s="804"/>
      <c r="E2" s="804"/>
      <c r="F2" s="804" t="s">
        <v>39</v>
      </c>
      <c r="G2" s="804"/>
      <c r="H2" s="804"/>
      <c r="I2" s="804" t="s">
        <v>239</v>
      </c>
      <c r="J2" s="804"/>
      <c r="K2" s="804"/>
    </row>
    <row r="3" spans="2:11" s="1" customFormat="true" ht="18.5">
      <c r="B3" s="90" t="s">
        <v>40</v>
      </c>
      <c r="C3" s="91" t="s">
        <v>41</v>
      </c>
      <c r="D3" s="91" t="s">
        <v>42</v>
      </c>
      <c r="E3" s="91" t="s">
        <v>43</v>
      </c>
      <c r="F3" s="91" t="s">
        <v>41</v>
      </c>
      <c r="G3" s="91" t="s">
        <v>42</v>
      </c>
      <c r="H3" s="91" t="s">
        <v>43</v>
      </c>
      <c r="I3" s="92" t="s">
        <v>44</v>
      </c>
      <c r="J3" s="92" t="s">
        <v>45</v>
      </c>
      <c r="K3" s="92" t="s">
        <v>46</v>
      </c>
    </row>
    <row r="4" spans="2:11" s="55" customFormat="true" ht="19" customHeight="true">
      <c r="B4" s="93" t="s">
        <v>47</v>
      </c>
      <c r="C4" s="94">
        <v>3868722</v>
      </c>
      <c r="D4" s="94">
        <v>4298580</v>
      </c>
      <c r="E4" s="94">
        <v>4728438</v>
      </c>
      <c r="F4" s="94" t="str">
        <f ca="true">IFERROR(C4/OFFSET('Rent Comps'!$A$1,3,7),"")</f>
      </c>
      <c r="G4" s="94">
        <v>13026</v>
      </c>
      <c r="H4" s="94" t="str">
        <f ca="true">IFERROR(E4/OFFSET('Rent Comps'!$A$1,3,7),"")</f>
      </c>
      <c r="I4" s="95">
        <v>1</v>
      </c>
      <c r="J4" s="95">
        <v>1.0000986469546476</v>
      </c>
      <c r="K4" s="95"/>
    </row>
    <row r="5" spans="2:11" s="55" customFormat="true" ht="19" customHeight="true">
      <c r="B5" s="96" t="s">
        <v>54</v>
      </c>
      <c r="C5" s="97">
        <v>79992</v>
      </c>
      <c r="D5" s="97">
        <v>172968</v>
      </c>
      <c r="E5" s="97">
        <v>265944</v>
      </c>
      <c r="F5" s="97" t="str">
        <f ca="true">IFERROR(C5/OFFSET('Rent Comps'!$A$1,3,7),"")</f>
      </c>
      <c r="G5" s="97">
        <v>524.1454545454545</v>
      </c>
      <c r="H5" s="97" t="str">
        <f ca="true">IFERROR(E5/OFFSET('Rent Comps'!$A$1,3,7),"")</f>
      </c>
      <c r="I5" s="98">
        <v>0.0402384043102606</v>
      </c>
      <c r="J5" s="98">
        <v>0.04024237370630568</v>
      </c>
      <c r="K5" s="98"/>
    </row>
    <row r="6" spans="2:11" s="55" customFormat="true" ht="19" customHeight="true">
      <c r="B6" s="96" t="s">
        <v>68</v>
      </c>
      <c r="C6" s="97"/>
      <c r="D6" s="97">
        <v>12044</v>
      </c>
      <c r="E6" s="97">
        <v>29882</v>
      </c>
      <c r="F6" s="97" t="str">
        <f ca="true">IFERROR(C6/OFFSET('Rent Comps'!$A$1,3,7),"")</f>
      </c>
      <c r="G6" s="97">
        <v>36.4969696969697</v>
      </c>
      <c r="H6" s="97" t="str">
        <f ca="true">IFERROR(E6/OFFSET('Rent Comps'!$A$1,3,7),"")</f>
      </c>
      <c r="I6" s="98">
        <v>0.002801855496466275</v>
      </c>
      <c r="J6" s="98">
        <v>0.002802131890978364</v>
      </c>
      <c r="K6" s="98"/>
    </row>
    <row r="7" spans="2:11" s="55" customFormat="true" ht="19" customHeight="true">
      <c r="B7" s="96" t="s">
        <v>61</v>
      </c>
      <c r="C7" s="97">
        <v>45521</v>
      </c>
      <c r="D7" s="97">
        <v>126237</v>
      </c>
      <c r="E7" s="97">
        <v>206953</v>
      </c>
      <c r="F7" s="97" t="str">
        <f ca="true">IFERROR(C7/OFFSET('Rent Comps'!$A$1,3,7),"")</f>
      </c>
      <c r="G7" s="97">
        <v>382.53636363636366</v>
      </c>
      <c r="H7" s="97" t="str">
        <f ca="true">IFERROR(E7/OFFSET('Rent Comps'!$A$1,3,7),"")</f>
      </c>
      <c r="I7" s="98">
        <v>0.029367139846181764</v>
      </c>
      <c r="J7" s="98">
        <v>0.029370036825094297</v>
      </c>
      <c r="K7" s="98"/>
    </row>
    <row r="8" spans="2:11" s="55" customFormat="true" ht="19" customHeight="true">
      <c r="B8" s="93" t="s">
        <v>75</v>
      </c>
      <c r="C8" s="94">
        <v>3850353</v>
      </c>
      <c r="D8" s="94">
        <v>4298156</v>
      </c>
      <c r="E8" s="94">
        <v>4745959</v>
      </c>
      <c r="F8" s="94" t="str">
        <f ca="true">IFERROR(C8/OFFSET('Rent Comps'!$A$1,3,7),"")</f>
      </c>
      <c r="G8" s="94">
        <v>13024.71515151515</v>
      </c>
      <c r="H8" s="94" t="str">
        <f ca="true">IFERROR(E8/OFFSET('Rent Comps'!$A$1,3,7),"")</f>
      </c>
      <c r="I8" s="95">
        <v>0.9999013627756143</v>
      </c>
      <c r="J8" s="95">
        <v>1</v>
      </c>
      <c r="K8" s="95"/>
    </row>
    <row r="9" spans="2:11" s="1" customFormat="true" ht="19" customHeight="true">
      <c r="B9" s="90" t="s">
        <v>82</v>
      </c>
      <c r="C9" s="91" t="s">
        <v>41</v>
      </c>
      <c r="D9" s="91" t="s">
        <v>42</v>
      </c>
      <c r="E9" s="91" t="s">
        <v>43</v>
      </c>
      <c r="F9" s="91" t="s">
        <v>41</v>
      </c>
      <c r="G9" s="91" t="s">
        <v>42</v>
      </c>
      <c r="H9" s="91" t="s">
        <v>43</v>
      </c>
      <c r="I9" s="92" t="s">
        <v>44</v>
      </c>
      <c r="J9" s="92" t="s">
        <v>45</v>
      </c>
      <c r="K9" s="92" t="s">
        <v>46</v>
      </c>
    </row>
    <row r="10" spans="2:11" s="55" customFormat="true" ht="19" customHeight="true">
      <c r="B10" s="96" t="s">
        <v>83</v>
      </c>
      <c r="C10" s="97">
        <v>279866</v>
      </c>
      <c r="D10" s="97">
        <v>354393</v>
      </c>
      <c r="E10" s="97">
        <v>428920</v>
      </c>
      <c r="F10" s="97" t="str">
        <f ca="true">IFERROR(C10/OFFSET('Rent Comps'!$A$1,3,7),"")</f>
      </c>
      <c r="G10" s="97">
        <v>1073.918181818182</v>
      </c>
      <c r="H10" s="97" t="str">
        <f ca="true">IFERROR(E10/OFFSET('Rent Comps'!$A$1,3,7),"")</f>
      </c>
      <c r="I10" s="98">
        <v>0.08244420250408274</v>
      </c>
      <c r="J10" s="98">
        <v>0.08245233537358812</v>
      </c>
      <c r="K10" s="98" t="str">
        <f t="shared" ref="K10:K21" si="0">IFERROR(D10/$D$21,"")</f>
      </c>
    </row>
    <row r="11" spans="2:11" s="55" customFormat="true" ht="19" customHeight="true">
      <c r="B11" s="96" t="s">
        <v>90</v>
      </c>
      <c r="C11" s="97">
        <v>38084</v>
      </c>
      <c r="D11" s="97">
        <v>169581</v>
      </c>
      <c r="E11" s="97">
        <v>301078</v>
      </c>
      <c r="F11" s="97" t="str">
        <f ca="true">IFERROR(C11/OFFSET('Rent Comps'!$A$1,3,7),"")</f>
      </c>
      <c r="G11" s="97">
        <v>513.8818181818182</v>
      </c>
      <c r="H11" s="97" t="str">
        <f ca="true">IFERROR(E11/OFFSET('Rent Comps'!$A$1,3,7),"")</f>
      </c>
      <c r="I11" s="98">
        <v>0.03945046968999065</v>
      </c>
      <c r="J11" s="98">
        <v>0.03945436135868498</v>
      </c>
      <c r="K11" s="98" t="str">
        <f t="shared" si="0"/>
      </c>
    </row>
    <row r="12" spans="2:11" s="55" customFormat="true" ht="19" customHeight="true">
      <c r="B12" s="96" t="s">
        <v>97</v>
      </c>
      <c r="C12" s="97">
        <v>309424</v>
      </c>
      <c r="D12" s="97">
        <v>404531</v>
      </c>
      <c r="E12" s="97">
        <v>499638</v>
      </c>
      <c r="F12" s="97" t="str">
        <f ca="true">IFERROR(C12/OFFSET('Rent Comps'!$A$1,3,7),"")</f>
      </c>
      <c r="G12" s="97">
        <v>1225.851515151515</v>
      </c>
      <c r="H12" s="97" t="str">
        <f ca="true">IFERROR(E12/OFFSET('Rent Comps'!$A$1,3,7),"")</f>
      </c>
      <c r="I12" s="98">
        <v>0.094108054287695</v>
      </c>
      <c r="J12" s="98">
        <v>0.0941173377606583</v>
      </c>
      <c r="K12" s="98" t="str">
        <f t="shared" si="0"/>
      </c>
    </row>
    <row r="13" spans="2:11" s="55" customFormat="true" ht="19" customHeight="true">
      <c r="B13" s="96" t="s">
        <v>104</v>
      </c>
      <c r="C13" s="97">
        <v>177369</v>
      </c>
      <c r="D13" s="97">
        <v>347920</v>
      </c>
      <c r="E13" s="97">
        <v>518471</v>
      </c>
      <c r="F13" s="97" t="str">
        <f ca="true">IFERROR(C13/OFFSET('Rent Comps'!$A$1,3,7),"")</f>
      </c>
      <c r="G13" s="97">
        <v>1054.3030303030303</v>
      </c>
      <c r="H13" s="97" t="str">
        <f ca="true">IFERROR(E13/OFFSET('Rent Comps'!$A$1,3,7),"")</f>
      </c>
      <c r="I13" s="98">
        <v>0.08093835638745818</v>
      </c>
      <c r="J13" s="98">
        <v>0.08094634070982998</v>
      </c>
      <c r="K13" s="98" t="str">
        <f t="shared" si="0"/>
      </c>
    </row>
    <row r="14" spans="2:11" s="55" customFormat="true" ht="19" customHeight="true">
      <c r="B14" s="96" t="s">
        <v>111</v>
      </c>
      <c r="C14" s="97">
        <v>125074</v>
      </c>
      <c r="D14" s="97">
        <v>164770</v>
      </c>
      <c r="E14" s="97">
        <v>204466</v>
      </c>
      <c r="F14" s="97" t="str">
        <f ca="true">IFERROR(C14/OFFSET('Rent Comps'!$A$1,3,7),"")</f>
      </c>
      <c r="G14" s="97">
        <v>499.3030303030303</v>
      </c>
      <c r="H14" s="97" t="str">
        <f ca="true">IFERROR(E14/OFFSET('Rent Comps'!$A$1,3,7),"")</f>
      </c>
      <c r="I14" s="98">
        <v>0.038331262882161085</v>
      </c>
      <c r="J14" s="98">
        <v>0.038335044144512206</v>
      </c>
      <c r="K14" s="98" t="str">
        <f t="shared" si="0"/>
      </c>
    </row>
    <row r="15" spans="2:11" s="55" customFormat="true" ht="19" customHeight="true">
      <c r="B15" s="96" t="s">
        <v>118</v>
      </c>
      <c r="C15" s="97">
        <v>340498</v>
      </c>
      <c r="D15" s="97">
        <v>494598</v>
      </c>
      <c r="E15" s="97">
        <v>648698</v>
      </c>
      <c r="F15" s="97" t="str">
        <f ca="true">IFERROR(C15/OFFSET('Rent Comps'!$A$1,3,7),"")</f>
      </c>
      <c r="G15" s="97">
        <v>1498.7818181818182</v>
      </c>
      <c r="H15" s="97" t="str">
        <f ca="true">IFERROR(E15/OFFSET('Rent Comps'!$A$1,3,7),"")</f>
      </c>
      <c r="I15" s="98">
        <v>0.11506078751587734</v>
      </c>
      <c r="J15" s="98">
        <v>0.11507213791216513</v>
      </c>
      <c r="K15" s="98" t="str">
        <f t="shared" si="0"/>
      </c>
    </row>
    <row r="16" spans="2:11" s="55" customFormat="true" ht="19" customHeight="true">
      <c r="B16" s="96" t="s">
        <v>125</v>
      </c>
      <c r="C16" s="97">
        <v>17664</v>
      </c>
      <c r="D16" s="97">
        <v>36026</v>
      </c>
      <c r="E16" s="97">
        <v>54388</v>
      </c>
      <c r="F16" s="97" t="str">
        <f ca="true">IFERROR(C16/OFFSET('Rent Comps'!$A$1,3,7),"")</f>
      </c>
      <c r="G16" s="97">
        <v>109.16969696969697</v>
      </c>
      <c r="H16" s="97" t="str">
        <f ca="true">IFERROR(E16/OFFSET('Rent Comps'!$A$1,3,7),"")</f>
      </c>
      <c r="I16" s="98">
        <v>0.008380907183302392</v>
      </c>
      <c r="J16" s="98">
        <v>0.00838173393427321</v>
      </c>
      <c r="K16" s="98" t="str">
        <f t="shared" si="0"/>
      </c>
    </row>
    <row r="17" spans="2:11" s="55" customFormat="true" ht="19" customHeight="true">
      <c r="B17" s="96" t="s">
        <v>132</v>
      </c>
      <c r="C17" s="97">
        <v>16004</v>
      </c>
      <c r="D17" s="97">
        <v>31377</v>
      </c>
      <c r="E17" s="97">
        <v>46750</v>
      </c>
      <c r="F17" s="97" t="str">
        <f ca="true">IFERROR(C17/OFFSET('Rent Comps'!$A$1,3,7),"")</f>
      </c>
      <c r="G17" s="97">
        <v>95.08181818181818</v>
      </c>
      <c r="H17" s="97" t="str">
        <f ca="true">IFERROR(E17/OFFSET('Rent Comps'!$A$1,3,7),"")</f>
      </c>
      <c r="I17" s="98">
        <v>0.007299387239507</v>
      </c>
      <c r="J17" s="98">
        <v>0.007300107301828971</v>
      </c>
      <c r="K17" s="98" t="str">
        <f t="shared" si="0"/>
      </c>
    </row>
    <row r="18" spans="2:11" s="55" customFormat="true" ht="19" customHeight="true">
      <c r="B18" s="96" t="s">
        <v>139</v>
      </c>
      <c r="C18" s="97">
        <v>87305</v>
      </c>
      <c r="D18" s="97">
        <v>130370</v>
      </c>
      <c r="E18" s="97">
        <v>173435</v>
      </c>
      <c r="F18" s="97" t="str">
        <f ca="true">IFERROR(C18/OFFSET('Rent Comps'!$A$1,3,7),"")</f>
      </c>
      <c r="G18" s="97">
        <v>395.06060606060606</v>
      </c>
      <c r="H18" s="97" t="str">
        <f ca="true">IFERROR(E18/OFFSET('Rent Comps'!$A$1,3,7),"")</f>
      </c>
      <c r="I18" s="98">
        <v>0.03032862014897943</v>
      </c>
      <c r="J18" s="98">
        <v>0.03033161197499579</v>
      </c>
      <c r="K18" s="98" t="str">
        <f t="shared" si="0"/>
      </c>
    </row>
    <row r="19" spans="2:11" s="55" customFormat="true" ht="19" customHeight="true">
      <c r="B19" s="96" t="s">
        <v>146</v>
      </c>
      <c r="C19" s="97"/>
      <c r="D19" s="97">
        <v>19301</v>
      </c>
      <c r="E19" s="97">
        <v>42385</v>
      </c>
      <c r="F19" s="97" t="str">
        <f ca="true">IFERROR(C19/OFFSET('Rent Comps'!$A$1,3,7),"")</f>
      </c>
      <c r="G19" s="97">
        <v>58.487878787878785</v>
      </c>
      <c r="H19" s="97" t="str">
        <f ca="true">IFERROR(E19/OFFSET('Rent Comps'!$A$1,3,7),"")</f>
      </c>
      <c r="I19" s="98">
        <v>0.004490087424219161</v>
      </c>
      <c r="J19" s="98">
        <v>0.004490530357669661</v>
      </c>
      <c r="K19" s="98" t="str">
        <f t="shared" si="0"/>
      </c>
    </row>
    <row r="20" spans="2:11" s="55" customFormat="true" ht="19" customHeight="true">
      <c r="B20" s="93" t="s">
        <v>153</v>
      </c>
      <c r="C20" s="94">
        <v>1854099</v>
      </c>
      <c r="D20" s="94">
        <v>2152867</v>
      </c>
      <c r="E20" s="94">
        <v>2451635</v>
      </c>
      <c r="F20" s="94" t="str">
        <f ca="true">IFERROR(C20/OFFSET('Rent Comps'!$A$1,3,7),"")</f>
      </c>
      <c r="G20" s="94">
        <v>6523.839393939394</v>
      </c>
      <c r="H20" s="94" t="str">
        <f ca="true">IFERROR(E20/OFFSET('Rent Comps'!$A$1,3,7),"")</f>
      </c>
      <c r="I20" s="95">
        <v>0.500832135263273</v>
      </c>
      <c r="J20" s="95">
        <v>0.5008815408282064</v>
      </c>
      <c r="K20" s="95" t="str">
        <f t="shared" si="0"/>
      </c>
    </row>
    <row r="21" spans="2:11" s="55" customFormat="true" ht="19" customHeight="true">
      <c r="B21" s="99" t="s">
        <v>160</v>
      </c>
      <c r="C21" s="100">
        <v>1606968</v>
      </c>
      <c r="D21" s="100">
        <v>2145289</v>
      </c>
      <c r="E21" s="100">
        <v>2683610</v>
      </c>
      <c r="F21" s="100" t="str">
        <f ca="true">IFERROR(C21/OFFSET('Rent Comps'!$A$1,3,7),"")</f>
      </c>
      <c r="G21" s="100">
        <v>6500.875757575757</v>
      </c>
      <c r="H21" s="100" t="str">
        <f ca="true">IFERROR(E21/OFFSET('Rent Comps'!$A$1,3,7),"")</f>
      </c>
      <c r="I21" s="101">
        <v>0.4990692275123413</v>
      </c>
      <c r="J21" s="101">
        <v>0.49911845917179365</v>
      </c>
      <c r="K21" s="101" t="str">
        <f t="shared" si="0"/>
      </c>
    </row>
    <row r="22" spans="2:11" s="55" customFormat="true" ht="23" customHeight="true">
      <c r="B22" s="805" t="s">
        <v>1192</v>
      </c>
      <c r="C22" s="805"/>
      <c r="D22" s="805"/>
      <c r="E22" s="805"/>
      <c r="F22" s="805"/>
      <c r="G22" s="805"/>
      <c r="H22" s="805"/>
      <c r="I22" s="805"/>
      <c r="J22" s="805"/>
      <c r="K22" s="805"/>
    </row>
    <row r="23" spans="2:11" ht="23" customHeight="true">
      <c r="B23" s="805"/>
      <c r="C23" s="805"/>
      <c r="D23" s="805"/>
      <c r="E23" s="805"/>
      <c r="F23" s="805"/>
      <c r="G23" s="805"/>
      <c r="H23" s="805"/>
      <c r="I23" s="805"/>
      <c r="J23" s="805"/>
      <c r="K23" s="805"/>
    </row>
  </sheetData>
  <mergeCells count="4">
    <mergeCell ref="C2:E2"/>
    <mergeCell ref="F2:H2"/>
    <mergeCell ref="I2:K2"/>
    <mergeCell ref="B22:K23"/>
  </mergeCells>
  <pageMargins left="0.25" right="0.25" top="0.75" bottom="0.75" header="0.3" footer="0.3"/>
  <pageSetup fitToHeight="0" r:id="rId1" orientation="landscape" scale="98"/>
  <headerFooter>
    <oddHeader>&amp;L&amp;"-,Bold"&amp;K4438CAMarket Analysis Report&amp;R&amp;"-,Bold"&amp;K4438CAAs of: &amp;D</oddHeader>
    <oddFooter>&amp;L&amp;"-,Bold"&amp;K4438CAHelloData.ai</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4E97-588B-468E-9C82-0511A7DF35BC}">
  <sheetPr codeName="Sheet15"/>
  <dimension ref="B1:N99"/>
  <sheetViews>
    <sheetView showGridLines="false" zoomScaleNormal="100" workbookViewId="0">
      <pane activePane="bottomLeft" state="frozen" topLeftCell="A6" ySplit="5"/>
      <selection pane="bottomLeft"/>
    </sheetView>
  </sheetViews>
  <sheetFormatPr defaultRowHeight="13"/>
  <cols>
    <col customWidth="true" max="1" min="1" style="7" width="2.6328125"/>
    <col customWidth="true" max="2" min="2" style="7" width="22.1796875"/>
    <col customWidth="true" max="3" min="3" style="7" width="9.36328125"/>
    <col customWidth="true" max="14" min="4" style="7" width="13.1796875"/>
    <col max="16384" min="15" style="7" width="8.7265625"/>
  </cols>
  <sheetData>
    <row r="1" spans="2:14" ht="4" customHeight="true"/>
    <row r="2" spans="2:14" ht="13" customHeight="true">
      <c r="B2" s="806" t="s">
        <v>1214</v>
      </c>
      <c r="C2" s="806"/>
      <c r="D2" s="806"/>
      <c r="E2" s="806"/>
      <c r="F2" s="774"/>
      <c r="G2" s="774"/>
      <c r="H2" s="203"/>
      <c r="I2" s="298" t="s">
        <v>717</v>
      </c>
      <c r="J2" s="298" t="s">
        <v>700</v>
      </c>
      <c r="K2" s="807" t="s">
        <v>1213</v>
      </c>
      <c r="L2" s="808"/>
      <c r="M2" s="298" t="s">
        <v>706</v>
      </c>
      <c r="N2" s="298" t="s">
        <v>705</v>
      </c>
    </row>
    <row r="3" spans="2:14" ht="13" customHeight="true">
      <c r="B3" s="806"/>
      <c r="C3" s="806"/>
      <c r="D3" s="806"/>
      <c r="E3" s="806"/>
      <c r="F3" s="774"/>
      <c r="G3" s="774"/>
      <c r="H3" s="205" t="s">
        <v>701</v>
      </c>
      <c r="I3" s="193" t="str">
        <f ca="true">IFERROR(-SUM(E60:N60)/D60,"")</f>
      </c>
      <c r="J3" s="194" t="str">
        <f ca="true">IFERROR(IRR(D60:N60),"")</f>
      </c>
      <c r="K3" s="809" t="str">
        <f ca="true">IFERROR(IRR(E60:O60),"")</f>
      </c>
      <c r="L3" s="809"/>
      <c r="M3" s="193" t="str">
        <f>IFERROR(IF(C72="Unleveraged",-SUM(E97:N97)/D97,""),"")</f>
      </c>
      <c r="N3" s="194" t="str">
        <f>IFERROR(IF(C72="Unleveraged",IRR(D97:N97),""),"")</f>
      </c>
    </row>
    <row r="4" spans="2:14">
      <c r="B4" s="214" t="s">
        <v>748</v>
      </c>
      <c r="H4" s="204" t="s">
        <v>702</v>
      </c>
      <c r="I4" s="193" t="str">
        <f ca="true">IFERROR(-SUM(E67:N67)/D67,"")</f>
      </c>
      <c r="J4" s="194" t="str">
        <f ca="true">IFERROR(IRR(D67:N67),"")</f>
      </c>
      <c r="K4" s="810"/>
      <c r="L4" s="810"/>
      <c r="M4" s="193" t="str">
        <f ca="true">IFERROR(IF(C72="Leveraged",-SUM(E97:N97)/D97,""),"")</f>
      </c>
      <c r="N4" s="194" t="str">
        <f ca="true">IFERROR(IF(C72="Leveraged",IRR(D97:N97),""),"")</f>
      </c>
    </row>
    <row r="5" spans="2:14" ht="4" customHeight="true">
      <c r="H5" s="206"/>
      <c r="I5" s="190"/>
      <c r="J5" s="207"/>
    </row>
    <row r="6"/>
    <row r="7" spans="2:14">
      <c r="B7" s="223" t="s">
        <v>711</v>
      </c>
      <c r="C7" s="257"/>
      <c r="D7" s="257"/>
      <c r="E7" s="258"/>
      <c r="G7" s="226" t="s">
        <v>660</v>
      </c>
      <c r="H7" s="227"/>
      <c r="I7" s="237" t="s">
        <v>685</v>
      </c>
      <c r="J7" s="238" t="s">
        <v>688</v>
      </c>
      <c r="L7" s="223" t="s">
        <v>721</v>
      </c>
      <c r="M7" s="270" t="s">
        <v>731</v>
      </c>
      <c r="N7" s="271" t="s">
        <v>732</v>
      </c>
    </row>
    <row r="8" spans="2:14">
      <c r="B8" s="472" t="s">
        <v>662</v>
      </c>
      <c r="C8" s="473"/>
      <c r="D8" s="473"/>
      <c r="E8" s="474" t="e">
        <f ca="true">ROUND(E10,-3)</f>
        <v>#VALUE!</v>
      </c>
      <c r="G8" s="224" t="s">
        <v>656</v>
      </c>
      <c r="H8" s="222"/>
      <c r="I8" s="239">
        <v>6.5000000000000002E-2</v>
      </c>
      <c r="J8" s="240">
        <v>0.05</v>
      </c>
      <c r="L8" s="45" t="s">
        <v>685</v>
      </c>
      <c r="N8" s="272" t="e">
        <f ca="true">I21</f>
        <v>#VALUE!</v>
      </c>
    </row>
    <row r="9" spans="2:14">
      <c r="B9" s="224" t="s">
        <v>653</v>
      </c>
      <c r="C9" s="239"/>
      <c r="D9" s="239"/>
      <c r="E9" s="240">
        <v>7.0000000000000007E-2</v>
      </c>
      <c r="F9" s="131"/>
      <c r="G9" s="224" t="s">
        <v>659</v>
      </c>
      <c r="H9" s="228"/>
      <c r="I9" s="241">
        <v>360</v>
      </c>
      <c r="J9" s="242">
        <v>360</v>
      </c>
      <c r="L9" s="45" t="s">
        <v>736</v>
      </c>
      <c r="N9" s="272" t="e">
        <f ca="true">N18-N8-N10</f>
        <v>#VALUE!</v>
      </c>
    </row>
    <row r="10" spans="2:14">
      <c r="B10" s="224" t="s">
        <v>728</v>
      </c>
      <c r="C10" s="475"/>
      <c r="D10" s="475"/>
      <c r="E10" s="259" t="e">
        <f ca="true">E54/E9</f>
        <v>#VALUE!</v>
      </c>
      <c r="G10" s="224" t="s">
        <v>687</v>
      </c>
      <c r="H10" s="228"/>
      <c r="I10" s="243">
        <v>16</v>
      </c>
      <c r="J10" s="244">
        <v>12</v>
      </c>
      <c r="L10" s="273" t="s">
        <v>743</v>
      </c>
      <c r="M10" s="269"/>
      <c r="N10" s="274">
        <v>0</v>
      </c>
    </row>
    <row r="11" spans="2:14">
      <c r="B11" s="224" t="s">
        <v>661</v>
      </c>
      <c r="C11" s="239"/>
      <c r="D11" s="239"/>
      <c r="E11" s="240">
        <f>E9</f>
        <v>7.0000000000000007E-2</v>
      </c>
      <c r="G11" s="133" t="s">
        <v>692</v>
      </c>
      <c r="H11" s="136"/>
      <c r="I11" s="245">
        <v>10</v>
      </c>
      <c r="J11" s="246">
        <v>10</v>
      </c>
      <c r="L11" s="275" t="s">
        <v>742</v>
      </c>
      <c r="M11" s="276"/>
      <c r="N11" s="277" t="e">
        <f ca="true">SUM(N8:N10)</f>
        <v>#VALUE!</v>
      </c>
    </row>
    <row r="12" spans="2:14">
      <c r="B12" s="133" t="s">
        <v>655</v>
      </c>
      <c r="C12" s="476"/>
      <c r="D12" s="476"/>
      <c r="E12" s="477">
        <v>0.03</v>
      </c>
      <c r="G12" s="224" t="s">
        <v>657</v>
      </c>
      <c r="H12" s="229"/>
      <c r="I12" s="247">
        <v>0.65</v>
      </c>
      <c r="J12" s="248">
        <v>0.65</v>
      </c>
      <c r="L12" s="225" t="s">
        <v>730</v>
      </c>
      <c r="M12" s="278" t="s">
        <v>731</v>
      </c>
      <c r="N12" s="279" t="s">
        <v>732</v>
      </c>
    </row>
    <row r="13" spans="2:14">
      <c r="B13" s="225" t="s">
        <v>733</v>
      </c>
      <c r="C13" s="260"/>
      <c r="D13" s="260"/>
      <c r="E13" s="261"/>
      <c r="G13" s="133" t="s">
        <v>658</v>
      </c>
      <c r="H13" s="137"/>
      <c r="I13" s="249">
        <v>1.25</v>
      </c>
      <c r="J13" s="250">
        <v>1.25</v>
      </c>
      <c r="L13" s="465" t="s">
        <v>698</v>
      </c>
      <c r="M13" s="466"/>
      <c r="N13" s="467" t="e">
        <f ca="true">E8</f>
        <v>#VALUE!</v>
      </c>
    </row>
    <row r="14" spans="2:14">
      <c r="B14" s="45" t="s">
        <v>744</v>
      </c>
      <c r="C14" s="88"/>
      <c r="D14" s="88" t="e">
        <f ca="true">E14*OFFSET('Rent Comps'!$H$4,0,0)</f>
        <v>#VALUE!</v>
      </c>
      <c r="E14" s="262">
        <v>20000</v>
      </c>
      <c r="G14" s="224" t="s">
        <v>690</v>
      </c>
      <c r="H14" s="230"/>
      <c r="I14" s="295" t="e">
        <f ca="true">$E$54/$E$9*I12</f>
        <v>#VALUE!</v>
      </c>
      <c r="J14" s="296" t="e">
        <f ca="true">IF(E18=0,0,OFFSET($E$54,0,(INT(E18-1)/12))/$E$9*J12)</f>
        <v>#VALUE!</v>
      </c>
      <c r="L14" s="45" t="s">
        <v>655</v>
      </c>
      <c r="N14" s="272" t="e">
        <f ca="true">E12*E8</f>
        <v>#VALUE!</v>
      </c>
    </row>
    <row r="15" spans="2:14">
      <c r="B15" s="45" t="s">
        <v>729</v>
      </c>
      <c r="C15" s="88"/>
      <c r="D15" s="88" t="e">
        <f ca="true">E15*OFFSET('Rent Comps'!$H$4,0,0)</f>
        <v>#VALUE!</v>
      </c>
      <c r="E15" s="262">
        <v>150</v>
      </c>
      <c r="F15" s="8"/>
      <c r="G15" s="133" t="s">
        <v>691</v>
      </c>
      <c r="H15" s="138"/>
      <c r="I15" s="186" t="e">
        <f ca="true">PV(I8/12,I9,-$E$54/12/I13,0)</f>
        <v>#VALUE!</v>
      </c>
      <c r="J15" s="297" t="e">
        <f ca="true">IF(E18=0,0,PV(J8/12,J9,-OFFSET($E$54,0,(INT(E18-1)/12))/12/J13,0))</f>
        <v>#VALUE!</v>
      </c>
      <c r="L15" s="45" t="s">
        <v>847</v>
      </c>
      <c r="N15" s="272" t="e">
        <f ca="true">E14*D16</f>
        <v>#VALUE!</v>
      </c>
    </row>
    <row r="16" spans="2:14">
      <c r="B16" s="45" t="s">
        <v>735</v>
      </c>
      <c r="C16" s="263"/>
      <c r="D16" s="263" t="e">
        <f ca="true">E16*ROUND(OFFSET('Rent Comps'!$H$4,0,0),-2)</f>
        <v>#VALUE!</v>
      </c>
      <c r="E16" s="264">
        <v>0.3</v>
      </c>
      <c r="G16" s="231" t="s">
        <v>689</v>
      </c>
      <c r="H16" s="187"/>
      <c r="I16" s="251" t="e">
        <f ca="true">MIN(I14:I15)</f>
        <v>#VALUE!</v>
      </c>
      <c r="J16" s="294" t="e">
        <f ca="true">MIN(J14:J15)</f>
        <v>#VALUE!</v>
      </c>
      <c r="L16" s="468" t="s">
        <v>845</v>
      </c>
      <c r="N16" s="272" t="e">
        <f ca="true">SUM(D73:N73)</f>
        <v>#VALUE!</v>
      </c>
    </row>
    <row r="17" spans="2:14">
      <c r="B17" s="45" t="s">
        <v>734</v>
      </c>
      <c r="C17" s="182"/>
      <c r="D17" s="182"/>
      <c r="E17" s="244">
        <v>24</v>
      </c>
      <c r="G17" s="232" t="s">
        <v>709</v>
      </c>
      <c r="H17" s="233"/>
      <c r="I17" s="88" t="e">
        <f ca="true">I16*I8</f>
        <v>#VALUE!</v>
      </c>
      <c r="J17" s="252" t="e">
        <f ca="true">J16*J8</f>
        <v>#VALUE!</v>
      </c>
      <c r="L17" s="469" t="s">
        <v>846</v>
      </c>
      <c r="M17" s="181"/>
      <c r="N17" s="280" t="e">
        <f ca="true">SUM(D74:N74)</f>
        <v>#VALUE!</v>
      </c>
    </row>
    <row r="18" spans="2:14">
      <c r="B18" s="132" t="s">
        <v>842</v>
      </c>
      <c r="C18" s="265"/>
      <c r="D18" s="265"/>
      <c r="E18" s="266">
        <v>36</v>
      </c>
      <c r="G18" s="45" t="s">
        <v>710</v>
      </c>
      <c r="H18" s="233"/>
      <c r="I18" s="88" t="e">
        <f ca="true">PMT(I8/12,I9,-I14,0)*12</f>
        <v>#VALUE!</v>
      </c>
      <c r="J18" s="252" t="e">
        <f ca="true">PMT(J8/12,J9,-J16,0)*12</f>
        <v>#VALUE!</v>
      </c>
      <c r="L18" s="281" t="s">
        <v>741</v>
      </c>
      <c r="M18" s="282"/>
      <c r="N18" s="283" t="e">
        <f ca="true">SUM(N13:N16)</f>
        <v>#VALUE!</v>
      </c>
    </row>
    <row r="19" spans="2:14">
      <c r="B19" s="133" t="s">
        <v>693</v>
      </c>
      <c r="C19" s="267"/>
      <c r="D19" s="267"/>
      <c r="E19" s="268">
        <v>7</v>
      </c>
      <c r="G19" s="224" t="s">
        <v>697</v>
      </c>
      <c r="H19" s="234">
        <v>0.01</v>
      </c>
      <c r="I19" s="88" t="e">
        <f ca="true">$H19*I16</f>
        <v>#VALUE!</v>
      </c>
      <c r="J19" s="252" t="e">
        <f ca="true">H19*J16</f>
        <v>#VALUE!</v>
      </c>
      <c r="L19" s="188"/>
    </row>
    <row r="20" spans="2:14">
      <c r="G20" s="133" t="s">
        <v>695</v>
      </c>
      <c r="H20" s="195">
        <f>IF(E18&gt;0,3%,"")</f>
        <v>0.03</v>
      </c>
      <c r="I20" s="253"/>
      <c r="J20" s="254">
        <f ca="true">IFERROR(H20*I22,0)</f>
        <v>0</v>
      </c>
      <c r="L20" s="189"/>
      <c r="M20" s="189"/>
    </row>
    <row r="21" spans="2:14">
      <c r="G21" s="235" t="s">
        <v>696</v>
      </c>
      <c r="H21" s="179"/>
      <c r="I21" s="255" t="e">
        <f ca="true">I16-I19</f>
        <v>#VALUE!</v>
      </c>
      <c r="J21" s="256" t="e">
        <f ca="true">IF(E18&gt;0,J16-I22-SUM(J19:J20),0)</f>
        <v>#VALUE!</v>
      </c>
    </row>
    <row r="22" spans="2:14">
      <c r="G22" s="133" t="s">
        <v>694</v>
      </c>
      <c r="H22" s="236"/>
      <c r="I22" s="253" t="e">
        <f ca="true">FV(I8/12,MIN(I11*12,IF(E18=0,I11*12,$E$18),$E$19*12)-I10,I18/12,-I16)</f>
        <v>#VALUE!</v>
      </c>
      <c r="J22" s="254" t="e">
        <f ca="true">FV(J8/12,E19*12-$E$18-J10,J18/12,-J16)</f>
        <v>#VALUE!</v>
      </c>
      <c r="L22" s="188"/>
    </row>
    <row r="23" spans="2:14" ht="18.5">
      <c r="B23" s="109" t="s">
        <v>684</v>
      </c>
      <c r="C23" s="8"/>
      <c r="D23" s="8"/>
      <c r="E23" s="177"/>
      <c r="F23" s="177"/>
      <c r="G23" s="177"/>
      <c r="H23" s="177"/>
      <c r="I23" s="177"/>
      <c r="J23" s="177"/>
      <c r="K23" s="177"/>
      <c r="L23" s="177"/>
      <c r="M23" s="177"/>
      <c r="N23" s="177"/>
    </row>
    <row r="24" spans="2:14">
      <c r="B24" s="134" t="s">
        <v>663</v>
      </c>
      <c r="C24" s="134"/>
      <c r="D24" s="134"/>
      <c r="E24" s="446">
        <v>1</v>
      </c>
      <c r="F24" s="141">
        <f t="shared" ref="F24:N24" si="0">E24+1</f>
        <v>2</v>
      </c>
      <c r="G24" s="141">
        <f t="shared" si="0"/>
        <v>3</v>
      </c>
      <c r="H24" s="141">
        <f t="shared" si="0"/>
        <v>4</v>
      </c>
      <c r="I24" s="141">
        <f t="shared" si="0"/>
        <v>5</v>
      </c>
      <c r="J24" s="141">
        <f t="shared" si="0"/>
        <v>6</v>
      </c>
      <c r="K24" s="141">
        <f t="shared" si="0"/>
        <v>7</v>
      </c>
      <c r="L24" s="141">
        <f t="shared" si="0"/>
        <v>8</v>
      </c>
      <c r="M24" s="141">
        <f t="shared" si="0"/>
        <v>9</v>
      </c>
      <c r="N24" s="141">
        <f t="shared" si="0"/>
        <v>10</v>
      </c>
    </row>
    <row r="25" spans="2:14">
      <c r="B25" s="8" t="s">
        <v>681</v>
      </c>
      <c r="C25" s="140"/>
      <c r="D25" s="140"/>
      <c r="E25" s="459">
        <v>0.03</v>
      </c>
      <c r="F25" s="213">
        <f t="shared" ref="F25:N25" si="1">IF($E$19&gt;=F$24,E25,0)</f>
        <v>0.03</v>
      </c>
      <c r="G25" s="213">
        <f t="shared" si="1"/>
        <v>0.03</v>
      </c>
      <c r="H25" s="213">
        <f t="shared" si="1"/>
        <v>0.03</v>
      </c>
      <c r="I25" s="213">
        <f t="shared" si="1"/>
        <v>0.03</v>
      </c>
      <c r="J25" s="213">
        <f t="shared" si="1"/>
        <v>0.03</v>
      </c>
      <c r="K25" s="213">
        <f t="shared" si="1"/>
        <v>0.03</v>
      </c>
      <c r="L25" s="213">
        <f t="shared" si="1"/>
        <v>0</v>
      </c>
      <c r="M25" s="213">
        <f t="shared" si="1"/>
        <v>0</v>
      </c>
      <c r="N25" s="213">
        <f t="shared" si="1"/>
        <v>0</v>
      </c>
    </row>
    <row r="26" spans="2:14">
      <c r="B26" s="8" t="s">
        <v>654</v>
      </c>
      <c r="C26" s="8"/>
      <c r="D26" s="8"/>
      <c r="E26" s="459">
        <v>0.03</v>
      </c>
      <c r="F26" s="213">
        <f t="shared" ref="F26:N26" si="2">IF($E$19&gt;=F$24,E26,0)</f>
        <v>0.03</v>
      </c>
      <c r="G26" s="213">
        <f t="shared" si="2"/>
        <v>0.03</v>
      </c>
      <c r="H26" s="213">
        <f t="shared" si="2"/>
        <v>0.03</v>
      </c>
      <c r="I26" s="213">
        <f t="shared" si="2"/>
        <v>0.03</v>
      </c>
      <c r="J26" s="213">
        <f t="shared" si="2"/>
        <v>0.03</v>
      </c>
      <c r="K26" s="213">
        <f t="shared" si="2"/>
        <v>0.03</v>
      </c>
      <c r="L26" s="213">
        <f t="shared" si="2"/>
        <v>0</v>
      </c>
      <c r="M26" s="213">
        <f t="shared" si="2"/>
        <v>0</v>
      </c>
      <c r="N26" s="213">
        <f t="shared" si="2"/>
        <v>0</v>
      </c>
    </row>
    <row r="27" spans="2:14">
      <c r="B27" s="134" t="s">
        <v>40</v>
      </c>
      <c r="C27" s="134"/>
      <c r="D27" s="471" t="s">
        <v>848</v>
      </c>
      <c r="E27" s="446"/>
      <c r="F27" s="141"/>
      <c r="G27" s="141"/>
      <c r="H27" s="141"/>
      <c r="I27" s="141"/>
      <c r="J27" s="141"/>
      <c r="K27" s="141"/>
      <c r="L27" s="141"/>
      <c r="M27" s="141"/>
      <c r="N27" s="141"/>
    </row>
    <row r="28" spans="2:14">
      <c r="B28" s="470" t="s">
        <v>47</v>
      </c>
      <c r="C28" s="470"/>
      <c r="D28" s="714">
        <f ca="true">IF(ISNUMBER(OFFSET('Financial Analysis'!D4,0,0)),OFFSET('Financial Analysis'!D4,0,0),0)</f>
        <v>0</v>
      </c>
      <c r="E28" s="461" t="e">
        <f ca="true">D28+(($D$16*$E$15*12)*IF(E24*12&lt;=$E$17,12/$E$17,IF(AND(E24*12&gt;=$E$17,D24*12&lt;$E$17),((12-(E24*12-$E$17))))/$E$17))</f>
        <v>#VALUE!</v>
      </c>
      <c r="F28" s="151" t="e">
        <f t="shared" ref="F28:N28" ca="true" si="3">IF(F24&lt;=$E$19,E28*(1+F$25),0)+(($D$16*$E$15*12)*IF(F24*12&lt;=$E$17,12/$E$17,IF(AND(F24*12&gt;=$E$17,E24*12&lt;$E$17),((12-(F24*12-$E$17))))/$E$17))</f>
        <v>#VALUE!</v>
      </c>
      <c r="G28" s="151" t="e">
        <f t="shared" ca="true" si="3"/>
        <v>#VALUE!</v>
      </c>
      <c r="H28" s="151" t="e">
        <f t="shared" ca="true" si="3"/>
        <v>#VALUE!</v>
      </c>
      <c r="I28" s="151" t="e">
        <f t="shared" ca="true" si="3"/>
        <v>#VALUE!</v>
      </c>
      <c r="J28" s="151" t="e">
        <f t="shared" ca="true" si="3"/>
        <v>#VALUE!</v>
      </c>
      <c r="K28" s="151" t="e">
        <f t="shared" ca="true" si="3"/>
        <v>#VALUE!</v>
      </c>
      <c r="L28" s="151" t="e">
        <f t="shared" ca="true" si="3"/>
        <v>#VALUE!</v>
      </c>
      <c r="M28" s="151" t="e">
        <f t="shared" ca="true" si="3"/>
        <v>#VALUE!</v>
      </c>
      <c r="N28" s="151" t="e">
        <f t="shared" ca="true" si="3"/>
        <v>#VALUE!</v>
      </c>
    </row>
    <row r="29" spans="2:14">
      <c r="B29" s="144" t="s">
        <v>54</v>
      </c>
      <c r="C29" s="145"/>
      <c r="D29" s="146">
        <f ca="true">IF(ISNUMBER(OFFSET('Financial Analysis'!J5,0,0)),OFFSET('Financial Analysis'!J5,0,0),5%)</f>
        <v>0.05</v>
      </c>
      <c r="E29" s="437" t="e">
        <f t="shared" ref="E29:N31" ca="true" si="4">$D29*E$28</f>
        <v>#VALUE!</v>
      </c>
      <c r="F29" s="139" t="e">
        <f t="shared" ca="true" si="4"/>
        <v>#VALUE!</v>
      </c>
      <c r="G29" s="139" t="e">
        <f t="shared" ca="true" si="4"/>
        <v>#VALUE!</v>
      </c>
      <c r="H29" s="139" t="e">
        <f t="shared" ca="true" si="4"/>
        <v>#VALUE!</v>
      </c>
      <c r="I29" s="139" t="e">
        <f t="shared" ca="true" si="4"/>
        <v>#VALUE!</v>
      </c>
      <c r="J29" s="139" t="e">
        <f t="shared" ca="true" si="4"/>
        <v>#VALUE!</v>
      </c>
      <c r="K29" s="139" t="e">
        <f t="shared" ca="true" si="4"/>
        <v>#VALUE!</v>
      </c>
      <c r="L29" s="139" t="e">
        <f t="shared" ca="true" si="4"/>
        <v>#VALUE!</v>
      </c>
      <c r="M29" s="139" t="e">
        <f t="shared" ca="true" si="4"/>
        <v>#VALUE!</v>
      </c>
      <c r="N29" s="139" t="e">
        <f t="shared" ca="true" si="4"/>
        <v>#VALUE!</v>
      </c>
    </row>
    <row r="30" spans="2:14">
      <c r="B30" s="144" t="s">
        <v>679</v>
      </c>
      <c r="C30" s="145"/>
      <c r="D30" s="146">
        <v>0.01</v>
      </c>
      <c r="E30" s="437" t="e">
        <f t="shared" ca="true" si="4"/>
        <v>#VALUE!</v>
      </c>
      <c r="F30" s="139" t="e">
        <f t="shared" ca="true" si="4"/>
        <v>#VALUE!</v>
      </c>
      <c r="G30" s="139" t="e">
        <f t="shared" ca="true" si="4"/>
        <v>#VALUE!</v>
      </c>
      <c r="H30" s="139" t="e">
        <f t="shared" ca="true" si="4"/>
        <v>#VALUE!</v>
      </c>
      <c r="I30" s="139" t="e">
        <f t="shared" ca="true" si="4"/>
        <v>#VALUE!</v>
      </c>
      <c r="J30" s="139" t="e">
        <f t="shared" ca="true" si="4"/>
        <v>#VALUE!</v>
      </c>
      <c r="K30" s="139" t="e">
        <f t="shared" ca="true" si="4"/>
        <v>#VALUE!</v>
      </c>
      <c r="L30" s="139" t="e">
        <f t="shared" ca="true" si="4"/>
        <v>#VALUE!</v>
      </c>
      <c r="M30" s="139" t="e">
        <f t="shared" ca="true" si="4"/>
        <v>#VALUE!</v>
      </c>
      <c r="N30" s="139" t="e">
        <f t="shared" ca="true" si="4"/>
        <v>#VALUE!</v>
      </c>
    </row>
    <row r="31" spans="2:14">
      <c r="B31" s="147" t="s">
        <v>680</v>
      </c>
      <c r="C31" s="148"/>
      <c r="D31" s="149">
        <f>GETPIVOTDATA("Concessions as % of Asking Rent",Data!$BL$5)*0.5</f>
        <v>6.9785067426250636E-3</v>
      </c>
      <c r="E31" s="437" t="e">
        <f t="shared" ca="true" si="4"/>
        <v>#VALUE!</v>
      </c>
      <c r="F31" s="139" t="e">
        <f t="shared" ca="true" si="4"/>
        <v>#VALUE!</v>
      </c>
      <c r="G31" s="139" t="e">
        <f t="shared" ca="true" si="4"/>
        <v>#VALUE!</v>
      </c>
      <c r="H31" s="139" t="e">
        <f t="shared" ca="true" si="4"/>
        <v>#VALUE!</v>
      </c>
      <c r="I31" s="139" t="e">
        <f t="shared" ca="true" si="4"/>
        <v>#VALUE!</v>
      </c>
      <c r="J31" s="139" t="e">
        <f t="shared" ca="true" si="4"/>
        <v>#VALUE!</v>
      </c>
      <c r="K31" s="139" t="e">
        <f t="shared" ca="true" si="4"/>
        <v>#VALUE!</v>
      </c>
      <c r="L31" s="139" t="e">
        <f t="shared" ca="true" si="4"/>
        <v>#VALUE!</v>
      </c>
      <c r="M31" s="139" t="e">
        <f t="shared" ca="true" si="4"/>
        <v>#VALUE!</v>
      </c>
      <c r="N31" s="139" t="e">
        <f t="shared" ca="true" si="4"/>
        <v>#VALUE!</v>
      </c>
    </row>
    <row r="32" spans="2:14">
      <c r="B32" s="150" t="s">
        <v>682</v>
      </c>
      <c r="C32" s="150"/>
      <c r="D32" s="150"/>
      <c r="E32" s="461" t="e">
        <f t="shared" ref="E32:N32" ca="true" si="5">E28-SUM(E29:E31)</f>
        <v>#VALUE!</v>
      </c>
      <c r="F32" s="151" t="e">
        <f t="shared" ca="true" si="5"/>
        <v>#VALUE!</v>
      </c>
      <c r="G32" s="151" t="e">
        <f t="shared" ca="true" si="5"/>
        <v>#VALUE!</v>
      </c>
      <c r="H32" s="151" t="e">
        <f t="shared" ca="true" si="5"/>
        <v>#VALUE!</v>
      </c>
      <c r="I32" s="151" t="e">
        <f t="shared" ca="true" si="5"/>
        <v>#VALUE!</v>
      </c>
      <c r="J32" s="151" t="e">
        <f t="shared" ca="true" si="5"/>
        <v>#VALUE!</v>
      </c>
      <c r="K32" s="151" t="e">
        <f t="shared" ca="true" si="5"/>
        <v>#VALUE!</v>
      </c>
      <c r="L32" s="151" t="e">
        <f t="shared" ca="true" si="5"/>
        <v>#VALUE!</v>
      </c>
      <c r="M32" s="151" t="e">
        <f t="shared" ca="true" si="5"/>
        <v>#VALUE!</v>
      </c>
      <c r="N32" s="151" t="e">
        <f t="shared" ca="true" si="5"/>
        <v>#VALUE!</v>
      </c>
    </row>
    <row r="33" spans="2:14">
      <c r="B33" s="144" t="s">
        <v>68</v>
      </c>
      <c r="C33" s="145"/>
      <c r="D33" s="145"/>
      <c r="E33" s="462">
        <f ca="true">IF(ISNUMBER(OFFSET('Financial Analysis'!D6,0,0)),OFFSET('Financial Analysis'!D6,0,0),0)</f>
        <v>0</v>
      </c>
      <c r="F33" s="139">
        <f t="shared" ref="F33:N33" ca="true" si="6">IF(F$24&lt;=$E$19,E33*(1+F$25),0)</f>
        <v>0</v>
      </c>
      <c r="G33" s="139">
        <f t="shared" ca="true" si="6"/>
        <v>0</v>
      </c>
      <c r="H33" s="139">
        <f t="shared" ca="true" si="6"/>
        <v>0</v>
      </c>
      <c r="I33" s="139">
        <f t="shared" ca="true" si="6"/>
        <v>0</v>
      </c>
      <c r="J33" s="139">
        <f t="shared" ca="true" si="6"/>
        <v>0</v>
      </c>
      <c r="K33" s="139">
        <f t="shared" ca="true" si="6"/>
        <v>0</v>
      </c>
      <c r="L33" s="139">
        <f t="shared" si="6"/>
        <v>0</v>
      </c>
      <c r="M33" s="139">
        <f t="shared" si="6"/>
        <v>0</v>
      </c>
      <c r="N33" s="139">
        <f t="shared" si="6"/>
        <v>0</v>
      </c>
    </row>
    <row r="34" spans="2:14">
      <c r="B34" s="144" t="s">
        <v>61</v>
      </c>
      <c r="C34" s="145"/>
      <c r="D34" s="145"/>
      <c r="E34" s="462">
        <f ca="true">IF(ISNUMBER(OFFSET('Financial Analysis'!D7,0,0)),OFFSET('Financial Analysis'!D7,0,0),0)</f>
        <v>0</v>
      </c>
      <c r="F34" s="139">
        <f t="shared" ref="F34:N34" ca="true" si="7">IF(F$24&lt;=$E$19,E34*(1+F$25),0)</f>
        <v>0</v>
      </c>
      <c r="G34" s="139">
        <f t="shared" ca="true" si="7"/>
        <v>0</v>
      </c>
      <c r="H34" s="139">
        <f t="shared" ca="true" si="7"/>
        <v>0</v>
      </c>
      <c r="I34" s="139">
        <f t="shared" ca="true" si="7"/>
        <v>0</v>
      </c>
      <c r="J34" s="139">
        <f t="shared" ca="true" si="7"/>
        <v>0</v>
      </c>
      <c r="K34" s="139">
        <f t="shared" ca="true" si="7"/>
        <v>0</v>
      </c>
      <c r="L34" s="139">
        <f t="shared" si="7"/>
        <v>0</v>
      </c>
      <c r="M34" s="139">
        <f t="shared" si="7"/>
        <v>0</v>
      </c>
      <c r="N34" s="139">
        <f t="shared" si="7"/>
        <v>0</v>
      </c>
    </row>
    <row r="35" spans="2:14">
      <c r="B35" s="285" t="s">
        <v>61</v>
      </c>
      <c r="C35" s="289"/>
      <c r="D35" s="289"/>
      <c r="E35" s="462">
        <v>0</v>
      </c>
      <c r="F35" s="139">
        <f t="shared" ref="F35:N35" si="8">IF(F$24&lt;=$E$19,E35*(1+F$25),0)</f>
        <v>0</v>
      </c>
      <c r="G35" s="139">
        <f t="shared" si="8"/>
        <v>0</v>
      </c>
      <c r="H35" s="139">
        <f t="shared" si="8"/>
        <v>0</v>
      </c>
      <c r="I35" s="139">
        <f t="shared" si="8"/>
        <v>0</v>
      </c>
      <c r="J35" s="139">
        <f t="shared" si="8"/>
        <v>0</v>
      </c>
      <c r="K35" s="139">
        <f t="shared" si="8"/>
        <v>0</v>
      </c>
      <c r="L35" s="139">
        <f t="shared" si="8"/>
        <v>0</v>
      </c>
      <c r="M35" s="139">
        <f t="shared" si="8"/>
        <v>0</v>
      </c>
      <c r="N35" s="139">
        <f t="shared" si="8"/>
        <v>0</v>
      </c>
    </row>
    <row r="36" spans="2:14">
      <c r="B36" s="287" t="s">
        <v>61</v>
      </c>
      <c r="C36" s="290"/>
      <c r="D36" s="290"/>
      <c r="E36" s="463">
        <v>0</v>
      </c>
      <c r="F36" s="152">
        <f t="shared" ref="F36:N36" si="9">IF(F$24&lt;=$E$19,E36*(1+F$25),0)</f>
        <v>0</v>
      </c>
      <c r="G36" s="152">
        <f t="shared" si="9"/>
        <v>0</v>
      </c>
      <c r="H36" s="152">
        <f t="shared" si="9"/>
        <v>0</v>
      </c>
      <c r="I36" s="152">
        <f t="shared" si="9"/>
        <v>0</v>
      </c>
      <c r="J36" s="152">
        <f t="shared" si="9"/>
        <v>0</v>
      </c>
      <c r="K36" s="152">
        <f t="shared" si="9"/>
        <v>0</v>
      </c>
      <c r="L36" s="152">
        <f t="shared" si="9"/>
        <v>0</v>
      </c>
      <c r="M36" s="152">
        <f t="shared" si="9"/>
        <v>0</v>
      </c>
      <c r="N36" s="152">
        <f t="shared" si="9"/>
        <v>0</v>
      </c>
    </row>
    <row r="37" spans="2:14">
      <c r="B37" s="142" t="s">
        <v>75</v>
      </c>
      <c r="C37" s="153"/>
      <c r="D37" s="153"/>
      <c r="E37" s="460" t="e">
        <f t="shared" ref="E37:N37" ca="true" si="10">SUM(E32:E36)</f>
        <v>#VALUE!</v>
      </c>
      <c r="F37" s="143" t="e">
        <f t="shared" ca="true" si="10"/>
        <v>#VALUE!</v>
      </c>
      <c r="G37" s="143" t="e">
        <f t="shared" ca="true" si="10"/>
        <v>#VALUE!</v>
      </c>
      <c r="H37" s="143" t="e">
        <f t="shared" ca="true" si="10"/>
        <v>#VALUE!</v>
      </c>
      <c r="I37" s="143" t="e">
        <f t="shared" ca="true" si="10"/>
        <v>#VALUE!</v>
      </c>
      <c r="J37" s="143" t="e">
        <f t="shared" ca="true" si="10"/>
        <v>#VALUE!</v>
      </c>
      <c r="K37" s="143" t="e">
        <f t="shared" ca="true" si="10"/>
        <v>#VALUE!</v>
      </c>
      <c r="L37" s="143" t="e">
        <f t="shared" ca="true" si="10"/>
        <v>#VALUE!</v>
      </c>
      <c r="M37" s="143" t="e">
        <f t="shared" ca="true" si="10"/>
        <v>#VALUE!</v>
      </c>
      <c r="N37" s="143" t="e">
        <f t="shared" ca="true" si="10"/>
        <v>#VALUE!</v>
      </c>
    </row>
    <row r="38" spans="2:14">
      <c r="B38" s="134" t="s">
        <v>683</v>
      </c>
      <c r="C38" s="134"/>
      <c r="D38" s="134"/>
      <c r="E38" s="449"/>
      <c r="F38" s="154"/>
      <c r="G38" s="154"/>
      <c r="H38" s="154"/>
      <c r="I38" s="154"/>
      <c r="J38" s="154"/>
      <c r="K38" s="154"/>
      <c r="L38" s="154"/>
      <c r="M38" s="154"/>
      <c r="N38" s="154"/>
    </row>
    <row r="39" spans="2:14">
      <c r="B39" s="155" t="s">
        <v>83</v>
      </c>
      <c r="C39" s="156"/>
      <c r="D39" s="156"/>
      <c r="E39" s="462">
        <f ca="true">IF(ISNUMBER(OFFSET('Financial Analysis'!D10,0,0)),OFFSET('Financial Analysis'!D10,0,0),0)</f>
        <v>0</v>
      </c>
      <c r="F39" s="139">
        <f t="shared" ref="F39:N39" ca="true" si="11">IF(F$24&lt;=$E$19,E39*(1+F$26),0)</f>
        <v>0</v>
      </c>
      <c r="G39" s="139">
        <f t="shared" ca="true" si="11"/>
        <v>0</v>
      </c>
      <c r="H39" s="139">
        <f t="shared" ca="true" si="11"/>
        <v>0</v>
      </c>
      <c r="I39" s="139">
        <f t="shared" ca="true" si="11"/>
        <v>0</v>
      </c>
      <c r="J39" s="139">
        <f t="shared" ca="true" si="11"/>
        <v>0</v>
      </c>
      <c r="K39" s="139">
        <f t="shared" ca="true" si="11"/>
        <v>0</v>
      </c>
      <c r="L39" s="139">
        <f t="shared" si="11"/>
        <v>0</v>
      </c>
      <c r="M39" s="139">
        <f t="shared" si="11"/>
        <v>0</v>
      </c>
      <c r="N39" s="139">
        <f t="shared" si="11"/>
        <v>0</v>
      </c>
    </row>
    <row r="40" spans="2:14">
      <c r="B40" s="155" t="s">
        <v>90</v>
      </c>
      <c r="C40" s="156"/>
      <c r="D40" s="156"/>
      <c r="E40" s="462">
        <f ca="true">IF(ISNUMBER(OFFSET('Financial Analysis'!D11,0,0)),OFFSET('Financial Analysis'!D11,0,0),0)</f>
        <v>0</v>
      </c>
      <c r="F40" s="139">
        <f t="shared" ref="F40:N40" ca="true" si="12">IF(F$24&lt;=$E$19,E40*(1+F$26),0)</f>
        <v>0</v>
      </c>
      <c r="G40" s="139">
        <f t="shared" ca="true" si="12"/>
        <v>0</v>
      </c>
      <c r="H40" s="139">
        <f t="shared" ca="true" si="12"/>
        <v>0</v>
      </c>
      <c r="I40" s="139">
        <f t="shared" ca="true" si="12"/>
        <v>0</v>
      </c>
      <c r="J40" s="139">
        <f t="shared" ca="true" si="12"/>
        <v>0</v>
      </c>
      <c r="K40" s="139">
        <f t="shared" ca="true" si="12"/>
        <v>0</v>
      </c>
      <c r="L40" s="139">
        <f t="shared" si="12"/>
        <v>0</v>
      </c>
      <c r="M40" s="139">
        <f t="shared" si="12"/>
        <v>0</v>
      </c>
      <c r="N40" s="139">
        <f t="shared" si="12"/>
        <v>0</v>
      </c>
    </row>
    <row r="41" spans="2:14">
      <c r="B41" s="155" t="s">
        <v>97</v>
      </c>
      <c r="C41" s="156"/>
      <c r="D41" s="156"/>
      <c r="E41" s="462">
        <f ca="true">IF(ISNUMBER(OFFSET('Financial Analysis'!D12,0,0)),OFFSET('Financial Analysis'!D12,0,0),0)</f>
        <v>0</v>
      </c>
      <c r="F41" s="139">
        <f t="shared" ref="F41:N41" ca="true" si="13">IF(F$24&lt;=$E$19,E41*(1+F$26),0)</f>
        <v>0</v>
      </c>
      <c r="G41" s="139">
        <f t="shared" ca="true" si="13"/>
        <v>0</v>
      </c>
      <c r="H41" s="139">
        <f t="shared" ca="true" si="13"/>
        <v>0</v>
      </c>
      <c r="I41" s="139">
        <f t="shared" ca="true" si="13"/>
        <v>0</v>
      </c>
      <c r="J41" s="139">
        <f t="shared" ca="true" si="13"/>
        <v>0</v>
      </c>
      <c r="K41" s="139">
        <f t="shared" ca="true" si="13"/>
        <v>0</v>
      </c>
      <c r="L41" s="139">
        <f t="shared" si="13"/>
        <v>0</v>
      </c>
      <c r="M41" s="139">
        <f t="shared" si="13"/>
        <v>0</v>
      </c>
      <c r="N41" s="139">
        <f t="shared" si="13"/>
        <v>0</v>
      </c>
    </row>
    <row r="42" spans="2:14">
      <c r="B42" s="155" t="s">
        <v>104</v>
      </c>
      <c r="C42" s="156"/>
      <c r="D42" s="156"/>
      <c r="E42" s="462">
        <f ca="true">IF(ISNUMBER(OFFSET('Financial Analysis'!D13,0,0)),OFFSET('Financial Analysis'!D13,0,0),0)</f>
        <v>0</v>
      </c>
      <c r="F42" s="139">
        <f t="shared" ref="F42:N42" ca="true" si="14">IF(F$24&lt;=$E$19,E42*(1+F$26),0)</f>
        <v>0</v>
      </c>
      <c r="G42" s="139">
        <f t="shared" ca="true" si="14"/>
        <v>0</v>
      </c>
      <c r="H42" s="139">
        <f t="shared" ca="true" si="14"/>
        <v>0</v>
      </c>
      <c r="I42" s="139">
        <f t="shared" ca="true" si="14"/>
        <v>0</v>
      </c>
      <c r="J42" s="139">
        <f t="shared" ca="true" si="14"/>
        <v>0</v>
      </c>
      <c r="K42" s="139">
        <f t="shared" ca="true" si="14"/>
        <v>0</v>
      </c>
      <c r="L42" s="139">
        <f t="shared" si="14"/>
        <v>0</v>
      </c>
      <c r="M42" s="139">
        <f t="shared" si="14"/>
        <v>0</v>
      </c>
      <c r="N42" s="139">
        <f t="shared" si="14"/>
        <v>0</v>
      </c>
    </row>
    <row r="43" spans="2:14">
      <c r="B43" s="155" t="s">
        <v>111</v>
      </c>
      <c r="C43" s="156"/>
      <c r="D43" s="156"/>
      <c r="E43" s="462">
        <f ca="true">IF(ISNUMBER(OFFSET('Financial Analysis'!D14,0,0)),OFFSET('Financial Analysis'!D14,0,0),0)</f>
        <v>0</v>
      </c>
      <c r="F43" s="139">
        <f t="shared" ref="F43:N43" ca="true" si="15">IF(F$24&lt;=$E$19,E43*(1+F$26),0)</f>
        <v>0</v>
      </c>
      <c r="G43" s="139">
        <f t="shared" ca="true" si="15"/>
        <v>0</v>
      </c>
      <c r="H43" s="139">
        <f t="shared" ca="true" si="15"/>
        <v>0</v>
      </c>
      <c r="I43" s="139">
        <f t="shared" ca="true" si="15"/>
        <v>0</v>
      </c>
      <c r="J43" s="139">
        <f t="shared" ca="true" si="15"/>
        <v>0</v>
      </c>
      <c r="K43" s="139">
        <f t="shared" ca="true" si="15"/>
        <v>0</v>
      </c>
      <c r="L43" s="139">
        <f t="shared" si="15"/>
        <v>0</v>
      </c>
      <c r="M43" s="139">
        <f t="shared" si="15"/>
        <v>0</v>
      </c>
      <c r="N43" s="139">
        <f t="shared" si="15"/>
        <v>0</v>
      </c>
    </row>
    <row r="44" spans="2:14">
      <c r="B44" s="155" t="s">
        <v>118</v>
      </c>
      <c r="C44" s="156"/>
      <c r="D44" s="156"/>
      <c r="E44" s="462">
        <f ca="true">IF(ISNUMBER(OFFSET('Financial Analysis'!D15,0,0)),OFFSET('Financial Analysis'!D15,0,0),0)</f>
        <v>0</v>
      </c>
      <c r="F44" s="139">
        <f t="shared" ref="F44:N44" ca="true" si="16">IF(F$24&lt;=$E$19,E44*(1+F$26),0)</f>
        <v>0</v>
      </c>
      <c r="G44" s="139">
        <f t="shared" ca="true" si="16"/>
        <v>0</v>
      </c>
      <c r="H44" s="139">
        <f t="shared" ca="true" si="16"/>
        <v>0</v>
      </c>
      <c r="I44" s="139">
        <f t="shared" ca="true" si="16"/>
        <v>0</v>
      </c>
      <c r="J44" s="139">
        <f t="shared" ca="true" si="16"/>
        <v>0</v>
      </c>
      <c r="K44" s="139">
        <f t="shared" ca="true" si="16"/>
        <v>0</v>
      </c>
      <c r="L44" s="139">
        <f t="shared" si="16"/>
        <v>0</v>
      </c>
      <c r="M44" s="139">
        <f t="shared" si="16"/>
        <v>0</v>
      </c>
      <c r="N44" s="139">
        <f t="shared" si="16"/>
        <v>0</v>
      </c>
    </row>
    <row r="45" spans="2:14">
      <c r="B45" s="155" t="s">
        <v>125</v>
      </c>
      <c r="C45" s="156"/>
      <c r="D45" s="156"/>
      <c r="E45" s="462">
        <f ca="true">IF(ISNUMBER(OFFSET('Financial Analysis'!D16,0,0)),OFFSET('Financial Analysis'!D16,0,0),0)</f>
        <v>0</v>
      </c>
      <c r="F45" s="139">
        <f t="shared" ref="F45:N45" ca="true" si="17">IF(F$24&lt;=$E$19,E45*(1+F$26),0)</f>
        <v>0</v>
      </c>
      <c r="G45" s="139">
        <f t="shared" ca="true" si="17"/>
        <v>0</v>
      </c>
      <c r="H45" s="139">
        <f t="shared" ca="true" si="17"/>
        <v>0</v>
      </c>
      <c r="I45" s="139">
        <f t="shared" ca="true" si="17"/>
        <v>0</v>
      </c>
      <c r="J45" s="139">
        <f t="shared" ca="true" si="17"/>
        <v>0</v>
      </c>
      <c r="K45" s="139">
        <f t="shared" ca="true" si="17"/>
        <v>0</v>
      </c>
      <c r="L45" s="139">
        <f t="shared" si="17"/>
        <v>0</v>
      </c>
      <c r="M45" s="139">
        <f t="shared" si="17"/>
        <v>0</v>
      </c>
      <c r="N45" s="139">
        <f t="shared" si="17"/>
        <v>0</v>
      </c>
    </row>
    <row r="46" spans="2:14">
      <c r="B46" s="155" t="s">
        <v>132</v>
      </c>
      <c r="C46" s="156"/>
      <c r="D46" s="156"/>
      <c r="E46" s="462">
        <f ca="true">IF(ISNUMBER(OFFSET('Financial Analysis'!D17,0,0)),OFFSET('Financial Analysis'!D17,0,0),0)</f>
        <v>0</v>
      </c>
      <c r="F46" s="139">
        <f t="shared" ref="F46:N46" ca="true" si="18">IF(F$24&lt;=$E$19,E46*(1+F$26),0)</f>
        <v>0</v>
      </c>
      <c r="G46" s="139">
        <f t="shared" ca="true" si="18"/>
        <v>0</v>
      </c>
      <c r="H46" s="139">
        <f t="shared" ca="true" si="18"/>
        <v>0</v>
      </c>
      <c r="I46" s="139">
        <f t="shared" ca="true" si="18"/>
        <v>0</v>
      </c>
      <c r="J46" s="139">
        <f t="shared" ca="true" si="18"/>
        <v>0</v>
      </c>
      <c r="K46" s="139">
        <f t="shared" ca="true" si="18"/>
        <v>0</v>
      </c>
      <c r="L46" s="139">
        <f t="shared" si="18"/>
        <v>0</v>
      </c>
      <c r="M46" s="139">
        <f t="shared" si="18"/>
        <v>0</v>
      </c>
      <c r="N46" s="139">
        <f t="shared" si="18"/>
        <v>0</v>
      </c>
    </row>
    <row r="47" spans="2:14">
      <c r="B47" s="155" t="s">
        <v>139</v>
      </c>
      <c r="C47" s="156"/>
      <c r="D47" s="156"/>
      <c r="E47" s="462">
        <f ca="true">IF(ISNUMBER(OFFSET('Financial Analysis'!D18,0,0)),OFFSET('Financial Analysis'!D18,0,0),0)</f>
        <v>0</v>
      </c>
      <c r="F47" s="139">
        <f t="shared" ref="F47:N47" ca="true" si="19">IF(F$24&lt;=$E$19,E47*(1+F$26),0)</f>
        <v>0</v>
      </c>
      <c r="G47" s="139">
        <f t="shared" ca="true" si="19"/>
        <v>0</v>
      </c>
      <c r="H47" s="139">
        <f t="shared" ca="true" si="19"/>
        <v>0</v>
      </c>
      <c r="I47" s="139">
        <f t="shared" ca="true" si="19"/>
        <v>0</v>
      </c>
      <c r="J47" s="139">
        <f t="shared" ca="true" si="19"/>
        <v>0</v>
      </c>
      <c r="K47" s="139">
        <f t="shared" ca="true" si="19"/>
        <v>0</v>
      </c>
      <c r="L47" s="139">
        <f t="shared" si="19"/>
        <v>0</v>
      </c>
      <c r="M47" s="139">
        <f t="shared" si="19"/>
        <v>0</v>
      </c>
      <c r="N47" s="139">
        <f t="shared" si="19"/>
        <v>0</v>
      </c>
    </row>
    <row r="48" spans="2:14">
      <c r="B48" s="155" t="s">
        <v>146</v>
      </c>
      <c r="C48" s="156"/>
      <c r="D48" s="156"/>
      <c r="E48" s="462">
        <f ca="true">IF(ISNUMBER(OFFSET('Financial Analysis'!D19,0,0)),OFFSET('Financial Analysis'!D19,0,0),0)</f>
        <v>0</v>
      </c>
      <c r="F48" s="139">
        <f t="shared" ref="F48:N48" ca="true" si="20">IF(F$24&lt;=$E$19,E48*(1+F$26),0)</f>
        <v>0</v>
      </c>
      <c r="G48" s="139">
        <f t="shared" ca="true" si="20"/>
        <v>0</v>
      </c>
      <c r="H48" s="139">
        <f t="shared" ca="true" si="20"/>
        <v>0</v>
      </c>
      <c r="I48" s="139">
        <f t="shared" ca="true" si="20"/>
        <v>0</v>
      </c>
      <c r="J48" s="139">
        <f t="shared" ca="true" si="20"/>
        <v>0</v>
      </c>
      <c r="K48" s="139">
        <f t="shared" ca="true" si="20"/>
        <v>0</v>
      </c>
      <c r="L48" s="139">
        <f t="shared" si="20"/>
        <v>0</v>
      </c>
      <c r="M48" s="139">
        <f t="shared" si="20"/>
        <v>0</v>
      </c>
      <c r="N48" s="139">
        <f t="shared" si="20"/>
        <v>0</v>
      </c>
    </row>
    <row r="49" spans="2:14">
      <c r="B49" s="285" t="s">
        <v>146</v>
      </c>
      <c r="C49" s="286"/>
      <c r="D49" s="286"/>
      <c r="E49" s="462">
        <v>0</v>
      </c>
      <c r="F49" s="139">
        <f t="shared" ref="F49:N49" si="21">IF(F$24&lt;=$E$19,E49*(1+F$26),0)</f>
        <v>0</v>
      </c>
      <c r="G49" s="139">
        <f t="shared" si="21"/>
        <v>0</v>
      </c>
      <c r="H49" s="139">
        <f t="shared" si="21"/>
        <v>0</v>
      </c>
      <c r="I49" s="139">
        <f t="shared" si="21"/>
        <v>0</v>
      </c>
      <c r="J49" s="139">
        <f t="shared" si="21"/>
        <v>0</v>
      </c>
      <c r="K49" s="139">
        <f t="shared" si="21"/>
        <v>0</v>
      </c>
      <c r="L49" s="139">
        <f t="shared" si="21"/>
        <v>0</v>
      </c>
      <c r="M49" s="139">
        <f t="shared" si="21"/>
        <v>0</v>
      </c>
      <c r="N49" s="139">
        <f t="shared" si="21"/>
        <v>0</v>
      </c>
    </row>
    <row r="50" spans="2:14">
      <c r="B50" s="287" t="s">
        <v>146</v>
      </c>
      <c r="C50" s="288"/>
      <c r="D50" s="288"/>
      <c r="E50" s="463">
        <v>0</v>
      </c>
      <c r="F50" s="139">
        <f t="shared" ref="F50:N50" si="22">IF(F$24&lt;=$E$19,E50*(1+F$26),0)</f>
        <v>0</v>
      </c>
      <c r="G50" s="139">
        <f t="shared" si="22"/>
        <v>0</v>
      </c>
      <c r="H50" s="139">
        <f t="shared" si="22"/>
        <v>0</v>
      </c>
      <c r="I50" s="139">
        <f t="shared" si="22"/>
        <v>0</v>
      </c>
      <c r="J50" s="139">
        <f t="shared" si="22"/>
        <v>0</v>
      </c>
      <c r="K50" s="139">
        <f t="shared" si="22"/>
        <v>0</v>
      </c>
      <c r="L50" s="139">
        <f t="shared" si="22"/>
        <v>0</v>
      </c>
      <c r="M50" s="139">
        <f t="shared" si="22"/>
        <v>0</v>
      </c>
      <c r="N50" s="139">
        <f t="shared" si="22"/>
        <v>0</v>
      </c>
    </row>
    <row r="51" spans="2:14">
      <c r="B51" s="157" t="s">
        <v>153</v>
      </c>
      <c r="C51" s="157"/>
      <c r="D51" s="157"/>
      <c r="E51" s="461">
        <f t="shared" ref="E51:N51" ca="true" si="23">SUM(E39:E50)</f>
        <v>0</v>
      </c>
      <c r="F51" s="151">
        <f t="shared" ca="true" si="23"/>
        <v>0</v>
      </c>
      <c r="G51" s="151">
        <f t="shared" ca="true" si="23"/>
        <v>0</v>
      </c>
      <c r="H51" s="151">
        <f t="shared" ca="true" si="23"/>
        <v>0</v>
      </c>
      <c r="I51" s="151">
        <f t="shared" ca="true" si="23"/>
        <v>0</v>
      </c>
      <c r="J51" s="151">
        <f t="shared" ca="true" si="23"/>
        <v>0</v>
      </c>
      <c r="K51" s="151">
        <f t="shared" ca="true" si="23"/>
        <v>0</v>
      </c>
      <c r="L51" s="151">
        <f t="shared" si="23"/>
        <v>0</v>
      </c>
      <c r="M51" s="151">
        <f t="shared" si="23"/>
        <v>0</v>
      </c>
      <c r="N51" s="151">
        <f t="shared" si="23"/>
        <v>0</v>
      </c>
    </row>
    <row r="52" spans="2:14">
      <c r="B52" s="158" t="s">
        <v>664</v>
      </c>
      <c r="C52" s="158"/>
      <c r="D52" s="158"/>
      <c r="E52" s="159">
        <f t="shared" ref="E52:N52" ca="true" si="24">IFERROR(E51/E37,0)</f>
        <v>0</v>
      </c>
      <c r="F52" s="159">
        <f t="shared" ca="true" si="24"/>
        <v>0</v>
      </c>
      <c r="G52" s="159">
        <f t="shared" ca="true" si="24"/>
        <v>0</v>
      </c>
      <c r="H52" s="159">
        <f t="shared" ca="true" si="24"/>
        <v>0</v>
      </c>
      <c r="I52" s="159">
        <f t="shared" ca="true" si="24"/>
        <v>0</v>
      </c>
      <c r="J52" s="159">
        <f t="shared" ca="true" si="24"/>
        <v>0</v>
      </c>
      <c r="K52" s="159">
        <f t="shared" ca="true" si="24"/>
        <v>0</v>
      </c>
      <c r="L52" s="159">
        <f t="shared" ca="true" si="24"/>
        <v>0</v>
      </c>
      <c r="M52" s="159">
        <f t="shared" ca="true" si="24"/>
        <v>0</v>
      </c>
      <c r="N52" s="159">
        <f t="shared" ca="true" si="24"/>
        <v>0</v>
      </c>
    </row>
    <row r="53" spans="2:14" ht="13.5" thickBot="true">
      <c r="B53" s="160"/>
      <c r="C53" s="160"/>
      <c r="D53" s="160"/>
      <c r="E53" s="1"/>
      <c r="F53" s="1"/>
      <c r="G53" s="1"/>
      <c r="H53" s="1"/>
      <c r="I53" s="1"/>
      <c r="J53" s="1"/>
      <c r="K53" s="1"/>
      <c r="L53" s="1"/>
      <c r="M53" s="1"/>
      <c r="N53" s="161"/>
    </row>
    <row r="54" spans="2:14" ht="13.5" thickBot="true">
      <c r="B54" s="208" t="s">
        <v>160</v>
      </c>
      <c r="C54" s="209"/>
      <c r="D54" s="209"/>
      <c r="E54" s="464" t="e">
        <f t="shared" ref="E54:N54" ca="true" si="25">E37-E51</f>
        <v>#VALUE!</v>
      </c>
      <c r="F54" s="210" t="e">
        <f t="shared" ca="true" si="25"/>
        <v>#VALUE!</v>
      </c>
      <c r="G54" s="210" t="e">
        <f t="shared" ca="true" si="25"/>
        <v>#VALUE!</v>
      </c>
      <c r="H54" s="210" t="e">
        <f t="shared" ca="true" si="25"/>
        <v>#VALUE!</v>
      </c>
      <c r="I54" s="210" t="e">
        <f t="shared" ca="true" si="25"/>
        <v>#VALUE!</v>
      </c>
      <c r="J54" s="210" t="e">
        <f t="shared" ca="true" si="25"/>
        <v>#VALUE!</v>
      </c>
      <c r="K54" s="210" t="e">
        <f t="shared" ca="true" si="25"/>
        <v>#VALUE!</v>
      </c>
      <c r="L54" s="210" t="e">
        <f t="shared" ca="true" si="25"/>
        <v>#VALUE!</v>
      </c>
      <c r="M54" s="210" t="e">
        <f t="shared" ca="true" si="25"/>
        <v>#VALUE!</v>
      </c>
      <c r="N54" s="211" t="e">
        <f t="shared" ca="true" si="25"/>
        <v>#VALUE!</v>
      </c>
    </row>
    <row r="55" spans="2:14">
      <c r="B55" s="153"/>
      <c r="C55" s="153"/>
      <c r="D55" s="153"/>
      <c r="E55" s="143"/>
      <c r="F55" s="143"/>
      <c r="G55" s="143"/>
      <c r="H55" s="143"/>
      <c r="I55" s="143"/>
      <c r="J55" s="143"/>
      <c r="K55" s="143"/>
      <c r="L55" s="143"/>
      <c r="M55" s="143"/>
      <c r="N55" s="143"/>
    </row>
    <row r="56" spans="2:14" ht="18.5">
      <c r="B56" s="79" t="s">
        <v>715</v>
      </c>
      <c r="C56" s="153"/>
      <c r="D56" s="153"/>
      <c r="E56" s="143"/>
      <c r="F56" s="143"/>
      <c r="G56" s="143"/>
      <c r="H56" s="143"/>
      <c r="I56" s="143"/>
      <c r="J56" s="143"/>
      <c r="K56" s="143"/>
      <c r="L56" s="143"/>
      <c r="M56" s="143"/>
      <c r="N56" s="143"/>
    </row>
    <row r="57" spans="2:14">
      <c r="B57" s="134" t="s">
        <v>704</v>
      </c>
      <c r="C57" s="134"/>
      <c r="D57" s="134"/>
      <c r="E57" s="446">
        <v>1</v>
      </c>
      <c r="F57" s="141">
        <f t="shared" ref="F57:N57" si="26">E57+1</f>
        <v>2</v>
      </c>
      <c r="G57" s="141">
        <f t="shared" si="26"/>
        <v>3</v>
      </c>
      <c r="H57" s="141">
        <f t="shared" si="26"/>
        <v>4</v>
      </c>
      <c r="I57" s="141">
        <f t="shared" si="26"/>
        <v>5</v>
      </c>
      <c r="J57" s="141">
        <f t="shared" si="26"/>
        <v>6</v>
      </c>
      <c r="K57" s="141">
        <f t="shared" si="26"/>
        <v>7</v>
      </c>
      <c r="L57" s="141">
        <f t="shared" si="26"/>
        <v>8</v>
      </c>
      <c r="M57" s="141">
        <f t="shared" si="26"/>
        <v>9</v>
      </c>
      <c r="N57" s="141">
        <f t="shared" si="26"/>
        <v>10</v>
      </c>
    </row>
    <row r="58" spans="2:14">
      <c r="B58" s="80" t="s">
        <v>703</v>
      </c>
      <c r="C58" s="80"/>
      <c r="D58" s="191"/>
      <c r="E58" s="447" t="e">
        <f t="shared" ref="E58:N58" ca="true" si="27">E54</f>
        <v>#VALUE!</v>
      </c>
      <c r="F58" s="191" t="e">
        <f t="shared" ca="true" si="27"/>
        <v>#VALUE!</v>
      </c>
      <c r="G58" s="191" t="e">
        <f t="shared" ca="true" si="27"/>
        <v>#VALUE!</v>
      </c>
      <c r="H58" s="191" t="e">
        <f t="shared" ca="true" si="27"/>
        <v>#VALUE!</v>
      </c>
      <c r="I58" s="191" t="e">
        <f t="shared" ca="true" si="27"/>
        <v>#VALUE!</v>
      </c>
      <c r="J58" s="191" t="e">
        <f t="shared" ca="true" si="27"/>
        <v>#VALUE!</v>
      </c>
      <c r="K58" s="191" t="e">
        <f t="shared" ca="true" si="27"/>
        <v>#VALUE!</v>
      </c>
      <c r="L58" s="191" t="e">
        <f t="shared" ca="true" si="27"/>
        <v>#VALUE!</v>
      </c>
      <c r="M58" s="191" t="e">
        <f t="shared" ca="true" si="27"/>
        <v>#VALUE!</v>
      </c>
      <c r="N58" s="191" t="e">
        <f t="shared" ca="true" si="27"/>
        <v>#VALUE!</v>
      </c>
    </row>
    <row r="59" spans="2:14">
      <c r="B59" s="180" t="s">
        <v>708</v>
      </c>
      <c r="C59" s="180"/>
      <c r="D59" s="184" t="e">
        <f ca="true">-N18</f>
        <v>#VALUE!</v>
      </c>
      <c r="E59" s="448">
        <f t="shared" ref="E59:N59" ca="true" si="28">E65</f>
        <v>0</v>
      </c>
      <c r="F59" s="192">
        <f t="shared" ca="true" si="28"/>
        <v>0</v>
      </c>
      <c r="G59" s="192">
        <f t="shared" ca="true" si="28"/>
        <v>0</v>
      </c>
      <c r="H59" s="192">
        <f t="shared" ca="true" si="28"/>
        <v>0</v>
      </c>
      <c r="I59" s="192">
        <f t="shared" ca="true" si="28"/>
        <v>0</v>
      </c>
      <c r="J59" s="192">
        <f t="shared" ca="true" si="28"/>
        <v>0</v>
      </c>
      <c r="K59" s="192" t="e">
        <f t="shared" ca="true" si="28"/>
        <v>#VALUE!</v>
      </c>
      <c r="L59" s="192">
        <f t="shared" ca="true" si="28"/>
        <v>0</v>
      </c>
      <c r="M59" s="192">
        <f t="shared" ca="true" si="28"/>
        <v>0</v>
      </c>
      <c r="N59" s="192">
        <f t="shared" ca="true" si="28"/>
        <v>0</v>
      </c>
    </row>
    <row r="60" spans="2:14">
      <c r="B60" s="157" t="s">
        <v>699</v>
      </c>
      <c r="C60" s="157"/>
      <c r="D60" s="452" t="e">
        <f t="shared" ref="D60:N60" ca="true" si="29">SUM(D58:D59)</f>
        <v>#VALUE!</v>
      </c>
      <c r="E60" s="453" t="e">
        <f t="shared" ca="true" si="29"/>
        <v>#VALUE!</v>
      </c>
      <c r="F60" s="452" t="e">
        <f t="shared" ca="true" si="29"/>
        <v>#VALUE!</v>
      </c>
      <c r="G60" s="452" t="e">
        <f t="shared" ca="true" si="29"/>
        <v>#VALUE!</v>
      </c>
      <c r="H60" s="452" t="e">
        <f t="shared" ca="true" si="29"/>
        <v>#VALUE!</v>
      </c>
      <c r="I60" s="452" t="e">
        <f t="shared" ca="true" si="29"/>
        <v>#VALUE!</v>
      </c>
      <c r="J60" s="452" t="e">
        <f t="shared" ca="true" si="29"/>
        <v>#VALUE!</v>
      </c>
      <c r="K60" s="452" t="e">
        <f t="shared" ca="true" si="29"/>
        <v>#VALUE!</v>
      </c>
      <c r="L60" s="452" t="e">
        <f t="shared" ca="true" si="29"/>
        <v>#VALUE!</v>
      </c>
      <c r="M60" s="452" t="e">
        <f t="shared" ca="true" si="29"/>
        <v>#VALUE!</v>
      </c>
      <c r="N60" s="452" t="e">
        <f t="shared" ca="true" si="29"/>
        <v>#VALUE!</v>
      </c>
    </row>
    <row r="61" spans="2:14">
      <c r="B61" s="153"/>
      <c r="C61" s="153"/>
      <c r="D61" s="153"/>
      <c r="E61" s="143"/>
      <c r="F61" s="143"/>
      <c r="G61" s="143"/>
      <c r="H61" s="143"/>
      <c r="I61" s="143"/>
      <c r="J61" s="143"/>
      <c r="K61" s="143"/>
      <c r="L61" s="143"/>
      <c r="M61" s="143"/>
      <c r="N61" s="143"/>
    </row>
    <row r="62" spans="2:14">
      <c r="B62" s="134" t="s">
        <v>712</v>
      </c>
      <c r="C62" s="134"/>
      <c r="D62" s="134"/>
      <c r="E62" s="449"/>
      <c r="F62" s="154"/>
      <c r="G62" s="154"/>
      <c r="H62" s="154"/>
      <c r="I62" s="154"/>
      <c r="J62" s="154"/>
      <c r="K62" s="154"/>
      <c r="L62" s="154"/>
      <c r="M62" s="154"/>
      <c r="N62" s="154"/>
    </row>
    <row r="63" spans="2:14">
      <c r="B63" s="80" t="s">
        <v>703</v>
      </c>
      <c r="C63" s="80"/>
      <c r="D63" s="185"/>
      <c r="E63" s="450" t="e">
        <f t="shared" ref="E63:N63" ca="true" si="30">E54</f>
        <v>#VALUE!</v>
      </c>
      <c r="F63" s="183" t="e">
        <f t="shared" ca="true" si="30"/>
        <v>#VALUE!</v>
      </c>
      <c r="G63" s="183" t="e">
        <f t="shared" ca="true" si="30"/>
        <v>#VALUE!</v>
      </c>
      <c r="H63" s="183" t="e">
        <f t="shared" ca="true" si="30"/>
        <v>#VALUE!</v>
      </c>
      <c r="I63" s="183" t="e">
        <f t="shared" ca="true" si="30"/>
        <v>#VALUE!</v>
      </c>
      <c r="J63" s="183" t="e">
        <f t="shared" ca="true" si="30"/>
        <v>#VALUE!</v>
      </c>
      <c r="K63" s="183" t="e">
        <f t="shared" ca="true" si="30"/>
        <v>#VALUE!</v>
      </c>
      <c r="L63" s="183" t="e">
        <f t="shared" ca="true" si="30"/>
        <v>#VALUE!</v>
      </c>
      <c r="M63" s="183" t="e">
        <f t="shared" ca="true" si="30"/>
        <v>#VALUE!</v>
      </c>
      <c r="N63" s="183" t="e">
        <f t="shared" ca="true" si="30"/>
        <v>#VALUE!</v>
      </c>
    </row>
    <row r="64" spans="2:14">
      <c r="B64" s="80" t="s">
        <v>686</v>
      </c>
      <c r="C64" s="80"/>
      <c r="D64" s="185"/>
      <c r="E64" s="450" t="e">
        <f t="shared" ref="E64:N64" ca="true" si="31">IF(E24&gt;$E$19,0,-IF(AND($I$10&gt;D$24*12,$I$10&lt;=E$24*12),((($I$10-D$24*12)/12)*$I$17+(1-($I$10-D$24*12)/12)*$I$18),IF($I$10&gt;E$24*12,$I$17,$I$18))*IF($E$18=0,1,IF(AND(D$24*12&lt;$E$18,E$24*12&gt;=$E$18),($E$18-D$24*12)/12,IF(E$24*12&lt;$E$18,1,0)))
-IF(AND(($J$10+$E$18)&gt;D$24*12,($J$10+$E$18)&lt;=E$24*12),(((($J$10+$E$18)-D$24*12)/12)*$J$17+(1-(($J$10+$E$18)-D$24*12)/12)*$J$18),IF(($J$10+$E$18)&gt;E$24*12,$J$17,$J$18))*IF($E$18=0,0,IF(AND(D$24*12&lt;$E$18,E$24*12&gt;=$E$18),(12-($E$18-D$24*12))/12,IF(E$24*12&lt;$E$18,0,1))))</f>
        <v>#VALUE!</v>
      </c>
      <c r="F64" s="183" t="e">
        <f t="shared" ca="true" si="31"/>
        <v>#VALUE!</v>
      </c>
      <c r="G64" s="183" t="e">
        <f t="shared" ca="true" si="31"/>
        <v>#VALUE!</v>
      </c>
      <c r="H64" s="183" t="e">
        <f t="shared" ca="true" si="31"/>
        <v>#VALUE!</v>
      </c>
      <c r="I64" s="183" t="e">
        <f t="shared" ca="true" si="31"/>
        <v>#VALUE!</v>
      </c>
      <c r="J64" s="183" t="e">
        <f t="shared" ca="true" si="31"/>
        <v>#VALUE!</v>
      </c>
      <c r="K64" s="183" t="e">
        <f t="shared" ca="true" si="31"/>
        <v>#VALUE!</v>
      </c>
      <c r="L64" s="183">
        <f t="shared" si="31"/>
        <v>0</v>
      </c>
      <c r="M64" s="183">
        <f t="shared" si="31"/>
        <v>0</v>
      </c>
      <c r="N64" s="183">
        <f t="shared" si="31"/>
        <v>0</v>
      </c>
    </row>
    <row r="65" spans="2:14">
      <c r="B65" s="80" t="s">
        <v>708</v>
      </c>
      <c r="C65" s="80"/>
      <c r="D65" s="191" t="e">
        <f ca="true">D59</f>
        <v>#VALUE!</v>
      </c>
      <c r="E65" s="450">
        <f t="shared" ref="E65:N65" ca="true" si="32">IF(AND($E$19&gt;D$24,$E$19&lt;=E$24),(OFFSET($D$54,0,$E$19)/$E$11)*(1-$E$12),0)</f>
        <v>0</v>
      </c>
      <c r="F65" s="183">
        <f t="shared" ca="true" si="32"/>
        <v>0</v>
      </c>
      <c r="G65" s="183">
        <f t="shared" ca="true" si="32"/>
        <v>0</v>
      </c>
      <c r="H65" s="183">
        <f t="shared" ca="true" si="32"/>
        <v>0</v>
      </c>
      <c r="I65" s="183">
        <f t="shared" ca="true" si="32"/>
        <v>0</v>
      </c>
      <c r="J65" s="183">
        <f t="shared" ca="true" si="32"/>
        <v>0</v>
      </c>
      <c r="K65" s="183" t="e">
        <f t="shared" ca="true" si="32"/>
        <v>#VALUE!</v>
      </c>
      <c r="L65" s="183">
        <f t="shared" ca="true" si="32"/>
        <v>0</v>
      </c>
      <c r="M65" s="183">
        <f t="shared" ca="true" si="32"/>
        <v>0</v>
      </c>
      <c r="N65" s="183">
        <f t="shared" ca="true" si="32"/>
        <v>0</v>
      </c>
    </row>
    <row r="66" spans="2:14">
      <c r="B66" s="180" t="s">
        <v>707</v>
      </c>
      <c r="C66" s="180"/>
      <c r="D66" s="186" t="e">
        <f ca="true">I21</f>
        <v>#VALUE!</v>
      </c>
      <c r="E66" s="451">
        <f t="shared" ref="E66:N66" si="33">IF(AND($E$19&gt;D$24,$E$19&lt;=E$24),IF($E$18=0,-$I$22,-$J$22),0)+IF(AND($E$18&gt;D$24*12,$E$18&lt;=E$24*12),$J$21,0)</f>
        <v>0</v>
      </c>
      <c r="F66" s="184">
        <f t="shared" si="33"/>
        <v>0</v>
      </c>
      <c r="G66" s="184" t="e">
        <f t="shared" ca="true" si="33"/>
        <v>#VALUE!</v>
      </c>
      <c r="H66" s="184">
        <f t="shared" si="33"/>
        <v>0</v>
      </c>
      <c r="I66" s="184">
        <f t="shared" si="33"/>
        <v>0</v>
      </c>
      <c r="J66" s="184">
        <f t="shared" si="33"/>
        <v>0</v>
      </c>
      <c r="K66" s="184" t="e">
        <f t="shared" ca="true" si="33"/>
        <v>#VALUE!</v>
      </c>
      <c r="L66" s="184">
        <f t="shared" si="33"/>
        <v>0</v>
      </c>
      <c r="M66" s="184">
        <f t="shared" si="33"/>
        <v>0</v>
      </c>
      <c r="N66" s="184">
        <f t="shared" si="33"/>
        <v>0</v>
      </c>
    </row>
    <row r="67" spans="2:14">
      <c r="B67" s="157" t="s">
        <v>699</v>
      </c>
      <c r="C67" s="157"/>
      <c r="D67" s="454" t="e">
        <f t="shared" ref="D67:N67" ca="true" si="34">SUM(D63:D66)</f>
        <v>#VALUE!</v>
      </c>
      <c r="E67" s="455" t="e">
        <f t="shared" ca="true" si="34"/>
        <v>#VALUE!</v>
      </c>
      <c r="F67" s="454" t="e">
        <f t="shared" ca="true" si="34"/>
        <v>#VALUE!</v>
      </c>
      <c r="G67" s="454" t="e">
        <f t="shared" ca="true" si="34"/>
        <v>#VALUE!</v>
      </c>
      <c r="H67" s="454" t="e">
        <f t="shared" ca="true" si="34"/>
        <v>#VALUE!</v>
      </c>
      <c r="I67" s="454" t="e">
        <f t="shared" ca="true" si="34"/>
        <v>#VALUE!</v>
      </c>
      <c r="J67" s="454" t="e">
        <f t="shared" ca="true" si="34"/>
        <v>#VALUE!</v>
      </c>
      <c r="K67" s="454" t="e">
        <f t="shared" ca="true" si="34"/>
        <v>#VALUE!</v>
      </c>
      <c r="L67" s="454" t="e">
        <f t="shared" ca="true" si="34"/>
        <v>#VALUE!</v>
      </c>
      <c r="M67" s="454" t="e">
        <f t="shared" ca="true" si="34"/>
        <v>#VALUE!</v>
      </c>
      <c r="N67" s="454" t="e">
        <f t="shared" ca="true" si="34"/>
        <v>#VALUE!</v>
      </c>
    </row>
    <row r="68" spans="2:14">
      <c r="B68" s="456" t="s">
        <v>658</v>
      </c>
      <c r="C68" s="457"/>
      <c r="D68" s="457"/>
      <c r="E68" s="458" t="str">
        <f t="shared" ref="E68:N68" ca="true" si="35">IFERROR(-E63/E64,"")</f>
      </c>
      <c r="F68" s="458" t="str">
        <f t="shared" ca="true" si="35"/>
      </c>
      <c r="G68" s="458" t="str">
        <f t="shared" ca="true" si="35"/>
      </c>
      <c r="H68" s="458" t="str">
        <f t="shared" ca="true" si="35"/>
      </c>
      <c r="I68" s="458" t="str">
        <f t="shared" ca="true" si="35"/>
      </c>
      <c r="J68" s="458" t="str">
        <f t="shared" ca="true" si="35"/>
      </c>
      <c r="K68" s="458" t="str">
        <f t="shared" ca="true" si="35"/>
      </c>
      <c r="L68" s="458" t="str">
        <f t="shared" ca="true" si="35"/>
      </c>
      <c r="M68" s="458" t="str">
        <f t="shared" ca="true" si="35"/>
      </c>
      <c r="N68" s="458" t="str">
        <f t="shared" ca="true" si="35"/>
      </c>
    </row>
    <row r="69" spans="2:14">
      <c r="B69" s="153"/>
      <c r="C69" s="153"/>
      <c r="D69" s="153"/>
      <c r="E69" s="143"/>
      <c r="F69" s="143"/>
      <c r="G69" s="143"/>
      <c r="H69" s="143"/>
      <c r="I69" s="143"/>
      <c r="J69" s="143"/>
      <c r="K69" s="143"/>
      <c r="L69" s="143"/>
      <c r="M69" s="143"/>
      <c r="N69" s="143"/>
    </row>
    <row r="70" spans="2:14" ht="18.5">
      <c r="B70" s="212" t="s">
        <v>716</v>
      </c>
      <c r="C70" s="153"/>
      <c r="D70" s="153"/>
      <c r="E70" s="143"/>
      <c r="F70" s="143"/>
      <c r="G70" s="143"/>
      <c r="H70" s="143"/>
      <c r="I70" s="143"/>
      <c r="J70" s="143"/>
      <c r="K70" s="143"/>
      <c r="L70" s="143"/>
      <c r="M70" s="143"/>
      <c r="N70" s="143"/>
    </row>
    <row r="71" spans="2:14">
      <c r="B71" s="284" t="s">
        <v>713</v>
      </c>
      <c r="C71" s="284"/>
      <c r="D71" s="284"/>
      <c r="E71" s="434">
        <v>1</v>
      </c>
      <c r="F71" s="202">
        <f t="shared" ref="F71:N71" si="36">E71+1</f>
        <v>2</v>
      </c>
      <c r="G71" s="202">
        <f t="shared" si="36"/>
        <v>3</v>
      </c>
      <c r="H71" s="202">
        <f t="shared" si="36"/>
        <v>4</v>
      </c>
      <c r="I71" s="202">
        <f t="shared" si="36"/>
        <v>5</v>
      </c>
      <c r="J71" s="202">
        <f t="shared" si="36"/>
        <v>6</v>
      </c>
      <c r="K71" s="202">
        <f t="shared" si="36"/>
        <v>7</v>
      </c>
      <c r="L71" s="202">
        <f t="shared" si="36"/>
        <v>8</v>
      </c>
      <c r="M71" s="202">
        <f t="shared" si="36"/>
        <v>9</v>
      </c>
      <c r="N71" s="202">
        <f t="shared" si="36"/>
        <v>10</v>
      </c>
    </row>
    <row r="72" spans="2:14">
      <c r="B72" s="164" t="s">
        <v>665</v>
      </c>
      <c r="C72" s="198" t="s">
        <v>702</v>
      </c>
      <c r="D72" s="196" t="e">
        <f t="shared" ref="D72:N72" ca="true" si="37">IF($C$72="Leveraged",D67,D60)</f>
        <v>#VALUE!</v>
      </c>
      <c r="E72" s="442" t="e">
        <f t="shared" ca="true" si="37"/>
        <v>#VALUE!</v>
      </c>
      <c r="F72" s="196" t="e">
        <f t="shared" ca="true" si="37"/>
        <v>#VALUE!</v>
      </c>
      <c r="G72" s="196" t="e">
        <f t="shared" ca="true" si="37"/>
        <v>#VALUE!</v>
      </c>
      <c r="H72" s="196" t="e">
        <f t="shared" ca="true" si="37"/>
        <v>#VALUE!</v>
      </c>
      <c r="I72" s="196" t="e">
        <f t="shared" ca="true" si="37"/>
        <v>#VALUE!</v>
      </c>
      <c r="J72" s="196" t="e">
        <f t="shared" ca="true" si="37"/>
        <v>#VALUE!</v>
      </c>
      <c r="K72" s="196" t="e">
        <f t="shared" ca="true" si="37"/>
        <v>#VALUE!</v>
      </c>
      <c r="L72" s="196" t="e">
        <f t="shared" ca="true" si="37"/>
        <v>#VALUE!</v>
      </c>
      <c r="M72" s="196" t="e">
        <f t="shared" ca="true" si="37"/>
        <v>#VALUE!</v>
      </c>
      <c r="N72" s="196" t="e">
        <f t="shared" ca="true" si="37"/>
        <v>#VALUE!</v>
      </c>
    </row>
    <row r="73" spans="2:14">
      <c r="B73" s="16" t="s">
        <v>666</v>
      </c>
      <c r="C73" s="146">
        <v>0.01</v>
      </c>
      <c r="D73" s="188" t="e">
        <f ca="true">$C$73*E8</f>
        <v>#VALUE!</v>
      </c>
      <c r="E73" s="443">
        <f t="shared" ref="E73:N73" si="38">IF(E71=$E$19,E65*$C$73,0)+IF(AND($E$18&gt;D$24*12,$E$18&lt;=E$24*12),$J$21,0)*$C$73</f>
        <v>0</v>
      </c>
      <c r="F73" s="185">
        <f t="shared" si="38"/>
        <v>0</v>
      </c>
      <c r="G73" s="185" t="e">
        <f t="shared" ca="true" si="38"/>
        <v>#VALUE!</v>
      </c>
      <c r="H73" s="185">
        <f t="shared" si="38"/>
        <v>0</v>
      </c>
      <c r="I73" s="185">
        <f t="shared" si="38"/>
        <v>0</v>
      </c>
      <c r="J73" s="185">
        <f t="shared" si="38"/>
        <v>0</v>
      </c>
      <c r="K73" s="185" t="e">
        <f t="shared" ca="true" si="38"/>
        <v>#VALUE!</v>
      </c>
      <c r="L73" s="185">
        <f t="shared" si="38"/>
        <v>0</v>
      </c>
      <c r="M73" s="185">
        <f t="shared" si="38"/>
        <v>0</v>
      </c>
      <c r="N73" s="185">
        <f t="shared" si="38"/>
        <v>0</v>
      </c>
    </row>
    <row r="74" spans="2:14">
      <c r="B74" s="220" t="s">
        <v>714</v>
      </c>
      <c r="C74" s="149">
        <v>0.01</v>
      </c>
      <c r="D74" s="221">
        <v>0</v>
      </c>
      <c r="E74" s="444" t="e">
        <f t="shared" ref="E74:N74" ca="true" si="39">SUM(E63:E64)*$C$74</f>
        <v>#VALUE!</v>
      </c>
      <c r="F74" s="197" t="e">
        <f t="shared" ca="true" si="39"/>
        <v>#VALUE!</v>
      </c>
      <c r="G74" s="197" t="e">
        <f t="shared" ca="true" si="39"/>
        <v>#VALUE!</v>
      </c>
      <c r="H74" s="197" t="e">
        <f t="shared" ca="true" si="39"/>
        <v>#VALUE!</v>
      </c>
      <c r="I74" s="197" t="e">
        <f t="shared" ca="true" si="39"/>
        <v>#VALUE!</v>
      </c>
      <c r="J74" s="197" t="e">
        <f t="shared" ca="true" si="39"/>
        <v>#VALUE!</v>
      </c>
      <c r="K74" s="197" t="e">
        <f t="shared" ca="true" si="39"/>
        <v>#VALUE!</v>
      </c>
      <c r="L74" s="197" t="e">
        <f t="shared" ca="true" si="39"/>
        <v>#VALUE!</v>
      </c>
      <c r="M74" s="197" t="e">
        <f t="shared" ca="true" si="39"/>
        <v>#VALUE!</v>
      </c>
      <c r="N74" s="197" t="e">
        <f t="shared" ca="true" si="39"/>
        <v>#VALUE!</v>
      </c>
    </row>
    <row r="75" spans="2:14">
      <c r="B75" s="165" t="s">
        <v>713</v>
      </c>
      <c r="C75" s="165"/>
      <c r="D75" s="166" t="e">
        <f t="shared" ref="D75:N75" ca="true" si="40">SUM(D72:D72)-SUM(D73:D74)</f>
        <v>#VALUE!</v>
      </c>
      <c r="E75" s="445" t="e">
        <f t="shared" ca="true" si="40"/>
        <v>#VALUE!</v>
      </c>
      <c r="F75" s="166" t="e">
        <f t="shared" ca="true" si="40"/>
        <v>#VALUE!</v>
      </c>
      <c r="G75" s="166" t="e">
        <f t="shared" ca="true" si="40"/>
        <v>#VALUE!</v>
      </c>
      <c r="H75" s="166" t="e">
        <f t="shared" ca="true" si="40"/>
        <v>#VALUE!</v>
      </c>
      <c r="I75" s="166" t="e">
        <f t="shared" ca="true" si="40"/>
        <v>#VALUE!</v>
      </c>
      <c r="J75" s="166" t="e">
        <f t="shared" ca="true" si="40"/>
        <v>#VALUE!</v>
      </c>
      <c r="K75" s="166" t="e">
        <f t="shared" ca="true" si="40"/>
        <v>#VALUE!</v>
      </c>
      <c r="L75" s="166" t="e">
        <f t="shared" ca="true" si="40"/>
        <v>#VALUE!</v>
      </c>
      <c r="M75" s="166" t="e">
        <f t="shared" ca="true" si="40"/>
        <v>#VALUE!</v>
      </c>
      <c r="N75" s="166" t="e">
        <f t="shared" ca="true" si="40"/>
        <v>#VALUE!</v>
      </c>
    </row>
    <row r="76" spans="2:14">
      <c r="B76" s="167"/>
      <c r="C76" s="167"/>
      <c r="D76" s="167"/>
      <c r="E76" s="168"/>
      <c r="F76" s="169"/>
      <c r="G76" s="169"/>
      <c r="H76" s="169"/>
      <c r="I76" s="169"/>
      <c r="J76" s="169"/>
      <c r="K76" s="169"/>
      <c r="L76" s="169"/>
      <c r="M76" s="169"/>
      <c r="N76" s="169"/>
    </row>
    <row r="77" spans="2:14">
      <c r="B77" s="162" t="s">
        <v>667</v>
      </c>
      <c r="C77" s="163" t="s">
        <v>672</v>
      </c>
      <c r="D77" s="163" t="s">
        <v>673</v>
      </c>
      <c r="E77" s="163" t="s">
        <v>740</v>
      </c>
      <c r="F77" s="170" t="s">
        <v>668</v>
      </c>
      <c r="G77" s="8"/>
      <c r="H77" s="171"/>
      <c r="I77" s="8"/>
      <c r="J77" s="8"/>
      <c r="K77" s="8"/>
      <c r="L77" s="8"/>
      <c r="M77" s="8"/>
      <c r="N77" s="8"/>
    </row>
    <row r="78" spans="2:14">
      <c r="B78" s="8" t="s">
        <v>739</v>
      </c>
      <c r="C78" s="172">
        <v>0.1</v>
      </c>
      <c r="D78" s="175">
        <f>1-C78</f>
        <v>0.9</v>
      </c>
      <c r="E78" s="172" t="s">
        <v>669</v>
      </c>
      <c r="F78" s="170"/>
      <c r="G78" s="8"/>
      <c r="H78" s="171"/>
      <c r="I78" s="8"/>
      <c r="J78" s="8"/>
      <c r="K78" s="8"/>
      <c r="L78" s="8"/>
      <c r="M78" s="8"/>
      <c r="N78" s="8"/>
    </row>
    <row r="79" spans="2:14">
      <c r="B79" s="8" t="s">
        <v>737</v>
      </c>
      <c r="C79" s="8"/>
      <c r="D79" s="8"/>
      <c r="E79" s="172">
        <v>0.06</v>
      </c>
      <c r="F79" s="215" t="str">
        <f>IF(E78="European","Investors get back all of their capital and a "&amp;TEXT(E79,"0.00%")&amp;" pref return.","Investors receive a "&amp;TEXT(E79,"0.00%")&amp;" pref return.")</f>
        <v>Investors receive a 6.00% pref return.</v>
      </c>
      <c r="G79" s="8"/>
      <c r="H79" s="8"/>
      <c r="I79" s="8"/>
      <c r="J79" s="8"/>
      <c r="K79" s="8"/>
      <c r="L79" s="8"/>
      <c r="M79" s="8"/>
      <c r="N79" s="8"/>
    </row>
    <row r="80" spans="2:14">
      <c r="B80" s="8" t="s">
        <v>726</v>
      </c>
      <c r="C80" s="8"/>
      <c r="D80" s="8"/>
      <c r="E80" s="172" t="s">
        <v>843</v>
      </c>
      <c r="F80" s="215"/>
      <c r="G80" s="8"/>
      <c r="H80" s="8"/>
      <c r="I80" s="177"/>
      <c r="J80" s="8"/>
      <c r="K80" s="8"/>
      <c r="L80" s="8"/>
      <c r="M80" s="8"/>
      <c r="N80" s="8"/>
    </row>
    <row r="81" spans="2:14">
      <c r="B81" s="8" t="s">
        <v>670</v>
      </c>
      <c r="C81" s="173"/>
      <c r="D81" s="173"/>
      <c r="E81" s="172" t="s">
        <v>671</v>
      </c>
      <c r="F81" s="215" t="str">
        <f>IF(E81="No","","After Investors receive a "&amp;TEXT(E79,"0.00%")&amp;" return on their investment, the Sponsor receives all cash flow until the Sponsor has received at least "&amp;TEXT(C83,"0.00%")&amp;" of aggregate cash flow from the deal.")</f>
      </c>
      <c r="G81" s="8"/>
      <c r="H81" s="8"/>
      <c r="I81" s="8"/>
      <c r="J81" s="8"/>
      <c r="K81" s="8"/>
      <c r="L81" s="8"/>
      <c r="M81" s="8"/>
      <c r="N81" s="8"/>
    </row>
    <row r="82" spans="2:14">
      <c r="B82" s="162" t="str">
        <f>IF(E81=0,"Splits After Pref","Splits After Pref and Catchup")</f>
        <v>Splits After Pref and Catchup</v>
      </c>
      <c r="C82" s="163" t="s">
        <v>672</v>
      </c>
      <c r="D82" s="163" t="s">
        <v>673</v>
      </c>
      <c r="E82" s="174" t="s">
        <v>720</v>
      </c>
      <c r="F82" s="216"/>
      <c r="G82" s="8"/>
      <c r="H82" s="8"/>
      <c r="I82" s="8"/>
      <c r="J82" s="8"/>
      <c r="K82" s="8"/>
      <c r="L82" s="8"/>
      <c r="M82" s="8"/>
      <c r="N82" s="8"/>
    </row>
    <row r="83" spans="2:14">
      <c r="B83" s="8" t="s">
        <v>674</v>
      </c>
      <c r="C83" s="172">
        <v>0.3</v>
      </c>
      <c r="D83" s="175">
        <f>1-C83</f>
        <v>0.7</v>
      </c>
      <c r="E83" s="176">
        <v>0.2</v>
      </c>
      <c r="F83" s="215" t="str">
        <f>IF(AND(E81="Yes",E83&gt;0),"After the sponsor has received "&amp;TEXT(C83,"0.00%")&amp;" of the total cash flow from the deal, remaining cash flow is split "&amp;TEXT(C83,"0.00%")&amp;" to the Sponsor and "&amp;TEXT(D83,"0.00%")&amp;" to the Investors until the Investors have received a "&amp;TEXT(E83,"0.00%")&amp;" return.",IF(AND(E81="Yes",E83&lt;=0),"After the sponsor has received "&amp;TEXT(C83,"0.00%")&amp;" of the total cash flow from the deal, remaining cash flow is split "&amp;TEXT(C83,"0.00%")&amp;" to the Sponsor and "&amp;TEXT(D83,"0.00%")&amp;" to the Investors.",IF(AND(E81="No",E83&gt;0),"Remaining cash flow is split "&amp;TEXT(C83,"0.00%")&amp;" to the Sponsor and "&amp;TEXT(D83,"0.00%")&amp;" to the Investors until the Investors have received a "&amp;TEXT(E83,"0.00%")&amp;" return.","Remaining cash flow is split "&amp;TEXT(C83,"0.00%")&amp;" to the Sponsor and "&amp;TEXT(D83,"0.00%")&amp;" to the Investors.")))</f>
        <v>Remaining cash flow is split 30.00% to the Sponsor and 70.00% to the Investors until the Investors have received a 20.00% return.</v>
      </c>
      <c r="G83" s="8"/>
      <c r="H83" s="8"/>
      <c r="I83" s="8"/>
      <c r="J83" s="8"/>
      <c r="K83" s="8"/>
      <c r="L83" s="8"/>
      <c r="M83" s="8"/>
      <c r="N83" s="8"/>
    </row>
    <row r="84" spans="2:14">
      <c r="B84" s="8" t="s">
        <v>675</v>
      </c>
      <c r="C84" s="172">
        <v>0.5</v>
      </c>
      <c r="D84" s="175">
        <f>1-C84</f>
        <v>0.5</v>
      </c>
      <c r="E84" s="173"/>
      <c r="F84" s="215" t="str">
        <f>IF(E83=0,"","After Investors have received returns of at least "&amp;TEXT(E83,"0.00%")&amp;" on their equity, all remaining cash flow is split "&amp;TEXT(C84,"0.00%")&amp;" to the Sponsor and "&amp;TEXT(D84,"0.00%")&amp;" to the Investors.")</f>
        <v>After Investors have received returns of at least 20.00% on their equity, all remaining cash flow is split 50.00% to the Sponsor and 50.00% to the Investors.</v>
      </c>
      <c r="G84" s="8"/>
      <c r="H84" s="8"/>
      <c r="I84" s="8"/>
      <c r="J84" s="8"/>
      <c r="K84" s="8"/>
      <c r="L84" s="8"/>
      <c r="M84" s="8"/>
      <c r="N84" s="8"/>
    </row>
    <row r="85" spans="2:14">
      <c r="B85" s="8"/>
      <c r="C85" s="8"/>
      <c r="D85" s="8"/>
      <c r="E85" s="8"/>
      <c r="F85" s="217"/>
      <c r="G85" s="140"/>
      <c r="H85" s="8"/>
      <c r="I85" s="8"/>
      <c r="J85" s="177"/>
      <c r="K85" s="177"/>
      <c r="L85" s="8"/>
      <c r="M85" s="8"/>
      <c r="N85" s="8"/>
    </row>
    <row r="86" spans="2:14">
      <c r="B86" s="284" t="s">
        <v>718</v>
      </c>
      <c r="C86" s="284"/>
      <c r="D86" s="284"/>
      <c r="E86" s="434">
        <v>1</v>
      </c>
      <c r="F86" s="202">
        <f t="shared" ref="F86:N86" si="41">E86+1</f>
        <v>2</v>
      </c>
      <c r="G86" s="202">
        <f t="shared" si="41"/>
        <v>3</v>
      </c>
      <c r="H86" s="202">
        <f t="shared" si="41"/>
        <v>4</v>
      </c>
      <c r="I86" s="202">
        <f t="shared" si="41"/>
        <v>5</v>
      </c>
      <c r="J86" s="202">
        <f t="shared" si="41"/>
        <v>6</v>
      </c>
      <c r="K86" s="202">
        <f t="shared" si="41"/>
        <v>7</v>
      </c>
      <c r="L86" s="202">
        <f t="shared" si="41"/>
        <v>8</v>
      </c>
      <c r="M86" s="202">
        <f t="shared" si="41"/>
        <v>9</v>
      </c>
      <c r="N86" s="202">
        <f t="shared" si="41"/>
        <v>10</v>
      </c>
    </row>
    <row r="87" spans="2:14">
      <c r="B87" s="218" t="s">
        <v>844</v>
      </c>
      <c r="C87" s="218"/>
      <c r="D87" s="218"/>
      <c r="E87" s="435" t="e">
        <f ca="true">-D75</f>
        <v>#VALUE!</v>
      </c>
      <c r="F87" s="219" t="e">
        <f t="shared" ref="F87:N87" ca="true" si="42">MAX(E87*(1+$E$79)-SUM(E89:E90)-E91,0)</f>
        <v>#VALUE!</v>
      </c>
      <c r="G87" s="219" t="e">
        <f t="shared" ca="true" si="42"/>
        <v>#VALUE!</v>
      </c>
      <c r="H87" s="219" t="e">
        <f t="shared" ca="true" si="42"/>
        <v>#VALUE!</v>
      </c>
      <c r="I87" s="219" t="e">
        <f t="shared" ca="true" si="42"/>
        <v>#VALUE!</v>
      </c>
      <c r="J87" s="219" t="e">
        <f t="shared" ca="true" si="42"/>
        <v>#VALUE!</v>
      </c>
      <c r="K87" s="219" t="e">
        <f t="shared" ca="true" si="42"/>
        <v>#VALUE!</v>
      </c>
      <c r="L87" s="219" t="e">
        <f t="shared" ca="true" si="42"/>
        <v>#VALUE!</v>
      </c>
      <c r="M87" s="219" t="e">
        <f t="shared" ca="true" si="42"/>
        <v>#VALUE!</v>
      </c>
      <c r="N87" s="219" t="e">
        <f t="shared" ca="true" si="42"/>
        <v>#VALUE!</v>
      </c>
    </row>
    <row r="88" spans="2:14">
      <c r="B88" s="432" t="s">
        <v>713</v>
      </c>
      <c r="C88" s="432"/>
      <c r="D88" s="433" t="e">
        <f t="shared" ref="D88:N88" ca="true" si="43">D75</f>
        <v>#VALUE!</v>
      </c>
      <c r="E88" s="436" t="e">
        <f t="shared" ca="true" si="43"/>
        <v>#VALUE!</v>
      </c>
      <c r="F88" s="433" t="e">
        <f t="shared" ca="true" si="43"/>
        <v>#VALUE!</v>
      </c>
      <c r="G88" s="433" t="e">
        <f t="shared" ca="true" si="43"/>
        <v>#VALUE!</v>
      </c>
      <c r="H88" s="433" t="e">
        <f t="shared" ca="true" si="43"/>
        <v>#VALUE!</v>
      </c>
      <c r="I88" s="433" t="e">
        <f t="shared" ca="true" si="43"/>
        <v>#VALUE!</v>
      </c>
      <c r="J88" s="433" t="e">
        <f t="shared" ca="true" si="43"/>
        <v>#VALUE!</v>
      </c>
      <c r="K88" s="433" t="e">
        <f t="shared" ca="true" si="43"/>
        <v>#VALUE!</v>
      </c>
      <c r="L88" s="433" t="e">
        <f t="shared" ca="true" si="43"/>
        <v>#VALUE!</v>
      </c>
      <c r="M88" s="433" t="e">
        <f t="shared" ca="true" si="43"/>
        <v>#VALUE!</v>
      </c>
      <c r="N88" s="433" t="e">
        <f t="shared" ca="true" si="43"/>
        <v>#VALUE!</v>
      </c>
    </row>
    <row r="89" spans="2:14">
      <c r="B89" s="8" t="str">
        <f>IF(E78="American","Preferred Return - LP","Preferred Return &amp; Return of Capital - LP")</f>
        <v>Preferred Return - LP</v>
      </c>
      <c r="C89" s="8"/>
      <c r="D89" s="177"/>
      <c r="E89" s="437" t="e">
        <f t="shared" ref="E89:N89" ca="true" si="44">IF($E$78="American",MIN(E75,E87*$E$79)*IF($E$80="Yes",$D$78,1),MIN(E75,E87*(1+$E$79))*IF($E$80="Yes",$D$78,1))</f>
        <v>#VALUE!</v>
      </c>
      <c r="F89" s="139" t="e">
        <f t="shared" ca="true" si="44"/>
        <v>#VALUE!</v>
      </c>
      <c r="G89" s="139" t="e">
        <f t="shared" ca="true" si="44"/>
        <v>#VALUE!</v>
      </c>
      <c r="H89" s="139" t="e">
        <f t="shared" ca="true" si="44"/>
        <v>#VALUE!</v>
      </c>
      <c r="I89" s="139" t="e">
        <f t="shared" ca="true" si="44"/>
        <v>#VALUE!</v>
      </c>
      <c r="J89" s="139" t="e">
        <f t="shared" ca="true" si="44"/>
        <v>#VALUE!</v>
      </c>
      <c r="K89" s="139" t="e">
        <f t="shared" ca="true" si="44"/>
        <v>#VALUE!</v>
      </c>
      <c r="L89" s="139" t="e">
        <f t="shared" ca="true" si="44"/>
        <v>#VALUE!</v>
      </c>
      <c r="M89" s="139" t="e">
        <f t="shared" ca="true" si="44"/>
        <v>#VALUE!</v>
      </c>
      <c r="N89" s="139" t="e">
        <f t="shared" ca="true" si="44"/>
        <v>#VALUE!</v>
      </c>
    </row>
    <row r="90" spans="2:14">
      <c r="B90" s="199" t="s">
        <v>738</v>
      </c>
      <c r="C90" s="199"/>
      <c r="D90" s="200"/>
      <c r="E90" s="438" t="e">
        <f t="shared" ref="E90:N90" ca="true" si="45">MIN(E75,E87*$E$79)*IF($E$80="Yes",$C$78,0)</f>
        <v>#VALUE!</v>
      </c>
      <c r="F90" s="200" t="e">
        <f t="shared" ca="true" si="45"/>
        <v>#VALUE!</v>
      </c>
      <c r="G90" s="200" t="e">
        <f t="shared" ca="true" si="45"/>
        <v>#VALUE!</v>
      </c>
      <c r="H90" s="200" t="e">
        <f t="shared" ca="true" si="45"/>
        <v>#VALUE!</v>
      </c>
      <c r="I90" s="200" t="e">
        <f t="shared" ca="true" si="45"/>
        <v>#VALUE!</v>
      </c>
      <c r="J90" s="200" t="e">
        <f t="shared" ca="true" si="45"/>
        <v>#VALUE!</v>
      </c>
      <c r="K90" s="200" t="e">
        <f t="shared" ca="true" si="45"/>
        <v>#VALUE!</v>
      </c>
      <c r="L90" s="200" t="e">
        <f t="shared" ca="true" si="45"/>
        <v>#VALUE!</v>
      </c>
      <c r="M90" s="200" t="e">
        <f t="shared" ca="true" si="45"/>
        <v>#VALUE!</v>
      </c>
      <c r="N90" s="200" t="e">
        <f t="shared" ca="true" si="45"/>
        <v>#VALUE!</v>
      </c>
    </row>
    <row r="91" spans="2:14">
      <c r="B91" s="8" t="s">
        <v>722</v>
      </c>
      <c r="C91" s="8"/>
      <c r="D91" s="8"/>
      <c r="E91" s="439" t="e">
        <f t="shared" ref="E91:N91" ca="true" si="46">IF($E$81="Yes",MAX(MIN(E75-SUM(E89:E90)-E92,E93),0),MAX(MIN((E75-SUM(E89:E90))*$D$83,E93),0))</f>
        <v>#VALUE!</v>
      </c>
      <c r="F91" s="177" t="e">
        <f t="shared" ca="true" si="46"/>
        <v>#VALUE!</v>
      </c>
      <c r="G91" s="177" t="e">
        <f t="shared" ca="true" si="46"/>
        <v>#VALUE!</v>
      </c>
      <c r="H91" s="177" t="e">
        <f t="shared" ca="true" si="46"/>
        <v>#VALUE!</v>
      </c>
      <c r="I91" s="177" t="e">
        <f t="shared" ca="true" si="46"/>
        <v>#VALUE!</v>
      </c>
      <c r="J91" s="177" t="e">
        <f t="shared" ca="true" si="46"/>
        <v>#VALUE!</v>
      </c>
      <c r="K91" s="177" t="e">
        <f t="shared" ca="true" si="46"/>
        <v>#VALUE!</v>
      </c>
      <c r="L91" s="177" t="e">
        <f t="shared" ca="true" si="46"/>
        <v>#VALUE!</v>
      </c>
      <c r="M91" s="177" t="e">
        <f t="shared" ca="true" si="46"/>
        <v>#VALUE!</v>
      </c>
      <c r="N91" s="177" t="e">
        <f t="shared" ca="true" si="46"/>
        <v>#VALUE!</v>
      </c>
    </row>
    <row r="92" spans="2:14">
      <c r="B92" s="199" t="s">
        <v>723</v>
      </c>
      <c r="C92" s="200"/>
      <c r="D92" s="200"/>
      <c r="E92" s="438" t="e">
        <f ca="true">IF(E93=0,0,IF($E$81="Yes",MAX(MIN(E75-SUM(E89:E90),SUM($E$75:E75)*$C$83-SUM($D$92:D92)),0),MAX((E75-SUM(E89:E90)),0)*$C$83))</f>
        <v>#VALUE!</v>
      </c>
      <c r="F92" s="200" t="e">
        <f ca="true">IF(F93=0,0,IF($E$81="Yes",MAX(MIN(F75-SUM(F89:F90),SUM($E$75:F75)*$C$83-SUM($D$92:E92)),0),MAX((F75-SUM(F89:F90)),0)*$C$83))</f>
        <v>#VALUE!</v>
      </c>
      <c r="G92" s="200" t="e">
        <f ca="true">IF(G93=0,0,IF($E$81="Yes",MAX(MIN(G75-SUM(G89:G90),SUM($E$75:G75)*$C$83-SUM($D$92:F92)),0),MAX((G75-SUM(G89:G90)),0)*$C$83))</f>
        <v>#VALUE!</v>
      </c>
      <c r="H92" s="200" t="e">
        <f ca="true">IF(H93=0,0,IF($E$81="Yes",MAX(MIN(H75-SUM(H89:H90),SUM($E$75:H75)*$C$83-SUM($D$92:G92)),0),MAX((H75-SUM(H89:H90)),0)*$C$83))</f>
        <v>#VALUE!</v>
      </c>
      <c r="I92" s="200" t="e">
        <f ca="true">IF(I93=0,0,IF($E$81="Yes",MAX(MIN(I75-SUM(I89:I90),SUM($E$75:I75)*$C$83-SUM($D$92:H92)),0),MAX((I75-SUM(I89:I90)),0)*$C$83))</f>
        <v>#VALUE!</v>
      </c>
      <c r="J92" s="200" t="e">
        <f ca="true">IF(J93=0,0,IF($E$81="Yes",MAX(MIN(J75-SUM(J89:J90),SUM($E$75:J75)*$C$83-SUM($D$92:I92)),0),MAX((J75-SUM(J89:J90)),0)*$C$83))</f>
        <v>#VALUE!</v>
      </c>
      <c r="K92" s="200" t="e">
        <f ca="true">IF(K93=0,0,IF($E$81="Yes",MAX(MIN(K75-SUM(K89:K90),SUM($E$75:K75)*$C$83-SUM($D$92:J92)),0),MAX((K75-SUM(K89:K90)),0)*$C$83))</f>
        <v>#VALUE!</v>
      </c>
      <c r="L92" s="200">
        <f>IF(L93=0,0,IF($E$81="Yes",MAX(MIN(L75-SUM(L89:L90),SUM($E$75:L75)*$C$83-SUM($D$92:K92)),0),MAX((L75-SUM(L89:L90)),0)*$C$83))</f>
        <v>0</v>
      </c>
      <c r="M92" s="200">
        <f>IF(M93=0,0,IF($E$81="Yes",MAX(MIN(M75-SUM(M89:M90),SUM($E$75:M75)*$C$83-SUM($D$92:L92)),0),MAX((M75-SUM(M89:M90)),0)*$C$83))</f>
        <v>0</v>
      </c>
      <c r="N92" s="200">
        <f>IF(N93=0,0,IF($E$81="Yes",MAX(MIN(N75-SUM(N89:N90),SUM($E$75:N75)*$C$83-SUM($D$92:M92)),0),MAX((N75-SUM(N89:N90)),0)*$C$83))</f>
        <v>0</v>
      </c>
    </row>
    <row r="93" spans="2:14">
      <c r="B93" s="199" t="s">
        <v>727</v>
      </c>
      <c r="C93" s="201"/>
      <c r="D93" s="200"/>
      <c r="E93" s="438" t="e">
        <f ca="true">IF(E71&lt;=$E$19,-$D$75*(1+$E$83),0)</f>
        <v>#VALUE!</v>
      </c>
      <c r="F93" s="200" t="e">
        <f t="shared" ref="F93:N93" ca="true" si="47">IF(F71&lt;=$E$19,MAX((E93-E89-E91)*(1+$E$83),0),0)</f>
        <v>#VALUE!</v>
      </c>
      <c r="G93" s="200" t="e">
        <f t="shared" ca="true" si="47"/>
        <v>#VALUE!</v>
      </c>
      <c r="H93" s="200" t="e">
        <f t="shared" ca="true" si="47"/>
        <v>#VALUE!</v>
      </c>
      <c r="I93" s="200" t="e">
        <f t="shared" ca="true" si="47"/>
        <v>#VALUE!</v>
      </c>
      <c r="J93" s="200" t="e">
        <f t="shared" ca="true" si="47"/>
        <v>#VALUE!</v>
      </c>
      <c r="K93" s="200" t="e">
        <f t="shared" ca="true" si="47"/>
        <v>#VALUE!</v>
      </c>
      <c r="L93" s="200">
        <f t="shared" si="47"/>
        <v>0</v>
      </c>
      <c r="M93" s="200">
        <f t="shared" si="47"/>
        <v>0</v>
      </c>
      <c r="N93" s="200">
        <f t="shared" si="47"/>
        <v>0</v>
      </c>
    </row>
    <row r="94" spans="2:14">
      <c r="B94" s="8" t="s">
        <v>724</v>
      </c>
      <c r="C94" s="8"/>
      <c r="D94" s="8"/>
      <c r="E94" s="439" t="e">
        <f t="shared" ref="E94:N94" ca="true" si="48">(E$75-SUM(E89:E90)-E$92-E$91)*$D$84</f>
        <v>#VALUE!</v>
      </c>
      <c r="F94" s="177" t="e">
        <f t="shared" ca="true" si="48"/>
        <v>#VALUE!</v>
      </c>
      <c r="G94" s="177" t="e">
        <f t="shared" ca="true" si="48"/>
        <v>#VALUE!</v>
      </c>
      <c r="H94" s="177" t="e">
        <f t="shared" ca="true" si="48"/>
        <v>#VALUE!</v>
      </c>
      <c r="I94" s="177" t="e">
        <f t="shared" ca="true" si="48"/>
        <v>#VALUE!</v>
      </c>
      <c r="J94" s="177" t="e">
        <f t="shared" ca="true" si="48"/>
        <v>#VALUE!</v>
      </c>
      <c r="K94" s="177" t="e">
        <f t="shared" ca="true" si="48"/>
        <v>#VALUE!</v>
      </c>
      <c r="L94" s="177" t="e">
        <f t="shared" ca="true" si="48"/>
        <v>#VALUE!</v>
      </c>
      <c r="M94" s="177" t="e">
        <f t="shared" ca="true" si="48"/>
        <v>#VALUE!</v>
      </c>
      <c r="N94" s="177" t="e">
        <f t="shared" ca="true" si="48"/>
        <v>#VALUE!</v>
      </c>
    </row>
    <row r="95" spans="2:14">
      <c r="B95" s="8" t="s">
        <v>725</v>
      </c>
      <c r="C95" s="8"/>
      <c r="D95" s="8"/>
      <c r="E95" s="439" t="e">
        <f t="shared" ref="E95:N95" ca="true" si="49">(E$75-SUM(E89:E90)-E$92-E$91)*$C$84</f>
        <v>#VALUE!</v>
      </c>
      <c r="F95" s="177" t="e">
        <f t="shared" ca="true" si="49"/>
        <v>#VALUE!</v>
      </c>
      <c r="G95" s="177" t="e">
        <f t="shared" ca="true" si="49"/>
        <v>#VALUE!</v>
      </c>
      <c r="H95" s="177" t="e">
        <f t="shared" ca="true" si="49"/>
        <v>#VALUE!</v>
      </c>
      <c r="I95" s="177" t="e">
        <f t="shared" ca="true" si="49"/>
        <v>#VALUE!</v>
      </c>
      <c r="J95" s="177" t="e">
        <f t="shared" ca="true" si="49"/>
        <v>#VALUE!</v>
      </c>
      <c r="K95" s="177" t="e">
        <f t="shared" ca="true" si="49"/>
        <v>#VALUE!</v>
      </c>
      <c r="L95" s="177" t="e">
        <f t="shared" ca="true" si="49"/>
        <v>#VALUE!</v>
      </c>
      <c r="M95" s="177" t="e">
        <f t="shared" ca="true" si="49"/>
        <v>#VALUE!</v>
      </c>
      <c r="N95" s="177" t="e">
        <f t="shared" ca="true" si="49"/>
        <v>#VALUE!</v>
      </c>
    </row>
    <row r="96" spans="2:14">
      <c r="B96" s="284" t="s">
        <v>719</v>
      </c>
      <c r="C96" s="292"/>
      <c r="D96" s="284"/>
      <c r="E96" s="440"/>
      <c r="F96" s="293"/>
      <c r="G96" s="293"/>
      <c r="H96" s="293"/>
      <c r="I96" s="293"/>
      <c r="J96" s="293"/>
      <c r="K96" s="293"/>
      <c r="L96" s="293"/>
      <c r="M96" s="293"/>
      <c r="N96" s="293"/>
    </row>
    <row r="97" spans="2:14">
      <c r="B97" s="8" t="s">
        <v>676</v>
      </c>
      <c r="C97" s="291"/>
      <c r="D97" s="177" t="e">
        <f ca="true">D75*$D$78</f>
        <v>#VALUE!</v>
      </c>
      <c r="E97" s="439" t="e">
        <f t="shared" ref="E97:N97" ca="true" si="50">E89+E91+E94</f>
        <v>#VALUE!</v>
      </c>
      <c r="F97" s="177" t="e">
        <f t="shared" ca="true" si="50"/>
        <v>#VALUE!</v>
      </c>
      <c r="G97" s="177" t="e">
        <f t="shared" ca="true" si="50"/>
        <v>#VALUE!</v>
      </c>
      <c r="H97" s="177" t="e">
        <f t="shared" ca="true" si="50"/>
        <v>#VALUE!</v>
      </c>
      <c r="I97" s="177" t="e">
        <f t="shared" ca="true" si="50"/>
        <v>#VALUE!</v>
      </c>
      <c r="J97" s="177" t="e">
        <f t="shared" ca="true" si="50"/>
        <v>#VALUE!</v>
      </c>
      <c r="K97" s="177" t="e">
        <f t="shared" ca="true" si="50"/>
        <v>#VALUE!</v>
      </c>
      <c r="L97" s="177" t="e">
        <f t="shared" ca="true" si="50"/>
        <v>#VALUE!</v>
      </c>
      <c r="M97" s="177" t="e">
        <f t="shared" ca="true" si="50"/>
        <v>#VALUE!</v>
      </c>
      <c r="N97" s="177" t="e">
        <f t="shared" ca="true" si="50"/>
        <v>#VALUE!</v>
      </c>
    </row>
    <row r="98" spans="2:14">
      <c r="B98" s="199" t="s">
        <v>677</v>
      </c>
      <c r="C98" s="199"/>
      <c r="D98" s="200" t="e">
        <f ca="true">D75*$C$78</f>
        <v>#VALUE!</v>
      </c>
      <c r="E98" s="438" t="e">
        <f t="shared" ref="E98:N98" ca="true" si="51">E92+E95+E90</f>
        <v>#VALUE!</v>
      </c>
      <c r="F98" s="200" t="e">
        <f t="shared" ca="true" si="51"/>
        <v>#VALUE!</v>
      </c>
      <c r="G98" s="200" t="e">
        <f t="shared" ca="true" si="51"/>
        <v>#VALUE!</v>
      </c>
      <c r="H98" s="200" t="e">
        <f t="shared" ca="true" si="51"/>
        <v>#VALUE!</v>
      </c>
      <c r="I98" s="200" t="e">
        <f t="shared" ca="true" si="51"/>
        <v>#VALUE!</v>
      </c>
      <c r="J98" s="200" t="e">
        <f t="shared" ca="true" si="51"/>
        <v>#VALUE!</v>
      </c>
      <c r="K98" s="200" t="e">
        <f t="shared" ca="true" si="51"/>
        <v>#VALUE!</v>
      </c>
      <c r="L98" s="200" t="e">
        <f t="shared" ca="true" si="51"/>
        <v>#VALUE!</v>
      </c>
      <c r="M98" s="200" t="e">
        <f t="shared" ca="true" si="51"/>
        <v>#VALUE!</v>
      </c>
      <c r="N98" s="200" t="e">
        <f t="shared" ca="true" si="51"/>
        <v>#VALUE!</v>
      </c>
    </row>
    <row r="99" spans="2:14">
      <c r="B99" s="135" t="s">
        <v>678</v>
      </c>
      <c r="C99" s="135"/>
      <c r="D99" s="178" t="e">
        <f t="shared" ref="D99:N99" ca="true" si="52">SUM(D97:D98)</f>
        <v>#VALUE!</v>
      </c>
      <c r="E99" s="441" t="e">
        <f t="shared" ca="true" si="52"/>
        <v>#VALUE!</v>
      </c>
      <c r="F99" s="178" t="e">
        <f t="shared" ca="true" si="52"/>
        <v>#VALUE!</v>
      </c>
      <c r="G99" s="178" t="e">
        <f t="shared" ca="true" si="52"/>
        <v>#VALUE!</v>
      </c>
      <c r="H99" s="178" t="e">
        <f t="shared" ca="true" si="52"/>
        <v>#VALUE!</v>
      </c>
      <c r="I99" s="178" t="e">
        <f t="shared" ca="true" si="52"/>
        <v>#VALUE!</v>
      </c>
      <c r="J99" s="178" t="e">
        <f t="shared" ca="true" si="52"/>
        <v>#VALUE!</v>
      </c>
      <c r="K99" s="178" t="e">
        <f t="shared" ca="true" si="52"/>
        <v>#VALUE!</v>
      </c>
      <c r="L99" s="178" t="e">
        <f t="shared" ca="true" si="52"/>
        <v>#VALUE!</v>
      </c>
      <c r="M99" s="178" t="e">
        <f t="shared" ca="true" si="52"/>
        <v>#VALUE!</v>
      </c>
      <c r="N99" s="178" t="e">
        <f t="shared" ca="true" si="52"/>
        <v>#VALUE!</v>
      </c>
    </row>
  </sheetData>
  <mergeCells count="4">
    <mergeCell ref="B2:E3"/>
    <mergeCell ref="K2:L2"/>
    <mergeCell ref="K3:L3"/>
    <mergeCell ref="K4:L4"/>
  </mergeCells>
  <phoneticPr fontId="36" type="noConversion"/>
  <conditionalFormatting sqref="B18">
    <cfRule type="expression" dxfId="1" priority="13">
      <formula>#REF!="No"</formula>
    </cfRule>
  </conditionalFormatting>
  <conditionalFormatting sqref="G7:G17">
    <cfRule type="expression" dxfId="0" priority="5">
      <formula>#REF!="No"</formula>
    </cfRule>
  </conditionalFormatting>
  <dataValidations count="3" disablePrompts="true">
    <dataValidation allowBlank="false" showErrorMessage="true" showInputMessage="true" sqref="E78" type="list">
      <formula1>"American,European"</formula1>
    </dataValidation>
    <dataValidation allowBlank="true" showErrorMessage="true" showInputMessage="true" sqref="C72" type="list">
      <formula1>"Leveraged,Unleveraged"</formula1>
    </dataValidation>
    <dataValidation allowBlank="false" showErrorMessage="true" showInputMessage="true" sqref="E80:E81" type="list">
      <formula1>"Yes,No"</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5CD35-F270-44F3-94D4-5CCA209DDDB9}">
  <sheetPr codeName="Sheet16">
    <tabColor rgb="FF4438CA"/>
  </sheetPr>
  <dimension ref="B2:O69"/>
  <sheetViews>
    <sheetView showGridLines="false" zoomScale="115" zoomScaleNormal="115" workbookViewId="0"/>
  </sheetViews>
  <sheetFormatPr defaultRowHeight="14.5"/>
  <cols>
    <col customWidth="true" max="1" min="1" width="2.6328125"/>
    <col customWidth="true" max="2" min="2" width="29.54296875"/>
    <col customWidth="true" max="3" min="3" width="49.90625"/>
    <col customWidth="true" max="6" min="4" width="14.7265625"/>
    <col customWidth="true" max="7" min="7" width="16.90625"/>
    <col customWidth="true" max="11" min="8" width="14.7265625"/>
    <col customWidth="true" max="12" min="12" width="17.81640625"/>
    <col customWidth="true" max="13" min="13" width="15.1796875"/>
    <col customWidth="true" max="14" min="14" width="14.1796875"/>
    <col customWidth="true" max="15" min="15" width="17.1796875"/>
  </cols>
  <sheetData>
    <row r="1"/>
    <row r="2" spans="2:15" ht="21">
      <c r="B2" s="40" t="s">
        <v>10</v>
      </c>
      <c r="C2" s="548"/>
      <c r="D2" s="41"/>
      <c r="E2" s="41"/>
      <c r="F2" s="41"/>
      <c r="G2" s="41"/>
      <c r="H2" s="83"/>
      <c r="I2" s="549"/>
      <c r="J2" s="549"/>
      <c r="K2" s="811" t="s">
        <v>1008</v>
      </c>
      <c r="L2" s="812"/>
      <c r="M2" s="812"/>
      <c r="N2" s="812"/>
      <c r="O2" s="812"/>
    </row>
    <row r="3" spans="2:15">
      <c r="B3" s="550" t="s">
        <v>11</v>
      </c>
      <c r="C3" s="551" t="s">
        <v>293</v>
      </c>
      <c r="D3" s="552" t="s">
        <v>5</v>
      </c>
      <c r="E3" s="553" t="s">
        <v>2</v>
      </c>
      <c r="F3" s="553" t="s">
        <v>3</v>
      </c>
      <c r="G3" s="553" t="s">
        <v>4</v>
      </c>
      <c r="H3" s="554" t="s">
        <v>592</v>
      </c>
      <c r="I3" s="555" t="s">
        <v>745</v>
      </c>
      <c r="J3" s="555" t="s">
        <v>374</v>
      </c>
      <c r="K3" s="556" t="s">
        <v>13</v>
      </c>
      <c r="L3" s="556" t="s">
        <v>269</v>
      </c>
      <c r="M3" s="556" t="s">
        <v>270</v>
      </c>
      <c r="N3" s="556" t="s">
        <v>271</v>
      </c>
      <c r="O3" s="556" t="s">
        <v>598</v>
      </c>
    </row>
    <row r="4" spans="2:15">
      <c r="B4" s="557" t="s">
        <v>1214</v>
      </c>
      <c r="C4" s="558" t="s">
        <v>14</v>
      </c>
      <c r="D4" s="559">
        <v>0.4653164787335438</v>
      </c>
      <c r="E4" s="560">
        <v>1955</v>
      </c>
      <c r="F4" s="560">
        <v>330</v>
      </c>
      <c r="G4" s="561">
        <v>3</v>
      </c>
      <c r="H4" s="562">
        <v>588</v>
      </c>
      <c r="I4" s="563">
        <v>1</v>
      </c>
      <c r="J4" s="563">
        <v>0.0030303030303030303</v>
      </c>
      <c r="K4" s="564"/>
      <c r="L4" s="564">
        <v>1085.5</v>
      </c>
      <c r="M4" s="564"/>
      <c r="N4" s="564"/>
      <c r="O4" s="564"/>
    </row>
    <row r="5" spans="2:15">
      <c r="B5" s="565" t="s">
        <v>1216</v>
      </c>
      <c r="C5" s="566">
        <v>0.18377752837220593</v>
      </c>
      <c r="D5" s="567">
        <v>0.4940851264947577</v>
      </c>
      <c r="E5" s="568">
        <v>1971</v>
      </c>
      <c r="F5" s="568">
        <v>296</v>
      </c>
      <c r="G5" s="568">
        <v>3</v>
      </c>
      <c r="H5" s="569">
        <v>851</v>
      </c>
      <c r="I5" s="570">
        <v>1</v>
      </c>
      <c r="J5" s="570">
        <v>0</v>
      </c>
      <c r="K5" s="571"/>
      <c r="L5" s="571"/>
      <c r="M5" s="571"/>
      <c r="N5" s="571"/>
      <c r="O5" s="571"/>
    </row>
    <row r="6">
      <c r="B6" s="565" t="s">
        <v>1217</v>
      </c>
      <c r="C6" s="566">
        <v>0.19578743609883928</v>
      </c>
      <c r="D6" s="567">
        <v>0.6082442072270371</v>
      </c>
      <c r="E6" s="568">
        <v>1966</v>
      </c>
      <c r="F6" s="568">
        <v>465</v>
      </c>
      <c r="G6" s="568">
        <v>3</v>
      </c>
      <c r="H6" s="569">
        <v>864.3576642335767</v>
      </c>
      <c r="I6" s="570">
        <v>0.9720430107526882</v>
      </c>
      <c r="J6" s="570">
        <v>0.06451612903225806</v>
      </c>
      <c r="K6" s="571"/>
      <c r="L6" s="571">
        <v>1324.375</v>
      </c>
      <c r="M6" s="571">
        <v>1344.6</v>
      </c>
      <c r="N6" s="571"/>
      <c r="O6" s="571"/>
    </row>
    <row r="7">
      <c r="B7" s="565" t="s">
        <v>1218</v>
      </c>
      <c r="C7" s="566">
        <v>0.8044302131126401</v>
      </c>
      <c r="D7" s="567">
        <v>0.3655716050500687</v>
      </c>
      <c r="E7" s="568">
        <v>1972</v>
      </c>
      <c r="F7" s="568">
        <v>228</v>
      </c>
      <c r="G7" s="568">
        <v>3</v>
      </c>
      <c r="H7" s="569">
        <v>600</v>
      </c>
      <c r="I7" s="570">
        <v>1</v>
      </c>
      <c r="J7" s="570">
        <v>0</v>
      </c>
      <c r="K7" s="571"/>
      <c r="L7" s="571">
        <v>1117.5</v>
      </c>
      <c r="M7" s="571"/>
      <c r="N7" s="571"/>
      <c r="O7" s="571"/>
    </row>
    <row r="8">
      <c r="B8" s="565" t="s">
        <v>1219</v>
      </c>
      <c r="C8" s="566">
        <v>0.8073302782237614</v>
      </c>
      <c r="D8" s="567">
        <v>0.5479294928557187</v>
      </c>
      <c r="E8" s="568">
        <v>1967</v>
      </c>
      <c r="F8" s="568">
        <v>544</v>
      </c>
      <c r="G8" s="568">
        <v>2</v>
      </c>
      <c r="H8" s="569">
        <v>777.4279069767442</v>
      </c>
      <c r="I8" s="570">
        <v>0.9595588235294118</v>
      </c>
      <c r="J8" s="570">
        <v>0.042279411764705885</v>
      </c>
      <c r="K8" s="571"/>
      <c r="L8" s="571">
        <v>1300</v>
      </c>
      <c r="M8" s="571">
        <v>1601.5625</v>
      </c>
      <c r="N8" s="571">
        <v>1800</v>
      </c>
      <c r="O8" s="571"/>
    </row>
    <row r="9">
      <c r="B9" s="565" t="s">
        <v>1220</v>
      </c>
      <c r="C9" s="566">
        <v>0.5663843371838101</v>
      </c>
      <c r="D9" s="567">
        <v>0.5803640102253235</v>
      </c>
      <c r="E9" s="568">
        <v>1961</v>
      </c>
      <c r="F9" s="568">
        <v>254</v>
      </c>
      <c r="G9" s="568">
        <v>6</v>
      </c>
      <c r="H9" s="569">
        <v>1083.286956521739</v>
      </c>
      <c r="I9" s="570">
        <v>0.9566929133858267</v>
      </c>
      <c r="J9" s="570">
        <v>0.06299212598425197</v>
      </c>
      <c r="K9" s="571">
        <v>1436</v>
      </c>
      <c r="L9" s="571">
        <v>1651</v>
      </c>
      <c r="M9" s="571">
        <v>1896.6666666666667</v>
      </c>
      <c r="N9" s="571"/>
      <c r="O9" s="571"/>
    </row>
    <row r="10">
      <c r="B10" s="565" t="s">
        <v>1221</v>
      </c>
      <c r="C10" s="566">
        <v>0.8262557804380845</v>
      </c>
      <c r="D10" s="567">
        <v>0.596881851890144</v>
      </c>
      <c r="E10" s="568">
        <v>1948</v>
      </c>
      <c r="F10" s="568">
        <v>515</v>
      </c>
      <c r="G10" s="568">
        <v>3</v>
      </c>
      <c r="H10" s="569">
        <v>681.7543859649123</v>
      </c>
      <c r="I10" s="570">
        <v>0.9805825242718447</v>
      </c>
      <c r="J10" s="570">
        <v>0.027184466019417475</v>
      </c>
      <c r="K10" s="571"/>
      <c r="L10" s="571">
        <v>1264.2307692307693</v>
      </c>
      <c r="M10" s="571">
        <v>1425</v>
      </c>
      <c r="N10" s="571"/>
      <c r="O10" s="571"/>
    </row>
    <row r="11">
      <c r="B11" s="565" t="s">
        <v>1222</v>
      </c>
      <c r="C11" s="566">
        <v>0.4494793486004556</v>
      </c>
      <c r="D11" s="567">
        <v>0.5504325770970546</v>
      </c>
      <c r="E11" s="568">
        <v>1964</v>
      </c>
      <c r="F11" s="568">
        <v>168</v>
      </c>
      <c r="G11" s="568">
        <v>3</v>
      </c>
      <c r="H11" s="569">
        <v>619.4949494949495</v>
      </c>
      <c r="I11" s="570">
        <v>0.9702380952380952</v>
      </c>
      <c r="J11" s="570">
        <v>0.041666666666666664</v>
      </c>
      <c r="K11" s="571"/>
      <c r="L11" s="571">
        <v>1259</v>
      </c>
      <c r="M11" s="571">
        <v>1434.3125</v>
      </c>
      <c r="N11" s="571"/>
      <c r="O11" s="571"/>
    </row>
    <row r="12"/>
    <row r="13"/>
    <row r="14"/>
    <row r="15"/>
    <row r="16"/>
    <row r="17"/>
    <row r="18"/>
    <row r="19"/>
    <row r="20"/>
    <row r="21"/>
    <row r="22"/>
    <row r="23"/>
    <row r="24"/>
    <row r="25" spans="2:15" ht="21">
      <c r="B25" s="813" t="s">
        <v>1009</v>
      </c>
      <c r="C25" s="813"/>
      <c r="D25" s="813"/>
      <c r="E25" s="813"/>
      <c r="F25" s="813"/>
      <c r="G25" s="813"/>
      <c r="H25" s="813"/>
      <c r="I25" s="51"/>
      <c r="J25" s="51"/>
      <c r="K25" s="5"/>
      <c r="L25" s="5"/>
    </row>
    <row r="26" spans="2:15">
      <c r="B26" s="572" t="s">
        <v>11</v>
      </c>
      <c r="C26" s="573" t="s">
        <v>246</v>
      </c>
      <c r="D26" s="574" t="s">
        <v>247</v>
      </c>
      <c r="E26" s="575" t="s">
        <v>1010</v>
      </c>
      <c r="F26" s="575" t="s">
        <v>248</v>
      </c>
      <c r="G26" s="575" t="s">
        <v>1011</v>
      </c>
      <c r="H26" s="575" t="s">
        <v>1012</v>
      </c>
      <c r="I26" s="576" t="s">
        <v>1013</v>
      </c>
      <c r="J26" s="575" t="s">
        <v>1014</v>
      </c>
      <c r="K26" s="575" t="s">
        <v>1015</v>
      </c>
      <c r="L26" s="576" t="s">
        <v>1016</v>
      </c>
      <c r="M26" s="576" t="s">
        <v>273</v>
      </c>
      <c r="N26" s="577" t="s">
        <v>274</v>
      </c>
      <c r="O26" s="577" t="s">
        <v>275</v>
      </c>
    </row>
    <row r="27" spans="2:15">
      <c r="B27" s="578" t="s">
        <v>1214</v>
      </c>
      <c r="C27" s="564">
        <v>25</v>
      </c>
      <c r="D27" s="564"/>
      <c r="E27" s="564"/>
      <c r="F27" s="564"/>
      <c r="G27" s="564">
        <v>25</v>
      </c>
      <c r="H27" s="564">
        <v>250</v>
      </c>
      <c r="I27" s="564"/>
      <c r="J27" s="564">
        <v>25</v>
      </c>
      <c r="K27" s="564">
        <v>350</v>
      </c>
      <c r="L27" s="564">
        <v>200</v>
      </c>
      <c r="M27" s="564"/>
      <c r="N27" s="564"/>
      <c r="O27" s="564"/>
    </row>
    <row r="28" spans="2:15">
      <c r="B28" s="579" t="s">
        <v>1216</v>
      </c>
      <c r="C28" s="580">
        <v>25</v>
      </c>
      <c r="D28" s="580"/>
      <c r="E28" s="580"/>
      <c r="F28" s="580"/>
      <c r="G28" s="580">
        <v>25</v>
      </c>
      <c r="H28" s="580">
        <v>250</v>
      </c>
      <c r="I28" s="580"/>
      <c r="J28" s="580">
        <v>25</v>
      </c>
      <c r="K28" s="580">
        <v>250</v>
      </c>
      <c r="L28" s="580"/>
      <c r="M28" s="580"/>
      <c r="N28" s="581"/>
      <c r="O28" s="581"/>
    </row>
    <row r="29">
      <c r="B29" s="579" t="s">
        <v>1217</v>
      </c>
      <c r="C29" s="580">
        <v>25</v>
      </c>
      <c r="D29" s="580"/>
      <c r="E29" s="580"/>
      <c r="F29" s="580"/>
      <c r="G29" s="580">
        <v>35</v>
      </c>
      <c r="H29" s="580">
        <v>350</v>
      </c>
      <c r="I29" s="580"/>
      <c r="J29" s="580">
        <v>35</v>
      </c>
      <c r="K29" s="580">
        <v>350</v>
      </c>
      <c r="L29" s="580"/>
      <c r="M29" s="580"/>
      <c r="N29" s="581"/>
      <c r="O29" s="581"/>
    </row>
    <row r="30">
      <c r="B30" s="579" t="s">
        <v>1218</v>
      </c>
      <c r="C30" s="580">
        <v>25</v>
      </c>
      <c r="D30" s="580"/>
      <c r="E30" s="580"/>
      <c r="F30" s="580"/>
      <c r="G30" s="580"/>
      <c r="H30" s="580"/>
      <c r="I30" s="580"/>
      <c r="J30" s="580"/>
      <c r="K30" s="580"/>
      <c r="L30" s="580"/>
      <c r="M30" s="580"/>
      <c r="N30" s="581"/>
      <c r="O30" s="581"/>
    </row>
    <row r="31">
      <c r="B31" s="579" t="s">
        <v>1219</v>
      </c>
      <c r="C31" s="580">
        <v>30</v>
      </c>
      <c r="D31" s="580"/>
      <c r="E31" s="580"/>
      <c r="F31" s="580"/>
      <c r="G31" s="580">
        <v>40</v>
      </c>
      <c r="H31" s="580">
        <v>300</v>
      </c>
      <c r="I31" s="580">
        <v>300</v>
      </c>
      <c r="J31" s="580">
        <v>40</v>
      </c>
      <c r="K31" s="580">
        <v>300</v>
      </c>
      <c r="L31" s="580">
        <v>300</v>
      </c>
      <c r="M31" s="580"/>
      <c r="N31" s="581"/>
      <c r="O31" s="581"/>
    </row>
    <row r="32">
      <c r="B32" s="579" t="s">
        <v>1220</v>
      </c>
      <c r="C32" s="580">
        <v>50</v>
      </c>
      <c r="D32" s="580"/>
      <c r="E32" s="580"/>
      <c r="F32" s="580"/>
      <c r="G32" s="580"/>
      <c r="H32" s="580"/>
      <c r="I32" s="580"/>
      <c r="J32" s="580"/>
      <c r="K32" s="580"/>
      <c r="L32" s="580"/>
      <c r="M32" s="580"/>
      <c r="N32" s="581"/>
      <c r="O32" s="581"/>
    </row>
    <row r="33">
      <c r="B33" s="579" t="s">
        <v>1221</v>
      </c>
      <c r="C33" s="580">
        <v>25</v>
      </c>
      <c r="D33" s="580"/>
      <c r="E33" s="580"/>
      <c r="F33" s="580"/>
      <c r="G33" s="580">
        <v>40</v>
      </c>
      <c r="H33" s="580">
        <v>375</v>
      </c>
      <c r="I33" s="580"/>
      <c r="J33" s="580">
        <v>40</v>
      </c>
      <c r="K33" s="580">
        <v>375</v>
      </c>
      <c r="L33" s="580"/>
      <c r="M33" s="580"/>
      <c r="N33" s="581"/>
      <c r="O33" s="581"/>
    </row>
    <row r="34">
      <c r="B34" s="579" t="s">
        <v>1222</v>
      </c>
      <c r="C34" s="580">
        <v>25</v>
      </c>
      <c r="D34" s="580"/>
      <c r="E34" s="580"/>
      <c r="F34" s="580"/>
      <c r="G34" s="580">
        <v>50</v>
      </c>
      <c r="H34" s="580">
        <v>250</v>
      </c>
      <c r="I34" s="580">
        <v>250</v>
      </c>
      <c r="J34" s="580">
        <v>50</v>
      </c>
      <c r="K34" s="580">
        <v>250</v>
      </c>
      <c r="L34" s="580">
        <v>250</v>
      </c>
      <c r="M34" s="580"/>
      <c r="N34" s="581"/>
      <c r="O34" s="581"/>
    </row>
    <row r="35"/>
    <row r="36"/>
    <row r="37"/>
    <row r="38"/>
    <row r="39"/>
    <row r="40"/>
    <row r="41"/>
    <row r="42"/>
    <row r="43"/>
    <row r="44"/>
    <row r="45"/>
    <row r="46"/>
    <row r="47"/>
    <row r="48" spans="2:5" ht="21">
      <c r="B48" s="40" t="s">
        <v>771</v>
      </c>
      <c r="C48" s="299"/>
      <c r="D48" s="301"/>
      <c r="E48" s="301"/>
    </row>
    <row r="49" spans="2:5">
      <c r="B49" s="550" t="s">
        <v>11</v>
      </c>
      <c r="C49" s="582" t="s">
        <v>1031</v>
      </c>
      <c r="D49" s="583" t="s">
        <v>754</v>
      </c>
      <c r="E49" s="583" t="s">
        <v>755</v>
      </c>
    </row>
    <row r="50" spans="2:5" ht="33.5" customHeight="true">
      <c r="B50" s="578" t="s">
        <v>1214</v>
      </c>
      <c r="C50" s="584" t="str">
        <f ca="true">IF(ISBLANK(B50),"",IFERROR(INDEX(Specials!B:J,MATCH(Tables!B50&amp;" - Active",Specials!I:I,0),2),""))</f>
      </c>
      <c r="D50" s="585" t="str">
        <f ca="true">IF(ISBLANK(B50),"",IFERROR(INDEX(Specials!B:J,MATCH(Tables!B50&amp;" - Active",Specials!I:I,0),3),""))</f>
      </c>
      <c r="E50" s="585" t="str">
        <f ca="true">IF(ISBLANK(B50),"",IFERROR(INDEX(Specials!B:J,MATCH(Tables!B50&amp;" - Active",Specials!I:I,0),4),""))</f>
      </c>
    </row>
    <row r="51" spans="2:5" ht="33.5" customHeight="true">
      <c r="B51" s="579" t="s">
        <v>1216</v>
      </c>
      <c r="C51" s="586" t="str">
        <f ca="true">IF(ISBLANK(B51),"",IFERROR(INDEX(Specials!B:J,MATCH(Tables!B51&amp;" - Active",Specials!I:I,0),2),""))</f>
      </c>
      <c r="D51" s="587" t="str">
        <f ca="true">IF(ISBLANK(B51),"",IFERROR(INDEX(Specials!B:J,MATCH(Tables!B51&amp;" - Active",Specials!I:I,0),3),""))</f>
      </c>
      <c r="E51" s="587" t="str">
        <f ca="true">IF(ISBLANK(B51),"",IFERROR(INDEX(Specials!B:J,MATCH(Tables!B51&amp;" - Active",Specials!I:I,0),4),""))</f>
      </c>
    </row>
    <row r="52" spans="2:5" ht="33.5" customHeight="true">
      <c r="B52" s="579" t="s">
        <v>1217</v>
      </c>
      <c r="C52" s="586" t="str">
        <f>IF(ISBLANK(B52),"",IFERROR(INDEX(Specials!B:J,MATCH(Tables!B52&amp;" - Active",Specials!I:I,0),2),""))</f>
      </c>
      <c r="D52" s="587" t="str">
        <f>IF(ISBLANK(B52),"",IFERROR(INDEX(Specials!B:J,MATCH(Tables!B52&amp;" - Active",Specials!I:I,0),3),""))</f>
      </c>
      <c r="E52" s="587" t="str">
        <f>IF(ISBLANK(B52),"",IFERROR(INDEX(Specials!B:J,MATCH(Tables!B52&amp;" - Active",Specials!I:I,0),4),""))</f>
      </c>
    </row>
    <row r="53" spans="2:5" ht="33.5" customHeight="true">
      <c r="B53" s="579" t="s">
        <v>1218</v>
      </c>
      <c r="C53" s="586" t="str">
        <f>IF(ISBLANK(B53),"",IFERROR(INDEX(Specials!B:J,MATCH(Tables!B53&amp;" - Active",Specials!I:I,0),2),""))</f>
      </c>
      <c r="D53" s="587" t="str">
        <f>IF(ISBLANK(B53),"",IFERROR(INDEX(Specials!B:J,MATCH(Tables!B53&amp;" - Active",Specials!I:I,0),3),""))</f>
      </c>
      <c r="E53" s="587" t="str">
        <f>IF(ISBLANK(B53),"",IFERROR(INDEX(Specials!B:J,MATCH(Tables!B53&amp;" - Active",Specials!I:I,0),4),""))</f>
      </c>
    </row>
    <row r="54" spans="2:5" ht="33.5" customHeight="true">
      <c r="B54" s="579" t="s">
        <v>1219</v>
      </c>
      <c r="C54" s="586" t="str">
        <f>IF(ISBLANK(B54),"",IFERROR(INDEX(Specials!B:J,MATCH(Tables!B54&amp;" - Active",Specials!I:I,0),2),""))</f>
      </c>
      <c r="D54" s="587" t="str">
        <f>IF(ISBLANK(B54),"",IFERROR(INDEX(Specials!B:J,MATCH(Tables!B54&amp;" - Active",Specials!I:I,0),3),""))</f>
      </c>
      <c r="E54" s="587" t="str">
        <f>IF(ISBLANK(B54),"",IFERROR(INDEX(Specials!B:J,MATCH(Tables!B54&amp;" - Active",Specials!I:I,0),4),""))</f>
      </c>
    </row>
    <row r="55" spans="2:5" ht="33.5" customHeight="true">
      <c r="B55" s="579" t="s">
        <v>1220</v>
      </c>
      <c r="C55" s="586" t="str">
        <f>IF(ISBLANK(B55),"",IFERROR(INDEX(Specials!B:J,MATCH(Tables!B55&amp;" - Active",Specials!I:I,0),2),""))</f>
      </c>
      <c r="D55" s="587" t="str">
        <f>IF(ISBLANK(B55),"",IFERROR(INDEX(Specials!B:J,MATCH(Tables!B55&amp;" - Active",Specials!I:I,0),3),""))</f>
      </c>
      <c r="E55" s="587" t="str">
        <f>IF(ISBLANK(B55),"",IFERROR(INDEX(Specials!B:J,MATCH(Tables!B55&amp;" - Active",Specials!I:I,0),4),""))</f>
      </c>
    </row>
    <row r="56" spans="2:5" ht="33.5" customHeight="true">
      <c r="B56" s="579" t="s">
        <v>1221</v>
      </c>
      <c r="C56" s="586" t="str">
        <f>IF(ISBLANK(B56),"",IFERROR(INDEX(Specials!B:J,MATCH(Tables!B56&amp;" - Active",Specials!I:I,0),2),""))</f>
      </c>
      <c r="D56" s="587" t="str">
        <f>IF(ISBLANK(B56),"",IFERROR(INDEX(Specials!B:J,MATCH(Tables!B56&amp;" - Active",Specials!I:I,0),3),""))</f>
      </c>
      <c r="E56" s="587" t="str">
        <f>IF(ISBLANK(B56),"",IFERROR(INDEX(Specials!B:J,MATCH(Tables!B56&amp;" - Active",Specials!I:I,0),4),""))</f>
      </c>
    </row>
    <row r="57" spans="2:5" ht="33.5" customHeight="true">
      <c r="B57" s="579" t="s">
        <v>1222</v>
      </c>
      <c r="C57" s="586" t="str">
        <f>IF(ISBLANK(B57),"",IFERROR(INDEX(Specials!B:J,MATCH(Tables!B57&amp;" - Active",Specials!I:I,0),2),""))</f>
      </c>
      <c r="D57" s="587" t="str">
        <f>IF(ISBLANK(B57),"",IFERROR(INDEX(Specials!B:J,MATCH(Tables!B57&amp;" - Active",Specials!I:I,0),3),""))</f>
      </c>
      <c r="E57" s="587" t="str">
        <f>IF(ISBLANK(B57),"",IFERROR(INDEX(Specials!B:J,MATCH(Tables!B57&amp;" - Active",Specials!I:I,0),4),""))</f>
      </c>
    </row>
    <row r="58" spans="2:5" ht="33.5" customHeight="true">
      <c r="B58" s="579"/>
      <c r="C58" s="586" t="str">
        <f>IF(ISBLANK(B58),"",IFERROR(INDEX(Specials!B:J,MATCH(Tables!B58&amp;" - Active",Specials!I:I,0),2),""))</f>
      </c>
      <c r="D58" s="587" t="str">
        <f>IF(ISBLANK(B58),"",IFERROR(INDEX(Specials!B:J,MATCH(Tables!B58&amp;" - Active",Specials!I:I,0),3),""))</f>
      </c>
      <c r="E58" s="587" t="str">
        <f>IF(ISBLANK(B58),"",IFERROR(INDEX(Specials!B:J,MATCH(Tables!B58&amp;" - Active",Specials!I:I,0),4),""))</f>
      </c>
    </row>
    <row r="59" spans="2:5" ht="33.5" customHeight="true">
      <c r="B59" s="579"/>
      <c r="C59" s="586" t="str">
        <f>IF(ISBLANK(B59),"",IFERROR(INDEX(Specials!B:J,MATCH(Tables!B59&amp;" - Active",Specials!I:I,0),2),""))</f>
      </c>
      <c r="D59" s="587" t="str">
        <f>IF(ISBLANK(B59),"",IFERROR(INDEX(Specials!B:J,MATCH(Tables!B59&amp;" - Active",Specials!I:I,0),3),""))</f>
      </c>
      <c r="E59" s="587" t="str">
        <f>IF(ISBLANK(B59),"",IFERROR(INDEX(Specials!B:J,MATCH(Tables!B59&amp;" - Active",Specials!I:I,0),4),""))</f>
      </c>
    </row>
    <row r="60" spans="2:5" ht="33.5" customHeight="true">
      <c r="B60" s="579"/>
      <c r="C60" s="586" t="str">
        <f>IF(ISBLANK(B60),"",IFERROR(INDEX(Specials!B:J,MATCH(Tables!B60&amp;" - Active",Specials!I:I,0),2),""))</f>
      </c>
      <c r="D60" s="587" t="str">
        <f>IF(ISBLANK(B60),"",IFERROR(INDEX(Specials!B:J,MATCH(Tables!B60&amp;" - Active",Specials!I:I,0),3),""))</f>
      </c>
      <c r="E60" s="587" t="str">
        <f>IF(ISBLANK(B60),"",IFERROR(INDEX(Specials!B:J,MATCH(Tables!B60&amp;" - Active",Specials!I:I,0),4),""))</f>
      </c>
    </row>
    <row r="61" spans="2:5" ht="33.5" customHeight="true">
      <c r="B61" s="579"/>
      <c r="C61" s="586" t="str">
        <f>IF(ISBLANK(B61),"",IFERROR(INDEX(Specials!B:J,MATCH(Tables!B61&amp;" - Active",Specials!I:I,0),2),""))</f>
      </c>
      <c r="D61" s="587" t="str">
        <f>IF(ISBLANK(B61),"",IFERROR(INDEX(Specials!B:J,MATCH(Tables!B61&amp;" - Active",Specials!I:I,0),3),""))</f>
      </c>
      <c r="E61" s="587" t="str">
        <f>IF(ISBLANK(B61),"",IFERROR(INDEX(Specials!B:J,MATCH(Tables!B61&amp;" - Active",Specials!I:I,0),4),""))</f>
      </c>
    </row>
    <row r="62" spans="2:5" ht="33.5" customHeight="true">
      <c r="B62" s="579"/>
      <c r="C62" s="586" t="str">
        <f>IF(ISBLANK(B62),"",IFERROR(INDEX(Specials!B:J,MATCH(Tables!B62&amp;" - Active",Specials!I:I,0),2),""))</f>
      </c>
      <c r="D62" s="587" t="str">
        <f>IF(ISBLANK(B62),"",IFERROR(INDEX(Specials!B:J,MATCH(Tables!B62&amp;" - Active",Specials!I:I,0),3),""))</f>
      </c>
      <c r="E62" s="587" t="str">
        <f>IF(ISBLANK(B62),"",IFERROR(INDEX(Specials!B:J,MATCH(Tables!B62&amp;" - Active",Specials!I:I,0),4),""))</f>
      </c>
    </row>
    <row r="63" spans="2:5" ht="33.5" customHeight="true">
      <c r="B63" s="579"/>
      <c r="C63" s="586" t="str">
        <f>IF(ISBLANK(B63),"",IFERROR(INDEX(Specials!B:J,MATCH(Tables!B63&amp;" - Active",Specials!I:I,0),2),""))</f>
      </c>
      <c r="D63" s="587" t="str">
        <f>IF(ISBLANK(B63),"",IFERROR(INDEX(Specials!B:J,MATCH(Tables!B63&amp;" - Active",Specials!I:I,0),3),""))</f>
      </c>
      <c r="E63" s="587" t="str">
        <f>IF(ISBLANK(B63),"",IFERROR(INDEX(Specials!B:J,MATCH(Tables!B63&amp;" - Active",Specials!I:I,0),4),""))</f>
      </c>
    </row>
    <row r="64" spans="2:5" ht="33.5" customHeight="true">
      <c r="B64" s="579"/>
      <c r="C64" s="586" t="str">
        <f>IF(ISBLANK(B64),"",IFERROR(INDEX(Specials!B:J,MATCH(Tables!B64&amp;" - Active",Specials!I:I,0),2),""))</f>
      </c>
      <c r="D64" s="587" t="str">
        <f>IF(ISBLANK(B64),"",IFERROR(INDEX(Specials!B:J,MATCH(Tables!B64&amp;" - Active",Specials!I:I,0),3),""))</f>
      </c>
      <c r="E64" s="587" t="str">
        <f>IF(ISBLANK(B64),"",IFERROR(INDEX(Specials!B:J,MATCH(Tables!B64&amp;" - Active",Specials!I:I,0),4),""))</f>
      </c>
    </row>
    <row r="65" spans="2:5" ht="33.5" customHeight="true">
      <c r="B65" s="579"/>
      <c r="C65" s="586" t="str">
        <f>IF(ISBLANK(B65),"",IFERROR(INDEX(Specials!B:J,MATCH(Tables!B65&amp;" - Active",Specials!I:I,0),2),""))</f>
      </c>
      <c r="D65" s="587" t="str">
        <f>IF(ISBLANK(B65),"",IFERROR(INDEX(Specials!B:J,MATCH(Tables!B65&amp;" - Active",Specials!I:I,0),3),""))</f>
      </c>
      <c r="E65" s="587" t="str">
        <f>IF(ISBLANK(B65),"",IFERROR(INDEX(Specials!B:J,MATCH(Tables!B65&amp;" - Active",Specials!I:I,0),4),""))</f>
      </c>
    </row>
    <row r="66" spans="2:5" ht="33.5" customHeight="true">
      <c r="B66" s="579"/>
      <c r="C66" s="586" t="str">
        <f>IF(ISBLANK(B66),"",IFERROR(INDEX(Specials!B:J,MATCH(Tables!B66&amp;" - Active",Specials!I:I,0),2),""))</f>
      </c>
      <c r="D66" s="587" t="str">
        <f>IF(ISBLANK(B66),"",IFERROR(INDEX(Specials!B:J,MATCH(Tables!B66&amp;" - Active",Specials!I:I,0),3),""))</f>
      </c>
      <c r="E66" s="587" t="str">
        <f>IF(ISBLANK(B66),"",IFERROR(INDEX(Specials!B:J,MATCH(Tables!B66&amp;" - Active",Specials!I:I,0),4),""))</f>
      </c>
    </row>
    <row r="67" spans="2:5" ht="33.5" customHeight="true">
      <c r="B67" s="579"/>
      <c r="C67" s="586" t="str">
        <f>IF(ISBLANK(B67),"",IFERROR(INDEX(Specials!B:J,MATCH(Tables!B67&amp;" - Active",Specials!I:I,0),2),""))</f>
      </c>
      <c r="D67" s="587" t="str">
        <f>IF(ISBLANK(B67),"",IFERROR(INDEX(Specials!B:J,MATCH(Tables!B67&amp;" - Active",Specials!I:I,0),3),""))</f>
      </c>
      <c r="E67" s="587" t="str">
        <f>IF(ISBLANK(B67),"",IFERROR(INDEX(Specials!B:J,MATCH(Tables!B67&amp;" - Active",Specials!I:I,0),4),""))</f>
      </c>
    </row>
    <row r="68" spans="2:5" ht="33.5" customHeight="true">
      <c r="B68" s="579"/>
      <c r="C68" s="586" t="str">
        <f>IF(ISBLANK(B68),"",IFERROR(INDEX(Specials!B:J,MATCH(Tables!B68&amp;" - Active",Specials!I:I,0),2),""))</f>
      </c>
      <c r="D68" s="587" t="str">
        <f>IF(ISBLANK(B68),"",IFERROR(INDEX(Specials!B:J,MATCH(Tables!B68&amp;" - Active",Specials!I:I,0),3),""))</f>
      </c>
      <c r="E68" s="587" t="str">
        <f>IF(ISBLANK(B68),"",IFERROR(INDEX(Specials!B:J,MATCH(Tables!B68&amp;" - Active",Specials!I:I,0),4),""))</f>
      </c>
    </row>
    <row r="69" spans="2:5" ht="33.5" customHeight="true">
      <c r="B69" s="579"/>
      <c r="C69" s="586" t="str">
        <f>IF(ISBLANK(B69),"",IFERROR(INDEX(Specials!B:J,MATCH(Tables!B69&amp;" - Active",Specials!I:I,0),2),""))</f>
      </c>
      <c r="D69" s="587" t="str">
        <f>IF(ISBLANK(B69),"",IFERROR(INDEX(Specials!B:J,MATCH(Tables!B69&amp;" - Active",Specials!I:I,0),3),""))</f>
      </c>
      <c r="E69" s="587" t="str">
        <f>IF(ISBLANK(B69),"",IFERROR(INDEX(Specials!B:J,MATCH(Tables!B69&amp;" - Active",Specials!I:I,0),4),""))</f>
      </c>
    </row>
  </sheetData>
  <mergeCells count="2">
    <mergeCell ref="K2:O2"/>
    <mergeCell ref="B25:H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Weekly Market Updates</vt:lpstr>
      <vt:lpstr>30-Day Trends</vt:lpstr>
      <vt:lpstr>Data</vt:lpstr>
      <vt:lpstr>Data Analysis</vt:lpstr>
      <vt:lpstr>Leasing Trends</vt:lpstr>
      <vt:lpstr>Rent Comps</vt:lpstr>
      <vt:lpstr>Rent Comparison</vt:lpstr>
      <vt:lpstr>Unit-Level Data</vt:lpstr>
      <vt:lpstr>Unit Mix</vt:lpstr>
      <vt:lpstr>Fees &amp; Amenities</vt:lpstr>
      <vt:lpstr>Specials</vt:lpstr>
      <vt:lpstr>Financial Analysis</vt:lpstr>
      <vt:lpstr>Pro Forma Model</vt:lpstr>
      <vt:lpstr>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Rutzen</dc:creator>
  <cp:lastModifiedBy>Marc Rutzen</cp:lastModifiedBy>
  <cp:lastPrinted>2024-08-05T12:40:24Z</cp:lastPrinted>
  <dcterms:created xsi:type="dcterms:W3CDTF">2024-01-09T22:45:58Z</dcterms:created>
  <dcterms:modified xsi:type="dcterms:W3CDTF">2025-05-05T15:06:59Z</dcterms:modified>
</cp:coreProperties>
</file>